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200" windowHeight="6930"/>
  </bookViews>
  <sheets>
    <sheet name="Resume" sheetId="1" r:id="rId1"/>
    <sheet name="PM 11" sheetId="50" r:id="rId2"/>
    <sheet name="PM 12" sheetId="51" r:id="rId3"/>
    <sheet name="PM 14" sheetId="35" r:id="rId4"/>
    <sheet name="PM 15" sheetId="36" r:id="rId5"/>
    <sheet name="PM 16" sheetId="52" r:id="rId6"/>
    <sheet name="PM 17" sheetId="38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Print_Area" localSheetId="1">'PM 11'!$A$1:$AD$213</definedName>
    <definedName name="_xlnm.Print_Area" localSheetId="2">'PM 12'!$A$3:$X$94</definedName>
    <definedName name="_xlnm.Print_Area" localSheetId="3">'PM 14'!$A$1:$AD$136</definedName>
    <definedName name="_xlnm.Print_Area" localSheetId="4">'PM 15'!$A$1:$AD$138</definedName>
    <definedName name="_xlnm.Print_Area" localSheetId="5">'PM 16'!$A$1:$AD$136</definedName>
    <definedName name="_xlnm.Print_Area" localSheetId="6">'PM 17'!$A$1:$AD$157</definedName>
  </definedNames>
  <calcPr calcId="144525"/>
</workbook>
</file>

<file path=xl/calcChain.xml><?xml version="1.0" encoding="utf-8"?>
<calcChain xmlns="http://schemas.openxmlformats.org/spreadsheetml/2006/main">
  <c r="F43" i="1" l="1"/>
  <c r="Q45" i="1"/>
  <c r="O43" i="1"/>
  <c r="N43" i="1"/>
  <c r="K43" i="1"/>
  <c r="J43" i="1"/>
  <c r="AJ41" i="1"/>
  <c r="AG41" i="1"/>
  <c r="AF41" i="1"/>
  <c r="AD41" i="1"/>
  <c r="AC41" i="1"/>
  <c r="AA41" i="1"/>
  <c r="Z41" i="1"/>
  <c r="X41" i="1"/>
  <c r="W41" i="1"/>
  <c r="U41" i="1"/>
  <c r="T41" i="1"/>
  <c r="BF142" i="38"/>
  <c r="BE142" i="38"/>
  <c r="BD142" i="38"/>
  <c r="BC142" i="38"/>
  <c r="BB142" i="38"/>
  <c r="AZ142" i="38"/>
  <c r="AY142" i="38"/>
  <c r="AX142" i="38"/>
  <c r="AW142" i="38"/>
  <c r="AU142" i="38"/>
  <c r="AT142" i="38"/>
  <c r="AS142" i="38"/>
  <c r="AQ142" i="38"/>
  <c r="AP142" i="38"/>
  <c r="AO142" i="38"/>
  <c r="AL142" i="38"/>
  <c r="AK142" i="38"/>
  <c r="AJ142" i="38"/>
  <c r="AI142" i="38"/>
  <c r="AH142" i="38"/>
  <c r="AG142" i="38"/>
  <c r="AF142" i="38"/>
  <c r="R142" i="38"/>
  <c r="AR141" i="38"/>
  <c r="AM141" i="38"/>
  <c r="AC141" i="38"/>
  <c r="AA141" i="38"/>
  <c r="AR139" i="38"/>
  <c r="BA139" i="38" s="1"/>
  <c r="AD139" i="38" s="1"/>
  <c r="AM139" i="38"/>
  <c r="AR138" i="38"/>
  <c r="BA138" i="38" s="1"/>
  <c r="AM138" i="38"/>
  <c r="AD138" i="38" s="1"/>
  <c r="AR137" i="38"/>
  <c r="BA137" i="38" s="1"/>
  <c r="AD137" i="38" s="1"/>
  <c r="AM137" i="38"/>
  <c r="Y137" i="38"/>
  <c r="W137" i="38"/>
  <c r="O137" i="38"/>
  <c r="P137" i="38" s="1"/>
  <c r="N137" i="38"/>
  <c r="V137" i="38" s="1"/>
  <c r="AR135" i="38"/>
  <c r="BA135" i="38" s="1"/>
  <c r="AM135" i="38"/>
  <c r="AD135" i="38" s="1"/>
  <c r="AR134" i="38"/>
  <c r="BA134" i="38" s="1"/>
  <c r="AD134" i="38" s="1"/>
  <c r="AM134" i="38"/>
  <c r="AR133" i="38"/>
  <c r="BA133" i="38" s="1"/>
  <c r="AM133" i="38"/>
  <c r="AD133" i="38" s="1"/>
  <c r="Z133" i="38"/>
  <c r="Y133" i="38"/>
  <c r="W133" i="38"/>
  <c r="V133" i="38"/>
  <c r="O133" i="38"/>
  <c r="U133" i="38" s="1"/>
  <c r="AA133" i="38" s="1"/>
  <c r="N133" i="38"/>
  <c r="J133" i="38"/>
  <c r="H133" i="38"/>
  <c r="K133" i="38" s="1"/>
  <c r="BA131" i="38"/>
  <c r="AR131" i="38"/>
  <c r="AM131" i="38"/>
  <c r="AD131" i="38" s="1"/>
  <c r="AR130" i="38"/>
  <c r="BA130" i="38" s="1"/>
  <c r="AM130" i="38"/>
  <c r="AD130" i="38" s="1"/>
  <c r="BA129" i="38"/>
  <c r="AR129" i="38"/>
  <c r="AM129" i="38"/>
  <c r="AD129" i="38" s="1"/>
  <c r="Z129" i="38"/>
  <c r="Y129" i="38"/>
  <c r="W129" i="38"/>
  <c r="T129" i="38"/>
  <c r="P129" i="38"/>
  <c r="O129" i="38"/>
  <c r="U129" i="38" s="1"/>
  <c r="AA129" i="38" s="1"/>
  <c r="N129" i="38"/>
  <c r="V129" i="38" s="1"/>
  <c r="BA127" i="38"/>
  <c r="AD127" i="38" s="1"/>
  <c r="AR127" i="38"/>
  <c r="AM127" i="38"/>
  <c r="AR126" i="38"/>
  <c r="BA126" i="38" s="1"/>
  <c r="AD126" i="38" s="1"/>
  <c r="AM126" i="38"/>
  <c r="BA125" i="38"/>
  <c r="AR125" i="38"/>
  <c r="AM125" i="38"/>
  <c r="AD125" i="38" s="1"/>
  <c r="Z125" i="38"/>
  <c r="Y125" i="38"/>
  <c r="W125" i="38"/>
  <c r="T125" i="38"/>
  <c r="O125" i="38"/>
  <c r="U125" i="38" s="1"/>
  <c r="AA125" i="38" s="1"/>
  <c r="N125" i="38"/>
  <c r="V125" i="38" s="1"/>
  <c r="BA123" i="38"/>
  <c r="AR123" i="38"/>
  <c r="AM123" i="38"/>
  <c r="AD123" i="38"/>
  <c r="BA122" i="38"/>
  <c r="AR122" i="38"/>
  <c r="AM122" i="38"/>
  <c r="AD122" i="38" s="1"/>
  <c r="BA121" i="38"/>
  <c r="AR121" i="38"/>
  <c r="AM121" i="38"/>
  <c r="AD121" i="38"/>
  <c r="Z121" i="38"/>
  <c r="Y121" i="38"/>
  <c r="W121" i="38"/>
  <c r="V121" i="38"/>
  <c r="U121" i="38"/>
  <c r="AA121" i="38" s="1"/>
  <c r="T121" i="38"/>
  <c r="P121" i="38"/>
  <c r="O121" i="38"/>
  <c r="N121" i="38"/>
  <c r="H121" i="38"/>
  <c r="J121" i="38" s="1"/>
  <c r="C121" i="38"/>
  <c r="BA119" i="38"/>
  <c r="AV119" i="38"/>
  <c r="AV142" i="38" s="1"/>
  <c r="AR119" i="38"/>
  <c r="AM119" i="38"/>
  <c r="AD119" i="38" s="1"/>
  <c r="AR118" i="38"/>
  <c r="BA118" i="38" s="1"/>
  <c r="AM118" i="38"/>
  <c r="BA117" i="38"/>
  <c r="AR117" i="38"/>
  <c r="AM117" i="38"/>
  <c r="AD117" i="38" s="1"/>
  <c r="W117" i="38"/>
  <c r="O117" i="38"/>
  <c r="V117" i="38" s="1"/>
  <c r="N117" i="38"/>
  <c r="J117" i="38"/>
  <c r="H117" i="38"/>
  <c r="K117" i="38" s="1"/>
  <c r="BA116" i="38"/>
  <c r="AR116" i="38"/>
  <c r="AM116" i="38"/>
  <c r="AD116" i="38" s="1"/>
  <c r="Z116" i="38"/>
  <c r="Y116" i="38"/>
  <c r="W116" i="38"/>
  <c r="T116" i="38"/>
  <c r="S116" i="38"/>
  <c r="S142" i="38" s="1"/>
  <c r="O116" i="38"/>
  <c r="P116" i="38" s="1"/>
  <c r="N116" i="38"/>
  <c r="V116" i="38" s="1"/>
  <c r="K116" i="38"/>
  <c r="AC116" i="38" s="1"/>
  <c r="H116" i="38"/>
  <c r="J116" i="38" s="1"/>
  <c r="C116" i="38"/>
  <c r="BA114" i="38"/>
  <c r="AR114" i="38"/>
  <c r="AM114" i="38"/>
  <c r="AD114" i="38" s="1"/>
  <c r="BA113" i="38"/>
  <c r="AD113" i="38" s="1"/>
  <c r="AR113" i="38"/>
  <c r="AM113" i="38"/>
  <c r="W113" i="38"/>
  <c r="T113" i="38"/>
  <c r="O113" i="38"/>
  <c r="U113" i="38" s="1"/>
  <c r="N113" i="38"/>
  <c r="V113" i="38" s="1"/>
  <c r="BA112" i="38"/>
  <c r="AD112" i="38" s="1"/>
  <c r="AR112" i="38"/>
  <c r="AM112" i="38"/>
  <c r="Z112" i="38"/>
  <c r="Y112" i="38"/>
  <c r="W112" i="38"/>
  <c r="T112" i="38"/>
  <c r="O112" i="38"/>
  <c r="U112" i="38" s="1"/>
  <c r="AA112" i="38" s="1"/>
  <c r="N112" i="38"/>
  <c r="V112" i="38" s="1"/>
  <c r="BA110" i="38"/>
  <c r="AR110" i="38"/>
  <c r="AM110" i="38"/>
  <c r="AD110" i="38"/>
  <c r="AR109" i="38"/>
  <c r="BA109" i="38" s="1"/>
  <c r="AM109" i="38"/>
  <c r="BA108" i="38"/>
  <c r="AR108" i="38"/>
  <c r="AM108" i="38"/>
  <c r="AD108" i="38"/>
  <c r="AR107" i="38"/>
  <c r="BA107" i="38" s="1"/>
  <c r="AM107" i="38"/>
  <c r="AD107" i="38" s="1"/>
  <c r="Z107" i="38"/>
  <c r="Y107" i="38"/>
  <c r="W107" i="38"/>
  <c r="O107" i="38"/>
  <c r="K107" i="38" s="1"/>
  <c r="N107" i="38"/>
  <c r="J107" i="38"/>
  <c r="H107" i="38"/>
  <c r="AR105" i="38"/>
  <c r="BA105" i="38" s="1"/>
  <c r="AM105" i="38"/>
  <c r="AR104" i="38"/>
  <c r="BA104" i="38" s="1"/>
  <c r="AD104" i="38" s="1"/>
  <c r="AM104" i="38"/>
  <c r="AR103" i="38"/>
  <c r="BA103" i="38" s="1"/>
  <c r="AM103" i="38"/>
  <c r="Z103" i="38"/>
  <c r="Y103" i="38"/>
  <c r="W103" i="38"/>
  <c r="T103" i="38"/>
  <c r="O103" i="38"/>
  <c r="U103" i="38" s="1"/>
  <c r="AA103" i="38" s="1"/>
  <c r="N103" i="38"/>
  <c r="V103" i="38" s="1"/>
  <c r="BA101" i="38"/>
  <c r="AR101" i="38"/>
  <c r="AM101" i="38"/>
  <c r="AD101" i="38" s="1"/>
  <c r="AR100" i="38"/>
  <c r="BA100" i="38" s="1"/>
  <c r="AD100" i="38" s="1"/>
  <c r="AM100" i="38"/>
  <c r="BA99" i="38"/>
  <c r="AR99" i="38"/>
  <c r="AM99" i="38"/>
  <c r="AD99" i="38" s="1"/>
  <c r="Z99" i="38"/>
  <c r="Y99" i="38"/>
  <c r="W99" i="38"/>
  <c r="T99" i="38"/>
  <c r="O99" i="38"/>
  <c r="U99" i="38" s="1"/>
  <c r="AA99" i="38" s="1"/>
  <c r="N99" i="38"/>
  <c r="V99" i="38" s="1"/>
  <c r="BA97" i="38"/>
  <c r="AD97" i="38" s="1"/>
  <c r="AR97" i="38"/>
  <c r="AM97" i="38"/>
  <c r="AR96" i="38"/>
  <c r="BA96" i="38" s="1"/>
  <c r="AD96" i="38" s="1"/>
  <c r="AM96" i="38"/>
  <c r="BA95" i="38"/>
  <c r="AD95" i="38" s="1"/>
  <c r="AR95" i="38"/>
  <c r="AM95" i="38"/>
  <c r="Z95" i="38"/>
  <c r="Y95" i="38"/>
  <c r="W95" i="38"/>
  <c r="T95" i="38"/>
  <c r="O95" i="38"/>
  <c r="U95" i="38" s="1"/>
  <c r="AA95" i="38" s="1"/>
  <c r="N95" i="38"/>
  <c r="V95" i="38" s="1"/>
  <c r="BA93" i="38"/>
  <c r="AR93" i="38"/>
  <c r="AM93" i="38"/>
  <c r="AD93" i="38"/>
  <c r="AR92" i="38"/>
  <c r="BA92" i="38" s="1"/>
  <c r="AM92" i="38"/>
  <c r="BA91" i="38"/>
  <c r="AR91" i="38"/>
  <c r="AM91" i="38"/>
  <c r="AD91" i="38"/>
  <c r="AR90" i="38"/>
  <c r="BA90" i="38" s="1"/>
  <c r="AM90" i="38"/>
  <c r="AD90" i="38" s="1"/>
  <c r="Z90" i="38"/>
  <c r="Y90" i="38"/>
  <c r="W90" i="38"/>
  <c r="O90" i="38"/>
  <c r="K90" i="38" s="1"/>
  <c r="N90" i="38"/>
  <c r="V90" i="38" s="1"/>
  <c r="J90" i="38"/>
  <c r="H90" i="38"/>
  <c r="AR88" i="38"/>
  <c r="BA88" i="38" s="1"/>
  <c r="AM88" i="38"/>
  <c r="AD88" i="38" s="1"/>
  <c r="AR87" i="38"/>
  <c r="BA87" i="38" s="1"/>
  <c r="AD87" i="38" s="1"/>
  <c r="AM87" i="38"/>
  <c r="AR86" i="38"/>
  <c r="BA86" i="38" s="1"/>
  <c r="AM86" i="38"/>
  <c r="AD86" i="38" s="1"/>
  <c r="Z86" i="38"/>
  <c r="Y86" i="38"/>
  <c r="W86" i="38"/>
  <c r="T86" i="38"/>
  <c r="O86" i="38"/>
  <c r="U86" i="38" s="1"/>
  <c r="AA86" i="38" s="1"/>
  <c r="N86" i="38"/>
  <c r="V86" i="38" s="1"/>
  <c r="BA84" i="38"/>
  <c r="AR84" i="38"/>
  <c r="AM84" i="38"/>
  <c r="AD84" i="38" s="1"/>
  <c r="AR83" i="38"/>
  <c r="BA83" i="38" s="1"/>
  <c r="AD83" i="38" s="1"/>
  <c r="AM83" i="38"/>
  <c r="BA82" i="38"/>
  <c r="AR82" i="38"/>
  <c r="AM82" i="38"/>
  <c r="AD82" i="38" s="1"/>
  <c r="AR81" i="38"/>
  <c r="BA81" i="38" s="1"/>
  <c r="AM81" i="38"/>
  <c r="AD81" i="38" s="1"/>
  <c r="Z81" i="38"/>
  <c r="Y81" i="38"/>
  <c r="W81" i="38"/>
  <c r="U81" i="38"/>
  <c r="AA81" i="38" s="1"/>
  <c r="P81" i="38"/>
  <c r="O81" i="38"/>
  <c r="T81" i="38" s="1"/>
  <c r="N81" i="38"/>
  <c r="V81" i="38" s="1"/>
  <c r="C81" i="38"/>
  <c r="AR79" i="38"/>
  <c r="BA79" i="38" s="1"/>
  <c r="AM79" i="38"/>
  <c r="BA78" i="38"/>
  <c r="AD78" i="38" s="1"/>
  <c r="AR78" i="38"/>
  <c r="AM78" i="38"/>
  <c r="AR77" i="38"/>
  <c r="BA77" i="38" s="1"/>
  <c r="AM77" i="38"/>
  <c r="AD77" i="38" s="1"/>
  <c r="BA76" i="38"/>
  <c r="AD76" i="38" s="1"/>
  <c r="AR76" i="38"/>
  <c r="AM76" i="38"/>
  <c r="Z76" i="38"/>
  <c r="Y76" i="38"/>
  <c r="W76" i="38"/>
  <c r="T76" i="38"/>
  <c r="P76" i="38"/>
  <c r="O76" i="38"/>
  <c r="U76" i="38" s="1"/>
  <c r="AA76" i="38" s="1"/>
  <c r="N76" i="38"/>
  <c r="V76" i="38" s="1"/>
  <c r="BA74" i="38"/>
  <c r="AR74" i="38"/>
  <c r="AM74" i="38"/>
  <c r="AD74" i="38"/>
  <c r="AR73" i="38"/>
  <c r="BA73" i="38" s="1"/>
  <c r="AM73" i="38"/>
  <c r="AD73" i="38" s="1"/>
  <c r="BA72" i="38"/>
  <c r="AR72" i="38"/>
  <c r="AM72" i="38"/>
  <c r="AD72" i="38"/>
  <c r="Z72" i="38"/>
  <c r="Y72" i="38"/>
  <c r="W72" i="38"/>
  <c r="V72" i="38"/>
  <c r="T72" i="38"/>
  <c r="P72" i="38"/>
  <c r="O72" i="38"/>
  <c r="U72" i="38" s="1"/>
  <c r="AA72" i="38" s="1"/>
  <c r="N72" i="38"/>
  <c r="H72" i="38"/>
  <c r="K72" i="38" s="1"/>
  <c r="AC72" i="38" s="1"/>
  <c r="BA70" i="38"/>
  <c r="AD70" i="38" s="1"/>
  <c r="AR70" i="38"/>
  <c r="AM70" i="38"/>
  <c r="AR69" i="38"/>
  <c r="BA69" i="38" s="1"/>
  <c r="AM69" i="38"/>
  <c r="BA68" i="38"/>
  <c r="AD68" i="38" s="1"/>
  <c r="AR68" i="38"/>
  <c r="AM68" i="38"/>
  <c r="AA68" i="38"/>
  <c r="Z68" i="38"/>
  <c r="Y68" i="38"/>
  <c r="W68" i="38"/>
  <c r="U68" i="38"/>
  <c r="T68" i="38"/>
  <c r="P68" i="38"/>
  <c r="O68" i="38"/>
  <c r="N68" i="38"/>
  <c r="V68" i="38" s="1"/>
  <c r="C68" i="38"/>
  <c r="AR66" i="38"/>
  <c r="BA66" i="38" s="1"/>
  <c r="AD66" i="38" s="1"/>
  <c r="AM66" i="38"/>
  <c r="AR65" i="38"/>
  <c r="BA65" i="38" s="1"/>
  <c r="AM65" i="38"/>
  <c r="AR64" i="38"/>
  <c r="BA64" i="38" s="1"/>
  <c r="AD64" i="38" s="1"/>
  <c r="AM64" i="38"/>
  <c r="AR63" i="38"/>
  <c r="BA63" i="38" s="1"/>
  <c r="AM63" i="38"/>
  <c r="W63" i="38"/>
  <c r="U63" i="38"/>
  <c r="Q63" i="38"/>
  <c r="C63" i="38" s="1"/>
  <c r="O63" i="38"/>
  <c r="T63" i="38" s="1"/>
  <c r="N63" i="38"/>
  <c r="V63" i="38" s="1"/>
  <c r="K63" i="38"/>
  <c r="AC63" i="38" s="1"/>
  <c r="H63" i="38"/>
  <c r="J63" i="38" s="1"/>
  <c r="BA62" i="38"/>
  <c r="AR62" i="38"/>
  <c r="AM62" i="38"/>
  <c r="AD62" i="38" s="1"/>
  <c r="Z62" i="38"/>
  <c r="Y62" i="38"/>
  <c r="W62" i="38"/>
  <c r="U62" i="38"/>
  <c r="AA62" i="38" s="1"/>
  <c r="Q62" i="38"/>
  <c r="Q142" i="38" s="1"/>
  <c r="O62" i="38"/>
  <c r="P62" i="38" s="1"/>
  <c r="N62" i="38"/>
  <c r="H62" i="38"/>
  <c r="K62" i="38" s="1"/>
  <c r="BA60" i="38"/>
  <c r="AR60" i="38"/>
  <c r="AM60" i="38"/>
  <c r="AD60" i="38" s="1"/>
  <c r="BA59" i="38"/>
  <c r="AR59" i="38"/>
  <c r="AM59" i="38"/>
  <c r="AD59" i="38" s="1"/>
  <c r="BA58" i="38"/>
  <c r="AR58" i="38"/>
  <c r="AM58" i="38"/>
  <c r="AD58" i="38" s="1"/>
  <c r="AA58" i="38"/>
  <c r="Z58" i="38"/>
  <c r="Y58" i="38"/>
  <c r="W58" i="38"/>
  <c r="U58" i="38"/>
  <c r="P58" i="38"/>
  <c r="O58" i="38"/>
  <c r="T58" i="38" s="1"/>
  <c r="N58" i="38"/>
  <c r="V58" i="38" s="1"/>
  <c r="C58" i="38"/>
  <c r="AR56" i="38"/>
  <c r="BA56" i="38" s="1"/>
  <c r="AD56" i="38" s="1"/>
  <c r="AM56" i="38"/>
  <c r="AR55" i="38"/>
  <c r="BA55" i="38" s="1"/>
  <c r="AD55" i="38" s="1"/>
  <c r="AM55" i="38"/>
  <c r="W55" i="38"/>
  <c r="U55" i="38"/>
  <c r="T55" i="38"/>
  <c r="P55" i="38"/>
  <c r="O55" i="38"/>
  <c r="N55" i="38"/>
  <c r="V55" i="38" s="1"/>
  <c r="C55" i="38"/>
  <c r="AR54" i="38"/>
  <c r="BA54" i="38" s="1"/>
  <c r="AD54" i="38" s="1"/>
  <c r="AM54" i="38"/>
  <c r="Z54" i="38"/>
  <c r="Y54" i="38"/>
  <c r="W54" i="38"/>
  <c r="T54" i="38"/>
  <c r="O54" i="38"/>
  <c r="K54" i="38" s="1"/>
  <c r="AC54" i="38" s="1"/>
  <c r="N54" i="38"/>
  <c r="J54" i="38"/>
  <c r="H54" i="38"/>
  <c r="BA52" i="38"/>
  <c r="AR52" i="38"/>
  <c r="AM52" i="38"/>
  <c r="AD52" i="38" s="1"/>
  <c r="AR51" i="38"/>
  <c r="BA51" i="38" s="1"/>
  <c r="AM51" i="38"/>
  <c r="AD51" i="38" s="1"/>
  <c r="BA50" i="38"/>
  <c r="AR50" i="38"/>
  <c r="AM50" i="38"/>
  <c r="AD50" i="38" s="1"/>
  <c r="Z50" i="38"/>
  <c r="Y50" i="38"/>
  <c r="W50" i="38"/>
  <c r="T50" i="38"/>
  <c r="O50" i="38"/>
  <c r="U50" i="38" s="1"/>
  <c r="AA50" i="38" s="1"/>
  <c r="N50" i="38"/>
  <c r="V50" i="38" s="1"/>
  <c r="BA48" i="38"/>
  <c r="AR48" i="38"/>
  <c r="AM48" i="38"/>
  <c r="AD48" i="38"/>
  <c r="AR47" i="38"/>
  <c r="BA47" i="38" s="1"/>
  <c r="AD47" i="38" s="1"/>
  <c r="AM47" i="38"/>
  <c r="BA46" i="38"/>
  <c r="AR46" i="38"/>
  <c r="AM46" i="38"/>
  <c r="AD46" i="38"/>
  <c r="Z46" i="38"/>
  <c r="Y46" i="38"/>
  <c r="W46" i="38"/>
  <c r="V46" i="38"/>
  <c r="O46" i="38"/>
  <c r="T46" i="38" s="1"/>
  <c r="N46" i="38"/>
  <c r="H46" i="38"/>
  <c r="BA44" i="38"/>
  <c r="AR44" i="38"/>
  <c r="AM44" i="38"/>
  <c r="AD44" i="38" s="1"/>
  <c r="AR43" i="38"/>
  <c r="BA43" i="38" s="1"/>
  <c r="AM43" i="38"/>
  <c r="AD43" i="38" s="1"/>
  <c r="BA42" i="38"/>
  <c r="AR42" i="38"/>
  <c r="AM42" i="38"/>
  <c r="AD42" i="38" s="1"/>
  <c r="Z42" i="38"/>
  <c r="Y42" i="38"/>
  <c r="W42" i="38"/>
  <c r="T42" i="38"/>
  <c r="P42" i="38"/>
  <c r="O42" i="38"/>
  <c r="U42" i="38" s="1"/>
  <c r="AA42" i="38" s="1"/>
  <c r="N42" i="38"/>
  <c r="V42" i="38" s="1"/>
  <c r="AR40" i="38"/>
  <c r="BA40" i="38" s="1"/>
  <c r="AD40" i="38" s="1"/>
  <c r="AM40" i="38"/>
  <c r="AR39" i="38"/>
  <c r="BA39" i="38" s="1"/>
  <c r="AM39" i="38"/>
  <c r="AR38" i="38"/>
  <c r="BA38" i="38" s="1"/>
  <c r="AD38" i="38" s="1"/>
  <c r="AM38" i="38"/>
  <c r="Z38" i="38"/>
  <c r="Y38" i="38"/>
  <c r="W38" i="38"/>
  <c r="T38" i="38"/>
  <c r="P38" i="38"/>
  <c r="O38" i="38"/>
  <c r="U38" i="38" s="1"/>
  <c r="AA38" i="38" s="1"/>
  <c r="N38" i="38"/>
  <c r="V38" i="38" s="1"/>
  <c r="BA36" i="38"/>
  <c r="AD36" i="38" s="1"/>
  <c r="AR36" i="38"/>
  <c r="AM36" i="38"/>
  <c r="BA35" i="38"/>
  <c r="AR35" i="38"/>
  <c r="AM35" i="38"/>
  <c r="BA34" i="38"/>
  <c r="AD34" i="38" s="1"/>
  <c r="AR34" i="38"/>
  <c r="AM34" i="38"/>
  <c r="BA33" i="38"/>
  <c r="AR33" i="38"/>
  <c r="AM33" i="38"/>
  <c r="AD33" i="38" s="1"/>
  <c r="Z33" i="38"/>
  <c r="W33" i="38"/>
  <c r="T33" i="38"/>
  <c r="P33" i="38"/>
  <c r="O33" i="38"/>
  <c r="U33" i="38" s="1"/>
  <c r="AA33" i="38" s="1"/>
  <c r="N33" i="38"/>
  <c r="V33" i="38" s="1"/>
  <c r="BA31" i="38"/>
  <c r="AD31" i="38" s="1"/>
  <c r="AR31" i="38"/>
  <c r="AM31" i="38"/>
  <c r="BA30" i="38"/>
  <c r="AR30" i="38"/>
  <c r="AM30" i="38"/>
  <c r="BA29" i="38"/>
  <c r="AD29" i="38" s="1"/>
  <c r="AR29" i="38"/>
  <c r="AM29" i="38"/>
  <c r="BA28" i="38"/>
  <c r="AR28" i="38"/>
  <c r="AM28" i="38"/>
  <c r="AD28" i="38" s="1"/>
  <c r="Z28" i="38"/>
  <c r="W28" i="38"/>
  <c r="T28" i="38"/>
  <c r="P28" i="38"/>
  <c r="O28" i="38"/>
  <c r="U28" i="38" s="1"/>
  <c r="AA28" i="38" s="1"/>
  <c r="N28" i="38"/>
  <c r="V28" i="38" s="1"/>
  <c r="AR26" i="38"/>
  <c r="BA26" i="38" s="1"/>
  <c r="AD26" i="38" s="1"/>
  <c r="AM26" i="38"/>
  <c r="BA25" i="38"/>
  <c r="AR25" i="38"/>
  <c r="AM25" i="38"/>
  <c r="AR24" i="38"/>
  <c r="BA24" i="38" s="1"/>
  <c r="AD24" i="38" s="1"/>
  <c r="AM24" i="38"/>
  <c r="Z24" i="38"/>
  <c r="Y24" i="38"/>
  <c r="Y142" i="38" s="1"/>
  <c r="W24" i="38"/>
  <c r="U24" i="38"/>
  <c r="AA24" i="38" s="1"/>
  <c r="T24" i="38"/>
  <c r="O24" i="38"/>
  <c r="P24" i="38" s="1"/>
  <c r="N24" i="38"/>
  <c r="V24" i="38" s="1"/>
  <c r="C24" i="38"/>
  <c r="BA22" i="38"/>
  <c r="AR22" i="38"/>
  <c r="AM22" i="38"/>
  <c r="AD22" i="38"/>
  <c r="BA21" i="38"/>
  <c r="AR21" i="38"/>
  <c r="AM21" i="38"/>
  <c r="AD21" i="38"/>
  <c r="BA20" i="38"/>
  <c r="AR20" i="38"/>
  <c r="AM20" i="38"/>
  <c r="AD20" i="38"/>
  <c r="BA19" i="38"/>
  <c r="AR19" i="38"/>
  <c r="AM19" i="38"/>
  <c r="AD19" i="38"/>
  <c r="Z19" i="38"/>
  <c r="W19" i="38"/>
  <c r="U19" i="38"/>
  <c r="AA19" i="38" s="1"/>
  <c r="T19" i="38"/>
  <c r="O19" i="38"/>
  <c r="P19" i="38" s="1"/>
  <c r="N19" i="38"/>
  <c r="V19" i="38" s="1"/>
  <c r="C19" i="38"/>
  <c r="BA17" i="38"/>
  <c r="AD17" i="38" s="1"/>
  <c r="AR17" i="38"/>
  <c r="BA16" i="38"/>
  <c r="AD16" i="38" s="1"/>
  <c r="AR16" i="38"/>
  <c r="AR15" i="38"/>
  <c r="BA15" i="38" s="1"/>
  <c r="AD15" i="38" s="1"/>
  <c r="AN14" i="38"/>
  <c r="AR14" i="38" s="1"/>
  <c r="BA14" i="38" s="1"/>
  <c r="AM14" i="38"/>
  <c r="AD14" i="38" s="1"/>
  <c r="AR13" i="38"/>
  <c r="BA13" i="38" s="1"/>
  <c r="AM13" i="38"/>
  <c r="AD13" i="38" s="1"/>
  <c r="AR12" i="38"/>
  <c r="BA12" i="38" s="1"/>
  <c r="AM12" i="38"/>
  <c r="AD12" i="38" s="1"/>
  <c r="AR11" i="38"/>
  <c r="BA11" i="38" s="1"/>
  <c r="AM11" i="38"/>
  <c r="AD11" i="38" s="1"/>
  <c r="Z11" i="38"/>
  <c r="W11" i="38"/>
  <c r="V11" i="38"/>
  <c r="P11" i="38"/>
  <c r="O11" i="38"/>
  <c r="N11" i="38"/>
  <c r="H11" i="38"/>
  <c r="K11" i="38" s="1"/>
  <c r="AR9" i="38"/>
  <c r="BA9" i="38" s="1"/>
  <c r="AM9" i="38"/>
  <c r="AD9" i="38" s="1"/>
  <c r="AR8" i="38"/>
  <c r="BA8" i="38" s="1"/>
  <c r="AM8" i="38"/>
  <c r="AD8" i="38" s="1"/>
  <c r="AR7" i="38"/>
  <c r="BA7" i="38" s="1"/>
  <c r="AM7" i="38"/>
  <c r="AD7" i="38" s="1"/>
  <c r="AR6" i="38"/>
  <c r="AM6" i="38"/>
  <c r="Z6" i="38"/>
  <c r="Z142" i="38" s="1"/>
  <c r="W6" i="38"/>
  <c r="O6" i="38"/>
  <c r="N6" i="38"/>
  <c r="H6" i="38" s="1"/>
  <c r="A6" i="38"/>
  <c r="K6" i="38" l="1"/>
  <c r="J6" i="38"/>
  <c r="W142" i="38"/>
  <c r="X6" i="38"/>
  <c r="U6" i="38"/>
  <c r="C6" i="38"/>
  <c r="T6" i="38"/>
  <c r="J11" i="38"/>
  <c r="P6" i="38"/>
  <c r="Y144" i="38"/>
  <c r="AD30" i="38"/>
  <c r="R143" i="38"/>
  <c r="AM142" i="38"/>
  <c r="AR142" i="38"/>
  <c r="BA6" i="38"/>
  <c r="BA142" i="38" s="1"/>
  <c r="V6" i="38"/>
  <c r="U11" i="38"/>
  <c r="AA11" i="38" s="1"/>
  <c r="C11" i="38"/>
  <c r="T11" i="38"/>
  <c r="K46" i="38"/>
  <c r="AC46" i="38" s="1"/>
  <c r="J46" i="38"/>
  <c r="AD63" i="38"/>
  <c r="X72" i="38"/>
  <c r="X90" i="38"/>
  <c r="X133" i="38"/>
  <c r="Q143" i="38"/>
  <c r="BB144" i="38"/>
  <c r="AD92" i="38"/>
  <c r="AD103" i="38"/>
  <c r="S144" i="38"/>
  <c r="S143" i="38"/>
  <c r="AD118" i="38"/>
  <c r="BC144" i="38"/>
  <c r="AD35" i="38"/>
  <c r="X62" i="38"/>
  <c r="X107" i="38"/>
  <c r="BD144" i="38"/>
  <c r="X11" i="38"/>
  <c r="AD25" i="38"/>
  <c r="AD39" i="38"/>
  <c r="X46" i="38"/>
  <c r="AD65" i="38"/>
  <c r="AB72" i="38"/>
  <c r="AD79" i="38"/>
  <c r="AD109" i="38"/>
  <c r="X116" i="38"/>
  <c r="BE144" i="38"/>
  <c r="AC11" i="38"/>
  <c r="AD69" i="38"/>
  <c r="AD105" i="38"/>
  <c r="BF144" i="38"/>
  <c r="C46" i="38"/>
  <c r="U46" i="38"/>
  <c r="AA46" i="38" s="1"/>
  <c r="AB46" i="38" s="1"/>
  <c r="P54" i="38"/>
  <c r="H55" i="38"/>
  <c r="C62" i="38"/>
  <c r="T62" i="38"/>
  <c r="AC62" i="38" s="1"/>
  <c r="AB62" i="38" s="1"/>
  <c r="C72" i="38"/>
  <c r="H86" i="38"/>
  <c r="P99" i="38"/>
  <c r="H103" i="38"/>
  <c r="P113" i="38"/>
  <c r="K121" i="38"/>
  <c r="AC121" i="38" s="1"/>
  <c r="P125" i="38"/>
  <c r="H129" i="38"/>
  <c r="T137" i="38"/>
  <c r="C137" i="38"/>
  <c r="U137" i="38"/>
  <c r="AA137" i="38" s="1"/>
  <c r="H19" i="38"/>
  <c r="H24" i="38"/>
  <c r="C54" i="38"/>
  <c r="U54" i="38"/>
  <c r="AA54" i="38" s="1"/>
  <c r="J62" i="38"/>
  <c r="V62" i="38"/>
  <c r="J72" i="38"/>
  <c r="P90" i="38"/>
  <c r="C99" i="38"/>
  <c r="P107" i="38"/>
  <c r="C113" i="38"/>
  <c r="P117" i="38"/>
  <c r="C125" i="38"/>
  <c r="P133" i="38"/>
  <c r="H137" i="38"/>
  <c r="C42" i="38"/>
  <c r="P50" i="38"/>
  <c r="V54" i="38"/>
  <c r="T90" i="38"/>
  <c r="AC90" i="38" s="1"/>
  <c r="P95" i="38"/>
  <c r="H99" i="38"/>
  <c r="T107" i="38"/>
  <c r="AC107" i="38" s="1"/>
  <c r="P112" i="38"/>
  <c r="H113" i="38"/>
  <c r="T117" i="38"/>
  <c r="AC117" i="38" s="1"/>
  <c r="H125" i="38"/>
  <c r="T133" i="38"/>
  <c r="AC133" i="38" s="1"/>
  <c r="AB133" i="38" s="1"/>
  <c r="AN142" i="38"/>
  <c r="H42" i="38"/>
  <c r="H58" i="38"/>
  <c r="P63" i="38"/>
  <c r="H68" i="38"/>
  <c r="C90" i="38"/>
  <c r="U90" i="38"/>
  <c r="AA90" i="38" s="1"/>
  <c r="C107" i="38"/>
  <c r="U107" i="38"/>
  <c r="AA107" i="38" s="1"/>
  <c r="C117" i="38"/>
  <c r="U117" i="38"/>
  <c r="C133" i="38"/>
  <c r="C50" i="38"/>
  <c r="C76" i="38"/>
  <c r="P86" i="38"/>
  <c r="C95" i="38"/>
  <c r="P103" i="38"/>
  <c r="V107" i="38"/>
  <c r="C112" i="38"/>
  <c r="R144" i="38"/>
  <c r="C28" i="38"/>
  <c r="C33" i="38"/>
  <c r="C38" i="38"/>
  <c r="P46" i="38"/>
  <c r="H50" i="38"/>
  <c r="H76" i="38"/>
  <c r="H95" i="38"/>
  <c r="H112" i="38"/>
  <c r="H28" i="38"/>
  <c r="H33" i="38"/>
  <c r="H38" i="38"/>
  <c r="H81" i="38"/>
  <c r="C86" i="38"/>
  <c r="C103" i="38"/>
  <c r="U116" i="38"/>
  <c r="AA116" i="38" s="1"/>
  <c r="C129" i="38"/>
  <c r="J112" i="38" l="1"/>
  <c r="K112" i="38"/>
  <c r="K137" i="38"/>
  <c r="J137" i="38"/>
  <c r="K86" i="38"/>
  <c r="J86" i="38"/>
  <c r="AD6" i="38"/>
  <c r="AD142" i="38" s="1"/>
  <c r="AB116" i="38"/>
  <c r="J95" i="38"/>
  <c r="K95" i="38"/>
  <c r="K58" i="38"/>
  <c r="J58" i="38"/>
  <c r="X121" i="38"/>
  <c r="J76" i="38"/>
  <c r="K76" i="38"/>
  <c r="K42" i="38"/>
  <c r="J42" i="38"/>
  <c r="K99" i="38"/>
  <c r="J99" i="38"/>
  <c r="K129" i="38"/>
  <c r="J129" i="38"/>
  <c r="P142" i="38"/>
  <c r="O142" i="38" s="1"/>
  <c r="J50" i="38"/>
  <c r="K50" i="38"/>
  <c r="AB107" i="38"/>
  <c r="AB11" i="38"/>
  <c r="AB121" i="38"/>
  <c r="K81" i="38"/>
  <c r="J81" i="38"/>
  <c r="K55" i="38"/>
  <c r="J55" i="38"/>
  <c r="V142" i="38"/>
  <c r="T142" i="38"/>
  <c r="X147" i="38"/>
  <c r="J38" i="38"/>
  <c r="K38" i="38"/>
  <c r="AB90" i="38"/>
  <c r="K125" i="38"/>
  <c r="J125" i="38"/>
  <c r="K24" i="38"/>
  <c r="J24" i="38"/>
  <c r="C142" i="38"/>
  <c r="J33" i="38"/>
  <c r="K33" i="38"/>
  <c r="K19" i="38"/>
  <c r="J19" i="38"/>
  <c r="K103" i="38"/>
  <c r="J103" i="38"/>
  <c r="U142" i="38"/>
  <c r="X145" i="38" s="1"/>
  <c r="AA6" i="38"/>
  <c r="AC6" i="38"/>
  <c r="J28" i="38"/>
  <c r="K28" i="38"/>
  <c r="K68" i="38"/>
  <c r="J68" i="38"/>
  <c r="K113" i="38"/>
  <c r="AC113" i="38" s="1"/>
  <c r="J113" i="38"/>
  <c r="AA142" i="38" l="1"/>
  <c r="AB6" i="38"/>
  <c r="AC38" i="38"/>
  <c r="AB38" i="38" s="1"/>
  <c r="X38" i="38"/>
  <c r="AC55" i="38"/>
  <c r="AB54" i="38" s="1"/>
  <c r="X54" i="38"/>
  <c r="AC50" i="38"/>
  <c r="AB50" i="38" s="1"/>
  <c r="X50" i="38"/>
  <c r="AC42" i="38"/>
  <c r="AB42" i="38" s="1"/>
  <c r="X42" i="38"/>
  <c r="AF143" i="38"/>
  <c r="X155" i="38" s="1"/>
  <c r="AI143" i="38"/>
  <c r="X158" i="38" s="1"/>
  <c r="AO143" i="38"/>
  <c r="X163" i="38" s="1"/>
  <c r="AL143" i="38"/>
  <c r="X161" i="38" s="1"/>
  <c r="AH143" i="38"/>
  <c r="X157" i="38" s="1"/>
  <c r="AC81" i="38"/>
  <c r="X81" i="38"/>
  <c r="AB81" i="38"/>
  <c r="AC76" i="38"/>
  <c r="AB76" i="38"/>
  <c r="X76" i="38"/>
  <c r="AC68" i="38"/>
  <c r="AB68" i="38" s="1"/>
  <c r="X68" i="38"/>
  <c r="AC86" i="38"/>
  <c r="AB86" i="38" s="1"/>
  <c r="X86" i="38"/>
  <c r="AC28" i="38"/>
  <c r="AB28" i="38" s="1"/>
  <c r="X28" i="38"/>
  <c r="AC103" i="38"/>
  <c r="AB103" i="38"/>
  <c r="X103" i="38"/>
  <c r="X24" i="38"/>
  <c r="AC24" i="38"/>
  <c r="AB24" i="38"/>
  <c r="AC129" i="38"/>
  <c r="AB129" i="38" s="1"/>
  <c r="X129" i="38"/>
  <c r="AC58" i="38"/>
  <c r="X58" i="38"/>
  <c r="AB58" i="38"/>
  <c r="X19" i="38"/>
  <c r="AC19" i="38"/>
  <c r="AC142" i="38" s="1"/>
  <c r="AC143" i="38" s="1"/>
  <c r="X152" i="38" s="1"/>
  <c r="X125" i="38"/>
  <c r="AC125" i="38"/>
  <c r="AB125" i="38"/>
  <c r="V143" i="38"/>
  <c r="AV143" i="38" s="1"/>
  <c r="X170" i="38" s="1"/>
  <c r="AC99" i="38"/>
  <c r="AB99" i="38"/>
  <c r="X99" i="38"/>
  <c r="AC95" i="38"/>
  <c r="X95" i="38"/>
  <c r="AB95" i="38"/>
  <c r="AC112" i="38"/>
  <c r="AB112" i="38" s="1"/>
  <c r="X112" i="38"/>
  <c r="AC137" i="38"/>
  <c r="AB137" i="38" s="1"/>
  <c r="X137" i="38"/>
  <c r="K142" i="38"/>
  <c r="AC33" i="38"/>
  <c r="AB33" i="38" s="1"/>
  <c r="X33" i="38"/>
  <c r="AB19" i="38" l="1"/>
  <c r="AR143" i="38"/>
  <c r="AQ143" i="38"/>
  <c r="X165" i="38" s="1"/>
  <c r="AP143" i="38"/>
  <c r="X164" i="38" s="1"/>
  <c r="AX143" i="38"/>
  <c r="AJ143" i="38"/>
  <c r="X159" i="38" s="1"/>
  <c r="AS143" i="38"/>
  <c r="X166" i="38" s="1"/>
  <c r="AN143" i="38"/>
  <c r="X162" i="38" s="1"/>
  <c r="AM143" i="38"/>
  <c r="AW143" i="38"/>
  <c r="X169" i="38" s="1"/>
  <c r="AT143" i="38"/>
  <c r="X167" i="38" s="1"/>
  <c r="AY143" i="38"/>
  <c r="AG143" i="38"/>
  <c r="X156" i="38" s="1"/>
  <c r="AK143" i="38"/>
  <c r="X160" i="38" s="1"/>
  <c r="AZ143" i="38"/>
  <c r="X172" i="38" s="1"/>
  <c r="AB142" i="38"/>
  <c r="AB143" i="38" s="1"/>
  <c r="X154" i="38" s="1"/>
  <c r="Z143" i="38"/>
  <c r="X151" i="38" s="1"/>
  <c r="Y143" i="38"/>
  <c r="X150" i="38" s="1"/>
  <c r="X142" i="38"/>
  <c r="BA143" i="38"/>
  <c r="AU143" i="38"/>
  <c r="X168" i="38" s="1"/>
  <c r="AA143" i="38"/>
  <c r="X153" i="38" s="1"/>
  <c r="X171" i="38" l="1"/>
  <c r="X173" i="38"/>
  <c r="X175" i="38" s="1"/>
  <c r="W108" i="35" l="1"/>
  <c r="Z12" i="35"/>
  <c r="Z6" i="35"/>
  <c r="Z136" i="35"/>
  <c r="Z141" i="35"/>
  <c r="Z155" i="35"/>
  <c r="F36" i="1" l="1"/>
  <c r="AJ34" i="1"/>
  <c r="AG34" i="1"/>
  <c r="AF34" i="1"/>
  <c r="AD34" i="1"/>
  <c r="AC34" i="1"/>
  <c r="Z34" i="1"/>
  <c r="W34" i="1"/>
  <c r="T34" i="1"/>
  <c r="AQ34" i="1"/>
  <c r="AP34" i="1"/>
  <c r="AN34" i="1"/>
  <c r="BF136" i="52"/>
  <c r="BE136" i="52"/>
  <c r="BD136" i="52"/>
  <c r="BC136" i="52"/>
  <c r="BB136" i="52"/>
  <c r="AZ136" i="52"/>
  <c r="AY136" i="52"/>
  <c r="AX136" i="52"/>
  <c r="AW136" i="52"/>
  <c r="AV136" i="52"/>
  <c r="AU136" i="52"/>
  <c r="AT136" i="52"/>
  <c r="AS136" i="52"/>
  <c r="AQ136" i="52"/>
  <c r="AP136" i="52"/>
  <c r="X34" i="1" s="1"/>
  <c r="AO136" i="52"/>
  <c r="AA34" i="1" s="1"/>
  <c r="AN136" i="52"/>
  <c r="U34" i="1" s="1"/>
  <c r="AL136" i="52"/>
  <c r="AK136" i="52"/>
  <c r="AJ136" i="52"/>
  <c r="AI136" i="52"/>
  <c r="AH136" i="52"/>
  <c r="AG136" i="52"/>
  <c r="AF136" i="52"/>
  <c r="R136" i="52"/>
  <c r="AC135" i="52"/>
  <c r="AA135" i="52"/>
  <c r="AR133" i="52"/>
  <c r="BA133" i="52" s="1"/>
  <c r="AM133" i="52"/>
  <c r="AR132" i="52"/>
  <c r="BA132" i="52" s="1"/>
  <c r="AD132" i="52" s="1"/>
  <c r="AM132" i="52"/>
  <c r="W132" i="52"/>
  <c r="O132" i="52"/>
  <c r="P132" i="52" s="1"/>
  <c r="N132" i="52"/>
  <c r="J132" i="52"/>
  <c r="H132" i="52"/>
  <c r="AR131" i="52"/>
  <c r="BA131" i="52" s="1"/>
  <c r="AM131" i="52"/>
  <c r="AD131" i="52" s="1"/>
  <c r="Z131" i="52"/>
  <c r="Y131" i="52"/>
  <c r="Y136" i="52" s="1"/>
  <c r="W131" i="52"/>
  <c r="O131" i="52"/>
  <c r="U131" i="52" s="1"/>
  <c r="N131" i="52"/>
  <c r="V131" i="52" s="1"/>
  <c r="M131" i="52"/>
  <c r="AR129" i="52"/>
  <c r="BA129" i="52" s="1"/>
  <c r="AM129" i="52"/>
  <c r="AD129" i="52" s="1"/>
  <c r="BA128" i="52"/>
  <c r="AR128" i="52"/>
  <c r="AM128" i="52"/>
  <c r="AD128" i="52"/>
  <c r="AR127" i="52"/>
  <c r="BA127" i="52" s="1"/>
  <c r="AM127" i="52"/>
  <c r="AD127" i="52" s="1"/>
  <c r="W127" i="52"/>
  <c r="V127" i="52"/>
  <c r="U127" i="52"/>
  <c r="AA127" i="52" s="1"/>
  <c r="O127" i="52"/>
  <c r="T127" i="52" s="1"/>
  <c r="N127" i="52"/>
  <c r="H127" i="52"/>
  <c r="J127" i="52" s="1"/>
  <c r="C127" i="52"/>
  <c r="AR125" i="52"/>
  <c r="BA125" i="52" s="1"/>
  <c r="AD125" i="52" s="1"/>
  <c r="AM125" i="52"/>
  <c r="BA124" i="52"/>
  <c r="AD124" i="52" s="1"/>
  <c r="AR124" i="52"/>
  <c r="AM124" i="52"/>
  <c r="AR123" i="52"/>
  <c r="BA123" i="52" s="1"/>
  <c r="AM123" i="52"/>
  <c r="AD123" i="52" s="1"/>
  <c r="W123" i="52"/>
  <c r="P123" i="52"/>
  <c r="O123" i="52"/>
  <c r="U123" i="52" s="1"/>
  <c r="AA123" i="52" s="1"/>
  <c r="N123" i="52"/>
  <c r="H123" i="52"/>
  <c r="J123" i="52" s="1"/>
  <c r="AR121" i="52"/>
  <c r="BA121" i="52" s="1"/>
  <c r="AD121" i="52" s="1"/>
  <c r="AM121" i="52"/>
  <c r="BA120" i="52"/>
  <c r="AR120" i="52"/>
  <c r="AM120" i="52"/>
  <c r="AD120" i="52" s="1"/>
  <c r="AR119" i="52"/>
  <c r="BA119" i="52" s="1"/>
  <c r="AD119" i="52" s="1"/>
  <c r="AM119" i="52"/>
  <c r="BA118" i="52"/>
  <c r="AR118" i="52"/>
  <c r="AM118" i="52"/>
  <c r="AD118" i="52" s="1"/>
  <c r="Z118" i="52"/>
  <c r="W118" i="52"/>
  <c r="V118" i="52"/>
  <c r="O118" i="52"/>
  <c r="U118" i="52" s="1"/>
  <c r="N118" i="52"/>
  <c r="H118" i="52"/>
  <c r="J118" i="52" s="1"/>
  <c r="AR116" i="52"/>
  <c r="BA116" i="52" s="1"/>
  <c r="AD116" i="52" s="1"/>
  <c r="AM116" i="52"/>
  <c r="BA115" i="52"/>
  <c r="AR115" i="52"/>
  <c r="AM115" i="52"/>
  <c r="AD115" i="52" s="1"/>
  <c r="AR114" i="52"/>
  <c r="BA114" i="52" s="1"/>
  <c r="AM114" i="52"/>
  <c r="BA113" i="52"/>
  <c r="AR113" i="52"/>
  <c r="AM113" i="52"/>
  <c r="AD113" i="52" s="1"/>
  <c r="Z113" i="52"/>
  <c r="W113" i="52"/>
  <c r="V113" i="52"/>
  <c r="P113" i="52"/>
  <c r="O113" i="52"/>
  <c r="U113" i="52" s="1"/>
  <c r="N113" i="52"/>
  <c r="K113" i="52"/>
  <c r="H113" i="52"/>
  <c r="J113" i="52" s="1"/>
  <c r="AR111" i="52"/>
  <c r="BA111" i="52" s="1"/>
  <c r="AM111" i="52"/>
  <c r="AD111" i="52" s="1"/>
  <c r="AR110" i="52"/>
  <c r="BA110" i="52" s="1"/>
  <c r="AM110" i="52"/>
  <c r="AR109" i="52"/>
  <c r="BA109" i="52" s="1"/>
  <c r="AM109" i="52"/>
  <c r="BA108" i="52"/>
  <c r="AR108" i="52"/>
  <c r="AM108" i="52"/>
  <c r="AD108" i="52" s="1"/>
  <c r="AR107" i="52"/>
  <c r="BA107" i="52" s="1"/>
  <c r="AM107" i="52"/>
  <c r="AD107" i="52" s="1"/>
  <c r="Z107" i="52"/>
  <c r="W107" i="52"/>
  <c r="O107" i="52"/>
  <c r="P107" i="52" s="1"/>
  <c r="N107" i="52"/>
  <c r="J107" i="52"/>
  <c r="H107" i="52"/>
  <c r="BA105" i="52"/>
  <c r="AR105" i="52"/>
  <c r="AM105" i="52"/>
  <c r="AD105" i="52" s="1"/>
  <c r="AR104" i="52"/>
  <c r="BA104" i="52" s="1"/>
  <c r="AM104" i="52"/>
  <c r="AD104" i="52" s="1"/>
  <c r="BA103" i="52"/>
  <c r="AR103" i="52"/>
  <c r="AM103" i="52"/>
  <c r="AD103" i="52" s="1"/>
  <c r="W103" i="52"/>
  <c r="O103" i="52"/>
  <c r="U103" i="52" s="1"/>
  <c r="N103" i="52"/>
  <c r="M103" i="52"/>
  <c r="T103" i="52" s="1"/>
  <c r="K103" i="52"/>
  <c r="AC103" i="52" s="1"/>
  <c r="H103" i="52"/>
  <c r="J103" i="52" s="1"/>
  <c r="AR101" i="52"/>
  <c r="BA101" i="52" s="1"/>
  <c r="AM101" i="52"/>
  <c r="BA100" i="52"/>
  <c r="AR100" i="52"/>
  <c r="AM100" i="52"/>
  <c r="AD100" i="52" s="1"/>
  <c r="AR99" i="52"/>
  <c r="BA99" i="52" s="1"/>
  <c r="AM99" i="52"/>
  <c r="AD99" i="52" s="1"/>
  <c r="W99" i="52"/>
  <c r="V99" i="52"/>
  <c r="U99" i="52"/>
  <c r="AA99" i="52" s="1"/>
  <c r="P99" i="52"/>
  <c r="O99" i="52"/>
  <c r="T99" i="52" s="1"/>
  <c r="N99" i="52"/>
  <c r="H99" i="52" s="1"/>
  <c r="M99" i="52"/>
  <c r="C99" i="52"/>
  <c r="BA97" i="52"/>
  <c r="AR97" i="52"/>
  <c r="AM97" i="52"/>
  <c r="AD97" i="52" s="1"/>
  <c r="AR96" i="52"/>
  <c r="BA96" i="52" s="1"/>
  <c r="AM96" i="52"/>
  <c r="AD96" i="52" s="1"/>
  <c r="BA95" i="52"/>
  <c r="AR95" i="52"/>
  <c r="AM95" i="52"/>
  <c r="AD95" i="52" s="1"/>
  <c r="W95" i="52"/>
  <c r="O95" i="52"/>
  <c r="U95" i="52" s="1"/>
  <c r="AA95" i="52" s="1"/>
  <c r="N95" i="52"/>
  <c r="V95" i="52" s="1"/>
  <c r="M95" i="52"/>
  <c r="T95" i="52" s="1"/>
  <c r="H95" i="52"/>
  <c r="J95" i="52" s="1"/>
  <c r="AR93" i="52"/>
  <c r="BA93" i="52" s="1"/>
  <c r="AM93" i="52"/>
  <c r="BA92" i="52"/>
  <c r="AR92" i="52"/>
  <c r="AM92" i="52"/>
  <c r="AD92" i="52" s="1"/>
  <c r="AR91" i="52"/>
  <c r="BA91" i="52" s="1"/>
  <c r="AM91" i="52"/>
  <c r="AD91" i="52" s="1"/>
  <c r="W91" i="52"/>
  <c r="V91" i="52"/>
  <c r="T91" i="52"/>
  <c r="P91" i="52"/>
  <c r="O91" i="52"/>
  <c r="U91" i="52" s="1"/>
  <c r="AA91" i="52" s="1"/>
  <c r="N91" i="52"/>
  <c r="H91" i="52"/>
  <c r="K91" i="52" s="1"/>
  <c r="AC91" i="52" s="1"/>
  <c r="C91" i="52"/>
  <c r="AR89" i="52"/>
  <c r="BA89" i="52" s="1"/>
  <c r="AD89" i="52" s="1"/>
  <c r="AM89" i="52"/>
  <c r="AR88" i="52"/>
  <c r="BA88" i="52" s="1"/>
  <c r="AM88" i="52"/>
  <c r="W88" i="52"/>
  <c r="O88" i="52"/>
  <c r="P88" i="52" s="1"/>
  <c r="N88" i="52"/>
  <c r="H88" i="52" s="1"/>
  <c r="M88" i="52"/>
  <c r="AR87" i="52"/>
  <c r="BA87" i="52" s="1"/>
  <c r="AM87" i="52"/>
  <c r="AD87" i="52" s="1"/>
  <c r="Z87" i="52"/>
  <c r="W87" i="52"/>
  <c r="V87" i="52"/>
  <c r="O87" i="52"/>
  <c r="C87" i="52" s="1"/>
  <c r="N87" i="52"/>
  <c r="H87" i="52" s="1"/>
  <c r="M87" i="52"/>
  <c r="W85" i="52"/>
  <c r="W84" i="52"/>
  <c r="O84" i="52"/>
  <c r="U84" i="52" s="1"/>
  <c r="N84" i="52"/>
  <c r="M84" i="52"/>
  <c r="BA83" i="52"/>
  <c r="AR83" i="52"/>
  <c r="AM83" i="52"/>
  <c r="AD83" i="52" s="1"/>
  <c r="W83" i="52"/>
  <c r="O83" i="52"/>
  <c r="U83" i="52" s="1"/>
  <c r="M83" i="52"/>
  <c r="N83" i="52" s="1"/>
  <c r="J83" i="52"/>
  <c r="BA82" i="52"/>
  <c r="AR82" i="52"/>
  <c r="AM82" i="52"/>
  <c r="AD82" i="52" s="1"/>
  <c r="Z82" i="52"/>
  <c r="W82" i="52"/>
  <c r="O82" i="52"/>
  <c r="U82" i="52" s="1"/>
  <c r="N82" i="52"/>
  <c r="M82" i="52"/>
  <c r="J82" i="52"/>
  <c r="AR81" i="52"/>
  <c r="BA81" i="52" s="1"/>
  <c r="AD81" i="52" s="1"/>
  <c r="AM81" i="52"/>
  <c r="W81" i="52"/>
  <c r="V81" i="52"/>
  <c r="O81" i="52"/>
  <c r="P81" i="52" s="1"/>
  <c r="N81" i="52"/>
  <c r="M81" i="52"/>
  <c r="J81" i="52"/>
  <c r="BA79" i="52"/>
  <c r="AR79" i="52"/>
  <c r="AM79" i="52"/>
  <c r="AD79" i="52"/>
  <c r="BA78" i="52"/>
  <c r="AR78" i="52"/>
  <c r="AM78" i="52"/>
  <c r="AD78" i="52" s="1"/>
  <c r="W78" i="52"/>
  <c r="O78" i="52"/>
  <c r="K78" i="52" s="1"/>
  <c r="N78" i="52"/>
  <c r="J78" i="52"/>
  <c r="BA77" i="52"/>
  <c r="AR77" i="52"/>
  <c r="AM77" i="52"/>
  <c r="AD77" i="52"/>
  <c r="Z77" i="52"/>
  <c r="W77" i="52"/>
  <c r="O77" i="52"/>
  <c r="T77" i="52" s="1"/>
  <c r="N77" i="52"/>
  <c r="AR75" i="52"/>
  <c r="BA75" i="52" s="1"/>
  <c r="AD75" i="52" s="1"/>
  <c r="AM75" i="52"/>
  <c r="BA74" i="52"/>
  <c r="AR74" i="52"/>
  <c r="AM74" i="52"/>
  <c r="AD74" i="52"/>
  <c r="AC74" i="52"/>
  <c r="BA73" i="52"/>
  <c r="AR73" i="52"/>
  <c r="AM73" i="52"/>
  <c r="AD73" i="52"/>
  <c r="Z73" i="52"/>
  <c r="W73" i="52"/>
  <c r="O73" i="52"/>
  <c r="K73" i="52" s="1"/>
  <c r="N73" i="52"/>
  <c r="H73" i="52"/>
  <c r="J73" i="52" s="1"/>
  <c r="BA71" i="52"/>
  <c r="AR71" i="52"/>
  <c r="AM71" i="52"/>
  <c r="AD71" i="52" s="1"/>
  <c r="BA70" i="52"/>
  <c r="AR70" i="52"/>
  <c r="AM70" i="52"/>
  <c r="AD70" i="52"/>
  <c r="W70" i="52"/>
  <c r="T70" i="52"/>
  <c r="O70" i="52"/>
  <c r="U70" i="52" s="1"/>
  <c r="N70" i="52"/>
  <c r="H70" i="52"/>
  <c r="K70" i="52" s="1"/>
  <c r="BA69" i="52"/>
  <c r="AR69" i="52"/>
  <c r="AM69" i="52"/>
  <c r="AD69" i="52"/>
  <c r="W69" i="52"/>
  <c r="P69" i="52"/>
  <c r="O69" i="52"/>
  <c r="N69" i="52"/>
  <c r="V69" i="52" s="1"/>
  <c r="M69" i="52"/>
  <c r="U69" i="52" s="1"/>
  <c r="C69" i="52"/>
  <c r="BA67" i="52"/>
  <c r="AR67" i="52"/>
  <c r="AM67" i="52"/>
  <c r="AD67" i="52" s="1"/>
  <c r="BA66" i="52"/>
  <c r="AD66" i="52" s="1"/>
  <c r="AR66" i="52"/>
  <c r="AM66" i="52"/>
  <c r="W66" i="52"/>
  <c r="Q66" i="52"/>
  <c r="O66" i="52"/>
  <c r="U66" i="52" s="1"/>
  <c r="N66" i="52"/>
  <c r="M66" i="52"/>
  <c r="H66" i="52"/>
  <c r="J66" i="52" s="1"/>
  <c r="AR65" i="52"/>
  <c r="BA65" i="52" s="1"/>
  <c r="AM65" i="52"/>
  <c r="AD65" i="52" s="1"/>
  <c r="W65" i="52"/>
  <c r="P65" i="52"/>
  <c r="O65" i="52"/>
  <c r="U65" i="52" s="1"/>
  <c r="N65" i="52"/>
  <c r="AR63" i="52"/>
  <c r="BA63" i="52" s="1"/>
  <c r="AD63" i="52" s="1"/>
  <c r="AM63" i="52"/>
  <c r="W63" i="52"/>
  <c r="O63" i="52"/>
  <c r="U63" i="52" s="1"/>
  <c r="N63" i="52"/>
  <c r="V63" i="52" s="1"/>
  <c r="BA62" i="52"/>
  <c r="AR62" i="52"/>
  <c r="AM62" i="52"/>
  <c r="AD62" i="52" s="1"/>
  <c r="W62" i="52"/>
  <c r="S62" i="52"/>
  <c r="S136" i="52" s="1"/>
  <c r="O62" i="52"/>
  <c r="U62" i="52" s="1"/>
  <c r="N62" i="52"/>
  <c r="BA61" i="52"/>
  <c r="AR61" i="52"/>
  <c r="AM61" i="52"/>
  <c r="AD61" i="52" s="1"/>
  <c r="Z61" i="52"/>
  <c r="W61" i="52"/>
  <c r="V61" i="52"/>
  <c r="U61" i="52"/>
  <c r="T61" i="52"/>
  <c r="O61" i="52"/>
  <c r="P61" i="52" s="1"/>
  <c r="N61" i="52"/>
  <c r="H61" i="52"/>
  <c r="K61" i="52" s="1"/>
  <c r="AC61" i="52" s="1"/>
  <c r="BA59" i="52"/>
  <c r="AD59" i="52" s="1"/>
  <c r="AR59" i="52"/>
  <c r="AM59" i="52"/>
  <c r="BA58" i="52"/>
  <c r="AR58" i="52"/>
  <c r="AM58" i="52"/>
  <c r="AD58" i="52" s="1"/>
  <c r="W58" i="52"/>
  <c r="AR57" i="52"/>
  <c r="BA57" i="52" s="1"/>
  <c r="AM57" i="52"/>
  <c r="W57" i="52"/>
  <c r="O57" i="52"/>
  <c r="N57" i="52"/>
  <c r="BA55" i="52"/>
  <c r="AR55" i="52"/>
  <c r="AM55" i="52"/>
  <c r="AD55" i="52" s="1"/>
  <c r="BA54" i="52"/>
  <c r="AD54" i="52" s="1"/>
  <c r="AR54" i="52"/>
  <c r="AM54" i="52"/>
  <c r="W54" i="52"/>
  <c r="T54" i="52"/>
  <c r="O54" i="52"/>
  <c r="P54" i="52" s="1"/>
  <c r="N54" i="52"/>
  <c r="H54" i="52" s="1"/>
  <c r="M54" i="52"/>
  <c r="C54" i="52"/>
  <c r="AR53" i="52"/>
  <c r="BA53" i="52" s="1"/>
  <c r="AM53" i="52"/>
  <c r="W53" i="52"/>
  <c r="O53" i="52"/>
  <c r="P53" i="52" s="1"/>
  <c r="M53" i="52"/>
  <c r="N53" i="52" s="1"/>
  <c r="AR51" i="52"/>
  <c r="BA51" i="52" s="1"/>
  <c r="AD51" i="52" s="1"/>
  <c r="AM51" i="52"/>
  <c r="AR50" i="52"/>
  <c r="BA50" i="52" s="1"/>
  <c r="AM50" i="52"/>
  <c r="AR49" i="52"/>
  <c r="BA49" i="52" s="1"/>
  <c r="AD49" i="52" s="1"/>
  <c r="AM49" i="52"/>
  <c r="W49" i="52"/>
  <c r="P49" i="52"/>
  <c r="O49" i="52"/>
  <c r="U49" i="52" s="1"/>
  <c r="N49" i="52"/>
  <c r="V49" i="52" s="1"/>
  <c r="M49" i="52"/>
  <c r="T49" i="52" s="1"/>
  <c r="BA48" i="52"/>
  <c r="AR48" i="52"/>
  <c r="AM48" i="52"/>
  <c r="AD48" i="52" s="1"/>
  <c r="Z48" i="52"/>
  <c r="W48" i="52"/>
  <c r="O48" i="52"/>
  <c r="P48" i="52" s="1"/>
  <c r="M48" i="52"/>
  <c r="BA46" i="52"/>
  <c r="AR46" i="52"/>
  <c r="AM46" i="52"/>
  <c r="AD46" i="52"/>
  <c r="W46" i="52"/>
  <c r="O46" i="52"/>
  <c r="P46" i="52" s="1"/>
  <c r="M46" i="52"/>
  <c r="BA45" i="52"/>
  <c r="AD45" i="52" s="1"/>
  <c r="AR45" i="52"/>
  <c r="AM45" i="52"/>
  <c r="W45" i="52"/>
  <c r="O45" i="52"/>
  <c r="U45" i="52" s="1"/>
  <c r="N45" i="52"/>
  <c r="BA44" i="52"/>
  <c r="AR44" i="52"/>
  <c r="AM44" i="52"/>
  <c r="AD44" i="52"/>
  <c r="Z44" i="52"/>
  <c r="W44" i="52"/>
  <c r="O44" i="52"/>
  <c r="C44" i="52" s="1"/>
  <c r="N44" i="52"/>
  <c r="AR42" i="52"/>
  <c r="BA42" i="52" s="1"/>
  <c r="AD42" i="52" s="1"/>
  <c r="AM42" i="52"/>
  <c r="W42" i="52"/>
  <c r="BA41" i="52"/>
  <c r="AD41" i="52" s="1"/>
  <c r="AR41" i="52"/>
  <c r="AM41" i="52"/>
  <c r="W41" i="52"/>
  <c r="O41" i="52"/>
  <c r="P41" i="52" s="1"/>
  <c r="M41" i="52"/>
  <c r="AR40" i="52"/>
  <c r="BA40" i="52" s="1"/>
  <c r="AM40" i="52"/>
  <c r="AD40" i="52" s="1"/>
  <c r="W40" i="52"/>
  <c r="U40" i="52"/>
  <c r="O40" i="52"/>
  <c r="P40" i="52" s="1"/>
  <c r="M40" i="52"/>
  <c r="C40" i="52" s="1"/>
  <c r="AR38" i="52"/>
  <c r="BA38" i="52" s="1"/>
  <c r="AM38" i="52"/>
  <c r="AD38" i="52" s="1"/>
  <c r="W38" i="52"/>
  <c r="U38" i="52"/>
  <c r="P38" i="52"/>
  <c r="O38" i="52"/>
  <c r="N38" i="52"/>
  <c r="V38" i="52" s="1"/>
  <c r="M38" i="52"/>
  <c r="T38" i="52" s="1"/>
  <c r="BA37" i="52"/>
  <c r="AD37" i="52" s="1"/>
  <c r="AR37" i="52"/>
  <c r="AM37" i="52"/>
  <c r="W37" i="52"/>
  <c r="P37" i="52"/>
  <c r="O37" i="52"/>
  <c r="M37" i="52"/>
  <c r="U37" i="52" s="1"/>
  <c r="BA36" i="52"/>
  <c r="AR36" i="52"/>
  <c r="AM36" i="52"/>
  <c r="AD36" i="52"/>
  <c r="W36" i="52"/>
  <c r="O36" i="52"/>
  <c r="T36" i="52" s="1"/>
  <c r="M36" i="52"/>
  <c r="N36" i="52" s="1"/>
  <c r="BA34" i="52"/>
  <c r="AR34" i="52"/>
  <c r="AM34" i="52"/>
  <c r="AD34" i="52"/>
  <c r="BA33" i="52"/>
  <c r="AR33" i="52"/>
  <c r="AM33" i="52"/>
  <c r="AD33" i="52"/>
  <c r="BA32" i="52"/>
  <c r="AR32" i="52"/>
  <c r="AM32" i="52"/>
  <c r="AD32" i="52"/>
  <c r="W32" i="52"/>
  <c r="U32" i="52"/>
  <c r="AA32" i="52" s="1"/>
  <c r="T32" i="52"/>
  <c r="O32" i="52"/>
  <c r="P32" i="52" s="1"/>
  <c r="N32" i="52"/>
  <c r="V32" i="52" s="1"/>
  <c r="C32" i="52"/>
  <c r="BA30" i="52"/>
  <c r="AD30" i="52" s="1"/>
  <c r="AR30" i="52"/>
  <c r="AM30" i="52"/>
  <c r="BA29" i="52"/>
  <c r="AD29" i="52" s="1"/>
  <c r="AR29" i="52"/>
  <c r="AM29" i="52"/>
  <c r="BA28" i="52"/>
  <c r="AD28" i="52" s="1"/>
  <c r="AR28" i="52"/>
  <c r="AM28" i="52"/>
  <c r="W28" i="52"/>
  <c r="X28" i="52" s="1"/>
  <c r="T28" i="52"/>
  <c r="P28" i="52"/>
  <c r="O28" i="52"/>
  <c r="V28" i="52" s="1"/>
  <c r="N28" i="52"/>
  <c r="J28" i="52"/>
  <c r="H28" i="52"/>
  <c r="K28" i="52" s="1"/>
  <c r="AR26" i="52"/>
  <c r="BA26" i="52" s="1"/>
  <c r="AM26" i="52"/>
  <c r="AR25" i="52"/>
  <c r="BA25" i="52" s="1"/>
  <c r="AM25" i="52"/>
  <c r="AR24" i="52"/>
  <c r="BA24" i="52" s="1"/>
  <c r="AM24" i="52"/>
  <c r="Z24" i="52"/>
  <c r="W24" i="52"/>
  <c r="O24" i="52"/>
  <c r="T24" i="52" s="1"/>
  <c r="N24" i="52"/>
  <c r="J24" i="52"/>
  <c r="H24" i="52"/>
  <c r="AR22" i="52"/>
  <c r="BA22" i="52" s="1"/>
  <c r="AM22" i="52"/>
  <c r="AD22" i="52" s="1"/>
  <c r="W22" i="52"/>
  <c r="BA21" i="52"/>
  <c r="AD21" i="52" s="1"/>
  <c r="AR21" i="52"/>
  <c r="AM21" i="52"/>
  <c r="Z21" i="52"/>
  <c r="W21" i="52"/>
  <c r="U21" i="52"/>
  <c r="O21" i="52"/>
  <c r="P21" i="52" s="1"/>
  <c r="N21" i="52"/>
  <c r="V21" i="52" s="1"/>
  <c r="BA20" i="52"/>
  <c r="AR20" i="52"/>
  <c r="AM20" i="52"/>
  <c r="AD20" i="52"/>
  <c r="W20" i="52"/>
  <c r="U20" i="52"/>
  <c r="T20" i="52"/>
  <c r="P20" i="52"/>
  <c r="O20" i="52"/>
  <c r="N20" i="52"/>
  <c r="V20" i="52" s="1"/>
  <c r="C20" i="52"/>
  <c r="BA18" i="52"/>
  <c r="AD18" i="52" s="1"/>
  <c r="AR18" i="52"/>
  <c r="AM18" i="52"/>
  <c r="BA17" i="52"/>
  <c r="AD17" i="52" s="1"/>
  <c r="AR17" i="52"/>
  <c r="AM17" i="52"/>
  <c r="BA16" i="52"/>
  <c r="AD16" i="52" s="1"/>
  <c r="AR16" i="52"/>
  <c r="AM16" i="52"/>
  <c r="Z16" i="52"/>
  <c r="W16" i="52"/>
  <c r="U16" i="52"/>
  <c r="O16" i="52"/>
  <c r="T16" i="52" s="1"/>
  <c r="N16" i="52"/>
  <c r="BA15" i="52"/>
  <c r="AR15" i="52"/>
  <c r="AM15" i="52"/>
  <c r="AD15" i="52"/>
  <c r="W15" i="52"/>
  <c r="O15" i="52"/>
  <c r="K15" i="52" s="1"/>
  <c r="N15" i="52"/>
  <c r="V15" i="52" s="1"/>
  <c r="J15" i="52"/>
  <c r="C15" i="52"/>
  <c r="AR13" i="52"/>
  <c r="BA13" i="52" s="1"/>
  <c r="AM13" i="52"/>
  <c r="AD13" i="52" s="1"/>
  <c r="W13" i="52"/>
  <c r="BA12" i="52"/>
  <c r="AD12" i="52" s="1"/>
  <c r="AR12" i="52"/>
  <c r="AM12" i="52"/>
  <c r="W12" i="52"/>
  <c r="T12" i="52"/>
  <c r="Q12" i="52"/>
  <c r="Q136" i="52" s="1"/>
  <c r="Q137" i="52" s="1"/>
  <c r="O12" i="52"/>
  <c r="U12" i="52" s="1"/>
  <c r="N12" i="52"/>
  <c r="H12" i="52" s="1"/>
  <c r="C12" i="52"/>
  <c r="BA11" i="52"/>
  <c r="AR11" i="52"/>
  <c r="AM11" i="52"/>
  <c r="AD11" i="52"/>
  <c r="W11" i="52"/>
  <c r="O11" i="52"/>
  <c r="T11" i="52" s="1"/>
  <c r="N11" i="52"/>
  <c r="V11" i="52" s="1"/>
  <c r="C11" i="52"/>
  <c r="BA10" i="52"/>
  <c r="AR10" i="52"/>
  <c r="AM10" i="52"/>
  <c r="AD10" i="52"/>
  <c r="W10" i="52"/>
  <c r="T10" i="52"/>
  <c r="P10" i="52"/>
  <c r="O10" i="52"/>
  <c r="U10" i="52" s="1"/>
  <c r="N10" i="52"/>
  <c r="V10" i="52" s="1"/>
  <c r="C10" i="52"/>
  <c r="BA8" i="52"/>
  <c r="AD8" i="52" s="1"/>
  <c r="AR8" i="52"/>
  <c r="AM8" i="52"/>
  <c r="BA7" i="52"/>
  <c r="AD7" i="52" s="1"/>
  <c r="AR7" i="52"/>
  <c r="AM7" i="52"/>
  <c r="W7" i="52"/>
  <c r="U7" i="52"/>
  <c r="T7" i="52"/>
  <c r="P7" i="52"/>
  <c r="O7" i="52"/>
  <c r="N7" i="52"/>
  <c r="V7" i="52" s="1"/>
  <c r="C7" i="52"/>
  <c r="BA6" i="52"/>
  <c r="AR6" i="52"/>
  <c r="AM6" i="52"/>
  <c r="W6" i="52"/>
  <c r="P6" i="52"/>
  <c r="O6" i="52"/>
  <c r="V6" i="52" s="1"/>
  <c r="N6" i="52"/>
  <c r="J6" i="52"/>
  <c r="H6" i="52"/>
  <c r="A6" i="52"/>
  <c r="AD110" i="52" l="1"/>
  <c r="C82" i="52"/>
  <c r="V82" i="52"/>
  <c r="X103" i="52"/>
  <c r="P15" i="52"/>
  <c r="C16" i="52"/>
  <c r="P44" i="52"/>
  <c r="U54" i="52"/>
  <c r="V70" i="52"/>
  <c r="U81" i="52"/>
  <c r="AA81" i="52" s="1"/>
  <c r="P84" i="52"/>
  <c r="P87" i="52"/>
  <c r="C88" i="52"/>
  <c r="K107" i="52"/>
  <c r="AA118" i="52"/>
  <c r="K123" i="52"/>
  <c r="X123" i="52" s="1"/>
  <c r="U11" i="52"/>
  <c r="T15" i="52"/>
  <c r="AC15" i="52" s="1"/>
  <c r="V16" i="52"/>
  <c r="K24" i="52"/>
  <c r="AC24" i="52" s="1"/>
  <c r="T44" i="52"/>
  <c r="C45" i="52"/>
  <c r="V54" i="52"/>
  <c r="V62" i="52"/>
  <c r="T66" i="52"/>
  <c r="C77" i="52"/>
  <c r="K81" i="52"/>
  <c r="T84" i="52"/>
  <c r="T87" i="52"/>
  <c r="U88" i="52"/>
  <c r="P118" i="52"/>
  <c r="V123" i="52"/>
  <c r="P127" i="52"/>
  <c r="T131" i="52"/>
  <c r="W136" i="52"/>
  <c r="J36" i="1" s="1"/>
  <c r="U15" i="52"/>
  <c r="AA15" i="52" s="1"/>
  <c r="C21" i="52"/>
  <c r="C36" i="52"/>
  <c r="C41" i="52"/>
  <c r="U44" i="52"/>
  <c r="V66" i="52"/>
  <c r="V77" i="52"/>
  <c r="K82" i="52"/>
  <c r="AC82" i="52" s="1"/>
  <c r="U87" i="52"/>
  <c r="T41" i="52"/>
  <c r="P45" i="52"/>
  <c r="K66" i="52"/>
  <c r="AC66" i="52" s="1"/>
  <c r="AC70" i="52"/>
  <c r="P77" i="52"/>
  <c r="P82" i="52"/>
  <c r="C84" i="52"/>
  <c r="T88" i="52"/>
  <c r="T107" i="52"/>
  <c r="P24" i="52"/>
  <c r="K6" i="52"/>
  <c r="Z136" i="52"/>
  <c r="T21" i="52"/>
  <c r="V24" i="52"/>
  <c r="P36" i="52"/>
  <c r="T40" i="52"/>
  <c r="U41" i="52"/>
  <c r="T45" i="52"/>
  <c r="K54" i="52"/>
  <c r="AC54" i="52" s="1"/>
  <c r="C61" i="52"/>
  <c r="V65" i="52"/>
  <c r="C66" i="52"/>
  <c r="U77" i="52"/>
  <c r="T82" i="52"/>
  <c r="V88" i="52"/>
  <c r="K95" i="52"/>
  <c r="AC95" i="52" s="1"/>
  <c r="V103" i="52"/>
  <c r="X107" i="52"/>
  <c r="C131" i="52"/>
  <c r="AA20" i="52"/>
  <c r="X24" i="52"/>
  <c r="AC28" i="52"/>
  <c r="AA40" i="52"/>
  <c r="AA65" i="52"/>
  <c r="V84" i="52"/>
  <c r="AA103" i="52"/>
  <c r="AA113" i="52"/>
  <c r="K118" i="52"/>
  <c r="K127" i="52"/>
  <c r="AC127" i="52" s="1"/>
  <c r="V36" i="52"/>
  <c r="H36" i="52"/>
  <c r="AD26" i="52"/>
  <c r="AA10" i="52"/>
  <c r="K12" i="52"/>
  <c r="AC12" i="52" s="1"/>
  <c r="J12" i="52"/>
  <c r="AD24" i="52"/>
  <c r="AD25" i="52"/>
  <c r="BA136" i="52"/>
  <c r="H7" i="52"/>
  <c r="V12" i="52"/>
  <c r="H20" i="52"/>
  <c r="C24" i="52"/>
  <c r="U24" i="52"/>
  <c r="AA24" i="52" s="1"/>
  <c r="AB24" i="52" s="1"/>
  <c r="H32" i="52"/>
  <c r="N40" i="52"/>
  <c r="N41" i="52"/>
  <c r="V53" i="52"/>
  <c r="H53" i="52"/>
  <c r="S137" i="52"/>
  <c r="S138" i="52"/>
  <c r="AA69" i="52"/>
  <c r="X73" i="52"/>
  <c r="X91" i="52"/>
  <c r="Y138" i="52"/>
  <c r="Z138" i="52"/>
  <c r="U46" i="52"/>
  <c r="T46" i="52"/>
  <c r="C46" i="52"/>
  <c r="N46" i="52"/>
  <c r="AD57" i="52"/>
  <c r="AB91" i="52"/>
  <c r="K99" i="52"/>
  <c r="AC99" i="52" s="1"/>
  <c r="J99" i="52"/>
  <c r="AD109" i="52"/>
  <c r="AD6" i="52"/>
  <c r="H21" i="52"/>
  <c r="U36" i="52"/>
  <c r="AA36" i="52" s="1"/>
  <c r="N37" i="52"/>
  <c r="V44" i="52"/>
  <c r="H44" i="52"/>
  <c r="U48" i="52"/>
  <c r="AA48" i="52" s="1"/>
  <c r="T48" i="52"/>
  <c r="C48" i="52"/>
  <c r="N48" i="52"/>
  <c r="K83" i="52"/>
  <c r="V83" i="52"/>
  <c r="K87" i="52"/>
  <c r="AC87" i="52" s="1"/>
  <c r="J87" i="52"/>
  <c r="AB103" i="52"/>
  <c r="AD114" i="52"/>
  <c r="AD133" i="52"/>
  <c r="BB138" i="52"/>
  <c r="T6" i="52"/>
  <c r="AC6" i="52" s="1"/>
  <c r="C6" i="52"/>
  <c r="U6" i="52"/>
  <c r="AM136" i="52"/>
  <c r="H10" i="52"/>
  <c r="P11" i="52"/>
  <c r="P12" i="52"/>
  <c r="P16" i="52"/>
  <c r="C28" i="52"/>
  <c r="U28" i="52"/>
  <c r="AA28" i="52" s="1"/>
  <c r="AB28" i="52" s="1"/>
  <c r="V45" i="52"/>
  <c r="H45" i="52"/>
  <c r="AD50" i="52"/>
  <c r="AD53" i="52"/>
  <c r="AD88" i="52"/>
  <c r="BC138" i="52"/>
  <c r="AR136" i="52"/>
  <c r="V57" i="52"/>
  <c r="AB95" i="52"/>
  <c r="AD101" i="52"/>
  <c r="BD138" i="52"/>
  <c r="X141" i="52"/>
  <c r="W138" i="52"/>
  <c r="C37" i="52"/>
  <c r="T37" i="52"/>
  <c r="U57" i="52"/>
  <c r="AA57" i="52" s="1"/>
  <c r="C57" i="52"/>
  <c r="T57" i="52"/>
  <c r="P57" i="52"/>
  <c r="BE138" i="52"/>
  <c r="H11" i="52"/>
  <c r="H16" i="52"/>
  <c r="H38" i="52"/>
  <c r="AA44" i="52"/>
  <c r="J54" i="52"/>
  <c r="AA61" i="52"/>
  <c r="AA87" i="52"/>
  <c r="K88" i="52"/>
  <c r="J88" i="52"/>
  <c r="AD93" i="52"/>
  <c r="AB99" i="52"/>
  <c r="AB127" i="52"/>
  <c r="R137" i="52"/>
  <c r="BF138" i="52"/>
  <c r="X113" i="52"/>
  <c r="X118" i="52"/>
  <c r="T132" i="52"/>
  <c r="C49" i="52"/>
  <c r="J61" i="52"/>
  <c r="P62" i="52"/>
  <c r="P63" i="52"/>
  <c r="T65" i="52"/>
  <c r="J70" i="52"/>
  <c r="P73" i="52"/>
  <c r="H77" i="52"/>
  <c r="P78" i="52"/>
  <c r="P83" i="52"/>
  <c r="C107" i="52"/>
  <c r="U107" i="52"/>
  <c r="AA107" i="52" s="1"/>
  <c r="C132" i="52"/>
  <c r="U132" i="52"/>
  <c r="AA131" i="52" s="1"/>
  <c r="H49" i="52"/>
  <c r="C53" i="52"/>
  <c r="T53" i="52"/>
  <c r="T63" i="52"/>
  <c r="C65" i="52"/>
  <c r="T73" i="52"/>
  <c r="AC73" i="52" s="1"/>
  <c r="T78" i="52"/>
  <c r="AC78" i="52" s="1"/>
  <c r="T83" i="52"/>
  <c r="V107" i="52"/>
  <c r="P131" i="52"/>
  <c r="V132" i="52"/>
  <c r="U53" i="52"/>
  <c r="AA53" i="52" s="1"/>
  <c r="C62" i="52"/>
  <c r="T62" i="52"/>
  <c r="C63" i="52"/>
  <c r="H65" i="52"/>
  <c r="T69" i="52"/>
  <c r="C73" i="52"/>
  <c r="U73" i="52"/>
  <c r="AA73" i="52" s="1"/>
  <c r="U78" i="52"/>
  <c r="AA77" i="52" s="1"/>
  <c r="C83" i="52"/>
  <c r="X127" i="52"/>
  <c r="R138" i="52"/>
  <c r="H57" i="52"/>
  <c r="H62" i="52"/>
  <c r="H63" i="52"/>
  <c r="P66" i="52"/>
  <c r="H69" i="52"/>
  <c r="V73" i="52"/>
  <c r="C78" i="52"/>
  <c r="V78" i="52"/>
  <c r="H84" i="52"/>
  <c r="J91" i="52"/>
  <c r="P95" i="52"/>
  <c r="P103" i="52"/>
  <c r="T113" i="52"/>
  <c r="AC113" i="52" s="1"/>
  <c r="AB113" i="52" s="1"/>
  <c r="T118" i="52"/>
  <c r="AC118" i="52" s="1"/>
  <c r="AB118" i="52" s="1"/>
  <c r="T123" i="52"/>
  <c r="AC123" i="52" s="1"/>
  <c r="AB123" i="52" s="1"/>
  <c r="H131" i="52"/>
  <c r="K132" i="52"/>
  <c r="AC132" i="52" s="1"/>
  <c r="C38" i="52"/>
  <c r="P70" i="52"/>
  <c r="C95" i="52"/>
  <c r="C103" i="52"/>
  <c r="C113" i="52"/>
  <c r="C118" i="52"/>
  <c r="C123" i="52"/>
  <c r="T81" i="52"/>
  <c r="AC81" i="52" s="1"/>
  <c r="C70" i="52"/>
  <c r="C81" i="52"/>
  <c r="AB87" i="52" l="1"/>
  <c r="X99" i="52"/>
  <c r="X95" i="52"/>
  <c r="AC107" i="52"/>
  <c r="AB107" i="52"/>
  <c r="P136" i="52"/>
  <c r="O136" i="52" s="1"/>
  <c r="Q38" i="1" s="1"/>
  <c r="K63" i="52"/>
  <c r="J63" i="52"/>
  <c r="K77" i="52"/>
  <c r="J77" i="52"/>
  <c r="U136" i="52"/>
  <c r="X139" i="52" s="1"/>
  <c r="AA6" i="52"/>
  <c r="K32" i="52"/>
  <c r="J32" i="52"/>
  <c r="K62" i="52"/>
  <c r="J62" i="52"/>
  <c r="K49" i="52"/>
  <c r="AC49" i="52" s="1"/>
  <c r="J49" i="52"/>
  <c r="C136" i="52"/>
  <c r="H48" i="52"/>
  <c r="V48" i="52"/>
  <c r="K21" i="52"/>
  <c r="AC21" i="52" s="1"/>
  <c r="J21" i="52"/>
  <c r="K57" i="52"/>
  <c r="J57" i="52"/>
  <c r="T136" i="52"/>
  <c r="AD136" i="52"/>
  <c r="H46" i="52"/>
  <c r="V46" i="52"/>
  <c r="K131" i="52"/>
  <c r="J131" i="52"/>
  <c r="K16" i="52"/>
  <c r="J16" i="52"/>
  <c r="K20" i="52"/>
  <c r="J20" i="52"/>
  <c r="K11" i="52"/>
  <c r="AC11" i="52" s="1"/>
  <c r="J11" i="52"/>
  <c r="K53" i="52"/>
  <c r="J53" i="52"/>
  <c r="K84" i="52"/>
  <c r="AC84" i="52" s="1"/>
  <c r="J84" i="52"/>
  <c r="K65" i="52"/>
  <c r="J65" i="52"/>
  <c r="K38" i="52"/>
  <c r="AC38" i="52" s="1"/>
  <c r="J38" i="52"/>
  <c r="K44" i="52"/>
  <c r="J44" i="52"/>
  <c r="K7" i="52"/>
  <c r="J7" i="52"/>
  <c r="AC83" i="52"/>
  <c r="X81" i="52"/>
  <c r="K69" i="52"/>
  <c r="J69" i="52"/>
  <c r="J10" i="52"/>
  <c r="K10" i="52"/>
  <c r="H41" i="52"/>
  <c r="V41" i="52"/>
  <c r="K36" i="52"/>
  <c r="J36" i="52"/>
  <c r="AB73" i="52"/>
  <c r="AB61" i="52"/>
  <c r="K45" i="52"/>
  <c r="AC45" i="52" s="1"/>
  <c r="J45" i="52"/>
  <c r="H37" i="52"/>
  <c r="V37" i="52"/>
  <c r="X87" i="52"/>
  <c r="H40" i="52"/>
  <c r="V40" i="52"/>
  <c r="V136" i="52" l="1"/>
  <c r="K37" i="52"/>
  <c r="AC37" i="52" s="1"/>
  <c r="J37" i="52"/>
  <c r="AC65" i="52"/>
  <c r="X65" i="52"/>
  <c r="AB65" i="52"/>
  <c r="K48" i="52"/>
  <c r="J48" i="52"/>
  <c r="K41" i="52"/>
  <c r="AC41" i="52" s="1"/>
  <c r="J41" i="52"/>
  <c r="AC20" i="52"/>
  <c r="X20" i="52"/>
  <c r="AB20" i="52"/>
  <c r="X10" i="52"/>
  <c r="AC10" i="52"/>
  <c r="AB10" i="52" s="1"/>
  <c r="AC7" i="52"/>
  <c r="X6" i="52"/>
  <c r="AC32" i="52"/>
  <c r="X32" i="52"/>
  <c r="AB32" i="52"/>
  <c r="AC16" i="52"/>
  <c r="AB15" i="52" s="1"/>
  <c r="X15" i="52"/>
  <c r="X57" i="52"/>
  <c r="AC57" i="52"/>
  <c r="K40" i="52"/>
  <c r="J40" i="52"/>
  <c r="AC44" i="52"/>
  <c r="X53" i="52"/>
  <c r="AC53" i="52"/>
  <c r="AB53" i="52" s="1"/>
  <c r="AA136" i="52"/>
  <c r="N36" i="1" s="1"/>
  <c r="AB6" i="52"/>
  <c r="AB81" i="52"/>
  <c r="AC131" i="52"/>
  <c r="AB131" i="52" s="1"/>
  <c r="X131" i="52"/>
  <c r="AC69" i="52"/>
  <c r="AB69" i="52" s="1"/>
  <c r="X69" i="52"/>
  <c r="X61" i="52"/>
  <c r="AC36" i="52"/>
  <c r="J46" i="52"/>
  <c r="K46" i="52"/>
  <c r="AB44" i="52" s="1"/>
  <c r="AB57" i="52"/>
  <c r="AC77" i="52"/>
  <c r="AB77" i="52" s="1"/>
  <c r="X77" i="52"/>
  <c r="X44" i="52" l="1"/>
  <c r="AC48" i="52"/>
  <c r="X48" i="52"/>
  <c r="AB48" i="52"/>
  <c r="AC40" i="52"/>
  <c r="AC136" i="52" s="1"/>
  <c r="AC137" i="52" s="1"/>
  <c r="X146" i="52" s="1"/>
  <c r="X40" i="52"/>
  <c r="AB40" i="52"/>
  <c r="X36" i="52"/>
  <c r="K136" i="52"/>
  <c r="AB36" i="52"/>
  <c r="AB136" i="52" l="1"/>
  <c r="AA137" i="52"/>
  <c r="X147" i="52" s="1"/>
  <c r="K36" i="1"/>
  <c r="Z137" i="52"/>
  <c r="X145" i="52" s="1"/>
  <c r="Y137" i="52"/>
  <c r="X144" i="52" s="1"/>
  <c r="X136" i="52"/>
  <c r="V137" i="52"/>
  <c r="AB137" i="52" l="1"/>
  <c r="X148" i="52" s="1"/>
  <c r="O36" i="1"/>
  <c r="AR137" i="52"/>
  <c r="AM137" i="52"/>
  <c r="AN137" i="52"/>
  <c r="X156" i="52" s="1"/>
  <c r="AG137" i="52"/>
  <c r="X150" i="52" s="1"/>
  <c r="BA137" i="52"/>
  <c r="AW137" i="52"/>
  <c r="X163" i="52" s="1"/>
  <c r="AT137" i="52"/>
  <c r="X161" i="52" s="1"/>
  <c r="AQ137" i="52"/>
  <c r="X159" i="52" s="1"/>
  <c r="AX137" i="52"/>
  <c r="AP137" i="52"/>
  <c r="X158" i="52" s="1"/>
  <c r="AU137" i="52"/>
  <c r="X162" i="52" s="1"/>
  <c r="AY137" i="52"/>
  <c r="AS137" i="52"/>
  <c r="X160" i="52" s="1"/>
  <c r="AF137" i="52"/>
  <c r="X149" i="52" s="1"/>
  <c r="AK137" i="52"/>
  <c r="X154" i="52" s="1"/>
  <c r="AZ137" i="52"/>
  <c r="X166" i="52" s="1"/>
  <c r="AL137" i="52"/>
  <c r="X155" i="52" s="1"/>
  <c r="AV137" i="52"/>
  <c r="X164" i="52" s="1"/>
  <c r="AH137" i="52"/>
  <c r="X151" i="52" s="1"/>
  <c r="AJ137" i="52"/>
  <c r="X153" i="52" s="1"/>
  <c r="AI137" i="52"/>
  <c r="X152" i="52" s="1"/>
  <c r="AO137" i="52"/>
  <c r="X157" i="52" s="1"/>
  <c r="X165" i="52" l="1"/>
  <c r="X167" i="52" s="1"/>
  <c r="X169" i="52" s="1"/>
  <c r="F29" i="1" l="1"/>
  <c r="Q31" i="1" l="1"/>
  <c r="O29" i="1"/>
  <c r="N29" i="1"/>
  <c r="K29" i="1"/>
  <c r="J29" i="1"/>
  <c r="AJ27" i="1"/>
  <c r="AG27" i="1"/>
  <c r="AF27" i="1"/>
  <c r="AD27" i="1"/>
  <c r="AC27" i="1"/>
  <c r="AA27" i="1"/>
  <c r="Z27" i="1"/>
  <c r="X27" i="1"/>
  <c r="W27" i="1"/>
  <c r="U27" i="1"/>
  <c r="T27" i="1"/>
  <c r="X194" i="36"/>
  <c r="AX166" i="36"/>
  <c r="BF164" i="36"/>
  <c r="BE164" i="36"/>
  <c r="BD164" i="36"/>
  <c r="BC164" i="36"/>
  <c r="BB164" i="36"/>
  <c r="AZ164" i="36"/>
  <c r="AY164" i="36"/>
  <c r="AX164" i="36"/>
  <c r="AW164" i="36"/>
  <c r="AV164" i="36"/>
  <c r="AU164" i="36"/>
  <c r="AT164" i="36"/>
  <c r="AS164" i="36"/>
  <c r="AQ164" i="36"/>
  <c r="AP164" i="36"/>
  <c r="AO164" i="36"/>
  <c r="AN164" i="36"/>
  <c r="AL164" i="36"/>
  <c r="AK164" i="36"/>
  <c r="AJ164" i="36"/>
  <c r="AI164" i="36"/>
  <c r="AH164" i="36"/>
  <c r="AG164" i="36"/>
  <c r="AF164" i="36"/>
  <c r="AR163" i="36"/>
  <c r="AM163" i="36"/>
  <c r="AC163" i="36"/>
  <c r="AA163" i="36"/>
  <c r="AR161" i="36"/>
  <c r="BA161" i="36" s="1"/>
  <c r="AD161" i="36" s="1"/>
  <c r="AM161" i="36"/>
  <c r="AR160" i="36"/>
  <c r="BA160" i="36" s="1"/>
  <c r="AD160" i="36" s="1"/>
  <c r="AM160" i="36"/>
  <c r="AR159" i="36"/>
  <c r="BA159" i="36" s="1"/>
  <c r="AM159" i="36"/>
  <c r="AD159" i="36" s="1"/>
  <c r="Z159" i="36"/>
  <c r="W159" i="36"/>
  <c r="O159" i="36"/>
  <c r="V159" i="36" s="1"/>
  <c r="N159" i="36"/>
  <c r="K159" i="36"/>
  <c r="J159" i="36"/>
  <c r="H159" i="36"/>
  <c r="BA158" i="36"/>
  <c r="AR158" i="36"/>
  <c r="AM158" i="36"/>
  <c r="AD158" i="36" s="1"/>
  <c r="Y158" i="36"/>
  <c r="W158" i="36"/>
  <c r="T158" i="36"/>
  <c r="P158" i="36"/>
  <c r="O158" i="36"/>
  <c r="U158" i="36" s="1"/>
  <c r="N158" i="36"/>
  <c r="V158" i="36" s="1"/>
  <c r="BA156" i="36"/>
  <c r="AD156" i="36" s="1"/>
  <c r="AR156" i="36"/>
  <c r="AM156" i="36"/>
  <c r="AR155" i="36"/>
  <c r="BA155" i="36" s="1"/>
  <c r="AM155" i="36"/>
  <c r="BA154" i="36"/>
  <c r="AD154" i="36" s="1"/>
  <c r="AR154" i="36"/>
  <c r="AM154" i="36"/>
  <c r="AC154" i="36"/>
  <c r="Z154" i="36"/>
  <c r="BA153" i="36"/>
  <c r="AR153" i="36"/>
  <c r="AM153" i="36"/>
  <c r="AD153" i="36" s="1"/>
  <c r="Y153" i="36"/>
  <c r="W153" i="36"/>
  <c r="V153" i="36"/>
  <c r="U153" i="36"/>
  <c r="AA153" i="36" s="1"/>
  <c r="P153" i="36"/>
  <c r="O153" i="36"/>
  <c r="T153" i="36" s="1"/>
  <c r="N153" i="36"/>
  <c r="H153" i="36"/>
  <c r="K153" i="36" s="1"/>
  <c r="C153" i="36"/>
  <c r="AR151" i="36"/>
  <c r="BA151" i="36" s="1"/>
  <c r="AD151" i="36" s="1"/>
  <c r="AM151" i="36"/>
  <c r="BA150" i="36"/>
  <c r="AR150" i="36"/>
  <c r="AM150" i="36"/>
  <c r="AD150" i="36" s="1"/>
  <c r="AR149" i="36"/>
  <c r="BA149" i="36" s="1"/>
  <c r="AD149" i="36" s="1"/>
  <c r="AM149" i="36"/>
  <c r="AC149" i="36"/>
  <c r="Z149" i="36"/>
  <c r="BA148" i="36"/>
  <c r="AD148" i="36" s="1"/>
  <c r="AR148" i="36"/>
  <c r="AM148" i="36"/>
  <c r="W148" i="36"/>
  <c r="X148" i="36" s="1"/>
  <c r="O148" i="36"/>
  <c r="U148" i="36" s="1"/>
  <c r="AA148" i="36" s="1"/>
  <c r="N148" i="36"/>
  <c r="V148" i="36" s="1"/>
  <c r="J148" i="36"/>
  <c r="H148" i="36"/>
  <c r="K148" i="36" s="1"/>
  <c r="BA146" i="36"/>
  <c r="AR146" i="36"/>
  <c r="AM146" i="36"/>
  <c r="AD146" i="36" s="1"/>
  <c r="AR145" i="36"/>
  <c r="BA145" i="36" s="1"/>
  <c r="AM145" i="36"/>
  <c r="AD145" i="36" s="1"/>
  <c r="BA144" i="36"/>
  <c r="AR144" i="36"/>
  <c r="AM144" i="36"/>
  <c r="AD144" i="36" s="1"/>
  <c r="AR143" i="36"/>
  <c r="BA143" i="36" s="1"/>
  <c r="AM143" i="36"/>
  <c r="AC143" i="36"/>
  <c r="Z143" i="36"/>
  <c r="BA142" i="36"/>
  <c r="AR142" i="36"/>
  <c r="AM142" i="36"/>
  <c r="AD142" i="36"/>
  <c r="Y142" i="36"/>
  <c r="W142" i="36"/>
  <c r="U142" i="36"/>
  <c r="AA142" i="36" s="1"/>
  <c r="O142" i="36"/>
  <c r="T142" i="36" s="1"/>
  <c r="N142" i="36"/>
  <c r="V142" i="36" s="1"/>
  <c r="C142" i="36"/>
  <c r="BA140" i="36"/>
  <c r="AR140" i="36"/>
  <c r="AM140" i="36"/>
  <c r="AD140" i="36" s="1"/>
  <c r="BA139" i="36"/>
  <c r="AR139" i="36"/>
  <c r="AM139" i="36"/>
  <c r="AD139" i="36"/>
  <c r="BA138" i="36"/>
  <c r="AR138" i="36"/>
  <c r="AM138" i="36"/>
  <c r="AD138" i="36" s="1"/>
  <c r="AC138" i="36"/>
  <c r="Z138" i="36"/>
  <c r="AR137" i="36"/>
  <c r="BA137" i="36" s="1"/>
  <c r="AM137" i="36"/>
  <c r="AA137" i="36"/>
  <c r="W137" i="36"/>
  <c r="V137" i="36"/>
  <c r="U137" i="36"/>
  <c r="P137" i="36"/>
  <c r="O137" i="36"/>
  <c r="T137" i="36" s="1"/>
  <c r="N137" i="36"/>
  <c r="H137" i="36"/>
  <c r="K137" i="36" s="1"/>
  <c r="C137" i="36"/>
  <c r="AR135" i="36"/>
  <c r="BA135" i="36" s="1"/>
  <c r="AD135" i="36" s="1"/>
  <c r="AM135" i="36"/>
  <c r="BA134" i="36"/>
  <c r="AR134" i="36"/>
  <c r="AM134" i="36"/>
  <c r="AD134" i="36" s="1"/>
  <c r="AR133" i="36"/>
  <c r="BA133" i="36" s="1"/>
  <c r="AD133" i="36" s="1"/>
  <c r="AM133" i="36"/>
  <c r="W133" i="36"/>
  <c r="V133" i="36"/>
  <c r="U133" i="36"/>
  <c r="P133" i="36"/>
  <c r="O133" i="36"/>
  <c r="T133" i="36" s="1"/>
  <c r="N133" i="36"/>
  <c r="H133" i="36"/>
  <c r="K133" i="36" s="1"/>
  <c r="AC133" i="36" s="1"/>
  <c r="C133" i="36"/>
  <c r="AR132" i="36"/>
  <c r="BA132" i="36" s="1"/>
  <c r="AD132" i="36" s="1"/>
  <c r="AM132" i="36"/>
  <c r="Y132" i="36"/>
  <c r="W132" i="36"/>
  <c r="O132" i="36"/>
  <c r="T132" i="36" s="1"/>
  <c r="N132" i="36"/>
  <c r="V132" i="36" s="1"/>
  <c r="BA130" i="36"/>
  <c r="AR130" i="36"/>
  <c r="AM130" i="36"/>
  <c r="AD130" i="36" s="1"/>
  <c r="AR129" i="36"/>
  <c r="BA129" i="36" s="1"/>
  <c r="AM129" i="36"/>
  <c r="AD129" i="36" s="1"/>
  <c r="BA128" i="36"/>
  <c r="AR128" i="36"/>
  <c r="AM128" i="36"/>
  <c r="AD128" i="36" s="1"/>
  <c r="AC128" i="36"/>
  <c r="Z128" i="36"/>
  <c r="AR127" i="36"/>
  <c r="BA127" i="36" s="1"/>
  <c r="AM127" i="36"/>
  <c r="Y127" i="36"/>
  <c r="W127" i="36"/>
  <c r="U127" i="36"/>
  <c r="AA127" i="36" s="1"/>
  <c r="T127" i="36"/>
  <c r="P127" i="36"/>
  <c r="O127" i="36"/>
  <c r="N127" i="36"/>
  <c r="V127" i="36" s="1"/>
  <c r="C127" i="36"/>
  <c r="BA125" i="36"/>
  <c r="AD125" i="36" s="1"/>
  <c r="AR125" i="36"/>
  <c r="AM125" i="36"/>
  <c r="AR124" i="36"/>
  <c r="BA124" i="36" s="1"/>
  <c r="AM124" i="36"/>
  <c r="AD124" i="36" s="1"/>
  <c r="BA123" i="36"/>
  <c r="AD123" i="36" s="1"/>
  <c r="AR123" i="36"/>
  <c r="AM123" i="36"/>
  <c r="AR122" i="36"/>
  <c r="BA122" i="36" s="1"/>
  <c r="AM122" i="36"/>
  <c r="AC122" i="36"/>
  <c r="Z122" i="36"/>
  <c r="AR121" i="36"/>
  <c r="BA121" i="36" s="1"/>
  <c r="AD121" i="36" s="1"/>
  <c r="AM121" i="36"/>
  <c r="Y121" i="36"/>
  <c r="W121" i="36"/>
  <c r="O121" i="36"/>
  <c r="T121" i="36" s="1"/>
  <c r="N121" i="36"/>
  <c r="V121" i="36" s="1"/>
  <c r="AR119" i="36"/>
  <c r="BA119" i="36" s="1"/>
  <c r="AM119" i="36"/>
  <c r="AR118" i="36"/>
  <c r="BA118" i="36" s="1"/>
  <c r="AM118" i="36"/>
  <c r="AR117" i="36"/>
  <c r="BA117" i="36" s="1"/>
  <c r="AM117" i="36"/>
  <c r="Z117" i="36"/>
  <c r="W117" i="36"/>
  <c r="P117" i="36"/>
  <c r="O117" i="36"/>
  <c r="U117" i="36" s="1"/>
  <c r="N117" i="36"/>
  <c r="K117" i="36"/>
  <c r="J117" i="36"/>
  <c r="H117" i="36"/>
  <c r="AR116" i="36"/>
  <c r="BA116" i="36" s="1"/>
  <c r="AM116" i="36"/>
  <c r="Z116" i="36"/>
  <c r="W116" i="36"/>
  <c r="V116" i="36"/>
  <c r="T116" i="36"/>
  <c r="P116" i="36"/>
  <c r="O116" i="36"/>
  <c r="U116" i="36" s="1"/>
  <c r="N116" i="36"/>
  <c r="J116" i="36"/>
  <c r="H116" i="36"/>
  <c r="K116" i="36" s="1"/>
  <c r="AC116" i="36" s="1"/>
  <c r="BA114" i="36"/>
  <c r="AR114" i="36"/>
  <c r="AM114" i="36"/>
  <c r="AD114" i="36" s="1"/>
  <c r="AR113" i="36"/>
  <c r="BA113" i="36" s="1"/>
  <c r="AM113" i="36"/>
  <c r="BA112" i="36"/>
  <c r="AR112" i="36"/>
  <c r="AM112" i="36"/>
  <c r="AD112" i="36" s="1"/>
  <c r="Z112" i="36"/>
  <c r="W112" i="36"/>
  <c r="U112" i="36"/>
  <c r="T112" i="36"/>
  <c r="P112" i="36"/>
  <c r="O112" i="36"/>
  <c r="N112" i="36"/>
  <c r="V112" i="36" s="1"/>
  <c r="C112" i="36"/>
  <c r="BA111" i="36"/>
  <c r="AR111" i="36"/>
  <c r="AM111" i="36"/>
  <c r="AD111" i="36" s="1"/>
  <c r="Y111" i="36"/>
  <c r="W111" i="36"/>
  <c r="U111" i="36"/>
  <c r="AA111" i="36" s="1"/>
  <c r="T111" i="36"/>
  <c r="P111" i="36"/>
  <c r="O111" i="36"/>
  <c r="N111" i="36"/>
  <c r="V111" i="36" s="1"/>
  <c r="C111" i="36"/>
  <c r="BA109" i="36"/>
  <c r="AD109" i="36" s="1"/>
  <c r="AR109" i="36"/>
  <c r="AM109" i="36"/>
  <c r="BA108" i="36"/>
  <c r="AR108" i="36"/>
  <c r="AM108" i="36"/>
  <c r="AD108" i="36" s="1"/>
  <c r="W108" i="36"/>
  <c r="U108" i="36"/>
  <c r="T108" i="36"/>
  <c r="P108" i="36"/>
  <c r="O108" i="36"/>
  <c r="N108" i="36"/>
  <c r="V108" i="36" s="1"/>
  <c r="C108" i="36"/>
  <c r="BA107" i="36"/>
  <c r="AR107" i="36"/>
  <c r="AM107" i="36"/>
  <c r="AD107" i="36" s="1"/>
  <c r="W107" i="36"/>
  <c r="U107" i="36"/>
  <c r="T107" i="36"/>
  <c r="S107" i="36"/>
  <c r="P107" i="36" s="1"/>
  <c r="O107" i="36"/>
  <c r="N107" i="36"/>
  <c r="V107" i="36" s="1"/>
  <c r="H107" i="36"/>
  <c r="K107" i="36" s="1"/>
  <c r="AC107" i="36" s="1"/>
  <c r="C107" i="36"/>
  <c r="BA106" i="36"/>
  <c r="AR106" i="36"/>
  <c r="AM106" i="36"/>
  <c r="AD106" i="36"/>
  <c r="Y106" i="36"/>
  <c r="W106" i="36"/>
  <c r="O106" i="36"/>
  <c r="U106" i="36" s="1"/>
  <c r="AA106" i="36" s="1"/>
  <c r="N106" i="36"/>
  <c r="V106" i="36" s="1"/>
  <c r="BA104" i="36"/>
  <c r="AR104" i="36"/>
  <c r="AM104" i="36"/>
  <c r="AD104" i="36" s="1"/>
  <c r="BA103" i="36"/>
  <c r="AR103" i="36"/>
  <c r="AM103" i="36"/>
  <c r="AD103" i="36"/>
  <c r="BA102" i="36"/>
  <c r="AR102" i="36"/>
  <c r="AM102" i="36"/>
  <c r="AD102" i="36" s="1"/>
  <c r="AC102" i="36"/>
  <c r="BA101" i="36"/>
  <c r="AR101" i="36"/>
  <c r="AM101" i="36"/>
  <c r="AD101" i="36" s="1"/>
  <c r="Y101" i="36"/>
  <c r="W101" i="36"/>
  <c r="V101" i="36"/>
  <c r="P101" i="36"/>
  <c r="O101" i="36"/>
  <c r="U101" i="36" s="1"/>
  <c r="AA101" i="36" s="1"/>
  <c r="N101" i="36"/>
  <c r="H101" i="36"/>
  <c r="K101" i="36" s="1"/>
  <c r="AR99" i="36"/>
  <c r="BA99" i="36" s="1"/>
  <c r="AM99" i="36"/>
  <c r="AD99" i="36" s="1"/>
  <c r="BA98" i="36"/>
  <c r="AR98" i="36"/>
  <c r="AM98" i="36"/>
  <c r="AD98" i="36" s="1"/>
  <c r="AR97" i="36"/>
  <c r="BA97" i="36" s="1"/>
  <c r="AM97" i="36"/>
  <c r="BA96" i="36"/>
  <c r="AR96" i="36"/>
  <c r="AM96" i="36"/>
  <c r="AD96" i="36" s="1"/>
  <c r="W96" i="36"/>
  <c r="O96" i="36"/>
  <c r="T96" i="36" s="1"/>
  <c r="N96" i="36"/>
  <c r="J96" i="36"/>
  <c r="H96" i="36"/>
  <c r="K96" i="36" s="1"/>
  <c r="BA95" i="36"/>
  <c r="AR95" i="36"/>
  <c r="AM95" i="36"/>
  <c r="AD95" i="36" s="1"/>
  <c r="Y95" i="36"/>
  <c r="W95" i="36"/>
  <c r="V95" i="36"/>
  <c r="Q95" i="36"/>
  <c r="U95" i="36" s="1"/>
  <c r="O95" i="36"/>
  <c r="T95" i="36" s="1"/>
  <c r="N95" i="36"/>
  <c r="J95" i="36"/>
  <c r="H95" i="36"/>
  <c r="K95" i="36" s="1"/>
  <c r="AC95" i="36" s="1"/>
  <c r="BA93" i="36"/>
  <c r="AR93" i="36"/>
  <c r="AM93" i="36"/>
  <c r="AD93" i="36" s="1"/>
  <c r="AR92" i="36"/>
  <c r="BA92" i="36" s="1"/>
  <c r="AM92" i="36"/>
  <c r="BA91" i="36"/>
  <c r="AR91" i="36"/>
  <c r="AM91" i="36"/>
  <c r="AD91" i="36" s="1"/>
  <c r="W91" i="36"/>
  <c r="V91" i="36"/>
  <c r="T91" i="36"/>
  <c r="P91" i="36"/>
  <c r="O91" i="36"/>
  <c r="U91" i="36" s="1"/>
  <c r="N91" i="36"/>
  <c r="J91" i="36"/>
  <c r="H91" i="36"/>
  <c r="K91" i="36" s="1"/>
  <c r="AC91" i="36" s="1"/>
  <c r="BA90" i="36"/>
  <c r="AR90" i="36"/>
  <c r="AM90" i="36"/>
  <c r="AD90" i="36" s="1"/>
  <c r="Y90" i="36"/>
  <c r="W90" i="36"/>
  <c r="P90" i="36"/>
  <c r="O90" i="36"/>
  <c r="U90" i="36" s="1"/>
  <c r="N90" i="36"/>
  <c r="K90" i="36"/>
  <c r="J90" i="36"/>
  <c r="H90" i="36"/>
  <c r="AR88" i="36"/>
  <c r="BA88" i="36" s="1"/>
  <c r="AM88" i="36"/>
  <c r="BA87" i="36"/>
  <c r="AR87" i="36"/>
  <c r="AM87" i="36"/>
  <c r="AD87" i="36" s="1"/>
  <c r="AR86" i="36"/>
  <c r="BA86" i="36" s="1"/>
  <c r="AM86" i="36"/>
  <c r="AD86" i="36" s="1"/>
  <c r="W86" i="36"/>
  <c r="P86" i="36"/>
  <c r="O86" i="36"/>
  <c r="U86" i="36" s="1"/>
  <c r="N86" i="36"/>
  <c r="K86" i="36"/>
  <c r="J86" i="36"/>
  <c r="H86" i="36"/>
  <c r="AR85" i="36"/>
  <c r="BA85" i="36" s="1"/>
  <c r="AM85" i="36"/>
  <c r="Y85" i="36"/>
  <c r="W85" i="36"/>
  <c r="V85" i="36"/>
  <c r="T85" i="36"/>
  <c r="AC85" i="36" s="1"/>
  <c r="P85" i="36"/>
  <c r="O85" i="36"/>
  <c r="U85" i="36" s="1"/>
  <c r="AA85" i="36" s="1"/>
  <c r="N85" i="36"/>
  <c r="J85" i="36"/>
  <c r="H85" i="36"/>
  <c r="K85" i="36" s="1"/>
  <c r="BA83" i="36"/>
  <c r="AR83" i="36"/>
  <c r="AM83" i="36"/>
  <c r="AD83" i="36" s="1"/>
  <c r="AR82" i="36"/>
  <c r="BA82" i="36" s="1"/>
  <c r="AM82" i="36"/>
  <c r="AD82" i="36" s="1"/>
  <c r="BA81" i="36"/>
  <c r="AR81" i="36"/>
  <c r="AM81" i="36"/>
  <c r="AD81" i="36" s="1"/>
  <c r="AC81" i="36"/>
  <c r="BA80" i="36"/>
  <c r="AR80" i="36"/>
  <c r="AM80" i="36"/>
  <c r="AD80" i="36"/>
  <c r="Z80" i="36"/>
  <c r="Y80" i="36"/>
  <c r="W80" i="36"/>
  <c r="V80" i="36"/>
  <c r="U80" i="36"/>
  <c r="AA80" i="36" s="1"/>
  <c r="T80" i="36"/>
  <c r="O80" i="36"/>
  <c r="P80" i="36" s="1"/>
  <c r="N80" i="36"/>
  <c r="H80" i="36"/>
  <c r="C80" i="36"/>
  <c r="BA78" i="36"/>
  <c r="AR78" i="36"/>
  <c r="AM78" i="36"/>
  <c r="AD78" i="36"/>
  <c r="BA77" i="36"/>
  <c r="AR77" i="36"/>
  <c r="AM77" i="36"/>
  <c r="AD77" i="36" s="1"/>
  <c r="BA76" i="36"/>
  <c r="AR76" i="36"/>
  <c r="AM76" i="36"/>
  <c r="AD76" i="36"/>
  <c r="W76" i="36"/>
  <c r="V76" i="36"/>
  <c r="S76" i="36"/>
  <c r="O76" i="36"/>
  <c r="N76" i="36"/>
  <c r="J76" i="36"/>
  <c r="H76" i="36"/>
  <c r="K76" i="36" s="1"/>
  <c r="AR75" i="36"/>
  <c r="BA75" i="36" s="1"/>
  <c r="AM75" i="36"/>
  <c r="AD75" i="36" s="1"/>
  <c r="Y75" i="36"/>
  <c r="W75" i="36"/>
  <c r="V75" i="36"/>
  <c r="P75" i="36"/>
  <c r="O75" i="36"/>
  <c r="U75" i="36" s="1"/>
  <c r="N75" i="36"/>
  <c r="H75" i="36"/>
  <c r="AR73" i="36"/>
  <c r="BA73" i="36" s="1"/>
  <c r="AM73" i="36"/>
  <c r="AD73" i="36" s="1"/>
  <c r="AR72" i="36"/>
  <c r="BA72" i="36" s="1"/>
  <c r="AM72" i="36"/>
  <c r="AD72" i="36" s="1"/>
  <c r="AR71" i="36"/>
  <c r="BA71" i="36" s="1"/>
  <c r="AM71" i="36"/>
  <c r="AD71" i="36" s="1"/>
  <c r="AR70" i="36"/>
  <c r="BA70" i="36" s="1"/>
  <c r="AM70" i="36"/>
  <c r="AD70" i="36" s="1"/>
  <c r="AR69" i="36"/>
  <c r="BA69" i="36" s="1"/>
  <c r="AM69" i="36"/>
  <c r="AD69" i="36" s="1"/>
  <c r="AC69" i="36"/>
  <c r="AR68" i="36"/>
  <c r="BA68" i="36" s="1"/>
  <c r="AM68" i="36"/>
  <c r="Z68" i="36"/>
  <c r="Y68" i="36"/>
  <c r="W68" i="36"/>
  <c r="U68" i="36"/>
  <c r="AA68" i="36" s="1"/>
  <c r="T68" i="36"/>
  <c r="R68" i="36"/>
  <c r="O68" i="36"/>
  <c r="P68" i="36" s="1"/>
  <c r="N68" i="36"/>
  <c r="V68" i="36" s="1"/>
  <c r="C68" i="36"/>
  <c r="BA66" i="36"/>
  <c r="AR66" i="36"/>
  <c r="AM66" i="36"/>
  <c r="AD66" i="36"/>
  <c r="BA65" i="36"/>
  <c r="AR65" i="36"/>
  <c r="AM65" i="36"/>
  <c r="AD65" i="36" s="1"/>
  <c r="BA64" i="36"/>
  <c r="AR64" i="36"/>
  <c r="AM64" i="36"/>
  <c r="AD64" i="36"/>
  <c r="AC64" i="36"/>
  <c r="AR63" i="36"/>
  <c r="BA63" i="36" s="1"/>
  <c r="AM63" i="36"/>
  <c r="AD63" i="36" s="1"/>
  <c r="Z63" i="36"/>
  <c r="Y63" i="36"/>
  <c r="W63" i="36"/>
  <c r="P63" i="36"/>
  <c r="O63" i="36"/>
  <c r="N63" i="36"/>
  <c r="J63" i="36"/>
  <c r="H63" i="36"/>
  <c r="AR61" i="36"/>
  <c r="BA61" i="36" s="1"/>
  <c r="AM61" i="36"/>
  <c r="BA60" i="36"/>
  <c r="AR60" i="36"/>
  <c r="AM60" i="36"/>
  <c r="AR59" i="36"/>
  <c r="BA59" i="36" s="1"/>
  <c r="AM59" i="36"/>
  <c r="AD59" i="36" s="1"/>
  <c r="AC59" i="36"/>
  <c r="BA58" i="36"/>
  <c r="AD58" i="36" s="1"/>
  <c r="AR58" i="36"/>
  <c r="AM58" i="36"/>
  <c r="Y58" i="36"/>
  <c r="W58" i="36"/>
  <c r="U58" i="36"/>
  <c r="AA58" i="36" s="1"/>
  <c r="T58" i="36"/>
  <c r="P58" i="36"/>
  <c r="O58" i="36"/>
  <c r="N58" i="36"/>
  <c r="C58" i="36"/>
  <c r="BA56" i="36"/>
  <c r="AD56" i="36" s="1"/>
  <c r="AR56" i="36"/>
  <c r="AM56" i="36"/>
  <c r="BA55" i="36"/>
  <c r="AD55" i="36" s="1"/>
  <c r="AR55" i="36"/>
  <c r="AM55" i="36"/>
  <c r="BA54" i="36"/>
  <c r="AD54" i="36" s="1"/>
  <c r="AR54" i="36"/>
  <c r="AM54" i="36"/>
  <c r="AC54" i="36"/>
  <c r="BA53" i="36"/>
  <c r="AR53" i="36"/>
  <c r="AM53" i="36"/>
  <c r="AD53" i="36"/>
  <c r="AA53" i="36"/>
  <c r="Y53" i="36"/>
  <c r="W53" i="36"/>
  <c r="U53" i="36"/>
  <c r="T53" i="36"/>
  <c r="O53" i="36"/>
  <c r="P53" i="36" s="1"/>
  <c r="N53" i="36"/>
  <c r="H53" i="36" s="1"/>
  <c r="C53" i="36"/>
  <c r="AR51" i="36"/>
  <c r="BA51" i="36" s="1"/>
  <c r="AD51" i="36" s="1"/>
  <c r="AM51" i="36"/>
  <c r="W51" i="36"/>
  <c r="S51" i="36"/>
  <c r="O51" i="36"/>
  <c r="U51" i="36" s="1"/>
  <c r="N51" i="36"/>
  <c r="V51" i="36" s="1"/>
  <c r="H51" i="36"/>
  <c r="J51" i="36" s="1"/>
  <c r="BA50" i="36"/>
  <c r="AR50" i="36"/>
  <c r="AM50" i="36"/>
  <c r="AD50" i="36" s="1"/>
  <c r="W50" i="36"/>
  <c r="O50" i="36"/>
  <c r="V50" i="36" s="1"/>
  <c r="N50" i="36"/>
  <c r="H50" i="36"/>
  <c r="J50" i="36" s="1"/>
  <c r="BA49" i="36"/>
  <c r="AR49" i="36"/>
  <c r="AM49" i="36"/>
  <c r="AD49" i="36" s="1"/>
  <c r="Z49" i="36"/>
  <c r="W49" i="36"/>
  <c r="U49" i="36"/>
  <c r="P49" i="36"/>
  <c r="O49" i="36"/>
  <c r="T49" i="36" s="1"/>
  <c r="N49" i="36"/>
  <c r="V49" i="36" s="1"/>
  <c r="C49" i="36"/>
  <c r="AR48" i="36"/>
  <c r="BA48" i="36" s="1"/>
  <c r="AD48" i="36" s="1"/>
  <c r="AM48" i="36"/>
  <c r="W48" i="36"/>
  <c r="V48" i="36"/>
  <c r="T48" i="36"/>
  <c r="O48" i="36"/>
  <c r="P48" i="36" s="1"/>
  <c r="N48" i="36"/>
  <c r="H48" i="36"/>
  <c r="K48" i="36" s="1"/>
  <c r="AC48" i="36" s="1"/>
  <c r="G48" i="36"/>
  <c r="J48" i="36" s="1"/>
  <c r="C48" i="36"/>
  <c r="AR46" i="36"/>
  <c r="BA46" i="36" s="1"/>
  <c r="AD46" i="36" s="1"/>
  <c r="AM46" i="36"/>
  <c r="AR45" i="36"/>
  <c r="BA45" i="36" s="1"/>
  <c r="AD45" i="36" s="1"/>
  <c r="AM45" i="36"/>
  <c r="AR44" i="36"/>
  <c r="BA44" i="36" s="1"/>
  <c r="AD44" i="36" s="1"/>
  <c r="AM44" i="36"/>
  <c r="Z44" i="36"/>
  <c r="W44" i="36"/>
  <c r="V44" i="36"/>
  <c r="T44" i="36"/>
  <c r="O44" i="36"/>
  <c r="U44" i="36" s="1"/>
  <c r="N44" i="36"/>
  <c r="K44" i="36"/>
  <c r="AC44" i="36" s="1"/>
  <c r="H44" i="36"/>
  <c r="J44" i="36" s="1"/>
  <c r="G44" i="36"/>
  <c r="C44" i="36"/>
  <c r="AR43" i="36"/>
  <c r="BA43" i="36" s="1"/>
  <c r="AD43" i="36" s="1"/>
  <c r="AM43" i="36"/>
  <c r="Y43" i="36"/>
  <c r="W43" i="36"/>
  <c r="U43" i="36"/>
  <c r="AA43" i="36" s="1"/>
  <c r="T43" i="36"/>
  <c r="P43" i="36"/>
  <c r="O43" i="36"/>
  <c r="N43" i="36"/>
  <c r="V43" i="36" s="1"/>
  <c r="C43" i="36"/>
  <c r="AR41" i="36"/>
  <c r="BA41" i="36" s="1"/>
  <c r="AD41" i="36" s="1"/>
  <c r="AM41" i="36"/>
  <c r="AR40" i="36"/>
  <c r="BA40" i="36" s="1"/>
  <c r="AD40" i="36" s="1"/>
  <c r="AM40" i="36"/>
  <c r="AR39" i="36"/>
  <c r="BA39" i="36" s="1"/>
  <c r="AD39" i="36" s="1"/>
  <c r="AM39" i="36"/>
  <c r="Z39" i="36"/>
  <c r="W39" i="36"/>
  <c r="V39" i="36"/>
  <c r="T39" i="36"/>
  <c r="O39" i="36"/>
  <c r="P39" i="36" s="1"/>
  <c r="N39" i="36"/>
  <c r="H39" i="36"/>
  <c r="K39" i="36" s="1"/>
  <c r="AC39" i="36" s="1"/>
  <c r="BA38" i="36"/>
  <c r="AR38" i="36"/>
  <c r="AM38" i="36"/>
  <c r="AD38" i="36" s="1"/>
  <c r="Y38" i="36"/>
  <c r="W38" i="36"/>
  <c r="O38" i="36"/>
  <c r="V38" i="36" s="1"/>
  <c r="N38" i="36"/>
  <c r="H38" i="36"/>
  <c r="J38" i="36" s="1"/>
  <c r="BA36" i="36"/>
  <c r="AR36" i="36"/>
  <c r="AM36" i="36"/>
  <c r="AD36" i="36" s="1"/>
  <c r="BA35" i="36"/>
  <c r="AR35" i="36"/>
  <c r="AM35" i="36"/>
  <c r="AD35" i="36" s="1"/>
  <c r="BA34" i="36"/>
  <c r="AR34" i="36"/>
  <c r="AM34" i="36"/>
  <c r="AD34" i="36" s="1"/>
  <c r="AC34" i="36"/>
  <c r="AR33" i="36"/>
  <c r="BA33" i="36" s="1"/>
  <c r="AD33" i="36" s="1"/>
  <c r="AM33" i="36"/>
  <c r="W33" i="36"/>
  <c r="O33" i="36"/>
  <c r="V33" i="36" s="1"/>
  <c r="N33" i="36"/>
  <c r="H33" i="36"/>
  <c r="J33" i="36" s="1"/>
  <c r="BA31" i="36"/>
  <c r="AR31" i="36"/>
  <c r="AM31" i="36"/>
  <c r="AD31" i="36" s="1"/>
  <c r="BA30" i="36"/>
  <c r="AR30" i="36"/>
  <c r="AM30" i="36"/>
  <c r="AD30" i="36" s="1"/>
  <c r="W30" i="36"/>
  <c r="V30" i="36"/>
  <c r="U30" i="36"/>
  <c r="T30" i="36"/>
  <c r="S30" i="36"/>
  <c r="S164" i="36" s="1"/>
  <c r="P30" i="36"/>
  <c r="O30" i="36"/>
  <c r="N30" i="36"/>
  <c r="H30" i="36" s="1"/>
  <c r="C30" i="36"/>
  <c r="AR29" i="36"/>
  <c r="BA29" i="36" s="1"/>
  <c r="AD29" i="36" s="1"/>
  <c r="AM29" i="36"/>
  <c r="Z29" i="36"/>
  <c r="Z164" i="36" s="1"/>
  <c r="W29" i="36"/>
  <c r="T29" i="36"/>
  <c r="Q29" i="36"/>
  <c r="U29" i="36" s="1"/>
  <c r="P29" i="36"/>
  <c r="O29" i="36"/>
  <c r="N29" i="36"/>
  <c r="H29" i="36" s="1"/>
  <c r="C29" i="36"/>
  <c r="AR28" i="36"/>
  <c r="BA28" i="36" s="1"/>
  <c r="AD28" i="36" s="1"/>
  <c r="AM28" i="36"/>
  <c r="W28" i="36"/>
  <c r="Q28" i="36"/>
  <c r="O28" i="36"/>
  <c r="U28" i="36" s="1"/>
  <c r="N28" i="36"/>
  <c r="V28" i="36" s="1"/>
  <c r="H28" i="36"/>
  <c r="J28" i="36" s="1"/>
  <c r="BA27" i="36"/>
  <c r="AR27" i="36"/>
  <c r="AM27" i="36"/>
  <c r="AD27" i="36" s="1"/>
  <c r="W27" i="36"/>
  <c r="U27" i="36"/>
  <c r="T27" i="36"/>
  <c r="P27" i="36"/>
  <c r="O27" i="36"/>
  <c r="N27" i="36"/>
  <c r="V27" i="36" s="1"/>
  <c r="C27" i="36"/>
  <c r="AR25" i="36"/>
  <c r="BA25" i="36" s="1"/>
  <c r="AD25" i="36" s="1"/>
  <c r="AM25" i="36"/>
  <c r="AR24" i="36"/>
  <c r="BA24" i="36" s="1"/>
  <c r="AD24" i="36" s="1"/>
  <c r="AM24" i="36"/>
  <c r="AR23" i="36"/>
  <c r="BA23" i="36" s="1"/>
  <c r="AD23" i="36" s="1"/>
  <c r="AM23" i="36"/>
  <c r="W23" i="36"/>
  <c r="U23" i="36"/>
  <c r="T23" i="36"/>
  <c r="P23" i="36"/>
  <c r="O23" i="36"/>
  <c r="N23" i="36"/>
  <c r="V23" i="36" s="1"/>
  <c r="C23" i="36"/>
  <c r="AR22" i="36"/>
  <c r="BA22" i="36" s="1"/>
  <c r="AD22" i="36" s="1"/>
  <c r="AM22" i="36"/>
  <c r="W22" i="36"/>
  <c r="V22" i="36"/>
  <c r="T22" i="36"/>
  <c r="O22" i="36"/>
  <c r="U22" i="36" s="1"/>
  <c r="AA22" i="36" s="1"/>
  <c r="N22" i="36"/>
  <c r="K22" i="36"/>
  <c r="H22" i="36"/>
  <c r="J22" i="36" s="1"/>
  <c r="BA20" i="36"/>
  <c r="AR20" i="36"/>
  <c r="AM20" i="36"/>
  <c r="AD20" i="36" s="1"/>
  <c r="BA19" i="36"/>
  <c r="AR19" i="36"/>
  <c r="AM19" i="36"/>
  <c r="AD19" i="36" s="1"/>
  <c r="BA18" i="36"/>
  <c r="AR18" i="36"/>
  <c r="AM18" i="36"/>
  <c r="AD18" i="36" s="1"/>
  <c r="AC18" i="36"/>
  <c r="AR17" i="36"/>
  <c r="BA17" i="36" s="1"/>
  <c r="AD17" i="36" s="1"/>
  <c r="AM17" i="36"/>
  <c r="Y17" i="36"/>
  <c r="Y164" i="36" s="1"/>
  <c r="W17" i="36"/>
  <c r="U17" i="36"/>
  <c r="AA17" i="36" s="1"/>
  <c r="T17" i="36"/>
  <c r="P17" i="36"/>
  <c r="O17" i="36"/>
  <c r="N17" i="36"/>
  <c r="V17" i="36" s="1"/>
  <c r="C17" i="36"/>
  <c r="AR15" i="36"/>
  <c r="BA15" i="36" s="1"/>
  <c r="AD15" i="36" s="1"/>
  <c r="AM15" i="36"/>
  <c r="AR14" i="36"/>
  <c r="BA14" i="36" s="1"/>
  <c r="AD14" i="36" s="1"/>
  <c r="AM14" i="36"/>
  <c r="AR13" i="36"/>
  <c r="BA13" i="36" s="1"/>
  <c r="AD13" i="36" s="1"/>
  <c r="AM13" i="36"/>
  <c r="W13" i="36"/>
  <c r="U13" i="36"/>
  <c r="T13" i="36"/>
  <c r="P13" i="36"/>
  <c r="O13" i="36"/>
  <c r="N13" i="36"/>
  <c r="V13" i="36" s="1"/>
  <c r="C13" i="36"/>
  <c r="AR12" i="36"/>
  <c r="BA12" i="36" s="1"/>
  <c r="AD12" i="36" s="1"/>
  <c r="AM12" i="36"/>
  <c r="W12" i="36"/>
  <c r="T12" i="36"/>
  <c r="O12" i="36"/>
  <c r="K12" i="36" s="1"/>
  <c r="AC12" i="36" s="1"/>
  <c r="N12" i="36"/>
  <c r="H12" i="36"/>
  <c r="J12" i="36" s="1"/>
  <c r="BA10" i="36"/>
  <c r="AR10" i="36"/>
  <c r="AM10" i="36"/>
  <c r="AD10" i="36" s="1"/>
  <c r="BA9" i="36"/>
  <c r="AR9" i="36"/>
  <c r="AM9" i="36"/>
  <c r="AD9" i="36" s="1"/>
  <c r="BA8" i="36"/>
  <c r="AR8" i="36"/>
  <c r="AM8" i="36"/>
  <c r="AD8" i="36" s="1"/>
  <c r="BA7" i="36"/>
  <c r="AR7" i="36"/>
  <c r="AM7" i="36"/>
  <c r="AD7" i="36" s="1"/>
  <c r="W7" i="36"/>
  <c r="R7" i="36"/>
  <c r="R164" i="36" s="1"/>
  <c r="Q7" i="36"/>
  <c r="Q164" i="36" s="1"/>
  <c r="Q165" i="36" s="1"/>
  <c r="O7" i="36"/>
  <c r="U7" i="36" s="1"/>
  <c r="N7" i="36"/>
  <c r="H7" i="36"/>
  <c r="J7" i="36" s="1"/>
  <c r="BA6" i="36"/>
  <c r="AR6" i="36"/>
  <c r="AM6" i="36"/>
  <c r="AM164" i="36" s="1"/>
  <c r="W6" i="36"/>
  <c r="W164" i="36" s="1"/>
  <c r="U6" i="36"/>
  <c r="T6" i="36"/>
  <c r="P6" i="36"/>
  <c r="O6" i="36"/>
  <c r="N6" i="36"/>
  <c r="V6" i="36" s="1"/>
  <c r="C6" i="36"/>
  <c r="A6" i="36"/>
  <c r="K30" i="36" l="1"/>
  <c r="AC30" i="36" s="1"/>
  <c r="J30" i="36"/>
  <c r="K53" i="36"/>
  <c r="J53" i="36"/>
  <c r="AA27" i="36"/>
  <c r="K29" i="36"/>
  <c r="AC29" i="36" s="1"/>
  <c r="J29" i="36"/>
  <c r="K7" i="36"/>
  <c r="K28" i="36"/>
  <c r="AC28" i="36" s="1"/>
  <c r="V29" i="36"/>
  <c r="K33" i="36"/>
  <c r="K38" i="36"/>
  <c r="K50" i="36"/>
  <c r="K51" i="36"/>
  <c r="V58" i="36"/>
  <c r="H58" i="36"/>
  <c r="AD60" i="36"/>
  <c r="H68" i="36"/>
  <c r="AB137" i="36"/>
  <c r="V7" i="36"/>
  <c r="V164" i="36" s="1"/>
  <c r="AD6" i="36"/>
  <c r="P12" i="36"/>
  <c r="C39" i="36"/>
  <c r="U39" i="36"/>
  <c r="U48" i="36"/>
  <c r="AA48" i="36" s="1"/>
  <c r="U63" i="36"/>
  <c r="AA63" i="36" s="1"/>
  <c r="C63" i="36"/>
  <c r="T63" i="36"/>
  <c r="V63" i="36"/>
  <c r="X95" i="36"/>
  <c r="AD118" i="36"/>
  <c r="X137" i="36"/>
  <c r="AC137" i="36"/>
  <c r="AD137" i="36"/>
  <c r="BB166" i="36"/>
  <c r="K75" i="36"/>
  <c r="J75" i="36"/>
  <c r="BC166" i="36"/>
  <c r="Y166" i="36"/>
  <c r="Z166" i="36"/>
  <c r="H6" i="36"/>
  <c r="AR164" i="36"/>
  <c r="P7" i="36"/>
  <c r="P164" i="36" s="1"/>
  <c r="O164" i="36" s="1"/>
  <c r="C12" i="36"/>
  <c r="U12" i="36"/>
  <c r="AA12" i="36" s="1"/>
  <c r="H23" i="36"/>
  <c r="H27" i="36"/>
  <c r="P28" i="36"/>
  <c r="P33" i="36"/>
  <c r="P38" i="36"/>
  <c r="J39" i="36"/>
  <c r="H43" i="36"/>
  <c r="P50" i="36"/>
  <c r="P51" i="36"/>
  <c r="AD61" i="36"/>
  <c r="AC86" i="36"/>
  <c r="AB85" i="36" s="1"/>
  <c r="AA90" i="36"/>
  <c r="X116" i="36"/>
  <c r="AD119" i="36"/>
  <c r="AD143" i="36"/>
  <c r="BD166" i="36"/>
  <c r="X169" i="36"/>
  <c r="BA164" i="36"/>
  <c r="R166" i="36" s="1"/>
  <c r="V12" i="36"/>
  <c r="T33" i="36"/>
  <c r="T38" i="36"/>
  <c r="T50" i="36"/>
  <c r="X85" i="36"/>
  <c r="X101" i="36"/>
  <c r="BE166" i="36"/>
  <c r="C7" i="36"/>
  <c r="R165" i="36"/>
  <c r="P22" i="36"/>
  <c r="AC22" i="36"/>
  <c r="C28" i="36"/>
  <c r="T28" i="36"/>
  <c r="C33" i="36"/>
  <c r="U33" i="36"/>
  <c r="AA33" i="36" s="1"/>
  <c r="C38" i="36"/>
  <c r="U38" i="36"/>
  <c r="AA38" i="36" s="1"/>
  <c r="P44" i="36"/>
  <c r="H49" i="36"/>
  <c r="C50" i="36"/>
  <c r="U50" i="36"/>
  <c r="C51" i="36"/>
  <c r="T51" i="36"/>
  <c r="AD68" i="36"/>
  <c r="AD88" i="36"/>
  <c r="AD92" i="36"/>
  <c r="AC96" i="36"/>
  <c r="AD97" i="36"/>
  <c r="AD116" i="36"/>
  <c r="AD122" i="36"/>
  <c r="AC148" i="36"/>
  <c r="AB148" i="36" s="1"/>
  <c r="BF166" i="36"/>
  <c r="AA6" i="36"/>
  <c r="V53" i="36"/>
  <c r="T7" i="36"/>
  <c r="T164" i="36" s="1"/>
  <c r="H13" i="36"/>
  <c r="H17" i="36"/>
  <c r="C22" i="36"/>
  <c r="C164" i="36" s="1"/>
  <c r="S165" i="36"/>
  <c r="S166" i="36"/>
  <c r="K63" i="36"/>
  <c r="X75" i="36"/>
  <c r="P76" i="36"/>
  <c r="U76" i="36"/>
  <c r="AA75" i="36" s="1"/>
  <c r="T76" i="36"/>
  <c r="AC76" i="36" s="1"/>
  <c r="C76" i="36"/>
  <c r="K80" i="36"/>
  <c r="J80" i="36"/>
  <c r="AD85" i="36"/>
  <c r="AD113" i="36"/>
  <c r="AA116" i="36"/>
  <c r="AD117" i="36"/>
  <c r="AD127" i="36"/>
  <c r="X153" i="36"/>
  <c r="AC153" i="36"/>
  <c r="AB153" i="36" s="1"/>
  <c r="AD155" i="36"/>
  <c r="V86" i="36"/>
  <c r="V90" i="36"/>
  <c r="C96" i="36"/>
  <c r="U96" i="36"/>
  <c r="AA95" i="36" s="1"/>
  <c r="AB95" i="36" s="1"/>
  <c r="V117" i="36"/>
  <c r="C121" i="36"/>
  <c r="U121" i="36"/>
  <c r="AA121" i="36" s="1"/>
  <c r="C132" i="36"/>
  <c r="U132" i="36"/>
  <c r="AA132" i="36" s="1"/>
  <c r="P159" i="36"/>
  <c r="P95" i="36"/>
  <c r="V96" i="36"/>
  <c r="H121" i="36"/>
  <c r="H132" i="36"/>
  <c r="P148" i="36"/>
  <c r="T159" i="36"/>
  <c r="AC159" i="36" s="1"/>
  <c r="X90" i="36"/>
  <c r="T148" i="36"/>
  <c r="C159" i="36"/>
  <c r="U159" i="36"/>
  <c r="AA158" i="36" s="1"/>
  <c r="T75" i="36"/>
  <c r="C85" i="36"/>
  <c r="C91" i="36"/>
  <c r="C95" i="36"/>
  <c r="T101" i="36"/>
  <c r="AC101" i="36" s="1"/>
  <c r="AB101" i="36" s="1"/>
  <c r="P106" i="36"/>
  <c r="J107" i="36"/>
  <c r="H108" i="36"/>
  <c r="H112" i="36"/>
  <c r="C116" i="36"/>
  <c r="P142" i="36"/>
  <c r="C148" i="36"/>
  <c r="C75" i="36"/>
  <c r="C101" i="36"/>
  <c r="T106" i="36"/>
  <c r="C106" i="36"/>
  <c r="T86" i="36"/>
  <c r="T90" i="36"/>
  <c r="AC90" i="36" s="1"/>
  <c r="P96" i="36"/>
  <c r="J101" i="36"/>
  <c r="H106" i="36"/>
  <c r="T117" i="36"/>
  <c r="AC117" i="36" s="1"/>
  <c r="P121" i="36"/>
  <c r="P132" i="36"/>
  <c r="J133" i="36"/>
  <c r="J137" i="36"/>
  <c r="H142" i="36"/>
  <c r="J153" i="36"/>
  <c r="C158" i="36"/>
  <c r="C86" i="36"/>
  <c r="C90" i="36"/>
  <c r="H111" i="36"/>
  <c r="C117" i="36"/>
  <c r="H127" i="36"/>
  <c r="H158" i="36"/>
  <c r="AD164" i="36" l="1"/>
  <c r="J106" i="36"/>
  <c r="K106" i="36"/>
  <c r="K27" i="36"/>
  <c r="J27" i="36"/>
  <c r="AC33" i="36"/>
  <c r="X33" i="36"/>
  <c r="J142" i="36"/>
  <c r="K142" i="36"/>
  <c r="K17" i="36"/>
  <c r="J17" i="36"/>
  <c r="K23" i="36"/>
  <c r="J23" i="36"/>
  <c r="AC75" i="36"/>
  <c r="AB75" i="36" s="1"/>
  <c r="J68" i="36"/>
  <c r="K68" i="36"/>
  <c r="K13" i="36"/>
  <c r="J13" i="36"/>
  <c r="K132" i="36"/>
  <c r="J132" i="36"/>
  <c r="AB116" i="36"/>
  <c r="AA164" i="36"/>
  <c r="AB33" i="36"/>
  <c r="K43" i="36"/>
  <c r="J43" i="36"/>
  <c r="U164" i="36"/>
  <c r="X167" i="36" s="1"/>
  <c r="K58" i="36"/>
  <c r="J58" i="36"/>
  <c r="AC7" i="36"/>
  <c r="K127" i="36"/>
  <c r="J127" i="36"/>
  <c r="K112" i="36"/>
  <c r="AC112" i="36" s="1"/>
  <c r="J112" i="36"/>
  <c r="K121" i="36"/>
  <c r="J121" i="36"/>
  <c r="AC53" i="36"/>
  <c r="AB53" i="36" s="1"/>
  <c r="X53" i="36"/>
  <c r="K111" i="36"/>
  <c r="J111" i="36"/>
  <c r="K108" i="36"/>
  <c r="AC108" i="36" s="1"/>
  <c r="J108" i="36"/>
  <c r="AC63" i="36"/>
  <c r="AB63" i="36" s="1"/>
  <c r="X63" i="36"/>
  <c r="AB90" i="36"/>
  <c r="AC51" i="36"/>
  <c r="K158" i="36"/>
  <c r="J158" i="36"/>
  <c r="J6" i="36"/>
  <c r="K6" i="36"/>
  <c r="AC50" i="36"/>
  <c r="X80" i="36"/>
  <c r="AC80" i="36"/>
  <c r="K49" i="36"/>
  <c r="J49" i="36"/>
  <c r="AB80" i="36"/>
  <c r="AC38" i="36"/>
  <c r="AB38" i="36" s="1"/>
  <c r="X38" i="36"/>
  <c r="AC127" i="36" l="1"/>
  <c r="AB127" i="36" s="1"/>
  <c r="X127" i="36"/>
  <c r="AC43" i="36"/>
  <c r="AB43" i="36"/>
  <c r="X43" i="36"/>
  <c r="AC13" i="36"/>
  <c r="AB12" i="36" s="1"/>
  <c r="X12" i="36"/>
  <c r="AC27" i="36"/>
  <c r="AB27" i="36" s="1"/>
  <c r="X27" i="36"/>
  <c r="K164" i="36"/>
  <c r="AC6" i="36"/>
  <c r="X6" i="36"/>
  <c r="AB6" i="36"/>
  <c r="AC68" i="36"/>
  <c r="X68" i="36"/>
  <c r="AB68" i="36"/>
  <c r="AC17" i="36"/>
  <c r="X17" i="36"/>
  <c r="AB17" i="36"/>
  <c r="AC106" i="36"/>
  <c r="AB106" i="36" s="1"/>
  <c r="X106" i="36"/>
  <c r="AC142" i="36"/>
  <c r="AB142" i="36" s="1"/>
  <c r="X142" i="36"/>
  <c r="AC121" i="36"/>
  <c r="AB121" i="36" s="1"/>
  <c r="X121" i="36"/>
  <c r="AC158" i="36"/>
  <c r="X158" i="36"/>
  <c r="X58" i="36"/>
  <c r="AC58" i="36"/>
  <c r="AB58" i="36" s="1"/>
  <c r="AC49" i="36"/>
  <c r="X48" i="36"/>
  <c r="AC111" i="36"/>
  <c r="AB111" i="36" s="1"/>
  <c r="X111" i="36"/>
  <c r="AC132" i="36"/>
  <c r="AB132" i="36" s="1"/>
  <c r="X132" i="36"/>
  <c r="AB48" i="36"/>
  <c r="AC23" i="36"/>
  <c r="X22" i="36"/>
  <c r="AB22" i="36"/>
  <c r="AB158" i="36"/>
  <c r="AB164" i="36" l="1"/>
  <c r="AB165" i="36" s="1"/>
  <c r="X176" i="36" s="1"/>
  <c r="AC164" i="36"/>
  <c r="AC165" i="36" s="1"/>
  <c r="X174" i="36" s="1"/>
  <c r="Z165" i="36"/>
  <c r="X173" i="36" s="1"/>
  <c r="X164" i="36"/>
  <c r="Y165" i="36"/>
  <c r="X172" i="36" s="1"/>
  <c r="V165" i="36"/>
  <c r="AA165" i="36"/>
  <c r="X175" i="36" s="1"/>
  <c r="BA165" i="36" l="1"/>
  <c r="AN165" i="36"/>
  <c r="X184" i="36" s="1"/>
  <c r="AX165" i="36"/>
  <c r="AW165" i="36"/>
  <c r="X191" i="36" s="1"/>
  <c r="AQ165" i="36"/>
  <c r="X187" i="36" s="1"/>
  <c r="AK165" i="36"/>
  <c r="X182" i="36" s="1"/>
  <c r="AI165" i="36"/>
  <c r="X180" i="36" s="1"/>
  <c r="AF165" i="36"/>
  <c r="X177" i="36" s="1"/>
  <c r="AH165" i="36"/>
  <c r="X179" i="36" s="1"/>
  <c r="AM165" i="36"/>
  <c r="AG165" i="36"/>
  <c r="X178" i="36" s="1"/>
  <c r="AS165" i="36"/>
  <c r="X188" i="36" s="1"/>
  <c r="AP165" i="36"/>
  <c r="X186" i="36" s="1"/>
  <c r="AZ165" i="36"/>
  <c r="AJ165" i="36"/>
  <c r="X181" i="36" s="1"/>
  <c r="AU165" i="36"/>
  <c r="X190" i="36" s="1"/>
  <c r="AO165" i="36"/>
  <c r="X185" i="36" s="1"/>
  <c r="AY165" i="36"/>
  <c r="AR165" i="36"/>
  <c r="AL165" i="36"/>
  <c r="X183" i="36" s="1"/>
  <c r="AT165" i="36"/>
  <c r="X189" i="36" s="1"/>
  <c r="AV165" i="36"/>
  <c r="X192" i="36" s="1"/>
  <c r="X193" i="36" l="1"/>
  <c r="X195" i="36" s="1"/>
  <c r="X197" i="36" s="1"/>
  <c r="AN20" i="1" l="1"/>
  <c r="F22" i="1"/>
  <c r="AJ20" i="1"/>
  <c r="AG20" i="1"/>
  <c r="AF20" i="1"/>
  <c r="AD20" i="1"/>
  <c r="AC20" i="1"/>
  <c r="AA20" i="1"/>
  <c r="Z20" i="1"/>
  <c r="X20" i="1"/>
  <c r="W20" i="1"/>
  <c r="U20" i="1"/>
  <c r="T20" i="1"/>
  <c r="F20" i="1"/>
  <c r="AY172" i="35"/>
  <c r="AY174" i="35" s="1"/>
  <c r="BF168" i="35"/>
  <c r="BE168" i="35"/>
  <c r="BD168" i="35"/>
  <c r="BC168" i="35"/>
  <c r="BB168" i="35"/>
  <c r="AY168" i="35"/>
  <c r="AX168" i="35"/>
  <c r="AW168" i="35"/>
  <c r="AV168" i="35"/>
  <c r="AU168" i="35"/>
  <c r="AT168" i="35"/>
  <c r="AS168" i="35"/>
  <c r="AQ168" i="35"/>
  <c r="AP168" i="35"/>
  <c r="AO168" i="35"/>
  <c r="AN168" i="35"/>
  <c r="AL168" i="35"/>
  <c r="AK168" i="35"/>
  <c r="AJ168" i="35"/>
  <c r="AI168" i="35"/>
  <c r="AH168" i="35"/>
  <c r="AG168" i="35"/>
  <c r="AF168" i="35"/>
  <c r="AR167" i="35"/>
  <c r="AM167" i="35"/>
  <c r="AC167" i="35"/>
  <c r="AA167" i="35"/>
  <c r="AR165" i="35"/>
  <c r="BA165" i="35" s="1"/>
  <c r="AM165" i="35"/>
  <c r="AC165" i="35"/>
  <c r="AR164" i="35"/>
  <c r="BA164" i="35" s="1"/>
  <c r="AM164" i="35"/>
  <c r="AD164" i="35" s="1"/>
  <c r="AC164" i="35"/>
  <c r="BA163" i="35"/>
  <c r="AR163" i="35"/>
  <c r="AM163" i="35"/>
  <c r="AD163" i="35" s="1"/>
  <c r="Z163" i="35"/>
  <c r="Y163" i="35"/>
  <c r="Y168" i="35" s="1"/>
  <c r="W163" i="35"/>
  <c r="O163" i="35"/>
  <c r="U163" i="35" s="1"/>
  <c r="N163" i="35"/>
  <c r="BA161" i="35"/>
  <c r="AD161" i="35" s="1"/>
  <c r="AR161" i="35"/>
  <c r="AM161" i="35"/>
  <c r="AC161" i="35"/>
  <c r="BA160" i="35"/>
  <c r="AR160" i="35"/>
  <c r="AM160" i="35"/>
  <c r="AD160" i="35"/>
  <c r="W160" i="35"/>
  <c r="O160" i="35"/>
  <c r="U160" i="35" s="1"/>
  <c r="N160" i="35"/>
  <c r="BA159" i="35"/>
  <c r="AR159" i="35"/>
  <c r="AM159" i="35"/>
  <c r="AD159" i="35"/>
  <c r="Z159" i="35"/>
  <c r="W159" i="35"/>
  <c r="U159" i="35"/>
  <c r="AA159" i="35" s="1"/>
  <c r="O159" i="35"/>
  <c r="V159" i="35" s="1"/>
  <c r="N159" i="35"/>
  <c r="H159" i="35"/>
  <c r="K159" i="35" s="1"/>
  <c r="C159" i="35"/>
  <c r="AR157" i="35"/>
  <c r="BA157" i="35" s="1"/>
  <c r="AM157" i="35"/>
  <c r="AD157" i="35" s="1"/>
  <c r="AC157" i="35"/>
  <c r="AR156" i="35"/>
  <c r="BA156" i="35" s="1"/>
  <c r="AM156" i="35"/>
  <c r="AC156" i="35"/>
  <c r="BA155" i="35"/>
  <c r="AR155" i="35"/>
  <c r="AM155" i="35"/>
  <c r="AD155" i="35" s="1"/>
  <c r="W155" i="35"/>
  <c r="T155" i="35"/>
  <c r="P155" i="35"/>
  <c r="O155" i="35"/>
  <c r="U155" i="35" s="1"/>
  <c r="N155" i="35"/>
  <c r="K155" i="35"/>
  <c r="H155" i="35"/>
  <c r="J155" i="35" s="1"/>
  <c r="C155" i="35"/>
  <c r="AR154" i="35"/>
  <c r="BA154" i="35" s="1"/>
  <c r="AD154" i="35" s="1"/>
  <c r="AM154" i="35"/>
  <c r="Z154" i="35"/>
  <c r="W154" i="35"/>
  <c r="T154" i="35"/>
  <c r="Q154" i="35"/>
  <c r="O154" i="35"/>
  <c r="K154" i="35" s="1"/>
  <c r="N154" i="35"/>
  <c r="H154" i="35"/>
  <c r="J154" i="35" s="1"/>
  <c r="AR152" i="35"/>
  <c r="BA152" i="35" s="1"/>
  <c r="AM152" i="35"/>
  <c r="AD152" i="35" s="1"/>
  <c r="AC152" i="35"/>
  <c r="AR151" i="35"/>
  <c r="BA151" i="35" s="1"/>
  <c r="AM151" i="35"/>
  <c r="AD151" i="35" s="1"/>
  <c r="Z151" i="35"/>
  <c r="W151" i="35"/>
  <c r="S151" i="35"/>
  <c r="O151" i="35"/>
  <c r="N151" i="35"/>
  <c r="BA150" i="35"/>
  <c r="AD150" i="35" s="1"/>
  <c r="AR150" i="35"/>
  <c r="AM150" i="35"/>
  <c r="W150" i="35"/>
  <c r="O150" i="35"/>
  <c r="P150" i="35" s="1"/>
  <c r="N150" i="35"/>
  <c r="BA148" i="35"/>
  <c r="AR148" i="35"/>
  <c r="AM148" i="35"/>
  <c r="AD148" i="35" s="1"/>
  <c r="AC148" i="35"/>
  <c r="BA147" i="35"/>
  <c r="AD147" i="35" s="1"/>
  <c r="AR147" i="35"/>
  <c r="AM147" i="35"/>
  <c r="AC147" i="35"/>
  <c r="BA146" i="35"/>
  <c r="AR146" i="35"/>
  <c r="AM146" i="35"/>
  <c r="AD146" i="35"/>
  <c r="Z146" i="35"/>
  <c r="W146" i="35"/>
  <c r="O146" i="35"/>
  <c r="T146" i="35" s="1"/>
  <c r="N146" i="35"/>
  <c r="AR144" i="35"/>
  <c r="BA144" i="35" s="1"/>
  <c r="AM144" i="35"/>
  <c r="BA143" i="35"/>
  <c r="AR143" i="35"/>
  <c r="AM143" i="35"/>
  <c r="AD143" i="35"/>
  <c r="AC143" i="35"/>
  <c r="AR142" i="35"/>
  <c r="BA142" i="35" s="1"/>
  <c r="AM142" i="35"/>
  <c r="Z142" i="35"/>
  <c r="W142" i="35"/>
  <c r="S142" i="35"/>
  <c r="O142" i="35"/>
  <c r="C142" i="35" s="1"/>
  <c r="N142" i="35"/>
  <c r="H142" i="35"/>
  <c r="J142" i="35" s="1"/>
  <c r="BA141" i="35"/>
  <c r="AD141" i="35" s="1"/>
  <c r="AR141" i="35"/>
  <c r="AM141" i="35"/>
  <c r="W141" i="35"/>
  <c r="S141" i="35"/>
  <c r="O141" i="35"/>
  <c r="U141" i="35" s="1"/>
  <c r="N141" i="35"/>
  <c r="AR139" i="35"/>
  <c r="BA139" i="35" s="1"/>
  <c r="AM139" i="35"/>
  <c r="BA138" i="35"/>
  <c r="AR138" i="35"/>
  <c r="AM138" i="35"/>
  <c r="AD138" i="35"/>
  <c r="AC138" i="35"/>
  <c r="AR137" i="35"/>
  <c r="BA137" i="35" s="1"/>
  <c r="AM137" i="35"/>
  <c r="AC137" i="35"/>
  <c r="Z137" i="35"/>
  <c r="BA136" i="35"/>
  <c r="AD136" i="35" s="1"/>
  <c r="AR136" i="35"/>
  <c r="AM136" i="35"/>
  <c r="W136" i="35"/>
  <c r="O136" i="35"/>
  <c r="C136" i="35" s="1"/>
  <c r="N136" i="35"/>
  <c r="BA134" i="35"/>
  <c r="AD134" i="35" s="1"/>
  <c r="AR134" i="35"/>
  <c r="AM134" i="35"/>
  <c r="W134" i="35"/>
  <c r="O134" i="35"/>
  <c r="U134" i="35" s="1"/>
  <c r="N134" i="35"/>
  <c r="BA133" i="35"/>
  <c r="AD133" i="35" s="1"/>
  <c r="AR133" i="35"/>
  <c r="AM133" i="35"/>
  <c r="Z133" i="35"/>
  <c r="W133" i="35"/>
  <c r="S133" i="35"/>
  <c r="O133" i="35"/>
  <c r="N133" i="35"/>
  <c r="J133" i="35"/>
  <c r="H133" i="35"/>
  <c r="AR132" i="35"/>
  <c r="BA132" i="35" s="1"/>
  <c r="AM132" i="35"/>
  <c r="Z132" i="35"/>
  <c r="W132" i="35"/>
  <c r="O132" i="35"/>
  <c r="U132" i="35" s="1"/>
  <c r="N132" i="35"/>
  <c r="H132" i="35"/>
  <c r="AR130" i="35"/>
  <c r="BA130" i="35" s="1"/>
  <c r="AM130" i="35"/>
  <c r="AR129" i="35"/>
  <c r="BA129" i="35" s="1"/>
  <c r="AM129" i="35"/>
  <c r="AR128" i="35"/>
  <c r="BA128" i="35" s="1"/>
  <c r="AM128" i="35"/>
  <c r="AD128" i="35" s="1"/>
  <c r="W128" i="35"/>
  <c r="O128" i="35"/>
  <c r="U128" i="35" s="1"/>
  <c r="N128" i="35"/>
  <c r="H128" i="35"/>
  <c r="AR127" i="35"/>
  <c r="BA127" i="35" s="1"/>
  <c r="AM127" i="35"/>
  <c r="AD127" i="35" s="1"/>
  <c r="Z127" i="35"/>
  <c r="W127" i="35"/>
  <c r="Q127" i="35"/>
  <c r="U127" i="35" s="1"/>
  <c r="P127" i="35"/>
  <c r="O127" i="35"/>
  <c r="T127" i="35" s="1"/>
  <c r="N127" i="35"/>
  <c r="K127" i="35"/>
  <c r="AC127" i="35" s="1"/>
  <c r="J127" i="35"/>
  <c r="H127" i="35"/>
  <c r="AR126" i="35"/>
  <c r="BA126" i="35" s="1"/>
  <c r="AM126" i="35"/>
  <c r="AR125" i="35"/>
  <c r="BA125" i="35" s="1"/>
  <c r="AM125" i="35"/>
  <c r="AR124" i="35"/>
  <c r="BA124" i="35" s="1"/>
  <c r="AM124" i="35"/>
  <c r="W124" i="35"/>
  <c r="O124" i="35"/>
  <c r="N124" i="35"/>
  <c r="J124" i="35"/>
  <c r="H124" i="35"/>
  <c r="AR123" i="35"/>
  <c r="BA123" i="35" s="1"/>
  <c r="AM123" i="35"/>
  <c r="AD123" i="35" s="1"/>
  <c r="Z123" i="35"/>
  <c r="W123" i="35"/>
  <c r="O123" i="35"/>
  <c r="U123" i="35" s="1"/>
  <c r="N123" i="35"/>
  <c r="J123" i="35"/>
  <c r="H123" i="35"/>
  <c r="AR122" i="35"/>
  <c r="BA122" i="35" s="1"/>
  <c r="AM122" i="35"/>
  <c r="Z122" i="35"/>
  <c r="W122" i="35"/>
  <c r="S122" i="35"/>
  <c r="O122" i="35"/>
  <c r="U122" i="35" s="1"/>
  <c r="N122" i="35"/>
  <c r="BA120" i="35"/>
  <c r="AZ120" i="35"/>
  <c r="AR120" i="35"/>
  <c r="AM120" i="35"/>
  <c r="AD120" i="35"/>
  <c r="BA119" i="35"/>
  <c r="AR119" i="35"/>
  <c r="AM119" i="35"/>
  <c r="AD119" i="35" s="1"/>
  <c r="BA118" i="35"/>
  <c r="AR118" i="35"/>
  <c r="AM118" i="35"/>
  <c r="AD118" i="35"/>
  <c r="W118" i="35"/>
  <c r="O118" i="35"/>
  <c r="T118" i="35" s="1"/>
  <c r="N118" i="35"/>
  <c r="BA117" i="35"/>
  <c r="AR117" i="35"/>
  <c r="AM117" i="35"/>
  <c r="AD117" i="35"/>
  <c r="Z117" i="35"/>
  <c r="W117" i="35"/>
  <c r="V117" i="35"/>
  <c r="R117" i="35"/>
  <c r="Q117" i="35"/>
  <c r="O117" i="35"/>
  <c r="T117" i="35" s="1"/>
  <c r="N117" i="35"/>
  <c r="J117" i="35"/>
  <c r="H117" i="35"/>
  <c r="BA115" i="35"/>
  <c r="AD115" i="35" s="1"/>
  <c r="AZ115" i="35"/>
  <c r="AR115" i="35"/>
  <c r="AM115" i="35"/>
  <c r="BA114" i="35"/>
  <c r="AD114" i="35" s="1"/>
  <c r="AR114" i="35"/>
  <c r="AM114" i="35"/>
  <c r="BA113" i="35"/>
  <c r="AD113" i="35" s="1"/>
  <c r="AR113" i="35"/>
  <c r="AM113" i="35"/>
  <c r="BA112" i="35"/>
  <c r="AD112" i="35" s="1"/>
  <c r="AR112" i="35"/>
  <c r="AM112" i="35"/>
  <c r="Z112" i="35"/>
  <c r="Z168" i="35" s="1"/>
  <c r="W112" i="35"/>
  <c r="R112" i="35"/>
  <c r="Q112" i="35"/>
  <c r="O112" i="35"/>
  <c r="N112" i="35"/>
  <c r="J112" i="35"/>
  <c r="H112" i="35"/>
  <c r="AZ110" i="35"/>
  <c r="AR110" i="35"/>
  <c r="BA110" i="35" s="1"/>
  <c r="AM110" i="35"/>
  <c r="BA109" i="35"/>
  <c r="AR109" i="35"/>
  <c r="AM109" i="35"/>
  <c r="AD109" i="35" s="1"/>
  <c r="AR108" i="35"/>
  <c r="BA108" i="35" s="1"/>
  <c r="AM108" i="35"/>
  <c r="U108" i="35"/>
  <c r="T108" i="35"/>
  <c r="P108" i="35"/>
  <c r="N108" i="35"/>
  <c r="V108" i="35" s="1"/>
  <c r="J108" i="35"/>
  <c r="H108" i="35"/>
  <c r="K108" i="35" s="1"/>
  <c r="AC108" i="35" s="1"/>
  <c r="C108" i="35"/>
  <c r="AR107" i="35"/>
  <c r="BA107" i="35" s="1"/>
  <c r="AM107" i="35"/>
  <c r="AD107" i="35" s="1"/>
  <c r="Z107" i="35"/>
  <c r="W107" i="35"/>
  <c r="S107" i="35"/>
  <c r="S168" i="35" s="1"/>
  <c r="R107" i="35"/>
  <c r="Q107" i="35"/>
  <c r="O107" i="35"/>
  <c r="P107" i="35" s="1"/>
  <c r="N107" i="35"/>
  <c r="H107" i="35" s="1"/>
  <c r="C107" i="35"/>
  <c r="BA105" i="35"/>
  <c r="AR105" i="35"/>
  <c r="AM105" i="35"/>
  <c r="AD105" i="35"/>
  <c r="BA104" i="35"/>
  <c r="AR104" i="35"/>
  <c r="AM104" i="35"/>
  <c r="AD104" i="35" s="1"/>
  <c r="BA103" i="35"/>
  <c r="AR103" i="35"/>
  <c r="AM103" i="35"/>
  <c r="AD103" i="35"/>
  <c r="BA102" i="35"/>
  <c r="AR102" i="35"/>
  <c r="AM102" i="35"/>
  <c r="AD102" i="35" s="1"/>
  <c r="Z102" i="35"/>
  <c r="W102" i="35"/>
  <c r="O102" i="35"/>
  <c r="T102" i="35" s="1"/>
  <c r="N102" i="35"/>
  <c r="AZ100" i="35"/>
  <c r="AR100" i="35"/>
  <c r="BA100" i="35" s="1"/>
  <c r="AM100" i="35"/>
  <c r="AD100" i="35" s="1"/>
  <c r="AR99" i="35"/>
  <c r="BA99" i="35" s="1"/>
  <c r="AM99" i="35"/>
  <c r="AD99" i="35" s="1"/>
  <c r="AR98" i="35"/>
  <c r="BA98" i="35" s="1"/>
  <c r="AM98" i="35"/>
  <c r="AR97" i="35"/>
  <c r="BA97" i="35" s="1"/>
  <c r="AM97" i="35"/>
  <c r="AR96" i="35"/>
  <c r="BA96" i="35" s="1"/>
  <c r="AM96" i="35"/>
  <c r="AD96" i="35" s="1"/>
  <c r="W96" i="35"/>
  <c r="R96" i="35"/>
  <c r="Q96" i="35"/>
  <c r="O96" i="35"/>
  <c r="T96" i="35" s="1"/>
  <c r="N96" i="35"/>
  <c r="J96" i="35"/>
  <c r="H96" i="35"/>
  <c r="BA94" i="35"/>
  <c r="AD94" i="35" s="1"/>
  <c r="AZ94" i="35"/>
  <c r="AR94" i="35"/>
  <c r="AM94" i="35"/>
  <c r="BA93" i="35"/>
  <c r="AD93" i="35" s="1"/>
  <c r="AR93" i="35"/>
  <c r="AM93" i="35"/>
  <c r="BA92" i="35"/>
  <c r="AD92" i="35" s="1"/>
  <c r="AR92" i="35"/>
  <c r="AM92" i="35"/>
  <c r="BA91" i="35"/>
  <c r="AD91" i="35" s="1"/>
  <c r="AR91" i="35"/>
  <c r="AM91" i="35"/>
  <c r="BA90" i="35"/>
  <c r="AD90" i="35" s="1"/>
  <c r="AR90" i="35"/>
  <c r="AM90" i="35"/>
  <c r="R90" i="35"/>
  <c r="Q90" i="35"/>
  <c r="O90" i="35"/>
  <c r="T90" i="35" s="1"/>
  <c r="N90" i="35"/>
  <c r="BA88" i="35"/>
  <c r="AZ88" i="35"/>
  <c r="AR88" i="35"/>
  <c r="AM88" i="35"/>
  <c r="AD88" i="35" s="1"/>
  <c r="BA87" i="35"/>
  <c r="AR87" i="35"/>
  <c r="AM87" i="35"/>
  <c r="AD87" i="35"/>
  <c r="BA86" i="35"/>
  <c r="AR86" i="35"/>
  <c r="AM86" i="35"/>
  <c r="AD86" i="35" s="1"/>
  <c r="BA85" i="35"/>
  <c r="AR85" i="35"/>
  <c r="AM85" i="35"/>
  <c r="AD85" i="35"/>
  <c r="BA84" i="35"/>
  <c r="AR84" i="35"/>
  <c r="AM84" i="35"/>
  <c r="AD84" i="35" s="1"/>
  <c r="R84" i="35"/>
  <c r="Q84" i="35"/>
  <c r="O84" i="35"/>
  <c r="P84" i="35" s="1"/>
  <c r="N84" i="35"/>
  <c r="AZ82" i="35"/>
  <c r="AR82" i="35"/>
  <c r="BA82" i="35" s="1"/>
  <c r="AM82" i="35"/>
  <c r="AD82" i="35" s="1"/>
  <c r="AR81" i="35"/>
  <c r="BA81" i="35" s="1"/>
  <c r="AM81" i="35"/>
  <c r="AR80" i="35"/>
  <c r="BA80" i="35" s="1"/>
  <c r="AM80" i="35"/>
  <c r="AR79" i="35"/>
  <c r="BA79" i="35" s="1"/>
  <c r="AM79" i="35"/>
  <c r="AD79" i="35" s="1"/>
  <c r="AR78" i="35"/>
  <c r="BA78" i="35" s="1"/>
  <c r="AM78" i="35"/>
  <c r="AD78" i="35" s="1"/>
  <c r="R78" i="35"/>
  <c r="Q78" i="35"/>
  <c r="O78" i="35"/>
  <c r="U78" i="35" s="1"/>
  <c r="AA78" i="35" s="1"/>
  <c r="N78" i="35"/>
  <c r="H78" i="35"/>
  <c r="AZ76" i="35"/>
  <c r="AR76" i="35"/>
  <c r="BA76" i="35" s="1"/>
  <c r="AM76" i="35"/>
  <c r="AR75" i="35"/>
  <c r="BA75" i="35" s="1"/>
  <c r="AM75" i="35"/>
  <c r="BA74" i="35"/>
  <c r="AR74" i="35"/>
  <c r="AM74" i="35"/>
  <c r="AD74" i="35" s="1"/>
  <c r="AR73" i="35"/>
  <c r="BA73" i="35" s="1"/>
  <c r="AM73" i="35"/>
  <c r="AD73" i="35" s="1"/>
  <c r="BA72" i="35"/>
  <c r="AR72" i="35"/>
  <c r="AM72" i="35"/>
  <c r="AD72" i="35" s="1"/>
  <c r="R72" i="35"/>
  <c r="Q72" i="35"/>
  <c r="P72" i="35"/>
  <c r="O72" i="35"/>
  <c r="T72" i="35" s="1"/>
  <c r="N72" i="35"/>
  <c r="J72" i="35"/>
  <c r="H72" i="35"/>
  <c r="AZ70" i="35"/>
  <c r="BA70" i="35" s="1"/>
  <c r="AD70" i="35" s="1"/>
  <c r="AR70" i="35"/>
  <c r="AM70" i="35"/>
  <c r="BA69" i="35"/>
  <c r="AD69" i="35" s="1"/>
  <c r="AR69" i="35"/>
  <c r="AM69" i="35"/>
  <c r="BA68" i="35"/>
  <c r="AD68" i="35" s="1"/>
  <c r="AR68" i="35"/>
  <c r="AM68" i="35"/>
  <c r="BA67" i="35"/>
  <c r="AD67" i="35" s="1"/>
  <c r="AR67" i="35"/>
  <c r="AM67" i="35"/>
  <c r="BA66" i="35"/>
  <c r="AD66" i="35" s="1"/>
  <c r="AR66" i="35"/>
  <c r="AM66" i="35"/>
  <c r="R66" i="35"/>
  <c r="Q66" i="35"/>
  <c r="O66" i="35"/>
  <c r="U66" i="35" s="1"/>
  <c r="AA66" i="35" s="1"/>
  <c r="N66" i="35"/>
  <c r="H66" i="35" s="1"/>
  <c r="J66" i="35" s="1"/>
  <c r="BA64" i="35"/>
  <c r="AZ64" i="35"/>
  <c r="AR64" i="35"/>
  <c r="AM64" i="35"/>
  <c r="AD64" i="35"/>
  <c r="BA63" i="35"/>
  <c r="AR63" i="35"/>
  <c r="AM63" i="35"/>
  <c r="AD63" i="35" s="1"/>
  <c r="BA62" i="35"/>
  <c r="AR62" i="35"/>
  <c r="AM62" i="35"/>
  <c r="AD62" i="35"/>
  <c r="BA61" i="35"/>
  <c r="AR61" i="35"/>
  <c r="AM61" i="35"/>
  <c r="AD61" i="35" s="1"/>
  <c r="BA60" i="35"/>
  <c r="AR60" i="35"/>
  <c r="AM60" i="35"/>
  <c r="AD60" i="35"/>
  <c r="R60" i="35"/>
  <c r="Q60" i="35"/>
  <c r="O60" i="35"/>
  <c r="T60" i="35" s="1"/>
  <c r="N60" i="35"/>
  <c r="H60" i="35"/>
  <c r="AZ58" i="35"/>
  <c r="AR58" i="35"/>
  <c r="BA58" i="35" s="1"/>
  <c r="AM58" i="35"/>
  <c r="AR57" i="35"/>
  <c r="BA57" i="35" s="1"/>
  <c r="AM57" i="35"/>
  <c r="AD57" i="35" s="1"/>
  <c r="AR56" i="35"/>
  <c r="BA56" i="35" s="1"/>
  <c r="AM56" i="35"/>
  <c r="AR55" i="35"/>
  <c r="BA55" i="35" s="1"/>
  <c r="AM55" i="35"/>
  <c r="AR54" i="35"/>
  <c r="BA54" i="35" s="1"/>
  <c r="AM54" i="35"/>
  <c r="R54" i="35"/>
  <c r="Q54" i="35"/>
  <c r="O54" i="35"/>
  <c r="P54" i="35" s="1"/>
  <c r="N54" i="35"/>
  <c r="J54" i="35"/>
  <c r="H54" i="35"/>
  <c r="AZ52" i="35"/>
  <c r="AR52" i="35"/>
  <c r="BA52" i="35" s="1"/>
  <c r="AD52" i="35" s="1"/>
  <c r="AM52" i="35"/>
  <c r="BA51" i="35"/>
  <c r="AR51" i="35"/>
  <c r="AM51" i="35"/>
  <c r="BA50" i="35"/>
  <c r="AD50" i="35" s="1"/>
  <c r="AR50" i="35"/>
  <c r="AM50" i="35"/>
  <c r="BA49" i="35"/>
  <c r="AR49" i="35"/>
  <c r="AM49" i="35"/>
  <c r="AD49" i="35" s="1"/>
  <c r="BA48" i="35"/>
  <c r="AD48" i="35" s="1"/>
  <c r="AR48" i="35"/>
  <c r="AM48" i="35"/>
  <c r="R48" i="35"/>
  <c r="Q48" i="35"/>
  <c r="O48" i="35"/>
  <c r="V48" i="35" s="1"/>
  <c r="N48" i="35"/>
  <c r="J48" i="35"/>
  <c r="H48" i="35"/>
  <c r="BA46" i="35"/>
  <c r="AD46" i="35" s="1"/>
  <c r="AZ46" i="35"/>
  <c r="AR46" i="35"/>
  <c r="AM46" i="35"/>
  <c r="BA45" i="35"/>
  <c r="AR45" i="35"/>
  <c r="AM45" i="35"/>
  <c r="AD45" i="35"/>
  <c r="BA44" i="35"/>
  <c r="AD44" i="35" s="1"/>
  <c r="AR44" i="35"/>
  <c r="AM44" i="35"/>
  <c r="BA43" i="35"/>
  <c r="AR43" i="35"/>
  <c r="AM43" i="35"/>
  <c r="AD43" i="35"/>
  <c r="BA42" i="35"/>
  <c r="AD42" i="35" s="1"/>
  <c r="AR42" i="35"/>
  <c r="AM42" i="35"/>
  <c r="R42" i="35"/>
  <c r="Q42" i="35"/>
  <c r="O42" i="35"/>
  <c r="N42" i="35"/>
  <c r="H42" i="35" s="1"/>
  <c r="J42" i="35" s="1"/>
  <c r="AZ40" i="35"/>
  <c r="AR40" i="35"/>
  <c r="BA40" i="35" s="1"/>
  <c r="AM40" i="35"/>
  <c r="AD40" i="35" s="1"/>
  <c r="BA39" i="35"/>
  <c r="AR39" i="35"/>
  <c r="AM39" i="35"/>
  <c r="AD39" i="35"/>
  <c r="AR38" i="35"/>
  <c r="BA38" i="35" s="1"/>
  <c r="AM38" i="35"/>
  <c r="AD38" i="35" s="1"/>
  <c r="BA37" i="35"/>
  <c r="AR37" i="35"/>
  <c r="AM37" i="35"/>
  <c r="AD37" i="35" s="1"/>
  <c r="AR36" i="35"/>
  <c r="BA36" i="35" s="1"/>
  <c r="AM36" i="35"/>
  <c r="AD36" i="35"/>
  <c r="R36" i="35"/>
  <c r="Q36" i="35"/>
  <c r="O36" i="35"/>
  <c r="P36" i="35" s="1"/>
  <c r="N36" i="35"/>
  <c r="AZ34" i="35"/>
  <c r="AR34" i="35"/>
  <c r="BA34" i="35" s="1"/>
  <c r="AM34" i="35"/>
  <c r="AD34" i="35" s="1"/>
  <c r="AR33" i="35"/>
  <c r="BA33" i="35" s="1"/>
  <c r="AM33" i="35"/>
  <c r="AR32" i="35"/>
  <c r="BA32" i="35" s="1"/>
  <c r="AM32" i="35"/>
  <c r="AD32" i="35" s="1"/>
  <c r="BA31" i="35"/>
  <c r="AR31" i="35"/>
  <c r="AM31" i="35"/>
  <c r="AD31" i="35" s="1"/>
  <c r="AR30" i="35"/>
  <c r="BA30" i="35" s="1"/>
  <c r="AD30" i="35" s="1"/>
  <c r="AM30" i="35"/>
  <c r="R30" i="35"/>
  <c r="Q30" i="35"/>
  <c r="O30" i="35"/>
  <c r="P30" i="35" s="1"/>
  <c r="N30" i="35"/>
  <c r="J30" i="35"/>
  <c r="H30" i="35"/>
  <c r="BA28" i="35"/>
  <c r="AZ28" i="35"/>
  <c r="AR28" i="35"/>
  <c r="AM28" i="35"/>
  <c r="AD28" i="35"/>
  <c r="BA27" i="35"/>
  <c r="AR27" i="35"/>
  <c r="AM27" i="35"/>
  <c r="AD27" i="35" s="1"/>
  <c r="AR26" i="35"/>
  <c r="BA26" i="35" s="1"/>
  <c r="AD26" i="35" s="1"/>
  <c r="AM26" i="35"/>
  <c r="BA25" i="35"/>
  <c r="AR25" i="35"/>
  <c r="AM25" i="35"/>
  <c r="AD25" i="35" s="1"/>
  <c r="AR24" i="35"/>
  <c r="BA24" i="35" s="1"/>
  <c r="AD24" i="35" s="1"/>
  <c r="AM24" i="35"/>
  <c r="R24" i="35"/>
  <c r="Q24" i="35"/>
  <c r="O24" i="35"/>
  <c r="U24" i="35" s="1"/>
  <c r="AA24" i="35" s="1"/>
  <c r="N24" i="35"/>
  <c r="BA22" i="35"/>
  <c r="AZ22" i="35"/>
  <c r="AR22" i="35"/>
  <c r="AM22" i="35"/>
  <c r="AD22" i="35" s="1"/>
  <c r="BA21" i="35"/>
  <c r="AR21" i="35"/>
  <c r="AM21" i="35"/>
  <c r="AD21" i="35"/>
  <c r="AR20" i="35"/>
  <c r="BA20" i="35" s="1"/>
  <c r="AM20" i="35"/>
  <c r="AD20" i="35" s="1"/>
  <c r="BA19" i="35"/>
  <c r="AR19" i="35"/>
  <c r="AM19" i="35"/>
  <c r="AD19" i="35"/>
  <c r="AR18" i="35"/>
  <c r="BA18" i="35" s="1"/>
  <c r="AM18" i="35"/>
  <c r="W18" i="35"/>
  <c r="R18" i="35"/>
  <c r="Q18" i="35"/>
  <c r="O18" i="35"/>
  <c r="U18" i="35" s="1"/>
  <c r="N18" i="35"/>
  <c r="H18" i="35" s="1"/>
  <c r="AZ16" i="35"/>
  <c r="AR16" i="35"/>
  <c r="BA16" i="35" s="1"/>
  <c r="AD16" i="35" s="1"/>
  <c r="AM16" i="35"/>
  <c r="BA15" i="35"/>
  <c r="AR15" i="35"/>
  <c r="AM15" i="35"/>
  <c r="AD15" i="35" s="1"/>
  <c r="AR14" i="35"/>
  <c r="BA14" i="35" s="1"/>
  <c r="AD14" i="35" s="1"/>
  <c r="AM14" i="35"/>
  <c r="BA13" i="35"/>
  <c r="AR13" i="35"/>
  <c r="AM13" i="35"/>
  <c r="AD13" i="35" s="1"/>
  <c r="AR12" i="35"/>
  <c r="BA12" i="35" s="1"/>
  <c r="AD12" i="35" s="1"/>
  <c r="AM12" i="35"/>
  <c r="W12" i="35"/>
  <c r="R12" i="35"/>
  <c r="Q12" i="35"/>
  <c r="O12" i="35"/>
  <c r="T12" i="35" s="1"/>
  <c r="N12" i="35"/>
  <c r="H12" i="35" s="1"/>
  <c r="AM11" i="35"/>
  <c r="AZ10" i="35"/>
  <c r="AZ168" i="35" s="1"/>
  <c r="AR10" i="35"/>
  <c r="BA10" i="35" s="1"/>
  <c r="AD10" i="35" s="1"/>
  <c r="AM10" i="35"/>
  <c r="BA9" i="35"/>
  <c r="AR9" i="35"/>
  <c r="AM9" i="35"/>
  <c r="AD9" i="35" s="1"/>
  <c r="AR8" i="35"/>
  <c r="BA8" i="35" s="1"/>
  <c r="AD8" i="35" s="1"/>
  <c r="AM8" i="35"/>
  <c r="BA7" i="35"/>
  <c r="AR7" i="35"/>
  <c r="AM7" i="35"/>
  <c r="AD7" i="35" s="1"/>
  <c r="AR6" i="35"/>
  <c r="AR168" i="35" s="1"/>
  <c r="AM6" i="35"/>
  <c r="W6" i="35"/>
  <c r="R6" i="35"/>
  <c r="Q6" i="35"/>
  <c r="Q168" i="35" s="1"/>
  <c r="Q169" i="35" s="1"/>
  <c r="O6" i="35"/>
  <c r="T6" i="35" s="1"/>
  <c r="N6" i="35"/>
  <c r="H6" i="35" s="1"/>
  <c r="A6" i="35"/>
  <c r="K72" i="35" l="1"/>
  <c r="AC72" i="35" s="1"/>
  <c r="AB72" i="35" s="1"/>
  <c r="AA127" i="35"/>
  <c r="V154" i="35"/>
  <c r="AC154" i="35"/>
  <c r="U118" i="35"/>
  <c r="P122" i="35"/>
  <c r="P132" i="35"/>
  <c r="P117" i="35"/>
  <c r="U72" i="35"/>
  <c r="AA72" i="35" s="1"/>
  <c r="C154" i="35"/>
  <c r="V72" i="35"/>
  <c r="U117" i="35"/>
  <c r="C118" i="35"/>
  <c r="V155" i="35"/>
  <c r="AA18" i="35"/>
  <c r="P123" i="35"/>
  <c r="V127" i="35"/>
  <c r="C36" i="35"/>
  <c r="T78" i="35"/>
  <c r="T84" i="35"/>
  <c r="T123" i="35"/>
  <c r="C134" i="35"/>
  <c r="T141" i="35"/>
  <c r="K142" i="35"/>
  <c r="C146" i="35"/>
  <c r="T163" i="35"/>
  <c r="V142" i="35"/>
  <c r="V146" i="35"/>
  <c r="W168" i="35"/>
  <c r="J22" i="1" s="1"/>
  <c r="V90" i="35"/>
  <c r="P96" i="35"/>
  <c r="P134" i="35"/>
  <c r="U136" i="35"/>
  <c r="AA136" i="35" s="1"/>
  <c r="P142" i="35"/>
  <c r="U146" i="35"/>
  <c r="K123" i="35"/>
  <c r="AC123" i="35" s="1"/>
  <c r="T134" i="35"/>
  <c r="C141" i="35"/>
  <c r="T142" i="35"/>
  <c r="U96" i="35"/>
  <c r="V96" i="35"/>
  <c r="V163" i="35"/>
  <c r="K30" i="35"/>
  <c r="T36" i="35"/>
  <c r="AA96" i="35"/>
  <c r="C122" i="35"/>
  <c r="V123" i="35"/>
  <c r="V128" i="35"/>
  <c r="P136" i="35"/>
  <c r="AA163" i="35"/>
  <c r="U36" i="35"/>
  <c r="AA36" i="35" s="1"/>
  <c r="C66" i="35"/>
  <c r="U102" i="35"/>
  <c r="AA102" i="35" s="1"/>
  <c r="V122" i="35"/>
  <c r="T136" i="35"/>
  <c r="C150" i="35"/>
  <c r="V151" i="35"/>
  <c r="V24" i="35"/>
  <c r="AA146" i="35"/>
  <c r="V150" i="35"/>
  <c r="C24" i="35"/>
  <c r="V36" i="35"/>
  <c r="C48" i="35"/>
  <c r="T122" i="35"/>
  <c r="V132" i="35"/>
  <c r="V134" i="35"/>
  <c r="V141" i="35"/>
  <c r="T150" i="35"/>
  <c r="C30" i="35"/>
  <c r="U30" i="35"/>
  <c r="AA30" i="35" s="1"/>
  <c r="V66" i="35"/>
  <c r="V78" i="35"/>
  <c r="V30" i="35"/>
  <c r="C84" i="35"/>
  <c r="C102" i="35"/>
  <c r="V136" i="35"/>
  <c r="P78" i="35"/>
  <c r="AA117" i="35"/>
  <c r="P128" i="35"/>
  <c r="AC142" i="35"/>
  <c r="AC155" i="35"/>
  <c r="J18" i="35"/>
  <c r="K18" i="35"/>
  <c r="K6" i="35"/>
  <c r="X6" i="35" s="1"/>
  <c r="J6" i="35"/>
  <c r="K12" i="35"/>
  <c r="AC12" i="35" s="1"/>
  <c r="J12" i="35"/>
  <c r="AD18" i="35"/>
  <c r="U6" i="35"/>
  <c r="U12" i="35"/>
  <c r="AA12" i="35" s="1"/>
  <c r="T48" i="35"/>
  <c r="U60" i="35"/>
  <c r="AA60" i="35" s="1"/>
  <c r="P60" i="35"/>
  <c r="AD165" i="35"/>
  <c r="V18" i="35"/>
  <c r="V6" i="35"/>
  <c r="AM168" i="35"/>
  <c r="V12" i="35"/>
  <c r="P24" i="35"/>
  <c r="T30" i="35"/>
  <c r="AC30" i="35" s="1"/>
  <c r="AB30" i="35" s="1"/>
  <c r="H36" i="35"/>
  <c r="U42" i="35"/>
  <c r="AA42" i="35" s="1"/>
  <c r="T42" i="35"/>
  <c r="P42" i="35"/>
  <c r="P48" i="35"/>
  <c r="AD51" i="35"/>
  <c r="K66" i="35"/>
  <c r="K78" i="35"/>
  <c r="J78" i="35"/>
  <c r="AD110" i="35"/>
  <c r="V118" i="35"/>
  <c r="H118" i="35"/>
  <c r="AD122" i="35"/>
  <c r="AD130" i="35"/>
  <c r="AD139" i="35"/>
  <c r="AD33" i="35"/>
  <c r="C54" i="35"/>
  <c r="V54" i="35"/>
  <c r="AD54" i="35"/>
  <c r="AD58" i="35"/>
  <c r="K107" i="35"/>
  <c r="J107" i="35"/>
  <c r="V124" i="35"/>
  <c r="U124" i="35"/>
  <c r="AA122" i="35" s="1"/>
  <c r="C124" i="35"/>
  <c r="T124" i="35"/>
  <c r="P124" i="35"/>
  <c r="AD132" i="35"/>
  <c r="AD137" i="35"/>
  <c r="BB170" i="35"/>
  <c r="K132" i="35"/>
  <c r="J132" i="35"/>
  <c r="X154" i="35"/>
  <c r="BC170" i="35"/>
  <c r="P6" i="35"/>
  <c r="P12" i="35"/>
  <c r="H24" i="35"/>
  <c r="T24" i="35"/>
  <c r="X30" i="35"/>
  <c r="V42" i="35"/>
  <c r="U48" i="35"/>
  <c r="AA48" i="35" s="1"/>
  <c r="AD55" i="35"/>
  <c r="P66" i="35"/>
  <c r="AD75" i="35"/>
  <c r="AD80" i="35"/>
  <c r="V84" i="35"/>
  <c r="H84" i="35"/>
  <c r="AD97" i="35"/>
  <c r="AD108" i="35"/>
  <c r="K112" i="35"/>
  <c r="AD124" i="35"/>
  <c r="K133" i="35"/>
  <c r="U151" i="35"/>
  <c r="BD170" i="35"/>
  <c r="BA6" i="35"/>
  <c r="C60" i="35"/>
  <c r="BE170" i="35"/>
  <c r="P18" i="35"/>
  <c r="C18" i="35"/>
  <c r="C6" i="35"/>
  <c r="R168" i="35"/>
  <c r="C12" i="35"/>
  <c r="T18" i="35"/>
  <c r="C42" i="35"/>
  <c r="K48" i="35"/>
  <c r="T54" i="35"/>
  <c r="AD56" i="35"/>
  <c r="K60" i="35"/>
  <c r="J60" i="35"/>
  <c r="AD76" i="35"/>
  <c r="AD81" i="35"/>
  <c r="U90" i="35"/>
  <c r="AA90" i="35" s="1"/>
  <c r="C90" i="35"/>
  <c r="P90" i="35"/>
  <c r="AD98" i="35"/>
  <c r="V102" i="35"/>
  <c r="H102" i="35"/>
  <c r="S169" i="35"/>
  <c r="S170" i="35"/>
  <c r="V112" i="35"/>
  <c r="AD125" i="35"/>
  <c r="AD144" i="35"/>
  <c r="BF170" i="35"/>
  <c r="K42" i="35"/>
  <c r="K54" i="35"/>
  <c r="U54" i="35"/>
  <c r="AA54" i="35" s="1"/>
  <c r="V60" i="35"/>
  <c r="V107" i="35"/>
  <c r="T112" i="35"/>
  <c r="C112" i="35"/>
  <c r="P112" i="35"/>
  <c r="U112" i="35"/>
  <c r="AA112" i="35" s="1"/>
  <c r="K124" i="35"/>
  <c r="AC124" i="35" s="1"/>
  <c r="K128" i="35"/>
  <c r="J128" i="35"/>
  <c r="AD129" i="35"/>
  <c r="U133" i="35"/>
  <c r="AA132" i="35" s="1"/>
  <c r="T133" i="35"/>
  <c r="C133" i="35"/>
  <c r="P133" i="35"/>
  <c r="V133" i="35"/>
  <c r="AD142" i="35"/>
  <c r="AD156" i="35"/>
  <c r="V160" i="35"/>
  <c r="H160" i="35"/>
  <c r="Y170" i="35"/>
  <c r="T66" i="35"/>
  <c r="U84" i="35"/>
  <c r="AA84" i="35" s="1"/>
  <c r="C96" i="35"/>
  <c r="T107" i="35"/>
  <c r="C117" i="35"/>
  <c r="H122" i="35"/>
  <c r="T128" i="35"/>
  <c r="T132" i="35"/>
  <c r="H134" i="35"/>
  <c r="H136" i="35"/>
  <c r="P141" i="35"/>
  <c r="U142" i="35"/>
  <c r="AA141" i="35" s="1"/>
  <c r="P146" i="35"/>
  <c r="U150" i="35"/>
  <c r="P154" i="35"/>
  <c r="P159" i="35"/>
  <c r="C78" i="35"/>
  <c r="U107" i="35"/>
  <c r="AA107" i="35" s="1"/>
  <c r="C128" i="35"/>
  <c r="C132" i="35"/>
  <c r="H150" i="35"/>
  <c r="P151" i="35"/>
  <c r="T159" i="35"/>
  <c r="AC159" i="35" s="1"/>
  <c r="P163" i="35"/>
  <c r="K96" i="35"/>
  <c r="K117" i="35"/>
  <c r="H141" i="35"/>
  <c r="H146" i="35"/>
  <c r="C151" i="35"/>
  <c r="T151" i="35"/>
  <c r="U154" i="35"/>
  <c r="AA154" i="35" s="1"/>
  <c r="AB154" i="35" s="1"/>
  <c r="C163" i="35"/>
  <c r="C72" i="35"/>
  <c r="H90" i="35"/>
  <c r="P102" i="35"/>
  <c r="P118" i="35"/>
  <c r="C123" i="35"/>
  <c r="C127" i="35"/>
  <c r="H151" i="35"/>
  <c r="J159" i="35"/>
  <c r="P160" i="35"/>
  <c r="H163" i="35"/>
  <c r="T160" i="35"/>
  <c r="C160" i="35"/>
  <c r="X72" i="35" l="1"/>
  <c r="X173" i="35"/>
  <c r="T168" i="35"/>
  <c r="AA150" i="35"/>
  <c r="K163" i="35"/>
  <c r="J163" i="35"/>
  <c r="AC117" i="35"/>
  <c r="J136" i="35"/>
  <c r="K136" i="35"/>
  <c r="X60" i="35"/>
  <c r="AC60" i="35"/>
  <c r="C168" i="35"/>
  <c r="AC132" i="35"/>
  <c r="AB12" i="35"/>
  <c r="AC6" i="35"/>
  <c r="K90" i="35"/>
  <c r="J90" i="35"/>
  <c r="X96" i="35"/>
  <c r="AC96" i="35"/>
  <c r="AB96" i="35" s="1"/>
  <c r="J134" i="35"/>
  <c r="K134" i="35"/>
  <c r="AC134" i="35" s="1"/>
  <c r="U168" i="35"/>
  <c r="X171" i="35" s="1"/>
  <c r="AA6" i="35"/>
  <c r="AC128" i="35"/>
  <c r="AB127" i="35" s="1"/>
  <c r="K84" i="35"/>
  <c r="J84" i="35"/>
  <c r="K118" i="35"/>
  <c r="AC118" i="35" s="1"/>
  <c r="J118" i="35"/>
  <c r="V168" i="35"/>
  <c r="X48" i="35"/>
  <c r="AC48" i="35"/>
  <c r="AB48" i="35" s="1"/>
  <c r="AC107" i="35"/>
  <c r="AB107" i="35" s="1"/>
  <c r="X107" i="35"/>
  <c r="X12" i="35"/>
  <c r="J122" i="35"/>
  <c r="K122" i="35"/>
  <c r="AC133" i="35"/>
  <c r="K24" i="35"/>
  <c r="J24" i="35"/>
  <c r="X127" i="35"/>
  <c r="K150" i="35"/>
  <c r="J150" i="35"/>
  <c r="AC54" i="35"/>
  <c r="AB54" i="35" s="1"/>
  <c r="X54" i="35"/>
  <c r="K36" i="35"/>
  <c r="J36" i="35"/>
  <c r="AC18" i="35"/>
  <c r="AB18" i="35" s="1"/>
  <c r="X18" i="35"/>
  <c r="K151" i="35"/>
  <c r="AC151" i="35" s="1"/>
  <c r="J151" i="35"/>
  <c r="K146" i="35"/>
  <c r="J146" i="35"/>
  <c r="K160" i="35"/>
  <c r="J160" i="35"/>
  <c r="AC42" i="35"/>
  <c r="AB42" i="35" s="1"/>
  <c r="X42" i="35"/>
  <c r="X78" i="35"/>
  <c r="AC78" i="35"/>
  <c r="AB78" i="35" s="1"/>
  <c r="AB60" i="35"/>
  <c r="K141" i="35"/>
  <c r="J141" i="35"/>
  <c r="K102" i="35"/>
  <c r="J102" i="35"/>
  <c r="R169" i="35"/>
  <c r="R170" i="35"/>
  <c r="BA168" i="35"/>
  <c r="AD6" i="35"/>
  <c r="AD168" i="35" s="1"/>
  <c r="AC112" i="35"/>
  <c r="AB112" i="35" s="1"/>
  <c r="X112" i="35"/>
  <c r="P168" i="35"/>
  <c r="O168" i="35" s="1"/>
  <c r="Q24" i="1" s="1"/>
  <c r="AC66" i="35"/>
  <c r="AB66" i="35" s="1"/>
  <c r="X66" i="35"/>
  <c r="AB117" i="35" l="1"/>
  <c r="K168" i="35"/>
  <c r="K22" i="1" s="1"/>
  <c r="X132" i="35"/>
  <c r="Y169" i="35"/>
  <c r="X176" i="35" s="1"/>
  <c r="X168" i="35"/>
  <c r="AC150" i="35"/>
  <c r="AB150" i="35" s="1"/>
  <c r="X150" i="35"/>
  <c r="X117" i="35"/>
  <c r="AC122" i="35"/>
  <c r="X122" i="35"/>
  <c r="AA168" i="35"/>
  <c r="AB6" i="35"/>
  <c r="AC102" i="35"/>
  <c r="AB102" i="35" s="1"/>
  <c r="X102" i="35"/>
  <c r="V169" i="35"/>
  <c r="AX169" i="35" s="1"/>
  <c r="X90" i="35"/>
  <c r="AC90" i="35"/>
  <c r="AB90" i="35" s="1"/>
  <c r="AC163" i="35"/>
  <c r="AB163" i="35"/>
  <c r="X163" i="35"/>
  <c r="AC160" i="35"/>
  <c r="AB159" i="35" s="1"/>
  <c r="X159" i="35"/>
  <c r="AC36" i="35"/>
  <c r="AB36" i="35" s="1"/>
  <c r="X36" i="35"/>
  <c r="AB132" i="35"/>
  <c r="AC141" i="35"/>
  <c r="X141" i="35"/>
  <c r="AC136" i="35"/>
  <c r="AB136" i="35" s="1"/>
  <c r="X136" i="35"/>
  <c r="AB122" i="35"/>
  <c r="AF169" i="35"/>
  <c r="X181" i="35" s="1"/>
  <c r="AO169" i="35"/>
  <c r="X189" i="35" s="1"/>
  <c r="AT169" i="35"/>
  <c r="X193" i="35" s="1"/>
  <c r="AL169" i="35"/>
  <c r="X187" i="35" s="1"/>
  <c r="X146" i="35"/>
  <c r="AC146" i="35"/>
  <c r="AB146" i="35"/>
  <c r="X24" i="35"/>
  <c r="AC24" i="35"/>
  <c r="AB24" i="35"/>
  <c r="AB141" i="35"/>
  <c r="AC84" i="35"/>
  <c r="AB84" i="35" s="1"/>
  <c r="X84" i="35"/>
  <c r="AR169" i="35" l="1"/>
  <c r="AC168" i="35"/>
  <c r="AC169" i="35" s="1"/>
  <c r="X178" i="35" s="1"/>
  <c r="AJ169" i="35"/>
  <c r="X185" i="35" s="1"/>
  <c r="AP169" i="35"/>
  <c r="X190" i="35" s="1"/>
  <c r="Z169" i="35"/>
  <c r="X177" i="35" s="1"/>
  <c r="AI169" i="35"/>
  <c r="X184" i="35" s="1"/>
  <c r="AQ169" i="35"/>
  <c r="X191" i="35" s="1"/>
  <c r="AZ169" i="35"/>
  <c r="X198" i="35" s="1"/>
  <c r="AM169" i="35"/>
  <c r="AA169" i="35"/>
  <c r="X179" i="35" s="1"/>
  <c r="N22" i="1"/>
  <c r="AY169" i="35"/>
  <c r="X197" i="35" s="1"/>
  <c r="AU169" i="35"/>
  <c r="X194" i="35" s="1"/>
  <c r="BA169" i="35"/>
  <c r="AV169" i="35"/>
  <c r="X196" i="35" s="1"/>
  <c r="AN169" i="35"/>
  <c r="X188" i="35" s="1"/>
  <c r="AK169" i="35"/>
  <c r="X186" i="35" s="1"/>
  <c r="AS169" i="35"/>
  <c r="X192" i="35" s="1"/>
  <c r="AB168" i="35"/>
  <c r="AH169" i="35"/>
  <c r="X183" i="35" s="1"/>
  <c r="AG169" i="35"/>
  <c r="X182" i="35" s="1"/>
  <c r="AW169" i="35"/>
  <c r="X195" i="35" s="1"/>
  <c r="AB169" i="35" l="1"/>
  <c r="X180" i="35" s="1"/>
  <c r="X199" i="35" s="1"/>
  <c r="X202" i="35" s="1"/>
  <c r="O22" i="1"/>
  <c r="X13" i="1"/>
  <c r="W13" i="1"/>
  <c r="X172" i="51"/>
  <c r="AX144" i="51"/>
  <c r="BF142" i="51"/>
  <c r="BE142" i="51"/>
  <c r="BD142" i="51"/>
  <c r="BC142" i="51"/>
  <c r="BB142" i="51"/>
  <c r="AZ142" i="51"/>
  <c r="AR13" i="1" s="1"/>
  <c r="AY142" i="51"/>
  <c r="AX142" i="51"/>
  <c r="AF13" i="1" s="1"/>
  <c r="AW142" i="51"/>
  <c r="AV142" i="51"/>
  <c r="AG13" i="1" s="1"/>
  <c r="AU142" i="51"/>
  <c r="AT142" i="51"/>
  <c r="AS142" i="51"/>
  <c r="AJ13" i="1" s="1"/>
  <c r="AQ142" i="51"/>
  <c r="AD13" i="1" s="1"/>
  <c r="AP142" i="51"/>
  <c r="AO142" i="51"/>
  <c r="AA13" i="1" s="1"/>
  <c r="AN142" i="51"/>
  <c r="U13" i="1" s="1"/>
  <c r="AL142" i="51"/>
  <c r="AC13" i="1" s="1"/>
  <c r="AK142" i="51"/>
  <c r="AJ142" i="51"/>
  <c r="Z13" i="1" s="1"/>
  <c r="AI142" i="51"/>
  <c r="AH142" i="51"/>
  <c r="AG142" i="51"/>
  <c r="AF142" i="51"/>
  <c r="T13" i="1" s="1"/>
  <c r="AR141" i="51"/>
  <c r="AM141" i="51"/>
  <c r="AC141" i="51"/>
  <c r="AA141" i="51"/>
  <c r="AR139" i="51"/>
  <c r="BA139" i="51" s="1"/>
  <c r="AM139" i="51"/>
  <c r="AR138" i="51"/>
  <c r="BA138" i="51" s="1"/>
  <c r="AM138" i="51"/>
  <c r="BA137" i="51"/>
  <c r="AR137" i="51"/>
  <c r="AM137" i="51"/>
  <c r="W137" i="51"/>
  <c r="O137" i="51"/>
  <c r="T137" i="51" s="1"/>
  <c r="M137" i="51"/>
  <c r="N137" i="51" s="1"/>
  <c r="J137" i="51"/>
  <c r="BA136" i="51"/>
  <c r="AR136" i="51"/>
  <c r="AM136" i="51"/>
  <c r="Z136" i="51"/>
  <c r="W136" i="51"/>
  <c r="Q136" i="51"/>
  <c r="O136" i="51"/>
  <c r="M136" i="51"/>
  <c r="J136" i="51"/>
  <c r="AR135" i="51"/>
  <c r="BA135" i="51" s="1"/>
  <c r="AD135" i="51" s="1"/>
  <c r="AM135" i="51"/>
  <c r="Y135" i="51"/>
  <c r="W135" i="51"/>
  <c r="O135" i="51"/>
  <c r="P135" i="51" s="1"/>
  <c r="M135" i="51"/>
  <c r="J135" i="51"/>
  <c r="AR133" i="51"/>
  <c r="BA133" i="51" s="1"/>
  <c r="AM133" i="51"/>
  <c r="BA132" i="51"/>
  <c r="AR132" i="51"/>
  <c r="AM132" i="51"/>
  <c r="BA131" i="51"/>
  <c r="AR131" i="51"/>
  <c r="AM131" i="51"/>
  <c r="Z131" i="51"/>
  <c r="Y142" i="51"/>
  <c r="W131" i="51"/>
  <c r="O131" i="51"/>
  <c r="T131" i="51" s="1"/>
  <c r="N131" i="51"/>
  <c r="K131" i="51" s="1"/>
  <c r="AC131" i="51" s="1"/>
  <c r="J131" i="51"/>
  <c r="AR129" i="51"/>
  <c r="BA129" i="51" s="1"/>
  <c r="AD129" i="51" s="1"/>
  <c r="AM129" i="51"/>
  <c r="BA128" i="51"/>
  <c r="AR128" i="51"/>
  <c r="AM128" i="51"/>
  <c r="BA127" i="51"/>
  <c r="AR127" i="51"/>
  <c r="AM127" i="51"/>
  <c r="Z127" i="51"/>
  <c r="W127" i="51"/>
  <c r="O127" i="51"/>
  <c r="P127" i="51" s="1"/>
  <c r="M127" i="51"/>
  <c r="J127" i="51"/>
  <c r="BA125" i="51"/>
  <c r="AR125" i="51"/>
  <c r="AM125" i="51"/>
  <c r="AR124" i="51"/>
  <c r="BA124" i="51" s="1"/>
  <c r="AM124" i="51"/>
  <c r="AR123" i="51"/>
  <c r="BA123" i="51" s="1"/>
  <c r="AM123" i="51"/>
  <c r="Z123" i="51"/>
  <c r="W123" i="51"/>
  <c r="O123" i="51"/>
  <c r="P123" i="51" s="1"/>
  <c r="N123" i="51"/>
  <c r="M123" i="51"/>
  <c r="J123" i="51"/>
  <c r="BA121" i="51"/>
  <c r="AR121" i="51"/>
  <c r="AM121" i="51"/>
  <c r="AR120" i="51"/>
  <c r="BA120" i="51" s="1"/>
  <c r="AM120" i="51"/>
  <c r="AR119" i="51"/>
  <c r="BA119" i="51" s="1"/>
  <c r="AM119" i="51"/>
  <c r="Z119" i="51"/>
  <c r="W119" i="51"/>
  <c r="O119" i="51"/>
  <c r="T119" i="51" s="1"/>
  <c r="M119" i="51"/>
  <c r="J119" i="51"/>
  <c r="AR118" i="51"/>
  <c r="BA118" i="51" s="1"/>
  <c r="AM118" i="51"/>
  <c r="AD118" i="51" s="1"/>
  <c r="W118" i="51"/>
  <c r="O118" i="51"/>
  <c r="M118" i="51"/>
  <c r="T118" i="51" s="1"/>
  <c r="J118" i="51"/>
  <c r="BA116" i="51"/>
  <c r="AR116" i="51"/>
  <c r="AM116" i="51"/>
  <c r="AR115" i="51"/>
  <c r="BA115" i="51" s="1"/>
  <c r="AD115" i="51" s="1"/>
  <c r="AM115" i="51"/>
  <c r="BA114" i="51"/>
  <c r="AR114" i="51"/>
  <c r="AM114" i="51"/>
  <c r="AR113" i="51"/>
  <c r="BA113" i="51" s="1"/>
  <c r="AM113" i="51"/>
  <c r="AD113" i="51" s="1"/>
  <c r="AR112" i="51"/>
  <c r="BA112" i="51" s="1"/>
  <c r="AM112" i="51"/>
  <c r="Z112" i="51"/>
  <c r="W112" i="51"/>
  <c r="R112" i="51"/>
  <c r="R142" i="51" s="1"/>
  <c r="O112" i="51"/>
  <c r="P112" i="51" s="1"/>
  <c r="M112" i="51"/>
  <c r="N112" i="51" s="1"/>
  <c r="J112" i="51"/>
  <c r="BA111" i="51"/>
  <c r="AR111" i="51"/>
  <c r="AM111" i="51"/>
  <c r="W111" i="51"/>
  <c r="O111" i="51"/>
  <c r="T111" i="51" s="1"/>
  <c r="N111" i="51"/>
  <c r="V111" i="51" s="1"/>
  <c r="M111" i="51"/>
  <c r="J111" i="51"/>
  <c r="AR109" i="51"/>
  <c r="BA109" i="51" s="1"/>
  <c r="AM109" i="51"/>
  <c r="AR108" i="51"/>
  <c r="BA108" i="51" s="1"/>
  <c r="AM108" i="51"/>
  <c r="AR107" i="51"/>
  <c r="BA107" i="51" s="1"/>
  <c r="AM107" i="51"/>
  <c r="Z107" i="51"/>
  <c r="W107" i="51"/>
  <c r="O107" i="51"/>
  <c r="P107" i="51" s="1"/>
  <c r="M107" i="51"/>
  <c r="J107" i="51"/>
  <c r="AR105" i="51"/>
  <c r="BA105" i="51" s="1"/>
  <c r="AM105" i="51"/>
  <c r="AR104" i="51"/>
  <c r="BA104" i="51" s="1"/>
  <c r="AM104" i="51"/>
  <c r="AR103" i="51"/>
  <c r="BA103" i="51" s="1"/>
  <c r="AM103" i="51"/>
  <c r="W103" i="51"/>
  <c r="O103" i="51"/>
  <c r="P103" i="51" s="1"/>
  <c r="N103" i="51"/>
  <c r="K103" i="51" s="1"/>
  <c r="M103" i="51"/>
  <c r="J103" i="51"/>
  <c r="AR102" i="51"/>
  <c r="BA102" i="51" s="1"/>
  <c r="AD102" i="51" s="1"/>
  <c r="AM102" i="51"/>
  <c r="Z102" i="51"/>
  <c r="W102" i="51"/>
  <c r="O102" i="51"/>
  <c r="T102" i="51" s="1"/>
  <c r="M102" i="51"/>
  <c r="N102" i="51" s="1"/>
  <c r="J102" i="51"/>
  <c r="AR100" i="51"/>
  <c r="BA100" i="51" s="1"/>
  <c r="AM100" i="51"/>
  <c r="AD100" i="51" s="1"/>
  <c r="AR99" i="51"/>
  <c r="BA99" i="51" s="1"/>
  <c r="AD99" i="51" s="1"/>
  <c r="AM99" i="51"/>
  <c r="AR98" i="51"/>
  <c r="BA98" i="51" s="1"/>
  <c r="AM98" i="51"/>
  <c r="AD98" i="51" s="1"/>
  <c r="W98" i="51"/>
  <c r="O98" i="51"/>
  <c r="U98" i="51" s="1"/>
  <c r="M98" i="51"/>
  <c r="J98" i="51"/>
  <c r="BA96" i="51"/>
  <c r="AR96" i="51"/>
  <c r="AM96" i="51"/>
  <c r="AR95" i="51"/>
  <c r="BA95" i="51" s="1"/>
  <c r="AM95" i="51"/>
  <c r="AD95" i="51" s="1"/>
  <c r="AR94" i="51"/>
  <c r="BA94" i="51" s="1"/>
  <c r="AM94" i="51"/>
  <c r="W94" i="51"/>
  <c r="O94" i="51"/>
  <c r="U94" i="51" s="1"/>
  <c r="AA94" i="51" s="1"/>
  <c r="M94" i="51"/>
  <c r="N94" i="51" s="1"/>
  <c r="J94" i="51"/>
  <c r="AR92" i="51"/>
  <c r="BA92" i="51" s="1"/>
  <c r="AD92" i="51" s="1"/>
  <c r="AM92" i="51"/>
  <c r="AR91" i="51"/>
  <c r="BA91" i="51" s="1"/>
  <c r="AM91" i="51"/>
  <c r="AD91" i="51" s="1"/>
  <c r="AR90" i="51"/>
  <c r="BA90" i="51" s="1"/>
  <c r="AM90" i="51"/>
  <c r="W90" i="51"/>
  <c r="O90" i="51"/>
  <c r="P90" i="51" s="1"/>
  <c r="M90" i="51"/>
  <c r="J90" i="51"/>
  <c r="AR88" i="51"/>
  <c r="BA88" i="51" s="1"/>
  <c r="AM88" i="51"/>
  <c r="AD88" i="51" s="1"/>
  <c r="BA87" i="51"/>
  <c r="AR87" i="51"/>
  <c r="AM87" i="51"/>
  <c r="AR86" i="51"/>
  <c r="BA86" i="51" s="1"/>
  <c r="AM86" i="51"/>
  <c r="AD86" i="51" s="1"/>
  <c r="W86" i="51"/>
  <c r="O86" i="51"/>
  <c r="U86" i="51" s="1"/>
  <c r="M86" i="51"/>
  <c r="J86" i="51"/>
  <c r="AR84" i="51"/>
  <c r="BA84" i="51" s="1"/>
  <c r="AM84" i="51"/>
  <c r="AR83" i="51"/>
  <c r="BA83" i="51" s="1"/>
  <c r="AM83" i="51"/>
  <c r="AR82" i="51"/>
  <c r="BA82" i="51" s="1"/>
  <c r="AM82" i="51"/>
  <c r="W82" i="51"/>
  <c r="O82" i="51"/>
  <c r="P82" i="51" s="1"/>
  <c r="N82" i="51"/>
  <c r="K82" i="51" s="1"/>
  <c r="M82" i="51"/>
  <c r="U82" i="51" s="1"/>
  <c r="J82" i="51"/>
  <c r="AR80" i="51"/>
  <c r="BA80" i="51" s="1"/>
  <c r="AM80" i="51"/>
  <c r="AR79" i="51"/>
  <c r="BA79" i="51" s="1"/>
  <c r="AM79" i="51"/>
  <c r="AR78" i="51"/>
  <c r="BA78" i="51" s="1"/>
  <c r="AD78" i="51" s="1"/>
  <c r="AM78" i="51"/>
  <c r="AR77" i="51"/>
  <c r="BA77" i="51" s="1"/>
  <c r="AM77" i="51"/>
  <c r="Z77" i="51"/>
  <c r="W77" i="51"/>
  <c r="O77" i="51"/>
  <c r="P77" i="51" s="1"/>
  <c r="N77" i="51"/>
  <c r="M77" i="51"/>
  <c r="J77" i="51"/>
  <c r="BA75" i="51"/>
  <c r="AD75" i="51" s="1"/>
  <c r="AR75" i="51"/>
  <c r="AM75" i="51"/>
  <c r="AR74" i="51"/>
  <c r="BA74" i="51" s="1"/>
  <c r="AM74" i="51"/>
  <c r="AR73" i="51"/>
  <c r="BA73" i="51" s="1"/>
  <c r="AM73" i="51"/>
  <c r="AD73" i="51" s="1"/>
  <c r="W73" i="51"/>
  <c r="U73" i="51"/>
  <c r="AA73" i="51" s="1"/>
  <c r="O73" i="51"/>
  <c r="C73" i="51" s="1"/>
  <c r="N73" i="51"/>
  <c r="J73" i="51"/>
  <c r="AR71" i="51"/>
  <c r="BA71" i="51" s="1"/>
  <c r="AM71" i="51"/>
  <c r="AD71" i="51" s="1"/>
  <c r="W71" i="51"/>
  <c r="AR70" i="51"/>
  <c r="BA70" i="51" s="1"/>
  <c r="AM70" i="51"/>
  <c r="Z70" i="51"/>
  <c r="W70" i="51"/>
  <c r="Q70" i="51"/>
  <c r="O70" i="51"/>
  <c r="P70" i="51" s="1"/>
  <c r="N70" i="51"/>
  <c r="K70" i="51" s="1"/>
  <c r="M70" i="51"/>
  <c r="J70" i="51"/>
  <c r="AR69" i="51"/>
  <c r="BA69" i="51" s="1"/>
  <c r="AM69" i="51"/>
  <c r="Z69" i="51"/>
  <c r="W69" i="51"/>
  <c r="O69" i="51"/>
  <c r="P69" i="51" s="1"/>
  <c r="M69" i="51"/>
  <c r="J69" i="51"/>
  <c r="AR68" i="51"/>
  <c r="BA68" i="51" s="1"/>
  <c r="AM68" i="51"/>
  <c r="Z68" i="51"/>
  <c r="W68" i="51"/>
  <c r="T68" i="51"/>
  <c r="Q68" i="51"/>
  <c r="O68" i="51"/>
  <c r="P68" i="51" s="1"/>
  <c r="M68" i="51"/>
  <c r="N68" i="51" s="1"/>
  <c r="J68" i="51"/>
  <c r="AR66" i="51"/>
  <c r="BA66" i="51" s="1"/>
  <c r="AM66" i="51"/>
  <c r="AR65" i="51"/>
  <c r="BA65" i="51" s="1"/>
  <c r="AM65" i="51"/>
  <c r="AD65" i="51" s="1"/>
  <c r="W65" i="51"/>
  <c r="O65" i="51"/>
  <c r="C65" i="51" s="1"/>
  <c r="N65" i="51"/>
  <c r="J65" i="51"/>
  <c r="AR64" i="51"/>
  <c r="BA64" i="51" s="1"/>
  <c r="AM64" i="51"/>
  <c r="Z64" i="51"/>
  <c r="W64" i="51"/>
  <c r="O64" i="51"/>
  <c r="C64" i="51" s="1"/>
  <c r="N64" i="51"/>
  <c r="J64" i="51"/>
  <c r="AR62" i="51"/>
  <c r="BA62" i="51" s="1"/>
  <c r="AD62" i="51" s="1"/>
  <c r="AM62" i="51"/>
  <c r="AR61" i="51"/>
  <c r="BA61" i="51" s="1"/>
  <c r="AM61" i="51"/>
  <c r="AD61" i="51" s="1"/>
  <c r="W61" i="51"/>
  <c r="O61" i="51"/>
  <c r="T61" i="51" s="1"/>
  <c r="N61" i="51"/>
  <c r="K61" i="51" s="1"/>
  <c r="AC61" i="51" s="1"/>
  <c r="J61" i="51"/>
  <c r="BA60" i="51"/>
  <c r="AR60" i="51"/>
  <c r="AM60" i="51"/>
  <c r="AD60" i="51"/>
  <c r="Z60" i="51"/>
  <c r="W60" i="51"/>
  <c r="O60" i="51"/>
  <c r="N60" i="51"/>
  <c r="J60" i="51"/>
  <c r="AR58" i="51"/>
  <c r="BA58" i="51" s="1"/>
  <c r="AD58" i="51" s="1"/>
  <c r="AM58" i="51"/>
  <c r="AR57" i="51"/>
  <c r="BA57" i="51" s="1"/>
  <c r="AM57" i="51"/>
  <c r="BA56" i="51"/>
  <c r="AD56" i="51" s="1"/>
  <c r="AR56" i="51"/>
  <c r="AM56" i="51"/>
  <c r="W56" i="51"/>
  <c r="U56" i="51"/>
  <c r="O56" i="51"/>
  <c r="P56" i="51" s="1"/>
  <c r="N56" i="51"/>
  <c r="J56" i="51"/>
  <c r="AR55" i="51"/>
  <c r="BA55" i="51" s="1"/>
  <c r="AM55" i="51"/>
  <c r="W55" i="51"/>
  <c r="S55" i="51"/>
  <c r="O55" i="51"/>
  <c r="N55" i="51"/>
  <c r="K55" i="51" s="1"/>
  <c r="J55" i="51"/>
  <c r="AR53" i="51"/>
  <c r="BA53" i="51" s="1"/>
  <c r="AM53" i="51"/>
  <c r="AR52" i="51"/>
  <c r="BA52" i="51" s="1"/>
  <c r="AM52" i="51"/>
  <c r="AR51" i="51"/>
  <c r="BA51" i="51" s="1"/>
  <c r="AM51" i="51"/>
  <c r="AR50" i="51"/>
  <c r="BA50" i="51" s="1"/>
  <c r="AM50" i="51"/>
  <c r="Z50" i="51"/>
  <c r="W50" i="51"/>
  <c r="X50" i="51" s="1"/>
  <c r="V50" i="51"/>
  <c r="O50" i="51"/>
  <c r="U50" i="51" s="1"/>
  <c r="N50" i="51"/>
  <c r="K50" i="51" s="1"/>
  <c r="J50" i="51"/>
  <c r="AR48" i="51"/>
  <c r="BA48" i="51" s="1"/>
  <c r="AM48" i="51"/>
  <c r="AD48" i="51" s="1"/>
  <c r="BA47" i="51"/>
  <c r="AD47" i="51" s="1"/>
  <c r="AR47" i="51"/>
  <c r="AM47" i="51"/>
  <c r="AR46" i="51"/>
  <c r="BA46" i="51" s="1"/>
  <c r="AM46" i="51"/>
  <c r="Z46" i="51"/>
  <c r="W46" i="51"/>
  <c r="O46" i="51"/>
  <c r="P46" i="51" s="1"/>
  <c r="N46" i="51"/>
  <c r="K46" i="51" s="1"/>
  <c r="J46" i="51"/>
  <c r="AR44" i="51"/>
  <c r="BA44" i="51" s="1"/>
  <c r="AM44" i="51"/>
  <c r="AR43" i="51"/>
  <c r="BA43" i="51" s="1"/>
  <c r="AD43" i="51" s="1"/>
  <c r="AM43" i="51"/>
  <c r="W43" i="51"/>
  <c r="U43" i="51"/>
  <c r="O43" i="51"/>
  <c r="C43" i="51" s="1"/>
  <c r="N43" i="51"/>
  <c r="J43" i="51"/>
  <c r="AR42" i="51"/>
  <c r="BA42" i="51" s="1"/>
  <c r="AM42" i="51"/>
  <c r="W42" i="51"/>
  <c r="O42" i="51"/>
  <c r="T42" i="51" s="1"/>
  <c r="N42" i="51"/>
  <c r="J42" i="51"/>
  <c r="AR41" i="51"/>
  <c r="BA41" i="51" s="1"/>
  <c r="AM41" i="51"/>
  <c r="AD41" i="51" s="1"/>
  <c r="Z41" i="51"/>
  <c r="W41" i="51"/>
  <c r="O41" i="51"/>
  <c r="U41" i="51" s="1"/>
  <c r="N41" i="51"/>
  <c r="K41" i="51" s="1"/>
  <c r="J41" i="51"/>
  <c r="AR39" i="51"/>
  <c r="BA39" i="51" s="1"/>
  <c r="AM39" i="51"/>
  <c r="BA38" i="51"/>
  <c r="AD38" i="51" s="1"/>
  <c r="AR38" i="51"/>
  <c r="AM38" i="51"/>
  <c r="AR37" i="51"/>
  <c r="BA37" i="51" s="1"/>
  <c r="AM37" i="51"/>
  <c r="Z37" i="51"/>
  <c r="W37" i="51"/>
  <c r="V37" i="51"/>
  <c r="S37" i="51"/>
  <c r="O37" i="51"/>
  <c r="N37" i="51"/>
  <c r="K37" i="51"/>
  <c r="J37" i="51"/>
  <c r="AR36" i="51"/>
  <c r="BA36" i="51" s="1"/>
  <c r="AM36" i="51"/>
  <c r="AD36" i="51"/>
  <c r="Z36" i="51"/>
  <c r="W36" i="51"/>
  <c r="S36" i="51"/>
  <c r="O36" i="51"/>
  <c r="U36" i="51" s="1"/>
  <c r="N36" i="51"/>
  <c r="K36" i="51" s="1"/>
  <c r="J36" i="51"/>
  <c r="AR34" i="51"/>
  <c r="BA34" i="51" s="1"/>
  <c r="AM34" i="51"/>
  <c r="AR33" i="51"/>
  <c r="BA33" i="51" s="1"/>
  <c r="AM33" i="51"/>
  <c r="AR32" i="51"/>
  <c r="BA32" i="51" s="1"/>
  <c r="AM32" i="51"/>
  <c r="Z32" i="51"/>
  <c r="W32" i="51"/>
  <c r="P32" i="51"/>
  <c r="O32" i="51"/>
  <c r="U32" i="51" s="1"/>
  <c r="N32" i="51"/>
  <c r="K32" i="51" s="1"/>
  <c r="J32" i="51"/>
  <c r="C32" i="51"/>
  <c r="AR30" i="51"/>
  <c r="BA30" i="51" s="1"/>
  <c r="AM30" i="51"/>
  <c r="AD30" i="51" s="1"/>
  <c r="AR29" i="51"/>
  <c r="BA29" i="51" s="1"/>
  <c r="AD29" i="51" s="1"/>
  <c r="AM29" i="51"/>
  <c r="AR28" i="51"/>
  <c r="BA28" i="51" s="1"/>
  <c r="AM28" i="51"/>
  <c r="Z28" i="51"/>
  <c r="W28" i="51"/>
  <c r="O28" i="51"/>
  <c r="N28" i="51"/>
  <c r="V28" i="51" s="1"/>
  <c r="J28" i="51"/>
  <c r="AR26" i="51"/>
  <c r="BA26" i="51" s="1"/>
  <c r="AM26" i="51"/>
  <c r="AR25" i="51"/>
  <c r="BA25" i="51" s="1"/>
  <c r="AD25" i="51" s="1"/>
  <c r="AM25" i="51"/>
  <c r="AR24" i="51"/>
  <c r="BA24" i="51" s="1"/>
  <c r="AD24" i="51" s="1"/>
  <c r="AM24" i="51"/>
  <c r="AR23" i="51"/>
  <c r="BA23" i="51" s="1"/>
  <c r="AD23" i="51" s="1"/>
  <c r="AM23" i="51"/>
  <c r="Z23" i="51"/>
  <c r="W23" i="51"/>
  <c r="O23" i="51"/>
  <c r="C23" i="51" s="1"/>
  <c r="N23" i="51"/>
  <c r="V23" i="51" s="1"/>
  <c r="J23" i="51"/>
  <c r="AR21" i="51"/>
  <c r="BA21" i="51" s="1"/>
  <c r="AM21" i="51"/>
  <c r="AR20" i="51"/>
  <c r="BA20" i="51" s="1"/>
  <c r="AM20" i="51"/>
  <c r="AD20" i="51" s="1"/>
  <c r="AR19" i="51"/>
  <c r="BA19" i="51" s="1"/>
  <c r="AM19" i="51"/>
  <c r="W19" i="51"/>
  <c r="O19" i="51"/>
  <c r="T19" i="51" s="1"/>
  <c r="N19" i="51"/>
  <c r="K19" i="51" s="1"/>
  <c r="AC19" i="51" s="1"/>
  <c r="J19" i="51"/>
  <c r="AR17" i="51"/>
  <c r="BA17" i="51" s="1"/>
  <c r="AM17" i="51"/>
  <c r="AR16" i="51"/>
  <c r="BA16" i="51" s="1"/>
  <c r="AD16" i="51" s="1"/>
  <c r="AM16" i="51"/>
  <c r="AR15" i="51"/>
  <c r="BA15" i="51" s="1"/>
  <c r="AM15" i="51"/>
  <c r="W15" i="51"/>
  <c r="U15" i="51"/>
  <c r="AA15" i="51" s="1"/>
  <c r="T15" i="51"/>
  <c r="O15" i="51"/>
  <c r="P15" i="51" s="1"/>
  <c r="N15" i="51"/>
  <c r="V15" i="51" s="1"/>
  <c r="K15" i="51"/>
  <c r="J15" i="51"/>
  <c r="AR13" i="51"/>
  <c r="BA13" i="51" s="1"/>
  <c r="AM13" i="51"/>
  <c r="AR12" i="51"/>
  <c r="BA12" i="51" s="1"/>
  <c r="AM12" i="51"/>
  <c r="AR11" i="51"/>
  <c r="BA11" i="51" s="1"/>
  <c r="AM11" i="51"/>
  <c r="Z11" i="51"/>
  <c r="W11" i="51"/>
  <c r="O11" i="51"/>
  <c r="U11" i="51" s="1"/>
  <c r="AA11" i="51" s="1"/>
  <c r="N11" i="51"/>
  <c r="J11" i="51"/>
  <c r="AR9" i="51"/>
  <c r="BA9" i="51" s="1"/>
  <c r="AM9" i="51"/>
  <c r="AR8" i="51"/>
  <c r="BA8" i="51" s="1"/>
  <c r="AM8" i="51"/>
  <c r="AR7" i="51"/>
  <c r="BA7" i="51" s="1"/>
  <c r="AM7" i="51"/>
  <c r="W7" i="51"/>
  <c r="O7" i="51"/>
  <c r="K7" i="51" s="1"/>
  <c r="N7" i="51"/>
  <c r="J7" i="51"/>
  <c r="BA6" i="51"/>
  <c r="AD6" i="51" s="1"/>
  <c r="AR6" i="51"/>
  <c r="AM6" i="51"/>
  <c r="Z6" i="51"/>
  <c r="Z142" i="51" s="1"/>
  <c r="W6" i="51"/>
  <c r="O6" i="51"/>
  <c r="C6" i="51" s="1"/>
  <c r="N6" i="51"/>
  <c r="K6" i="51"/>
  <c r="J6" i="51"/>
  <c r="A6" i="51"/>
  <c r="K77" i="51" l="1"/>
  <c r="C86" i="51"/>
  <c r="U119" i="51"/>
  <c r="T11" i="51"/>
  <c r="V46" i="51"/>
  <c r="P86" i="51"/>
  <c r="AA98" i="51"/>
  <c r="V11" i="51"/>
  <c r="U90" i="51"/>
  <c r="AA90" i="51" s="1"/>
  <c r="U135" i="51"/>
  <c r="V6" i="51"/>
  <c r="X15" i="51"/>
  <c r="U107" i="51"/>
  <c r="AA107" i="51" s="1"/>
  <c r="K123" i="51"/>
  <c r="C46" i="51"/>
  <c r="K11" i="51"/>
  <c r="AC11" i="51" s="1"/>
  <c r="AB11" i="51" s="1"/>
  <c r="U69" i="51"/>
  <c r="AD80" i="51"/>
  <c r="V102" i="51"/>
  <c r="K102" i="51"/>
  <c r="AC102" i="51" s="1"/>
  <c r="AD26" i="51"/>
  <c r="U7" i="51"/>
  <c r="AD66" i="51"/>
  <c r="X11" i="51"/>
  <c r="C15" i="51"/>
  <c r="P36" i="51"/>
  <c r="AD53" i="51"/>
  <c r="AD17" i="51"/>
  <c r="AA32" i="51"/>
  <c r="AD34" i="51"/>
  <c r="C41" i="51"/>
  <c r="U42" i="51"/>
  <c r="T43" i="51"/>
  <c r="AD44" i="51"/>
  <c r="AD46" i="51"/>
  <c r="C50" i="51"/>
  <c r="AD50" i="51"/>
  <c r="C56" i="51"/>
  <c r="V70" i="51"/>
  <c r="N86" i="51"/>
  <c r="AD87" i="51"/>
  <c r="AD96" i="51"/>
  <c r="U103" i="51"/>
  <c r="AD111" i="51"/>
  <c r="AD114" i="51"/>
  <c r="C119" i="51"/>
  <c r="AD121" i="51"/>
  <c r="AD125" i="51"/>
  <c r="AD127" i="51"/>
  <c r="AD131" i="51"/>
  <c r="AD136" i="51"/>
  <c r="T36" i="51"/>
  <c r="AC36" i="51" s="1"/>
  <c r="C42" i="51"/>
  <c r="V42" i="51"/>
  <c r="V73" i="51"/>
  <c r="AD79" i="51"/>
  <c r="AA82" i="51"/>
  <c r="AD94" i="51"/>
  <c r="AD112" i="51"/>
  <c r="AD21" i="51"/>
  <c r="AD77" i="51"/>
  <c r="C94" i="51"/>
  <c r="X102" i="51"/>
  <c r="AD119" i="51"/>
  <c r="AD123" i="51"/>
  <c r="T136" i="51"/>
  <c r="C7" i="51"/>
  <c r="X36" i="51"/>
  <c r="K42" i="51"/>
  <c r="AC42" i="51" s="1"/>
  <c r="AD51" i="51"/>
  <c r="K64" i="51"/>
  <c r="P73" i="51"/>
  <c r="AD84" i="51"/>
  <c r="AD90" i="51"/>
  <c r="AD105" i="51"/>
  <c r="K111" i="51"/>
  <c r="AC111" i="51" s="1"/>
  <c r="AD128" i="51"/>
  <c r="AD132" i="51"/>
  <c r="N136" i="51"/>
  <c r="V136" i="51" s="1"/>
  <c r="AD138" i="51"/>
  <c r="AC15" i="51"/>
  <c r="AB15" i="51" s="1"/>
  <c r="C36" i="51"/>
  <c r="AD15" i="51"/>
  <c r="AA41" i="51"/>
  <c r="AA50" i="51"/>
  <c r="AD8" i="51"/>
  <c r="P11" i="51"/>
  <c r="AD12" i="51"/>
  <c r="K23" i="51"/>
  <c r="X23" i="51" s="1"/>
  <c r="AD32" i="51"/>
  <c r="P41" i="51"/>
  <c r="AD42" i="51"/>
  <c r="P50" i="51"/>
  <c r="AD52" i="51"/>
  <c r="V55" i="51"/>
  <c r="T56" i="51"/>
  <c r="AD57" i="51"/>
  <c r="V64" i="51"/>
  <c r="V65" i="51"/>
  <c r="Q142" i="51"/>
  <c r="BB144" i="51" s="1"/>
  <c r="U70" i="51"/>
  <c r="AD70" i="51"/>
  <c r="T73" i="51"/>
  <c r="AD74" i="51"/>
  <c r="U77" i="51"/>
  <c r="AA77" i="51" s="1"/>
  <c r="V82" i="51"/>
  <c r="T98" i="51"/>
  <c r="V103" i="51"/>
  <c r="AD107" i="51"/>
  <c r="U118" i="51"/>
  <c r="AA118" i="51" s="1"/>
  <c r="N119" i="51"/>
  <c r="U123" i="51"/>
  <c r="AA123" i="51" s="1"/>
  <c r="U127" i="51"/>
  <c r="AA127" i="51" s="1"/>
  <c r="U131" i="51"/>
  <c r="AA131" i="51" s="1"/>
  <c r="P136" i="51"/>
  <c r="AD139" i="51"/>
  <c r="AD120" i="51"/>
  <c r="AD124" i="51"/>
  <c r="AD19" i="51"/>
  <c r="P42" i="51"/>
  <c r="T65" i="51"/>
  <c r="P94" i="51"/>
  <c r="N107" i="51"/>
  <c r="P119" i="51"/>
  <c r="AD133" i="51"/>
  <c r="T64" i="51"/>
  <c r="V7" i="51"/>
  <c r="C11" i="51"/>
  <c r="T23" i="51"/>
  <c r="AC23" i="51" s="1"/>
  <c r="AD33" i="51"/>
  <c r="AD55" i="51"/>
  <c r="U65" i="51"/>
  <c r="C68" i="51"/>
  <c r="V77" i="51"/>
  <c r="AD82" i="51"/>
  <c r="T86" i="51"/>
  <c r="AD103" i="51"/>
  <c r="AD108" i="51"/>
  <c r="AD116" i="51"/>
  <c r="T123" i="51"/>
  <c r="AD137" i="51"/>
  <c r="X19" i="51"/>
  <c r="AD9" i="51"/>
  <c r="AD13" i="51"/>
  <c r="AD7" i="51"/>
  <c r="AD11" i="51"/>
  <c r="X6" i="51"/>
  <c r="P28" i="51"/>
  <c r="U28" i="51"/>
  <c r="AA28" i="51" s="1"/>
  <c r="P19" i="51"/>
  <c r="T28" i="51"/>
  <c r="P6" i="51"/>
  <c r="U37" i="51"/>
  <c r="AA36" i="51" s="1"/>
  <c r="C37" i="51"/>
  <c r="T37" i="51"/>
  <c r="AC37" i="51" s="1"/>
  <c r="P37" i="51"/>
  <c r="V43" i="51"/>
  <c r="K43" i="51"/>
  <c r="K94" i="51"/>
  <c r="V94" i="51"/>
  <c r="V112" i="51"/>
  <c r="K112" i="51"/>
  <c r="T6" i="51"/>
  <c r="U19" i="51"/>
  <c r="AA19" i="51" s="1"/>
  <c r="P23" i="51"/>
  <c r="X77" i="51"/>
  <c r="X123" i="51"/>
  <c r="AC123" i="51"/>
  <c r="X131" i="51"/>
  <c r="Z144" i="51"/>
  <c r="V32" i="51"/>
  <c r="Y144" i="51"/>
  <c r="BA142" i="51"/>
  <c r="C19" i="51"/>
  <c r="P7" i="51"/>
  <c r="S142" i="51"/>
  <c r="V36" i="51"/>
  <c r="V41" i="51"/>
  <c r="U6" i="51"/>
  <c r="V19" i="51"/>
  <c r="AM142" i="51"/>
  <c r="U23" i="51"/>
  <c r="AA23" i="51" s="1"/>
  <c r="C28" i="51"/>
  <c r="X32" i="51"/>
  <c r="W142" i="51"/>
  <c r="J15" i="1" s="1"/>
  <c r="AR142" i="51"/>
  <c r="T7" i="51"/>
  <c r="AC7" i="51" s="1"/>
  <c r="AD39" i="51"/>
  <c r="AD68" i="51"/>
  <c r="AD69" i="51"/>
  <c r="AD83" i="51"/>
  <c r="AD104" i="51"/>
  <c r="AD109" i="51"/>
  <c r="K28" i="51"/>
  <c r="AD28" i="51"/>
  <c r="AD64" i="51"/>
  <c r="V68" i="51"/>
  <c r="K68" i="51"/>
  <c r="AC68" i="51" s="1"/>
  <c r="BE144" i="51"/>
  <c r="AD37" i="51"/>
  <c r="U55" i="51"/>
  <c r="AA55" i="51" s="1"/>
  <c r="V56" i="51"/>
  <c r="K56" i="51"/>
  <c r="AC56" i="51" s="1"/>
  <c r="X82" i="51"/>
  <c r="V60" i="51"/>
  <c r="C60" i="51"/>
  <c r="U60" i="51"/>
  <c r="T60" i="51"/>
  <c r="P60" i="51"/>
  <c r="K60" i="51"/>
  <c r="X60" i="51" s="1"/>
  <c r="X46" i="51"/>
  <c r="BD144" i="51"/>
  <c r="K137" i="51"/>
  <c r="AC137" i="51" s="1"/>
  <c r="V137" i="51"/>
  <c r="T46" i="51"/>
  <c r="AC46" i="51" s="1"/>
  <c r="U61" i="51"/>
  <c r="C70" i="51"/>
  <c r="T70" i="51"/>
  <c r="AC70" i="51" s="1"/>
  <c r="T77" i="51"/>
  <c r="AC77" i="51" s="1"/>
  <c r="AB77" i="51" s="1"/>
  <c r="T82" i="51"/>
  <c r="AC82" i="51" s="1"/>
  <c r="AB82" i="51" s="1"/>
  <c r="AA86" i="51"/>
  <c r="C102" i="51"/>
  <c r="U102" i="51"/>
  <c r="AA102" i="51" s="1"/>
  <c r="C111" i="51"/>
  <c r="U111" i="51"/>
  <c r="U46" i="51"/>
  <c r="AA46" i="51" s="1"/>
  <c r="P55" i="51"/>
  <c r="C61" i="51"/>
  <c r="V61" i="51"/>
  <c r="P64" i="51"/>
  <c r="K65" i="51"/>
  <c r="AC65" i="51" s="1"/>
  <c r="K73" i="51"/>
  <c r="AC73" i="51" s="1"/>
  <c r="C77" i="51"/>
  <c r="C82" i="51"/>
  <c r="T94" i="51"/>
  <c r="N98" i="51"/>
  <c r="N118" i="51"/>
  <c r="C123" i="51"/>
  <c r="N127" i="51"/>
  <c r="C131" i="51"/>
  <c r="V131" i="51"/>
  <c r="AB131" i="51" s="1"/>
  <c r="N135" i="51"/>
  <c r="C136" i="51"/>
  <c r="P137" i="51"/>
  <c r="V123" i="51"/>
  <c r="U136" i="51"/>
  <c r="T32" i="51"/>
  <c r="AC32" i="51" s="1"/>
  <c r="AB32" i="51" s="1"/>
  <c r="T41" i="51"/>
  <c r="AC41" i="51" s="1"/>
  <c r="T50" i="51"/>
  <c r="AC50" i="51" s="1"/>
  <c r="AB50" i="51" s="1"/>
  <c r="T55" i="51"/>
  <c r="AC55" i="51" s="1"/>
  <c r="U64" i="51"/>
  <c r="AA64" i="51" s="1"/>
  <c r="U68" i="51"/>
  <c r="AA68" i="51" s="1"/>
  <c r="N69" i="51"/>
  <c r="N90" i="51"/>
  <c r="P98" i="51"/>
  <c r="T103" i="51"/>
  <c r="AC103" i="51" s="1"/>
  <c r="T107" i="51"/>
  <c r="C112" i="51"/>
  <c r="T112" i="51"/>
  <c r="P118" i="51"/>
  <c r="K136" i="51"/>
  <c r="AC136" i="51" s="1"/>
  <c r="C137" i="51"/>
  <c r="U137" i="51"/>
  <c r="P43" i="51"/>
  <c r="C55" i="51"/>
  <c r="P65" i="51"/>
  <c r="C103" i="51"/>
  <c r="C107" i="51"/>
  <c r="U112" i="51"/>
  <c r="T127" i="51"/>
  <c r="T135" i="51"/>
  <c r="C98" i="51"/>
  <c r="C118" i="51"/>
  <c r="C127" i="51"/>
  <c r="C135" i="51"/>
  <c r="P61" i="51"/>
  <c r="T69" i="51"/>
  <c r="T90" i="51"/>
  <c r="P102" i="51"/>
  <c r="P111" i="51"/>
  <c r="P131" i="51"/>
  <c r="C69" i="51"/>
  <c r="C90" i="51"/>
  <c r="X73" i="51" l="1"/>
  <c r="AA60" i="51"/>
  <c r="AB123" i="51"/>
  <c r="AB46" i="51"/>
  <c r="Q143" i="51"/>
  <c r="BF144" i="51"/>
  <c r="BC144" i="51"/>
  <c r="R143" i="51"/>
  <c r="X55" i="51"/>
  <c r="X41" i="51"/>
  <c r="AA135" i="51"/>
  <c r="AC64" i="51"/>
  <c r="AB64" i="51" s="1"/>
  <c r="V119" i="51"/>
  <c r="K119" i="51"/>
  <c r="AC119" i="51" s="1"/>
  <c r="AB19" i="51"/>
  <c r="AB23" i="51"/>
  <c r="K86" i="51"/>
  <c r="X86" i="51" s="1"/>
  <c r="V86" i="51"/>
  <c r="AD142" i="51"/>
  <c r="C142" i="51"/>
  <c r="AC112" i="51"/>
  <c r="K107" i="51"/>
  <c r="X107" i="51" s="1"/>
  <c r="V107" i="51"/>
  <c r="K98" i="51"/>
  <c r="V98" i="51"/>
  <c r="AB73" i="51"/>
  <c r="T142" i="51"/>
  <c r="AC6" i="51"/>
  <c r="X147" i="51"/>
  <c r="X64" i="51"/>
  <c r="K135" i="51"/>
  <c r="V135" i="51"/>
  <c r="AA111" i="51"/>
  <c r="AB111" i="51" s="1"/>
  <c r="AB55" i="51"/>
  <c r="R144" i="51"/>
  <c r="AC28" i="51"/>
  <c r="AB28" i="51" s="1"/>
  <c r="S143" i="51"/>
  <c r="S144" i="51"/>
  <c r="K127" i="51"/>
  <c r="V127" i="51"/>
  <c r="AB102" i="51"/>
  <c r="AC60" i="51"/>
  <c r="X111" i="51"/>
  <c r="X28" i="51"/>
  <c r="X94" i="51"/>
  <c r="AC94" i="51"/>
  <c r="AB94" i="51" s="1"/>
  <c r="P142" i="51"/>
  <c r="O142" i="51" s="1"/>
  <c r="Q17" i="1" s="1"/>
  <c r="U142" i="51"/>
  <c r="X145" i="51" s="1"/>
  <c r="AA6" i="51"/>
  <c r="K90" i="51"/>
  <c r="V90" i="51"/>
  <c r="V142" i="51" s="1"/>
  <c r="K69" i="51"/>
  <c r="AC69" i="51" s="1"/>
  <c r="V69" i="51"/>
  <c r="K118" i="51"/>
  <c r="V118" i="51"/>
  <c r="AC43" i="51"/>
  <c r="AB41" i="51" s="1"/>
  <c r="AB36" i="51"/>
  <c r="AB60" i="51"/>
  <c r="AC107" i="51" l="1"/>
  <c r="AB107" i="51"/>
  <c r="K142" i="51"/>
  <c r="K15" i="1" s="1"/>
  <c r="AC86" i="51"/>
  <c r="AB86" i="51" s="1"/>
  <c r="AC90" i="51"/>
  <c r="X90" i="51"/>
  <c r="AB90" i="51"/>
  <c r="AC98" i="51"/>
  <c r="AB98" i="51" s="1"/>
  <c r="X98" i="51"/>
  <c r="AA142" i="51"/>
  <c r="AB6" i="51"/>
  <c r="AB68" i="51"/>
  <c r="AC127" i="51"/>
  <c r="X127" i="51"/>
  <c r="AB127" i="51"/>
  <c r="AC118" i="51"/>
  <c r="AB118" i="51" s="1"/>
  <c r="X118" i="51"/>
  <c r="AC135" i="51"/>
  <c r="AB135" i="51" s="1"/>
  <c r="X135" i="51"/>
  <c r="X68" i="51"/>
  <c r="X142" i="51"/>
  <c r="AA143" i="51" l="1"/>
  <c r="X153" i="51" s="1"/>
  <c r="N15" i="1"/>
  <c r="Y143" i="51"/>
  <c r="X150" i="51" s="1"/>
  <c r="Z143" i="51"/>
  <c r="X151" i="51" s="1"/>
  <c r="V143" i="51"/>
  <c r="AC142" i="51"/>
  <c r="AC143" i="51" s="1"/>
  <c r="X152" i="51" s="1"/>
  <c r="AB142" i="51"/>
  <c r="AW143" i="51" l="1"/>
  <c r="X169" i="51" s="1"/>
  <c r="AH143" i="51"/>
  <c r="X157" i="51" s="1"/>
  <c r="AF143" i="51"/>
  <c r="X155" i="51" s="1"/>
  <c r="AR143" i="51"/>
  <c r="AG143" i="51"/>
  <c r="X156" i="51" s="1"/>
  <c r="AZ143" i="51"/>
  <c r="AX143" i="51"/>
  <c r="X171" i="51" s="1"/>
  <c r="AS143" i="51"/>
  <c r="X166" i="51" s="1"/>
  <c r="AM143" i="51"/>
  <c r="AI143" i="51"/>
  <c r="X158" i="51" s="1"/>
  <c r="AV143" i="51"/>
  <c r="X170" i="51" s="1"/>
  <c r="AO143" i="51"/>
  <c r="X163" i="51" s="1"/>
  <c r="AU143" i="51"/>
  <c r="X168" i="51" s="1"/>
  <c r="AY143" i="51"/>
  <c r="AP143" i="51"/>
  <c r="X164" i="51" s="1"/>
  <c r="BA143" i="51"/>
  <c r="AJ143" i="51"/>
  <c r="X159" i="51" s="1"/>
  <c r="AK143" i="51"/>
  <c r="X160" i="51" s="1"/>
  <c r="AN143" i="51"/>
  <c r="X162" i="51" s="1"/>
  <c r="AQ143" i="51"/>
  <c r="X165" i="51" s="1"/>
  <c r="AT143" i="51"/>
  <c r="X167" i="51" s="1"/>
  <c r="AL143" i="51"/>
  <c r="X161" i="51" s="1"/>
  <c r="AB143" i="51"/>
  <c r="X154" i="51" s="1"/>
  <c r="O15" i="1"/>
  <c r="X173" i="51" l="1"/>
  <c r="X175" i="51" s="1"/>
  <c r="F15" i="1"/>
  <c r="F8" i="1" l="1"/>
  <c r="Q10" i="1"/>
  <c r="O8" i="1"/>
  <c r="N8" i="1"/>
  <c r="K8" i="1"/>
  <c r="J8" i="1"/>
  <c r="AJ6" i="1"/>
  <c r="AG6" i="1"/>
  <c r="AF6" i="1"/>
  <c r="AD6" i="1"/>
  <c r="AC6" i="1"/>
  <c r="AA6" i="1"/>
  <c r="Z6" i="1"/>
  <c r="X6" i="1"/>
  <c r="W6" i="1"/>
  <c r="U6" i="1"/>
  <c r="T6" i="1"/>
  <c r="BF153" i="50"/>
  <c r="BE153" i="50"/>
  <c r="BD153" i="50"/>
  <c r="BC153" i="50"/>
  <c r="BB153" i="50"/>
  <c r="AZ153" i="50"/>
  <c r="AY153" i="50"/>
  <c r="AX153" i="50"/>
  <c r="AW153" i="50"/>
  <c r="AV153" i="50"/>
  <c r="AU153" i="50"/>
  <c r="AT153" i="50"/>
  <c r="AS153" i="50"/>
  <c r="AQ153" i="50"/>
  <c r="AP153" i="50"/>
  <c r="AO153" i="50"/>
  <c r="AN153" i="50"/>
  <c r="AL153" i="50"/>
  <c r="AK153" i="50"/>
  <c r="AJ153" i="50"/>
  <c r="AI153" i="50"/>
  <c r="AH153" i="50"/>
  <c r="AG153" i="50"/>
  <c r="AF153" i="50"/>
  <c r="Y153" i="50"/>
  <c r="Y155" i="50" s="1"/>
  <c r="R153" i="50"/>
  <c r="AC152" i="50"/>
  <c r="AA152" i="50"/>
  <c r="AC151" i="50"/>
  <c r="AA151" i="50"/>
  <c r="AR150" i="50"/>
  <c r="BA150" i="50" s="1"/>
  <c r="AM150" i="50"/>
  <c r="AR149" i="50"/>
  <c r="BA149" i="50" s="1"/>
  <c r="AM149" i="50"/>
  <c r="W149" i="50"/>
  <c r="O149" i="50"/>
  <c r="P149" i="50" s="1"/>
  <c r="N149" i="50"/>
  <c r="V149" i="50" s="1"/>
  <c r="M149" i="50"/>
  <c r="U149" i="50" s="1"/>
  <c r="K149" i="50"/>
  <c r="J149" i="50"/>
  <c r="AR148" i="50"/>
  <c r="BA148" i="50" s="1"/>
  <c r="AM148" i="50"/>
  <c r="Y148" i="50"/>
  <c r="W148" i="50"/>
  <c r="V148" i="50"/>
  <c r="P148" i="50"/>
  <c r="O148" i="50"/>
  <c r="K148" i="50" s="1"/>
  <c r="N148" i="50"/>
  <c r="M148" i="50"/>
  <c r="J148" i="50"/>
  <c r="AR146" i="50"/>
  <c r="BA146" i="50" s="1"/>
  <c r="AM146" i="50"/>
  <c r="AD146" i="50" s="1"/>
  <c r="AR145" i="50"/>
  <c r="BA145" i="50" s="1"/>
  <c r="AM145" i="50"/>
  <c r="AD145" i="50" s="1"/>
  <c r="AR144" i="50"/>
  <c r="BA144" i="50" s="1"/>
  <c r="AM144" i="50"/>
  <c r="AA144" i="50"/>
  <c r="W144" i="50"/>
  <c r="V144" i="50"/>
  <c r="U144" i="50"/>
  <c r="O144" i="50"/>
  <c r="P144" i="50" s="1"/>
  <c r="N144" i="50"/>
  <c r="K144" i="50" s="1"/>
  <c r="M144" i="50"/>
  <c r="T144" i="50" s="1"/>
  <c r="J144" i="50"/>
  <c r="C144" i="50"/>
  <c r="BA142" i="50"/>
  <c r="AR142" i="50"/>
  <c r="AM142" i="50"/>
  <c r="AD142" i="50"/>
  <c r="AR141" i="50"/>
  <c r="BA141" i="50" s="1"/>
  <c r="AM141" i="50"/>
  <c r="AD141" i="50" s="1"/>
  <c r="BA140" i="50"/>
  <c r="AR140" i="50"/>
  <c r="AM140" i="50"/>
  <c r="AD140" i="50"/>
  <c r="Z140" i="50"/>
  <c r="W140" i="50"/>
  <c r="O140" i="50"/>
  <c r="U140" i="50" s="1"/>
  <c r="AA140" i="50" s="1"/>
  <c r="N140" i="50"/>
  <c r="K140" i="50" s="1"/>
  <c r="M140" i="50"/>
  <c r="J140" i="50"/>
  <c r="AR138" i="50"/>
  <c r="BA138" i="50" s="1"/>
  <c r="AM138" i="50"/>
  <c r="AR137" i="50"/>
  <c r="BA137" i="50" s="1"/>
  <c r="AD137" i="50" s="1"/>
  <c r="AM137" i="50"/>
  <c r="AR136" i="50"/>
  <c r="BA136" i="50" s="1"/>
  <c r="AM136" i="50"/>
  <c r="AD136" i="50" s="1"/>
  <c r="W136" i="50"/>
  <c r="O136" i="50"/>
  <c r="U136" i="50" s="1"/>
  <c r="N136" i="50"/>
  <c r="K136" i="50" s="1"/>
  <c r="M136" i="50"/>
  <c r="J136" i="50"/>
  <c r="AR135" i="50"/>
  <c r="BA135" i="50" s="1"/>
  <c r="AM135" i="50"/>
  <c r="AD135" i="50" s="1"/>
  <c r="Z135" i="50"/>
  <c r="W135" i="50"/>
  <c r="V135" i="50"/>
  <c r="U135" i="50"/>
  <c r="O135" i="50"/>
  <c r="T135" i="50" s="1"/>
  <c r="N135" i="50"/>
  <c r="K135" i="50" s="1"/>
  <c r="AC135" i="50" s="1"/>
  <c r="J135" i="50"/>
  <c r="C135" i="50"/>
  <c r="BA133" i="50"/>
  <c r="AR133" i="50"/>
  <c r="AM133" i="50"/>
  <c r="AD133" i="50" s="1"/>
  <c r="BA132" i="50"/>
  <c r="AR132" i="50"/>
  <c r="AM132" i="50"/>
  <c r="AD132" i="50"/>
  <c r="BA131" i="50"/>
  <c r="AR131" i="50"/>
  <c r="AM131" i="50"/>
  <c r="AD131" i="50" s="1"/>
  <c r="W131" i="50"/>
  <c r="U131" i="50"/>
  <c r="AA131" i="50" s="1"/>
  <c r="T131" i="50"/>
  <c r="P131" i="50"/>
  <c r="O131" i="50"/>
  <c r="C131" i="50" s="1"/>
  <c r="N131" i="50"/>
  <c r="V131" i="50" s="1"/>
  <c r="K131" i="50"/>
  <c r="AC131" i="50" s="1"/>
  <c r="J131" i="50"/>
  <c r="BA129" i="50"/>
  <c r="AR129" i="50"/>
  <c r="AM129" i="50"/>
  <c r="AD129" i="50" s="1"/>
  <c r="AR128" i="50"/>
  <c r="BA128" i="50" s="1"/>
  <c r="AM128" i="50"/>
  <c r="BA127" i="50"/>
  <c r="AR127" i="50"/>
  <c r="AM127" i="50"/>
  <c r="AD127" i="50" s="1"/>
  <c r="W127" i="50"/>
  <c r="X127" i="50" s="1"/>
  <c r="O127" i="50"/>
  <c r="C127" i="50" s="1"/>
  <c r="N127" i="50"/>
  <c r="K127" i="50" s="1"/>
  <c r="J127" i="50"/>
  <c r="BA125" i="50"/>
  <c r="AR125" i="50"/>
  <c r="AM125" i="50"/>
  <c r="AD125" i="50"/>
  <c r="BA124" i="50"/>
  <c r="AR124" i="50"/>
  <c r="AM124" i="50"/>
  <c r="AD124" i="50" s="1"/>
  <c r="BA123" i="50"/>
  <c r="AR123" i="50"/>
  <c r="AM123" i="50"/>
  <c r="AD123" i="50"/>
  <c r="W123" i="50"/>
  <c r="T123" i="50"/>
  <c r="O123" i="50"/>
  <c r="P123" i="50" s="1"/>
  <c r="N123" i="50"/>
  <c r="K123" i="50" s="1"/>
  <c r="AC123" i="50" s="1"/>
  <c r="M123" i="50"/>
  <c r="U123" i="50" s="1"/>
  <c r="AA122" i="50" s="1"/>
  <c r="J123" i="50"/>
  <c r="BA122" i="50"/>
  <c r="AR122" i="50"/>
  <c r="AM122" i="50"/>
  <c r="AD122" i="50"/>
  <c r="W122" i="50"/>
  <c r="X122" i="50" s="1"/>
  <c r="U122" i="50"/>
  <c r="T122" i="50"/>
  <c r="P122" i="50"/>
  <c r="O122" i="50"/>
  <c r="N122" i="50"/>
  <c r="V122" i="50" s="1"/>
  <c r="M122" i="50"/>
  <c r="K122" i="50"/>
  <c r="AC122" i="50" s="1"/>
  <c r="J122" i="50"/>
  <c r="C122" i="50"/>
  <c r="BA120" i="50"/>
  <c r="AD120" i="50" s="1"/>
  <c r="AR120" i="50"/>
  <c r="AM120" i="50"/>
  <c r="AR119" i="50"/>
  <c r="BA119" i="50" s="1"/>
  <c r="AD119" i="50" s="1"/>
  <c r="AM119" i="50"/>
  <c r="BA118" i="50"/>
  <c r="AD118" i="50" s="1"/>
  <c r="AR118" i="50"/>
  <c r="AM118" i="50"/>
  <c r="AR117" i="50"/>
  <c r="BA117" i="50" s="1"/>
  <c r="AD117" i="50" s="1"/>
  <c r="AM117" i="50"/>
  <c r="BA116" i="50"/>
  <c r="AD116" i="50" s="1"/>
  <c r="AR116" i="50"/>
  <c r="AM116" i="50"/>
  <c r="W116" i="50"/>
  <c r="O116" i="50"/>
  <c r="U116" i="50" s="1"/>
  <c r="AA116" i="50" s="1"/>
  <c r="N116" i="50"/>
  <c r="J116" i="50"/>
  <c r="AR114" i="50"/>
  <c r="BA114" i="50" s="1"/>
  <c r="AD114" i="50" s="1"/>
  <c r="AM114" i="50"/>
  <c r="AR113" i="50"/>
  <c r="BA113" i="50" s="1"/>
  <c r="AM113" i="50"/>
  <c r="AR112" i="50"/>
  <c r="BA112" i="50" s="1"/>
  <c r="AD112" i="50" s="1"/>
  <c r="AM112" i="50"/>
  <c r="AR111" i="50"/>
  <c r="BA111" i="50" s="1"/>
  <c r="AM111" i="50"/>
  <c r="AD111" i="50" s="1"/>
  <c r="Z111" i="50"/>
  <c r="W111" i="50"/>
  <c r="X111" i="50" s="1"/>
  <c r="V111" i="50"/>
  <c r="U111" i="50"/>
  <c r="AA111" i="50" s="1"/>
  <c r="P111" i="50"/>
  <c r="O111" i="50"/>
  <c r="T111" i="50" s="1"/>
  <c r="N111" i="50"/>
  <c r="K111" i="50" s="1"/>
  <c r="J111" i="50"/>
  <c r="C111" i="50"/>
  <c r="BA109" i="50"/>
  <c r="AR109" i="50"/>
  <c r="AM109" i="50"/>
  <c r="AD109" i="50" s="1"/>
  <c r="BA108" i="50"/>
  <c r="AR108" i="50"/>
  <c r="AM108" i="50"/>
  <c r="AD108" i="50"/>
  <c r="BA107" i="50"/>
  <c r="AR107" i="50"/>
  <c r="AM107" i="50"/>
  <c r="AD107" i="50" s="1"/>
  <c r="BA106" i="50"/>
  <c r="AR106" i="50"/>
  <c r="AM106" i="50"/>
  <c r="AD106" i="50"/>
  <c r="BA105" i="50"/>
  <c r="AR105" i="50"/>
  <c r="AM105" i="50"/>
  <c r="AD105" i="50" s="1"/>
  <c r="Z105" i="50"/>
  <c r="W105" i="50"/>
  <c r="T105" i="50"/>
  <c r="O105" i="50"/>
  <c r="C105" i="50" s="1"/>
  <c r="N105" i="50"/>
  <c r="V105" i="50" s="1"/>
  <c r="J105" i="50"/>
  <c r="AR103" i="50"/>
  <c r="BA103" i="50" s="1"/>
  <c r="AD103" i="50" s="1"/>
  <c r="AM103" i="50"/>
  <c r="BA102" i="50"/>
  <c r="AD102" i="50" s="1"/>
  <c r="AR102" i="50"/>
  <c r="AM102" i="50"/>
  <c r="AR101" i="50"/>
  <c r="BA101" i="50" s="1"/>
  <c r="AD101" i="50" s="1"/>
  <c r="AM101" i="50"/>
  <c r="Z101" i="50"/>
  <c r="W101" i="50"/>
  <c r="U101" i="50"/>
  <c r="AA101" i="50" s="1"/>
  <c r="T101" i="50"/>
  <c r="P101" i="50"/>
  <c r="O101" i="50"/>
  <c r="C101" i="50" s="1"/>
  <c r="N101" i="50"/>
  <c r="K101" i="50" s="1"/>
  <c r="AC101" i="50" s="1"/>
  <c r="J101" i="50"/>
  <c r="AR99" i="50"/>
  <c r="BA99" i="50" s="1"/>
  <c r="AM99" i="50"/>
  <c r="BA98" i="50"/>
  <c r="AR98" i="50"/>
  <c r="AM98" i="50"/>
  <c r="AD98" i="50" s="1"/>
  <c r="AR97" i="50"/>
  <c r="BA97" i="50" s="1"/>
  <c r="AM97" i="50"/>
  <c r="AD97" i="50" s="1"/>
  <c r="BA96" i="50"/>
  <c r="AR96" i="50"/>
  <c r="AM96" i="50"/>
  <c r="AD96" i="50" s="1"/>
  <c r="Z96" i="50"/>
  <c r="W96" i="50"/>
  <c r="V96" i="50"/>
  <c r="P96" i="50"/>
  <c r="O96" i="50"/>
  <c r="K96" i="50" s="1"/>
  <c r="N96" i="50"/>
  <c r="J96" i="50"/>
  <c r="C96" i="50"/>
  <c r="AR94" i="50"/>
  <c r="BA94" i="50" s="1"/>
  <c r="AM94" i="50"/>
  <c r="AD94" i="50" s="1"/>
  <c r="AR93" i="50"/>
  <c r="BA93" i="50" s="1"/>
  <c r="AD93" i="50" s="1"/>
  <c r="AM93" i="50"/>
  <c r="AR92" i="50"/>
  <c r="BA92" i="50" s="1"/>
  <c r="AM92" i="50"/>
  <c r="AR91" i="50"/>
  <c r="BA91" i="50" s="1"/>
  <c r="AD91" i="50" s="1"/>
  <c r="AM91" i="50"/>
  <c r="AR90" i="50"/>
  <c r="BA90" i="50" s="1"/>
  <c r="AM90" i="50"/>
  <c r="AD90" i="50" s="1"/>
  <c r="Z90" i="50"/>
  <c r="W90" i="50"/>
  <c r="T90" i="50"/>
  <c r="S90" i="50"/>
  <c r="V90" i="50" s="1"/>
  <c r="O90" i="50"/>
  <c r="U90" i="50" s="1"/>
  <c r="N90" i="50"/>
  <c r="K90" i="50" s="1"/>
  <c r="AC90" i="50" s="1"/>
  <c r="J90" i="50"/>
  <c r="AR89" i="50"/>
  <c r="BA89" i="50" s="1"/>
  <c r="AM89" i="50"/>
  <c r="Z89" i="50"/>
  <c r="W89" i="50"/>
  <c r="O89" i="50"/>
  <c r="U89" i="50" s="1"/>
  <c r="AA89" i="50" s="1"/>
  <c r="N89" i="50"/>
  <c r="J89" i="50"/>
  <c r="AR87" i="50"/>
  <c r="BA87" i="50" s="1"/>
  <c r="AD87" i="50" s="1"/>
  <c r="AM87" i="50"/>
  <c r="AR86" i="50"/>
  <c r="BA86" i="50" s="1"/>
  <c r="AM86" i="50"/>
  <c r="AR85" i="50"/>
  <c r="BA85" i="50" s="1"/>
  <c r="AD85" i="50" s="1"/>
  <c r="AM85" i="50"/>
  <c r="AR84" i="50"/>
  <c r="BA84" i="50" s="1"/>
  <c r="AM84" i="50"/>
  <c r="Z84" i="50"/>
  <c r="W84" i="50"/>
  <c r="V84" i="50"/>
  <c r="P84" i="50"/>
  <c r="O84" i="50"/>
  <c r="U84" i="50" s="1"/>
  <c r="N84" i="50"/>
  <c r="K84" i="50"/>
  <c r="J84" i="50"/>
  <c r="C84" i="50"/>
  <c r="AR83" i="50"/>
  <c r="BA83" i="50" s="1"/>
  <c r="AM83" i="50"/>
  <c r="Z83" i="50"/>
  <c r="W83" i="50"/>
  <c r="V83" i="50"/>
  <c r="Q83" i="50"/>
  <c r="O83" i="50"/>
  <c r="T83" i="50" s="1"/>
  <c r="N83" i="50"/>
  <c r="J83" i="50"/>
  <c r="AR81" i="50"/>
  <c r="BA81" i="50" s="1"/>
  <c r="AD81" i="50" s="1"/>
  <c r="AM81" i="50"/>
  <c r="AR80" i="50"/>
  <c r="BA80" i="50" s="1"/>
  <c r="AM80" i="50"/>
  <c r="W80" i="50"/>
  <c r="O80" i="50"/>
  <c r="K80" i="50" s="1"/>
  <c r="N80" i="50"/>
  <c r="V80" i="50" s="1"/>
  <c r="M80" i="50"/>
  <c r="T80" i="50" s="1"/>
  <c r="J80" i="50"/>
  <c r="AR79" i="50"/>
  <c r="BA79" i="50" s="1"/>
  <c r="AM79" i="50"/>
  <c r="AD79" i="50" s="1"/>
  <c r="Z79" i="50"/>
  <c r="W79" i="50"/>
  <c r="X79" i="50" s="1"/>
  <c r="V79" i="50"/>
  <c r="U79" i="50"/>
  <c r="P79" i="50"/>
  <c r="O79" i="50"/>
  <c r="T79" i="50" s="1"/>
  <c r="N79" i="50"/>
  <c r="K79" i="50" s="1"/>
  <c r="AC79" i="50" s="1"/>
  <c r="M79" i="50"/>
  <c r="J79" i="50"/>
  <c r="C79" i="50"/>
  <c r="AR77" i="50"/>
  <c r="BA77" i="50" s="1"/>
  <c r="AD77" i="50" s="1"/>
  <c r="AM77" i="50"/>
  <c r="AR76" i="50"/>
  <c r="BA76" i="50" s="1"/>
  <c r="AM76" i="50"/>
  <c r="Z76" i="50"/>
  <c r="W76" i="50"/>
  <c r="P76" i="50"/>
  <c r="O76" i="50"/>
  <c r="M76" i="50"/>
  <c r="N76" i="50" s="1"/>
  <c r="J76" i="50"/>
  <c r="AR75" i="50"/>
  <c r="BA75" i="50" s="1"/>
  <c r="AM75" i="50"/>
  <c r="Z75" i="50"/>
  <c r="W75" i="50"/>
  <c r="O75" i="50"/>
  <c r="U75" i="50" s="1"/>
  <c r="N75" i="50"/>
  <c r="J75" i="50"/>
  <c r="AR73" i="50"/>
  <c r="BA73" i="50" s="1"/>
  <c r="AD73" i="50" s="1"/>
  <c r="AM73" i="50"/>
  <c r="AR72" i="50"/>
  <c r="BA72" i="50" s="1"/>
  <c r="AM72" i="50"/>
  <c r="AD72" i="50" s="1"/>
  <c r="AR71" i="50"/>
  <c r="BA71" i="50" s="1"/>
  <c r="AD71" i="50" s="1"/>
  <c r="AM71" i="50"/>
  <c r="Z71" i="50"/>
  <c r="W71" i="50"/>
  <c r="O71" i="50"/>
  <c r="U71" i="50" s="1"/>
  <c r="N71" i="50"/>
  <c r="J71" i="50"/>
  <c r="AR70" i="50"/>
  <c r="BA70" i="50" s="1"/>
  <c r="AD70" i="50" s="1"/>
  <c r="AM70" i="50"/>
  <c r="W70" i="50"/>
  <c r="T70" i="50"/>
  <c r="O70" i="50"/>
  <c r="U70" i="50" s="1"/>
  <c r="AA70" i="50" s="1"/>
  <c r="N70" i="50"/>
  <c r="J70" i="50"/>
  <c r="C70" i="50"/>
  <c r="W68" i="50"/>
  <c r="BA67" i="50"/>
  <c r="AR67" i="50"/>
  <c r="AM67" i="50"/>
  <c r="AD67" i="50"/>
  <c r="Z67" i="50"/>
  <c r="W67" i="50"/>
  <c r="BA66" i="50"/>
  <c r="AR66" i="50"/>
  <c r="AM66" i="50"/>
  <c r="AD66" i="50" s="1"/>
  <c r="W66" i="50"/>
  <c r="O66" i="50"/>
  <c r="T66" i="50" s="1"/>
  <c r="M66" i="50"/>
  <c r="U66" i="50" s="1"/>
  <c r="J66" i="50"/>
  <c r="BA65" i="50"/>
  <c r="AR65" i="50"/>
  <c r="AM65" i="50"/>
  <c r="AD65" i="50" s="1"/>
  <c r="W65" i="50"/>
  <c r="Q65" i="50"/>
  <c r="Q153" i="50" s="1"/>
  <c r="P65" i="50"/>
  <c r="O65" i="50"/>
  <c r="M65" i="50"/>
  <c r="J65" i="50"/>
  <c r="AR64" i="50"/>
  <c r="BA64" i="50" s="1"/>
  <c r="AD64" i="50" s="1"/>
  <c r="AM64" i="50"/>
  <c r="AC64" i="50"/>
  <c r="Z64" i="50"/>
  <c r="W64" i="50"/>
  <c r="U64" i="50"/>
  <c r="T64" i="50"/>
  <c r="P64" i="50"/>
  <c r="O64" i="50"/>
  <c r="N64" i="50"/>
  <c r="V64" i="50" s="1"/>
  <c r="M64" i="50"/>
  <c r="K64" i="50"/>
  <c r="J64" i="50"/>
  <c r="C64" i="50"/>
  <c r="BA62" i="50"/>
  <c r="AD62" i="50" s="1"/>
  <c r="AR62" i="50"/>
  <c r="AM62" i="50"/>
  <c r="W62" i="50"/>
  <c r="U62" i="50"/>
  <c r="T62" i="50"/>
  <c r="P62" i="50"/>
  <c r="O62" i="50"/>
  <c r="N62" i="50"/>
  <c r="V62" i="50" s="1"/>
  <c r="M62" i="50"/>
  <c r="K62" i="50"/>
  <c r="J62" i="50"/>
  <c r="C62" i="50"/>
  <c r="BA61" i="50"/>
  <c r="AD61" i="50" s="1"/>
  <c r="AR61" i="50"/>
  <c r="AM61" i="50"/>
  <c r="Z61" i="50"/>
  <c r="W61" i="50"/>
  <c r="U61" i="50"/>
  <c r="O61" i="50"/>
  <c r="P61" i="50" s="1"/>
  <c r="N61" i="50"/>
  <c r="K61" i="50"/>
  <c r="J61" i="50"/>
  <c r="BA60" i="50"/>
  <c r="AD60" i="50" s="1"/>
  <c r="AR60" i="50"/>
  <c r="AM60" i="50"/>
  <c r="Z60" i="50"/>
  <c r="W60" i="50"/>
  <c r="U60" i="50"/>
  <c r="T60" i="50"/>
  <c r="P60" i="50"/>
  <c r="O60" i="50"/>
  <c r="C60" i="50" s="1"/>
  <c r="N60" i="50"/>
  <c r="V60" i="50" s="1"/>
  <c r="K60" i="50"/>
  <c r="AC60" i="50" s="1"/>
  <c r="J60" i="50"/>
  <c r="BA58" i="50"/>
  <c r="AR58" i="50"/>
  <c r="AM58" i="50"/>
  <c r="AD58" i="50" s="1"/>
  <c r="AR57" i="50"/>
  <c r="BA57" i="50" s="1"/>
  <c r="AM57" i="50"/>
  <c r="BA56" i="50"/>
  <c r="AR56" i="50"/>
  <c r="AM56" i="50"/>
  <c r="AD56" i="50" s="1"/>
  <c r="AR55" i="50"/>
  <c r="BA55" i="50" s="1"/>
  <c r="AM55" i="50"/>
  <c r="Z55" i="50"/>
  <c r="W55" i="50"/>
  <c r="O55" i="50"/>
  <c r="M55" i="50"/>
  <c r="J55" i="50"/>
  <c r="BA53" i="50"/>
  <c r="AR53" i="50"/>
  <c r="AM53" i="50"/>
  <c r="AD53" i="50" s="1"/>
  <c r="AR52" i="50"/>
  <c r="BA52" i="50" s="1"/>
  <c r="AM52" i="50"/>
  <c r="AD52" i="50" s="1"/>
  <c r="BA51" i="50"/>
  <c r="AR51" i="50"/>
  <c r="AM51" i="50"/>
  <c r="AD51" i="50" s="1"/>
  <c r="Z51" i="50"/>
  <c r="W51" i="50"/>
  <c r="P51" i="50"/>
  <c r="O51" i="50"/>
  <c r="M51" i="50"/>
  <c r="J51" i="50"/>
  <c r="AR50" i="50"/>
  <c r="BA50" i="50" s="1"/>
  <c r="AD50" i="50" s="1"/>
  <c r="AM50" i="50"/>
  <c r="Z50" i="50"/>
  <c r="W50" i="50"/>
  <c r="U50" i="50"/>
  <c r="T50" i="50"/>
  <c r="P50" i="50"/>
  <c r="O50" i="50"/>
  <c r="N50" i="50"/>
  <c r="V50" i="50" s="1"/>
  <c r="M50" i="50"/>
  <c r="K50" i="50"/>
  <c r="AC50" i="50" s="1"/>
  <c r="J50" i="50"/>
  <c r="C50" i="50"/>
  <c r="AR48" i="50"/>
  <c r="BA48" i="50" s="1"/>
  <c r="AD48" i="50" s="1"/>
  <c r="AM48" i="50"/>
  <c r="AR47" i="50"/>
  <c r="BA47" i="50" s="1"/>
  <c r="AD47" i="50" s="1"/>
  <c r="AM47" i="50"/>
  <c r="Z47" i="50"/>
  <c r="W47" i="50"/>
  <c r="V47" i="50"/>
  <c r="O47" i="50"/>
  <c r="P47" i="50" s="1"/>
  <c r="N47" i="50"/>
  <c r="K47" i="50" s="1"/>
  <c r="M47" i="50"/>
  <c r="T47" i="50" s="1"/>
  <c r="J47" i="50"/>
  <c r="BA46" i="50"/>
  <c r="AR46" i="50"/>
  <c r="AM46" i="50"/>
  <c r="AD46" i="50" s="1"/>
  <c r="W46" i="50"/>
  <c r="U46" i="50"/>
  <c r="T46" i="50"/>
  <c r="P46" i="50"/>
  <c r="O46" i="50"/>
  <c r="N46" i="50"/>
  <c r="V46" i="50" s="1"/>
  <c r="M46" i="50"/>
  <c r="K46" i="50"/>
  <c r="AC46" i="50" s="1"/>
  <c r="J46" i="50"/>
  <c r="C46" i="50"/>
  <c r="BA44" i="50"/>
  <c r="AD44" i="50" s="1"/>
  <c r="AR44" i="50"/>
  <c r="AM44" i="50"/>
  <c r="AR43" i="50"/>
  <c r="BA43" i="50" s="1"/>
  <c r="AD43" i="50" s="1"/>
  <c r="AM43" i="50"/>
  <c r="BA42" i="50"/>
  <c r="AR42" i="50"/>
  <c r="AM42" i="50"/>
  <c r="AD42" i="50"/>
  <c r="W42" i="50"/>
  <c r="X42" i="50" s="1"/>
  <c r="T42" i="50"/>
  <c r="O42" i="50"/>
  <c r="C42" i="50" s="1"/>
  <c r="N42" i="50"/>
  <c r="K42" i="50"/>
  <c r="AC42" i="50" s="1"/>
  <c r="J42" i="50"/>
  <c r="AR40" i="50"/>
  <c r="BA40" i="50" s="1"/>
  <c r="AD40" i="50" s="1"/>
  <c r="AM40" i="50"/>
  <c r="W40" i="50"/>
  <c r="AR39" i="50"/>
  <c r="BA39" i="50" s="1"/>
  <c r="AM39" i="50"/>
  <c r="W39" i="50"/>
  <c r="T39" i="50"/>
  <c r="S39" i="50"/>
  <c r="U39" i="50" s="1"/>
  <c r="O39" i="50"/>
  <c r="N39" i="50"/>
  <c r="K39" i="50" s="1"/>
  <c r="AC39" i="50" s="1"/>
  <c r="J39" i="50"/>
  <c r="C39" i="50"/>
  <c r="AR38" i="50"/>
  <c r="BA38" i="50" s="1"/>
  <c r="AM38" i="50"/>
  <c r="AA38" i="50"/>
  <c r="W38" i="50"/>
  <c r="U38" i="50"/>
  <c r="O38" i="50"/>
  <c r="T38" i="50" s="1"/>
  <c r="N38" i="50"/>
  <c r="V38" i="50" s="1"/>
  <c r="J38" i="50"/>
  <c r="C38" i="50"/>
  <c r="BA36" i="50"/>
  <c r="AR36" i="50"/>
  <c r="AM36" i="50"/>
  <c r="AD36" i="50" s="1"/>
  <c r="BA35" i="50"/>
  <c r="AR35" i="50"/>
  <c r="AM35" i="50"/>
  <c r="AD35" i="50"/>
  <c r="Z35" i="50"/>
  <c r="W35" i="50"/>
  <c r="BA34" i="50"/>
  <c r="AR34" i="50"/>
  <c r="AM34" i="50"/>
  <c r="AD34" i="50" s="1"/>
  <c r="W34" i="50"/>
  <c r="V34" i="50"/>
  <c r="T34" i="50"/>
  <c r="P34" i="50"/>
  <c r="O34" i="50"/>
  <c r="U34" i="50" s="1"/>
  <c r="N34" i="50"/>
  <c r="K34" i="50" s="1"/>
  <c r="AC34" i="50" s="1"/>
  <c r="J34" i="50"/>
  <c r="C34" i="50"/>
  <c r="AR33" i="50"/>
  <c r="BA33" i="50" s="1"/>
  <c r="AD33" i="50" s="1"/>
  <c r="AM33" i="50"/>
  <c r="W33" i="50"/>
  <c r="V33" i="50"/>
  <c r="T33" i="50"/>
  <c r="S33" i="50"/>
  <c r="S153" i="50" s="1"/>
  <c r="P33" i="50"/>
  <c r="O33" i="50"/>
  <c r="U33" i="50" s="1"/>
  <c r="AA33" i="50" s="1"/>
  <c r="N33" i="50"/>
  <c r="J33" i="50"/>
  <c r="C33" i="50"/>
  <c r="AR31" i="50"/>
  <c r="BA31" i="50" s="1"/>
  <c r="AD31" i="50" s="1"/>
  <c r="AM31" i="50"/>
  <c r="BA30" i="50"/>
  <c r="AR30" i="50"/>
  <c r="AM30" i="50"/>
  <c r="AD30" i="50" s="1"/>
  <c r="AR29" i="50"/>
  <c r="BA29" i="50" s="1"/>
  <c r="AD29" i="50" s="1"/>
  <c r="AM29" i="50"/>
  <c r="Z29" i="50"/>
  <c r="W29" i="50"/>
  <c r="BA28" i="50"/>
  <c r="AD28" i="50" s="1"/>
  <c r="AR28" i="50"/>
  <c r="AM28" i="50"/>
  <c r="W28" i="50"/>
  <c r="T28" i="50"/>
  <c r="P28" i="50"/>
  <c r="O28" i="50"/>
  <c r="U28" i="50" s="1"/>
  <c r="N28" i="50"/>
  <c r="K28" i="50" s="1"/>
  <c r="AC28" i="50" s="1"/>
  <c r="J28" i="50"/>
  <c r="C28" i="50"/>
  <c r="AR27" i="50"/>
  <c r="BA27" i="50" s="1"/>
  <c r="AM27" i="50"/>
  <c r="AD27" i="50" s="1"/>
  <c r="Z27" i="50"/>
  <c r="W27" i="50"/>
  <c r="V27" i="50"/>
  <c r="T27" i="50"/>
  <c r="O27" i="50"/>
  <c r="P27" i="50" s="1"/>
  <c r="N27" i="50"/>
  <c r="M27" i="50"/>
  <c r="K27" i="50"/>
  <c r="AC27" i="50" s="1"/>
  <c r="J27" i="50"/>
  <c r="W25" i="50"/>
  <c r="Z24" i="50"/>
  <c r="W24" i="50"/>
  <c r="U24" i="50"/>
  <c r="T24" i="50"/>
  <c r="O24" i="50"/>
  <c r="P24" i="50" s="1"/>
  <c r="M24" i="50"/>
  <c r="N24" i="50" s="1"/>
  <c r="J24" i="50"/>
  <c r="C24" i="50"/>
  <c r="BA23" i="50"/>
  <c r="AR23" i="50"/>
  <c r="AM23" i="50"/>
  <c r="AD23" i="50" s="1"/>
  <c r="Z23" i="50"/>
  <c r="W23" i="50"/>
  <c r="V23" i="50"/>
  <c r="U23" i="50"/>
  <c r="P23" i="50"/>
  <c r="O23" i="50"/>
  <c r="N23" i="50"/>
  <c r="K23" i="50" s="1"/>
  <c r="AC23" i="50" s="1"/>
  <c r="M23" i="50"/>
  <c r="T23" i="50" s="1"/>
  <c r="J23" i="50"/>
  <c r="C23" i="50"/>
  <c r="AR22" i="50"/>
  <c r="BA22" i="50" s="1"/>
  <c r="AD22" i="50" s="1"/>
  <c r="AM22" i="50"/>
  <c r="Z22" i="50"/>
  <c r="W22" i="50"/>
  <c r="V22" i="50"/>
  <c r="T22" i="50"/>
  <c r="O22" i="50"/>
  <c r="P22" i="50" s="1"/>
  <c r="N22" i="50"/>
  <c r="M22" i="50"/>
  <c r="U22" i="50" s="1"/>
  <c r="K22" i="50"/>
  <c r="AC22" i="50" s="1"/>
  <c r="J22" i="50"/>
  <c r="BA21" i="50"/>
  <c r="AR21" i="50"/>
  <c r="AM21" i="50"/>
  <c r="AD21" i="50" s="1"/>
  <c r="Z21" i="50"/>
  <c r="W21" i="50"/>
  <c r="P21" i="50"/>
  <c r="O21" i="50"/>
  <c r="M21" i="50"/>
  <c r="T21" i="50" s="1"/>
  <c r="J21" i="50"/>
  <c r="AR20" i="50"/>
  <c r="BA20" i="50" s="1"/>
  <c r="AM20" i="50"/>
  <c r="W20" i="50"/>
  <c r="P20" i="50"/>
  <c r="O20" i="50"/>
  <c r="M20" i="50"/>
  <c r="U20" i="50" s="1"/>
  <c r="J20" i="50"/>
  <c r="AR18" i="50"/>
  <c r="BA18" i="50" s="1"/>
  <c r="AM18" i="50"/>
  <c r="AD18" i="50" s="1"/>
  <c r="BA17" i="50"/>
  <c r="AR17" i="50"/>
  <c r="AM17" i="50"/>
  <c r="AD17" i="50" s="1"/>
  <c r="AR16" i="50"/>
  <c r="BA16" i="50" s="1"/>
  <c r="AM16" i="50"/>
  <c r="W16" i="50"/>
  <c r="AR15" i="50"/>
  <c r="BA15" i="50" s="1"/>
  <c r="AM15" i="50"/>
  <c r="AD15" i="50" s="1"/>
  <c r="Z15" i="50"/>
  <c r="W15" i="50"/>
  <c r="X15" i="50" s="1"/>
  <c r="T15" i="50"/>
  <c r="P15" i="50"/>
  <c r="O15" i="50"/>
  <c r="U15" i="50" s="1"/>
  <c r="AA15" i="50" s="1"/>
  <c r="N15" i="50"/>
  <c r="K15" i="50" s="1"/>
  <c r="AC15" i="50" s="1"/>
  <c r="J15" i="50"/>
  <c r="C15" i="50"/>
  <c r="AR13" i="50"/>
  <c r="BA13" i="50" s="1"/>
  <c r="AM13" i="50"/>
  <c r="AD13" i="50" s="1"/>
  <c r="BA12" i="50"/>
  <c r="AR12" i="50"/>
  <c r="AM12" i="50"/>
  <c r="AD12" i="50" s="1"/>
  <c r="AR11" i="50"/>
  <c r="BA11" i="50" s="1"/>
  <c r="AM11" i="50"/>
  <c r="W11" i="50"/>
  <c r="O11" i="50"/>
  <c r="C11" i="50" s="1"/>
  <c r="N11" i="50"/>
  <c r="J11" i="50"/>
  <c r="BA10" i="50"/>
  <c r="AR10" i="50"/>
  <c r="AM10" i="50"/>
  <c r="AD10" i="50"/>
  <c r="Z10" i="50"/>
  <c r="W10" i="50"/>
  <c r="V10" i="50"/>
  <c r="U10" i="50"/>
  <c r="P10" i="50"/>
  <c r="O10" i="50"/>
  <c r="T10" i="50" s="1"/>
  <c r="N10" i="50"/>
  <c r="K10" i="50" s="1"/>
  <c r="J10" i="50"/>
  <c r="C10" i="50"/>
  <c r="BA8" i="50"/>
  <c r="AR8" i="50"/>
  <c r="AM8" i="50"/>
  <c r="AD8" i="50" s="1"/>
  <c r="BA7" i="50"/>
  <c r="AR7" i="50"/>
  <c r="AM7" i="50"/>
  <c r="AD7" i="50"/>
  <c r="BA6" i="50"/>
  <c r="AR6" i="50"/>
  <c r="AM6" i="50"/>
  <c r="AM153" i="50" s="1"/>
  <c r="Z6" i="50"/>
  <c r="Z153" i="50" s="1"/>
  <c r="W6" i="50"/>
  <c r="P6" i="50"/>
  <c r="O6" i="50"/>
  <c r="M6" i="50"/>
  <c r="U6" i="50" s="1"/>
  <c r="J6" i="50"/>
  <c r="A6" i="50"/>
  <c r="AD20" i="50" l="1"/>
  <c r="AA6" i="50"/>
  <c r="AD11" i="50"/>
  <c r="X27" i="50"/>
  <c r="AC10" i="50"/>
  <c r="AD16" i="50"/>
  <c r="AC47" i="50"/>
  <c r="K24" i="50"/>
  <c r="AC24" i="50" s="1"/>
  <c r="V24" i="50"/>
  <c r="K11" i="50"/>
  <c r="X10" i="50" s="1"/>
  <c r="C21" i="50"/>
  <c r="U21" i="50"/>
  <c r="AA20" i="50" s="1"/>
  <c r="U65" i="50"/>
  <c r="T65" i="50"/>
  <c r="C65" i="50"/>
  <c r="N65" i="50"/>
  <c r="AD75" i="50"/>
  <c r="AD76" i="50"/>
  <c r="AD83" i="50"/>
  <c r="AD89" i="50"/>
  <c r="AD113" i="50"/>
  <c r="X135" i="50"/>
  <c r="AD144" i="50"/>
  <c r="AD150" i="50"/>
  <c r="W153" i="50"/>
  <c r="AR153" i="50"/>
  <c r="N20" i="50"/>
  <c r="C22" i="50"/>
  <c r="C27" i="50"/>
  <c r="U27" i="50"/>
  <c r="AA27" i="50" s="1"/>
  <c r="AA64" i="50"/>
  <c r="V70" i="50"/>
  <c r="K70" i="50"/>
  <c r="AC70" i="50" s="1"/>
  <c r="AD39" i="50"/>
  <c r="AD55" i="50"/>
  <c r="AA60" i="50"/>
  <c r="AC144" i="50"/>
  <c r="BA153" i="50"/>
  <c r="N6" i="50"/>
  <c r="P11" i="50"/>
  <c r="BF155" i="50"/>
  <c r="Q154" i="50"/>
  <c r="BB155" i="50"/>
  <c r="K76" i="50"/>
  <c r="V76" i="50"/>
  <c r="AC80" i="50"/>
  <c r="AD84" i="50"/>
  <c r="AD99" i="50"/>
  <c r="X101" i="50"/>
  <c r="AD128" i="50"/>
  <c r="X140" i="50"/>
  <c r="T11" i="50"/>
  <c r="T20" i="50"/>
  <c r="N21" i="50"/>
  <c r="K33" i="50"/>
  <c r="AC33" i="50" s="1"/>
  <c r="P39" i="50"/>
  <c r="X60" i="50"/>
  <c r="X148" i="50"/>
  <c r="BC155" i="50"/>
  <c r="Z155" i="50"/>
  <c r="U11" i="50"/>
  <c r="U153" i="50" s="1"/>
  <c r="V15" i="50"/>
  <c r="AB15" i="50" s="1"/>
  <c r="C20" i="50"/>
  <c r="V28" i="50"/>
  <c r="K38" i="50"/>
  <c r="AC38" i="50" s="1"/>
  <c r="AD38" i="50"/>
  <c r="U42" i="50"/>
  <c r="AA42" i="50" s="1"/>
  <c r="P42" i="50"/>
  <c r="P153" i="50" s="1"/>
  <c r="O153" i="50" s="1"/>
  <c r="U55" i="50"/>
  <c r="AA55" i="50" s="1"/>
  <c r="AD80" i="50"/>
  <c r="AD92" i="50"/>
  <c r="AC111" i="50"/>
  <c r="AB111" i="50" s="1"/>
  <c r="AD138" i="50"/>
  <c r="BD155" i="50"/>
  <c r="V11" i="50"/>
  <c r="U51" i="50"/>
  <c r="AA50" i="50" s="1"/>
  <c r="C51" i="50"/>
  <c r="T51" i="50"/>
  <c r="N51" i="50"/>
  <c r="T55" i="50"/>
  <c r="P55" i="50"/>
  <c r="AC62" i="50"/>
  <c r="X96" i="50"/>
  <c r="AB131" i="50"/>
  <c r="AA135" i="50"/>
  <c r="X144" i="50"/>
  <c r="AD148" i="50"/>
  <c r="AD149" i="50"/>
  <c r="R154" i="50"/>
  <c r="BE155" i="50"/>
  <c r="T6" i="50"/>
  <c r="C6" i="50"/>
  <c r="AD6" i="50"/>
  <c r="S154" i="50"/>
  <c r="S155" i="50"/>
  <c r="P38" i="50"/>
  <c r="V39" i="50"/>
  <c r="V42" i="50"/>
  <c r="X46" i="50"/>
  <c r="U47" i="50"/>
  <c r="AA46" i="50" s="1"/>
  <c r="AB46" i="50" s="1"/>
  <c r="C47" i="50"/>
  <c r="AD57" i="50"/>
  <c r="AD86" i="50"/>
  <c r="AB144" i="50"/>
  <c r="T61" i="50"/>
  <c r="AC61" i="50" s="1"/>
  <c r="C71" i="50"/>
  <c r="V71" i="50"/>
  <c r="C75" i="50"/>
  <c r="V75" i="50"/>
  <c r="C83" i="50"/>
  <c r="U83" i="50"/>
  <c r="AA83" i="50" s="1"/>
  <c r="C89" i="50"/>
  <c r="V89" i="50"/>
  <c r="P90" i="50"/>
  <c r="K105" i="50"/>
  <c r="C116" i="50"/>
  <c r="V116" i="50"/>
  <c r="X131" i="50"/>
  <c r="C61" i="50"/>
  <c r="V61" i="50"/>
  <c r="K71" i="50"/>
  <c r="K75" i="50"/>
  <c r="T76" i="50"/>
  <c r="P80" i="50"/>
  <c r="K83" i="50"/>
  <c r="AC83" i="50" s="1"/>
  <c r="T84" i="50"/>
  <c r="AC84" i="50" s="1"/>
  <c r="K89" i="50"/>
  <c r="X89" i="50" s="1"/>
  <c r="T96" i="50"/>
  <c r="AC96" i="50" s="1"/>
  <c r="K116" i="50"/>
  <c r="P127" i="50"/>
  <c r="P136" i="50"/>
  <c r="P140" i="50"/>
  <c r="T148" i="50"/>
  <c r="AC148" i="50" s="1"/>
  <c r="N55" i="50"/>
  <c r="N66" i="50"/>
  <c r="P70" i="50"/>
  <c r="C76" i="50"/>
  <c r="U76" i="50"/>
  <c r="AA75" i="50" s="1"/>
  <c r="C90" i="50"/>
  <c r="U96" i="50"/>
  <c r="AA96" i="50" s="1"/>
  <c r="V101" i="50"/>
  <c r="AB101" i="50" s="1"/>
  <c r="P105" i="50"/>
  <c r="T127" i="50"/>
  <c r="AC127" i="50" s="1"/>
  <c r="T136" i="50"/>
  <c r="AC136" i="50" s="1"/>
  <c r="T140" i="50"/>
  <c r="AC140" i="50" s="1"/>
  <c r="AB140" i="50" s="1"/>
  <c r="C148" i="50"/>
  <c r="U148" i="50"/>
  <c r="AA148" i="50" s="1"/>
  <c r="R155" i="50"/>
  <c r="C80" i="50"/>
  <c r="U80" i="50"/>
  <c r="AA79" i="50" s="1"/>
  <c r="AB79" i="50" s="1"/>
  <c r="U127" i="50"/>
  <c r="AA127" i="50" s="1"/>
  <c r="C136" i="50"/>
  <c r="C140" i="50"/>
  <c r="P66" i="50"/>
  <c r="P71" i="50"/>
  <c r="P75" i="50"/>
  <c r="P83" i="50"/>
  <c r="P89" i="50"/>
  <c r="U105" i="50"/>
  <c r="AA105" i="50" s="1"/>
  <c r="P116" i="50"/>
  <c r="C123" i="50"/>
  <c r="V127" i="50"/>
  <c r="V136" i="50"/>
  <c r="V140" i="50"/>
  <c r="T71" i="50"/>
  <c r="T75" i="50"/>
  <c r="T89" i="50"/>
  <c r="T116" i="50"/>
  <c r="V123" i="50"/>
  <c r="AB122" i="50" s="1"/>
  <c r="P135" i="50"/>
  <c r="T149" i="50"/>
  <c r="AC149" i="50" s="1"/>
  <c r="C55" i="50"/>
  <c r="C66" i="50"/>
  <c r="C149" i="50"/>
  <c r="AC75" i="50" l="1"/>
  <c r="AB75" i="50" s="1"/>
  <c r="AC105" i="50"/>
  <c r="X105" i="50"/>
  <c r="X158" i="50"/>
  <c r="X156" i="50"/>
  <c r="W155" i="50"/>
  <c r="AC116" i="50"/>
  <c r="AC71" i="50"/>
  <c r="AB42" i="50"/>
  <c r="X38" i="50"/>
  <c r="AB33" i="50"/>
  <c r="AD153" i="50"/>
  <c r="X83" i="50"/>
  <c r="K21" i="50"/>
  <c r="AC21" i="50" s="1"/>
  <c r="V21" i="50"/>
  <c r="AB127" i="50"/>
  <c r="V66" i="50"/>
  <c r="K66" i="50"/>
  <c r="AC66" i="50" s="1"/>
  <c r="AC89" i="50"/>
  <c r="AB89" i="50" s="1"/>
  <c r="C153" i="50"/>
  <c r="X75" i="50"/>
  <c r="AB38" i="50"/>
  <c r="AB27" i="50"/>
  <c r="AC11" i="50"/>
  <c r="AB70" i="50"/>
  <c r="V55" i="50"/>
  <c r="K55" i="50"/>
  <c r="AB83" i="50"/>
  <c r="T153" i="50"/>
  <c r="AB135" i="50"/>
  <c r="AB105" i="50"/>
  <c r="AC76" i="50"/>
  <c r="K6" i="50"/>
  <c r="V6" i="50"/>
  <c r="V153" i="50" s="1"/>
  <c r="V65" i="50"/>
  <c r="K65" i="50"/>
  <c r="X33" i="50"/>
  <c r="AB96" i="50"/>
  <c r="X116" i="50"/>
  <c r="AB116" i="50"/>
  <c r="X70" i="50"/>
  <c r="AB60" i="50"/>
  <c r="K20" i="50"/>
  <c r="V20" i="50"/>
  <c r="AA10" i="50"/>
  <c r="AB10" i="50" s="1"/>
  <c r="AB148" i="50"/>
  <c r="V51" i="50"/>
  <c r="K51" i="50"/>
  <c r="AC20" i="50" l="1"/>
  <c r="X20" i="50"/>
  <c r="AA153" i="50"/>
  <c r="K153" i="50"/>
  <c r="V154" i="50" s="1"/>
  <c r="AC6" i="50"/>
  <c r="X6" i="50"/>
  <c r="AC51" i="50"/>
  <c r="AB50" i="50" s="1"/>
  <c r="X50" i="50"/>
  <c r="AC65" i="50"/>
  <c r="AB64" i="50" s="1"/>
  <c r="X64" i="50"/>
  <c r="AC55" i="50"/>
  <c r="AB55" i="50" s="1"/>
  <c r="X55" i="50"/>
  <c r="AB20" i="50"/>
  <c r="AJ154" i="50" l="1"/>
  <c r="X170" i="50" s="1"/>
  <c r="AF154" i="50"/>
  <c r="X166" i="50" s="1"/>
  <c r="AQ154" i="50"/>
  <c r="X176" i="50" s="1"/>
  <c r="AP154" i="50"/>
  <c r="X175" i="50" s="1"/>
  <c r="AG154" i="50"/>
  <c r="X167" i="50" s="1"/>
  <c r="AU154" i="50"/>
  <c r="X179" i="50" s="1"/>
  <c r="AW154" i="50"/>
  <c r="X181" i="50" s="1"/>
  <c r="AR154" i="50"/>
  <c r="AT154" i="50"/>
  <c r="X178" i="50" s="1"/>
  <c r="AV154" i="50"/>
  <c r="X180" i="50" s="1"/>
  <c r="AO154" i="50"/>
  <c r="X174" i="50" s="1"/>
  <c r="BA154" i="50"/>
  <c r="AX154" i="50"/>
  <c r="X182" i="50" s="1"/>
  <c r="AH154" i="50"/>
  <c r="X168" i="50" s="1"/>
  <c r="AL154" i="50"/>
  <c r="X172" i="50" s="1"/>
  <c r="AI154" i="50"/>
  <c r="X169" i="50" s="1"/>
  <c r="AY154" i="50"/>
  <c r="AS154" i="50"/>
  <c r="X177" i="50" s="1"/>
  <c r="AM154" i="50"/>
  <c r="AK154" i="50"/>
  <c r="X171" i="50" s="1"/>
  <c r="AZ154" i="50"/>
  <c r="X183" i="50" s="1"/>
  <c r="AN154" i="50"/>
  <c r="X173" i="50" s="1"/>
  <c r="AC153" i="50"/>
  <c r="AC154" i="50" s="1"/>
  <c r="X163" i="50" s="1"/>
  <c r="AA154" i="50"/>
  <c r="X164" i="50" s="1"/>
  <c r="AB6" i="50"/>
  <c r="AB153" i="50" s="1"/>
  <c r="AB154" i="50" s="1"/>
  <c r="X165" i="50" s="1"/>
  <c r="Y154" i="50"/>
  <c r="X161" i="50" s="1"/>
  <c r="Z154" i="50"/>
  <c r="X162" i="50" s="1"/>
  <c r="X153" i="50"/>
  <c r="X184" i="50" l="1"/>
  <c r="X186" i="50" s="1"/>
  <c r="AR6" i="1" l="1"/>
  <c r="AP20" i="1" l="1"/>
  <c r="AT34" i="1" l="1"/>
  <c r="AK34" i="1"/>
  <c r="AB34" i="1"/>
  <c r="V34" i="1"/>
  <c r="AH34" i="1"/>
  <c r="AE34" i="1"/>
  <c r="Y34" i="1"/>
  <c r="AP41" i="1"/>
  <c r="AL34" i="1" l="1"/>
  <c r="AO34" i="1"/>
  <c r="R38" i="1" l="1"/>
  <c r="R39" i="1" s="1"/>
  <c r="AQ27" i="1" l="1"/>
  <c r="R45" i="1" l="1"/>
  <c r="R46" i="1" s="1"/>
  <c r="F44" i="1"/>
  <c r="O44" i="1"/>
  <c r="N44" i="1"/>
  <c r="J44" i="1"/>
  <c r="AQ41" i="1"/>
  <c r="AN41" i="1"/>
  <c r="AH41" i="1"/>
  <c r="AE41" i="1"/>
  <c r="F37" i="1"/>
  <c r="O37" i="1"/>
  <c r="N37" i="1"/>
  <c r="L36" i="1"/>
  <c r="L37" i="1" s="1"/>
  <c r="I34" i="1"/>
  <c r="R31" i="1"/>
  <c r="R32" i="1" s="1"/>
  <c r="F30" i="1"/>
  <c r="O30" i="1"/>
  <c r="N30" i="1"/>
  <c r="J30" i="1"/>
  <c r="AT27" i="1"/>
  <c r="I27" i="1" s="1"/>
  <c r="AN27" i="1"/>
  <c r="AH27" i="1"/>
  <c r="AM27" i="1" s="1"/>
  <c r="AE27" i="1"/>
  <c r="Y27" i="1"/>
  <c r="V27" i="1"/>
  <c r="S25" i="1"/>
  <c r="Q25" i="1"/>
  <c r="F23" i="1"/>
  <c r="O23" i="1"/>
  <c r="N23" i="1"/>
  <c r="J23" i="1"/>
  <c r="AT20" i="1"/>
  <c r="AK20" i="1"/>
  <c r="AH20" i="1"/>
  <c r="AE20" i="1"/>
  <c r="AB20" i="1"/>
  <c r="Y20" i="1"/>
  <c r="S18" i="1"/>
  <c r="Q18" i="1"/>
  <c r="R17" i="1"/>
  <c r="R18" i="1" s="1"/>
  <c r="K16" i="1"/>
  <c r="AT13" i="1"/>
  <c r="AK13" i="1"/>
  <c r="AH13" i="1"/>
  <c r="AE13" i="1"/>
  <c r="AB13" i="1"/>
  <c r="Y13" i="1"/>
  <c r="V13" i="1"/>
  <c r="C13" i="1"/>
  <c r="F13" i="1" s="1"/>
  <c r="F14" i="1" s="1"/>
  <c r="S11" i="1"/>
  <c r="F9" i="1"/>
  <c r="AT6" i="1"/>
  <c r="I6" i="1" s="1"/>
  <c r="AK6" i="1"/>
  <c r="AH6" i="1"/>
  <c r="AE6" i="1"/>
  <c r="AB6" i="1"/>
  <c r="Y6" i="1"/>
  <c r="V6" i="1"/>
  <c r="F6" i="1"/>
  <c r="AI42" i="1" l="1"/>
  <c r="AI35" i="1"/>
  <c r="T35" i="1"/>
  <c r="W35" i="1"/>
  <c r="AN35" i="1"/>
  <c r="AS35" i="1"/>
  <c r="AR35" i="1"/>
  <c r="AC35" i="1"/>
  <c r="AM35" i="1"/>
  <c r="X35" i="1"/>
  <c r="AQ35" i="1"/>
  <c r="AK35" i="1"/>
  <c r="AG35" i="1"/>
  <c r="AH35" i="1"/>
  <c r="AB35" i="1"/>
  <c r="AP35" i="1"/>
  <c r="AT35" i="1"/>
  <c r="AA35" i="1"/>
  <c r="V35" i="1"/>
  <c r="Y35" i="1"/>
  <c r="U35" i="1"/>
  <c r="AJ35" i="1"/>
  <c r="AE35" i="1"/>
  <c r="Z35" i="1"/>
  <c r="AF35" i="1"/>
  <c r="AD35" i="1"/>
  <c r="AL35" i="1"/>
  <c r="AO35" i="1"/>
  <c r="AL6" i="1"/>
  <c r="AO6" i="1"/>
  <c r="T7" i="1"/>
  <c r="AB7" i="1"/>
  <c r="AJ7" i="1"/>
  <c r="AR7" i="1"/>
  <c r="Y14" i="1"/>
  <c r="U14" i="1"/>
  <c r="AG14" i="1"/>
  <c r="Z21" i="1"/>
  <c r="AS21" i="1"/>
  <c r="Z28" i="1"/>
  <c r="AN28" i="1"/>
  <c r="AR28" i="1"/>
  <c r="T42" i="1"/>
  <c r="AF42" i="1"/>
  <c r="AP42" i="1"/>
  <c r="U7" i="1"/>
  <c r="AC7" i="1"/>
  <c r="AK7" i="1"/>
  <c r="AS7" i="1"/>
  <c r="AB14" i="1"/>
  <c r="W14" i="1"/>
  <c r="AI14" i="1"/>
  <c r="C20" i="1"/>
  <c r="AB21" i="1"/>
  <c r="AA21" i="1"/>
  <c r="AC28" i="1"/>
  <c r="AT28" i="1"/>
  <c r="AS28" i="1"/>
  <c r="U42" i="1"/>
  <c r="AG42" i="1"/>
  <c r="AR42" i="1"/>
  <c r="V7" i="1"/>
  <c r="AD7" i="1"/>
  <c r="AL7" i="1"/>
  <c r="AT7" i="1"/>
  <c r="AE14" i="1"/>
  <c r="X14" i="1"/>
  <c r="AJ14" i="1"/>
  <c r="AE21" i="1"/>
  <c r="AI21" i="1"/>
  <c r="T28" i="1"/>
  <c r="AE28" i="1"/>
  <c r="W42" i="1"/>
  <c r="AS42" i="1"/>
  <c r="W7" i="1"/>
  <c r="AE7" i="1"/>
  <c r="AM7" i="1"/>
  <c r="AM14" i="1"/>
  <c r="Z14" i="1"/>
  <c r="AN14" i="1"/>
  <c r="T21" i="1"/>
  <c r="AD21" i="1"/>
  <c r="AJ21" i="1"/>
  <c r="U28" i="1"/>
  <c r="AF28" i="1"/>
  <c r="X42" i="1"/>
  <c r="AJ42" i="1"/>
  <c r="F7" i="1"/>
  <c r="X7" i="1"/>
  <c r="AF7" i="1"/>
  <c r="AN7" i="1"/>
  <c r="AK14" i="1"/>
  <c r="AA14" i="1"/>
  <c r="AP14" i="1"/>
  <c r="U21" i="1"/>
  <c r="AN21" i="1"/>
  <c r="AG28" i="1"/>
  <c r="AA28" i="1"/>
  <c r="Z42" i="1"/>
  <c r="AN42" i="1"/>
  <c r="Y7" i="1"/>
  <c r="AG7" i="1"/>
  <c r="AT14" i="1"/>
  <c r="AC14" i="1"/>
  <c r="AQ14" i="1"/>
  <c r="W21" i="1"/>
  <c r="AG21" i="1"/>
  <c r="AP21" i="1"/>
  <c r="W28" i="1"/>
  <c r="AH28" i="1"/>
  <c r="AI28" i="1"/>
  <c r="AA42" i="1"/>
  <c r="AQ42" i="1"/>
  <c r="Z7" i="1"/>
  <c r="AH7" i="1"/>
  <c r="AP7" i="1"/>
  <c r="AD14" i="1"/>
  <c r="AR14" i="1"/>
  <c r="X21" i="1"/>
  <c r="AK21" i="1"/>
  <c r="AQ21" i="1"/>
  <c r="X28" i="1"/>
  <c r="AJ28" i="1"/>
  <c r="AP28" i="1"/>
  <c r="AC42" i="1"/>
  <c r="I7" i="1"/>
  <c r="AA7" i="1"/>
  <c r="AI7" i="1"/>
  <c r="AQ7" i="1"/>
  <c r="V14" i="1"/>
  <c r="T14" i="1"/>
  <c r="AF14" i="1"/>
  <c r="AS14" i="1"/>
  <c r="Y21" i="1"/>
  <c r="AT21" i="1"/>
  <c r="AR21" i="1"/>
  <c r="Y28" i="1"/>
  <c r="AM28" i="1"/>
  <c r="AQ28" i="1"/>
  <c r="AE42" i="1"/>
  <c r="AT41" i="1"/>
  <c r="AM42" i="1"/>
  <c r="AO41" i="1"/>
  <c r="L43" i="1"/>
  <c r="L44" i="1" s="1"/>
  <c r="Y41" i="1"/>
  <c r="Y42" i="1" s="1"/>
  <c r="AD42" i="1"/>
  <c r="K44" i="1"/>
  <c r="AB41" i="1"/>
  <c r="AB42" i="1" s="1"/>
  <c r="AK41" i="1"/>
  <c r="AK42" i="1" s="1"/>
  <c r="AH42" i="1"/>
  <c r="V41" i="1"/>
  <c r="AO27" i="1"/>
  <c r="L29" i="1"/>
  <c r="L30" i="1" s="1"/>
  <c r="V28" i="1"/>
  <c r="AD28" i="1"/>
  <c r="M29" i="1"/>
  <c r="K30" i="1"/>
  <c r="AB27" i="1"/>
  <c r="AB28" i="1" s="1"/>
  <c r="AK27" i="1"/>
  <c r="AK28" i="1" s="1"/>
  <c r="M36" i="1"/>
  <c r="J37" i="1"/>
  <c r="K37" i="1"/>
  <c r="I20" i="1"/>
  <c r="AH21" i="1"/>
  <c r="AM20" i="1"/>
  <c r="V20" i="1"/>
  <c r="AC21" i="1"/>
  <c r="L22" i="1"/>
  <c r="L23" i="1" s="1"/>
  <c r="R24" i="1"/>
  <c r="R25" i="1" s="1"/>
  <c r="K23" i="1"/>
  <c r="AF21" i="1"/>
  <c r="I13" i="1"/>
  <c r="I14" i="1" s="1"/>
  <c r="AH14" i="1"/>
  <c r="AL13" i="1"/>
  <c r="AL14" i="1" s="1"/>
  <c r="AO13" i="1"/>
  <c r="H6" i="1" l="1"/>
  <c r="AO7" i="1"/>
  <c r="C27" i="1"/>
  <c r="F21" i="1"/>
  <c r="AT42" i="1"/>
  <c r="I41" i="1"/>
  <c r="Q11" i="1"/>
  <c r="R10" i="1"/>
  <c r="R11" i="1" s="1"/>
  <c r="L8" i="1"/>
  <c r="L9" i="1" s="1"/>
  <c r="J9" i="1"/>
  <c r="M43" i="1"/>
  <c r="M44" i="1" s="1"/>
  <c r="AL41" i="1"/>
  <c r="AL42" i="1" s="1"/>
  <c r="V42" i="1"/>
  <c r="AO42" i="1"/>
  <c r="H41" i="1"/>
  <c r="M30" i="1"/>
  <c r="P29" i="1"/>
  <c r="P30" i="1" s="1"/>
  <c r="AO28" i="1"/>
  <c r="H27" i="1"/>
  <c r="AL27" i="1"/>
  <c r="AL28" i="1" s="1"/>
  <c r="M37" i="1"/>
  <c r="P36" i="1"/>
  <c r="P37" i="1" s="1"/>
  <c r="M22" i="1"/>
  <c r="AL20" i="1"/>
  <c r="AL21" i="1" s="1"/>
  <c r="V21" i="1"/>
  <c r="AM21" i="1"/>
  <c r="AO20" i="1"/>
  <c r="AO14" i="1"/>
  <c r="H13" i="1"/>
  <c r="P43" i="1" l="1"/>
  <c r="P44" i="1" s="1"/>
  <c r="G6" i="1"/>
  <c r="G7" i="1" s="1"/>
  <c r="H7" i="1"/>
  <c r="C34" i="1"/>
  <c r="F27" i="1"/>
  <c r="H28" i="1" s="1"/>
  <c r="I21" i="1"/>
  <c r="I8" i="1"/>
  <c r="I9" i="1" s="1"/>
  <c r="H8" i="1"/>
  <c r="H9" i="1" s="1"/>
  <c r="M8" i="1"/>
  <c r="G8" i="1"/>
  <c r="G9" i="1" s="1"/>
  <c r="K9" i="1"/>
  <c r="G27" i="1"/>
  <c r="H29" i="1"/>
  <c r="H30" i="1" s="1"/>
  <c r="AO21" i="1"/>
  <c r="H20" i="1"/>
  <c r="M23" i="1"/>
  <c r="P22" i="1"/>
  <c r="P23" i="1" s="1"/>
  <c r="G13" i="1"/>
  <c r="H14" i="1"/>
  <c r="I28" i="1" l="1"/>
  <c r="F28" i="1"/>
  <c r="C41" i="1"/>
  <c r="F41" i="1" s="1"/>
  <c r="F34" i="1"/>
  <c r="M9" i="1"/>
  <c r="N9" i="1"/>
  <c r="O9" i="1"/>
  <c r="G28" i="1"/>
  <c r="G29" i="1"/>
  <c r="G30" i="1" s="1"/>
  <c r="I29" i="1"/>
  <c r="I30" i="1" s="1"/>
  <c r="H34" i="1"/>
  <c r="H21" i="1"/>
  <c r="G20" i="1"/>
  <c r="H22" i="1" s="1"/>
  <c r="H23" i="1" s="1"/>
  <c r="G14" i="1"/>
  <c r="G15" i="1"/>
  <c r="I15" i="1"/>
  <c r="H15" i="1"/>
  <c r="F42" i="1" l="1"/>
  <c r="I42" i="1"/>
  <c r="G41" i="1"/>
  <c r="H42" i="1"/>
  <c r="I35" i="1"/>
  <c r="F35" i="1"/>
  <c r="P8" i="1"/>
  <c r="P9" i="1" s="1"/>
  <c r="H35" i="1"/>
  <c r="G34" i="1"/>
  <c r="H36" i="1" s="1"/>
  <c r="H37" i="1" s="1"/>
  <c r="G21" i="1"/>
  <c r="G22" i="1"/>
  <c r="G23" i="1" s="1"/>
  <c r="I22" i="1"/>
  <c r="I23" i="1" s="1"/>
  <c r="H43" i="1" l="1"/>
  <c r="H44" i="1" s="1"/>
  <c r="I43" i="1"/>
  <c r="I44" i="1" s="1"/>
  <c r="G42" i="1"/>
  <c r="G43" i="1"/>
  <c r="G44" i="1" s="1"/>
  <c r="G35" i="1"/>
  <c r="G36" i="1"/>
  <c r="G37" i="1" s="1"/>
  <c r="I36" i="1"/>
  <c r="I37" i="1" s="1"/>
  <c r="L15" i="1" l="1"/>
  <c r="L16" i="1" l="1"/>
  <c r="M15" i="1"/>
  <c r="M16" i="1" l="1"/>
  <c r="O16" i="1" l="1"/>
  <c r="N16" i="1" l="1"/>
  <c r="P15" i="1"/>
  <c r="P16" i="1" s="1"/>
  <c r="F16" i="1" l="1"/>
  <c r="H16" i="1"/>
  <c r="G16" i="1"/>
  <c r="I16" i="1"/>
  <c r="J16" i="1"/>
</calcChain>
</file>

<file path=xl/comments1.xml><?xml version="1.0" encoding="utf-8"?>
<comments xmlns="http://schemas.openxmlformats.org/spreadsheetml/2006/main">
  <authors>
    <author>Produksi-PM</author>
  </authors>
  <commentList>
    <comment ref="H3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</commentList>
</comments>
</file>

<file path=xl/comments2.xml><?xml version="1.0" encoding="utf-8"?>
<comments xmlns="http://schemas.openxmlformats.org/spreadsheetml/2006/main">
  <authors>
    <author>win10</author>
  </authors>
  <commentList>
    <comment ref="H89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HB</t>
        </r>
      </text>
    </comment>
  </commentList>
</comments>
</file>

<file path=xl/comments3.xml><?xml version="1.0" encoding="utf-8"?>
<comments xmlns="http://schemas.openxmlformats.org/spreadsheetml/2006/main">
  <authors>
    <author>win10</author>
  </authors>
  <commentList>
    <comment ref="H37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minta thickness tinggi &gt;0,85</t>
        </r>
      </text>
    </comment>
  </commentList>
</comments>
</file>

<file path=xl/comments4.xml><?xml version="1.0" encoding="utf-8"?>
<comments xmlns="http://schemas.openxmlformats.org/spreadsheetml/2006/main">
  <authors>
    <author>Produksi-PM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ABC</t>
        </r>
      </text>
    </comment>
    <comment ref="H1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ABC</t>
        </r>
      </text>
    </comment>
    <comment ref="H1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Global Link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ABC</t>
        </r>
      </text>
    </comment>
    <comment ref="H1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1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FG Purchasing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  <comment ref="H2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  <comment ref="H3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  <comment ref="H3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  <comment ref="H3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  <comment ref="H4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  <comment ref="H4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  <comment ref="H4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  <comment ref="H4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  <comment ref="H4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  <comment ref="H4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  <comment ref="H5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Holyndo</t>
        </r>
      </text>
    </comment>
    <comment ref="H5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 &amp; Ssanggi</t>
        </r>
      </text>
    </comment>
    <comment ref="H6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 &amp; Ssanggi</t>
        </r>
      </text>
    </comment>
    <comment ref="H6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LB 85menit
HB 135menit</t>
        </r>
      </text>
    </comment>
    <comment ref="H7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7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7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</t>
        </r>
      </text>
    </comment>
    <comment ref="H8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8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8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1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1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2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2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3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3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</commentList>
</comments>
</file>

<file path=xl/sharedStrings.xml><?xml version="1.0" encoding="utf-8"?>
<sst xmlns="http://schemas.openxmlformats.org/spreadsheetml/2006/main" count="1974" uniqueCount="283">
  <si>
    <t>Bulan &amp; PM</t>
  </si>
  <si>
    <t>Jumlah Hari/ Bulan</t>
  </si>
  <si>
    <t>Satuan</t>
  </si>
  <si>
    <t>Available Time</t>
  </si>
  <si>
    <t>Perhitungan Efisiensi PM dr Running Time</t>
  </si>
  <si>
    <t>Loss Trim Rewinder dari Marketing</t>
  </si>
  <si>
    <t>Loss Effisiensi di Process</t>
  </si>
  <si>
    <t>Loss Effisiensi di EID</t>
  </si>
  <si>
    <t>Loss Effisiensi di Mekanik</t>
  </si>
  <si>
    <t>Loss Effisiensi di Boiler Sopa/Sun</t>
  </si>
  <si>
    <t>Loss Effisiensi di Power &amp; Steam (max 0.5%)</t>
  </si>
  <si>
    <t>Schedule Shut Down</t>
  </si>
  <si>
    <t>Total Loss Time &amp; Down Time PM</t>
  </si>
  <si>
    <t>Others (External &amp; Project)</t>
  </si>
  <si>
    <t>Idle Capacity</t>
  </si>
  <si>
    <t>Total Menit/ Bulan</t>
  </si>
  <si>
    <t>For Running Production</t>
  </si>
  <si>
    <t>Loss Capacity dr Faktor Eksternal &amp; Project (Khusus PM16 -&gt; % alokasi masuk ke Project Instalasi Yankee, Pulper, Rewinder)</t>
  </si>
  <si>
    <t>Idle Capacity (Marketing)-&gt; % alokasi ini masuk ke COGS</t>
  </si>
  <si>
    <t>PHP (ton) &amp; Eff PM dr available time</t>
  </si>
  <si>
    <t>Prod. Volume (teori- ton)</t>
  </si>
  <si>
    <t>PHP (ton) &amp; Eff PM dr running time</t>
  </si>
  <si>
    <t>Loss Opportunity PHP (ton)</t>
  </si>
  <si>
    <t>Reject Rewinder &amp; Broke Plant</t>
  </si>
  <si>
    <t>Loss Speed &amp; Selisih Toleransi BW</t>
  </si>
  <si>
    <t>DT &amp;LT Mesin</t>
  </si>
  <si>
    <t>Avr Potongan Rewinder (cm)</t>
  </si>
  <si>
    <t>Loss Trim Rewinder</t>
  </si>
  <si>
    <t>Deckle PM</t>
  </si>
  <si>
    <t>Loss Time Process</t>
  </si>
  <si>
    <t>Down Time Process</t>
  </si>
  <si>
    <t>Total</t>
  </si>
  <si>
    <t>Loss Time EID</t>
  </si>
  <si>
    <t>Down Time EID</t>
  </si>
  <si>
    <t xml:space="preserve">Total </t>
  </si>
  <si>
    <t>Loss Time Mekanik</t>
  </si>
  <si>
    <t>Down Time Mekanik</t>
  </si>
  <si>
    <t>Loss Time Boiler</t>
  </si>
  <si>
    <t>Down Time Boiler</t>
  </si>
  <si>
    <t>Down Time PLN</t>
  </si>
  <si>
    <t>Down Time Sinergy</t>
  </si>
  <si>
    <t>Down Time Boil Out</t>
  </si>
  <si>
    <t>Jadwal Revisi</t>
  </si>
  <si>
    <t>Over Down Time External Utility dari limit max 0.5%</t>
  </si>
  <si>
    <t>Down Time Project &amp; Overhaul Mesin</t>
  </si>
  <si>
    <t>No Order</t>
  </si>
  <si>
    <t xml:space="preserve">Down Time Cleaning Change Colour </t>
  </si>
  <si>
    <t>Down Time Trial</t>
  </si>
  <si>
    <t>PM11</t>
  </si>
  <si>
    <t>Menit</t>
  </si>
  <si>
    <t>%</t>
  </si>
  <si>
    <t>Tonase</t>
  </si>
  <si>
    <t>Cm</t>
  </si>
  <si>
    <t>PM12</t>
  </si>
  <si>
    <t>PM14</t>
  </si>
  <si>
    <t>PM15</t>
  </si>
  <si>
    <t>PM16</t>
  </si>
  <si>
    <t>PM17</t>
  </si>
  <si>
    <t>Date</t>
  </si>
  <si>
    <t>Grade</t>
  </si>
  <si>
    <t>Speed real (ton) with Available Time</t>
  </si>
  <si>
    <t>Colour</t>
  </si>
  <si>
    <t>gsm</t>
  </si>
  <si>
    <t>Ply</t>
  </si>
  <si>
    <t>Standard</t>
  </si>
  <si>
    <t>Real Running</t>
  </si>
  <si>
    <t>Trim Rewinder (cm)</t>
  </si>
  <si>
    <t>Trim Rewinder x Running Time</t>
  </si>
  <si>
    <t>Available Time (mnt)</t>
  </si>
  <si>
    <t>Down Time (mnt)</t>
  </si>
  <si>
    <t>Loss Time (mnt)</t>
  </si>
  <si>
    <t>Real Speed &amp; Real Creepe Ratio with Available Time (ton)</t>
  </si>
  <si>
    <t>Real Speed &amp; Real Creepe Ratio setelah dipotong DT &amp; LT (ton)</t>
  </si>
  <si>
    <t>Loss tonase akibat  DT + LT dari hitungan Teori with available time (ton)</t>
  </si>
  <si>
    <t>Accepted (ton)</t>
  </si>
  <si>
    <t>Real Eff dr Target Eff</t>
  </si>
  <si>
    <t>Reject Rewinder (ton)</t>
  </si>
  <si>
    <t>Estimasi Reject to Broke Plant (ton)</t>
  </si>
  <si>
    <t>Estimasi Faktor BW (ton)</t>
  </si>
  <si>
    <t>Loss Opportunity in Speed (ton)</t>
  </si>
  <si>
    <t>Downtime/ Losstime</t>
  </si>
  <si>
    <t>Reason of Downtime / Losstime</t>
  </si>
  <si>
    <t>Loss Time</t>
  </si>
  <si>
    <t>Total Losstime</t>
  </si>
  <si>
    <t>Unschedule Shut Down (mnt)</t>
  </si>
  <si>
    <t>Total Down Time</t>
  </si>
  <si>
    <t>EXT FACTOR</t>
  </si>
  <si>
    <t>Freq. Sheets Break (X)</t>
  </si>
  <si>
    <t>Freq. Change Blade (X)</t>
  </si>
  <si>
    <t>Proses</t>
  </si>
  <si>
    <t>Change Grade</t>
  </si>
  <si>
    <t>Mekanik</t>
  </si>
  <si>
    <t>Boiler</t>
  </si>
  <si>
    <t>Electric &amp; Instrument</t>
  </si>
  <si>
    <t>Down Time Produksi</t>
  </si>
  <si>
    <t>Electrical &amp; Instrument</t>
  </si>
  <si>
    <t>Total Unschedule Shut Down</t>
  </si>
  <si>
    <t>DOWN TIME</t>
  </si>
  <si>
    <t xml:space="preserve"> Yankee Speed (mpm)</t>
  </si>
  <si>
    <t>Max % Creeping</t>
  </si>
  <si>
    <t>Target Eff</t>
  </si>
  <si>
    <t xml:space="preserve">Kapasitas PM-Teori (ton) </t>
  </si>
  <si>
    <t>Teori (ton) with Available Time</t>
  </si>
  <si>
    <t>Yankee Speed (mpm)</t>
  </si>
  <si>
    <t>Popereel Speed (mpm)</t>
  </si>
  <si>
    <t>% Creeping</t>
  </si>
  <si>
    <t>sheet break</t>
  </si>
  <si>
    <t>change blade</t>
  </si>
  <si>
    <t>change spool</t>
  </si>
  <si>
    <t>MG</t>
  </si>
  <si>
    <t>- Sheet Breaks (0x)</t>
  </si>
  <si>
    <t>- Change Blade (0x)</t>
  </si>
  <si>
    <t>- Change Spool (23x)</t>
  </si>
  <si>
    <t>- Sheet Breaks (2x)</t>
  </si>
  <si>
    <t>- Change Spool (27x)</t>
  </si>
  <si>
    <t>Facial</t>
  </si>
  <si>
    <t>- Sheet Breaks (1x)</t>
  </si>
  <si>
    <t>- Change Blade (9x)</t>
  </si>
  <si>
    <t>- Change Spool (25x)</t>
  </si>
  <si>
    <t>- Change Blade (11x)</t>
  </si>
  <si>
    <t>- Change Spool (29x)</t>
  </si>
  <si>
    <t>Towel</t>
  </si>
  <si>
    <t>- Change Blade (5x)</t>
  </si>
  <si>
    <t>- Change Spool (26x)</t>
  </si>
  <si>
    <t>- Change Grade</t>
  </si>
  <si>
    <t>- Change Blade (3x)</t>
  </si>
  <si>
    <t>- Change Spool (24x)</t>
  </si>
  <si>
    <t>- Change Blade (12x)</t>
  </si>
  <si>
    <t>- Change Spool (28x)</t>
  </si>
  <si>
    <t>- Change Blade (8x)</t>
  </si>
  <si>
    <t>- Change Spool (31x)</t>
  </si>
  <si>
    <t>- Change Blade (4x)</t>
  </si>
  <si>
    <t>- Change Blade (7x)</t>
  </si>
  <si>
    <t>- Change Blade (10x)</t>
  </si>
  <si>
    <t>- Sheet Breaks (4x)</t>
  </si>
  <si>
    <t>- Change Spool (32x)</t>
  </si>
  <si>
    <t>MIN TARGET</t>
  </si>
  <si>
    <t>Per long shift =</t>
  </si>
  <si>
    <t>Eff Prod dihitung dari real speed &amp; dipotong down time &amp; loss time =</t>
  </si>
  <si>
    <t>PHP</t>
  </si>
  <si>
    <t>awal bulan produksi MG mengikuti real speed karea usia felt sudah 7minggu</t>
  </si>
  <si>
    <t>NB : info pak hartono untuk napkin + towel speed 1600mpm, gsm tinggi 92ton(&gt;17)</t>
  </si>
  <si>
    <t>Kehilangan Effisiensi PM 11 terdiri dari:</t>
  </si>
  <si>
    <t>Reject Rewinder</t>
  </si>
  <si>
    <t>Loss speed</t>
  </si>
  <si>
    <t>Reject masuk broke plant</t>
  </si>
  <si>
    <t xml:space="preserve">Estimasi Faktor BW </t>
  </si>
  <si>
    <t>(-) = estimasi over BW</t>
  </si>
  <si>
    <t>Loss time sheet break</t>
  </si>
  <si>
    <t>Loss time change blade</t>
  </si>
  <si>
    <t>Loss time change spool</t>
  </si>
  <si>
    <t>Loss time change grade</t>
  </si>
  <si>
    <t>Loss time mekanik</t>
  </si>
  <si>
    <t>Loss time boiler</t>
  </si>
  <si>
    <t>Loss time electric</t>
  </si>
  <si>
    <t>Down time proses</t>
  </si>
  <si>
    <t>Down time boiler</t>
  </si>
  <si>
    <t>Down time electric</t>
  </si>
  <si>
    <t>Down time mekanik</t>
  </si>
  <si>
    <t>Scd. Shut down</t>
  </si>
  <si>
    <t>Marketing</t>
  </si>
  <si>
    <t>- Sheet Breaks (6x)</t>
  </si>
  <si>
    <t>- Cleaning</t>
  </si>
  <si>
    <t>- Change Blade (6x)</t>
  </si>
  <si>
    <t>- Sheet Breaks (5x)</t>
  </si>
  <si>
    <t>- Sheet Breaks (3x)</t>
  </si>
  <si>
    <t>- Change Blade (2x)</t>
  </si>
  <si>
    <t>Kehilangan Effisiensi PM 12 terdiri dari:</t>
  </si>
  <si>
    <t>Toilet</t>
  </si>
  <si>
    <t>- Change Spool (30x)</t>
  </si>
  <si>
    <t>Kehilangan Effisiensi PM 14 terdiri dari:</t>
  </si>
  <si>
    <t>PLN &amp; efek PLN</t>
  </si>
  <si>
    <t>- Sheet Breaks (8x)</t>
  </si>
  <si>
    <t>PLN</t>
  </si>
  <si>
    <t>- Change Blade (1x)</t>
  </si>
  <si>
    <t>Off White</t>
  </si>
  <si>
    <t>Down Time Libur Hari Raya</t>
  </si>
  <si>
    <t>VP OW</t>
  </si>
  <si>
    <t>Kehilangan Effisiensi PM 16 terdiri dari:</t>
  </si>
  <si>
    <t>Kehilangan Effisiensi PM 17 terdiri dari:</t>
  </si>
  <si>
    <t>- Change Spool (22x)</t>
  </si>
  <si>
    <t>Backlog</t>
  </si>
  <si>
    <t>Loss time</t>
  </si>
  <si>
    <t>Down Time</t>
  </si>
  <si>
    <t>SINERGY</t>
  </si>
  <si>
    <t>Loss Time Marketing</t>
  </si>
  <si>
    <t>Down Time Marketing</t>
  </si>
  <si>
    <t>- Change Spool (21x)</t>
  </si>
  <si>
    <t>- Change Blade (14x)</t>
  </si>
  <si>
    <t>- Sheet Breaks (9x)</t>
  </si>
  <si>
    <t>Kehilangan Effisiensi PM 15 terdiri dari:</t>
  </si>
  <si>
    <t>- Change Blade (15x)</t>
  </si>
  <si>
    <t>LOSS</t>
  </si>
  <si>
    <t>Loss Time Sinergy</t>
  </si>
  <si>
    <t>MANAGEMENT</t>
  </si>
  <si>
    <t>- Change Blade (13x)</t>
  </si>
  <si>
    <t>RC HW</t>
  </si>
  <si>
    <t>Napkin</t>
  </si>
  <si>
    <t>RC BR</t>
  </si>
  <si>
    <t>Steam, &amp; gangguan sinergy (X)</t>
  </si>
  <si>
    <t>Freq, Trip PLN (X)</t>
  </si>
  <si>
    <t>Cleaning Holes (X)</t>
  </si>
  <si>
    <t>- Sheet Breaks (7x)</t>
  </si>
  <si>
    <t>Per hari</t>
  </si>
  <si>
    <t>sliting</t>
  </si>
  <si>
    <t xml:space="preserve">PM15 Efficiency Running Report </t>
  </si>
  <si>
    <t xml:space="preserve">PM17 Efficiency Running Report </t>
  </si>
  <si>
    <t>- Change Spool (20x)</t>
  </si>
  <si>
    <t>- Sheet Breaks (10x)</t>
  </si>
  <si>
    <t xml:space="preserve">PM16 Efficiency Running Report </t>
  </si>
  <si>
    <t xml:space="preserve">PM14 Efficiency Running Report </t>
  </si>
  <si>
    <t>Sanitary Napkin</t>
  </si>
  <si>
    <t>- Change Spool (19x)</t>
  </si>
  <si>
    <t>STOP</t>
  </si>
  <si>
    <t>- Change Spool (0x)</t>
  </si>
  <si>
    <t>- Change Spool (18x)</t>
  </si>
  <si>
    <t>- Change Spool (17x)</t>
  </si>
  <si>
    <t xml:space="preserve">PM12 Efficiency Running Report </t>
  </si>
  <si>
    <t xml:space="preserve">PM11 Efficiency Report </t>
  </si>
  <si>
    <t>High White</t>
  </si>
  <si>
    <t>- 11.30 Pm stop, turbo vaccum trip</t>
  </si>
  <si>
    <t>- 04.00 PM Stop, Van belt vertikal screen putus tinggal 1, Med Ganti Van belt</t>
  </si>
  <si>
    <t>- Sheet Breaks (27x)</t>
  </si>
  <si>
    <t>- 12.20 pm trip stock flow alarm</t>
  </si>
  <si>
    <t>- Sheet Breaks (18x)</t>
  </si>
  <si>
    <t>- 03.00 pm stop flicker listrik</t>
  </si>
  <si>
    <t>- PM STOP Ganti Felt</t>
  </si>
  <si>
    <t>- 09.10 pm sirkulasi di utm, med ganti selang hidrolis yang bocor</t>
  </si>
  <si>
    <t>- 13.45 pm ganti wire</t>
  </si>
  <si>
    <t>- 15.40 Pm trip Outled presure low lubrication nipcoplex, perbaikan mekanik</t>
  </si>
  <si>
    <t>- 21.00 Med perbaikan piston lock spool clamp.</t>
  </si>
  <si>
    <t xml:space="preserve">- Change spool manual pakai crane, piston spool clamp repair Med. </t>
  </si>
  <si>
    <t>- 03.23 Kertas sirkulasi/UTM</t>
  </si>
  <si>
    <t>- Crane Macet Tidak Bisa Naik, Change Spool Manual Pakai Crane &amp; Primary arm eror perbaikan eid</t>
  </si>
  <si>
    <t>- Med Pasang Piston Lock Pope Reel Kertas Di sirkulasi di UTM</t>
  </si>
  <si>
    <t>- 03.18 selang hidrolis spool clamp pecah sebelah DS, pm sirkulasi di utm, perbaikan mekanik</t>
  </si>
  <si>
    <t>- Awal Shift PM Masih Stop, Tunggu Med Perbaikan Selang Hidrolis Spool Clamp Yang Bocor</t>
  </si>
  <si>
    <t>- 09.10 Kertas Masuk UTM Karena MED Pasang Selang Hydrolic Spool Clamp Sebelah DS</t>
  </si>
  <si>
    <t>- Speed blm target kertas rawan hole.</t>
  </si>
  <si>
    <t>Nov 25</t>
  </si>
  <si>
    <t>- 18.00 formasi terawang, reject, adjust lips headbox</t>
  </si>
  <si>
    <t>- 03.00 pm stop listrik flicker</t>
  </si>
  <si>
    <t>- 19.45 PM tidak lancar kertas brosot</t>
  </si>
  <si>
    <t>- 13.30 pm stop, ada hole sblah DS, ganti wire</t>
  </si>
  <si>
    <t>- PM stop lanjut MED ganti breastroll</t>
  </si>
  <si>
    <t>- 05:35 PM Stock off, turbo vaccuum trip</t>
  </si>
  <si>
    <t>- Grinding Yankee</t>
  </si>
  <si>
    <t>- 13:35 pm stop cek permukaan yankee</t>
  </si>
  <si>
    <t>- Change Spool (16x)</t>
  </si>
  <si>
    <t>- 20:07 pm stop , proses pendinginan yankee</t>
  </si>
  <si>
    <t>- Change Spool (14x)</t>
  </si>
  <si>
    <t>- Awal shift pm stop , MED tutup manhole yankee</t>
  </si>
  <si>
    <t>- 07.45 burner hood dry mati, speed turun 1050 mpm</t>
  </si>
  <si>
    <t>- 10:45 pm stop cek felt (felt gundul )</t>
  </si>
  <si>
    <t>- 14.50 pm stop motor vaccum trip</t>
  </si>
  <si>
    <t>- Seset lembab dan joint:289+750kg (Burner hoo mati)</t>
  </si>
  <si>
    <t xml:space="preserve">- 13:35 pm stop cek yankee </t>
  </si>
  <si>
    <t xml:space="preserve">- 14.35 Pm stop, cleaning sambil jalan TDK ada perubahan. </t>
  </si>
  <si>
    <t xml:space="preserve">- 08.05 pm 15 stop ganti felt </t>
  </si>
  <si>
    <t>- 17.15 pm trip, compressor Flicker</t>
  </si>
  <si>
    <t>- 23:54 pm stop , kertas masih ada hole.</t>
  </si>
  <si>
    <t>- 23.55 pm stop JR pin hole, drain couch pit, sikat felt dan katcer wire</t>
  </si>
  <si>
    <t>- 13.01 popereel trip</t>
  </si>
  <si>
    <t>- 09.15 Pm stop, cleaning</t>
  </si>
  <si>
    <t>- 06:15 PM Stop, ganti felt,</t>
  </si>
  <si>
    <t>- Change Spool (8x)</t>
  </si>
  <si>
    <t>- PM Stop, ganti felt,</t>
  </si>
  <si>
    <t>- 03.00  PM STOP, dikarenakan trip PLN</t>
  </si>
  <si>
    <t xml:space="preserve">- 17:30 PM 16 Stop felt &amp; wire putus, strecth roll lepas baut suport TS putus. </t>
  </si>
  <si>
    <t>- 05:20 PM stop, eid ganti Control Valve fresh steam yankee</t>
  </si>
  <si>
    <t xml:space="preserve">- 07.00 Cleaning PM area (Hood wet, press roll, vacuum, hpp felt dan wire, headbox fs and ds side, </t>
  </si>
  <si>
    <t xml:space="preserve">-17:15  PM Stop,Hole dari FS </t>
  </si>
  <si>
    <t>- EID kuras area colecting ( kolekting tank banjir , motor tenggelam)</t>
  </si>
  <si>
    <t>- pm 17 stop, cleaning felt &amp; wire</t>
  </si>
  <si>
    <t xml:space="preserve">- 08.50 PM stop cleaning wire ( cleaning sambil jalan tidak ada </t>
  </si>
  <si>
    <t>- 09:50 PM Stop, siram felt dengan solar.</t>
  </si>
  <si>
    <t xml:space="preserve">- Wire Geser Ke DS, ( EID Cek Palm Guide, wire geser ke FS ) </t>
  </si>
  <si>
    <t>- 17:28 pm 17 stop, palm guide roll osilasi wire sudah tidak menyentuh. Cek Eid</t>
  </si>
  <si>
    <t xml:space="preserve">- 09.12 - 09.19 Ejector Secondary Arm DS patah -&gt; Perbaikan MED </t>
  </si>
  <si>
    <t xml:space="preserve">- 08:12 pm17 stop, bearing exhaust hood temperature tinggi. </t>
  </si>
  <si>
    <t>- 15.45 PM stop, cleaning felt &amp; wire</t>
  </si>
  <si>
    <t>- Seset PM : 500 + 1600 kg / 2.5 % (synergy, steam drop)</t>
  </si>
  <si>
    <t>- Pipa bocor ( kolekting tank banjir , motor tenggelam)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</si>
</sst>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0.0%"/>
    <numFmt numFmtId="168" formatCode="0_);[Red]\(0\)"/>
    <numFmt numFmtId="169" formatCode="_(* #,##0.00_);_(* \(#,##0.00\);_(* &quot;-&quot;_);_(@_)"/>
    <numFmt numFmtId="170" formatCode="[$-409]d\-mmm\-yy;@"/>
    <numFmt numFmtId="171" formatCode="#,##0.0"/>
    <numFmt numFmtId="172" formatCode="_(* #,##0.000_);_(* \(#,##0.000\);_(* &quot;-&quot;_);_(@_)"/>
    <numFmt numFmtId="173" formatCode="_(* #,##0.0_);_(* \(#,##0.0\);_(* &quot;-&quot;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sz val="10"/>
      <name val="Arial"/>
    </font>
    <font>
      <sz val="10"/>
      <color indexed="8"/>
      <name val="Arial"/>
      <family val="2"/>
    </font>
    <font>
      <sz val="11"/>
      <color rgb="FF000000"/>
      <name val="Calibri"/>
      <family val="1"/>
    </font>
  </fonts>
  <fills count="3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66FF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37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165" fontId="3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165" fontId="3" fillId="0" borderId="0" applyFont="0" applyFill="0" applyBorder="0" applyAlignment="0" applyProtection="0">
      <alignment vertical="center"/>
    </xf>
    <xf numFmtId="0" fontId="4" fillId="0" borderId="0"/>
    <xf numFmtId="0" fontId="1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5" fontId="1" fillId="0" borderId="0" applyFont="0" applyFill="0" applyBorder="0" applyAlignment="0" applyProtection="0"/>
    <xf numFmtId="0" fontId="1" fillId="0" borderId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31" borderId="0" applyNumberFormat="0" applyBorder="0" applyAlignment="0" applyProtection="0"/>
    <xf numFmtId="0" fontId="15" fillId="16" borderId="0" applyNumberFormat="0" applyBorder="0" applyAlignment="0" applyProtection="0"/>
    <xf numFmtId="0" fontId="16" fillId="32" borderId="11" applyNumberFormat="0" applyAlignment="0" applyProtection="0"/>
    <xf numFmtId="0" fontId="17" fillId="33" borderId="12" applyNumberForma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11" borderId="0" applyNumberFormat="0" applyBorder="0" applyAlignment="0" applyProtection="0"/>
    <xf numFmtId="0" fontId="20" fillId="0" borderId="13" applyNumberFormat="0" applyFill="0" applyAlignment="0" applyProtection="0"/>
    <xf numFmtId="0" fontId="21" fillId="0" borderId="14" applyNumberFormat="0" applyFill="0" applyAlignment="0" applyProtection="0"/>
    <xf numFmtId="0" fontId="22" fillId="0" borderId="15" applyNumberFormat="0" applyFill="0" applyAlignment="0" applyProtection="0"/>
    <xf numFmtId="0" fontId="22" fillId="0" borderId="0" applyNumberFormat="0" applyFill="0" applyBorder="0" applyAlignment="0" applyProtection="0"/>
    <xf numFmtId="0" fontId="23" fillId="19" borderId="11" applyNumberFormat="0" applyAlignment="0" applyProtection="0"/>
    <xf numFmtId="0" fontId="24" fillId="0" borderId="16" applyNumberFormat="0" applyFill="0" applyAlignment="0" applyProtection="0"/>
    <xf numFmtId="0" fontId="25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34" borderId="17" applyNumberFormat="0" applyFont="0" applyAlignment="0" applyProtection="0"/>
    <xf numFmtId="0" fontId="26" fillId="32" borderId="18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9" applyNumberFormat="0" applyFill="0" applyAlignment="0" applyProtection="0"/>
    <xf numFmtId="0" fontId="29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0" fillId="0" borderId="0"/>
    <xf numFmtId="0" fontId="4" fillId="0" borderId="0"/>
    <xf numFmtId="0" fontId="4" fillId="0" borderId="0"/>
    <xf numFmtId="0" fontId="34" fillId="0" borderId="0"/>
    <xf numFmtId="9" fontId="3" fillId="0" borderId="0" applyFont="0" applyFill="0" applyBorder="0" applyAlignment="0" applyProtection="0">
      <alignment vertical="center"/>
    </xf>
    <xf numFmtId="0" fontId="4" fillId="0" borderId="0"/>
    <xf numFmtId="43" fontId="36" fillId="0" borderId="0"/>
  </cellStyleXfs>
  <cellXfs count="343">
    <xf numFmtId="0" fontId="0" fillId="0" borderId="0" xfId="0"/>
    <xf numFmtId="166" fontId="2" fillId="3" borderId="1" xfId="1" applyNumberFormat="1" applyFont="1" applyFill="1" applyBorder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/>
    </xf>
    <xf numFmtId="166" fontId="2" fillId="3" borderId="6" xfId="1" applyNumberFormat="1" applyFont="1" applyFill="1" applyBorder="1" applyAlignment="1">
      <alignment horizontal="center" vertical="center" wrapText="1"/>
    </xf>
    <xf numFmtId="166" fontId="2" fillId="5" borderId="5" xfId="1" applyNumberFormat="1" applyFont="1" applyFill="1" applyBorder="1" applyAlignment="1">
      <alignment horizontal="center" vertical="center" wrapText="1"/>
    </xf>
    <xf numFmtId="166" fontId="2" fillId="6" borderId="5" xfId="1" applyNumberFormat="1" applyFont="1" applyFill="1" applyBorder="1" applyAlignment="1">
      <alignment horizontal="center" vertical="center" wrapText="1"/>
    </xf>
    <xf numFmtId="166" fontId="2" fillId="7" borderId="5" xfId="1" applyNumberFormat="1" applyFont="1" applyFill="1" applyBorder="1" applyAlignment="1">
      <alignment horizontal="center" vertical="center" wrapText="1"/>
    </xf>
    <xf numFmtId="166" fontId="1" fillId="0" borderId="6" xfId="1" applyNumberFormat="1" applyFont="1" applyBorder="1" applyAlignment="1">
      <alignment horizontal="center" vertical="center" wrapText="1"/>
    </xf>
    <xf numFmtId="166" fontId="1" fillId="3" borderId="6" xfId="1" applyNumberFormat="1" applyFont="1" applyFill="1" applyBorder="1" applyAlignment="1">
      <alignment horizontal="center" vertical="center" wrapText="1"/>
    </xf>
    <xf numFmtId="166" fontId="1" fillId="0" borderId="7" xfId="1" applyNumberFormat="1" applyFont="1" applyBorder="1" applyAlignment="1">
      <alignment horizontal="center" vertical="center"/>
    </xf>
    <xf numFmtId="166" fontId="1" fillId="0" borderId="1" xfId="1" applyNumberFormat="1" applyFont="1" applyBorder="1" applyAlignment="1">
      <alignment horizontal="center" vertical="center" wrapText="1"/>
    </xf>
    <xf numFmtId="166" fontId="1" fillId="0" borderId="0" xfId="1" applyNumberFormat="1" applyFont="1" applyBorder="1" applyAlignment="1">
      <alignment horizontal="center" vertical="center"/>
    </xf>
    <xf numFmtId="166" fontId="1" fillId="0" borderId="1" xfId="1" applyNumberFormat="1" applyFont="1" applyBorder="1" applyAlignment="1">
      <alignment horizontal="center" vertical="center"/>
    </xf>
    <xf numFmtId="166" fontId="1" fillId="0" borderId="0" xfId="1" applyNumberFormat="1" applyFont="1" applyBorder="1" applyAlignment="1">
      <alignment horizontal="center" vertical="center" wrapText="1"/>
    </xf>
    <xf numFmtId="166" fontId="1" fillId="0" borderId="0" xfId="1" applyNumberFormat="1" applyFont="1" applyAlignment="1">
      <alignment horizontal="center" vertical="center"/>
    </xf>
    <xf numFmtId="166" fontId="2" fillId="8" borderId="5" xfId="1" applyNumberFormat="1" applyFont="1" applyFill="1" applyBorder="1" applyAlignment="1">
      <alignment horizontal="center" vertical="center"/>
    </xf>
    <xf numFmtId="166" fontId="2" fillId="3" borderId="5" xfId="1" applyNumberFormat="1" applyFont="1" applyFill="1" applyBorder="1" applyAlignment="1">
      <alignment horizontal="center" vertical="center"/>
    </xf>
    <xf numFmtId="166" fontId="1" fillId="0" borderId="5" xfId="1" applyNumberFormat="1" applyFont="1" applyBorder="1" applyAlignment="1">
      <alignment horizontal="center" vertical="center"/>
    </xf>
    <xf numFmtId="166" fontId="1" fillId="3" borderId="5" xfId="1" applyNumberFormat="1" applyFont="1" applyFill="1" applyBorder="1" applyAlignment="1">
      <alignment horizontal="center" vertical="center"/>
    </xf>
    <xf numFmtId="166" fontId="1" fillId="0" borderId="5" xfId="1" applyNumberFormat="1" applyFont="1" applyFill="1" applyBorder="1" applyAlignment="1">
      <alignment horizontal="center" vertical="center"/>
    </xf>
    <xf numFmtId="166" fontId="2" fillId="5" borderId="5" xfId="1" applyNumberFormat="1" applyFont="1" applyFill="1" applyBorder="1" applyAlignment="1">
      <alignment horizontal="center" vertical="center"/>
    </xf>
    <xf numFmtId="166" fontId="1" fillId="8" borderId="5" xfId="1" applyNumberFormat="1" applyFont="1" applyFill="1" applyBorder="1"/>
    <xf numFmtId="10" fontId="1" fillId="0" borderId="5" xfId="2" applyNumberFormat="1" applyFont="1" applyBorder="1" applyAlignment="1">
      <alignment horizontal="center" vertical="center"/>
    </xf>
    <xf numFmtId="10" fontId="1" fillId="0" borderId="5" xfId="2" applyNumberFormat="1" applyFont="1" applyFill="1" applyBorder="1" applyAlignment="1">
      <alignment horizontal="center" vertical="center"/>
    </xf>
    <xf numFmtId="10" fontId="2" fillId="5" borderId="5" xfId="2" applyNumberFormat="1" applyFont="1" applyFill="1" applyBorder="1" applyAlignment="1">
      <alignment horizontal="center" vertical="center"/>
    </xf>
    <xf numFmtId="10" fontId="1" fillId="8" borderId="5" xfId="2" applyNumberFormat="1" applyFont="1" applyFill="1" applyBorder="1" applyAlignment="1">
      <alignment horizontal="center" vertical="center"/>
    </xf>
    <xf numFmtId="166" fontId="0" fillId="0" borderId="5" xfId="1" applyNumberFormat="1" applyFont="1" applyBorder="1" applyAlignment="1">
      <alignment horizontal="center" vertical="center"/>
    </xf>
    <xf numFmtId="165" fontId="1" fillId="0" borderId="5" xfId="1" applyNumberFormat="1" applyFont="1" applyBorder="1" applyAlignment="1">
      <alignment horizontal="center" vertical="center"/>
    </xf>
    <xf numFmtId="165" fontId="2" fillId="6" borderId="5" xfId="1" applyFont="1" applyFill="1" applyBorder="1" applyAlignment="1">
      <alignment horizontal="center" vertical="center"/>
    </xf>
    <xf numFmtId="165" fontId="1" fillId="0" borderId="5" xfId="1" applyFont="1" applyBorder="1" applyAlignment="1">
      <alignment horizontal="center" vertical="center"/>
    </xf>
    <xf numFmtId="165" fontId="2" fillId="7" borderId="5" xfId="1" applyFont="1" applyFill="1" applyBorder="1" applyAlignment="1">
      <alignment horizontal="center" vertical="center"/>
    </xf>
    <xf numFmtId="9" fontId="1" fillId="0" borderId="5" xfId="2" applyFont="1" applyBorder="1" applyAlignment="1">
      <alignment horizontal="center" vertical="center"/>
    </xf>
    <xf numFmtId="10" fontId="2" fillId="6" borderId="5" xfId="2" applyNumberFormat="1" applyFont="1" applyFill="1" applyBorder="1" applyAlignment="1">
      <alignment horizontal="center" vertical="center"/>
    </xf>
    <xf numFmtId="10" fontId="2" fillId="7" borderId="5" xfId="2" applyNumberFormat="1" applyFont="1" applyFill="1" applyBorder="1" applyAlignment="1">
      <alignment horizontal="center" vertical="center"/>
    </xf>
    <xf numFmtId="166" fontId="1" fillId="8" borderId="5" xfId="1" applyNumberFormat="1" applyFont="1" applyFill="1" applyBorder="1" applyAlignment="1">
      <alignment horizontal="center" vertical="center"/>
    </xf>
    <xf numFmtId="167" fontId="1" fillId="0" borderId="5" xfId="2" applyNumberFormat="1" applyFont="1" applyBorder="1" applyAlignment="1">
      <alignment horizontal="center" vertical="center"/>
    </xf>
    <xf numFmtId="167" fontId="1" fillId="8" borderId="5" xfId="2" applyNumberFormat="1" applyFont="1" applyFill="1" applyBorder="1" applyAlignment="1">
      <alignment horizontal="center" vertical="center"/>
    </xf>
    <xf numFmtId="0" fontId="10" fillId="0" borderId="5" xfId="4" applyNumberFormat="1" applyFont="1" applyFill="1" applyBorder="1" applyAlignment="1">
      <alignment horizontal="center"/>
    </xf>
    <xf numFmtId="0" fontId="10" fillId="0" borderId="5" xfId="8" applyNumberFormat="1" applyFont="1" applyFill="1" applyBorder="1" applyAlignment="1">
      <alignment horizontal="center"/>
    </xf>
    <xf numFmtId="0" fontId="10" fillId="0" borderId="0" xfId="8" applyNumberFormat="1" applyFont="1" applyFill="1" applyBorder="1" applyAlignment="1">
      <alignment horizontal="center"/>
    </xf>
    <xf numFmtId="164" fontId="6" fillId="0" borderId="0" xfId="11" applyFont="1" applyFill="1" applyBorder="1" applyAlignment="1">
      <alignment horizontal="center" vertical="center" wrapText="1"/>
    </xf>
    <xf numFmtId="165" fontId="6" fillId="0" borderId="0" xfId="11" applyNumberFormat="1" applyFont="1" applyFill="1" applyBorder="1" applyAlignment="1">
      <alignment horizontal="center" vertical="center" wrapText="1"/>
    </xf>
    <xf numFmtId="169" fontId="6" fillId="0" borderId="0" xfId="11" applyNumberFormat="1" applyFont="1" applyFill="1" applyBorder="1" applyAlignment="1">
      <alignment horizontal="center" vertical="center" wrapText="1"/>
    </xf>
    <xf numFmtId="167" fontId="6" fillId="0" borderId="0" xfId="12" applyNumberFormat="1" applyFont="1" applyFill="1" applyBorder="1" applyAlignment="1">
      <alignment horizontal="center" vertical="center" wrapText="1"/>
    </xf>
    <xf numFmtId="169" fontId="7" fillId="0" borderId="6" xfId="11" applyNumberFormat="1" applyFont="1" applyFill="1" applyBorder="1" applyAlignment="1">
      <alignment vertical="center" wrapText="1"/>
    </xf>
    <xf numFmtId="9" fontId="6" fillId="0" borderId="5" xfId="11" applyNumberFormat="1" applyFont="1" applyFill="1" applyBorder="1" applyAlignment="1">
      <alignment vertical="center"/>
    </xf>
    <xf numFmtId="165" fontId="6" fillId="0" borderId="5" xfId="11" applyNumberFormat="1" applyFont="1" applyFill="1" applyBorder="1" applyAlignment="1">
      <alignment vertical="center"/>
    </xf>
    <xf numFmtId="9" fontId="6" fillId="0" borderId="5" xfId="12" applyFont="1" applyFill="1" applyBorder="1" applyAlignment="1">
      <alignment vertical="center"/>
    </xf>
    <xf numFmtId="164" fontId="10" fillId="0" borderId="5" xfId="11" applyFont="1" applyFill="1" applyBorder="1" applyAlignment="1">
      <alignment horizontal="center"/>
    </xf>
    <xf numFmtId="169" fontId="10" fillId="0" borderId="5" xfId="11" applyNumberFormat="1" applyFont="1" applyFill="1" applyBorder="1" applyAlignment="1">
      <alignment horizontal="center"/>
    </xf>
    <xf numFmtId="169" fontId="6" fillId="0" borderId="5" xfId="11" applyNumberFormat="1" applyFont="1" applyFill="1" applyBorder="1" applyAlignment="1">
      <alignment vertical="center"/>
    </xf>
    <xf numFmtId="10" fontId="6" fillId="0" borderId="5" xfId="12" applyNumberFormat="1" applyFont="1" applyFill="1" applyBorder="1" applyAlignment="1">
      <alignment vertical="center"/>
    </xf>
    <xf numFmtId="2" fontId="6" fillId="0" borderId="5" xfId="12" applyNumberFormat="1" applyFont="1" applyFill="1" applyBorder="1" applyAlignment="1">
      <alignment vertical="center"/>
    </xf>
    <xf numFmtId="169" fontId="6" fillId="0" borderId="5" xfId="11" applyNumberFormat="1" applyFont="1" applyBorder="1" applyAlignment="1">
      <alignment vertical="center"/>
    </xf>
    <xf numFmtId="169" fontId="6" fillId="0" borderId="4" xfId="11" applyNumberFormat="1" applyFont="1" applyFill="1" applyBorder="1" applyAlignment="1">
      <alignment vertical="center"/>
    </xf>
    <xf numFmtId="167" fontId="6" fillId="0" borderId="5" xfId="12" applyNumberFormat="1" applyFont="1" applyFill="1" applyBorder="1" applyAlignment="1">
      <alignment vertical="center"/>
    </xf>
    <xf numFmtId="164" fontId="6" fillId="0" borderId="5" xfId="11" applyFont="1" applyFill="1" applyBorder="1" applyAlignment="1">
      <alignment vertical="center"/>
    </xf>
    <xf numFmtId="164" fontId="6" fillId="0" borderId="5" xfId="11" applyFont="1" applyFill="1" applyBorder="1"/>
    <xf numFmtId="164" fontId="6" fillId="0" borderId="0" xfId="11" applyFont="1" applyFill="1"/>
    <xf numFmtId="169" fontId="6" fillId="0" borderId="6" xfId="11" applyNumberFormat="1" applyFont="1" applyBorder="1" applyAlignment="1">
      <alignment vertical="center"/>
    </xf>
    <xf numFmtId="169" fontId="6" fillId="0" borderId="6" xfId="11" applyNumberFormat="1" applyFont="1" applyFill="1" applyBorder="1" applyAlignment="1">
      <alignment vertical="center"/>
    </xf>
    <xf numFmtId="169" fontId="7" fillId="0" borderId="5" xfId="11" applyNumberFormat="1" applyFont="1" applyFill="1" applyBorder="1" applyAlignment="1">
      <alignment vertical="center"/>
    </xf>
    <xf numFmtId="165" fontId="7" fillId="14" borderId="5" xfId="11" applyNumberFormat="1" applyFont="1" applyFill="1" applyBorder="1" applyAlignment="1">
      <alignment vertical="center"/>
    </xf>
    <xf numFmtId="164" fontId="7" fillId="0" borderId="5" xfId="11" applyFont="1" applyFill="1" applyBorder="1" applyAlignment="1">
      <alignment vertical="center"/>
    </xf>
    <xf numFmtId="9" fontId="7" fillId="9" borderId="5" xfId="11" applyNumberFormat="1" applyFont="1" applyFill="1" applyBorder="1" applyAlignment="1">
      <alignment vertical="center"/>
    </xf>
    <xf numFmtId="165" fontId="7" fillId="9" borderId="5" xfId="11" applyNumberFormat="1" applyFont="1" applyFill="1" applyBorder="1" applyAlignment="1">
      <alignment vertical="center"/>
    </xf>
    <xf numFmtId="164" fontId="7" fillId="9" borderId="5" xfId="11" applyFont="1" applyFill="1" applyBorder="1" applyAlignment="1">
      <alignment horizontal="center"/>
    </xf>
    <xf numFmtId="169" fontId="7" fillId="9" borderId="5" xfId="11" applyNumberFormat="1" applyFont="1" applyFill="1" applyBorder="1" applyAlignment="1">
      <alignment vertical="center"/>
    </xf>
    <xf numFmtId="164" fontId="7" fillId="9" borderId="5" xfId="11" applyFont="1" applyFill="1" applyBorder="1" applyAlignment="1">
      <alignment vertical="center"/>
    </xf>
    <xf numFmtId="169" fontId="7" fillId="9" borderId="2" xfId="11" applyNumberFormat="1" applyFont="1" applyFill="1" applyBorder="1" applyAlignment="1">
      <alignment vertical="center"/>
    </xf>
    <xf numFmtId="172" fontId="7" fillId="9" borderId="5" xfId="11" applyNumberFormat="1" applyFont="1" applyFill="1" applyBorder="1" applyAlignment="1">
      <alignment vertical="center"/>
    </xf>
    <xf numFmtId="10" fontId="7" fillId="3" borderId="5" xfId="12" applyNumberFormat="1" applyFont="1" applyFill="1" applyBorder="1" applyAlignment="1">
      <alignment vertical="center"/>
    </xf>
    <xf numFmtId="169" fontId="7" fillId="9" borderId="4" xfId="11" applyNumberFormat="1" applyFont="1" applyFill="1" applyBorder="1" applyAlignment="1">
      <alignment vertical="center"/>
    </xf>
    <xf numFmtId="165" fontId="7" fillId="0" borderId="5" xfId="11" applyNumberFormat="1" applyFont="1" applyFill="1" applyBorder="1" applyAlignment="1">
      <alignment vertical="center"/>
    </xf>
    <xf numFmtId="10" fontId="7" fillId="9" borderId="5" xfId="12" applyNumberFormat="1" applyFont="1" applyFill="1" applyBorder="1" applyAlignment="1">
      <alignment vertical="center"/>
    </xf>
    <xf numFmtId="10" fontId="7" fillId="0" borderId="5" xfId="12" applyNumberFormat="1" applyFont="1" applyFill="1" applyBorder="1"/>
    <xf numFmtId="10" fontId="7" fillId="8" borderId="0" xfId="12" applyNumberFormat="1" applyFont="1" applyFill="1" applyBorder="1"/>
    <xf numFmtId="169" fontId="7" fillId="11" borderId="5" xfId="11" applyNumberFormat="1" applyFont="1" applyFill="1" applyBorder="1" applyAlignment="1">
      <alignment horizontal="center"/>
    </xf>
    <xf numFmtId="10" fontId="7" fillId="11" borderId="5" xfId="12" applyNumberFormat="1" applyFont="1" applyFill="1" applyBorder="1" applyAlignment="1">
      <alignment vertical="center"/>
    </xf>
    <xf numFmtId="167" fontId="7" fillId="9" borderId="4" xfId="12" applyNumberFormat="1" applyFont="1" applyFill="1" applyBorder="1" applyAlignment="1">
      <alignment vertical="center"/>
    </xf>
    <xf numFmtId="167" fontId="7" fillId="9" borderId="5" xfId="12" applyNumberFormat="1" applyFont="1" applyFill="1" applyBorder="1" applyAlignment="1">
      <alignment vertical="center"/>
    </xf>
    <xf numFmtId="10" fontId="7" fillId="9" borderId="5" xfId="12" applyNumberFormat="1" applyFont="1" applyFill="1" applyBorder="1"/>
    <xf numFmtId="10" fontId="7" fillId="0" borderId="5" xfId="12" applyNumberFormat="1" applyFont="1" applyFill="1" applyBorder="1" applyAlignment="1">
      <alignment vertical="center"/>
    </xf>
    <xf numFmtId="164" fontId="6" fillId="0" borderId="5" xfId="11" applyFont="1" applyFill="1" applyBorder="1" applyAlignment="1">
      <alignment horizontal="center"/>
    </xf>
    <xf numFmtId="169" fontId="6" fillId="0" borderId="5" xfId="11" applyNumberFormat="1" applyFont="1" applyFill="1" applyBorder="1" applyAlignment="1">
      <alignment horizontal="center"/>
    </xf>
    <xf numFmtId="169" fontId="7" fillId="0" borderId="0" xfId="11" applyNumberFormat="1" applyFont="1" applyFill="1" applyBorder="1" applyAlignment="1">
      <alignment vertical="center"/>
    </xf>
    <xf numFmtId="167" fontId="7" fillId="0" borderId="0" xfId="12" applyNumberFormat="1" applyFont="1" applyFill="1" applyBorder="1" applyAlignment="1">
      <alignment vertical="center"/>
    </xf>
    <xf numFmtId="173" fontId="7" fillId="0" borderId="5" xfId="11" applyNumberFormat="1" applyFont="1" applyFill="1" applyBorder="1" applyAlignment="1">
      <alignment vertical="center"/>
    </xf>
    <xf numFmtId="164" fontId="6" fillId="0" borderId="0" xfId="11" applyFont="1" applyFill="1" applyBorder="1" applyAlignment="1">
      <alignment vertical="center"/>
    </xf>
    <xf numFmtId="165" fontId="6" fillId="0" borderId="0" xfId="11" applyNumberFormat="1" applyFont="1" applyFill="1" applyBorder="1" applyAlignment="1">
      <alignment vertical="center"/>
    </xf>
    <xf numFmtId="164" fontId="6" fillId="0" borderId="0" xfId="11" applyFont="1" applyFill="1" applyBorder="1" applyAlignment="1">
      <alignment horizontal="center"/>
    </xf>
    <xf numFmtId="169" fontId="6" fillId="0" borderId="0" xfId="11" applyNumberFormat="1" applyFont="1" applyFill="1" applyBorder="1" applyAlignment="1">
      <alignment horizontal="center"/>
    </xf>
    <xf numFmtId="169" fontId="6" fillId="0" borderId="0" xfId="11" applyNumberFormat="1" applyFont="1" applyFill="1" applyBorder="1" applyAlignment="1">
      <alignment vertical="center"/>
    </xf>
    <xf numFmtId="169" fontId="7" fillId="0" borderId="0" xfId="11" applyNumberFormat="1" applyFont="1" applyFill="1" applyBorder="1" applyAlignment="1">
      <alignment horizontal="right"/>
    </xf>
    <xf numFmtId="0" fontId="7" fillId="0" borderId="0" xfId="12" applyNumberFormat="1" applyFont="1" applyFill="1" applyBorder="1" applyAlignment="1">
      <alignment vertical="center"/>
    </xf>
    <xf numFmtId="10" fontId="6" fillId="0" borderId="0" xfId="12" applyNumberFormat="1" applyFont="1" applyFill="1" applyBorder="1" applyAlignment="1">
      <alignment vertical="center"/>
    </xf>
    <xf numFmtId="167" fontId="7" fillId="4" borderId="0" xfId="12" applyNumberFormat="1" applyFont="1" applyFill="1" applyBorder="1" applyAlignment="1">
      <alignment vertical="center"/>
    </xf>
    <xf numFmtId="169" fontId="6" fillId="4" borderId="0" xfId="11" applyNumberFormat="1" applyFont="1" applyFill="1" applyBorder="1" applyAlignment="1">
      <alignment vertical="center"/>
    </xf>
    <xf numFmtId="10" fontId="6" fillId="0" borderId="0" xfId="12" applyNumberFormat="1" applyFont="1" applyFill="1" applyBorder="1"/>
    <xf numFmtId="166" fontId="2" fillId="4" borderId="5" xfId="1" applyNumberFormat="1" applyFont="1" applyFill="1" applyBorder="1" applyAlignment="1">
      <alignment horizontal="center" vertical="center" wrapText="1"/>
    </xf>
    <xf numFmtId="166" fontId="2" fillId="4" borderId="5" xfId="1" applyNumberFormat="1" applyFont="1" applyFill="1" applyBorder="1" applyAlignment="1">
      <alignment horizontal="center" vertical="center"/>
    </xf>
    <xf numFmtId="0" fontId="11" fillId="13" borderId="5" xfId="0" quotePrefix="1" applyFont="1" applyFill="1" applyBorder="1" applyAlignment="1" applyProtection="1">
      <alignment wrapText="1"/>
      <protection locked="0"/>
    </xf>
    <xf numFmtId="0" fontId="0" fillId="0" borderId="5" xfId="0" applyBorder="1" applyAlignment="1">
      <alignment horizontal="center"/>
    </xf>
    <xf numFmtId="0" fontId="6" fillId="4" borderId="0" xfId="0" applyFont="1" applyFill="1"/>
    <xf numFmtId="0" fontId="6" fillId="4" borderId="0" xfId="0" applyFont="1" applyFill="1" applyAlignment="1">
      <alignment horizontal="right"/>
    </xf>
    <xf numFmtId="10" fontId="6" fillId="4" borderId="0" xfId="0" applyNumberFormat="1" applyFont="1" applyFill="1"/>
    <xf numFmtId="167" fontId="6" fillId="4" borderId="0" xfId="0" applyNumberFormat="1" applyFont="1" applyFill="1"/>
    <xf numFmtId="10" fontId="7" fillId="4" borderId="0" xfId="0" applyNumberFormat="1" applyFont="1" applyFill="1"/>
    <xf numFmtId="165" fontId="1" fillId="0" borderId="0" xfId="1" applyNumberFormat="1" applyFont="1" applyAlignment="1">
      <alignment horizontal="center" vertical="center"/>
    </xf>
    <xf numFmtId="166" fontId="2" fillId="0" borderId="6" xfId="1" quotePrefix="1" applyNumberFormat="1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 wrapText="1"/>
    </xf>
    <xf numFmtId="15" fontId="7" fillId="0" borderId="0" xfId="0" applyNumberFormat="1" applyFont="1"/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2" fontId="10" fillId="0" borderId="5" xfId="6" applyNumberFormat="1" applyFont="1" applyBorder="1"/>
    <xf numFmtId="170" fontId="10" fillId="0" borderId="5" xfId="3" applyNumberFormat="1" applyFont="1" applyBorder="1" applyAlignment="1">
      <alignment horizontal="center"/>
    </xf>
    <xf numFmtId="0" fontId="10" fillId="0" borderId="5" xfId="3" applyFont="1" applyBorder="1" applyAlignment="1">
      <alignment horizontal="center"/>
    </xf>
    <xf numFmtId="2" fontId="10" fillId="0" borderId="5" xfId="3" applyNumberFormat="1" applyFont="1" applyBorder="1" applyAlignment="1">
      <alignment horizontal="center"/>
    </xf>
    <xf numFmtId="168" fontId="6" fillId="0" borderId="5" xfId="0" applyNumberFormat="1" applyFont="1" applyBorder="1" applyAlignment="1">
      <alignment horizontal="center" vertical="center" wrapText="1"/>
    </xf>
    <xf numFmtId="9" fontId="6" fillId="0" borderId="5" xfId="0" applyNumberFormat="1" applyFont="1" applyBorder="1" applyAlignment="1">
      <alignment horizontal="center" vertical="center" wrapText="1"/>
    </xf>
    <xf numFmtId="168" fontId="6" fillId="0" borderId="5" xfId="0" applyNumberFormat="1" applyFont="1" applyBorder="1"/>
    <xf numFmtId="2" fontId="10" fillId="0" borderId="5" xfId="5" applyNumberFormat="1" applyFont="1" applyBorder="1" applyAlignment="1">
      <alignment horizontal="center"/>
    </xf>
    <xf numFmtId="0" fontId="6" fillId="0" borderId="5" xfId="0" applyFont="1" applyBorder="1"/>
    <xf numFmtId="165" fontId="6" fillId="0" borderId="0" xfId="0" applyNumberFormat="1" applyFont="1"/>
    <xf numFmtId="2" fontId="6" fillId="0" borderId="5" xfId="0" applyNumberFormat="1" applyFont="1" applyBorder="1"/>
    <xf numFmtId="0" fontId="6" fillId="0" borderId="5" xfId="0" applyFont="1" applyBorder="1" applyAlignment="1">
      <alignment horizontal="center" vertical="center" wrapText="1"/>
    </xf>
    <xf numFmtId="0" fontId="7" fillId="0" borderId="0" xfId="0" applyFont="1"/>
    <xf numFmtId="0" fontId="6" fillId="0" borderId="0" xfId="0" applyFont="1" applyAlignment="1">
      <alignment horizontal="center"/>
    </xf>
    <xf numFmtId="168" fontId="6" fillId="0" borderId="0" xfId="0" applyNumberFormat="1" applyFont="1"/>
    <xf numFmtId="2" fontId="6" fillId="0" borderId="0" xfId="0" applyNumberFormat="1" applyFont="1"/>
    <xf numFmtId="170" fontId="10" fillId="0" borderId="5" xfId="7" applyNumberFormat="1" applyFont="1" applyBorder="1" applyAlignment="1">
      <alignment horizontal="center"/>
    </xf>
    <xf numFmtId="0" fontId="10" fillId="0" borderId="5" xfId="7" applyFont="1" applyBorder="1" applyAlignment="1">
      <alignment horizontal="center"/>
    </xf>
    <xf numFmtId="0" fontId="6" fillId="0" borderId="5" xfId="9" applyFont="1" applyBorder="1"/>
    <xf numFmtId="165" fontId="7" fillId="0" borderId="6" xfId="0" applyNumberFormat="1" applyFont="1" applyBorder="1" applyAlignment="1">
      <alignment horizontal="right"/>
    </xf>
    <xf numFmtId="0" fontId="6" fillId="0" borderId="6" xfId="0" applyFont="1" applyBorder="1"/>
    <xf numFmtId="170" fontId="10" fillId="0" borderId="0" xfId="7" applyNumberFormat="1" applyFont="1" applyAlignment="1">
      <alignment horizontal="center"/>
    </xf>
    <xf numFmtId="0" fontId="10" fillId="0" borderId="0" xfId="7" applyFont="1" applyAlignment="1">
      <alignment horizontal="center"/>
    </xf>
    <xf numFmtId="165" fontId="7" fillId="0" borderId="0" xfId="0" applyNumberFormat="1" applyFont="1" applyAlignment="1">
      <alignment horizontal="right"/>
    </xf>
    <xf numFmtId="0" fontId="6" fillId="0" borderId="0" xfId="0" applyFont="1" applyAlignment="1">
      <alignment wrapText="1"/>
    </xf>
    <xf numFmtId="10" fontId="6" fillId="0" borderId="0" xfId="0" applyNumberFormat="1" applyFont="1"/>
    <xf numFmtId="165" fontId="7" fillId="4" borderId="0" xfId="0" applyNumberFormat="1" applyFont="1" applyFill="1" applyAlignment="1">
      <alignment horizontal="right"/>
    </xf>
    <xf numFmtId="0" fontId="8" fillId="4" borderId="0" xfId="0" applyFont="1" applyFill="1"/>
    <xf numFmtId="10" fontId="6" fillId="4" borderId="0" xfId="0" applyNumberFormat="1" applyFont="1" applyFill="1" applyAlignment="1">
      <alignment horizontal="right"/>
    </xf>
    <xf numFmtId="167" fontId="6" fillId="4" borderId="0" xfId="0" applyNumberFormat="1" applyFont="1" applyFill="1" applyAlignment="1">
      <alignment horizontal="right"/>
    </xf>
    <xf numFmtId="2" fontId="12" fillId="0" borderId="5" xfId="6" applyNumberFormat="1" applyFont="1" applyBorder="1"/>
    <xf numFmtId="1" fontId="7" fillId="0" borderId="0" xfId="12" applyNumberFormat="1" applyFont="1" applyFill="1" applyBorder="1" applyAlignment="1">
      <alignment vertical="center"/>
    </xf>
    <xf numFmtId="0" fontId="11" fillId="13" borderId="2" xfId="0" quotePrefix="1" applyFont="1" applyFill="1" applyBorder="1" applyAlignment="1" applyProtection="1">
      <alignment wrapText="1"/>
      <protection locked="0"/>
    </xf>
    <xf numFmtId="0" fontId="7" fillId="0" borderId="5" xfId="0" applyFont="1" applyBorder="1"/>
    <xf numFmtId="168" fontId="7" fillId="0" borderId="5" xfId="0" applyNumberFormat="1" applyFont="1" applyBorder="1"/>
    <xf numFmtId="0" fontId="6" fillId="0" borderId="5" xfId="0" applyFont="1" applyBorder="1" applyAlignment="1">
      <alignment wrapText="1"/>
    </xf>
    <xf numFmtId="165" fontId="7" fillId="0" borderId="5" xfId="0" applyNumberFormat="1" applyFont="1" applyBorder="1" applyAlignment="1">
      <alignment horizontal="right"/>
    </xf>
    <xf numFmtId="0" fontId="7" fillId="9" borderId="1" xfId="0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0" fontId="6" fillId="0" borderId="0" xfId="133" applyFont="1"/>
    <xf numFmtId="165" fontId="6" fillId="0" borderId="0" xfId="133" applyNumberFormat="1" applyFont="1"/>
    <xf numFmtId="0" fontId="6" fillId="0" borderId="0" xfId="133" applyFont="1" applyAlignment="1">
      <alignment horizontal="center"/>
    </xf>
    <xf numFmtId="168" fontId="6" fillId="0" borderId="0" xfId="133" applyNumberFormat="1" applyFont="1"/>
    <xf numFmtId="167" fontId="7" fillId="0" borderId="0" xfId="134" applyNumberFormat="1" applyFont="1" applyFill="1" applyBorder="1" applyAlignment="1">
      <alignment vertical="center"/>
    </xf>
    <xf numFmtId="0" fontId="11" fillId="13" borderId="5" xfId="0" quotePrefix="1" applyFont="1" applyFill="1" applyBorder="1"/>
    <xf numFmtId="169" fontId="7" fillId="12" borderId="5" xfId="44" applyNumberFormat="1" applyFont="1" applyFill="1" applyBorder="1" applyAlignment="1">
      <alignment horizontal="center" vertical="center" wrapText="1"/>
    </xf>
    <xf numFmtId="169" fontId="7" fillId="35" borderId="5" xfId="44" applyNumberFormat="1" applyFont="1" applyFill="1" applyBorder="1" applyAlignment="1">
      <alignment horizontal="center" vertical="center" wrapText="1"/>
    </xf>
    <xf numFmtId="169" fontId="7" fillId="35" borderId="5" xfId="11" applyNumberFormat="1" applyFont="1" applyFill="1" applyBorder="1" applyAlignment="1">
      <alignment horizontal="center" vertical="center" wrapText="1"/>
    </xf>
    <xf numFmtId="169" fontId="7" fillId="12" borderId="5" xfId="11" applyNumberFormat="1" applyFont="1" applyFill="1" applyBorder="1" applyAlignment="1">
      <alignment horizontal="center" vertical="center" wrapText="1"/>
    </xf>
    <xf numFmtId="10" fontId="6" fillId="0" borderId="0" xfId="133" applyNumberFormat="1" applyFont="1"/>
    <xf numFmtId="0" fontId="6" fillId="4" borderId="0" xfId="133" applyFont="1" applyFill="1"/>
    <xf numFmtId="10" fontId="7" fillId="4" borderId="0" xfId="133" applyNumberFormat="1" applyFont="1" applyFill="1"/>
    <xf numFmtId="10" fontId="6" fillId="4" borderId="0" xfId="133" applyNumberFormat="1" applyFont="1" applyFill="1"/>
    <xf numFmtId="167" fontId="6" fillId="4" borderId="0" xfId="133" applyNumberFormat="1" applyFont="1" applyFill="1"/>
    <xf numFmtId="0" fontId="6" fillId="4" borderId="0" xfId="133" applyFont="1" applyFill="1" applyAlignment="1">
      <alignment horizontal="right"/>
    </xf>
    <xf numFmtId="0" fontId="7" fillId="0" borderId="0" xfId="133" applyFont="1"/>
    <xf numFmtId="0" fontId="6" fillId="0" borderId="0" xfId="133" applyFont="1" applyAlignment="1">
      <alignment wrapText="1"/>
    </xf>
    <xf numFmtId="167" fontId="6" fillId="4" borderId="0" xfId="133" applyNumberFormat="1" applyFont="1" applyFill="1" applyAlignment="1">
      <alignment horizontal="right"/>
    </xf>
    <xf numFmtId="10" fontId="6" fillId="4" borderId="0" xfId="133" applyNumberFormat="1" applyFont="1" applyFill="1" applyAlignment="1">
      <alignment horizontal="right"/>
    </xf>
    <xf numFmtId="0" fontId="8" fillId="4" borderId="0" xfId="133" applyFont="1" applyFill="1"/>
    <xf numFmtId="165" fontId="7" fillId="4" borderId="0" xfId="133" applyNumberFormat="1" applyFont="1" applyFill="1" applyAlignment="1">
      <alignment horizontal="right"/>
    </xf>
    <xf numFmtId="165" fontId="7" fillId="0" borderId="0" xfId="133" applyNumberFormat="1" applyFont="1" applyAlignment="1">
      <alignment horizontal="right"/>
    </xf>
    <xf numFmtId="0" fontId="6" fillId="0" borderId="5" xfId="133" applyFont="1" applyBorder="1" applyAlignment="1">
      <alignment wrapText="1"/>
    </xf>
    <xf numFmtId="0" fontId="6" fillId="0" borderId="5" xfId="133" applyFont="1" applyBorder="1"/>
    <xf numFmtId="165" fontId="7" fillId="0" borderId="5" xfId="133" applyNumberFormat="1" applyFont="1" applyBorder="1" applyAlignment="1">
      <alignment horizontal="right"/>
    </xf>
    <xf numFmtId="0" fontId="6" fillId="0" borderId="6" xfId="133" applyFont="1" applyBorder="1"/>
    <xf numFmtId="165" fontId="7" fillId="0" borderId="6" xfId="133" applyNumberFormat="1" applyFont="1" applyBorder="1" applyAlignment="1">
      <alignment horizontal="right"/>
    </xf>
    <xf numFmtId="168" fontId="6" fillId="0" borderId="5" xfId="133" applyNumberFormat="1" applyFont="1" applyBorder="1"/>
    <xf numFmtId="0" fontId="7" fillId="0" borderId="5" xfId="133" applyFont="1" applyBorder="1"/>
    <xf numFmtId="168" fontId="7" fillId="0" borderId="5" xfId="133" applyNumberFormat="1" applyFont="1" applyBorder="1"/>
    <xf numFmtId="0" fontId="11" fillId="13" borderId="5" xfId="133" quotePrefix="1" applyFont="1" applyFill="1" applyBorder="1" applyAlignment="1" applyProtection="1">
      <alignment wrapText="1"/>
      <protection locked="0"/>
    </xf>
    <xf numFmtId="168" fontId="6" fillId="0" borderId="5" xfId="133" applyNumberFormat="1" applyFont="1" applyBorder="1" applyAlignment="1">
      <alignment horizontal="center" vertical="center" wrapText="1"/>
    </xf>
    <xf numFmtId="2" fontId="6" fillId="0" borderId="5" xfId="133" applyNumberFormat="1" applyFont="1" applyBorder="1"/>
    <xf numFmtId="0" fontId="6" fillId="0" borderId="5" xfId="133" applyFont="1" applyBorder="1" applyAlignment="1">
      <alignment horizontal="center" vertical="center" wrapText="1"/>
    </xf>
    <xf numFmtId="0" fontId="11" fillId="13" borderId="2" xfId="133" quotePrefix="1" applyFont="1" applyFill="1" applyBorder="1" applyAlignment="1" applyProtection="1">
      <alignment wrapText="1"/>
      <protection locked="0"/>
    </xf>
    <xf numFmtId="9" fontId="6" fillId="0" borderId="5" xfId="133" applyNumberFormat="1" applyFont="1" applyBorder="1" applyAlignment="1">
      <alignment horizontal="center" vertical="center" wrapText="1"/>
    </xf>
    <xf numFmtId="0" fontId="7" fillId="0" borderId="0" xfId="133" applyFont="1" applyAlignment="1">
      <alignment horizontal="center" vertical="center" wrapText="1"/>
    </xf>
    <xf numFmtId="168" fontId="7" fillId="0" borderId="1" xfId="133" applyNumberFormat="1" applyFont="1" applyBorder="1" applyAlignment="1">
      <alignment horizontal="center" vertical="center" wrapText="1"/>
    </xf>
    <xf numFmtId="165" fontId="7" fillId="0" borderId="1" xfId="133" applyNumberFormat="1" applyFont="1" applyBorder="1" applyAlignment="1">
      <alignment horizontal="center" vertical="center" wrapText="1"/>
    </xf>
    <xf numFmtId="0" fontId="7" fillId="9" borderId="1" xfId="133" applyFont="1" applyFill="1" applyBorder="1" applyAlignment="1">
      <alignment horizontal="center" vertical="center" wrapText="1"/>
    </xf>
    <xf numFmtId="0" fontId="6" fillId="0" borderId="0" xfId="133" applyFont="1" applyAlignment="1">
      <alignment horizontal="center" vertical="center" wrapText="1"/>
    </xf>
    <xf numFmtId="168" fontId="6" fillId="0" borderId="0" xfId="133" applyNumberFormat="1" applyFont="1" applyAlignment="1">
      <alignment horizontal="center" vertical="center" wrapText="1"/>
    </xf>
    <xf numFmtId="15" fontId="7" fillId="0" borderId="0" xfId="133" applyNumberFormat="1" applyFont="1"/>
    <xf numFmtId="0" fontId="5" fillId="0" borderId="0" xfId="133" applyFont="1"/>
    <xf numFmtId="172" fontId="6" fillId="0" borderId="0" xfId="11" applyNumberFormat="1" applyFont="1" applyFill="1" applyBorder="1" applyAlignment="1">
      <alignment vertical="center"/>
    </xf>
    <xf numFmtId="2" fontId="6" fillId="0" borderId="0" xfId="133" applyNumberFormat="1" applyFont="1"/>
    <xf numFmtId="9" fontId="6" fillId="0" borderId="5" xfId="0" applyNumberFormat="1" applyFont="1" applyFill="1" applyBorder="1" applyAlignment="1">
      <alignment horizontal="center" vertical="center" wrapText="1"/>
    </xf>
    <xf numFmtId="0" fontId="10" fillId="0" borderId="5" xfId="3" applyFont="1" applyFill="1" applyBorder="1" applyAlignment="1">
      <alignment horizontal="center"/>
    </xf>
    <xf numFmtId="2" fontId="10" fillId="0" borderId="5" xfId="3" applyNumberFormat="1" applyFont="1" applyFill="1" applyBorder="1" applyAlignment="1">
      <alignment horizontal="center"/>
    </xf>
    <xf numFmtId="168" fontId="6" fillId="0" borderId="5" xfId="0" applyNumberFormat="1" applyFont="1" applyFill="1" applyBorder="1"/>
    <xf numFmtId="2" fontId="10" fillId="0" borderId="5" xfId="5" applyNumberFormat="1" applyFont="1" applyFill="1" applyBorder="1" applyAlignment="1">
      <alignment horizontal="center"/>
    </xf>
    <xf numFmtId="168" fontId="6" fillId="0" borderId="5" xfId="0" applyNumberFormat="1" applyFont="1" applyFill="1" applyBorder="1" applyAlignment="1">
      <alignment horizontal="center" vertical="center" wrapText="1"/>
    </xf>
    <xf numFmtId="0" fontId="11" fillId="13" borderId="1" xfId="133" quotePrefix="1" applyFont="1" applyFill="1" applyBorder="1" applyAlignment="1" applyProtection="1">
      <alignment wrapText="1"/>
      <protection locked="0"/>
    </xf>
    <xf numFmtId="171" fontId="10" fillId="0" borderId="5" xfId="0" applyNumberFormat="1" applyFont="1" applyBorder="1" applyAlignment="1">
      <alignment horizontal="center"/>
    </xf>
    <xf numFmtId="0" fontId="33" fillId="13" borderId="5" xfId="133" quotePrefix="1" applyFont="1" applyFill="1" applyBorder="1" applyAlignment="1" applyProtection="1">
      <alignment wrapText="1"/>
      <protection locked="0"/>
    </xf>
    <xf numFmtId="0" fontId="34" fillId="0" borderId="5" xfId="133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9" fontId="6" fillId="0" borderId="5" xfId="0" applyNumberFormat="1" applyFont="1" applyBorder="1" applyAlignment="1">
      <alignment horizontal="center" wrapText="1"/>
    </xf>
    <xf numFmtId="0" fontId="35" fillId="13" borderId="5" xfId="135" applyFont="1" applyFill="1" applyBorder="1"/>
    <xf numFmtId="171" fontId="10" fillId="0" borderId="5" xfId="133" applyNumberFormat="1" applyFont="1" applyBorder="1" applyAlignment="1">
      <alignment horizontal="center"/>
    </xf>
    <xf numFmtId="169" fontId="7" fillId="0" borderId="2" xfId="11" applyNumberFormat="1" applyFont="1" applyFill="1" applyBorder="1" applyAlignment="1">
      <alignment horizontal="right"/>
    </xf>
    <xf numFmtId="169" fontId="7" fillId="0" borderId="4" xfId="11" applyNumberFormat="1" applyFont="1" applyFill="1" applyBorder="1" applyAlignment="1">
      <alignment horizontal="right"/>
    </xf>
    <xf numFmtId="169" fontId="7" fillId="35" borderId="1" xfId="44" applyNumberFormat="1" applyFont="1" applyFill="1" applyBorder="1" applyAlignment="1">
      <alignment horizontal="center" vertical="center" wrapText="1"/>
    </xf>
    <xf numFmtId="169" fontId="7" fillId="12" borderId="1" xfId="44" applyNumberFormat="1" applyFont="1" applyFill="1" applyBorder="1" applyAlignment="1">
      <alignment horizontal="center" vertical="center" wrapText="1"/>
    </xf>
    <xf numFmtId="169" fontId="7" fillId="0" borderId="6" xfId="11" applyNumberFormat="1" applyFont="1" applyFill="1" applyBorder="1" applyAlignment="1">
      <alignment horizontal="center" vertical="center" wrapText="1"/>
    </xf>
    <xf numFmtId="169" fontId="7" fillId="11" borderId="1" xfId="11" applyNumberFormat="1" applyFont="1" applyFill="1" applyBorder="1" applyAlignment="1">
      <alignment horizontal="center" vertical="center" wrapText="1"/>
    </xf>
    <xf numFmtId="164" fontId="7" fillId="0" borderId="1" xfId="1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133" applyFont="1" applyBorder="1" applyAlignment="1">
      <alignment horizontal="center" vertical="center" wrapText="1"/>
    </xf>
    <xf numFmtId="164" fontId="7" fillId="0" borderId="1" xfId="11" applyFont="1" applyFill="1" applyBorder="1" applyAlignment="1">
      <alignment horizontal="center" vertical="center" wrapText="1"/>
    </xf>
    <xf numFmtId="169" fontId="7" fillId="0" borderId="6" xfId="11" applyNumberFormat="1" applyFont="1" applyFill="1" applyBorder="1" applyAlignment="1">
      <alignment horizontal="center" vertical="center" wrapText="1"/>
    </xf>
    <xf numFmtId="169" fontId="7" fillId="11" borderId="1" xfId="11" applyNumberFormat="1" applyFont="1" applyFill="1" applyBorder="1" applyAlignment="1">
      <alignment horizontal="center" vertical="center" wrapText="1"/>
    </xf>
    <xf numFmtId="169" fontId="7" fillId="35" borderId="1" xfId="44" applyNumberFormat="1" applyFont="1" applyFill="1" applyBorder="1" applyAlignment="1">
      <alignment horizontal="center" vertical="center" wrapText="1"/>
    </xf>
    <xf numFmtId="169" fontId="7" fillId="12" borderId="1" xfId="44" applyNumberFormat="1" applyFont="1" applyFill="1" applyBorder="1" applyAlignment="1">
      <alignment horizontal="center" vertical="center" wrapText="1"/>
    </xf>
    <xf numFmtId="169" fontId="7" fillId="12" borderId="1" xfId="11" applyNumberFormat="1" applyFont="1" applyFill="1" applyBorder="1" applyAlignment="1">
      <alignment horizontal="center" vertical="center" wrapText="1"/>
    </xf>
    <xf numFmtId="169" fontId="7" fillId="35" borderId="1" xfId="1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8" borderId="5" xfId="3" applyFont="1" applyFill="1" applyBorder="1" applyAlignment="1">
      <alignment horizontal="center"/>
    </xf>
    <xf numFmtId="0" fontId="11" fillId="13" borderId="2" xfId="0" quotePrefix="1" applyFont="1" applyFill="1" applyBorder="1"/>
    <xf numFmtId="169" fontId="7" fillId="0" borderId="6" xfId="11" applyNumberFormat="1" applyFont="1" applyFill="1" applyBorder="1" applyAlignment="1">
      <alignment horizontal="center" vertical="center" wrapText="1"/>
    </xf>
    <xf numFmtId="169" fontId="7" fillId="12" borderId="1" xfId="11" applyNumberFormat="1" applyFont="1" applyFill="1" applyBorder="1" applyAlignment="1">
      <alignment horizontal="center" vertical="center" wrapText="1"/>
    </xf>
    <xf numFmtId="169" fontId="7" fillId="11" borderId="1" xfId="11" applyNumberFormat="1" applyFont="1" applyFill="1" applyBorder="1" applyAlignment="1">
      <alignment horizontal="center" vertical="center" wrapText="1"/>
    </xf>
    <xf numFmtId="164" fontId="7" fillId="0" borderId="1" xfId="11" applyFont="1" applyFill="1" applyBorder="1" applyAlignment="1">
      <alignment horizontal="center" vertical="center" wrapText="1"/>
    </xf>
    <xf numFmtId="169" fontId="7" fillId="35" borderId="1" xfId="11" applyNumberFormat="1" applyFont="1" applyFill="1" applyBorder="1" applyAlignment="1">
      <alignment horizontal="center" vertical="center" wrapText="1"/>
    </xf>
    <xf numFmtId="0" fontId="7" fillId="0" borderId="1" xfId="133" applyFont="1" applyBorder="1" applyAlignment="1">
      <alignment horizontal="center" vertical="center" wrapText="1"/>
    </xf>
    <xf numFmtId="168" fontId="6" fillId="8" borderId="5" xfId="133" applyNumberFormat="1" applyFont="1" applyFill="1" applyBorder="1" applyAlignment="1">
      <alignment horizontal="center" vertical="center" wrapText="1"/>
    </xf>
    <xf numFmtId="9" fontId="6" fillId="8" borderId="5" xfId="133" applyNumberFormat="1" applyFont="1" applyFill="1" applyBorder="1" applyAlignment="1">
      <alignment horizontal="center" vertical="center" wrapText="1"/>
    </xf>
    <xf numFmtId="9" fontId="6" fillId="0" borderId="5" xfId="133" applyNumberFormat="1" applyFont="1" applyFill="1" applyBorder="1" applyAlignment="1">
      <alignment horizontal="center" vertical="center" wrapText="1"/>
    </xf>
    <xf numFmtId="168" fontId="6" fillId="0" borderId="5" xfId="133" applyNumberFormat="1" applyFont="1" applyFill="1" applyBorder="1" applyAlignment="1">
      <alignment horizontal="center" vertical="center" wrapText="1"/>
    </xf>
    <xf numFmtId="168" fontId="6" fillId="0" borderId="5" xfId="133" applyNumberFormat="1" applyFont="1" applyFill="1" applyBorder="1"/>
    <xf numFmtId="170" fontId="10" fillId="0" borderId="5" xfId="3" applyNumberFormat="1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9" fontId="7" fillId="0" borderId="6" xfId="11" applyNumberFormat="1" applyFont="1" applyFill="1" applyBorder="1" applyAlignment="1">
      <alignment horizontal="center" vertical="center" wrapText="1"/>
    </xf>
    <xf numFmtId="169" fontId="7" fillId="12" borderId="1" xfId="11" applyNumberFormat="1" applyFont="1" applyFill="1" applyBorder="1" applyAlignment="1">
      <alignment horizontal="center" vertical="center" wrapText="1"/>
    </xf>
    <xf numFmtId="169" fontId="7" fillId="11" borderId="1" xfId="11" applyNumberFormat="1" applyFont="1" applyFill="1" applyBorder="1" applyAlignment="1">
      <alignment horizontal="center" vertical="center" wrapText="1"/>
    </xf>
    <xf numFmtId="164" fontId="7" fillId="0" borderId="1" xfId="11" applyFont="1" applyFill="1" applyBorder="1" applyAlignment="1">
      <alignment horizontal="center" vertical="center" wrapText="1"/>
    </xf>
    <xf numFmtId="169" fontId="7" fillId="35" borderId="1" xfId="11" applyNumberFormat="1" applyFont="1" applyFill="1" applyBorder="1" applyAlignment="1">
      <alignment horizontal="center" vertical="center" wrapText="1"/>
    </xf>
    <xf numFmtId="166" fontId="2" fillId="4" borderId="5" xfId="1" applyNumberFormat="1" applyFont="1" applyFill="1" applyBorder="1" applyAlignment="1">
      <alignment horizontal="center" vertical="center" wrapText="1"/>
    </xf>
    <xf numFmtId="166" fontId="2" fillId="4" borderId="2" xfId="1" applyNumberFormat="1" applyFont="1" applyFill="1" applyBorder="1" applyAlignment="1">
      <alignment horizontal="center" vertical="center"/>
    </xf>
    <xf numFmtId="166" fontId="2" fillId="4" borderId="3" xfId="1" applyNumberFormat="1" applyFont="1" applyFill="1" applyBorder="1" applyAlignment="1">
      <alignment horizontal="center" vertical="center"/>
    </xf>
    <xf numFmtId="166" fontId="2" fillId="4" borderId="4" xfId="1" applyNumberFormat="1" applyFont="1" applyFill="1" applyBorder="1" applyAlignment="1">
      <alignment horizontal="center" vertical="center"/>
    </xf>
    <xf numFmtId="166" fontId="2" fillId="4" borderId="5" xfId="1" applyNumberFormat="1" applyFont="1" applyFill="1" applyBorder="1" applyAlignment="1">
      <alignment horizontal="center" vertical="center"/>
    </xf>
    <xf numFmtId="166" fontId="2" fillId="4" borderId="2" xfId="1" applyNumberFormat="1" applyFont="1" applyFill="1" applyBorder="1" applyAlignment="1">
      <alignment horizontal="center" vertical="center" wrapText="1"/>
    </xf>
    <xf numFmtId="166" fontId="2" fillId="4" borderId="3" xfId="1" applyNumberFormat="1" applyFont="1" applyFill="1" applyBorder="1" applyAlignment="1">
      <alignment horizontal="center" vertical="center" wrapText="1"/>
    </xf>
    <xf numFmtId="166" fontId="2" fillId="4" borderId="4" xfId="1" applyNumberFormat="1" applyFont="1" applyFill="1" applyBorder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 wrapText="1"/>
    </xf>
    <xf numFmtId="166" fontId="2" fillId="2" borderId="6" xfId="1" applyNumberFormat="1" applyFont="1" applyFill="1" applyBorder="1" applyAlignment="1">
      <alignment horizontal="center" vertical="center" wrapText="1"/>
    </xf>
    <xf numFmtId="166" fontId="2" fillId="4" borderId="1" xfId="1" applyNumberFormat="1" applyFont="1" applyFill="1" applyBorder="1" applyAlignment="1">
      <alignment horizontal="center" vertical="center"/>
    </xf>
    <xf numFmtId="166" fontId="2" fillId="4" borderId="6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69" fontId="7" fillId="9" borderId="1" xfId="11" applyNumberFormat="1" applyFont="1" applyFill="1" applyBorder="1" applyAlignment="1">
      <alignment horizontal="center" vertical="center" wrapText="1"/>
    </xf>
    <xf numFmtId="169" fontId="7" fillId="9" borderId="7" xfId="11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64" fontId="7" fillId="0" borderId="20" xfId="11" applyFont="1" applyFill="1" applyBorder="1" applyAlignment="1">
      <alignment horizontal="center" vertical="center"/>
    </xf>
    <xf numFmtId="164" fontId="7" fillId="0" borderId="21" xfId="11" applyFont="1" applyFill="1" applyBorder="1" applyAlignment="1">
      <alignment horizontal="center" vertical="center"/>
    </xf>
    <xf numFmtId="164" fontId="7" fillId="0" borderId="22" xfId="11" applyFont="1" applyFill="1" applyBorder="1" applyAlignment="1">
      <alignment horizontal="center" vertical="center"/>
    </xf>
    <xf numFmtId="164" fontId="7" fillId="0" borderId="8" xfId="11" applyFont="1" applyFill="1" applyBorder="1" applyAlignment="1">
      <alignment horizontal="center" vertical="center"/>
    </xf>
    <xf numFmtId="164" fontId="7" fillId="0" borderId="9" xfId="11" applyFont="1" applyFill="1" applyBorder="1" applyAlignment="1">
      <alignment horizontal="center" vertical="center"/>
    </xf>
    <xf numFmtId="164" fontId="7" fillId="0" borderId="10" xfId="11" applyFont="1" applyFill="1" applyBorder="1" applyAlignment="1">
      <alignment horizontal="center" vertical="center"/>
    </xf>
    <xf numFmtId="168" fontId="7" fillId="0" borderId="20" xfId="0" applyNumberFormat="1" applyFont="1" applyBorder="1" applyAlignment="1">
      <alignment horizontal="center" vertical="center"/>
    </xf>
    <xf numFmtId="168" fontId="7" fillId="0" borderId="21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68" fontId="7" fillId="0" borderId="8" xfId="0" applyNumberFormat="1" applyFont="1" applyBorder="1" applyAlignment="1">
      <alignment horizontal="center" vertical="center"/>
    </xf>
    <xf numFmtId="168" fontId="7" fillId="0" borderId="9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64" fontId="7" fillId="0" borderId="1" xfId="11" applyFont="1" applyFill="1" applyBorder="1" applyAlignment="1">
      <alignment horizontal="center" vertical="center" wrapText="1"/>
    </xf>
    <xf numFmtId="164" fontId="7" fillId="0" borderId="7" xfId="11" applyFont="1" applyFill="1" applyBorder="1" applyAlignment="1">
      <alignment horizontal="center" vertical="center" wrapText="1"/>
    </xf>
    <xf numFmtId="169" fontId="7" fillId="0" borderId="1" xfId="11" applyNumberFormat="1" applyFont="1" applyFill="1" applyBorder="1" applyAlignment="1">
      <alignment horizontal="center" vertical="center" wrapText="1"/>
    </xf>
    <xf numFmtId="169" fontId="7" fillId="0" borderId="7" xfId="11" applyNumberFormat="1" applyFont="1" applyFill="1" applyBorder="1" applyAlignment="1">
      <alignment horizontal="center" vertical="center" wrapText="1"/>
    </xf>
    <xf numFmtId="169" fontId="7" fillId="0" borderId="6" xfId="11" applyNumberFormat="1" applyFont="1" applyFill="1" applyBorder="1" applyAlignment="1">
      <alignment horizontal="center" vertical="center" wrapText="1"/>
    </xf>
    <xf numFmtId="167" fontId="7" fillId="9" borderId="1" xfId="12" applyNumberFormat="1" applyFont="1" applyFill="1" applyBorder="1" applyAlignment="1">
      <alignment horizontal="center" vertical="center" wrapText="1"/>
    </xf>
    <xf numFmtId="167" fontId="7" fillId="9" borderId="7" xfId="12" applyNumberFormat="1" applyFont="1" applyFill="1" applyBorder="1" applyAlignment="1">
      <alignment horizontal="center" vertical="center" wrapText="1"/>
    </xf>
    <xf numFmtId="167" fontId="7" fillId="9" borderId="6" xfId="12" applyNumberFormat="1" applyFont="1" applyFill="1" applyBorder="1" applyAlignment="1">
      <alignment horizontal="center" vertical="center" wrapText="1"/>
    </xf>
    <xf numFmtId="169" fontId="7" fillId="11" borderId="20" xfId="11" applyNumberFormat="1" applyFont="1" applyFill="1" applyBorder="1" applyAlignment="1">
      <alignment horizontal="center" vertical="center" wrapText="1"/>
    </xf>
    <xf numFmtId="169" fontId="7" fillId="11" borderId="22" xfId="11" applyNumberFormat="1" applyFont="1" applyFill="1" applyBorder="1" applyAlignment="1">
      <alignment horizontal="center" vertical="center" wrapText="1"/>
    </xf>
    <xf numFmtId="169" fontId="7" fillId="11" borderId="8" xfId="11" applyNumberFormat="1" applyFont="1" applyFill="1" applyBorder="1" applyAlignment="1">
      <alignment horizontal="center" vertical="center" wrapText="1"/>
    </xf>
    <xf numFmtId="169" fontId="7" fillId="11" borderId="10" xfId="11" applyNumberFormat="1" applyFont="1" applyFill="1" applyBorder="1" applyAlignment="1">
      <alignment horizontal="center" vertical="center" wrapText="1"/>
    </xf>
    <xf numFmtId="169" fontId="7" fillId="0" borderId="5" xfId="11" applyNumberFormat="1" applyFont="1" applyFill="1" applyBorder="1" applyAlignment="1">
      <alignment horizontal="center" vertical="center" wrapText="1"/>
    </xf>
    <xf numFmtId="169" fontId="7" fillId="9" borderId="5" xfId="11" applyNumberFormat="1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/>
    </xf>
    <xf numFmtId="169" fontId="7" fillId="10" borderId="1" xfId="11" applyNumberFormat="1" applyFont="1" applyFill="1" applyBorder="1" applyAlignment="1">
      <alignment horizontal="center" vertical="center" wrapText="1"/>
    </xf>
    <xf numFmtId="169" fontId="7" fillId="10" borderId="7" xfId="11" applyNumberFormat="1" applyFont="1" applyFill="1" applyBorder="1" applyAlignment="1">
      <alignment horizontal="center" vertical="center" wrapText="1"/>
    </xf>
    <xf numFmtId="169" fontId="7" fillId="10" borderId="6" xfId="11" applyNumberFormat="1" applyFont="1" applyFill="1" applyBorder="1" applyAlignment="1">
      <alignment horizontal="center" vertical="center" wrapText="1"/>
    </xf>
    <xf numFmtId="169" fontId="9" fillId="9" borderId="5" xfId="11" applyNumberFormat="1" applyFont="1" applyFill="1" applyBorder="1" applyAlignment="1">
      <alignment horizontal="center"/>
    </xf>
    <xf numFmtId="169" fontId="7" fillId="11" borderId="5" xfId="11" applyNumberFormat="1" applyFont="1" applyFill="1" applyBorder="1" applyAlignment="1">
      <alignment horizontal="center" vertical="center" wrapText="1"/>
    </xf>
    <xf numFmtId="169" fontId="7" fillId="11" borderId="1" xfId="11" applyNumberFormat="1" applyFont="1" applyFill="1" applyBorder="1" applyAlignment="1">
      <alignment horizontal="center" vertical="center" wrapText="1"/>
    </xf>
    <xf numFmtId="169" fontId="7" fillId="35" borderId="1" xfId="44" applyNumberFormat="1" applyFont="1" applyFill="1" applyBorder="1" applyAlignment="1">
      <alignment horizontal="center" vertical="center" wrapText="1"/>
    </xf>
    <xf numFmtId="169" fontId="7" fillId="35" borderId="7" xfId="44" applyNumberFormat="1" applyFont="1" applyFill="1" applyBorder="1" applyAlignment="1">
      <alignment horizontal="center" vertical="center" wrapText="1"/>
    </xf>
    <xf numFmtId="169" fontId="7" fillId="35" borderId="6" xfId="44" applyNumberFormat="1" applyFont="1" applyFill="1" applyBorder="1" applyAlignment="1">
      <alignment horizontal="center" vertical="center" wrapText="1"/>
    </xf>
    <xf numFmtId="169" fontId="7" fillId="12" borderId="1" xfId="44" applyNumberFormat="1" applyFont="1" applyFill="1" applyBorder="1" applyAlignment="1">
      <alignment horizontal="center" vertical="center" wrapText="1"/>
    </xf>
    <xf numFmtId="169" fontId="7" fillId="12" borderId="7" xfId="44" applyNumberFormat="1" applyFont="1" applyFill="1" applyBorder="1" applyAlignment="1">
      <alignment horizontal="center" vertical="center" wrapText="1"/>
    </xf>
    <xf numFmtId="169" fontId="7" fillId="12" borderId="6" xfId="44" applyNumberFormat="1" applyFont="1" applyFill="1" applyBorder="1" applyAlignment="1">
      <alignment horizontal="center" vertical="center" wrapText="1"/>
    </xf>
    <xf numFmtId="169" fontId="7" fillId="0" borderId="2" xfId="11" applyNumberFormat="1" applyFont="1" applyFill="1" applyBorder="1" applyAlignment="1">
      <alignment horizontal="center" vertical="center" wrapText="1"/>
    </xf>
    <xf numFmtId="169" fontId="7" fillId="0" borderId="3" xfId="11" applyNumberFormat="1" applyFont="1" applyFill="1" applyBorder="1" applyAlignment="1">
      <alignment horizontal="center" vertical="center" wrapText="1"/>
    </xf>
    <xf numFmtId="169" fontId="7" fillId="0" borderId="4" xfId="11" applyNumberFormat="1" applyFont="1" applyFill="1" applyBorder="1" applyAlignment="1">
      <alignment horizontal="center" vertical="center" wrapText="1"/>
    </xf>
    <xf numFmtId="169" fontId="7" fillId="35" borderId="20" xfId="44" applyNumberFormat="1" applyFont="1" applyFill="1" applyBorder="1" applyAlignment="1">
      <alignment horizontal="center" vertical="center" wrapText="1"/>
    </xf>
    <xf numFmtId="169" fontId="7" fillId="35" borderId="22" xfId="44" applyNumberFormat="1" applyFont="1" applyFill="1" applyBorder="1" applyAlignment="1">
      <alignment horizontal="center" vertical="center" wrapText="1"/>
    </xf>
    <xf numFmtId="169" fontId="7" fillId="12" borderId="2" xfId="44" applyNumberFormat="1" applyFont="1" applyFill="1" applyBorder="1" applyAlignment="1">
      <alignment horizontal="center" vertical="center" wrapText="1"/>
    </xf>
    <xf numFmtId="169" fontId="7" fillId="12" borderId="4" xfId="44" applyNumberFormat="1" applyFont="1" applyFill="1" applyBorder="1" applyAlignment="1">
      <alignment horizontal="center" vertical="center" wrapText="1"/>
    </xf>
    <xf numFmtId="169" fontId="7" fillId="12" borderId="1" xfId="11" applyNumberFormat="1" applyFont="1" applyFill="1" applyBorder="1" applyAlignment="1">
      <alignment horizontal="center" vertical="center" wrapText="1"/>
    </xf>
    <xf numFmtId="169" fontId="7" fillId="12" borderId="7" xfId="11" applyNumberFormat="1" applyFont="1" applyFill="1" applyBorder="1" applyAlignment="1">
      <alignment horizontal="center" vertical="center" wrapText="1"/>
    </xf>
    <xf numFmtId="169" fontId="7" fillId="12" borderId="6" xfId="11" applyNumberFormat="1" applyFont="1" applyFill="1" applyBorder="1" applyAlignment="1">
      <alignment horizontal="center" vertical="center" wrapText="1"/>
    </xf>
    <xf numFmtId="169" fontId="7" fillId="0" borderId="2" xfId="11" applyNumberFormat="1" applyFont="1" applyFill="1" applyBorder="1" applyAlignment="1">
      <alignment horizontal="right"/>
    </xf>
    <xf numFmtId="169" fontId="7" fillId="0" borderId="4" xfId="11" applyNumberFormat="1" applyFont="1" applyFill="1" applyBorder="1" applyAlignment="1">
      <alignment horizontal="right"/>
    </xf>
    <xf numFmtId="169" fontId="7" fillId="35" borderId="1" xfId="11" applyNumberFormat="1" applyFont="1" applyFill="1" applyBorder="1" applyAlignment="1">
      <alignment horizontal="center" vertical="center" wrapText="1"/>
    </xf>
    <xf numFmtId="169" fontId="7" fillId="35" borderId="7" xfId="11" applyNumberFormat="1" applyFont="1" applyFill="1" applyBorder="1" applyAlignment="1">
      <alignment horizontal="center" vertical="center" wrapText="1"/>
    </xf>
    <xf numFmtId="169" fontId="7" fillId="35" borderId="6" xfId="11" applyNumberFormat="1" applyFont="1" applyFill="1" applyBorder="1" applyAlignment="1">
      <alignment horizontal="center" vertical="center" wrapText="1"/>
    </xf>
    <xf numFmtId="0" fontId="7" fillId="0" borderId="5" xfId="133" applyFont="1" applyBorder="1" applyAlignment="1">
      <alignment horizontal="center" vertical="center" wrapText="1"/>
    </xf>
    <xf numFmtId="0" fontId="7" fillId="0" borderId="1" xfId="133" applyFont="1" applyBorder="1" applyAlignment="1">
      <alignment horizontal="center" vertical="center" wrapText="1"/>
    </xf>
    <xf numFmtId="169" fontId="7" fillId="35" borderId="20" xfId="11" applyNumberFormat="1" applyFont="1" applyFill="1" applyBorder="1" applyAlignment="1">
      <alignment horizontal="center" vertical="center" wrapText="1"/>
    </xf>
    <xf numFmtId="169" fontId="7" fillId="35" borderId="22" xfId="11" applyNumberFormat="1" applyFont="1" applyFill="1" applyBorder="1" applyAlignment="1">
      <alignment horizontal="center" vertical="center" wrapText="1"/>
    </xf>
    <xf numFmtId="169" fontId="7" fillId="12" borderId="2" xfId="11" applyNumberFormat="1" applyFont="1" applyFill="1" applyBorder="1" applyAlignment="1">
      <alignment horizontal="center" vertical="center" wrapText="1"/>
    </xf>
    <xf numFmtId="169" fontId="7" fillId="12" borderId="4" xfId="11" applyNumberFormat="1" applyFont="1" applyFill="1" applyBorder="1" applyAlignment="1">
      <alignment horizontal="center" vertical="center" wrapText="1"/>
    </xf>
    <xf numFmtId="0" fontId="7" fillId="0" borderId="7" xfId="133" applyFont="1" applyBorder="1" applyAlignment="1">
      <alignment horizontal="center" vertical="center" wrapText="1"/>
    </xf>
    <xf numFmtId="0" fontId="8" fillId="10" borderId="5" xfId="133" applyFont="1" applyFill="1" applyBorder="1" applyAlignment="1">
      <alignment horizontal="center"/>
    </xf>
    <xf numFmtId="0" fontId="7" fillId="0" borderId="6" xfId="133" applyFont="1" applyBorder="1" applyAlignment="1">
      <alignment horizontal="center" vertical="center" wrapText="1"/>
    </xf>
    <xf numFmtId="168" fontId="7" fillId="0" borderId="20" xfId="133" applyNumberFormat="1" applyFont="1" applyBorder="1" applyAlignment="1">
      <alignment horizontal="center" vertical="center"/>
    </xf>
    <xf numFmtId="168" fontId="7" fillId="0" borderId="21" xfId="133" applyNumberFormat="1" applyFont="1" applyBorder="1" applyAlignment="1">
      <alignment horizontal="center" vertical="center"/>
    </xf>
    <xf numFmtId="0" fontId="7" fillId="0" borderId="22" xfId="133" applyFont="1" applyBorder="1" applyAlignment="1">
      <alignment horizontal="center" vertical="center"/>
    </xf>
    <xf numFmtId="168" fontId="7" fillId="0" borderId="8" xfId="133" applyNumberFormat="1" applyFont="1" applyBorder="1" applyAlignment="1">
      <alignment horizontal="center" vertical="center"/>
    </xf>
    <xf numFmtId="168" fontId="7" fillId="0" borderId="9" xfId="133" applyNumberFormat="1" applyFont="1" applyBorder="1" applyAlignment="1">
      <alignment horizontal="center" vertical="center"/>
    </xf>
    <xf numFmtId="0" fontId="7" fillId="0" borderId="10" xfId="133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165" fontId="6" fillId="0" borderId="5" xfId="0" applyNumberFormat="1" applyFont="1" applyBorder="1"/>
  </cellXfs>
  <cellStyles count="137">
    <cellStyle name="20% - Accent1 2" xfId="17"/>
    <cellStyle name="20% - Accent2 2" xfId="18"/>
    <cellStyle name="20% - Accent3 2" xfId="19"/>
    <cellStyle name="20% - Accent4 2" xfId="20"/>
    <cellStyle name="20% - Accent5 2" xfId="21"/>
    <cellStyle name="20% - Accent6 2" xfId="22"/>
    <cellStyle name="40% - Accent1 2" xfId="23"/>
    <cellStyle name="40% - Accent2 2" xfId="24"/>
    <cellStyle name="40% - Accent3 2" xfId="25"/>
    <cellStyle name="40% - Accent4 2" xfId="26"/>
    <cellStyle name="40% - Accent5 2" xfId="27"/>
    <cellStyle name="40% - Accent6 2" xfId="28"/>
    <cellStyle name="60% - Accent1 2" xfId="29"/>
    <cellStyle name="60% - Accent2 2" xfId="30"/>
    <cellStyle name="60% - Accent3 2" xfId="31"/>
    <cellStyle name="60% - Accent4 2" xfId="32"/>
    <cellStyle name="60% - Accent5 2" xfId="33"/>
    <cellStyle name="60% - Accent6 2" xfId="34"/>
    <cellStyle name="Accent1 2" xfId="35"/>
    <cellStyle name="Accent2 2" xfId="36"/>
    <cellStyle name="Accent3 2" xfId="37"/>
    <cellStyle name="Accent4 2" xfId="38"/>
    <cellStyle name="Accent5 2" xfId="39"/>
    <cellStyle name="Accent6 2" xfId="40"/>
    <cellStyle name="Bad 2" xfId="41"/>
    <cellStyle name="Calculation 2" xfId="42"/>
    <cellStyle name="Check Cell 2" xfId="43"/>
    <cellStyle name="Comma" xfId="1" builtinId="3"/>
    <cellStyle name="Comma [0] 2" xfId="11"/>
    <cellStyle name="Comma [0] 2 2" xfId="44"/>
    <cellStyle name="Comma [0] 2 2 2" xfId="45"/>
    <cellStyle name="Comma [0] 2 2 2 2" xfId="94"/>
    <cellStyle name="Comma [0] 2 2 3" xfId="95"/>
    <cellStyle name="Comma [0] 2 3" xfId="46"/>
    <cellStyle name="Comma [0] 2 3 2" xfId="96"/>
    <cellStyle name="Comma [0] 2 4" xfId="97"/>
    <cellStyle name="Comma [0] 3" xfId="47"/>
    <cellStyle name="Comma 10" xfId="98"/>
    <cellStyle name="Comma 11" xfId="99"/>
    <cellStyle name="Comma 12" xfId="100"/>
    <cellStyle name="Comma 2" xfId="15"/>
    <cellStyle name="Comma 2 2" xfId="48"/>
    <cellStyle name="Comma 2 2 2" xfId="49"/>
    <cellStyle name="Comma 2 2 2 2" xfId="101"/>
    <cellStyle name="Comma 2 2 3" xfId="102"/>
    <cellStyle name="Comma 2 3" xfId="50"/>
    <cellStyle name="Comma 2 3 2" xfId="103"/>
    <cellStyle name="Comma 2 4" xfId="104"/>
    <cellStyle name="Comma 2 4 5 2" xfId="136"/>
    <cellStyle name="Comma 3" xfId="51"/>
    <cellStyle name="Comma 4" xfId="52"/>
    <cellStyle name="Comma 5" xfId="53"/>
    <cellStyle name="Comma 5 2" xfId="54"/>
    <cellStyle name="Comma 5 2 2" xfId="105"/>
    <cellStyle name="Comma 5 3" xfId="106"/>
    <cellStyle name="Comma 6" xfId="55"/>
    <cellStyle name="Comma 7" xfId="56"/>
    <cellStyle name="Comma 7 2" xfId="107"/>
    <cellStyle name="Comma 8" xfId="57"/>
    <cellStyle name="Comma 8 2" xfId="108"/>
    <cellStyle name="Comma 9" xfId="58"/>
    <cellStyle name="Comma 9 2" xfId="109"/>
    <cellStyle name="Comma_April_2" xfId="8"/>
    <cellStyle name="Comma_Juni" xfId="4"/>
    <cellStyle name="Explanatory Text 2" xfId="59"/>
    <cellStyle name="Good 2" xfId="60"/>
    <cellStyle name="Heading 1 2" xfId="61"/>
    <cellStyle name="Heading 2 2" xfId="62"/>
    <cellStyle name="Heading 3 2" xfId="63"/>
    <cellStyle name="Heading 4 2" xfId="64"/>
    <cellStyle name="Input 2" xfId="65"/>
    <cellStyle name="Linked Cell 2" xfId="66"/>
    <cellStyle name="Neutral 2" xfId="67"/>
    <cellStyle name="Normal" xfId="0" builtinId="0"/>
    <cellStyle name="Normal 10" xfId="68"/>
    <cellStyle name="Normal 10 2" xfId="110"/>
    <cellStyle name="Normal 11" xfId="111"/>
    <cellStyle name="Normal 12" xfId="112"/>
    <cellStyle name="Normal 13" xfId="130"/>
    <cellStyle name="Normal 14" xfId="133"/>
    <cellStyle name="Normal 2" xfId="10"/>
    <cellStyle name="Normal 2 2" xfId="69"/>
    <cellStyle name="Normal 2 2 2" xfId="70"/>
    <cellStyle name="Normal 2 2 2 2" xfId="113"/>
    <cellStyle name="Normal 2 2 3" xfId="114"/>
    <cellStyle name="Normal 2 3" xfId="71"/>
    <cellStyle name="Normal 2 4" xfId="131"/>
    <cellStyle name="Normal 3" xfId="13"/>
    <cellStyle name="Normal 3 2" xfId="72"/>
    <cellStyle name="Normal 3 3" xfId="132"/>
    <cellStyle name="Normal 4" xfId="14"/>
    <cellStyle name="Normal 5" xfId="16"/>
    <cellStyle name="Normal 5 2" xfId="73"/>
    <cellStyle name="Normal 5 2 2" xfId="74"/>
    <cellStyle name="Normal 5 2 2 2" xfId="115"/>
    <cellStyle name="Normal 5 2 3" xfId="116"/>
    <cellStyle name="Normal 5 3" xfId="75"/>
    <cellStyle name="Normal 5 3 2" xfId="117"/>
    <cellStyle name="Normal 5 4" xfId="118"/>
    <cellStyle name="Normal 6" xfId="76"/>
    <cellStyle name="Normal 7" xfId="77"/>
    <cellStyle name="Normal 7 2" xfId="78"/>
    <cellStyle name="Normal 8" xfId="79"/>
    <cellStyle name="Normal 8 2" xfId="80"/>
    <cellStyle name="Normal 8 2 2" xfId="119"/>
    <cellStyle name="Normal 8 3" xfId="120"/>
    <cellStyle name="Normal 9" xfId="81"/>
    <cellStyle name="Normal 9 2" xfId="121"/>
    <cellStyle name="Normal_April_3" xfId="7"/>
    <cellStyle name="Normal_Juli_37" xfId="135"/>
    <cellStyle name="Normal_Juni" xfId="3"/>
    <cellStyle name="Normal_Juni_4" xfId="5"/>
    <cellStyle name="Normal_Mar_18" xfId="6"/>
    <cellStyle name="Normal_Mar_6" xfId="9"/>
    <cellStyle name="Note 2" xfId="82"/>
    <cellStyle name="Output 2" xfId="83"/>
    <cellStyle name="Percent" xfId="2" builtinId="5"/>
    <cellStyle name="Percent 2" xfId="12"/>
    <cellStyle name="Percent 2 2" xfId="84"/>
    <cellStyle name="Percent 2 2 2" xfId="85"/>
    <cellStyle name="Percent 2 2 2 2" xfId="122"/>
    <cellStyle name="Percent 2 2 3" xfId="123"/>
    <cellStyle name="Percent 2 3" xfId="86"/>
    <cellStyle name="Percent 2 3 2" xfId="124"/>
    <cellStyle name="Percent 2 4" xfId="125"/>
    <cellStyle name="Percent 3" xfId="87"/>
    <cellStyle name="Percent 4" xfId="88"/>
    <cellStyle name="Percent 4 2" xfId="89"/>
    <cellStyle name="Percent 4 2 2" xfId="126"/>
    <cellStyle name="Percent 4 3" xfId="127"/>
    <cellStyle name="Percent 5" xfId="90"/>
    <cellStyle name="Percent 5 2" xfId="128"/>
    <cellStyle name="Percent 6" xfId="129"/>
    <cellStyle name="Percent_Okt_6" xfId="134"/>
    <cellStyle name="Title 2" xfId="91"/>
    <cellStyle name="Total 2" xfId="92"/>
    <cellStyle name="Warning Text 2" xfId="93"/>
  </cellStyles>
  <dxfs count="34713"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1%20NOVEMBER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2%20NOVEMBER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4%20NOVEMBER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5%20NOVEMBER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6%20NOVEMBER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7%20NOVEM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 refreshError="1"/>
      <sheetData sheetId="1">
        <row r="9">
          <cell r="A9">
            <v>45962</v>
          </cell>
        </row>
      </sheetData>
      <sheetData sheetId="2" refreshError="1"/>
      <sheetData sheetId="3" refreshError="1"/>
      <sheetData sheetId="4">
        <row r="4">
          <cell r="H4">
            <v>267</v>
          </cell>
        </row>
        <row r="6">
          <cell r="H6">
            <v>268.91304347826087</v>
          </cell>
        </row>
        <row r="8">
          <cell r="H8">
            <v>271</v>
          </cell>
        </row>
        <row r="11">
          <cell r="H11">
            <v>261.99404761904759</v>
          </cell>
        </row>
        <row r="16">
          <cell r="H16">
            <v>261</v>
          </cell>
        </row>
        <row r="17">
          <cell r="H17">
            <v>232.14285714285714</v>
          </cell>
        </row>
        <row r="19">
          <cell r="H19">
            <v>263.23809523809524</v>
          </cell>
        </row>
        <row r="21">
          <cell r="H21">
            <v>272</v>
          </cell>
        </row>
        <row r="22">
          <cell r="H22">
            <v>267</v>
          </cell>
        </row>
        <row r="25">
          <cell r="H25">
            <v>267</v>
          </cell>
        </row>
        <row r="26">
          <cell r="H26">
            <v>270</v>
          </cell>
        </row>
        <row r="30">
          <cell r="H30">
            <v>267.9220779220779</v>
          </cell>
        </row>
        <row r="33">
          <cell r="H33">
            <v>272</v>
          </cell>
        </row>
        <row r="35">
          <cell r="H35">
            <v>272</v>
          </cell>
        </row>
        <row r="36">
          <cell r="H36">
            <v>266</v>
          </cell>
        </row>
        <row r="39">
          <cell r="H39">
            <v>266</v>
          </cell>
        </row>
        <row r="42">
          <cell r="H42">
            <v>266</v>
          </cell>
        </row>
        <row r="43">
          <cell r="H43">
            <v>268</v>
          </cell>
        </row>
        <row r="45">
          <cell r="H45">
            <v>268</v>
          </cell>
        </row>
        <row r="46">
          <cell r="H46">
            <v>260</v>
          </cell>
        </row>
        <row r="48">
          <cell r="H48">
            <v>260</v>
          </cell>
        </row>
        <row r="50">
          <cell r="H50">
            <v>266.39534883720933</v>
          </cell>
        </row>
        <row r="52">
          <cell r="H52">
            <v>260</v>
          </cell>
        </row>
        <row r="53">
          <cell r="H53">
            <v>260</v>
          </cell>
        </row>
        <row r="55">
          <cell r="H55">
            <v>262.74193548387098</v>
          </cell>
        </row>
        <row r="60">
          <cell r="H60">
            <v>272</v>
          </cell>
        </row>
        <row r="61">
          <cell r="H61">
            <v>272.09090909090907</v>
          </cell>
        </row>
        <row r="64">
          <cell r="H64">
            <v>270.73076923076923</v>
          </cell>
        </row>
        <row r="66">
          <cell r="H66">
            <v>265.04615384615386</v>
          </cell>
        </row>
        <row r="69">
          <cell r="H69">
            <v>260</v>
          </cell>
        </row>
        <row r="70">
          <cell r="H70">
            <v>262.5</v>
          </cell>
        </row>
        <row r="72">
          <cell r="H72">
            <v>262.5</v>
          </cell>
        </row>
        <row r="73">
          <cell r="H73">
            <v>272</v>
          </cell>
        </row>
        <row r="75">
          <cell r="H75">
            <v>272</v>
          </cell>
        </row>
        <row r="76">
          <cell r="H76">
            <v>264.41304347826087</v>
          </cell>
        </row>
        <row r="79">
          <cell r="H79">
            <v>268.5</v>
          </cell>
        </row>
        <row r="80">
          <cell r="H80">
            <v>272</v>
          </cell>
        </row>
        <row r="82">
          <cell r="H82">
            <v>272</v>
          </cell>
        </row>
        <row r="84">
          <cell r="H84">
            <v>272</v>
          </cell>
        </row>
        <row r="86">
          <cell r="H86">
            <v>272</v>
          </cell>
        </row>
        <row r="88">
          <cell r="H88">
            <v>272</v>
          </cell>
        </row>
        <row r="90">
          <cell r="H90">
            <v>272</v>
          </cell>
        </row>
        <row r="92">
          <cell r="H92">
            <v>271.60000000000002</v>
          </cell>
        </row>
        <row r="94">
          <cell r="H94">
            <v>266</v>
          </cell>
        </row>
        <row r="96">
          <cell r="H96">
            <v>266</v>
          </cell>
        </row>
        <row r="99">
          <cell r="H99">
            <v>266</v>
          </cell>
        </row>
        <row r="101">
          <cell r="H101">
            <v>267.82456140350877</v>
          </cell>
        </row>
        <row r="104">
          <cell r="H104">
            <v>262.5</v>
          </cell>
        </row>
        <row r="106">
          <cell r="H106">
            <v>262.5</v>
          </cell>
        </row>
        <row r="110">
          <cell r="H110">
            <v>268</v>
          </cell>
        </row>
        <row r="111">
          <cell r="H111">
            <v>270</v>
          </cell>
        </row>
      </sheetData>
      <sheetData sheetId="5">
        <row r="153">
          <cell r="K153">
            <v>1870.6123418817328</v>
          </cell>
        </row>
      </sheetData>
      <sheetData sheetId="6" refreshError="1"/>
      <sheetData sheetId="7" refreshError="1"/>
      <sheetData sheetId="8" refreshError="1"/>
      <sheetData sheetId="9">
        <row r="3">
          <cell r="AG3">
            <v>0</v>
          </cell>
        </row>
        <row r="4">
          <cell r="AG4">
            <v>2.68</v>
          </cell>
        </row>
      </sheetData>
      <sheetData sheetId="10" refreshError="1"/>
      <sheetData sheetId="11" refreshError="1"/>
      <sheetData sheetId="12">
        <row r="14">
          <cell r="K14">
            <v>36738</v>
          </cell>
        </row>
        <row r="15">
          <cell r="K15">
            <v>21351</v>
          </cell>
        </row>
      </sheetData>
      <sheetData sheetId="13">
        <row r="34">
          <cell r="K34">
            <v>55331</v>
          </cell>
        </row>
      </sheetData>
      <sheetData sheetId="14">
        <row r="34">
          <cell r="D34">
            <v>264</v>
          </cell>
          <cell r="K34">
            <v>51810</v>
          </cell>
        </row>
      </sheetData>
      <sheetData sheetId="15">
        <row r="7">
          <cell r="D7">
            <v>760</v>
          </cell>
        </row>
        <row r="13">
          <cell r="K13">
            <v>45076</v>
          </cell>
        </row>
        <row r="14">
          <cell r="K14">
            <v>15451</v>
          </cell>
        </row>
      </sheetData>
      <sheetData sheetId="16">
        <row r="34">
          <cell r="K34">
            <v>51796</v>
          </cell>
        </row>
      </sheetData>
      <sheetData sheetId="17">
        <row r="34">
          <cell r="K34">
            <v>53747</v>
          </cell>
        </row>
      </sheetData>
      <sheetData sheetId="18">
        <row r="13">
          <cell r="K13">
            <v>13102</v>
          </cell>
        </row>
        <row r="15">
          <cell r="K15">
            <v>42862</v>
          </cell>
        </row>
      </sheetData>
      <sheetData sheetId="19">
        <row r="34">
          <cell r="K34">
            <v>51460</v>
          </cell>
        </row>
      </sheetData>
      <sheetData sheetId="20">
        <row r="34">
          <cell r="D34">
            <v>1624</v>
          </cell>
          <cell r="K34">
            <v>54898</v>
          </cell>
        </row>
      </sheetData>
      <sheetData sheetId="21">
        <row r="34">
          <cell r="D34">
            <v>823</v>
          </cell>
          <cell r="K34">
            <v>56138</v>
          </cell>
        </row>
      </sheetData>
      <sheetData sheetId="22">
        <row r="34">
          <cell r="D34">
            <v>2325</v>
          </cell>
          <cell r="K34">
            <v>57715</v>
          </cell>
        </row>
      </sheetData>
      <sheetData sheetId="23">
        <row r="34">
          <cell r="D34">
            <v>263</v>
          </cell>
          <cell r="K34">
            <v>62713</v>
          </cell>
        </row>
      </sheetData>
      <sheetData sheetId="24">
        <row r="14">
          <cell r="K14">
            <v>13865</v>
          </cell>
        </row>
        <row r="15">
          <cell r="K15">
            <v>31571</v>
          </cell>
        </row>
        <row r="16">
          <cell r="D16">
            <v>280</v>
          </cell>
        </row>
      </sheetData>
      <sheetData sheetId="25">
        <row r="7">
          <cell r="D7">
            <v>800</v>
          </cell>
        </row>
        <row r="14">
          <cell r="K14">
            <v>23595</v>
          </cell>
        </row>
        <row r="15">
          <cell r="K15">
            <v>21671</v>
          </cell>
        </row>
        <row r="17">
          <cell r="D17">
            <v>255</v>
          </cell>
        </row>
        <row r="25">
          <cell r="D25">
            <v>250</v>
          </cell>
        </row>
      </sheetData>
      <sheetData sheetId="26">
        <row r="7">
          <cell r="D7">
            <v>270</v>
          </cell>
        </row>
        <row r="14">
          <cell r="K14">
            <v>10789</v>
          </cell>
        </row>
        <row r="15">
          <cell r="K15">
            <v>44887</v>
          </cell>
        </row>
      </sheetData>
      <sheetData sheetId="27">
        <row r="7">
          <cell r="D7">
            <v>290</v>
          </cell>
        </row>
        <row r="14">
          <cell r="K14">
            <v>18482</v>
          </cell>
        </row>
        <row r="16">
          <cell r="K16">
            <v>28220</v>
          </cell>
        </row>
        <row r="17">
          <cell r="D17">
            <v>254</v>
          </cell>
        </row>
      </sheetData>
      <sheetData sheetId="28">
        <row r="15">
          <cell r="K15">
            <v>13165</v>
          </cell>
        </row>
        <row r="16">
          <cell r="K16">
            <v>34593</v>
          </cell>
        </row>
      </sheetData>
      <sheetData sheetId="29">
        <row r="7">
          <cell r="D7">
            <v>224</v>
          </cell>
        </row>
        <row r="15">
          <cell r="K15">
            <v>16794</v>
          </cell>
        </row>
        <row r="16">
          <cell r="D16">
            <v>60</v>
          </cell>
          <cell r="K16">
            <v>3234</v>
          </cell>
        </row>
        <row r="17">
          <cell r="K17">
            <v>391</v>
          </cell>
        </row>
        <row r="18">
          <cell r="D18">
            <v>641</v>
          </cell>
          <cell r="K18">
            <v>837</v>
          </cell>
        </row>
        <row r="19">
          <cell r="K19">
            <v>22653</v>
          </cell>
        </row>
      </sheetData>
      <sheetData sheetId="30">
        <row r="7">
          <cell r="D7">
            <v>250</v>
          </cell>
        </row>
        <row r="16">
          <cell r="D16">
            <v>200</v>
          </cell>
        </row>
        <row r="17">
          <cell r="D17">
            <v>1050</v>
          </cell>
          <cell r="K17">
            <v>27731</v>
          </cell>
        </row>
        <row r="18">
          <cell r="K18">
            <v>15617</v>
          </cell>
        </row>
        <row r="19">
          <cell r="K19">
            <v>5287</v>
          </cell>
        </row>
        <row r="25">
          <cell r="D25">
            <v>55</v>
          </cell>
        </row>
        <row r="26">
          <cell r="D26">
            <v>504</v>
          </cell>
        </row>
      </sheetData>
      <sheetData sheetId="31">
        <row r="34">
          <cell r="D34">
            <v>464</v>
          </cell>
          <cell r="K34">
            <v>51335</v>
          </cell>
        </row>
      </sheetData>
      <sheetData sheetId="32">
        <row r="7">
          <cell r="D7">
            <v>880</v>
          </cell>
        </row>
        <row r="8">
          <cell r="D8">
            <v>110</v>
          </cell>
        </row>
        <row r="16">
          <cell r="D16">
            <v>125</v>
          </cell>
          <cell r="K16">
            <v>10034</v>
          </cell>
        </row>
        <row r="17">
          <cell r="K17">
            <v>33351</v>
          </cell>
        </row>
        <row r="25">
          <cell r="D25">
            <v>124</v>
          </cell>
        </row>
      </sheetData>
      <sheetData sheetId="33">
        <row r="13">
          <cell r="K13">
            <v>37961</v>
          </cell>
        </row>
        <row r="16">
          <cell r="K16">
            <v>15151</v>
          </cell>
        </row>
        <row r="34">
          <cell r="D34">
            <v>408</v>
          </cell>
        </row>
      </sheetData>
      <sheetData sheetId="34">
        <row r="34">
          <cell r="K34">
            <v>47743</v>
          </cell>
        </row>
      </sheetData>
      <sheetData sheetId="35">
        <row r="13">
          <cell r="K13">
            <v>11616</v>
          </cell>
        </row>
        <row r="14">
          <cell r="K14">
            <v>4445</v>
          </cell>
        </row>
        <row r="15">
          <cell r="K15">
            <v>32631</v>
          </cell>
        </row>
      </sheetData>
      <sheetData sheetId="36">
        <row r="8">
          <cell r="D8">
            <v>350</v>
          </cell>
        </row>
        <row r="13">
          <cell r="K13">
            <v>1301</v>
          </cell>
        </row>
        <row r="14">
          <cell r="K14">
            <v>43052</v>
          </cell>
        </row>
        <row r="15">
          <cell r="K15">
            <v>0</v>
          </cell>
        </row>
      </sheetData>
      <sheetData sheetId="37">
        <row r="7">
          <cell r="K7">
            <v>29161</v>
          </cell>
        </row>
        <row r="8">
          <cell r="D8">
            <v>489</v>
          </cell>
        </row>
        <row r="11">
          <cell r="K11">
            <v>8698</v>
          </cell>
        </row>
        <row r="13">
          <cell r="K13">
            <v>17317</v>
          </cell>
        </row>
        <row r="16">
          <cell r="D16">
            <v>444</v>
          </cell>
        </row>
      </sheetData>
      <sheetData sheetId="38">
        <row r="7">
          <cell r="K7">
            <v>658</v>
          </cell>
        </row>
        <row r="8">
          <cell r="K8">
            <v>19001</v>
          </cell>
        </row>
        <row r="9">
          <cell r="K9">
            <v>4193</v>
          </cell>
        </row>
        <row r="10">
          <cell r="K10">
            <v>18114</v>
          </cell>
        </row>
        <row r="11">
          <cell r="K11">
            <v>16696</v>
          </cell>
        </row>
        <row r="12">
          <cell r="K12">
            <v>987</v>
          </cell>
        </row>
        <row r="17">
          <cell r="D17">
            <v>724</v>
          </cell>
        </row>
        <row r="18">
          <cell r="D18">
            <v>998</v>
          </cell>
        </row>
        <row r="19">
          <cell r="D19">
            <v>372</v>
          </cell>
        </row>
        <row r="25">
          <cell r="D25">
            <v>192</v>
          </cell>
        </row>
        <row r="27">
          <cell r="D27">
            <v>273</v>
          </cell>
        </row>
      </sheetData>
      <sheetData sheetId="39">
        <row r="7">
          <cell r="K7">
            <v>2429</v>
          </cell>
        </row>
        <row r="8">
          <cell r="K8">
            <v>63193</v>
          </cell>
        </row>
        <row r="34">
          <cell r="D34">
            <v>848</v>
          </cell>
        </row>
      </sheetData>
      <sheetData sheetId="40">
        <row r="7">
          <cell r="K7">
            <v>51575</v>
          </cell>
        </row>
        <row r="8">
          <cell r="K8">
            <v>11171</v>
          </cell>
        </row>
        <row r="34">
          <cell r="D34">
            <v>967</v>
          </cell>
        </row>
      </sheetData>
      <sheetData sheetId="41">
        <row r="34">
          <cell r="D34">
            <v>862</v>
          </cell>
          <cell r="K34">
            <v>59673</v>
          </cell>
        </row>
      </sheetData>
      <sheetData sheetId="42">
        <row r="34">
          <cell r="M34">
            <v>1595056</v>
          </cell>
        </row>
        <row r="56">
          <cell r="J56">
            <v>20072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9">
          <cell r="A9">
            <v>45962</v>
          </cell>
        </row>
      </sheetData>
      <sheetData sheetId="1" refreshError="1"/>
      <sheetData sheetId="2" refreshError="1"/>
      <sheetData sheetId="3">
        <row r="4">
          <cell r="H4">
            <v>321.21212121212119</v>
          </cell>
        </row>
        <row r="6">
          <cell r="H6">
            <v>326</v>
          </cell>
        </row>
        <row r="8">
          <cell r="H8">
            <v>326</v>
          </cell>
        </row>
        <row r="10">
          <cell r="H10">
            <v>326</v>
          </cell>
        </row>
        <row r="12">
          <cell r="H12">
            <v>326</v>
          </cell>
        </row>
        <row r="14">
          <cell r="H14">
            <v>326</v>
          </cell>
        </row>
        <row r="16">
          <cell r="H16">
            <v>326</v>
          </cell>
        </row>
        <row r="18">
          <cell r="H18">
            <v>325.58333333333331</v>
          </cell>
        </row>
        <row r="21">
          <cell r="H21">
            <v>324.86956521739131</v>
          </cell>
        </row>
        <row r="23">
          <cell r="H23">
            <v>324.66666666666669</v>
          </cell>
        </row>
        <row r="26">
          <cell r="H26">
            <v>325</v>
          </cell>
        </row>
        <row r="28">
          <cell r="H28">
            <v>324</v>
          </cell>
        </row>
        <row r="29">
          <cell r="H29">
            <v>319.5</v>
          </cell>
        </row>
        <row r="31">
          <cell r="H31">
            <v>319.5</v>
          </cell>
        </row>
        <row r="33">
          <cell r="H33">
            <v>319.5</v>
          </cell>
        </row>
        <row r="35">
          <cell r="H35">
            <v>319.5</v>
          </cell>
        </row>
        <row r="36">
          <cell r="H36">
            <v>324</v>
          </cell>
        </row>
        <row r="38">
          <cell r="H38">
            <v>325.76923076923077</v>
          </cell>
        </row>
        <row r="40">
          <cell r="H40">
            <v>326</v>
          </cell>
        </row>
        <row r="42">
          <cell r="H42">
            <v>326</v>
          </cell>
        </row>
        <row r="43">
          <cell r="H43">
            <v>324</v>
          </cell>
        </row>
        <row r="45">
          <cell r="H45">
            <v>324</v>
          </cell>
        </row>
        <row r="46">
          <cell r="H46">
            <v>330</v>
          </cell>
        </row>
        <row r="47">
          <cell r="H47">
            <v>329.09090909090907</v>
          </cell>
        </row>
        <row r="51">
          <cell r="H51">
            <v>329.82608695652175</v>
          </cell>
        </row>
        <row r="54">
          <cell r="H54">
            <v>322.98387096774195</v>
          </cell>
        </row>
        <row r="57">
          <cell r="H57">
            <v>315.5</v>
          </cell>
        </row>
        <row r="59">
          <cell r="H59">
            <v>315.5</v>
          </cell>
        </row>
        <row r="61">
          <cell r="H61">
            <v>323.29411764705884</v>
          </cell>
        </row>
        <row r="65">
          <cell r="H65">
            <v>328</v>
          </cell>
        </row>
        <row r="67">
          <cell r="H67">
            <v>328</v>
          </cell>
        </row>
        <row r="69">
          <cell r="H69">
            <v>328</v>
          </cell>
        </row>
        <row r="70">
          <cell r="H70">
            <v>330</v>
          </cell>
        </row>
        <row r="72">
          <cell r="H72">
            <v>330</v>
          </cell>
        </row>
        <row r="74">
          <cell r="H74">
            <v>330</v>
          </cell>
        </row>
        <row r="75">
          <cell r="H75">
            <v>321.75</v>
          </cell>
        </row>
        <row r="79">
          <cell r="H79">
            <v>314</v>
          </cell>
        </row>
        <row r="80">
          <cell r="H80">
            <v>322.38095238095241</v>
          </cell>
        </row>
        <row r="83">
          <cell r="H83">
            <v>326.31818181818181</v>
          </cell>
        </row>
        <row r="87">
          <cell r="H87">
            <v>321.43181818181819</v>
          </cell>
        </row>
        <row r="90">
          <cell r="H90">
            <v>321.62222222222221</v>
          </cell>
        </row>
        <row r="93">
          <cell r="H93">
            <v>317</v>
          </cell>
        </row>
        <row r="94">
          <cell r="H94">
            <v>330</v>
          </cell>
        </row>
        <row r="95">
          <cell r="H95">
            <v>318</v>
          </cell>
        </row>
      </sheetData>
      <sheetData sheetId="4">
        <row r="142">
          <cell r="K142">
            <v>1910.4904951635374</v>
          </cell>
        </row>
      </sheetData>
      <sheetData sheetId="5"/>
      <sheetData sheetId="6" refreshError="1"/>
      <sheetData sheetId="7" refreshError="1"/>
      <sheetData sheetId="8">
        <row r="3">
          <cell r="AG3">
            <v>1.5</v>
          </cell>
        </row>
        <row r="4">
          <cell r="AG4">
            <v>0.2</v>
          </cell>
        </row>
      </sheetData>
      <sheetData sheetId="9" refreshError="1"/>
      <sheetData sheetId="10" refreshError="1"/>
      <sheetData sheetId="11">
        <row r="8">
          <cell r="D8">
            <v>657</v>
          </cell>
        </row>
        <row r="18">
          <cell r="K18">
            <v>7267</v>
          </cell>
        </row>
        <row r="20">
          <cell r="K20">
            <v>58480</v>
          </cell>
        </row>
      </sheetData>
      <sheetData sheetId="12">
        <row r="7">
          <cell r="D7">
            <v>500</v>
          </cell>
        </row>
        <row r="34">
          <cell r="K34">
            <v>65992</v>
          </cell>
        </row>
      </sheetData>
      <sheetData sheetId="13">
        <row r="34">
          <cell r="D34">
            <v>4140</v>
          </cell>
          <cell r="K34">
            <v>63692</v>
          </cell>
        </row>
      </sheetData>
      <sheetData sheetId="14">
        <row r="34">
          <cell r="D34">
            <v>3320</v>
          </cell>
          <cell r="K34">
            <v>59889</v>
          </cell>
        </row>
      </sheetData>
      <sheetData sheetId="15">
        <row r="18">
          <cell r="K18">
            <v>6030</v>
          </cell>
        </row>
        <row r="19">
          <cell r="K19">
            <v>61595</v>
          </cell>
        </row>
        <row r="34">
          <cell r="D34">
            <v>1131</v>
          </cell>
        </row>
      </sheetData>
      <sheetData sheetId="16">
        <row r="17">
          <cell r="K17">
            <v>25828</v>
          </cell>
        </row>
        <row r="18">
          <cell r="K18">
            <v>21823</v>
          </cell>
        </row>
        <row r="34">
          <cell r="D34">
            <v>800</v>
          </cell>
        </row>
      </sheetData>
      <sheetData sheetId="17">
        <row r="34">
          <cell r="K34">
            <v>72923</v>
          </cell>
        </row>
      </sheetData>
      <sheetData sheetId="18">
        <row r="7">
          <cell r="D7">
            <v>503</v>
          </cell>
        </row>
        <row r="16">
          <cell r="K16">
            <v>15982</v>
          </cell>
        </row>
        <row r="17">
          <cell r="K17">
            <v>55840</v>
          </cell>
        </row>
      </sheetData>
      <sheetData sheetId="19">
        <row r="34">
          <cell r="K34">
            <v>69785</v>
          </cell>
        </row>
      </sheetData>
      <sheetData sheetId="20">
        <row r="34">
          <cell r="K34">
            <v>70474</v>
          </cell>
        </row>
      </sheetData>
      <sheetData sheetId="21">
        <row r="34">
          <cell r="K34">
            <v>69277</v>
          </cell>
        </row>
      </sheetData>
      <sheetData sheetId="22">
        <row r="34">
          <cell r="K34">
            <v>67876</v>
          </cell>
        </row>
      </sheetData>
      <sheetData sheetId="23">
        <row r="34">
          <cell r="K34">
            <v>66274</v>
          </cell>
        </row>
      </sheetData>
      <sheetData sheetId="24">
        <row r="34">
          <cell r="D34">
            <v>641</v>
          </cell>
          <cell r="K34">
            <v>68511</v>
          </cell>
        </row>
      </sheetData>
      <sheetData sheetId="25">
        <row r="34">
          <cell r="K34">
            <v>69229</v>
          </cell>
        </row>
      </sheetData>
      <sheetData sheetId="26">
        <row r="7">
          <cell r="D7">
            <v>3596</v>
          </cell>
        </row>
        <row r="13">
          <cell r="K13">
            <v>3274</v>
          </cell>
        </row>
        <row r="14">
          <cell r="K14">
            <v>23273</v>
          </cell>
        </row>
        <row r="15">
          <cell r="K15">
            <v>2969</v>
          </cell>
        </row>
        <row r="16">
          <cell r="D16">
            <v>576</v>
          </cell>
          <cell r="K16">
            <v>15468</v>
          </cell>
        </row>
        <row r="17">
          <cell r="D17">
            <v>3195</v>
          </cell>
        </row>
        <row r="25">
          <cell r="D25">
            <v>2220</v>
          </cell>
        </row>
        <row r="26">
          <cell r="D26">
            <v>3693</v>
          </cell>
        </row>
      </sheetData>
      <sheetData sheetId="27">
        <row r="13">
          <cell r="K13">
            <v>58001</v>
          </cell>
        </row>
        <row r="14">
          <cell r="K14">
            <v>0</v>
          </cell>
        </row>
        <row r="34">
          <cell r="D34">
            <v>900</v>
          </cell>
        </row>
      </sheetData>
      <sheetData sheetId="28">
        <row r="12">
          <cell r="K12">
            <v>29300</v>
          </cell>
        </row>
        <row r="13">
          <cell r="K13">
            <v>29682</v>
          </cell>
        </row>
        <row r="34">
          <cell r="D34">
            <v>1198</v>
          </cell>
        </row>
      </sheetData>
      <sheetData sheetId="29">
        <row r="11">
          <cell r="K11">
            <v>39093</v>
          </cell>
        </row>
        <row r="12">
          <cell r="K12">
            <v>13621</v>
          </cell>
        </row>
      </sheetData>
      <sheetData sheetId="30">
        <row r="34">
          <cell r="D34">
            <v>980</v>
          </cell>
          <cell r="K34">
            <v>50889</v>
          </cell>
        </row>
      </sheetData>
      <sheetData sheetId="31">
        <row r="34">
          <cell r="D34">
            <v>400</v>
          </cell>
          <cell r="K34">
            <v>52690</v>
          </cell>
        </row>
      </sheetData>
      <sheetData sheetId="32">
        <row r="9">
          <cell r="K9">
            <v>17846</v>
          </cell>
        </row>
        <row r="10">
          <cell r="K10">
            <v>21681</v>
          </cell>
        </row>
        <row r="11">
          <cell r="K11">
            <v>4009</v>
          </cell>
        </row>
        <row r="34">
          <cell r="D34">
            <v>1630</v>
          </cell>
        </row>
      </sheetData>
      <sheetData sheetId="33">
        <row r="7">
          <cell r="K7">
            <v>20399</v>
          </cell>
        </row>
        <row r="8">
          <cell r="K8">
            <v>22851</v>
          </cell>
        </row>
        <row r="16">
          <cell r="D16">
            <v>700</v>
          </cell>
        </row>
        <row r="17">
          <cell r="D17">
            <v>400</v>
          </cell>
        </row>
        <row r="25">
          <cell r="D25">
            <v>1110</v>
          </cell>
        </row>
      </sheetData>
      <sheetData sheetId="34">
        <row r="34">
          <cell r="D34">
            <v>583</v>
          </cell>
          <cell r="K34">
            <v>47042</v>
          </cell>
        </row>
      </sheetData>
      <sheetData sheetId="35">
        <row r="34">
          <cell r="D34">
            <v>331</v>
          </cell>
          <cell r="K34">
            <v>46864</v>
          </cell>
        </row>
      </sheetData>
      <sheetData sheetId="36">
        <row r="34">
          <cell r="D34">
            <v>2618</v>
          </cell>
          <cell r="K34">
            <v>44610</v>
          </cell>
        </row>
      </sheetData>
      <sheetData sheetId="37">
        <row r="34">
          <cell r="K34">
            <v>47162</v>
          </cell>
        </row>
      </sheetData>
      <sheetData sheetId="38">
        <row r="34">
          <cell r="K34">
            <v>48510</v>
          </cell>
        </row>
      </sheetData>
      <sheetData sheetId="39">
        <row r="34">
          <cell r="D34">
            <v>550</v>
          </cell>
          <cell r="K34">
            <v>48007</v>
          </cell>
        </row>
      </sheetData>
      <sheetData sheetId="40">
        <row r="7">
          <cell r="K7">
            <v>31335</v>
          </cell>
        </row>
        <row r="8">
          <cell r="K8">
            <v>11851</v>
          </cell>
        </row>
        <row r="34">
          <cell r="D34">
            <v>660</v>
          </cell>
        </row>
      </sheetData>
      <sheetData sheetId="41">
        <row r="56">
          <cell r="J56">
            <v>37032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RBP"/>
      <sheetName val="BB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9">
          <cell r="A9">
            <v>45962</v>
          </cell>
        </row>
      </sheetData>
      <sheetData sheetId="1" refreshError="1"/>
      <sheetData sheetId="2" refreshError="1"/>
      <sheetData sheetId="3" refreshError="1">
        <row r="4">
          <cell r="H4">
            <v>266</v>
          </cell>
        </row>
        <row r="6">
          <cell r="H6">
            <v>266</v>
          </cell>
        </row>
        <row r="8">
          <cell r="H8">
            <v>266</v>
          </cell>
        </row>
        <row r="10">
          <cell r="H10">
            <v>266</v>
          </cell>
        </row>
        <row r="12">
          <cell r="H12">
            <v>266</v>
          </cell>
        </row>
        <row r="14">
          <cell r="H14">
            <v>266</v>
          </cell>
        </row>
        <row r="16">
          <cell r="H16">
            <v>266</v>
          </cell>
        </row>
        <row r="18">
          <cell r="H18">
            <v>266</v>
          </cell>
        </row>
        <row r="20">
          <cell r="H20">
            <v>266</v>
          </cell>
        </row>
        <row r="22">
          <cell r="H22">
            <v>266</v>
          </cell>
        </row>
        <row r="24">
          <cell r="H24">
            <v>266</v>
          </cell>
        </row>
        <row r="26">
          <cell r="H26">
            <v>266</v>
          </cell>
        </row>
        <row r="28">
          <cell r="H28">
            <v>266</v>
          </cell>
        </row>
        <row r="30">
          <cell r="H30">
            <v>266</v>
          </cell>
        </row>
        <row r="32">
          <cell r="H32">
            <v>266</v>
          </cell>
        </row>
        <row r="34">
          <cell r="H34">
            <v>262.5</v>
          </cell>
        </row>
        <row r="36">
          <cell r="H36">
            <v>262.5</v>
          </cell>
        </row>
        <row r="38">
          <cell r="H38">
            <v>261.88461538461536</v>
          </cell>
        </row>
        <row r="41">
          <cell r="H41">
            <v>258.09302325581393</v>
          </cell>
        </row>
        <row r="44">
          <cell r="H44">
            <v>258</v>
          </cell>
        </row>
        <row r="45">
          <cell r="H45">
            <v>266</v>
          </cell>
        </row>
        <row r="47">
          <cell r="H47">
            <v>258</v>
          </cell>
        </row>
        <row r="48">
          <cell r="H48">
            <v>257</v>
          </cell>
        </row>
        <row r="49">
          <cell r="H49">
            <v>268</v>
          </cell>
        </row>
        <row r="51">
          <cell r="H51">
            <v>263.55555555555554</v>
          </cell>
        </row>
        <row r="53">
          <cell r="H53">
            <v>254</v>
          </cell>
        </row>
        <row r="55">
          <cell r="H55">
            <v>254</v>
          </cell>
        </row>
        <row r="56">
          <cell r="H56">
            <v>266</v>
          </cell>
        </row>
        <row r="57">
          <cell r="H57">
            <v>257</v>
          </cell>
        </row>
        <row r="59">
          <cell r="H59">
            <v>257</v>
          </cell>
        </row>
        <row r="61">
          <cell r="H61">
            <v>257</v>
          </cell>
        </row>
        <row r="62">
          <cell r="H62">
            <v>257</v>
          </cell>
        </row>
        <row r="64">
          <cell r="H64">
            <v>261.69117647058823</v>
          </cell>
        </row>
        <row r="67">
          <cell r="H67">
            <v>268</v>
          </cell>
        </row>
        <row r="68">
          <cell r="H68">
            <v>262.5</v>
          </cell>
        </row>
        <row r="70">
          <cell r="H70">
            <v>262.5</v>
          </cell>
        </row>
        <row r="71">
          <cell r="H71">
            <v>254</v>
          </cell>
        </row>
        <row r="73">
          <cell r="H73">
            <v>260</v>
          </cell>
        </row>
        <row r="74">
          <cell r="H74">
            <v>260</v>
          </cell>
        </row>
        <row r="77">
          <cell r="H77">
            <v>260</v>
          </cell>
        </row>
      </sheetData>
      <sheetData sheetId="4" refreshError="1">
        <row r="168">
          <cell r="K168">
            <v>1333.8945504418539</v>
          </cell>
        </row>
      </sheetData>
      <sheetData sheetId="5" refreshError="1"/>
      <sheetData sheetId="6" refreshError="1"/>
      <sheetData sheetId="7" refreshError="1">
        <row r="3">
          <cell r="AG3">
            <v>3.4670000000000001</v>
          </cell>
        </row>
        <row r="4">
          <cell r="AG4">
            <v>0.25</v>
          </cell>
        </row>
      </sheetData>
      <sheetData sheetId="8" refreshError="1"/>
      <sheetData sheetId="9" refreshError="1"/>
      <sheetData sheetId="10" refreshError="1"/>
      <sheetData sheetId="11" refreshError="1">
        <row r="9">
          <cell r="K9">
            <v>41049</v>
          </cell>
        </row>
      </sheetData>
      <sheetData sheetId="12" refreshError="1">
        <row r="7">
          <cell r="K7">
            <v>9760</v>
          </cell>
        </row>
        <row r="8">
          <cell r="K8">
            <v>28917</v>
          </cell>
        </row>
      </sheetData>
      <sheetData sheetId="13" refreshError="1">
        <row r="7">
          <cell r="K7">
            <v>18028</v>
          </cell>
        </row>
        <row r="8">
          <cell r="K8">
            <v>21079</v>
          </cell>
        </row>
        <row r="16">
          <cell r="D16">
            <v>535</v>
          </cell>
        </row>
      </sheetData>
      <sheetData sheetId="14" refreshError="1">
        <row r="7">
          <cell r="K7">
            <v>28987</v>
          </cell>
        </row>
        <row r="12">
          <cell r="K12">
            <v>8453</v>
          </cell>
        </row>
        <row r="25">
          <cell r="D25">
            <v>518</v>
          </cell>
        </row>
        <row r="29">
          <cell r="D29">
            <v>0</v>
          </cell>
        </row>
      </sheetData>
      <sheetData sheetId="15" refreshError="1">
        <row r="12">
          <cell r="K12">
            <v>38931</v>
          </cell>
        </row>
        <row r="34">
          <cell r="D34">
            <v>1472</v>
          </cell>
        </row>
        <row r="47">
          <cell r="D47">
            <v>0</v>
          </cell>
        </row>
        <row r="51">
          <cell r="D51">
            <v>0</v>
          </cell>
        </row>
      </sheetData>
      <sheetData sheetId="16" refreshError="1">
        <row r="11">
          <cell r="K11">
            <v>17248</v>
          </cell>
        </row>
        <row r="12">
          <cell r="K12">
            <v>21215</v>
          </cell>
        </row>
        <row r="25">
          <cell r="D25">
            <v>300</v>
          </cell>
        </row>
      </sheetData>
      <sheetData sheetId="17" refreshError="1">
        <row r="11">
          <cell r="K11">
            <v>35371</v>
          </cell>
        </row>
      </sheetData>
      <sheetData sheetId="18" refreshError="1">
        <row r="7">
          <cell r="D7">
            <v>900</v>
          </cell>
        </row>
        <row r="8">
          <cell r="K8">
            <v>33417</v>
          </cell>
        </row>
        <row r="9">
          <cell r="K9">
            <v>2626</v>
          </cell>
        </row>
        <row r="11">
          <cell r="K11">
            <v>1541</v>
          </cell>
        </row>
        <row r="26">
          <cell r="D26">
            <v>392</v>
          </cell>
        </row>
      </sheetData>
      <sheetData sheetId="19" refreshError="1">
        <row r="8">
          <cell r="K8">
            <v>9577</v>
          </cell>
        </row>
        <row r="10">
          <cell r="K10">
            <v>24768</v>
          </cell>
        </row>
      </sheetData>
      <sheetData sheetId="20" refreshError="1">
        <row r="7">
          <cell r="D7">
            <v>197</v>
          </cell>
        </row>
        <row r="8">
          <cell r="K8">
            <v>8517</v>
          </cell>
        </row>
        <row r="9">
          <cell r="K9">
            <v>22401</v>
          </cell>
        </row>
        <row r="10">
          <cell r="K10">
            <v>8745</v>
          </cell>
        </row>
        <row r="21">
          <cell r="D21">
            <v>0</v>
          </cell>
        </row>
        <row r="25">
          <cell r="D25">
            <v>560</v>
          </cell>
        </row>
        <row r="26">
          <cell r="D26">
            <v>0</v>
          </cell>
        </row>
        <row r="39">
          <cell r="D39">
            <v>0</v>
          </cell>
        </row>
      </sheetData>
      <sheetData sheetId="21" refreshError="1">
        <row r="8">
          <cell r="K8">
            <v>8581</v>
          </cell>
        </row>
        <row r="9">
          <cell r="K9">
            <v>3224</v>
          </cell>
        </row>
        <row r="25">
          <cell r="D25">
            <v>168</v>
          </cell>
        </row>
        <row r="35">
          <cell r="D35">
            <v>1.4031571034828364E-2</v>
          </cell>
        </row>
      </sheetData>
      <sheetData sheetId="22" refreshError="1">
        <row r="7">
          <cell r="K7">
            <v>25437</v>
          </cell>
        </row>
      </sheetData>
      <sheetData sheetId="23" refreshError="1">
        <row r="7">
          <cell r="K7">
            <v>34367</v>
          </cell>
        </row>
      </sheetData>
      <sheetData sheetId="24" refreshError="1">
        <row r="7">
          <cell r="K7">
            <v>25547</v>
          </cell>
        </row>
        <row r="34">
          <cell r="D34">
            <v>2912</v>
          </cell>
        </row>
        <row r="39">
          <cell r="D39">
            <v>0</v>
          </cell>
        </row>
        <row r="44">
          <cell r="D44">
            <v>0</v>
          </cell>
        </row>
      </sheetData>
      <sheetData sheetId="25" refreshError="1">
        <row r="7">
          <cell r="K7">
            <v>22441</v>
          </cell>
        </row>
        <row r="19">
          <cell r="K19">
            <v>0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>
        <row r="25">
          <cell r="D25">
            <v>0</v>
          </cell>
        </row>
        <row r="31">
          <cell r="D31">
            <v>0</v>
          </cell>
        </row>
        <row r="34">
          <cell r="C34">
            <v>0</v>
          </cell>
        </row>
        <row r="40">
          <cell r="C40">
            <v>0</v>
          </cell>
        </row>
        <row r="46">
          <cell r="C46">
            <v>0</v>
          </cell>
        </row>
      </sheetData>
      <sheetData sheetId="4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K"/>
      <sheetName val="Report1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/>
      <sheetData sheetId="1">
        <row r="9">
          <cell r="A9">
            <v>45962</v>
          </cell>
        </row>
      </sheetData>
      <sheetData sheetId="2"/>
      <sheetData sheetId="3">
        <row r="4">
          <cell r="H4">
            <v>274</v>
          </cell>
        </row>
        <row r="5">
          <cell r="H5">
            <v>274</v>
          </cell>
        </row>
        <row r="7">
          <cell r="H7">
            <v>274</v>
          </cell>
        </row>
        <row r="8">
          <cell r="H8">
            <v>274</v>
          </cell>
        </row>
        <row r="10">
          <cell r="H10">
            <v>271.94285714285712</v>
          </cell>
        </row>
        <row r="13">
          <cell r="H13">
            <v>271</v>
          </cell>
        </row>
        <row r="14">
          <cell r="H14">
            <v>274</v>
          </cell>
        </row>
        <row r="16">
          <cell r="H16">
            <v>274</v>
          </cell>
        </row>
        <row r="17">
          <cell r="H17">
            <v>274</v>
          </cell>
        </row>
        <row r="18">
          <cell r="H18">
            <v>256.5</v>
          </cell>
        </row>
        <row r="19">
          <cell r="H19">
            <v>256.5</v>
          </cell>
        </row>
        <row r="21">
          <cell r="H21">
            <v>260.65384615384613</v>
          </cell>
        </row>
        <row r="24">
          <cell r="H24">
            <v>270</v>
          </cell>
        </row>
        <row r="25">
          <cell r="H25">
            <v>268</v>
          </cell>
        </row>
        <row r="27">
          <cell r="H27">
            <v>268</v>
          </cell>
        </row>
        <row r="28">
          <cell r="H28">
            <v>263.09090909090907</v>
          </cell>
        </row>
        <row r="31">
          <cell r="H31">
            <v>262.9655172413793</v>
          </cell>
        </row>
        <row r="33">
          <cell r="H33">
            <v>266</v>
          </cell>
        </row>
        <row r="34">
          <cell r="H34">
            <v>267</v>
          </cell>
        </row>
        <row r="35">
          <cell r="H35">
            <v>274</v>
          </cell>
        </row>
        <row r="37">
          <cell r="H37">
            <v>274</v>
          </cell>
        </row>
        <row r="40">
          <cell r="H40">
            <v>274</v>
          </cell>
        </row>
        <row r="42">
          <cell r="H42">
            <v>274</v>
          </cell>
        </row>
        <row r="44">
          <cell r="H44">
            <v>274</v>
          </cell>
        </row>
        <row r="46">
          <cell r="H46">
            <v>274</v>
          </cell>
        </row>
        <row r="47">
          <cell r="H47">
            <v>269.5</v>
          </cell>
        </row>
        <row r="49">
          <cell r="H49">
            <v>269.5</v>
          </cell>
        </row>
        <row r="51">
          <cell r="H51">
            <v>269.5</v>
          </cell>
        </row>
        <row r="52">
          <cell r="H52">
            <v>274</v>
          </cell>
        </row>
        <row r="54">
          <cell r="H54">
            <v>261.59649122807019</v>
          </cell>
        </row>
        <row r="56">
          <cell r="H56">
            <v>274</v>
          </cell>
        </row>
        <row r="58">
          <cell r="H58">
            <v>261</v>
          </cell>
        </row>
        <row r="59">
          <cell r="H59">
            <v>274</v>
          </cell>
        </row>
        <row r="61">
          <cell r="H61">
            <v>260.02173913043481</v>
          </cell>
        </row>
        <row r="64">
          <cell r="H64">
            <v>261</v>
          </cell>
        </row>
        <row r="65">
          <cell r="H65">
            <v>256.5</v>
          </cell>
        </row>
        <row r="66">
          <cell r="H66">
            <v>271</v>
          </cell>
        </row>
        <row r="68">
          <cell r="H68">
            <v>271</v>
          </cell>
        </row>
        <row r="69">
          <cell r="H69">
            <v>260</v>
          </cell>
        </row>
        <row r="71">
          <cell r="H71">
            <v>260</v>
          </cell>
        </row>
        <row r="72">
          <cell r="H72">
            <v>273.68181818181819</v>
          </cell>
        </row>
        <row r="75">
          <cell r="H75">
            <v>268.35483870967744</v>
          </cell>
        </row>
        <row r="78">
          <cell r="H78">
            <v>274</v>
          </cell>
        </row>
        <row r="80">
          <cell r="H80">
            <v>274</v>
          </cell>
        </row>
        <row r="81">
          <cell r="H81">
            <v>256.5</v>
          </cell>
        </row>
        <row r="83">
          <cell r="H83">
            <v>256.5</v>
          </cell>
        </row>
        <row r="85">
          <cell r="H85">
            <v>268.16666666666669</v>
          </cell>
        </row>
        <row r="88">
          <cell r="H88">
            <v>274</v>
          </cell>
        </row>
        <row r="90">
          <cell r="H90">
            <v>274</v>
          </cell>
        </row>
        <row r="92">
          <cell r="H92">
            <v>274</v>
          </cell>
        </row>
        <row r="93">
          <cell r="H93">
            <v>271</v>
          </cell>
        </row>
      </sheetData>
      <sheetData sheetId="4">
        <row r="164">
          <cell r="K164">
            <v>1637.3880088063934</v>
          </cell>
        </row>
      </sheetData>
      <sheetData sheetId="5"/>
      <sheetData sheetId="6"/>
      <sheetData sheetId="7"/>
      <sheetData sheetId="8">
        <row r="3">
          <cell r="AG3">
            <v>1.639</v>
          </cell>
        </row>
        <row r="4">
          <cell r="AG4">
            <v>1.6</v>
          </cell>
        </row>
        <row r="8">
          <cell r="AG8">
            <v>0</v>
          </cell>
        </row>
        <row r="9">
          <cell r="AG9">
            <v>0</v>
          </cell>
        </row>
        <row r="19">
          <cell r="AG19">
            <v>0</v>
          </cell>
        </row>
        <row r="20">
          <cell r="AG20">
            <v>0</v>
          </cell>
        </row>
        <row r="29">
          <cell r="AG29">
            <v>0</v>
          </cell>
        </row>
        <row r="30">
          <cell r="AG30">
            <v>0</v>
          </cell>
        </row>
        <row r="33">
          <cell r="AG33">
            <v>0</v>
          </cell>
        </row>
        <row r="34">
          <cell r="AG34">
            <v>0</v>
          </cell>
        </row>
      </sheetData>
      <sheetData sheetId="9"/>
      <sheetData sheetId="10"/>
      <sheetData sheetId="11">
        <row r="7">
          <cell r="K7">
            <v>38479</v>
          </cell>
        </row>
        <row r="8">
          <cell r="K8">
            <v>11262</v>
          </cell>
        </row>
      </sheetData>
      <sheetData sheetId="12">
        <row r="7">
          <cell r="K7">
            <v>50955</v>
          </cell>
        </row>
      </sheetData>
      <sheetData sheetId="13">
        <row r="7">
          <cell r="K7">
            <v>55177</v>
          </cell>
        </row>
      </sheetData>
      <sheetData sheetId="14">
        <row r="7">
          <cell r="K7">
            <v>40588</v>
          </cell>
        </row>
      </sheetData>
      <sheetData sheetId="15">
        <row r="7">
          <cell r="K7">
            <v>48337</v>
          </cell>
        </row>
      </sheetData>
      <sheetData sheetId="16">
        <row r="7">
          <cell r="K7">
            <v>38919</v>
          </cell>
        </row>
        <row r="9">
          <cell r="K9">
            <v>9955</v>
          </cell>
        </row>
      </sheetData>
      <sheetData sheetId="17">
        <row r="9">
          <cell r="K9">
            <v>51287</v>
          </cell>
        </row>
      </sheetData>
      <sheetData sheetId="18">
        <row r="9">
          <cell r="K9">
            <v>48630</v>
          </cell>
        </row>
      </sheetData>
      <sheetData sheetId="19">
        <row r="7">
          <cell r="D7">
            <v>445</v>
          </cell>
        </row>
        <row r="9">
          <cell r="K9">
            <v>38608</v>
          </cell>
        </row>
        <row r="19">
          <cell r="K19">
            <v>12606</v>
          </cell>
        </row>
      </sheetData>
      <sheetData sheetId="20">
        <row r="17">
          <cell r="D17">
            <v>400</v>
          </cell>
        </row>
        <row r="18">
          <cell r="K18">
            <v>33189</v>
          </cell>
        </row>
        <row r="19">
          <cell r="K19">
            <v>20552</v>
          </cell>
        </row>
        <row r="33">
          <cell r="D33">
            <v>0</v>
          </cell>
        </row>
        <row r="43">
          <cell r="D43">
            <v>0</v>
          </cell>
        </row>
        <row r="48">
          <cell r="D48">
            <v>0</v>
          </cell>
        </row>
      </sheetData>
      <sheetData sheetId="21">
        <row r="16">
          <cell r="K16">
            <v>5427</v>
          </cell>
        </row>
        <row r="17">
          <cell r="K17">
            <v>14609</v>
          </cell>
        </row>
        <row r="18">
          <cell r="K18">
            <v>33564</v>
          </cell>
        </row>
      </sheetData>
      <sheetData sheetId="22">
        <row r="16">
          <cell r="K16">
            <v>50061</v>
          </cell>
        </row>
      </sheetData>
      <sheetData sheetId="23">
        <row r="16">
          <cell r="K16">
            <v>31056</v>
          </cell>
        </row>
        <row r="17">
          <cell r="K17">
            <v>15084</v>
          </cell>
        </row>
      </sheetData>
      <sheetData sheetId="24">
        <row r="16">
          <cell r="K16">
            <v>38476</v>
          </cell>
        </row>
        <row r="17">
          <cell r="K17">
            <v>13542</v>
          </cell>
        </row>
      </sheetData>
      <sheetData sheetId="25">
        <row r="16">
          <cell r="K16">
            <v>52407</v>
          </cell>
        </row>
      </sheetData>
      <sheetData sheetId="26">
        <row r="16">
          <cell r="K16">
            <v>50348</v>
          </cell>
        </row>
        <row r="25">
          <cell r="D25">
            <v>671</v>
          </cell>
        </row>
      </sheetData>
      <sheetData sheetId="27">
        <row r="7">
          <cell r="K7">
            <v>17556</v>
          </cell>
        </row>
        <row r="16">
          <cell r="K16">
            <v>35933</v>
          </cell>
        </row>
      </sheetData>
      <sheetData sheetId="28">
        <row r="7">
          <cell r="K7">
            <v>29459</v>
          </cell>
        </row>
      </sheetData>
      <sheetData sheetId="29">
        <row r="7">
          <cell r="K7">
            <v>49130</v>
          </cell>
        </row>
        <row r="25">
          <cell r="D25">
            <v>680</v>
          </cell>
        </row>
      </sheetData>
      <sheetData sheetId="30">
        <row r="7">
          <cell r="K7">
            <v>50653</v>
          </cell>
        </row>
      </sheetData>
      <sheetData sheetId="31">
        <row r="7">
          <cell r="K7">
            <v>51182</v>
          </cell>
        </row>
      </sheetData>
      <sheetData sheetId="32">
        <row r="7">
          <cell r="K7">
            <v>2603</v>
          </cell>
        </row>
        <row r="13">
          <cell r="K13">
            <v>26606</v>
          </cell>
        </row>
        <row r="14">
          <cell r="K14">
            <v>10232</v>
          </cell>
        </row>
        <row r="15">
          <cell r="K15">
            <v>10954</v>
          </cell>
        </row>
      </sheetData>
      <sheetData sheetId="33">
        <row r="12">
          <cell r="K12">
            <v>10238</v>
          </cell>
        </row>
        <row r="13">
          <cell r="K13">
            <v>41210</v>
          </cell>
        </row>
      </sheetData>
      <sheetData sheetId="34">
        <row r="11">
          <cell r="K11">
            <v>48045</v>
          </cell>
        </row>
        <row r="12">
          <cell r="K12">
            <v>8625</v>
          </cell>
        </row>
        <row r="26">
          <cell r="D26">
            <v>938</v>
          </cell>
        </row>
        <row r="35">
          <cell r="D35">
            <v>1.6282460769337592E-2</v>
          </cell>
        </row>
      </sheetData>
      <sheetData sheetId="35">
        <row r="11">
          <cell r="K11">
            <v>56119</v>
          </cell>
        </row>
      </sheetData>
      <sheetData sheetId="36">
        <row r="7">
          <cell r="K7">
            <v>1254</v>
          </cell>
        </row>
        <row r="9">
          <cell r="K9">
            <v>5733</v>
          </cell>
        </row>
        <row r="10">
          <cell r="K10">
            <v>21998</v>
          </cell>
        </row>
        <row r="25">
          <cell r="D25">
            <v>858</v>
          </cell>
        </row>
      </sheetData>
      <sheetData sheetId="37">
        <row r="8">
          <cell r="K8">
            <v>22055</v>
          </cell>
        </row>
        <row r="9">
          <cell r="K9">
            <v>28505</v>
          </cell>
        </row>
      </sheetData>
      <sheetData sheetId="38">
        <row r="8">
          <cell r="K8">
            <v>48119</v>
          </cell>
        </row>
      </sheetData>
      <sheetData sheetId="39">
        <row r="7">
          <cell r="K7">
            <v>28511</v>
          </cell>
        </row>
        <row r="8">
          <cell r="K8">
            <v>20590</v>
          </cell>
        </row>
      </sheetData>
      <sheetData sheetId="40">
        <row r="7">
          <cell r="K7">
            <v>32818</v>
          </cell>
        </row>
        <row r="8">
          <cell r="K8">
            <v>7017</v>
          </cell>
        </row>
      </sheetData>
      <sheetData sheetId="41">
        <row r="56">
          <cell r="J56">
            <v>3992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9">
          <cell r="A9">
            <v>45962</v>
          </cell>
        </row>
      </sheetData>
      <sheetData sheetId="1"/>
      <sheetData sheetId="2"/>
      <sheetData sheetId="3">
        <row r="4">
          <cell r="H4">
            <v>276.21052631578948</v>
          </cell>
        </row>
        <row r="6">
          <cell r="H6">
            <v>277</v>
          </cell>
        </row>
        <row r="8">
          <cell r="H8">
            <v>277</v>
          </cell>
        </row>
        <row r="9">
          <cell r="H9">
            <v>256.5</v>
          </cell>
        </row>
        <row r="10">
          <cell r="H10">
            <v>277</v>
          </cell>
        </row>
        <row r="14">
          <cell r="H14">
            <v>266</v>
          </cell>
        </row>
        <row r="15">
          <cell r="H15">
            <v>276</v>
          </cell>
        </row>
        <row r="17">
          <cell r="H17">
            <v>276</v>
          </cell>
        </row>
        <row r="18">
          <cell r="H18">
            <v>272.65517241379308</v>
          </cell>
        </row>
        <row r="22">
          <cell r="H22">
            <v>271</v>
          </cell>
        </row>
        <row r="24">
          <cell r="H24">
            <v>271</v>
          </cell>
        </row>
        <row r="26">
          <cell r="H26">
            <v>271</v>
          </cell>
        </row>
        <row r="28">
          <cell r="H28">
            <v>270.12280701754383</v>
          </cell>
        </row>
        <row r="30">
          <cell r="H30">
            <v>276</v>
          </cell>
        </row>
        <row r="31">
          <cell r="H31">
            <v>273</v>
          </cell>
        </row>
        <row r="33">
          <cell r="H33">
            <v>273</v>
          </cell>
        </row>
        <row r="34">
          <cell r="H34">
            <v>273</v>
          </cell>
        </row>
        <row r="38">
          <cell r="H38">
            <v>277.66666666666669</v>
          </cell>
        </row>
        <row r="41">
          <cell r="H41">
            <v>280</v>
          </cell>
        </row>
        <row r="42">
          <cell r="H42">
            <v>277</v>
          </cell>
        </row>
        <row r="44">
          <cell r="H44">
            <v>274.14285714285717</v>
          </cell>
        </row>
        <row r="46">
          <cell r="H46">
            <v>276</v>
          </cell>
        </row>
        <row r="48">
          <cell r="H48">
            <v>276</v>
          </cell>
        </row>
        <row r="49">
          <cell r="H49">
            <v>280</v>
          </cell>
        </row>
        <row r="51">
          <cell r="H51">
            <v>272.01960784313724</v>
          </cell>
        </row>
        <row r="55">
          <cell r="H55">
            <v>280</v>
          </cell>
        </row>
        <row r="56">
          <cell r="H56">
            <v>277.06666666666666</v>
          </cell>
        </row>
        <row r="58">
          <cell r="H58">
            <v>286</v>
          </cell>
        </row>
        <row r="60">
          <cell r="H60">
            <v>286</v>
          </cell>
        </row>
        <row r="61">
          <cell r="H61">
            <v>276</v>
          </cell>
        </row>
        <row r="63">
          <cell r="H63">
            <v>276</v>
          </cell>
        </row>
        <row r="64">
          <cell r="H64">
            <v>266</v>
          </cell>
        </row>
        <row r="67">
          <cell r="H67">
            <v>269.63636363636363</v>
          </cell>
        </row>
        <row r="70">
          <cell r="H70">
            <v>274.7659574468085</v>
          </cell>
        </row>
        <row r="73">
          <cell r="H73">
            <v>276</v>
          </cell>
        </row>
        <row r="75">
          <cell r="H75">
            <v>276</v>
          </cell>
        </row>
        <row r="76">
          <cell r="H76">
            <v>270</v>
          </cell>
        </row>
        <row r="77">
          <cell r="H77">
            <v>280</v>
          </cell>
        </row>
        <row r="78">
          <cell r="H78">
            <v>280</v>
          </cell>
        </row>
        <row r="81">
          <cell r="H81">
            <v>280</v>
          </cell>
        </row>
        <row r="82">
          <cell r="H82">
            <v>280</v>
          </cell>
        </row>
        <row r="85">
          <cell r="H85">
            <v>280</v>
          </cell>
        </row>
        <row r="87">
          <cell r="H87">
            <v>277.61702127659572</v>
          </cell>
        </row>
        <row r="90">
          <cell r="H90">
            <v>266</v>
          </cell>
        </row>
        <row r="92">
          <cell r="H92">
            <v>267.61194029850748</v>
          </cell>
        </row>
        <row r="95">
          <cell r="H95">
            <v>270.8</v>
          </cell>
        </row>
        <row r="99">
          <cell r="H99">
            <v>271</v>
          </cell>
        </row>
        <row r="102">
          <cell r="H102">
            <v>283.21428571428572</v>
          </cell>
        </row>
        <row r="105">
          <cell r="H105">
            <v>281.27868852459017</v>
          </cell>
        </row>
        <row r="108">
          <cell r="H108">
            <v>280.60869565217394</v>
          </cell>
        </row>
        <row r="111">
          <cell r="H111">
            <v>280.60869565217394</v>
          </cell>
        </row>
        <row r="113">
          <cell r="H113">
            <v>277</v>
          </cell>
        </row>
      </sheetData>
      <sheetData sheetId="4">
        <row r="136">
          <cell r="K136">
            <v>1565.0103880813865</v>
          </cell>
        </row>
      </sheetData>
      <sheetData sheetId="5"/>
      <sheetData sheetId="6"/>
      <sheetData sheetId="7"/>
      <sheetData sheetId="8">
        <row r="3">
          <cell r="AG3">
            <v>8.9580000000000002</v>
          </cell>
        </row>
        <row r="4">
          <cell r="AG4">
            <v>1.1319999999999999</v>
          </cell>
        </row>
      </sheetData>
      <sheetData sheetId="9"/>
      <sheetData sheetId="10"/>
      <sheetData sheetId="11">
        <row r="7">
          <cell r="D7">
            <v>250</v>
          </cell>
        </row>
        <row r="19">
          <cell r="K19">
            <v>45418</v>
          </cell>
        </row>
      </sheetData>
      <sheetData sheetId="12">
        <row r="34">
          <cell r="K34">
            <v>44366</v>
          </cell>
        </row>
      </sheetData>
      <sheetData sheetId="13">
        <row r="34">
          <cell r="K34">
            <v>48036</v>
          </cell>
        </row>
      </sheetData>
      <sheetData sheetId="14">
        <row r="34">
          <cell r="D34">
            <v>1500</v>
          </cell>
          <cell r="K34">
            <v>41449</v>
          </cell>
        </row>
      </sheetData>
      <sheetData sheetId="15">
        <row r="34">
          <cell r="D34">
            <v>1320</v>
          </cell>
          <cell r="K34">
            <v>32582</v>
          </cell>
        </row>
      </sheetData>
      <sheetData sheetId="16">
        <row r="34">
          <cell r="D34">
            <v>300</v>
          </cell>
          <cell r="K34">
            <v>33625</v>
          </cell>
        </row>
      </sheetData>
      <sheetData sheetId="17">
        <row r="34">
          <cell r="K34">
            <v>39523</v>
          </cell>
        </row>
      </sheetData>
      <sheetData sheetId="18">
        <row r="34">
          <cell r="K34">
            <v>47178</v>
          </cell>
        </row>
      </sheetData>
      <sheetData sheetId="19">
        <row r="34">
          <cell r="K34">
            <v>49826</v>
          </cell>
        </row>
      </sheetData>
      <sheetData sheetId="20">
        <row r="34">
          <cell r="K34">
            <v>47592</v>
          </cell>
        </row>
      </sheetData>
      <sheetData sheetId="21">
        <row r="9">
          <cell r="K9">
            <v>55885</v>
          </cell>
        </row>
        <row r="19">
          <cell r="K19">
            <v>0</v>
          </cell>
        </row>
        <row r="34">
          <cell r="D34">
            <v>323</v>
          </cell>
        </row>
      </sheetData>
      <sheetData sheetId="22">
        <row r="8">
          <cell r="D8">
            <v>103</v>
          </cell>
          <cell r="K8">
            <v>12233</v>
          </cell>
        </row>
        <row r="9">
          <cell r="K9">
            <v>11470</v>
          </cell>
        </row>
        <row r="15">
          <cell r="K15">
            <v>12898</v>
          </cell>
        </row>
        <row r="17">
          <cell r="K17">
            <v>2759</v>
          </cell>
        </row>
        <row r="20">
          <cell r="K20">
            <v>11261</v>
          </cell>
        </row>
      </sheetData>
      <sheetData sheetId="23">
        <row r="15">
          <cell r="K15">
            <v>39029</v>
          </cell>
        </row>
        <row r="17">
          <cell r="K17">
            <v>19596</v>
          </cell>
        </row>
        <row r="34">
          <cell r="D34">
            <v>260</v>
          </cell>
        </row>
      </sheetData>
      <sheetData sheetId="24">
        <row r="34">
          <cell r="D34">
            <v>2100</v>
          </cell>
          <cell r="K34">
            <v>36333</v>
          </cell>
        </row>
      </sheetData>
      <sheetData sheetId="25">
        <row r="18">
          <cell r="K18">
            <v>47315</v>
          </cell>
        </row>
      </sheetData>
      <sheetData sheetId="26">
        <row r="11">
          <cell r="K11">
            <v>39031</v>
          </cell>
        </row>
        <row r="18">
          <cell r="K18">
            <v>21905</v>
          </cell>
        </row>
      </sheetData>
      <sheetData sheetId="27">
        <row r="9">
          <cell r="K9">
            <v>16857</v>
          </cell>
        </row>
        <row r="11">
          <cell r="K11">
            <v>1809</v>
          </cell>
        </row>
        <row r="19">
          <cell r="K19">
            <v>25857</v>
          </cell>
        </row>
        <row r="34">
          <cell r="D34">
            <v>520</v>
          </cell>
        </row>
      </sheetData>
      <sheetData sheetId="28">
        <row r="8">
          <cell r="K8">
            <v>4392</v>
          </cell>
        </row>
        <row r="9">
          <cell r="K9">
            <v>47967</v>
          </cell>
        </row>
      </sheetData>
      <sheetData sheetId="29">
        <row r="8">
          <cell r="K8">
            <v>40721</v>
          </cell>
        </row>
        <row r="18">
          <cell r="K18">
            <v>6266</v>
          </cell>
        </row>
      </sheetData>
      <sheetData sheetId="30">
        <row r="14">
          <cell r="K14">
            <v>40824</v>
          </cell>
        </row>
        <row r="18">
          <cell r="K18">
            <v>5587</v>
          </cell>
        </row>
      </sheetData>
      <sheetData sheetId="31">
        <row r="14">
          <cell r="K14">
            <v>11201</v>
          </cell>
        </row>
        <row r="16">
          <cell r="K16">
            <v>18600</v>
          </cell>
        </row>
        <row r="17">
          <cell r="K17">
            <v>21457</v>
          </cell>
        </row>
        <row r="25">
          <cell r="D25">
            <v>320</v>
          </cell>
        </row>
      </sheetData>
      <sheetData sheetId="32">
        <row r="14">
          <cell r="K14">
            <v>1794</v>
          </cell>
        </row>
        <row r="15">
          <cell r="K15">
            <v>51215</v>
          </cell>
        </row>
        <row r="16">
          <cell r="K16">
            <v>1371</v>
          </cell>
        </row>
      </sheetData>
      <sheetData sheetId="33">
        <row r="13">
          <cell r="K13">
            <v>35261</v>
          </cell>
        </row>
        <row r="14">
          <cell r="K14">
            <v>16848</v>
          </cell>
        </row>
        <row r="15">
          <cell r="K15">
            <v>5810</v>
          </cell>
        </row>
      </sheetData>
      <sheetData sheetId="34">
        <row r="34">
          <cell r="K34">
            <v>46577</v>
          </cell>
        </row>
      </sheetData>
      <sheetData sheetId="35">
        <row r="34">
          <cell r="K34">
            <v>43794</v>
          </cell>
        </row>
      </sheetData>
      <sheetData sheetId="36">
        <row r="34">
          <cell r="D34">
            <v>0</v>
          </cell>
          <cell r="K34">
            <v>47754</v>
          </cell>
        </row>
      </sheetData>
      <sheetData sheetId="37">
        <row r="11">
          <cell r="K11">
            <v>10261</v>
          </cell>
        </row>
        <row r="12">
          <cell r="K12">
            <v>3270</v>
          </cell>
        </row>
        <row r="13">
          <cell r="K13">
            <v>30637</v>
          </cell>
        </row>
        <row r="25">
          <cell r="D25">
            <v>536</v>
          </cell>
        </row>
      </sheetData>
      <sheetData sheetId="38">
        <row r="12">
          <cell r="K12">
            <v>7465</v>
          </cell>
        </row>
        <row r="34">
          <cell r="D34">
            <v>655</v>
          </cell>
        </row>
      </sheetData>
      <sheetData sheetId="39">
        <row r="7">
          <cell r="K7">
            <v>3542</v>
          </cell>
        </row>
        <row r="8">
          <cell r="K8">
            <v>5891</v>
          </cell>
        </row>
        <row r="9">
          <cell r="K9">
            <v>1254</v>
          </cell>
        </row>
        <row r="10">
          <cell r="K10">
            <v>48767</v>
          </cell>
        </row>
      </sheetData>
      <sheetData sheetId="40">
        <row r="7">
          <cell r="K7">
            <v>10303</v>
          </cell>
        </row>
        <row r="8">
          <cell r="K8">
            <v>41441</v>
          </cell>
        </row>
      </sheetData>
      <sheetData sheetId="41">
        <row r="34">
          <cell r="M34">
            <v>1394103</v>
          </cell>
        </row>
        <row r="56">
          <cell r="J56">
            <v>8187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9">
          <cell r="A9">
            <v>45962</v>
          </cell>
        </row>
      </sheetData>
      <sheetData sheetId="1" refreshError="1"/>
      <sheetData sheetId="2" refreshError="1"/>
      <sheetData sheetId="3">
        <row r="4">
          <cell r="H4">
            <v>256.5</v>
          </cell>
        </row>
        <row r="6">
          <cell r="H6">
            <v>256.5</v>
          </cell>
        </row>
        <row r="8">
          <cell r="H8">
            <v>256.5</v>
          </cell>
        </row>
        <row r="10">
          <cell r="H10">
            <v>256.5</v>
          </cell>
        </row>
        <row r="12">
          <cell r="H12">
            <v>256.5</v>
          </cell>
        </row>
        <row r="14">
          <cell r="H14">
            <v>256.5</v>
          </cell>
        </row>
        <row r="16">
          <cell r="H16">
            <v>256.5</v>
          </cell>
        </row>
        <row r="18">
          <cell r="H18">
            <v>256.5</v>
          </cell>
        </row>
        <row r="20">
          <cell r="H20">
            <v>256.5</v>
          </cell>
        </row>
        <row r="22">
          <cell r="H22">
            <v>256.5</v>
          </cell>
        </row>
        <row r="24">
          <cell r="H24">
            <v>256.5</v>
          </cell>
        </row>
        <row r="25">
          <cell r="H25">
            <v>264</v>
          </cell>
        </row>
        <row r="27">
          <cell r="H27">
            <v>264</v>
          </cell>
        </row>
        <row r="29">
          <cell r="H29">
            <v>264</v>
          </cell>
        </row>
        <row r="30">
          <cell r="H30">
            <v>259.42857142857144</v>
          </cell>
        </row>
        <row r="33">
          <cell r="H33">
            <v>256.33636363636361</v>
          </cell>
        </row>
        <row r="36">
          <cell r="H36">
            <v>256.5</v>
          </cell>
        </row>
        <row r="38">
          <cell r="H38">
            <v>256.3679245283019</v>
          </cell>
        </row>
        <row r="41">
          <cell r="H41">
            <v>256.31578947368422</v>
          </cell>
        </row>
        <row r="44">
          <cell r="H44">
            <v>256.11206896551727</v>
          </cell>
        </row>
        <row r="47">
          <cell r="H47">
            <v>256.39361702127661</v>
          </cell>
        </row>
        <row r="50">
          <cell r="H50">
            <v>256.4909090909091</v>
          </cell>
        </row>
        <row r="53">
          <cell r="H53">
            <v>256.31538461538463</v>
          </cell>
        </row>
        <row r="56">
          <cell r="H56">
            <v>256.31355932203388</v>
          </cell>
        </row>
        <row r="59">
          <cell r="H59">
            <v>256.38775510204084</v>
          </cell>
        </row>
        <row r="62">
          <cell r="H62">
            <v>256.453125</v>
          </cell>
        </row>
        <row r="64">
          <cell r="H64">
            <v>256.5</v>
          </cell>
        </row>
        <row r="66">
          <cell r="H66">
            <v>256.5</v>
          </cell>
        </row>
        <row r="67">
          <cell r="H67">
            <v>255</v>
          </cell>
        </row>
        <row r="69">
          <cell r="H69">
            <v>255</v>
          </cell>
        </row>
        <row r="71">
          <cell r="H71">
            <v>255.12328767123287</v>
          </cell>
        </row>
        <row r="74">
          <cell r="H74">
            <v>256.1015625</v>
          </cell>
        </row>
        <row r="77">
          <cell r="H77">
            <v>255</v>
          </cell>
        </row>
        <row r="79">
          <cell r="H79">
            <v>255</v>
          </cell>
        </row>
      </sheetData>
      <sheetData sheetId="4">
        <row r="142">
          <cell r="K142">
            <v>1572.0065688096979</v>
          </cell>
        </row>
      </sheetData>
      <sheetData sheetId="5" refreshError="1"/>
      <sheetData sheetId="6" refreshError="1"/>
      <sheetData sheetId="7" refreshError="1"/>
      <sheetData sheetId="8">
        <row r="3">
          <cell r="AG3">
            <v>1.798</v>
          </cell>
        </row>
        <row r="4">
          <cell r="AG4">
            <v>0.38</v>
          </cell>
        </row>
        <row r="14">
          <cell r="AG14">
            <v>0</v>
          </cell>
        </row>
        <row r="15">
          <cell r="AG15">
            <v>0</v>
          </cell>
        </row>
        <row r="28">
          <cell r="AG28">
            <v>0</v>
          </cell>
        </row>
        <row r="29">
          <cell r="AG29">
            <v>0</v>
          </cell>
        </row>
        <row r="32">
          <cell r="AG32">
            <v>0</v>
          </cell>
        </row>
        <row r="33">
          <cell r="AG33">
            <v>0</v>
          </cell>
        </row>
        <row r="36">
          <cell r="AG36">
            <v>0</v>
          </cell>
        </row>
        <row r="37">
          <cell r="AG37">
            <v>0</v>
          </cell>
        </row>
      </sheetData>
      <sheetData sheetId="9" refreshError="1"/>
      <sheetData sheetId="10" refreshError="1"/>
      <sheetData sheetId="11">
        <row r="9">
          <cell r="K9">
            <v>52739</v>
          </cell>
        </row>
      </sheetData>
      <sheetData sheetId="12">
        <row r="9">
          <cell r="K9">
            <v>50909</v>
          </cell>
        </row>
      </sheetData>
      <sheetData sheetId="13">
        <row r="10">
          <cell r="K10">
            <v>52543</v>
          </cell>
        </row>
      </sheetData>
      <sheetData sheetId="14">
        <row r="9">
          <cell r="K9">
            <v>46336</v>
          </cell>
        </row>
        <row r="25">
          <cell r="D25">
            <v>810</v>
          </cell>
        </row>
        <row r="33">
          <cell r="D33">
            <v>6.0897676866401025E-2</v>
          </cell>
        </row>
      </sheetData>
      <sheetData sheetId="15">
        <row r="9">
          <cell r="K9">
            <v>50303</v>
          </cell>
        </row>
      </sheetData>
      <sheetData sheetId="16">
        <row r="10">
          <cell r="K10">
            <v>49268</v>
          </cell>
        </row>
      </sheetData>
      <sheetData sheetId="17">
        <row r="9">
          <cell r="K9">
            <v>55901</v>
          </cell>
        </row>
        <row r="10">
          <cell r="K10">
            <v>1687</v>
          </cell>
        </row>
        <row r="25">
          <cell r="D25">
            <v>800</v>
          </cell>
        </row>
      </sheetData>
      <sheetData sheetId="18">
        <row r="9">
          <cell r="K9">
            <v>42508</v>
          </cell>
        </row>
      </sheetData>
      <sheetData sheetId="19">
        <row r="9">
          <cell r="K9">
            <v>51828</v>
          </cell>
        </row>
      </sheetData>
      <sheetData sheetId="20">
        <row r="9">
          <cell r="K9">
            <v>56118</v>
          </cell>
        </row>
      </sheetData>
      <sheetData sheetId="21">
        <row r="9">
          <cell r="K9">
            <v>48591</v>
          </cell>
        </row>
      </sheetData>
      <sheetData sheetId="22">
        <row r="9">
          <cell r="K9">
            <v>40746</v>
          </cell>
        </row>
      </sheetData>
      <sheetData sheetId="23">
        <row r="9">
          <cell r="K9">
            <v>50360</v>
          </cell>
        </row>
      </sheetData>
      <sheetData sheetId="24">
        <row r="9">
          <cell r="K9">
            <v>49640</v>
          </cell>
        </row>
        <row r="34">
          <cell r="D34">
            <v>700</v>
          </cell>
        </row>
        <row r="39">
          <cell r="D39">
            <v>0</v>
          </cell>
        </row>
        <row r="43">
          <cell r="D43">
            <v>0</v>
          </cell>
        </row>
        <row r="48">
          <cell r="D48">
            <v>0</v>
          </cell>
        </row>
        <row r="52">
          <cell r="D52">
            <v>0</v>
          </cell>
        </row>
      </sheetData>
      <sheetData sheetId="25">
        <row r="9">
          <cell r="K9">
            <v>45720</v>
          </cell>
        </row>
      </sheetData>
      <sheetData sheetId="26">
        <row r="9">
          <cell r="K9">
            <v>50865</v>
          </cell>
        </row>
      </sheetData>
      <sheetData sheetId="27">
        <row r="9">
          <cell r="K9">
            <v>46873</v>
          </cell>
        </row>
      </sheetData>
      <sheetData sheetId="28">
        <row r="8">
          <cell r="K8">
            <v>23542</v>
          </cell>
        </row>
        <row r="9">
          <cell r="K9">
            <v>10803</v>
          </cell>
        </row>
      </sheetData>
      <sheetData sheetId="29">
        <row r="8">
          <cell r="K8">
            <v>54917</v>
          </cell>
        </row>
      </sheetData>
      <sheetData sheetId="30">
        <row r="7">
          <cell r="K7">
            <v>38561</v>
          </cell>
        </row>
        <row r="8">
          <cell r="K8">
            <v>10066</v>
          </cell>
        </row>
      </sheetData>
      <sheetData sheetId="31">
        <row r="7">
          <cell r="K7">
            <v>46512</v>
          </cell>
        </row>
      </sheetData>
      <sheetData sheetId="32">
        <row r="7">
          <cell r="K7">
            <v>50976</v>
          </cell>
        </row>
      </sheetData>
      <sheetData sheetId="33">
        <row r="7">
          <cell r="K7">
            <v>36211</v>
          </cell>
        </row>
        <row r="34">
          <cell r="D34">
            <v>2730</v>
          </cell>
        </row>
      </sheetData>
      <sheetData sheetId="34">
        <row r="7">
          <cell r="K7">
            <v>39999</v>
          </cell>
        </row>
        <row r="34">
          <cell r="D34">
            <v>2287</v>
          </cell>
        </row>
        <row r="42">
          <cell r="D42">
            <v>0</v>
          </cell>
        </row>
        <row r="46">
          <cell r="D46">
            <v>0</v>
          </cell>
        </row>
        <row r="50">
          <cell r="D50">
            <v>0</v>
          </cell>
        </row>
        <row r="54">
          <cell r="D54">
            <v>0.14722222222222223</v>
          </cell>
        </row>
      </sheetData>
      <sheetData sheetId="35">
        <row r="7">
          <cell r="K7">
            <v>36878</v>
          </cell>
        </row>
        <row r="16">
          <cell r="D16">
            <v>746</v>
          </cell>
        </row>
      </sheetData>
      <sheetData sheetId="36">
        <row r="7">
          <cell r="K7">
            <v>40240</v>
          </cell>
        </row>
        <row r="16">
          <cell r="D16">
            <v>793</v>
          </cell>
        </row>
      </sheetData>
      <sheetData sheetId="37">
        <row r="7">
          <cell r="D7">
            <v>819</v>
          </cell>
          <cell r="K7">
            <v>45641</v>
          </cell>
        </row>
      </sheetData>
      <sheetData sheetId="38">
        <row r="7">
          <cell r="D7">
            <v>119</v>
          </cell>
          <cell r="K7">
            <v>41589</v>
          </cell>
        </row>
      </sheetData>
      <sheetData sheetId="39">
        <row r="7">
          <cell r="K7">
            <v>25700</v>
          </cell>
        </row>
        <row r="25">
          <cell r="D25">
            <v>765</v>
          </cell>
        </row>
      </sheetData>
      <sheetData sheetId="40">
        <row r="7">
          <cell r="K7">
            <v>42733</v>
          </cell>
        </row>
        <row r="34">
          <cell r="D34">
            <v>0</v>
          </cell>
        </row>
      </sheetData>
      <sheetData sheetId="4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T46"/>
  <sheetViews>
    <sheetView tabSelected="1" zoomScale="80" zoomScaleNormal="80" workbookViewId="0">
      <pane xSplit="1" ySplit="4" topLeftCell="B32" activePane="bottomRight" state="frozen"/>
      <selection pane="topRight" activeCell="B1" sqref="B1"/>
      <selection pane="bottomLeft" activeCell="A5" sqref="A5"/>
      <selection pane="bottomRight" activeCell="K49" sqref="K48:K49"/>
    </sheetView>
  </sheetViews>
  <sheetFormatPr defaultColWidth="9.140625" defaultRowHeight="15" x14ac:dyDescent="0.25"/>
  <cols>
    <col min="1" max="1" width="9.140625" style="14"/>
    <col min="2" max="2" width="1" style="14" customWidth="1"/>
    <col min="3" max="3" width="9.140625" style="14"/>
    <col min="4" max="4" width="0.7109375" style="14" customWidth="1"/>
    <col min="5" max="5" width="9.140625" style="14"/>
    <col min="6" max="6" width="11.140625" style="14" customWidth="1"/>
    <col min="7" max="7" width="11.42578125" style="14" customWidth="1"/>
    <col min="8" max="8" width="15.140625" style="14" customWidth="1"/>
    <col min="9" max="10" width="11.42578125" style="14" customWidth="1"/>
    <col min="11" max="11" width="11.7109375" style="14" customWidth="1"/>
    <col min="12" max="12" width="10.85546875" style="14" customWidth="1"/>
    <col min="13" max="13" width="12.5703125" style="14" customWidth="1"/>
    <col min="14" max="19" width="10.85546875" style="14" customWidth="1"/>
    <col min="20" max="20" width="9.5703125" style="14" bestFit="1" customWidth="1"/>
    <col min="21" max="21" width="9.140625" style="14"/>
    <col min="22" max="22" width="9.5703125" style="14" bestFit="1" customWidth="1"/>
    <col min="23" max="23" width="9.28515625" style="14" bestFit="1" customWidth="1"/>
    <col min="24" max="25" width="9.140625" style="14"/>
    <col min="26" max="26" width="9.28515625" style="14" bestFit="1" customWidth="1"/>
    <col min="27" max="28" width="9.140625" style="14"/>
    <col min="29" max="29" width="9.28515625" style="14" bestFit="1" customWidth="1"/>
    <col min="30" max="30" width="9.140625" style="14"/>
    <col min="31" max="31" width="8.7109375" style="14" customWidth="1"/>
    <col min="32" max="37" width="9.140625" style="14"/>
    <col min="38" max="38" width="9.5703125" style="14" bestFit="1" customWidth="1"/>
    <col min="39" max="16384" width="9.140625" style="14"/>
  </cols>
  <sheetData>
    <row r="2" spans="1:46" x14ac:dyDescent="0.25">
      <c r="J2" s="108"/>
    </row>
    <row r="3" spans="1:46" s="2" customFormat="1" ht="36" customHeight="1" x14ac:dyDescent="0.25">
      <c r="A3" s="263" t="s">
        <v>0</v>
      </c>
      <c r="B3" s="1"/>
      <c r="C3" s="263" t="s">
        <v>1</v>
      </c>
      <c r="D3" s="1"/>
      <c r="E3" s="265" t="s">
        <v>2</v>
      </c>
      <c r="F3" s="256" t="s">
        <v>3</v>
      </c>
      <c r="G3" s="257"/>
      <c r="H3" s="257"/>
      <c r="I3" s="257"/>
      <c r="J3" s="258"/>
      <c r="K3" s="256" t="s">
        <v>4</v>
      </c>
      <c r="L3" s="257"/>
      <c r="M3" s="257"/>
      <c r="N3" s="257"/>
      <c r="O3" s="257"/>
      <c r="P3" s="258"/>
      <c r="Q3" s="260" t="s">
        <v>5</v>
      </c>
      <c r="R3" s="261"/>
      <c r="S3" s="262"/>
      <c r="T3" s="259" t="s">
        <v>6</v>
      </c>
      <c r="U3" s="259"/>
      <c r="V3" s="259"/>
      <c r="W3" s="259" t="s">
        <v>7</v>
      </c>
      <c r="X3" s="259"/>
      <c r="Y3" s="259"/>
      <c r="Z3" s="259" t="s">
        <v>8</v>
      </c>
      <c r="AA3" s="259"/>
      <c r="AB3" s="259"/>
      <c r="AC3" s="260" t="s">
        <v>9</v>
      </c>
      <c r="AD3" s="261"/>
      <c r="AE3" s="262"/>
      <c r="AF3" s="255" t="s">
        <v>10</v>
      </c>
      <c r="AG3" s="255"/>
      <c r="AH3" s="255"/>
      <c r="AI3" s="260" t="s">
        <v>11</v>
      </c>
      <c r="AJ3" s="261"/>
      <c r="AK3" s="262"/>
      <c r="AL3" s="255" t="s">
        <v>12</v>
      </c>
      <c r="AM3" s="256" t="s">
        <v>13</v>
      </c>
      <c r="AN3" s="257"/>
      <c r="AO3" s="258"/>
      <c r="AP3" s="256" t="s">
        <v>14</v>
      </c>
      <c r="AQ3" s="257"/>
      <c r="AR3" s="257"/>
      <c r="AS3" s="257"/>
      <c r="AT3" s="258"/>
    </row>
    <row r="4" spans="1:46" s="2" customFormat="1" ht="162.75" customHeight="1" x14ac:dyDescent="0.25">
      <c r="A4" s="264"/>
      <c r="B4" s="3"/>
      <c r="C4" s="264"/>
      <c r="D4" s="3"/>
      <c r="E4" s="266"/>
      <c r="F4" s="99" t="s">
        <v>15</v>
      </c>
      <c r="G4" s="99" t="s">
        <v>16</v>
      </c>
      <c r="H4" s="99" t="s">
        <v>17</v>
      </c>
      <c r="I4" s="4" t="s">
        <v>18</v>
      </c>
      <c r="J4" s="5" t="s">
        <v>19</v>
      </c>
      <c r="K4" s="99" t="s">
        <v>20</v>
      </c>
      <c r="L4" s="6" t="s">
        <v>21</v>
      </c>
      <c r="M4" s="99" t="s">
        <v>22</v>
      </c>
      <c r="N4" s="99" t="s">
        <v>23</v>
      </c>
      <c r="O4" s="99" t="s">
        <v>24</v>
      </c>
      <c r="P4" s="99" t="s">
        <v>25</v>
      </c>
      <c r="Q4" s="99" t="s">
        <v>26</v>
      </c>
      <c r="R4" s="99" t="s">
        <v>27</v>
      </c>
      <c r="S4" s="99" t="s">
        <v>28</v>
      </c>
      <c r="T4" s="99" t="s">
        <v>29</v>
      </c>
      <c r="U4" s="99" t="s">
        <v>30</v>
      </c>
      <c r="V4" s="100" t="s">
        <v>31</v>
      </c>
      <c r="W4" s="99" t="s">
        <v>32</v>
      </c>
      <c r="X4" s="99" t="s">
        <v>33</v>
      </c>
      <c r="Y4" s="100" t="s">
        <v>34</v>
      </c>
      <c r="Z4" s="99" t="s">
        <v>35</v>
      </c>
      <c r="AA4" s="99" t="s">
        <v>36</v>
      </c>
      <c r="AB4" s="100" t="s">
        <v>34</v>
      </c>
      <c r="AC4" s="99" t="s">
        <v>37</v>
      </c>
      <c r="AD4" s="99" t="s">
        <v>38</v>
      </c>
      <c r="AE4" s="100" t="s">
        <v>34</v>
      </c>
      <c r="AF4" s="99" t="s">
        <v>39</v>
      </c>
      <c r="AG4" s="99" t="s">
        <v>40</v>
      </c>
      <c r="AH4" s="100" t="s">
        <v>34</v>
      </c>
      <c r="AI4" s="99" t="s">
        <v>41</v>
      </c>
      <c r="AJ4" s="99" t="s">
        <v>42</v>
      </c>
      <c r="AK4" s="100" t="s">
        <v>34</v>
      </c>
      <c r="AL4" s="255"/>
      <c r="AM4" s="99" t="s">
        <v>43</v>
      </c>
      <c r="AN4" s="99" t="s">
        <v>44</v>
      </c>
      <c r="AO4" s="100" t="s">
        <v>34</v>
      </c>
      <c r="AP4" s="99" t="s">
        <v>45</v>
      </c>
      <c r="AQ4" s="99" t="s">
        <v>46</v>
      </c>
      <c r="AR4" s="99" t="s">
        <v>47</v>
      </c>
      <c r="AS4" s="99" t="s">
        <v>176</v>
      </c>
      <c r="AT4" s="100" t="s">
        <v>34</v>
      </c>
    </row>
    <row r="5" spans="1:46" x14ac:dyDescent="0.25">
      <c r="A5" s="109" t="s">
        <v>239</v>
      </c>
      <c r="B5" s="3"/>
      <c r="C5" s="7"/>
      <c r="D5" s="8"/>
      <c r="E5" s="9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  <c r="W5" s="10"/>
      <c r="X5" s="10"/>
      <c r="Y5" s="11"/>
      <c r="Z5" s="10"/>
      <c r="AA5" s="10"/>
      <c r="AB5" s="11"/>
      <c r="AC5" s="10"/>
      <c r="AD5" s="10"/>
      <c r="AE5" s="11"/>
      <c r="AF5" s="17"/>
      <c r="AG5" s="17"/>
      <c r="AH5" s="11"/>
      <c r="AI5" s="10"/>
      <c r="AJ5" s="10"/>
      <c r="AK5" s="12"/>
      <c r="AL5" s="13"/>
      <c r="AM5" s="10"/>
      <c r="AN5" s="10"/>
      <c r="AO5" s="11"/>
      <c r="AP5" s="10"/>
      <c r="AQ5" s="10"/>
      <c r="AR5" s="10"/>
      <c r="AS5" s="10"/>
      <c r="AT5" s="12"/>
    </row>
    <row r="6" spans="1:46" x14ac:dyDescent="0.25">
      <c r="A6" s="15" t="s">
        <v>48</v>
      </c>
      <c r="B6" s="16"/>
      <c r="C6" s="17">
        <v>30</v>
      </c>
      <c r="D6" s="18"/>
      <c r="E6" s="17" t="s">
        <v>49</v>
      </c>
      <c r="F6" s="17">
        <f>C6*1440</f>
        <v>43200</v>
      </c>
      <c r="G6" s="19">
        <f>F6-H6-I6</f>
        <v>43200</v>
      </c>
      <c r="H6" s="19">
        <f>AO6</f>
        <v>0</v>
      </c>
      <c r="I6" s="20">
        <f>AT6</f>
        <v>0</v>
      </c>
      <c r="J6" s="19"/>
      <c r="K6" s="17"/>
      <c r="L6" s="17"/>
      <c r="M6" s="17"/>
      <c r="N6" s="17"/>
      <c r="O6" s="17"/>
      <c r="P6" s="17"/>
      <c r="Q6" s="17"/>
      <c r="R6" s="17"/>
      <c r="S6" s="17"/>
      <c r="T6" s="17">
        <f>+'PM 11'!AF153+'PM 11'!AG153+'PM 11'!AH153+'PM 11'!AI153</f>
        <v>1766</v>
      </c>
      <c r="U6" s="17">
        <f>+'PM 11'!AN153</f>
        <v>350</v>
      </c>
      <c r="V6" s="21">
        <f>SUM(T6:U6)</f>
        <v>2116</v>
      </c>
      <c r="W6" s="17">
        <f>+'PM 11'!AK153</f>
        <v>86</v>
      </c>
      <c r="X6" s="17">
        <f>+'PM 11'!AP153</f>
        <v>80</v>
      </c>
      <c r="Y6" s="21">
        <f>SUM(W6:X6)</f>
        <v>166</v>
      </c>
      <c r="Z6" s="17">
        <f>+'PM 11'!AJ153</f>
        <v>77</v>
      </c>
      <c r="AA6" s="17">
        <f>+'PM 11'!AO153</f>
        <v>602</v>
      </c>
      <c r="AB6" s="21">
        <f>SUM(Z6:AA6)</f>
        <v>679</v>
      </c>
      <c r="AC6" s="17">
        <f>+'PM 11'!AL153</f>
        <v>0</v>
      </c>
      <c r="AD6" s="17">
        <f>+'PM 11'!AQ153</f>
        <v>0</v>
      </c>
      <c r="AE6" s="21">
        <f>SUM(AC6:AD6)</f>
        <v>0</v>
      </c>
      <c r="AF6" s="17">
        <f>+'PM 11'!AX153+'PM 11'!AY153</f>
        <v>75</v>
      </c>
      <c r="AG6" s="17">
        <f>+'PM 11'!AV153+'PM 11'!AW153</f>
        <v>0</v>
      </c>
      <c r="AH6" s="21">
        <f>SUM(AF6:AG6)</f>
        <v>75</v>
      </c>
      <c r="AI6" s="17">
        <v>0</v>
      </c>
      <c r="AJ6" s="17">
        <f>+'PM 11'!AS153</f>
        <v>199</v>
      </c>
      <c r="AK6" s="21">
        <f>SUM(AI6:AJ6)</f>
        <v>199</v>
      </c>
      <c r="AL6" s="21">
        <f>V6+Y6+AB6+AE6+AH6+AK6</f>
        <v>3235</v>
      </c>
      <c r="AM6" s="17">
        <v>0</v>
      </c>
      <c r="AN6" s="17">
        <v>0</v>
      </c>
      <c r="AO6" s="21">
        <f>SUM(AM6:AN6)</f>
        <v>0</v>
      </c>
      <c r="AP6" s="17">
        <v>0</v>
      </c>
      <c r="AQ6" s="17">
        <v>0</v>
      </c>
      <c r="AR6" s="17">
        <f>+'PM 11'!AU165</f>
        <v>0</v>
      </c>
      <c r="AS6" s="17">
        <v>0</v>
      </c>
      <c r="AT6" s="21">
        <f>SUM(AP6:AS6)</f>
        <v>0</v>
      </c>
    </row>
    <row r="7" spans="1:46" x14ac:dyDescent="0.25">
      <c r="A7" s="17"/>
      <c r="B7" s="18"/>
      <c r="C7" s="17"/>
      <c r="D7" s="18"/>
      <c r="E7" s="17" t="s">
        <v>50</v>
      </c>
      <c r="F7" s="22">
        <f>F6/F6</f>
        <v>1</v>
      </c>
      <c r="G7" s="23">
        <f>G6/F6</f>
        <v>1</v>
      </c>
      <c r="H7" s="23">
        <f>H6/F6</f>
        <v>0</v>
      </c>
      <c r="I7" s="24">
        <f>I6/F6</f>
        <v>0</v>
      </c>
      <c r="J7" s="23"/>
      <c r="K7" s="17"/>
      <c r="L7" s="17"/>
      <c r="M7" s="17"/>
      <c r="N7" s="17"/>
      <c r="O7" s="17"/>
      <c r="P7" s="17"/>
      <c r="Q7" s="17"/>
      <c r="R7" s="17"/>
      <c r="S7" s="17"/>
      <c r="T7" s="22">
        <f>T6/$F$6</f>
        <v>4.0879629629629627E-2</v>
      </c>
      <c r="U7" s="22">
        <f>U6/$F$6</f>
        <v>8.1018518518518514E-3</v>
      </c>
      <c r="V7" s="25">
        <f>V6/$F$6</f>
        <v>4.898148148148148E-2</v>
      </c>
      <c r="W7" s="22">
        <f t="shared" ref="W7:AT7" si="0">W6/$F$6</f>
        <v>1.9907407407407408E-3</v>
      </c>
      <c r="X7" s="22">
        <f t="shared" si="0"/>
        <v>1.8518518518518519E-3</v>
      </c>
      <c r="Y7" s="25">
        <f t="shared" si="0"/>
        <v>3.8425925925925928E-3</v>
      </c>
      <c r="Z7" s="22">
        <f t="shared" si="0"/>
        <v>1.7824074074074075E-3</v>
      </c>
      <c r="AA7" s="22">
        <f t="shared" si="0"/>
        <v>1.3935185185185186E-2</v>
      </c>
      <c r="AB7" s="25">
        <f t="shared" si="0"/>
        <v>1.5717592592592592E-2</v>
      </c>
      <c r="AC7" s="22">
        <f t="shared" si="0"/>
        <v>0</v>
      </c>
      <c r="AD7" s="22">
        <f t="shared" si="0"/>
        <v>0</v>
      </c>
      <c r="AE7" s="25">
        <f t="shared" si="0"/>
        <v>0</v>
      </c>
      <c r="AF7" s="22">
        <f t="shared" si="0"/>
        <v>1.736111111111111E-3</v>
      </c>
      <c r="AG7" s="22">
        <f t="shared" si="0"/>
        <v>0</v>
      </c>
      <c r="AH7" s="25">
        <f t="shared" si="0"/>
        <v>1.736111111111111E-3</v>
      </c>
      <c r="AI7" s="22">
        <f t="shared" si="0"/>
        <v>0</v>
      </c>
      <c r="AJ7" s="22">
        <f t="shared" si="0"/>
        <v>4.6064814814814814E-3</v>
      </c>
      <c r="AK7" s="25">
        <f t="shared" si="0"/>
        <v>4.6064814814814814E-3</v>
      </c>
      <c r="AL7" s="25">
        <f t="shared" si="0"/>
        <v>7.4884259259259262E-2</v>
      </c>
      <c r="AM7" s="22">
        <f t="shared" si="0"/>
        <v>0</v>
      </c>
      <c r="AN7" s="22">
        <f t="shared" si="0"/>
        <v>0</v>
      </c>
      <c r="AO7" s="25">
        <f t="shared" si="0"/>
        <v>0</v>
      </c>
      <c r="AP7" s="22">
        <f t="shared" si="0"/>
        <v>0</v>
      </c>
      <c r="AQ7" s="22">
        <f t="shared" si="0"/>
        <v>0</v>
      </c>
      <c r="AR7" s="22">
        <f t="shared" si="0"/>
        <v>0</v>
      </c>
      <c r="AS7" s="22">
        <f t="shared" si="0"/>
        <v>0</v>
      </c>
      <c r="AT7" s="25">
        <f t="shared" si="0"/>
        <v>0</v>
      </c>
    </row>
    <row r="8" spans="1:46" x14ac:dyDescent="0.25">
      <c r="A8" s="17"/>
      <c r="B8" s="18"/>
      <c r="C8" s="17"/>
      <c r="D8" s="18"/>
      <c r="E8" s="26" t="s">
        <v>51</v>
      </c>
      <c r="F8" s="27">
        <f>+[1]Efficiency1!$K$153</f>
        <v>1870.6123418817328</v>
      </c>
      <c r="G8" s="27">
        <f>K8*G6/G6</f>
        <v>1870.6123418817328</v>
      </c>
      <c r="H8" s="27">
        <f>K8*H6/G6</f>
        <v>0</v>
      </c>
      <c r="I8" s="27">
        <f>K8*I6/G6</f>
        <v>0</v>
      </c>
      <c r="J8" s="28">
        <f>+'PM 11'!W153</f>
        <v>1595.056</v>
      </c>
      <c r="K8" s="29">
        <f>+'PM 11'!K153</f>
        <v>1870.6123418817328</v>
      </c>
      <c r="L8" s="30">
        <f>J8</f>
        <v>1595.056</v>
      </c>
      <c r="M8" s="29">
        <f>K8-L8</f>
        <v>275.55634188173281</v>
      </c>
      <c r="N8" s="29">
        <f>+'PM 11'!Z153+'PM 11'!AA153</f>
        <v>34.652881454530785</v>
      </c>
      <c r="O8" s="29">
        <f>+'PM 11'!AC153+'PM 11'!AB153</f>
        <v>95.831666273617813</v>
      </c>
      <c r="P8" s="29">
        <f>M8-N8-O8</f>
        <v>145.07179415358422</v>
      </c>
      <c r="Q8" s="29"/>
      <c r="R8" s="29"/>
      <c r="S8" s="29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31"/>
      <c r="AM8" s="17"/>
      <c r="AN8" s="17"/>
      <c r="AO8" s="17"/>
      <c r="AP8" s="17"/>
      <c r="AQ8" s="17"/>
      <c r="AR8" s="17"/>
      <c r="AS8" s="17"/>
      <c r="AT8" s="17"/>
    </row>
    <row r="9" spans="1:46" x14ac:dyDescent="0.25">
      <c r="A9" s="17"/>
      <c r="B9" s="18"/>
      <c r="C9" s="17"/>
      <c r="D9" s="18"/>
      <c r="E9" s="26" t="s">
        <v>50</v>
      </c>
      <c r="F9" s="22">
        <f>F8/F8</f>
        <v>1</v>
      </c>
      <c r="G9" s="22">
        <f>G8/F8</f>
        <v>1</v>
      </c>
      <c r="H9" s="22">
        <f>H8/F8</f>
        <v>0</v>
      </c>
      <c r="I9" s="22">
        <f>I8/F8</f>
        <v>0</v>
      </c>
      <c r="J9" s="32">
        <f>J8/F8</f>
        <v>0.8526919042966763</v>
      </c>
      <c r="K9" s="22">
        <f>K8/K8</f>
        <v>1</v>
      </c>
      <c r="L9" s="33">
        <f>L8/K8</f>
        <v>0.8526919042966763</v>
      </c>
      <c r="M9" s="22">
        <f>M8/K8</f>
        <v>0.1473080957033237</v>
      </c>
      <c r="N9" s="22">
        <f>N8/K8</f>
        <v>1.8524886572528383E-2</v>
      </c>
      <c r="O9" s="22">
        <f>O8/K8</f>
        <v>5.1230104777998227E-2</v>
      </c>
      <c r="P9" s="22">
        <f>P8/K8</f>
        <v>7.7553104352797109E-2</v>
      </c>
      <c r="Q9" s="22"/>
      <c r="R9" s="22"/>
      <c r="S9" s="22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</row>
    <row r="10" spans="1:46" x14ac:dyDescent="0.25">
      <c r="A10" s="17"/>
      <c r="B10" s="18"/>
      <c r="C10" s="17"/>
      <c r="D10" s="18"/>
      <c r="E10" s="17" t="s">
        <v>52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>
        <f>+'PM 11'!O153</f>
        <v>267.21724084657473</v>
      </c>
      <c r="R10" s="34">
        <f>S10-Q10</f>
        <v>9.7827591534252747</v>
      </c>
      <c r="S10" s="17">
        <v>277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</row>
    <row r="11" spans="1:46" x14ac:dyDescent="0.25">
      <c r="A11" s="17"/>
      <c r="B11" s="18"/>
      <c r="C11" s="17"/>
      <c r="D11" s="18"/>
      <c r="E11" s="17" t="s">
        <v>50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35">
        <f>Q10/S10</f>
        <v>0.9646831799515333</v>
      </c>
      <c r="R11" s="36">
        <f>R10/S10</f>
        <v>3.5316820048466695E-2</v>
      </c>
      <c r="S11" s="35">
        <f>S10/S10</f>
        <v>1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x14ac:dyDescent="0.25">
      <c r="A12" s="17"/>
      <c r="B12" s="18"/>
      <c r="C12" s="17"/>
      <c r="D12" s="18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</row>
    <row r="13" spans="1:46" x14ac:dyDescent="0.25">
      <c r="A13" s="15" t="s">
        <v>53</v>
      </c>
      <c r="B13" s="16"/>
      <c r="C13" s="17">
        <f>+C6</f>
        <v>30</v>
      </c>
      <c r="D13" s="18"/>
      <c r="E13" s="17" t="s">
        <v>49</v>
      </c>
      <c r="F13" s="17">
        <f>C13*1440</f>
        <v>43200</v>
      </c>
      <c r="G13" s="19">
        <f>F13-H13-I13</f>
        <v>43200</v>
      </c>
      <c r="H13" s="19">
        <f>AO13</f>
        <v>0</v>
      </c>
      <c r="I13" s="20">
        <f>+AT13</f>
        <v>0</v>
      </c>
      <c r="J13" s="19"/>
      <c r="K13" s="17"/>
      <c r="L13" s="17"/>
      <c r="M13" s="17"/>
      <c r="N13" s="17"/>
      <c r="O13" s="17"/>
      <c r="P13" s="17"/>
      <c r="Q13" s="17"/>
      <c r="R13" s="17"/>
      <c r="S13" s="17"/>
      <c r="T13" s="17">
        <f>+'PM 12'!AF142+'PM 12'!AG142+'PM 12'!AH142+'PM 12'!AI142</f>
        <v>1273</v>
      </c>
      <c r="U13" s="17">
        <f>+'PM 12'!AN142</f>
        <v>240</v>
      </c>
      <c r="V13" s="21">
        <f>SUM(T13:U13)</f>
        <v>1513</v>
      </c>
      <c r="W13" s="17">
        <f>+'PM 12'!AK142</f>
        <v>0</v>
      </c>
      <c r="X13" s="17">
        <f>+'PM 12'!AP142</f>
        <v>25</v>
      </c>
      <c r="Y13" s="21">
        <f>SUM(W13:X13)</f>
        <v>25</v>
      </c>
      <c r="Z13" s="17">
        <f>+'PM 12'!AJ142</f>
        <v>0</v>
      </c>
      <c r="AA13" s="17">
        <f>+'PM 12'!AO142</f>
        <v>230</v>
      </c>
      <c r="AB13" s="21">
        <f>SUM(Z13:AA13)</f>
        <v>230</v>
      </c>
      <c r="AC13" s="17">
        <f>+'PM 12'!AL142</f>
        <v>0</v>
      </c>
      <c r="AD13" s="17">
        <f>+'PM 12'!AQ142</f>
        <v>0</v>
      </c>
      <c r="AE13" s="21">
        <f>SUM(AC13:AD13)</f>
        <v>0</v>
      </c>
      <c r="AF13" s="17">
        <f>+'PM 12'!AX142+'PM 12'!AY142</f>
        <v>30</v>
      </c>
      <c r="AG13" s="17">
        <f>+'PM 12'!AV142+'PM 12'!AW142</f>
        <v>0</v>
      </c>
      <c r="AH13" s="21">
        <f>SUM(AF13:AG13)</f>
        <v>30</v>
      </c>
      <c r="AI13" s="17">
        <v>0</v>
      </c>
      <c r="AJ13" s="17">
        <f>+'PM 12'!AS142</f>
        <v>0</v>
      </c>
      <c r="AK13" s="21">
        <f>SUM(AI13:AJ13)</f>
        <v>0</v>
      </c>
      <c r="AL13" s="21">
        <f>V13+Y13+AB13+AE13+AH13+AK13</f>
        <v>1798</v>
      </c>
      <c r="AM13" s="17">
        <v>0</v>
      </c>
      <c r="AN13" s="17">
        <v>0</v>
      </c>
      <c r="AO13" s="21">
        <f>SUM(AM13:AN13)</f>
        <v>0</v>
      </c>
      <c r="AP13" s="17">
        <v>0</v>
      </c>
      <c r="AQ13" s="17">
        <v>0</v>
      </c>
      <c r="AR13" s="17">
        <f>+'PM 12'!AZ142</f>
        <v>0</v>
      </c>
      <c r="AS13" s="17">
        <v>0</v>
      </c>
      <c r="AT13" s="21">
        <f>SUM(AP13:AS13)</f>
        <v>0</v>
      </c>
    </row>
    <row r="14" spans="1:46" x14ac:dyDescent="0.25">
      <c r="A14" s="17"/>
      <c r="B14" s="18"/>
      <c r="C14" s="17"/>
      <c r="D14" s="18">
        <v>0</v>
      </c>
      <c r="E14" s="17" t="s">
        <v>50</v>
      </c>
      <c r="F14" s="22">
        <f>F13/F13</f>
        <v>1</v>
      </c>
      <c r="G14" s="23">
        <f>G13/F13</f>
        <v>1</v>
      </c>
      <c r="H14" s="23">
        <f>H13/F13</f>
        <v>0</v>
      </c>
      <c r="I14" s="24">
        <f>I13/F13</f>
        <v>0</v>
      </c>
      <c r="J14" s="23"/>
      <c r="K14" s="17"/>
      <c r="L14" s="17"/>
      <c r="M14" s="17"/>
      <c r="N14" s="17"/>
      <c r="O14" s="17"/>
      <c r="P14" s="17"/>
      <c r="Q14" s="17"/>
      <c r="R14" s="17"/>
      <c r="S14" s="17"/>
      <c r="T14" s="22">
        <f>T13/$F$6</f>
        <v>2.9467592592592594E-2</v>
      </c>
      <c r="U14" s="22">
        <f>U13/$F$6</f>
        <v>5.5555555555555558E-3</v>
      </c>
      <c r="V14" s="25">
        <f>V13/$F$6</f>
        <v>3.502314814814815E-2</v>
      </c>
      <c r="W14" s="22">
        <f t="shared" ref="W14:AS14" si="1">W13/$F$6</f>
        <v>0</v>
      </c>
      <c r="X14" s="22">
        <f t="shared" si="1"/>
        <v>5.7870370370370367E-4</v>
      </c>
      <c r="Y14" s="25">
        <f t="shared" si="1"/>
        <v>5.7870370370370367E-4</v>
      </c>
      <c r="Z14" s="22">
        <f t="shared" si="1"/>
        <v>0</v>
      </c>
      <c r="AA14" s="22">
        <f t="shared" si="1"/>
        <v>5.324074074074074E-3</v>
      </c>
      <c r="AB14" s="25">
        <f t="shared" si="1"/>
        <v>5.324074074074074E-3</v>
      </c>
      <c r="AC14" s="22">
        <f t="shared" si="1"/>
        <v>0</v>
      </c>
      <c r="AD14" s="22">
        <f t="shared" si="1"/>
        <v>0</v>
      </c>
      <c r="AE14" s="25">
        <f t="shared" si="1"/>
        <v>0</v>
      </c>
      <c r="AF14" s="22">
        <f t="shared" si="1"/>
        <v>6.9444444444444447E-4</v>
      </c>
      <c r="AG14" s="22">
        <f t="shared" si="1"/>
        <v>0</v>
      </c>
      <c r="AH14" s="25">
        <f t="shared" si="1"/>
        <v>6.9444444444444447E-4</v>
      </c>
      <c r="AI14" s="22">
        <f t="shared" si="1"/>
        <v>0</v>
      </c>
      <c r="AJ14" s="22">
        <f t="shared" si="1"/>
        <v>0</v>
      </c>
      <c r="AK14" s="25">
        <f t="shared" si="1"/>
        <v>0</v>
      </c>
      <c r="AL14" s="25">
        <f t="shared" si="1"/>
        <v>4.162037037037037E-2</v>
      </c>
      <c r="AM14" s="22">
        <f t="shared" si="1"/>
        <v>0</v>
      </c>
      <c r="AN14" s="22">
        <f t="shared" si="1"/>
        <v>0</v>
      </c>
      <c r="AO14" s="25">
        <f t="shared" si="1"/>
        <v>0</v>
      </c>
      <c r="AP14" s="22">
        <f t="shared" si="1"/>
        <v>0</v>
      </c>
      <c r="AQ14" s="22">
        <f t="shared" si="1"/>
        <v>0</v>
      </c>
      <c r="AR14" s="22">
        <f t="shared" si="1"/>
        <v>0</v>
      </c>
      <c r="AS14" s="22">
        <f t="shared" si="1"/>
        <v>0</v>
      </c>
      <c r="AT14" s="25">
        <f>AT13/$F$6</f>
        <v>0</v>
      </c>
    </row>
    <row r="15" spans="1:46" x14ac:dyDescent="0.25">
      <c r="A15" s="17"/>
      <c r="B15" s="18"/>
      <c r="C15" s="17"/>
      <c r="D15" s="18"/>
      <c r="E15" s="17" t="s">
        <v>51</v>
      </c>
      <c r="F15" s="27">
        <f>+[2]Efficiency1!$K$142</f>
        <v>1910.4904951635374</v>
      </c>
      <c r="G15" s="27">
        <f>K15*G13/G13</f>
        <v>1910.4904951635372</v>
      </c>
      <c r="H15" s="27">
        <f>K15*H13/G13</f>
        <v>0</v>
      </c>
      <c r="I15" s="27">
        <f>K15*I13/G13</f>
        <v>0</v>
      </c>
      <c r="J15" s="28">
        <f>+'PM 12'!W142</f>
        <v>1727.1939999999997</v>
      </c>
      <c r="K15" s="29">
        <f>+'PM 12'!K142</f>
        <v>1910.4904951635374</v>
      </c>
      <c r="L15" s="30">
        <f>J15</f>
        <v>1727.1939999999997</v>
      </c>
      <c r="M15" s="29">
        <f>K15-L15</f>
        <v>183.29649516353766</v>
      </c>
      <c r="N15" s="29">
        <f>+'PM 12'!Z142+'PM 12'!AA142</f>
        <v>61.690347703289646</v>
      </c>
      <c r="O15" s="29">
        <f>+'PM 12'!AB142+'PM 12'!AC142</f>
        <v>41.430056557289859</v>
      </c>
      <c r="P15" s="29">
        <f>M15-N15-O15</f>
        <v>80.176090902958151</v>
      </c>
      <c r="Q15" s="29"/>
      <c r="R15" s="29"/>
      <c r="S15" s="29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31"/>
      <c r="AM15" s="17"/>
      <c r="AN15" s="17"/>
      <c r="AO15" s="17"/>
      <c r="AP15" s="17"/>
      <c r="AQ15" s="17"/>
      <c r="AR15" s="17"/>
      <c r="AS15" s="17"/>
      <c r="AT15" s="17"/>
    </row>
    <row r="16" spans="1:46" x14ac:dyDescent="0.25">
      <c r="A16" s="17"/>
      <c r="B16" s="18"/>
      <c r="C16" s="17"/>
      <c r="D16" s="18"/>
      <c r="E16" s="17" t="s">
        <v>50</v>
      </c>
      <c r="F16" s="22">
        <f>F15/F15</f>
        <v>1</v>
      </c>
      <c r="G16" s="22">
        <f>G15/F15</f>
        <v>0.99999999999999989</v>
      </c>
      <c r="H16" s="22">
        <f>H15/F15</f>
        <v>0</v>
      </c>
      <c r="I16" s="22">
        <f>I15/F15</f>
        <v>0</v>
      </c>
      <c r="J16" s="32">
        <f>J15/F15</f>
        <v>0.90405788689995681</v>
      </c>
      <c r="K16" s="22">
        <f>K15/K15</f>
        <v>1</v>
      </c>
      <c r="L16" s="33">
        <f>L15/K15</f>
        <v>0.90405788689995681</v>
      </c>
      <c r="M16" s="22">
        <f>M15/K15</f>
        <v>9.5942113100043205E-2</v>
      </c>
      <c r="N16" s="22">
        <f>N15/K15</f>
        <v>3.2290319087930855E-2</v>
      </c>
      <c r="O16" s="22">
        <f>O15/K15</f>
        <v>2.1685560154406033E-2</v>
      </c>
      <c r="P16" s="22">
        <f>P15/K15</f>
        <v>4.1966233857706321E-2</v>
      </c>
      <c r="Q16" s="22"/>
      <c r="R16" s="22"/>
      <c r="S16" s="22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 spans="1:46" x14ac:dyDescent="0.25">
      <c r="A17" s="17"/>
      <c r="B17" s="18"/>
      <c r="C17" s="17"/>
      <c r="D17" s="18"/>
      <c r="E17" s="17" t="s">
        <v>52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>
        <f>+'PM 12'!O142</f>
        <v>324.44656494044528</v>
      </c>
      <c r="R17" s="34">
        <f>S17-Q17</f>
        <v>11.553435059554715</v>
      </c>
      <c r="S17" s="17">
        <v>336</v>
      </c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</row>
    <row r="18" spans="1:46" x14ac:dyDescent="0.25">
      <c r="A18" s="17"/>
      <c r="B18" s="18"/>
      <c r="C18" s="17"/>
      <c r="D18" s="18"/>
      <c r="E18" s="17" t="s">
        <v>50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35">
        <f>Q17/S17</f>
        <v>0.96561477660846806</v>
      </c>
      <c r="R18" s="36">
        <f>R17/S17</f>
        <v>3.438522339153189E-2</v>
      </c>
      <c r="S18" s="35">
        <f>S17/S17</f>
        <v>1</v>
      </c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</row>
    <row r="19" spans="1:46" x14ac:dyDescent="0.25">
      <c r="A19" s="17"/>
      <c r="B19" s="18"/>
      <c r="C19" s="17"/>
      <c r="D19" s="18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</row>
    <row r="20" spans="1:46" x14ac:dyDescent="0.25">
      <c r="A20" s="15" t="s">
        <v>54</v>
      </c>
      <c r="B20" s="16"/>
      <c r="C20" s="17">
        <f>+C13</f>
        <v>30</v>
      </c>
      <c r="D20" s="18"/>
      <c r="E20" s="17" t="s">
        <v>49</v>
      </c>
      <c r="F20" s="17">
        <f>C20*1680</f>
        <v>50400</v>
      </c>
      <c r="G20" s="19">
        <f>F20-H20-I20</f>
        <v>27204</v>
      </c>
      <c r="H20" s="19">
        <f>AO20</f>
        <v>23196</v>
      </c>
      <c r="I20" s="20">
        <f>+AT20</f>
        <v>0</v>
      </c>
      <c r="J20" s="19"/>
      <c r="K20" s="17"/>
      <c r="L20" s="17"/>
      <c r="M20" s="17"/>
      <c r="N20" s="17"/>
      <c r="O20" s="17"/>
      <c r="P20" s="17"/>
      <c r="Q20" s="17"/>
      <c r="R20" s="17"/>
      <c r="S20" s="17"/>
      <c r="T20" s="17">
        <f>+'PM 14'!AF168+'PM 14'!AG168+'PM 14'!AH168+'PM 14'!AI168</f>
        <v>901</v>
      </c>
      <c r="U20" s="17">
        <f>+'PM 14'!AN168</f>
        <v>107</v>
      </c>
      <c r="V20" s="21">
        <f>SUM(T20:U20)</f>
        <v>1008</v>
      </c>
      <c r="W20" s="17">
        <f>+'PM 14'!AK168</f>
        <v>90</v>
      </c>
      <c r="X20" s="17">
        <f>+'PM 14'!AP168</f>
        <v>85</v>
      </c>
      <c r="Y20" s="21">
        <f>SUM(W20:X20)</f>
        <v>175</v>
      </c>
      <c r="Z20" s="17">
        <f>+'PM 14'!AJ168</f>
        <v>0</v>
      </c>
      <c r="AA20" s="17">
        <f>+'PM 14'!AO168</f>
        <v>0</v>
      </c>
      <c r="AB20" s="21">
        <f>SUM(Z20:AA20)</f>
        <v>0</v>
      </c>
      <c r="AC20" s="17">
        <f>+'PM 14'!AL168</f>
        <v>0</v>
      </c>
      <c r="AD20" s="17">
        <f>+'PM 14'!AQ168</f>
        <v>0</v>
      </c>
      <c r="AE20" s="21">
        <f>SUM(AC20:AD20)</f>
        <v>0</v>
      </c>
      <c r="AF20" s="17">
        <f>+'PM 14'!AY168+'PM 14'!AX168</f>
        <v>0</v>
      </c>
      <c r="AG20" s="17">
        <f>+'PM 14'!AV168+'PM 14'!AW168</f>
        <v>0</v>
      </c>
      <c r="AH20" s="21">
        <f>SUM(AF20:AG20)</f>
        <v>0</v>
      </c>
      <c r="AI20" s="17">
        <v>0</v>
      </c>
      <c r="AJ20" s="17">
        <f>+'PM 14'!AS168</f>
        <v>0</v>
      </c>
      <c r="AK20" s="21">
        <f>SUM(AI20:AJ20)</f>
        <v>0</v>
      </c>
      <c r="AL20" s="21">
        <f>V20+Y20+AB20+AE20+AH20+AK20</f>
        <v>1183</v>
      </c>
      <c r="AM20" s="17">
        <f>+'PM 14'!AY143-Resume!AH20</f>
        <v>0</v>
      </c>
      <c r="AN20" s="17">
        <f>+'PM 14'!AZ170</f>
        <v>23196</v>
      </c>
      <c r="AO20" s="21">
        <f>SUM(AM20:AN20)</f>
        <v>23196</v>
      </c>
      <c r="AP20" s="17">
        <f>+'PM 14'!AU169</f>
        <v>0</v>
      </c>
      <c r="AQ20" s="17">
        <v>0</v>
      </c>
      <c r="AR20" s="17">
        <v>0</v>
      </c>
      <c r="AS20" s="17">
        <v>0</v>
      </c>
      <c r="AT20" s="21">
        <f>SUM(AP20:AS20)</f>
        <v>0</v>
      </c>
    </row>
    <row r="21" spans="1:46" x14ac:dyDescent="0.25">
      <c r="A21" s="17"/>
      <c r="B21" s="18"/>
      <c r="C21" s="17"/>
      <c r="D21" s="18"/>
      <c r="E21" s="17" t="s">
        <v>50</v>
      </c>
      <c r="F21" s="22">
        <f>F20/F20</f>
        <v>1</v>
      </c>
      <c r="G21" s="23">
        <f>G20/F20</f>
        <v>0.53976190476190478</v>
      </c>
      <c r="H21" s="23">
        <f>H20/F20</f>
        <v>0.46023809523809522</v>
      </c>
      <c r="I21" s="24">
        <f>I20/F20</f>
        <v>0</v>
      </c>
      <c r="J21" s="23"/>
      <c r="K21" s="17"/>
      <c r="L21" s="17"/>
      <c r="M21" s="17"/>
      <c r="N21" s="17"/>
      <c r="O21" s="17"/>
      <c r="P21" s="17"/>
      <c r="Q21" s="17"/>
      <c r="R21" s="17"/>
      <c r="S21" s="17"/>
      <c r="T21" s="22">
        <f>T20/$F$6</f>
        <v>2.0856481481481483E-2</v>
      </c>
      <c r="U21" s="22">
        <f>U20/$F$6</f>
        <v>2.476851851851852E-3</v>
      </c>
      <c r="V21" s="25">
        <f>V20/$F$6</f>
        <v>2.3333333333333334E-2</v>
      </c>
      <c r="W21" s="22">
        <f t="shared" ref="W21:AT21" si="2">W20/$F$6</f>
        <v>2.0833333333333333E-3</v>
      </c>
      <c r="X21" s="22">
        <f t="shared" si="2"/>
        <v>1.9675925925925924E-3</v>
      </c>
      <c r="Y21" s="25">
        <f t="shared" si="2"/>
        <v>4.0509259259259257E-3</v>
      </c>
      <c r="Z21" s="22">
        <f t="shared" si="2"/>
        <v>0</v>
      </c>
      <c r="AA21" s="22">
        <f t="shared" si="2"/>
        <v>0</v>
      </c>
      <c r="AB21" s="25">
        <f t="shared" si="2"/>
        <v>0</v>
      </c>
      <c r="AC21" s="22">
        <f t="shared" si="2"/>
        <v>0</v>
      </c>
      <c r="AD21" s="22">
        <f t="shared" si="2"/>
        <v>0</v>
      </c>
      <c r="AE21" s="25">
        <f t="shared" si="2"/>
        <v>0</v>
      </c>
      <c r="AF21" s="22">
        <f t="shared" si="2"/>
        <v>0</v>
      </c>
      <c r="AG21" s="22">
        <f t="shared" si="2"/>
        <v>0</v>
      </c>
      <c r="AH21" s="25">
        <f t="shared" si="2"/>
        <v>0</v>
      </c>
      <c r="AI21" s="22">
        <f t="shared" si="2"/>
        <v>0</v>
      </c>
      <c r="AJ21" s="22">
        <f t="shared" si="2"/>
        <v>0</v>
      </c>
      <c r="AK21" s="25">
        <f t="shared" si="2"/>
        <v>0</v>
      </c>
      <c r="AL21" s="25">
        <f t="shared" si="2"/>
        <v>2.7384259259259261E-2</v>
      </c>
      <c r="AM21" s="22">
        <f t="shared" si="2"/>
        <v>0</v>
      </c>
      <c r="AN21" s="22">
        <f t="shared" si="2"/>
        <v>0.53694444444444445</v>
      </c>
      <c r="AO21" s="25">
        <f t="shared" si="2"/>
        <v>0.53694444444444445</v>
      </c>
      <c r="AP21" s="22">
        <f t="shared" si="2"/>
        <v>0</v>
      </c>
      <c r="AQ21" s="22">
        <f t="shared" si="2"/>
        <v>0</v>
      </c>
      <c r="AR21" s="22">
        <f t="shared" si="2"/>
        <v>0</v>
      </c>
      <c r="AS21" s="22">
        <f t="shared" si="2"/>
        <v>0</v>
      </c>
      <c r="AT21" s="25">
        <f t="shared" si="2"/>
        <v>0</v>
      </c>
    </row>
    <row r="22" spans="1:46" x14ac:dyDescent="0.25">
      <c r="A22" s="17"/>
      <c r="B22" s="18"/>
      <c r="C22" s="17"/>
      <c r="D22" s="18"/>
      <c r="E22" s="17" t="s">
        <v>51</v>
      </c>
      <c r="F22" s="27">
        <f>+[3]Efficiency1!$K$168</f>
        <v>1333.8945504418539</v>
      </c>
      <c r="G22" s="27">
        <f>K22*G20/G20</f>
        <v>635.9160702204432</v>
      </c>
      <c r="H22" s="27">
        <f>K22*H20/G20</f>
        <v>542.22574492109254</v>
      </c>
      <c r="I22" s="27">
        <f>K22*I20/G20</f>
        <v>0</v>
      </c>
      <c r="J22" s="28">
        <f>+'PM 14'!W168</f>
        <v>500.22699999999998</v>
      </c>
      <c r="K22" s="29">
        <f>+'PM 14'!K168</f>
        <v>635.91607022044332</v>
      </c>
      <c r="L22" s="30">
        <f>J22</f>
        <v>500.22699999999998</v>
      </c>
      <c r="M22" s="29">
        <f>K22-L22</f>
        <v>135.68907022044334</v>
      </c>
      <c r="N22" s="29">
        <f>+'PM 14'!Y168+'PM 14'!Z168+'PM 14'!AA168</f>
        <v>42.527350636680445</v>
      </c>
      <c r="O22" s="29">
        <f>+'PM 14'!AB168+'PM 14'!AC168</f>
        <v>55.515003614118811</v>
      </c>
      <c r="P22" s="29">
        <f>M22-N22-O22</f>
        <v>37.646715969644092</v>
      </c>
      <c r="Q22" s="29"/>
      <c r="R22" s="29"/>
      <c r="S22" s="29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31"/>
      <c r="AM22" s="17"/>
      <c r="AN22" s="17"/>
      <c r="AO22" s="17"/>
      <c r="AP22" s="17"/>
      <c r="AQ22" s="17"/>
      <c r="AR22" s="17"/>
      <c r="AS22" s="17"/>
      <c r="AT22" s="17"/>
    </row>
    <row r="23" spans="1:46" x14ac:dyDescent="0.25">
      <c r="A23" s="17"/>
      <c r="B23" s="18"/>
      <c r="C23" s="17"/>
      <c r="D23" s="18"/>
      <c r="E23" s="17" t="s">
        <v>50</v>
      </c>
      <c r="F23" s="22">
        <f>F22/F22</f>
        <v>1</v>
      </c>
      <c r="G23" s="22">
        <f>G22/F22</f>
        <v>0.47673638820234732</v>
      </c>
      <c r="H23" s="22">
        <f>H22/F22</f>
        <v>0.40649820837897549</v>
      </c>
      <c r="I23" s="22">
        <f>I22/F22</f>
        <v>0</v>
      </c>
      <c r="J23" s="32">
        <f>J22/F22</f>
        <v>0.37501240246787071</v>
      </c>
      <c r="K23" s="22">
        <f>K22/K22</f>
        <v>1</v>
      </c>
      <c r="L23" s="33">
        <f>L22/K22</f>
        <v>0.78662424716927493</v>
      </c>
      <c r="M23" s="22">
        <f>M22/K22</f>
        <v>0.2133757528307251</v>
      </c>
      <c r="N23" s="22">
        <f>N22/K22</f>
        <v>6.6875728776500554E-2</v>
      </c>
      <c r="O23" s="22">
        <f>O22/K22</f>
        <v>8.7299261984170762E-2</v>
      </c>
      <c r="P23" s="22">
        <f>P22/K22</f>
        <v>5.92007620700538E-2</v>
      </c>
      <c r="Q23" s="22"/>
      <c r="R23" s="22"/>
      <c r="S23" s="22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</row>
    <row r="24" spans="1:46" x14ac:dyDescent="0.25">
      <c r="A24" s="17"/>
      <c r="B24" s="18"/>
      <c r="C24" s="17"/>
      <c r="D24" s="18"/>
      <c r="E24" s="17" t="s">
        <v>52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>
        <f>+'PM 14'!O168</f>
        <v>260.14017088214786</v>
      </c>
      <c r="R24" s="34">
        <f>+S24-Q24</f>
        <v>13.859829117852144</v>
      </c>
      <c r="S24" s="17">
        <v>274</v>
      </c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</row>
    <row r="25" spans="1:46" x14ac:dyDescent="0.25">
      <c r="A25" s="17"/>
      <c r="B25" s="18"/>
      <c r="C25" s="17"/>
      <c r="D25" s="18"/>
      <c r="E25" s="17" t="s">
        <v>50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35">
        <f>Q24/S24</f>
        <v>0.94941668205163454</v>
      </c>
      <c r="R25" s="36">
        <f>R24/S24</f>
        <v>5.0583317948365486E-2</v>
      </c>
      <c r="S25" s="35">
        <f>S24/S24</f>
        <v>1</v>
      </c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</row>
    <row r="26" spans="1:46" x14ac:dyDescent="0.25">
      <c r="A26" s="17"/>
      <c r="B26" s="18"/>
      <c r="C26" s="17"/>
      <c r="D26" s="18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</row>
    <row r="27" spans="1:46" x14ac:dyDescent="0.25">
      <c r="A27" s="15" t="s">
        <v>55</v>
      </c>
      <c r="B27" s="16"/>
      <c r="C27" s="17">
        <f>+C20</f>
        <v>30</v>
      </c>
      <c r="D27" s="18"/>
      <c r="E27" s="17" t="s">
        <v>49</v>
      </c>
      <c r="F27" s="17">
        <f>C27*1440</f>
        <v>43200</v>
      </c>
      <c r="G27" s="19">
        <f>F27-H27-I27</f>
        <v>43200</v>
      </c>
      <c r="H27" s="19">
        <f>AO27</f>
        <v>0</v>
      </c>
      <c r="I27" s="20">
        <f>+AT27</f>
        <v>0</v>
      </c>
      <c r="J27" s="19"/>
      <c r="K27" s="17"/>
      <c r="L27" s="17"/>
      <c r="M27" s="17"/>
      <c r="N27" s="17"/>
      <c r="O27" s="17"/>
      <c r="P27" s="17"/>
      <c r="Q27" s="17"/>
      <c r="R27" s="17"/>
      <c r="S27" s="17"/>
      <c r="T27" s="17">
        <f>+'PM 15'!AF164+'PM 15'!AG164+'PM 15'!AH164+'PM 15'!AI164</f>
        <v>1398</v>
      </c>
      <c r="U27" s="17">
        <f>+'PM 15'!AN164</f>
        <v>597</v>
      </c>
      <c r="V27" s="21">
        <f>SUM(T27:U27)</f>
        <v>1995</v>
      </c>
      <c r="W27" s="17">
        <f>+'PM 15'!AK164</f>
        <v>33</v>
      </c>
      <c r="X27" s="17">
        <f>+'PM 15'!AP164</f>
        <v>170</v>
      </c>
      <c r="Y27" s="21">
        <f>SUM(W27:X27)</f>
        <v>203</v>
      </c>
      <c r="Z27" s="17">
        <f>+'PM 15'!AJ164</f>
        <v>0</v>
      </c>
      <c r="AA27" s="17">
        <f>+'PM 15'!AO164</f>
        <v>0</v>
      </c>
      <c r="AB27" s="21">
        <f>SUM(Z27:AA27)</f>
        <v>0</v>
      </c>
      <c r="AC27" s="17">
        <f>+'PM 15'!AL164</f>
        <v>0</v>
      </c>
      <c r="AD27" s="17">
        <f>+'PM 15'!AQ164</f>
        <v>0</v>
      </c>
      <c r="AE27" s="21">
        <f>SUM(AC27:AD27)</f>
        <v>0</v>
      </c>
      <c r="AF27" s="17">
        <f>+'PM 15'!AV164+'PM 15'!AW164</f>
        <v>0</v>
      </c>
      <c r="AG27" s="17">
        <f>+'PM 15'!AX164+'PM 15'!AY164</f>
        <v>0</v>
      </c>
      <c r="AH27" s="21">
        <f>SUM(AF27:AG27)</f>
        <v>0</v>
      </c>
      <c r="AI27" s="17">
        <v>0</v>
      </c>
      <c r="AJ27" s="17">
        <f>+'PM 15'!AS164</f>
        <v>609</v>
      </c>
      <c r="AK27" s="21">
        <f>SUM(AI27:AJ27)</f>
        <v>609</v>
      </c>
      <c r="AL27" s="21">
        <f>V27+Y27+AB27+AE27+AH27+AK27</f>
        <v>2807</v>
      </c>
      <c r="AM27" s="17">
        <f>+'PM 15'!AW196-Resume!AH27</f>
        <v>0</v>
      </c>
      <c r="AN27" s="17">
        <f>+'PM 15'!AZ158</f>
        <v>0</v>
      </c>
      <c r="AO27" s="21">
        <f>SUM(AM27:AN27)</f>
        <v>0</v>
      </c>
      <c r="AP27" s="17">
        <v>0</v>
      </c>
      <c r="AQ27" s="17">
        <f>+'PM 15'!AU165</f>
        <v>0</v>
      </c>
      <c r="AR27" s="17">
        <v>0</v>
      </c>
      <c r="AS27" s="17">
        <v>0</v>
      </c>
      <c r="AT27" s="21">
        <f>SUM(AP27:AS27)</f>
        <v>0</v>
      </c>
    </row>
    <row r="28" spans="1:46" x14ac:dyDescent="0.25">
      <c r="A28" s="17"/>
      <c r="B28" s="18"/>
      <c r="C28" s="17"/>
      <c r="D28" s="18"/>
      <c r="E28" s="17" t="s">
        <v>50</v>
      </c>
      <c r="F28" s="22">
        <f>F27/F27</f>
        <v>1</v>
      </c>
      <c r="G28" s="23">
        <f>G27/F27</f>
        <v>1</v>
      </c>
      <c r="H28" s="23">
        <f>H27/F27</f>
        <v>0</v>
      </c>
      <c r="I28" s="24">
        <f>I27/F27</f>
        <v>0</v>
      </c>
      <c r="J28" s="23"/>
      <c r="K28" s="17"/>
      <c r="L28" s="17"/>
      <c r="M28" s="17"/>
      <c r="N28" s="17"/>
      <c r="O28" s="17"/>
      <c r="P28" s="17"/>
      <c r="Q28" s="17"/>
      <c r="R28" s="17"/>
      <c r="S28" s="17"/>
      <c r="T28" s="22">
        <f>T27/$F$6</f>
        <v>3.2361111111111111E-2</v>
      </c>
      <c r="U28" s="22">
        <f>U27/$F$6</f>
        <v>1.3819444444444445E-2</v>
      </c>
      <c r="V28" s="25">
        <f>V27/$F$6</f>
        <v>4.6180555555555558E-2</v>
      </c>
      <c r="W28" s="22">
        <f t="shared" ref="W28:AT28" si="3">W27/$F$6</f>
        <v>7.6388888888888893E-4</v>
      </c>
      <c r="X28" s="22">
        <f t="shared" si="3"/>
        <v>3.9351851851851848E-3</v>
      </c>
      <c r="Y28" s="25">
        <f t="shared" si="3"/>
        <v>4.6990740740740743E-3</v>
      </c>
      <c r="Z28" s="22">
        <f t="shared" si="3"/>
        <v>0</v>
      </c>
      <c r="AA28" s="22">
        <f t="shared" si="3"/>
        <v>0</v>
      </c>
      <c r="AB28" s="25">
        <f t="shared" si="3"/>
        <v>0</v>
      </c>
      <c r="AC28" s="22">
        <f t="shared" si="3"/>
        <v>0</v>
      </c>
      <c r="AD28" s="22">
        <f t="shared" si="3"/>
        <v>0</v>
      </c>
      <c r="AE28" s="25">
        <f t="shared" si="3"/>
        <v>0</v>
      </c>
      <c r="AF28" s="22">
        <f t="shared" si="3"/>
        <v>0</v>
      </c>
      <c r="AG28" s="22">
        <f t="shared" si="3"/>
        <v>0</v>
      </c>
      <c r="AH28" s="25">
        <f t="shared" si="3"/>
        <v>0</v>
      </c>
      <c r="AI28" s="22">
        <f t="shared" si="3"/>
        <v>0</v>
      </c>
      <c r="AJ28" s="22">
        <f t="shared" si="3"/>
        <v>1.4097222222222223E-2</v>
      </c>
      <c r="AK28" s="25">
        <f t="shared" si="3"/>
        <v>1.4097222222222223E-2</v>
      </c>
      <c r="AL28" s="25">
        <f t="shared" si="3"/>
        <v>6.4976851851851855E-2</v>
      </c>
      <c r="AM28" s="22">
        <f t="shared" si="3"/>
        <v>0</v>
      </c>
      <c r="AN28" s="22">
        <f t="shared" si="3"/>
        <v>0</v>
      </c>
      <c r="AO28" s="25">
        <f t="shared" si="3"/>
        <v>0</v>
      </c>
      <c r="AP28" s="22">
        <f t="shared" si="3"/>
        <v>0</v>
      </c>
      <c r="AQ28" s="22">
        <f t="shared" si="3"/>
        <v>0</v>
      </c>
      <c r="AR28" s="22">
        <f t="shared" si="3"/>
        <v>0</v>
      </c>
      <c r="AS28" s="22">
        <f t="shared" si="3"/>
        <v>0</v>
      </c>
      <c r="AT28" s="25">
        <f t="shared" si="3"/>
        <v>0</v>
      </c>
    </row>
    <row r="29" spans="1:46" x14ac:dyDescent="0.25">
      <c r="A29" s="17"/>
      <c r="B29" s="18"/>
      <c r="C29" s="17"/>
      <c r="D29" s="18"/>
      <c r="E29" s="17" t="s">
        <v>51</v>
      </c>
      <c r="F29" s="27">
        <f>+[4]Efficiency1!$K$164</f>
        <v>1637.3880088063934</v>
      </c>
      <c r="G29" s="27">
        <f>K29*G27/G27</f>
        <v>1637.3880088063934</v>
      </c>
      <c r="H29" s="27">
        <f>K29*H27/G27</f>
        <v>0</v>
      </c>
      <c r="I29" s="27">
        <f>K29*I27/G27</f>
        <v>0</v>
      </c>
      <c r="J29" s="28">
        <f>+'PM 15'!W164</f>
        <v>1468.2629999999999</v>
      </c>
      <c r="K29" s="29">
        <f>+'PM 15'!K164</f>
        <v>1637.3880088063934</v>
      </c>
      <c r="L29" s="30">
        <f>J29</f>
        <v>1468.2629999999999</v>
      </c>
      <c r="M29" s="29">
        <f>K29-L29</f>
        <v>169.12500880639345</v>
      </c>
      <c r="N29" s="29">
        <f>+'PM 15'!Y164+'PM 15'!Z164+'PM 15'!AA164</f>
        <v>15.722141201604067</v>
      </c>
      <c r="O29" s="29">
        <f>+'PM 15'!AB164+'PM 15'!AC164</f>
        <v>47.863354183266715</v>
      </c>
      <c r="P29" s="29">
        <f>M29-N29-O29</f>
        <v>105.53951342152266</v>
      </c>
      <c r="Q29" s="29"/>
      <c r="R29" s="29"/>
      <c r="S29" s="29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31"/>
      <c r="AM29" s="17"/>
      <c r="AN29" s="17"/>
      <c r="AO29" s="17"/>
      <c r="AP29" s="17"/>
      <c r="AQ29" s="17"/>
      <c r="AR29" s="17"/>
      <c r="AS29" s="17"/>
      <c r="AT29" s="17"/>
    </row>
    <row r="30" spans="1:46" x14ac:dyDescent="0.25">
      <c r="A30" s="17"/>
      <c r="B30" s="18"/>
      <c r="C30" s="17"/>
      <c r="D30" s="18"/>
      <c r="E30" s="17" t="s">
        <v>50</v>
      </c>
      <c r="F30" s="22">
        <f>F29/F29</f>
        <v>1</v>
      </c>
      <c r="G30" s="22">
        <f>G29/F29</f>
        <v>1</v>
      </c>
      <c r="H30" s="22">
        <f>H29/F29</f>
        <v>0</v>
      </c>
      <c r="I30" s="22">
        <f>I29/F29</f>
        <v>0</v>
      </c>
      <c r="J30" s="32">
        <f>J29/F29</f>
        <v>0.89671048774219342</v>
      </c>
      <c r="K30" s="22">
        <f>K29/K29</f>
        <v>1</v>
      </c>
      <c r="L30" s="33">
        <f>L29/K29</f>
        <v>0.89671048774219342</v>
      </c>
      <c r="M30" s="22">
        <f>M29/K29</f>
        <v>0.10328951225780657</v>
      </c>
      <c r="N30" s="22">
        <f>N29/K29</f>
        <v>9.6019642974331017E-3</v>
      </c>
      <c r="O30" s="22">
        <f>O29/K29</f>
        <v>2.9231528462308493E-2</v>
      </c>
      <c r="P30" s="22">
        <f>P29/K29</f>
        <v>6.4456019498064968E-2</v>
      </c>
      <c r="Q30" s="22"/>
      <c r="R30" s="22"/>
      <c r="S30" s="22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</row>
    <row r="31" spans="1:46" x14ac:dyDescent="0.25">
      <c r="A31" s="17"/>
      <c r="B31" s="18"/>
      <c r="C31" s="17"/>
      <c r="D31" s="18"/>
      <c r="E31" s="17" t="s">
        <v>52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>
        <f>+'PM 15'!O164</f>
        <v>268.89839225849261</v>
      </c>
      <c r="R31" s="34">
        <f>S31-Q31</f>
        <v>8.1016077415073937</v>
      </c>
      <c r="S31" s="17">
        <v>277</v>
      </c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</row>
    <row r="32" spans="1:46" x14ac:dyDescent="0.25">
      <c r="A32" s="17"/>
      <c r="B32" s="18"/>
      <c r="C32" s="17"/>
      <c r="D32" s="18"/>
      <c r="E32" s="17" t="s">
        <v>50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35"/>
      <c r="R32" s="36">
        <f>R31/S31</f>
        <v>2.9247681377283011E-2</v>
      </c>
      <c r="S32" s="35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</row>
    <row r="33" spans="1:46" x14ac:dyDescent="0.25">
      <c r="A33" s="17"/>
      <c r="B33" s="18"/>
      <c r="C33" s="17"/>
      <c r="D33" s="18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</row>
    <row r="34" spans="1:46" ht="14.25" customHeight="1" x14ac:dyDescent="0.25">
      <c r="A34" s="15" t="s">
        <v>56</v>
      </c>
      <c r="B34" s="16"/>
      <c r="C34" s="17">
        <f>+C27</f>
        <v>30</v>
      </c>
      <c r="D34" s="18"/>
      <c r="E34" s="17" t="s">
        <v>49</v>
      </c>
      <c r="F34" s="17">
        <f>C34*1440</f>
        <v>43200</v>
      </c>
      <c r="G34" s="19">
        <f>F34-H34-I34</f>
        <v>43200</v>
      </c>
      <c r="H34" s="19">
        <f>AO34</f>
        <v>0</v>
      </c>
      <c r="I34" s="20">
        <f>+AT34</f>
        <v>0</v>
      </c>
      <c r="J34" s="19"/>
      <c r="K34" s="17"/>
      <c r="L34" s="17"/>
      <c r="M34" s="17"/>
      <c r="N34" s="17"/>
      <c r="O34" s="17"/>
      <c r="P34" s="17"/>
      <c r="Q34" s="17"/>
      <c r="R34" s="17"/>
      <c r="S34" s="17"/>
      <c r="T34" s="17">
        <f>+'PM 16'!AF136+'PM 16'!AG136+'PM 16'!AH136+'PM 16'!AI136</f>
        <v>1007</v>
      </c>
      <c r="U34" s="17">
        <f>+'PM 16'!AN136</f>
        <v>200</v>
      </c>
      <c r="V34" s="21">
        <f>SUM(T34:U34)</f>
        <v>1207</v>
      </c>
      <c r="W34" s="17">
        <f>+'PM 16'!AK136</f>
        <v>0</v>
      </c>
      <c r="X34" s="17">
        <f>+'PM 16'!AP136</f>
        <v>280</v>
      </c>
      <c r="Y34" s="21">
        <f>SUM(W34:X34)</f>
        <v>280</v>
      </c>
      <c r="Z34" s="17">
        <f>+'PM 16'!AJ136</f>
        <v>0</v>
      </c>
      <c r="AA34" s="17">
        <f>+'PM 16'!AO136</f>
        <v>460</v>
      </c>
      <c r="AB34" s="21">
        <f>SUM(Z34:AA34)</f>
        <v>460</v>
      </c>
      <c r="AC34" s="17">
        <f>+'PM 16'!AL136</f>
        <v>0</v>
      </c>
      <c r="AD34" s="17">
        <f>+'PM 16'!AQ136</f>
        <v>0</v>
      </c>
      <c r="AE34" s="21">
        <f>SUM(AC34:AD34)</f>
        <v>0</v>
      </c>
      <c r="AF34" s="17">
        <f>+'PM 16'!AX136+'PM 16'!AY136</f>
        <v>100</v>
      </c>
      <c r="AG34" s="17">
        <f>+'PM 16'!AV136+'PM 16'!AW136</f>
        <v>0</v>
      </c>
      <c r="AH34" s="21">
        <f>SUM(AF34:AG34)</f>
        <v>100</v>
      </c>
      <c r="AI34" s="17">
        <v>0</v>
      </c>
      <c r="AJ34" s="17">
        <f>+'PM 16'!AS136</f>
        <v>935</v>
      </c>
      <c r="AK34" s="21">
        <f>SUM(AI34:AJ34)</f>
        <v>935</v>
      </c>
      <c r="AL34" s="21">
        <f>V34+Y34+AB34+AE34+AH34+AK34</f>
        <v>2982</v>
      </c>
      <c r="AM34" s="17">
        <v>0</v>
      </c>
      <c r="AN34" s="17">
        <f>+'PM 16'!AZ136</f>
        <v>0</v>
      </c>
      <c r="AO34" s="21">
        <f>SUM(AM34:AN34)</f>
        <v>0</v>
      </c>
      <c r="AP34" s="17">
        <f>+'PM 16'!AT165+'PM 16'!AU165</f>
        <v>0</v>
      </c>
      <c r="AQ34" s="17">
        <f>+'PM 16'!AU136</f>
        <v>0</v>
      </c>
      <c r="AR34" s="17">
        <v>0</v>
      </c>
      <c r="AS34" s="17">
        <v>0</v>
      </c>
      <c r="AT34" s="21">
        <f>SUM(AP34:AS34)</f>
        <v>0</v>
      </c>
    </row>
    <row r="35" spans="1:46" x14ac:dyDescent="0.25">
      <c r="A35" s="17"/>
      <c r="B35" s="18"/>
      <c r="C35" s="17"/>
      <c r="D35" s="18"/>
      <c r="E35" s="17" t="s">
        <v>50</v>
      </c>
      <c r="F35" s="22">
        <f>F34/F34</f>
        <v>1</v>
      </c>
      <c r="G35" s="23">
        <f>G34/F34</f>
        <v>1</v>
      </c>
      <c r="H35" s="23">
        <f>H34/F34</f>
        <v>0</v>
      </c>
      <c r="I35" s="24">
        <f>I34/F34</f>
        <v>0</v>
      </c>
      <c r="J35" s="23"/>
      <c r="K35" s="17"/>
      <c r="L35" s="17"/>
      <c r="M35" s="17"/>
      <c r="N35" s="17"/>
      <c r="O35" s="17"/>
      <c r="P35" s="17"/>
      <c r="Q35" s="17"/>
      <c r="R35" s="17"/>
      <c r="S35" s="17"/>
      <c r="T35" s="22">
        <f>T34/$F$6</f>
        <v>2.3310185185185184E-2</v>
      </c>
      <c r="U35" s="22">
        <f>U34/$F$6</f>
        <v>4.6296296296296294E-3</v>
      </c>
      <c r="V35" s="25">
        <f>V34/$F$6</f>
        <v>2.7939814814814813E-2</v>
      </c>
      <c r="W35" s="22">
        <f t="shared" ref="W35:AT35" si="4">W34/$F$6</f>
        <v>0</v>
      </c>
      <c r="X35" s="22">
        <f t="shared" si="4"/>
        <v>6.4814814814814813E-3</v>
      </c>
      <c r="Y35" s="25">
        <f t="shared" si="4"/>
        <v>6.4814814814814813E-3</v>
      </c>
      <c r="Z35" s="22">
        <f t="shared" si="4"/>
        <v>0</v>
      </c>
      <c r="AA35" s="22">
        <f t="shared" si="4"/>
        <v>1.0648148148148148E-2</v>
      </c>
      <c r="AB35" s="25">
        <f t="shared" si="4"/>
        <v>1.0648148148148148E-2</v>
      </c>
      <c r="AC35" s="22">
        <f t="shared" si="4"/>
        <v>0</v>
      </c>
      <c r="AD35" s="22">
        <f t="shared" si="4"/>
        <v>0</v>
      </c>
      <c r="AE35" s="25">
        <f t="shared" si="4"/>
        <v>0</v>
      </c>
      <c r="AF35" s="22">
        <f t="shared" si="4"/>
        <v>2.3148148148148147E-3</v>
      </c>
      <c r="AG35" s="22">
        <f t="shared" si="4"/>
        <v>0</v>
      </c>
      <c r="AH35" s="25">
        <f t="shared" si="4"/>
        <v>2.3148148148148147E-3</v>
      </c>
      <c r="AI35" s="22">
        <f t="shared" si="4"/>
        <v>0</v>
      </c>
      <c r="AJ35" s="22">
        <f t="shared" si="4"/>
        <v>2.1643518518518517E-2</v>
      </c>
      <c r="AK35" s="25">
        <f t="shared" si="4"/>
        <v>2.1643518518518517E-2</v>
      </c>
      <c r="AL35" s="25">
        <f t="shared" si="4"/>
        <v>6.9027777777777771E-2</v>
      </c>
      <c r="AM35" s="22">
        <f t="shared" si="4"/>
        <v>0</v>
      </c>
      <c r="AN35" s="22">
        <f t="shared" si="4"/>
        <v>0</v>
      </c>
      <c r="AO35" s="25">
        <f t="shared" si="4"/>
        <v>0</v>
      </c>
      <c r="AP35" s="22">
        <f t="shared" si="4"/>
        <v>0</v>
      </c>
      <c r="AQ35" s="22">
        <f t="shared" si="4"/>
        <v>0</v>
      </c>
      <c r="AR35" s="22">
        <f t="shared" si="4"/>
        <v>0</v>
      </c>
      <c r="AS35" s="22">
        <f t="shared" si="4"/>
        <v>0</v>
      </c>
      <c r="AT35" s="25">
        <f t="shared" si="4"/>
        <v>0</v>
      </c>
    </row>
    <row r="36" spans="1:46" x14ac:dyDescent="0.25">
      <c r="A36" s="17"/>
      <c r="B36" s="18"/>
      <c r="C36" s="17"/>
      <c r="D36" s="18"/>
      <c r="E36" s="17" t="s">
        <v>51</v>
      </c>
      <c r="F36" s="27">
        <f>+[5]Efficiency1!$K$136</f>
        <v>1565.0103880813865</v>
      </c>
      <c r="G36" s="27">
        <f>K36*G34/G34</f>
        <v>1565.0103880813865</v>
      </c>
      <c r="H36" s="27">
        <f>K36*H34/G34</f>
        <v>0</v>
      </c>
      <c r="I36" s="27">
        <f>K36*I34/G34</f>
        <v>0</v>
      </c>
      <c r="J36" s="28">
        <f>+'PM 16'!W136</f>
        <v>1394.1029999999998</v>
      </c>
      <c r="K36" s="29">
        <f>+'PM 16'!K136</f>
        <v>1565.0103880813865</v>
      </c>
      <c r="L36" s="30">
        <f>J36</f>
        <v>1394.1029999999998</v>
      </c>
      <c r="M36" s="29">
        <f>K36-L36</f>
        <v>170.90738808138667</v>
      </c>
      <c r="N36" s="29">
        <f>+'PM 16'!Y136+'PM 16'!Z136+'PM 16'!AA136</f>
        <v>46.478490745156677</v>
      </c>
      <c r="O36" s="29">
        <f>+'PM 16'!AB136+'PM 16'!AC136</f>
        <v>19.508410622649883</v>
      </c>
      <c r="P36" s="29">
        <f>M36-N36-O36</f>
        <v>104.92048671358012</v>
      </c>
      <c r="Q36" s="29"/>
      <c r="R36" s="29"/>
      <c r="S36" s="29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31"/>
      <c r="AM36" s="17"/>
      <c r="AN36" s="17"/>
      <c r="AO36" s="17"/>
      <c r="AP36" s="17"/>
      <c r="AQ36" s="17"/>
      <c r="AR36" s="17"/>
      <c r="AS36" s="17"/>
      <c r="AT36" s="17"/>
    </row>
    <row r="37" spans="1:46" x14ac:dyDescent="0.25">
      <c r="A37" s="17"/>
      <c r="B37" s="18"/>
      <c r="C37" s="17"/>
      <c r="D37" s="18"/>
      <c r="E37" s="17" t="s">
        <v>50</v>
      </c>
      <c r="F37" s="22">
        <f>F36/F36</f>
        <v>1</v>
      </c>
      <c r="G37" s="22">
        <f>G36/F36</f>
        <v>1</v>
      </c>
      <c r="H37" s="22">
        <f>H36/F36</f>
        <v>0</v>
      </c>
      <c r="I37" s="22">
        <f>I36/F36</f>
        <v>0</v>
      </c>
      <c r="J37" s="32">
        <f>J36/F36</f>
        <v>0.89079472610344179</v>
      </c>
      <c r="K37" s="22">
        <f>K36/K36</f>
        <v>1</v>
      </c>
      <c r="L37" s="33">
        <f>L36/K36</f>
        <v>0.89079472610344179</v>
      </c>
      <c r="M37" s="22">
        <f>M36/K36</f>
        <v>0.10920527389655821</v>
      </c>
      <c r="N37" s="22">
        <f>N36/K36</f>
        <v>2.9698518999696007E-2</v>
      </c>
      <c r="O37" s="22">
        <f>O36/K36</f>
        <v>1.2465355355606349E-2</v>
      </c>
      <c r="P37" s="22">
        <f>P36/K36</f>
        <v>6.7041399541255861E-2</v>
      </c>
      <c r="Q37" s="22"/>
      <c r="R37" s="22"/>
      <c r="S37" s="22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</row>
    <row r="38" spans="1:46" x14ac:dyDescent="0.25">
      <c r="A38" s="17"/>
      <c r="B38" s="18"/>
      <c r="C38" s="17"/>
      <c r="D38" s="18"/>
      <c r="E38" s="17" t="s">
        <v>52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>
        <f>+'PM 16'!O136</f>
        <v>275.55123485708111</v>
      </c>
      <c r="R38" s="34">
        <f>S38-Q38</f>
        <v>8.4487651429188872</v>
      </c>
      <c r="S38" s="17">
        <v>284</v>
      </c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</row>
    <row r="39" spans="1:46" x14ac:dyDescent="0.25">
      <c r="A39" s="17"/>
      <c r="B39" s="18"/>
      <c r="C39" s="17"/>
      <c r="D39" s="18"/>
      <c r="E39" s="17" t="s">
        <v>50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35"/>
      <c r="R39" s="36">
        <f>R38/S38</f>
        <v>2.9749173038446788E-2</v>
      </c>
      <c r="S39" s="35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</row>
    <row r="40" spans="1:46" x14ac:dyDescent="0.25">
      <c r="A40" s="17"/>
      <c r="B40" s="18"/>
      <c r="C40" s="17"/>
      <c r="D40" s="18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</row>
    <row r="41" spans="1:46" x14ac:dyDescent="0.25">
      <c r="A41" s="15" t="s">
        <v>57</v>
      </c>
      <c r="B41" s="16"/>
      <c r="C41" s="17">
        <f>+C34</f>
        <v>30</v>
      </c>
      <c r="D41" s="18"/>
      <c r="E41" s="17" t="s">
        <v>49</v>
      </c>
      <c r="F41" s="17">
        <f>C41*1440</f>
        <v>43200</v>
      </c>
      <c r="G41" s="19">
        <f>F41-H41-I41</f>
        <v>43200</v>
      </c>
      <c r="H41" s="19">
        <f>AO41</f>
        <v>0</v>
      </c>
      <c r="I41" s="20">
        <f>+AT41</f>
        <v>0</v>
      </c>
      <c r="J41" s="19"/>
      <c r="K41" s="17"/>
      <c r="L41" s="17"/>
      <c r="M41" s="17"/>
      <c r="N41" s="17"/>
      <c r="O41" s="17"/>
      <c r="P41" s="17"/>
      <c r="Q41" s="17"/>
      <c r="R41" s="17"/>
      <c r="S41" s="17"/>
      <c r="T41" s="17">
        <f>+'PM 17'!AF142+'PM 17'!AG142+'PM 17'!AH142+'PM 17'!AI142</f>
        <v>609</v>
      </c>
      <c r="U41" s="17">
        <f>+'PM 17'!AN142</f>
        <v>1493</v>
      </c>
      <c r="V41" s="21">
        <f>SUM(T41:U41)</f>
        <v>2102</v>
      </c>
      <c r="W41" s="17">
        <f>+'PM 17'!AK142</f>
        <v>0</v>
      </c>
      <c r="X41" s="17">
        <f>+'PM 17'!AP142</f>
        <v>637</v>
      </c>
      <c r="Y41" s="21">
        <f>SUM(W41:X41)</f>
        <v>637</v>
      </c>
      <c r="Z41" s="17">
        <f>+'PM 17'!AJ142</f>
        <v>7</v>
      </c>
      <c r="AA41" s="17">
        <f>+'PM 17'!AO142</f>
        <v>420</v>
      </c>
      <c r="AB41" s="21">
        <f>SUM(Z41:AA41)</f>
        <v>427</v>
      </c>
      <c r="AC41" s="17">
        <f>+'PM 17'!AL142</f>
        <v>0</v>
      </c>
      <c r="AD41" s="17">
        <f>+'PM 17'!AQ142</f>
        <v>0</v>
      </c>
      <c r="AE41" s="21">
        <f>SUM(AC41:AD41)</f>
        <v>0</v>
      </c>
      <c r="AF41" s="17">
        <f>+'PM 17'!AX142+'PM 17'!AY142</f>
        <v>0</v>
      </c>
      <c r="AG41" s="17">
        <f>+'PM 17'!AV142+'PM 17'!AW142</f>
        <v>60</v>
      </c>
      <c r="AH41" s="21">
        <f>SUM(AF41:AG41)</f>
        <v>60</v>
      </c>
      <c r="AI41" s="17">
        <v>0</v>
      </c>
      <c r="AJ41" s="17">
        <f>+'PM 17'!AS142</f>
        <v>0</v>
      </c>
      <c r="AK41" s="21">
        <f>SUM(AI41:AJ41)</f>
        <v>0</v>
      </c>
      <c r="AL41" s="21">
        <f>V41+Y41+AB41+AE41+AH41+AK41</f>
        <v>3226</v>
      </c>
      <c r="AM41" s="17">
        <v>0</v>
      </c>
      <c r="AN41" s="17">
        <f>+'PM 17'!AZ143</f>
        <v>0</v>
      </c>
      <c r="AO41" s="21">
        <f>SUM(AM41:AN41)</f>
        <v>0</v>
      </c>
      <c r="AP41" s="17">
        <f>+'PM 17'!AT182+'PM 17'!AU182</f>
        <v>0</v>
      </c>
      <c r="AQ41" s="17">
        <f>+'PM 17'!AU143</f>
        <v>0</v>
      </c>
      <c r="AR41" s="17">
        <v>0</v>
      </c>
      <c r="AS41" s="17">
        <v>0</v>
      </c>
      <c r="AT41" s="21">
        <f>SUM(AP41:AS41)</f>
        <v>0</v>
      </c>
    </row>
    <row r="42" spans="1:46" x14ac:dyDescent="0.25">
      <c r="A42" s="17"/>
      <c r="B42" s="18"/>
      <c r="C42" s="17"/>
      <c r="D42" s="18"/>
      <c r="E42" s="17" t="s">
        <v>50</v>
      </c>
      <c r="F42" s="22">
        <f>F41/F41</f>
        <v>1</v>
      </c>
      <c r="G42" s="23">
        <f>G41/F41</f>
        <v>1</v>
      </c>
      <c r="H42" s="23">
        <f>H41/F41</f>
        <v>0</v>
      </c>
      <c r="I42" s="24">
        <f>I41/F41</f>
        <v>0</v>
      </c>
      <c r="J42" s="23"/>
      <c r="K42" s="17"/>
      <c r="L42" s="17"/>
      <c r="M42" s="17"/>
      <c r="N42" s="17"/>
      <c r="O42" s="17"/>
      <c r="P42" s="17"/>
      <c r="Q42" s="17"/>
      <c r="R42" s="17"/>
      <c r="S42" s="17"/>
      <c r="T42" s="22">
        <f>T41/$F$6</f>
        <v>1.4097222222222223E-2</v>
      </c>
      <c r="U42" s="22">
        <f>U41/$F$6</f>
        <v>3.4560185185185187E-2</v>
      </c>
      <c r="V42" s="25">
        <f>V41/$F$6</f>
        <v>4.8657407407407406E-2</v>
      </c>
      <c r="W42" s="22">
        <f t="shared" ref="W42:AT42" si="5">W41/$F$6</f>
        <v>0</v>
      </c>
      <c r="X42" s="22">
        <f t="shared" si="5"/>
        <v>1.474537037037037E-2</v>
      </c>
      <c r="Y42" s="25">
        <f t="shared" si="5"/>
        <v>1.474537037037037E-2</v>
      </c>
      <c r="Z42" s="22">
        <f t="shared" si="5"/>
        <v>1.6203703703703703E-4</v>
      </c>
      <c r="AA42" s="22">
        <f t="shared" si="5"/>
        <v>9.7222222222222224E-3</v>
      </c>
      <c r="AB42" s="25">
        <f t="shared" si="5"/>
        <v>9.8842592592592593E-3</v>
      </c>
      <c r="AC42" s="22">
        <f t="shared" si="5"/>
        <v>0</v>
      </c>
      <c r="AD42" s="22">
        <f t="shared" si="5"/>
        <v>0</v>
      </c>
      <c r="AE42" s="25">
        <f t="shared" si="5"/>
        <v>0</v>
      </c>
      <c r="AF42" s="22">
        <f t="shared" si="5"/>
        <v>0</v>
      </c>
      <c r="AG42" s="22">
        <f t="shared" si="5"/>
        <v>1.3888888888888889E-3</v>
      </c>
      <c r="AH42" s="25">
        <f t="shared" si="5"/>
        <v>1.3888888888888889E-3</v>
      </c>
      <c r="AI42" s="22">
        <f t="shared" si="5"/>
        <v>0</v>
      </c>
      <c r="AJ42" s="22">
        <f t="shared" si="5"/>
        <v>0</v>
      </c>
      <c r="AK42" s="25">
        <f t="shared" si="5"/>
        <v>0</v>
      </c>
      <c r="AL42" s="25">
        <f t="shared" si="5"/>
        <v>7.4675925925925923E-2</v>
      </c>
      <c r="AM42" s="22">
        <f t="shared" si="5"/>
        <v>0</v>
      </c>
      <c r="AN42" s="22">
        <f t="shared" si="5"/>
        <v>0</v>
      </c>
      <c r="AO42" s="25">
        <f t="shared" si="5"/>
        <v>0</v>
      </c>
      <c r="AP42" s="22">
        <f t="shared" si="5"/>
        <v>0</v>
      </c>
      <c r="AQ42" s="22">
        <f t="shared" si="5"/>
        <v>0</v>
      </c>
      <c r="AR42" s="22">
        <f t="shared" si="5"/>
        <v>0</v>
      </c>
      <c r="AS42" s="22">
        <f t="shared" si="5"/>
        <v>0</v>
      </c>
      <c r="AT42" s="25">
        <f t="shared" si="5"/>
        <v>0</v>
      </c>
    </row>
    <row r="43" spans="1:46" x14ac:dyDescent="0.25">
      <c r="A43" s="17"/>
      <c r="B43" s="18"/>
      <c r="C43" s="17"/>
      <c r="D43" s="18"/>
      <c r="E43" s="17" t="s">
        <v>51</v>
      </c>
      <c r="F43" s="27">
        <f>+[6]Efficiency1!$K$142</f>
        <v>1572.0065688096979</v>
      </c>
      <c r="G43" s="27">
        <f>K43*G41/G41</f>
        <v>1572.0065688096981</v>
      </c>
      <c r="H43" s="27">
        <f>K43*H41/G41</f>
        <v>0</v>
      </c>
      <c r="I43" s="27">
        <f>K43*I41/G41</f>
        <v>0</v>
      </c>
      <c r="J43" s="28">
        <f>+'PM 17'!W142</f>
        <v>1387.3030000000003</v>
      </c>
      <c r="K43" s="29">
        <f>+'PM 17'!K142</f>
        <v>1572.0065688096979</v>
      </c>
      <c r="L43" s="30">
        <f>J43</f>
        <v>1387.3030000000003</v>
      </c>
      <c r="M43" s="29">
        <f>K43-L43</f>
        <v>184.70356880969757</v>
      </c>
      <c r="N43" s="29">
        <f>+'PM 17'!Y142+'PM 17'!Z142+'PM 17'!AA142</f>
        <v>39.024118872718603</v>
      </c>
      <c r="O43" s="29">
        <f>+'PM 17'!AB142+'PM 17'!AC142</f>
        <v>28.10338077668905</v>
      </c>
      <c r="P43" s="29">
        <f>M43-N43-O43</f>
        <v>117.57606916028993</v>
      </c>
      <c r="Q43" s="29"/>
      <c r="R43" s="29"/>
      <c r="S43" s="29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31"/>
      <c r="AM43" s="17"/>
      <c r="AN43" s="17"/>
      <c r="AO43" s="17"/>
      <c r="AP43" s="17"/>
      <c r="AQ43" s="17"/>
      <c r="AR43" s="17"/>
      <c r="AS43" s="17"/>
      <c r="AT43" s="17"/>
    </row>
    <row r="44" spans="1:46" x14ac:dyDescent="0.25">
      <c r="A44" s="17"/>
      <c r="B44" s="18"/>
      <c r="C44" s="17"/>
      <c r="D44" s="18"/>
      <c r="E44" s="17" t="s">
        <v>50</v>
      </c>
      <c r="F44" s="22">
        <f>F43/F43</f>
        <v>1</v>
      </c>
      <c r="G44" s="22">
        <f>G43/F43</f>
        <v>1.0000000000000002</v>
      </c>
      <c r="H44" s="22">
        <f>H43/F43</f>
        <v>0</v>
      </c>
      <c r="I44" s="22">
        <f>I43/F43</f>
        <v>0</v>
      </c>
      <c r="J44" s="32">
        <f>J43/F43</f>
        <v>0.88250458205810645</v>
      </c>
      <c r="K44" s="22">
        <f>K43/K43</f>
        <v>1</v>
      </c>
      <c r="L44" s="33">
        <f>L43/K43</f>
        <v>0.88250458205810645</v>
      </c>
      <c r="M44" s="22">
        <f>M43/K43</f>
        <v>0.1174954179418936</v>
      </c>
      <c r="N44" s="22">
        <f>N43/K43</f>
        <v>2.4824399367661128E-2</v>
      </c>
      <c r="O44" s="22">
        <f>O43/K43</f>
        <v>1.7877393984408442E-2</v>
      </c>
      <c r="P44" s="22">
        <f>P43/K43</f>
        <v>7.479362458982404E-2</v>
      </c>
      <c r="Q44" s="22"/>
      <c r="R44" s="22"/>
      <c r="S44" s="22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</row>
    <row r="45" spans="1:46" x14ac:dyDescent="0.25">
      <c r="A45" s="17"/>
      <c r="B45" s="18"/>
      <c r="C45" s="17"/>
      <c r="D45" s="18"/>
      <c r="E45" s="17" t="s">
        <v>52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>
        <f>+'PM 17'!O142</f>
        <v>256.71231194465855</v>
      </c>
      <c r="R45" s="34">
        <f>S45-Q45</f>
        <v>7.287688055341448</v>
      </c>
      <c r="S45" s="17">
        <v>264</v>
      </c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</row>
    <row r="46" spans="1:46" x14ac:dyDescent="0.25">
      <c r="A46" s="17"/>
      <c r="B46" s="18"/>
      <c r="C46" s="17"/>
      <c r="D46" s="18"/>
      <c r="E46" s="17" t="s">
        <v>50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35"/>
      <c r="R46" s="36">
        <f>R45/S45</f>
        <v>2.7604878997505484E-2</v>
      </c>
      <c r="S46" s="35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</row>
  </sheetData>
  <mergeCells count="15">
    <mergeCell ref="Q3:S3"/>
    <mergeCell ref="A3:A4"/>
    <mergeCell ref="C3:C4"/>
    <mergeCell ref="E3:E4"/>
    <mergeCell ref="F3:J3"/>
    <mergeCell ref="K3:P3"/>
    <mergeCell ref="AL3:AL4"/>
    <mergeCell ref="AM3:AO3"/>
    <mergeCell ref="AP3:AT3"/>
    <mergeCell ref="T3:V3"/>
    <mergeCell ref="W3:Y3"/>
    <mergeCell ref="Z3:AB3"/>
    <mergeCell ref="AC3:AE3"/>
    <mergeCell ref="AF3:AH3"/>
    <mergeCell ref="AI3:AK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239"/>
  <sheetViews>
    <sheetView zoomScale="90" zoomScaleNormal="90" workbookViewId="0">
      <pane xSplit="6" ySplit="6" topLeftCell="G145" activePane="bottomRight" state="frozen"/>
      <selection pane="topRight" activeCell="F1" sqref="F1"/>
      <selection pane="bottomLeft" activeCell="A7" sqref="A7"/>
      <selection pane="bottomRight" activeCell="B164" sqref="B164"/>
    </sheetView>
  </sheetViews>
  <sheetFormatPr defaultColWidth="10.28515625" defaultRowHeight="12" x14ac:dyDescent="0.2"/>
  <cols>
    <col min="1" max="1" width="12.28515625" style="114" customWidth="1"/>
    <col min="2" max="3" width="14.140625" style="114" customWidth="1"/>
    <col min="4" max="4" width="10.28515625" style="114" customWidth="1"/>
    <col min="5" max="5" width="7.5703125" style="114" bestFit="1" customWidth="1"/>
    <col min="6" max="6" width="7" style="129" customWidth="1"/>
    <col min="7" max="9" width="10.28515625" style="114" customWidth="1"/>
    <col min="10" max="11" width="10.28515625" style="125" customWidth="1"/>
    <col min="12" max="13" width="12.7109375" style="130" customWidth="1"/>
    <col min="14" max="15" width="10.28515625" style="114" customWidth="1"/>
    <col min="16" max="16" width="16.85546875" style="114" bestFit="1" customWidth="1"/>
    <col min="17" max="17" width="12.7109375" style="58" customWidth="1"/>
    <col min="18" max="19" width="10.28515625" style="114" customWidth="1"/>
    <col min="20" max="20" width="10.7109375" style="114" customWidth="1"/>
    <col min="21" max="21" width="10.28515625" style="114" customWidth="1"/>
    <col min="22" max="22" width="12.28515625" style="114" customWidth="1"/>
    <col min="23" max="23" width="13" style="114" customWidth="1"/>
    <col min="24" max="24" width="10.28515625" style="114" customWidth="1"/>
    <col min="25" max="25" width="10.140625" style="114" customWidth="1"/>
    <col min="26" max="28" width="10.28515625" style="114" customWidth="1"/>
    <col min="29" max="29" width="12" style="114" customWidth="1"/>
    <col min="30" max="30" width="11.42578125" style="114" bestFit="1" customWidth="1"/>
    <col min="31" max="31" width="41.42578125" style="114" customWidth="1"/>
    <col min="32" max="38" width="10.28515625" style="114" customWidth="1"/>
    <col min="39" max="39" width="11.7109375" style="114" customWidth="1"/>
    <col min="40" max="41" width="10.28515625" style="114" customWidth="1"/>
    <col min="42" max="43" width="12.42578125" style="114" customWidth="1"/>
    <col min="44" max="44" width="29.7109375" style="114" bestFit="1" customWidth="1"/>
    <col min="45" max="16384" width="10.28515625" style="114"/>
  </cols>
  <sheetData>
    <row r="1" spans="1:58" s="111" customFormat="1" ht="15.75" x14ac:dyDescent="0.25">
      <c r="A1" s="110" t="s">
        <v>218</v>
      </c>
      <c r="G1" s="40"/>
      <c r="H1" s="40"/>
      <c r="I1" s="40"/>
      <c r="J1" s="41"/>
      <c r="K1" s="41"/>
      <c r="L1" s="112"/>
      <c r="M1" s="112"/>
      <c r="O1" s="40"/>
      <c r="P1" s="42"/>
      <c r="Q1" s="40"/>
      <c r="R1" s="42"/>
      <c r="S1" s="42"/>
      <c r="W1" s="42"/>
      <c r="X1" s="43"/>
      <c r="Y1" s="43"/>
      <c r="Z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</row>
    <row r="2" spans="1:58" s="111" customFormat="1" x14ac:dyDescent="0.2">
      <c r="A2" s="113"/>
      <c r="G2" s="40"/>
      <c r="H2" s="40"/>
      <c r="I2" s="40"/>
      <c r="J2" s="41"/>
      <c r="K2" s="41"/>
      <c r="L2" s="112"/>
      <c r="M2" s="112"/>
      <c r="O2" s="40"/>
      <c r="P2" s="42"/>
      <c r="Q2" s="40"/>
      <c r="R2" s="42"/>
      <c r="S2" s="42"/>
      <c r="W2" s="42"/>
      <c r="X2" s="43"/>
      <c r="Y2" s="43"/>
      <c r="Z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</row>
    <row r="3" spans="1:58" ht="24" customHeight="1" x14ac:dyDescent="0.35">
      <c r="A3" s="267" t="s">
        <v>58</v>
      </c>
      <c r="B3" s="267" t="s">
        <v>59</v>
      </c>
      <c r="C3" s="267" t="s">
        <v>60</v>
      </c>
      <c r="D3" s="267" t="s">
        <v>61</v>
      </c>
      <c r="E3" s="267" t="s">
        <v>62</v>
      </c>
      <c r="F3" s="267" t="s">
        <v>63</v>
      </c>
      <c r="G3" s="272" t="s">
        <v>64</v>
      </c>
      <c r="H3" s="273"/>
      <c r="I3" s="273"/>
      <c r="J3" s="273"/>
      <c r="K3" s="274"/>
      <c r="L3" s="278" t="s">
        <v>65</v>
      </c>
      <c r="M3" s="279"/>
      <c r="N3" s="280"/>
      <c r="O3" s="284" t="s">
        <v>66</v>
      </c>
      <c r="P3" s="286" t="s">
        <v>67</v>
      </c>
      <c r="Q3" s="284" t="s">
        <v>68</v>
      </c>
      <c r="R3" s="269" t="s">
        <v>69</v>
      </c>
      <c r="S3" s="269" t="s">
        <v>70</v>
      </c>
      <c r="T3" s="267" t="s">
        <v>71</v>
      </c>
      <c r="U3" s="267" t="s">
        <v>72</v>
      </c>
      <c r="V3" s="267" t="s">
        <v>73</v>
      </c>
      <c r="W3" s="269" t="s">
        <v>74</v>
      </c>
      <c r="X3" s="289" t="s">
        <v>75</v>
      </c>
      <c r="Y3" s="289" t="s">
        <v>181</v>
      </c>
      <c r="Z3" s="269" t="s">
        <v>76</v>
      </c>
      <c r="AA3" s="267" t="s">
        <v>77</v>
      </c>
      <c r="AB3" s="267" t="s">
        <v>78</v>
      </c>
      <c r="AC3" s="267" t="s">
        <v>79</v>
      </c>
      <c r="AD3" s="267" t="s">
        <v>80</v>
      </c>
      <c r="AE3" s="267" t="s">
        <v>81</v>
      </c>
      <c r="AF3" s="298" t="s">
        <v>82</v>
      </c>
      <c r="AG3" s="298"/>
      <c r="AH3" s="298"/>
      <c r="AI3" s="298"/>
      <c r="AJ3" s="298"/>
      <c r="AK3" s="298"/>
      <c r="AL3" s="298"/>
      <c r="AM3" s="299" t="s">
        <v>83</v>
      </c>
      <c r="AN3" s="302" t="s">
        <v>84</v>
      </c>
      <c r="AO3" s="302"/>
      <c r="AP3" s="302"/>
      <c r="AQ3" s="302"/>
      <c r="AR3" s="302"/>
      <c r="AS3" s="303" t="s">
        <v>11</v>
      </c>
      <c r="AT3" s="292" t="s">
        <v>160</v>
      </c>
      <c r="AU3" s="293"/>
      <c r="AV3" s="314" t="s">
        <v>86</v>
      </c>
      <c r="AW3" s="315"/>
      <c r="AX3" s="316" t="s">
        <v>86</v>
      </c>
      <c r="AY3" s="317"/>
      <c r="AZ3" s="318" t="s">
        <v>194</v>
      </c>
      <c r="BA3" s="297" t="s">
        <v>85</v>
      </c>
      <c r="BB3" s="267" t="s">
        <v>87</v>
      </c>
      <c r="BC3" s="267" t="s">
        <v>88</v>
      </c>
      <c r="BD3" s="305" t="s">
        <v>199</v>
      </c>
      <c r="BE3" s="308" t="s">
        <v>200</v>
      </c>
      <c r="BF3" s="267" t="s">
        <v>201</v>
      </c>
    </row>
    <row r="4" spans="1:58" ht="12" customHeight="1" x14ac:dyDescent="0.2">
      <c r="A4" s="268"/>
      <c r="B4" s="268"/>
      <c r="C4" s="268"/>
      <c r="D4" s="268"/>
      <c r="E4" s="268"/>
      <c r="F4" s="268"/>
      <c r="G4" s="275"/>
      <c r="H4" s="276"/>
      <c r="I4" s="276"/>
      <c r="J4" s="276"/>
      <c r="K4" s="277"/>
      <c r="L4" s="281"/>
      <c r="M4" s="282"/>
      <c r="N4" s="283"/>
      <c r="O4" s="285"/>
      <c r="P4" s="287"/>
      <c r="Q4" s="285"/>
      <c r="R4" s="270"/>
      <c r="S4" s="270"/>
      <c r="T4" s="268"/>
      <c r="U4" s="268"/>
      <c r="V4" s="268"/>
      <c r="W4" s="270"/>
      <c r="X4" s="290"/>
      <c r="Y4" s="290"/>
      <c r="Z4" s="270"/>
      <c r="AA4" s="268"/>
      <c r="AB4" s="268"/>
      <c r="AC4" s="268"/>
      <c r="AD4" s="268"/>
      <c r="AE4" s="268"/>
      <c r="AF4" s="311" t="s">
        <v>89</v>
      </c>
      <c r="AG4" s="312"/>
      <c r="AH4" s="313"/>
      <c r="AI4" s="287" t="s">
        <v>90</v>
      </c>
      <c r="AJ4" s="287" t="s">
        <v>91</v>
      </c>
      <c r="AK4" s="287" t="s">
        <v>93</v>
      </c>
      <c r="AL4" s="287" t="s">
        <v>92</v>
      </c>
      <c r="AM4" s="300"/>
      <c r="AN4" s="296" t="s">
        <v>94</v>
      </c>
      <c r="AO4" s="296" t="s">
        <v>91</v>
      </c>
      <c r="AP4" s="296" t="s">
        <v>95</v>
      </c>
      <c r="AQ4" s="296" t="s">
        <v>92</v>
      </c>
      <c r="AR4" s="297" t="s">
        <v>96</v>
      </c>
      <c r="AS4" s="303"/>
      <c r="AT4" s="294"/>
      <c r="AU4" s="295"/>
      <c r="AV4" s="163" t="s">
        <v>192</v>
      </c>
      <c r="AW4" s="163" t="s">
        <v>97</v>
      </c>
      <c r="AX4" s="220" t="s">
        <v>192</v>
      </c>
      <c r="AY4" s="162" t="s">
        <v>97</v>
      </c>
      <c r="AZ4" s="319"/>
      <c r="BA4" s="297"/>
      <c r="BB4" s="268"/>
      <c r="BC4" s="268"/>
      <c r="BD4" s="306"/>
      <c r="BE4" s="309"/>
      <c r="BF4" s="268"/>
    </row>
    <row r="5" spans="1:58" s="115" customFormat="1" ht="48" x14ac:dyDescent="0.25">
      <c r="A5" s="268"/>
      <c r="B5" s="268"/>
      <c r="C5" s="271"/>
      <c r="D5" s="268"/>
      <c r="E5" s="268"/>
      <c r="F5" s="268"/>
      <c r="G5" s="223" t="s">
        <v>98</v>
      </c>
      <c r="H5" s="224" t="s">
        <v>99</v>
      </c>
      <c r="I5" s="153" t="s">
        <v>100</v>
      </c>
      <c r="J5" s="154" t="s">
        <v>101</v>
      </c>
      <c r="K5" s="154" t="s">
        <v>102</v>
      </c>
      <c r="L5" s="155" t="s">
        <v>103</v>
      </c>
      <c r="M5" s="155" t="s">
        <v>104</v>
      </c>
      <c r="N5" s="224" t="s">
        <v>105</v>
      </c>
      <c r="O5" s="285"/>
      <c r="P5" s="288"/>
      <c r="Q5" s="285"/>
      <c r="R5" s="270"/>
      <c r="S5" s="270"/>
      <c r="T5" s="268"/>
      <c r="U5" s="268"/>
      <c r="V5" s="268"/>
      <c r="W5" s="270"/>
      <c r="X5" s="290"/>
      <c r="Y5" s="291"/>
      <c r="Z5" s="270"/>
      <c r="AA5" s="268"/>
      <c r="AB5" s="271"/>
      <c r="AC5" s="268"/>
      <c r="AD5" s="271"/>
      <c r="AE5" s="268"/>
      <c r="AF5" s="44" t="s">
        <v>106</v>
      </c>
      <c r="AG5" s="221" t="s">
        <v>107</v>
      </c>
      <c r="AH5" s="221" t="s">
        <v>108</v>
      </c>
      <c r="AI5" s="288"/>
      <c r="AJ5" s="288"/>
      <c r="AK5" s="288"/>
      <c r="AL5" s="288"/>
      <c r="AM5" s="301"/>
      <c r="AN5" s="286"/>
      <c r="AO5" s="286"/>
      <c r="AP5" s="286"/>
      <c r="AQ5" s="286"/>
      <c r="AR5" s="269"/>
      <c r="AS5" s="304"/>
      <c r="AT5" s="222" t="s">
        <v>182</v>
      </c>
      <c r="AU5" s="222" t="s">
        <v>183</v>
      </c>
      <c r="AV5" s="219" t="s">
        <v>184</v>
      </c>
      <c r="AW5" s="219" t="s">
        <v>184</v>
      </c>
      <c r="AX5" s="220" t="s">
        <v>173</v>
      </c>
      <c r="AY5" s="220" t="s">
        <v>173</v>
      </c>
      <c r="AZ5" s="320"/>
      <c r="BA5" s="269"/>
      <c r="BB5" s="271"/>
      <c r="BC5" s="271"/>
      <c r="BD5" s="307"/>
      <c r="BE5" s="310"/>
      <c r="BF5" s="271"/>
    </row>
    <row r="6" spans="1:58" ht="12.95" customHeight="1" x14ac:dyDescent="0.2">
      <c r="A6" s="117">
        <f>+[1]Report1!A9</f>
        <v>45962</v>
      </c>
      <c r="B6" s="118" t="s">
        <v>109</v>
      </c>
      <c r="C6" s="119">
        <f>(M6*E6*O6*Q6)/100000000</f>
        <v>59.309192736000007</v>
      </c>
      <c r="D6" s="118" t="s">
        <v>219</v>
      </c>
      <c r="E6" s="37">
        <v>12</v>
      </c>
      <c r="F6" s="37">
        <v>1</v>
      </c>
      <c r="G6" s="120">
        <v>1270</v>
      </c>
      <c r="H6" s="121">
        <v>0</v>
      </c>
      <c r="I6" s="45">
        <v>0.88</v>
      </c>
      <c r="J6" s="46">
        <f>E6*G6*(1-H6)*1440/1000000*2.77</f>
        <v>60.789311999999995</v>
      </c>
      <c r="K6" s="46">
        <f>(IF(G6&lt;L6,L6,G6)*(1-IF(H6&lt;N6,H6,N6))*E6*O6*Q6)/100000000</f>
        <v>59.517504000000002</v>
      </c>
      <c r="L6" s="122">
        <v>1290</v>
      </c>
      <c r="M6" s="122">
        <f>+L6-L6*0.0035</f>
        <v>1285.4849999999999</v>
      </c>
      <c r="N6" s="47">
        <f>1-(M6/L6)</f>
        <v>3.5000000000000586E-3</v>
      </c>
      <c r="O6" s="48">
        <f>+'[1]Trim Rwd'!H4</f>
        <v>267</v>
      </c>
      <c r="P6" s="49">
        <f>O6*(Q6-R6-S6)</f>
        <v>371931</v>
      </c>
      <c r="Q6" s="48">
        <v>1440</v>
      </c>
      <c r="R6" s="123">
        <v>0</v>
      </c>
      <c r="S6" s="123">
        <v>47</v>
      </c>
      <c r="T6" s="50">
        <f>E6*M6*O6*Q6/100000000</f>
        <v>59.309192736000007</v>
      </c>
      <c r="U6" s="50">
        <f>E6*M6*O6*(Q6-R6-S6)/100000000</f>
        <v>57.373406584199998</v>
      </c>
      <c r="V6" s="50">
        <f>E6*G6*(1-N6)*O6/100*(R6+S6)/1000000</f>
        <v>1.9057739633999999</v>
      </c>
      <c r="W6" s="50">
        <f>+'[1]1'!K34/1000</f>
        <v>59.673000000000002</v>
      </c>
      <c r="X6" s="51">
        <f>SUM(W6:W9)/SUM(K6:K9)</f>
        <v>1.0026126095610461</v>
      </c>
      <c r="Y6" s="52">
        <v>0</v>
      </c>
      <c r="Z6" s="50">
        <f>+'[1]1'!D34/1000</f>
        <v>0.86199999999999999</v>
      </c>
      <c r="AA6" s="53">
        <f>SUM(U6:U9)-SUM(W6:W9)-SUM(Z6:Z9)-SUM(Y6:Y9)</f>
        <v>-3.1615934158000041</v>
      </c>
      <c r="AB6" s="53">
        <f>(SUM(K6:K9)-SUM(W6:W9)-SUM(Y6:Y9)-SUM(Z6:Z9)-SUM(AC6:AC9)-SUM(V6:V9))-AA6</f>
        <v>3.0012188400009521E-2</v>
      </c>
      <c r="AC6" s="50">
        <f>K6-T6</f>
        <v>0.20831126399999533</v>
      </c>
      <c r="AD6" s="50">
        <f>+AM6+BA6</f>
        <v>20</v>
      </c>
      <c r="AE6" s="101" t="s">
        <v>134</v>
      </c>
      <c r="AF6" s="50">
        <v>20</v>
      </c>
      <c r="AG6" s="50"/>
      <c r="AH6" s="50"/>
      <c r="AI6" s="54"/>
      <c r="AJ6" s="50"/>
      <c r="AK6" s="50"/>
      <c r="AL6" s="50"/>
      <c r="AM6" s="50">
        <f>SUM(AF6:AL6)+AT6+AV6+AX6</f>
        <v>20</v>
      </c>
      <c r="AN6" s="50"/>
      <c r="AO6" s="50"/>
      <c r="AP6" s="50"/>
      <c r="AQ6" s="50"/>
      <c r="AR6" s="50">
        <f>SUM(AN6:AQ6)</f>
        <v>0</v>
      </c>
      <c r="AS6" s="50"/>
      <c r="AT6" s="50"/>
      <c r="AU6" s="50"/>
      <c r="AV6" s="50"/>
      <c r="AW6" s="50"/>
      <c r="AX6" s="50"/>
      <c r="AY6" s="50"/>
      <c r="AZ6" s="50"/>
      <c r="BA6" s="50">
        <f>+AR6+AS6+AU6+AW6+AY6+AZ6</f>
        <v>0</v>
      </c>
      <c r="BB6" s="124">
        <v>4</v>
      </c>
      <c r="BC6" s="116"/>
      <c r="BD6" s="116"/>
      <c r="BE6" s="124"/>
      <c r="BF6" s="116"/>
    </row>
    <row r="7" spans="1:58" ht="12.95" customHeight="1" x14ac:dyDescent="0.2">
      <c r="A7" s="117"/>
      <c r="B7" s="118"/>
      <c r="C7" s="119"/>
      <c r="D7" s="118"/>
      <c r="E7" s="37"/>
      <c r="F7" s="37"/>
      <c r="G7" s="120"/>
      <c r="H7" s="121"/>
      <c r="I7" s="45"/>
      <c r="J7" s="46"/>
      <c r="K7" s="46"/>
      <c r="L7" s="122"/>
      <c r="M7" s="122"/>
      <c r="N7" s="47"/>
      <c r="O7" s="48"/>
      <c r="P7" s="49"/>
      <c r="Q7" s="48"/>
      <c r="R7" s="123"/>
      <c r="S7" s="123"/>
      <c r="T7" s="50"/>
      <c r="U7" s="50"/>
      <c r="V7" s="50"/>
      <c r="W7" s="50"/>
      <c r="X7" s="55"/>
      <c r="Y7" s="52"/>
      <c r="Z7" s="50"/>
      <c r="AA7" s="50"/>
      <c r="AB7" s="50"/>
      <c r="AC7" s="50"/>
      <c r="AD7" s="50">
        <f>+AM7+BA7</f>
        <v>3</v>
      </c>
      <c r="AE7" s="101" t="s">
        <v>166</v>
      </c>
      <c r="AF7" s="50"/>
      <c r="AG7" s="50">
        <v>3</v>
      </c>
      <c r="AH7" s="50"/>
      <c r="AI7" s="54"/>
      <c r="AJ7" s="50"/>
      <c r="AK7" s="50"/>
      <c r="AL7" s="50"/>
      <c r="AM7" s="50">
        <f>SUM(AF7:AL7)+AT7+AV7+AX7</f>
        <v>3</v>
      </c>
      <c r="AN7" s="125"/>
      <c r="AO7" s="50"/>
      <c r="AP7" s="50"/>
      <c r="AQ7" s="50"/>
      <c r="AR7" s="50">
        <f>SUM(AN7:AQ7)</f>
        <v>0</v>
      </c>
      <c r="AS7" s="50"/>
      <c r="AT7" s="50"/>
      <c r="AU7" s="50"/>
      <c r="AV7" s="50"/>
      <c r="AW7" s="50"/>
      <c r="AX7" s="50"/>
      <c r="AY7" s="50"/>
      <c r="AZ7" s="50"/>
      <c r="BA7" s="50">
        <f>+AR7+AS7+AU7+AW7+AY7+AZ7</f>
        <v>0</v>
      </c>
      <c r="BB7" s="126"/>
      <c r="BC7" s="116">
        <v>2</v>
      </c>
      <c r="BD7" s="116"/>
      <c r="BE7" s="126"/>
      <c r="BF7" s="116"/>
    </row>
    <row r="8" spans="1:58" ht="12.95" customHeight="1" x14ac:dyDescent="0.2">
      <c r="A8" s="117"/>
      <c r="B8" s="118"/>
      <c r="C8" s="119"/>
      <c r="D8" s="118"/>
      <c r="E8" s="37"/>
      <c r="F8" s="37"/>
      <c r="G8" s="127"/>
      <c r="H8" s="121"/>
      <c r="I8" s="45"/>
      <c r="J8" s="46"/>
      <c r="K8" s="46"/>
      <c r="L8" s="122"/>
      <c r="M8" s="122"/>
      <c r="N8" s="47"/>
      <c r="O8" s="48"/>
      <c r="P8" s="49"/>
      <c r="Q8" s="48"/>
      <c r="R8" s="123"/>
      <c r="S8" s="123"/>
      <c r="T8" s="50"/>
      <c r="U8" s="50"/>
      <c r="V8" s="50"/>
      <c r="W8" s="50"/>
      <c r="X8" s="55"/>
      <c r="Y8" s="52"/>
      <c r="Z8" s="50"/>
      <c r="AA8" s="50"/>
      <c r="AB8" s="50"/>
      <c r="AC8" s="50"/>
      <c r="AD8" s="50">
        <f>+AM8+BA8</f>
        <v>24</v>
      </c>
      <c r="AE8" s="101" t="s">
        <v>126</v>
      </c>
      <c r="AF8" s="124"/>
      <c r="AG8" s="124"/>
      <c r="AH8" s="124">
        <v>24</v>
      </c>
      <c r="AJ8" s="50"/>
      <c r="AK8" s="50"/>
      <c r="AL8" s="50"/>
      <c r="AM8" s="50">
        <f>SUM(AF8:AL8)+AT8+AV8+AX8</f>
        <v>24</v>
      </c>
      <c r="AN8" s="50"/>
      <c r="AO8" s="50"/>
      <c r="AP8" s="50"/>
      <c r="AQ8" s="50"/>
      <c r="AR8" s="50">
        <f>SUM(AN8:AQ8)</f>
        <v>0</v>
      </c>
      <c r="AS8" s="50"/>
      <c r="AT8" s="50"/>
      <c r="AU8" s="50"/>
      <c r="AV8" s="50"/>
      <c r="AW8" s="50"/>
      <c r="AX8" s="50"/>
      <c r="AY8" s="50"/>
      <c r="AZ8" s="50"/>
      <c r="BA8" s="50">
        <f>+AR8+AS8+AU8+AW8+AY8+AZ8</f>
        <v>0</v>
      </c>
      <c r="BB8" s="124"/>
      <c r="BC8" s="146"/>
      <c r="BD8" s="146"/>
      <c r="BE8" s="124"/>
      <c r="BF8" s="146"/>
    </row>
    <row r="9" spans="1:58" ht="12.95" customHeight="1" x14ac:dyDescent="0.2">
      <c r="A9" s="117"/>
      <c r="B9" s="118"/>
      <c r="C9" s="119"/>
      <c r="D9" s="118"/>
      <c r="E9" s="37"/>
      <c r="F9" s="37"/>
      <c r="G9" s="120"/>
      <c r="H9" s="121"/>
      <c r="I9" s="45"/>
      <c r="J9" s="46"/>
      <c r="K9" s="46"/>
      <c r="L9" s="122"/>
      <c r="M9" s="122"/>
      <c r="N9" s="47"/>
      <c r="O9" s="48"/>
      <c r="P9" s="49"/>
      <c r="Q9" s="48"/>
      <c r="R9" s="123"/>
      <c r="S9" s="123"/>
      <c r="T9" s="50"/>
      <c r="U9" s="50"/>
      <c r="V9" s="50"/>
      <c r="W9" s="50"/>
      <c r="X9" s="51"/>
      <c r="Y9" s="52"/>
      <c r="Z9" s="50"/>
      <c r="AA9" s="53"/>
      <c r="AB9" s="53"/>
      <c r="AC9" s="50"/>
      <c r="AD9" s="50"/>
      <c r="AE9" s="101"/>
      <c r="AF9" s="50"/>
      <c r="AG9" s="50"/>
      <c r="AH9" s="50"/>
      <c r="AI9" s="54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124"/>
      <c r="BC9" s="116"/>
      <c r="BD9" s="116"/>
      <c r="BE9" s="116"/>
      <c r="BF9" s="116"/>
    </row>
    <row r="10" spans="1:58" ht="12.95" customHeight="1" x14ac:dyDescent="0.2">
      <c r="A10" s="117">
        <v>45963</v>
      </c>
      <c r="B10" s="118" t="s">
        <v>109</v>
      </c>
      <c r="C10" s="119">
        <f>(M10*E10*O10*Q10)/100000000</f>
        <v>42.588229831304339</v>
      </c>
      <c r="D10" s="118" t="s">
        <v>219</v>
      </c>
      <c r="E10" s="37">
        <v>14</v>
      </c>
      <c r="F10" s="37">
        <v>1</v>
      </c>
      <c r="G10" s="120">
        <v>1270</v>
      </c>
      <c r="H10" s="121">
        <v>0</v>
      </c>
      <c r="I10" s="45">
        <v>0.88</v>
      </c>
      <c r="J10" s="46">
        <f>E10*G10*(1-H10)*1440/1000000*2.77</f>
        <v>70.920864000000009</v>
      </c>
      <c r="K10" s="46">
        <f>(IF(G10&lt;L10,L10,G10)*(1-IF(H10&lt;N10,H10,N10))*E10*O10*Q10)/100000000</f>
        <v>42.737812173913042</v>
      </c>
      <c r="L10" s="122">
        <v>1290</v>
      </c>
      <c r="M10" s="122">
        <v>1285.4849999999999</v>
      </c>
      <c r="N10" s="47">
        <f>1-(M10/L10)</f>
        <v>3.5000000000000586E-3</v>
      </c>
      <c r="O10" s="48">
        <f>+'[1]Trim Rwd'!H6</f>
        <v>268.91304347826087</v>
      </c>
      <c r="P10" s="49">
        <f>O10*(Q10-R10-S10)</f>
        <v>229382.82608695651</v>
      </c>
      <c r="Q10" s="48">
        <v>880</v>
      </c>
      <c r="R10" s="123">
        <v>0</v>
      </c>
      <c r="S10" s="123">
        <v>27</v>
      </c>
      <c r="T10" s="50">
        <f>E10*M10*O10*Q10/100000000</f>
        <v>42.588229831304339</v>
      </c>
      <c r="U10" s="50">
        <f>E10*M10*O10*(Q10-R10-S10)/100000000</f>
        <v>41.281545506934776</v>
      </c>
      <c r="V10" s="50">
        <f>E10*G10*(1-N10)*O10/100*(R10+S10)/1000000</f>
        <v>1.2864256526739131</v>
      </c>
      <c r="W10" s="50">
        <f>+'[1]2'!K7/1000</f>
        <v>51.575000000000003</v>
      </c>
      <c r="X10" s="51">
        <f>SUM(W10:W13)/SUM(K10:K13)</f>
        <v>0.85910238670422456</v>
      </c>
      <c r="Y10" s="52">
        <v>0</v>
      </c>
      <c r="Z10" s="50">
        <f>+'[1]2'!D34/1000</f>
        <v>0.96699999999999997</v>
      </c>
      <c r="AA10" s="53">
        <f>SUM(U10:U13)-SUM(W10:W13)-SUM(Z10:Z13)-SUM(Y10:Y13)</f>
        <v>5.6216186319347718</v>
      </c>
      <c r="AB10" s="53">
        <f>(SUM(K10:K13)-SUM(W10:W13)-SUM(Y10:Y13)-SUM(Z10:Z13)-SUM(AC10:AC13)-SUM(V10:V13))-AA10</f>
        <v>4.6736310706512185E-3</v>
      </c>
      <c r="AC10" s="50">
        <f>K10-T10</f>
        <v>0.14958234260870285</v>
      </c>
      <c r="AD10" s="50">
        <f>+AM10+BA10</f>
        <v>25</v>
      </c>
      <c r="AE10" s="101" t="s">
        <v>164</v>
      </c>
      <c r="AF10" s="50">
        <v>25</v>
      </c>
      <c r="AG10" s="50"/>
      <c r="AH10" s="50"/>
      <c r="AI10" s="54"/>
      <c r="AJ10" s="50"/>
      <c r="AK10" s="50"/>
      <c r="AL10" s="50"/>
      <c r="AM10" s="50">
        <f>SUM(AF10:AL10)+AT10+AV10+AX10</f>
        <v>25</v>
      </c>
      <c r="AN10" s="50"/>
      <c r="AO10" s="50"/>
      <c r="AP10" s="50"/>
      <c r="AQ10" s="50"/>
      <c r="AR10" s="50">
        <f>SUM(AN10:AQ10)</f>
        <v>0</v>
      </c>
      <c r="AS10" s="50"/>
      <c r="AT10" s="50"/>
      <c r="AU10" s="50"/>
      <c r="AV10" s="50"/>
      <c r="AW10" s="50"/>
      <c r="AX10" s="50"/>
      <c r="AY10" s="50"/>
      <c r="AZ10" s="50"/>
      <c r="BA10" s="50">
        <f>+AR10+AS10+AU10+AW10+AY10+AZ10</f>
        <v>0</v>
      </c>
      <c r="BB10" s="124">
        <v>5</v>
      </c>
      <c r="BC10" s="116"/>
      <c r="BD10" s="116"/>
      <c r="BE10" s="124"/>
      <c r="BF10" s="116"/>
    </row>
    <row r="11" spans="1:58" ht="12.95" customHeight="1" x14ac:dyDescent="0.2">
      <c r="A11" s="117"/>
      <c r="B11" s="118" t="s">
        <v>109</v>
      </c>
      <c r="C11" s="119">
        <f>(M11*E11*O11*Q11)/100000000</f>
        <v>29.923278</v>
      </c>
      <c r="D11" s="118" t="s">
        <v>219</v>
      </c>
      <c r="E11" s="37">
        <v>16.5</v>
      </c>
      <c r="F11" s="37">
        <v>1</v>
      </c>
      <c r="G11" s="120">
        <v>1210</v>
      </c>
      <c r="H11" s="121">
        <v>0</v>
      </c>
      <c r="I11" s="45">
        <v>0.88</v>
      </c>
      <c r="J11" s="46">
        <f>E11*G11*(1-H11)*1440/1000000*2.77</f>
        <v>79.636392000000001</v>
      </c>
      <c r="K11" s="46">
        <f>(IF(G11&lt;L11,L11,G11)*(1-IF(H11&lt;N11,H11,N11))*E11*O11*Q11)/100000000</f>
        <v>30.298884000000001</v>
      </c>
      <c r="L11" s="122">
        <v>1200</v>
      </c>
      <c r="M11" s="122">
        <v>1195</v>
      </c>
      <c r="N11" s="47">
        <f>1-(M11/L11)</f>
        <v>4.1666666666666519E-3</v>
      </c>
      <c r="O11" s="48">
        <f>+'[1]Trim Rwd'!H8</f>
        <v>271</v>
      </c>
      <c r="P11" s="49">
        <f>O11*(Q11-R11-S11)</f>
        <v>142275</v>
      </c>
      <c r="Q11" s="48">
        <v>560</v>
      </c>
      <c r="R11" s="123">
        <v>0</v>
      </c>
      <c r="S11" s="123">
        <v>35</v>
      </c>
      <c r="T11" s="50">
        <f>E11*M11*O11*Q11/100000000</f>
        <v>29.923278</v>
      </c>
      <c r="U11" s="50">
        <f>E11*M11*O11*(Q11-R11-S11)/100000000</f>
        <v>28.053073125000001</v>
      </c>
      <c r="V11" s="50">
        <f>E11*G11*(1-N11)*O11/100*(R11+S11)/1000000</f>
        <v>1.8857899156250002</v>
      </c>
      <c r="W11" s="50">
        <f>+'[1]2'!K8/1000</f>
        <v>11.170999999999999</v>
      </c>
      <c r="X11" s="55"/>
      <c r="Y11" s="52"/>
      <c r="Z11" s="50"/>
      <c r="AA11" s="50"/>
      <c r="AB11" s="50"/>
      <c r="AC11" s="50">
        <f>K11-T11</f>
        <v>0.37560600000000122</v>
      </c>
      <c r="AD11" s="50">
        <f>+AM11+BA11</f>
        <v>2</v>
      </c>
      <c r="AE11" s="101" t="s">
        <v>166</v>
      </c>
      <c r="AF11" s="50"/>
      <c r="AG11" s="50">
        <v>2</v>
      </c>
      <c r="AH11" s="50"/>
      <c r="AI11" s="54"/>
      <c r="AJ11" s="50"/>
      <c r="AK11" s="50"/>
      <c r="AL11" s="50"/>
      <c r="AM11" s="50">
        <f>SUM(AF11:AL11)+AT11+AV11+AX11</f>
        <v>2</v>
      </c>
      <c r="AN11" s="125"/>
      <c r="AO11" s="50"/>
      <c r="AP11" s="50"/>
      <c r="AQ11" s="50"/>
      <c r="AR11" s="50">
        <f>SUM(AN11:AQ11)</f>
        <v>0</v>
      </c>
      <c r="AS11" s="50"/>
      <c r="AT11" s="50"/>
      <c r="AU11" s="50"/>
      <c r="AV11" s="50"/>
      <c r="AW11" s="50"/>
      <c r="AX11" s="50"/>
      <c r="AY11" s="50"/>
      <c r="AZ11" s="50"/>
      <c r="BA11" s="50">
        <f>+AR11+AS11+AU11+AW11+AY11+AZ11</f>
        <v>0</v>
      </c>
      <c r="BB11" s="126"/>
      <c r="BC11" s="116">
        <v>2</v>
      </c>
      <c r="BD11" s="116"/>
      <c r="BE11" s="126"/>
      <c r="BF11" s="116"/>
    </row>
    <row r="12" spans="1:58" ht="12.95" customHeight="1" x14ac:dyDescent="0.2">
      <c r="A12" s="117"/>
      <c r="B12" s="118"/>
      <c r="C12" s="119"/>
      <c r="D12" s="118"/>
      <c r="E12" s="37"/>
      <c r="F12" s="37"/>
      <c r="G12" s="127"/>
      <c r="H12" s="121"/>
      <c r="I12" s="45"/>
      <c r="J12" s="46"/>
      <c r="K12" s="46"/>
      <c r="L12" s="122"/>
      <c r="M12" s="122"/>
      <c r="N12" s="47"/>
      <c r="O12" s="48"/>
      <c r="P12" s="49"/>
      <c r="Q12" s="48"/>
      <c r="R12" s="123"/>
      <c r="S12" s="123"/>
      <c r="T12" s="50"/>
      <c r="U12" s="50"/>
      <c r="V12" s="50"/>
      <c r="W12" s="50"/>
      <c r="X12" s="55"/>
      <c r="Y12" s="52"/>
      <c r="Z12" s="50"/>
      <c r="AA12" s="50"/>
      <c r="AB12" s="50"/>
      <c r="AC12" s="50"/>
      <c r="AD12" s="50">
        <f>+AM12+BA12</f>
        <v>25</v>
      </c>
      <c r="AE12" s="101" t="s">
        <v>126</v>
      </c>
      <c r="AF12" s="124"/>
      <c r="AG12" s="124"/>
      <c r="AH12" s="124">
        <v>25</v>
      </c>
      <c r="AJ12" s="50"/>
      <c r="AK12" s="50"/>
      <c r="AL12" s="50"/>
      <c r="AM12" s="50">
        <f>SUM(AF12:AL12)+AT12+AV12+AX12</f>
        <v>25</v>
      </c>
      <c r="AN12" s="50"/>
      <c r="AO12" s="50"/>
      <c r="AP12" s="50"/>
      <c r="AQ12" s="50"/>
      <c r="AR12" s="50">
        <f>SUM(AN12:AQ12)</f>
        <v>0</v>
      </c>
      <c r="AS12" s="50"/>
      <c r="AT12" s="50"/>
      <c r="AU12" s="50"/>
      <c r="AV12" s="50"/>
      <c r="AW12" s="50"/>
      <c r="AX12" s="50"/>
      <c r="AY12" s="50"/>
      <c r="AZ12" s="50"/>
      <c r="BA12" s="50">
        <f>+AR12+AS12+AU12+AW12+AY12+AZ12</f>
        <v>0</v>
      </c>
      <c r="BB12" s="124"/>
      <c r="BC12" s="146"/>
      <c r="BD12" s="146"/>
      <c r="BE12" s="124"/>
      <c r="BF12" s="146"/>
    </row>
    <row r="13" spans="1:58" ht="12.95" customHeight="1" x14ac:dyDescent="0.2">
      <c r="A13" s="117"/>
      <c r="B13" s="118"/>
      <c r="C13" s="119"/>
      <c r="D13" s="118"/>
      <c r="E13" s="37"/>
      <c r="F13" s="37"/>
      <c r="G13" s="127"/>
      <c r="H13" s="121"/>
      <c r="I13" s="45"/>
      <c r="J13" s="46"/>
      <c r="K13" s="46"/>
      <c r="L13" s="122"/>
      <c r="M13" s="122"/>
      <c r="N13" s="47"/>
      <c r="O13" s="48"/>
      <c r="P13" s="49"/>
      <c r="Q13" s="56"/>
      <c r="R13" s="123"/>
      <c r="S13" s="123"/>
      <c r="T13" s="50"/>
      <c r="U13" s="50"/>
      <c r="V13" s="50"/>
      <c r="W13" s="50"/>
      <c r="X13" s="55"/>
      <c r="Y13" s="52"/>
      <c r="Z13" s="50"/>
      <c r="AA13" s="50"/>
      <c r="AB13" s="50"/>
      <c r="AC13" s="50"/>
      <c r="AD13" s="50">
        <f>+AM13+BA13</f>
        <v>10</v>
      </c>
      <c r="AE13" s="148" t="s">
        <v>124</v>
      </c>
      <c r="AF13" s="50"/>
      <c r="AG13" s="50"/>
      <c r="AH13" s="50"/>
      <c r="AI13" s="54">
        <v>10</v>
      </c>
      <c r="AJ13" s="50"/>
      <c r="AK13" s="50"/>
      <c r="AL13" s="50"/>
      <c r="AM13" s="50">
        <f>SUM(AF13:AL13)+AT13+AV13+AX13</f>
        <v>10</v>
      </c>
      <c r="AN13" s="50"/>
      <c r="AO13" s="50"/>
      <c r="AP13" s="50"/>
      <c r="AQ13" s="50"/>
      <c r="AR13" s="50">
        <f>SUM(AN13:AQ13)</f>
        <v>0</v>
      </c>
      <c r="AS13" s="50"/>
      <c r="AT13" s="50"/>
      <c r="AU13" s="50"/>
      <c r="AV13" s="50"/>
      <c r="AW13" s="50"/>
      <c r="AX13" s="50"/>
      <c r="AY13" s="50"/>
      <c r="AZ13" s="50"/>
      <c r="BA13" s="50">
        <f>+AR13+AS13+AU13+AW13+AY13+AZ13</f>
        <v>0</v>
      </c>
      <c r="BB13" s="124"/>
      <c r="BC13" s="146"/>
      <c r="BD13" s="146"/>
      <c r="BE13" s="124"/>
      <c r="BF13" s="146"/>
    </row>
    <row r="14" spans="1:58" ht="12.95" customHeight="1" x14ac:dyDescent="0.2">
      <c r="A14" s="117"/>
      <c r="B14" s="118"/>
      <c r="C14" s="119"/>
      <c r="D14" s="118"/>
      <c r="E14" s="37"/>
      <c r="F14" s="37"/>
      <c r="G14" s="120"/>
      <c r="H14" s="121"/>
      <c r="I14" s="45"/>
      <c r="J14" s="46"/>
      <c r="K14" s="46"/>
      <c r="L14" s="122"/>
      <c r="M14" s="122"/>
      <c r="N14" s="47"/>
      <c r="O14" s="48"/>
      <c r="P14" s="49"/>
      <c r="Q14" s="48"/>
      <c r="R14" s="123"/>
      <c r="S14" s="123"/>
      <c r="T14" s="50"/>
      <c r="U14" s="50"/>
      <c r="V14" s="50"/>
      <c r="W14" s="50"/>
      <c r="X14" s="55"/>
      <c r="Y14" s="52"/>
      <c r="Z14" s="50"/>
      <c r="AA14" s="50"/>
      <c r="AB14" s="50"/>
      <c r="AC14" s="50"/>
      <c r="AD14" s="50"/>
      <c r="AE14" s="148"/>
      <c r="AF14" s="50"/>
      <c r="AG14" s="50"/>
      <c r="AH14" s="50"/>
      <c r="AI14" s="54"/>
      <c r="AJ14" s="50"/>
      <c r="AK14" s="50"/>
      <c r="AL14" s="50"/>
      <c r="AM14" s="50"/>
      <c r="AN14" s="125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126"/>
      <c r="BC14" s="116"/>
      <c r="BD14" s="116"/>
      <c r="BE14" s="116"/>
      <c r="BF14" s="116"/>
    </row>
    <row r="15" spans="1:58" ht="12.95" customHeight="1" x14ac:dyDescent="0.2">
      <c r="A15" s="117">
        <v>45964</v>
      </c>
      <c r="B15" s="118" t="s">
        <v>109</v>
      </c>
      <c r="C15" s="119">
        <f>(M15*E15*O15*Q15)/100000000</f>
        <v>73.345842871910719</v>
      </c>
      <c r="D15" s="118" t="s">
        <v>219</v>
      </c>
      <c r="E15" s="37">
        <v>16.5</v>
      </c>
      <c r="F15" s="37">
        <v>1</v>
      </c>
      <c r="G15" s="120">
        <v>1210</v>
      </c>
      <c r="H15" s="121">
        <v>0</v>
      </c>
      <c r="I15" s="45">
        <v>0.88</v>
      </c>
      <c r="J15" s="46">
        <f>E15*G15*(1-H15)*1440/1000000*2.77</f>
        <v>79.636392000000001</v>
      </c>
      <c r="K15" s="46">
        <f>(IF(G15&lt;L15,L15,G15)*(1-IF(H15&lt;N15,H15,N15))*E15*O15*Q15)/100000000</f>
        <v>75.322240714285712</v>
      </c>
      <c r="L15" s="122">
        <v>1182.3888888888889</v>
      </c>
      <c r="M15" s="122">
        <v>1178.250527777778</v>
      </c>
      <c r="N15" s="47">
        <f>1-(M15/L15)</f>
        <v>3.4999999999998366E-3</v>
      </c>
      <c r="O15" s="48">
        <f>+'[1]Trim Rwd'!H11</f>
        <v>261.99404761904759</v>
      </c>
      <c r="P15" s="49">
        <f>O15*(Q15-R15-S15)</f>
        <v>358669.85119047615</v>
      </c>
      <c r="Q15" s="48">
        <v>1440</v>
      </c>
      <c r="R15" s="123">
        <v>0</v>
      </c>
      <c r="S15" s="123">
        <v>71</v>
      </c>
      <c r="T15" s="50">
        <f>E15*M15*O15*Q15/100000000</f>
        <v>73.345842871910719</v>
      </c>
      <c r="U15" s="50">
        <f>E15*M15*O15*(Q15-R15-S15)/100000000</f>
        <v>69.72948534142067</v>
      </c>
      <c r="V15" s="50">
        <f>E15*G15*(1-N15)*O15/100*(R15+S15)/1000000</f>
        <v>3.7008066068727681</v>
      </c>
      <c r="W15" s="50">
        <f>+'[1]3'!K8/1000</f>
        <v>63.192999999999998</v>
      </c>
      <c r="X15" s="51">
        <f>SUM(W15:W18)/SUM(K15:K18)</f>
        <v>0.87121677976786538</v>
      </c>
      <c r="Y15" s="52">
        <v>0</v>
      </c>
      <c r="Z15" s="50">
        <f>+'[1]3'!D34/1000</f>
        <v>0.84799999999999998</v>
      </c>
      <c r="AA15" s="53">
        <f>SUM(U15:U18)-SUM(W15:W18)-SUM(Z15:Z18)-SUM(Y15:Y18)</f>
        <v>3.2594853414206701</v>
      </c>
      <c r="AB15" s="53">
        <f>(SUM(K15:K18)-SUM(W15:W18)-SUM(Y15:Y18)-SUM(Z15:Z18)-SUM(AC15:AC18)-SUM(V15:V18))-AA15</f>
        <v>-8.4449076382719923E-2</v>
      </c>
      <c r="AC15" s="50">
        <f>K15-T15</f>
        <v>1.9763978423749933</v>
      </c>
      <c r="AD15" s="50">
        <f>+AM15+BA15</f>
        <v>30</v>
      </c>
      <c r="AE15" s="101" t="s">
        <v>161</v>
      </c>
      <c r="AF15" s="50">
        <v>30</v>
      </c>
      <c r="AG15" s="50"/>
      <c r="AH15" s="50"/>
      <c r="AI15" s="54"/>
      <c r="AJ15" s="50"/>
      <c r="AK15" s="50"/>
      <c r="AL15" s="50"/>
      <c r="AM15" s="50">
        <f>SUM(AF15:AL15)+AT15+AV15+AX15</f>
        <v>30</v>
      </c>
      <c r="AN15" s="50"/>
      <c r="AO15" s="50"/>
      <c r="AP15" s="50"/>
      <c r="AQ15" s="50"/>
      <c r="AR15" s="50">
        <f>SUM(AN15:AQ15)</f>
        <v>0</v>
      </c>
      <c r="AS15" s="50"/>
      <c r="AT15" s="50"/>
      <c r="AU15" s="50"/>
      <c r="AV15" s="50"/>
      <c r="AW15" s="50"/>
      <c r="AX15" s="50"/>
      <c r="AY15" s="50"/>
      <c r="AZ15" s="50"/>
      <c r="BA15" s="50">
        <f>+AR15+AS15+AU15+AW15+AY15+AZ15</f>
        <v>0</v>
      </c>
      <c r="BB15" s="124">
        <v>6</v>
      </c>
      <c r="BC15" s="116"/>
      <c r="BD15" s="116"/>
      <c r="BE15" s="124"/>
      <c r="BF15" s="116"/>
    </row>
    <row r="16" spans="1:58" ht="12.95" customHeight="1" x14ac:dyDescent="0.2">
      <c r="A16" s="117"/>
      <c r="B16" s="118" t="s">
        <v>109</v>
      </c>
      <c r="C16" s="119"/>
      <c r="D16" s="118"/>
      <c r="E16" s="37">
        <v>14</v>
      </c>
      <c r="F16" s="37"/>
      <c r="G16" s="120"/>
      <c r="H16" s="121"/>
      <c r="I16" s="45"/>
      <c r="J16" s="46"/>
      <c r="K16" s="46"/>
      <c r="L16" s="122"/>
      <c r="M16" s="122"/>
      <c r="N16" s="47"/>
      <c r="O16" s="48"/>
      <c r="P16" s="49"/>
      <c r="Q16" s="48"/>
      <c r="R16" s="123"/>
      <c r="S16" s="123"/>
      <c r="T16" s="50"/>
      <c r="U16" s="50"/>
      <c r="V16" s="50"/>
      <c r="W16" s="50">
        <f>+'[1]3'!K7/1000</f>
        <v>2.4289999999999998</v>
      </c>
      <c r="X16" s="55"/>
      <c r="Y16" s="52"/>
      <c r="Z16" s="50"/>
      <c r="AA16" s="50"/>
      <c r="AB16" s="50"/>
      <c r="AC16" s="50"/>
      <c r="AD16" s="50">
        <f>+AM16+BA16</f>
        <v>0</v>
      </c>
      <c r="AE16" s="101" t="s">
        <v>111</v>
      </c>
      <c r="AF16" s="50"/>
      <c r="AG16" s="50">
        <v>0</v>
      </c>
      <c r="AH16" s="50"/>
      <c r="AI16" s="54"/>
      <c r="AJ16" s="50"/>
      <c r="AK16" s="50"/>
      <c r="AL16" s="50"/>
      <c r="AM16" s="50">
        <f>SUM(AF16:AL16)+AT16+AV16+AX16</f>
        <v>0</v>
      </c>
      <c r="AN16" s="125"/>
      <c r="AO16" s="50"/>
      <c r="AP16" s="50"/>
      <c r="AQ16" s="50"/>
      <c r="AR16" s="50">
        <f>SUM(AN16:AQ16)</f>
        <v>0</v>
      </c>
      <c r="AS16" s="50"/>
      <c r="AT16" s="50"/>
      <c r="AU16" s="50"/>
      <c r="AV16" s="50"/>
      <c r="AW16" s="50"/>
      <c r="AX16" s="50"/>
      <c r="AY16" s="50"/>
      <c r="AZ16" s="50"/>
      <c r="BA16" s="50">
        <f>+AR16+AS16+AU16+AW16+AY16+AZ16</f>
        <v>0</v>
      </c>
      <c r="BB16" s="126"/>
      <c r="BC16" s="116">
        <v>0</v>
      </c>
      <c r="BD16" s="116"/>
      <c r="BE16" s="126"/>
      <c r="BF16" s="116"/>
    </row>
    <row r="17" spans="1:58" ht="12.95" customHeight="1" x14ac:dyDescent="0.2">
      <c r="A17" s="117"/>
      <c r="B17" s="118"/>
      <c r="C17" s="119"/>
      <c r="D17" s="118"/>
      <c r="E17" s="37"/>
      <c r="F17" s="37"/>
      <c r="G17" s="127"/>
      <c r="H17" s="121"/>
      <c r="I17" s="45"/>
      <c r="J17" s="46"/>
      <c r="K17" s="46"/>
      <c r="L17" s="122"/>
      <c r="M17" s="122"/>
      <c r="N17" s="47"/>
      <c r="O17" s="48"/>
      <c r="P17" s="49"/>
      <c r="Q17" s="48"/>
      <c r="R17" s="123"/>
      <c r="S17" s="123"/>
      <c r="T17" s="50"/>
      <c r="U17" s="50"/>
      <c r="V17" s="50"/>
      <c r="W17" s="50"/>
      <c r="X17" s="55"/>
      <c r="Y17" s="52"/>
      <c r="Z17" s="50"/>
      <c r="AA17" s="50"/>
      <c r="AB17" s="50"/>
      <c r="AC17" s="50"/>
      <c r="AD17" s="50">
        <f>+AM17+BA17</f>
        <v>31</v>
      </c>
      <c r="AE17" s="101" t="s">
        <v>118</v>
      </c>
      <c r="AF17" s="124"/>
      <c r="AG17" s="124"/>
      <c r="AH17" s="124">
        <v>31</v>
      </c>
      <c r="AJ17" s="50"/>
      <c r="AK17" s="50"/>
      <c r="AL17" s="50"/>
      <c r="AM17" s="50">
        <f>SUM(AF17:AL17)+AT17+AV17+AX17</f>
        <v>31</v>
      </c>
      <c r="AN17" s="50"/>
      <c r="AO17" s="50"/>
      <c r="AP17" s="50"/>
      <c r="AQ17" s="50"/>
      <c r="AR17" s="50">
        <f>SUM(AN17:AQ17)</f>
        <v>0</v>
      </c>
      <c r="AS17" s="50"/>
      <c r="AT17" s="50"/>
      <c r="AU17" s="50"/>
      <c r="AV17" s="50"/>
      <c r="AW17" s="50"/>
      <c r="AX17" s="50"/>
      <c r="AY17" s="50"/>
      <c r="AZ17" s="50"/>
      <c r="BA17" s="50">
        <f>+AR17+AS17+AU17+AW17+AY17+AZ17</f>
        <v>0</v>
      </c>
      <c r="BB17" s="124"/>
      <c r="BC17" s="146"/>
      <c r="BD17" s="146"/>
      <c r="BE17" s="124"/>
      <c r="BF17" s="146"/>
    </row>
    <row r="18" spans="1:58" ht="12.95" customHeight="1" x14ac:dyDescent="0.2">
      <c r="A18" s="117"/>
      <c r="B18" s="118"/>
      <c r="C18" s="119"/>
      <c r="D18" s="118"/>
      <c r="E18" s="37"/>
      <c r="F18" s="37"/>
      <c r="G18" s="127"/>
      <c r="H18" s="121"/>
      <c r="I18" s="45"/>
      <c r="J18" s="46"/>
      <c r="K18" s="46"/>
      <c r="L18" s="122"/>
      <c r="M18" s="122"/>
      <c r="N18" s="47"/>
      <c r="O18" s="48"/>
      <c r="P18" s="49"/>
      <c r="Q18" s="56"/>
      <c r="R18" s="123"/>
      <c r="S18" s="123"/>
      <c r="T18" s="50"/>
      <c r="U18" s="50"/>
      <c r="V18" s="50"/>
      <c r="W18" s="50"/>
      <c r="X18" s="55"/>
      <c r="Y18" s="52"/>
      <c r="Z18" s="50"/>
      <c r="AA18" s="50"/>
      <c r="AB18" s="50"/>
      <c r="AC18" s="50"/>
      <c r="AD18" s="50">
        <f>+AM18+BA18</f>
        <v>10</v>
      </c>
      <c r="AE18" s="148" t="s">
        <v>124</v>
      </c>
      <c r="AF18" s="50"/>
      <c r="AG18" s="50"/>
      <c r="AH18" s="50"/>
      <c r="AI18" s="54">
        <v>10</v>
      </c>
      <c r="AJ18" s="50"/>
      <c r="AK18" s="50"/>
      <c r="AL18" s="50"/>
      <c r="AM18" s="50">
        <f>SUM(AF18:AL18)+AT18+AV18+AX18</f>
        <v>10</v>
      </c>
      <c r="AN18" s="50"/>
      <c r="AO18" s="50"/>
      <c r="AP18" s="50"/>
      <c r="AQ18" s="50"/>
      <c r="AR18" s="50">
        <f>SUM(AN18:AQ18)</f>
        <v>0</v>
      </c>
      <c r="AS18" s="50"/>
      <c r="AT18" s="50"/>
      <c r="AU18" s="50"/>
      <c r="AV18" s="50"/>
      <c r="AW18" s="50"/>
      <c r="AX18" s="50"/>
      <c r="AY18" s="50"/>
      <c r="AZ18" s="50"/>
      <c r="BA18" s="50">
        <f>+AR18+AS18+AU18+AW18+AY18+AZ18</f>
        <v>0</v>
      </c>
      <c r="BB18" s="124"/>
      <c r="BC18" s="146"/>
      <c r="BD18" s="146"/>
      <c r="BE18" s="124"/>
      <c r="BF18" s="146"/>
    </row>
    <row r="19" spans="1:58" ht="12.95" customHeight="1" x14ac:dyDescent="0.2">
      <c r="A19" s="117"/>
      <c r="B19" s="118"/>
      <c r="C19" s="119"/>
      <c r="D19" s="118"/>
      <c r="E19" s="37"/>
      <c r="F19" s="37"/>
      <c r="G19" s="120"/>
      <c r="H19" s="121"/>
      <c r="I19" s="45"/>
      <c r="J19" s="46"/>
      <c r="K19" s="46"/>
      <c r="L19" s="122"/>
      <c r="M19" s="122"/>
      <c r="N19" s="47"/>
      <c r="O19" s="48"/>
      <c r="P19" s="49"/>
      <c r="Q19" s="48"/>
      <c r="R19" s="123"/>
      <c r="S19" s="123"/>
      <c r="T19" s="50"/>
      <c r="U19" s="50"/>
      <c r="V19" s="50"/>
      <c r="W19" s="50"/>
      <c r="X19" s="55"/>
      <c r="Y19" s="52"/>
      <c r="Z19" s="50"/>
      <c r="AA19" s="50"/>
      <c r="AB19" s="50"/>
      <c r="AC19" s="50"/>
      <c r="AD19" s="50"/>
      <c r="AE19" s="148"/>
      <c r="AF19" s="50"/>
      <c r="AG19" s="50"/>
      <c r="AH19" s="50"/>
      <c r="AI19" s="54"/>
      <c r="AJ19" s="50"/>
      <c r="AK19" s="50"/>
      <c r="AL19" s="50"/>
      <c r="AM19" s="50"/>
      <c r="AN19" s="125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126"/>
      <c r="BC19" s="116"/>
      <c r="BD19" s="116"/>
      <c r="BE19" s="116"/>
      <c r="BF19" s="116"/>
    </row>
    <row r="20" spans="1:58" ht="12.95" customHeight="1" x14ac:dyDescent="0.2">
      <c r="A20" s="117">
        <v>45965</v>
      </c>
      <c r="B20" s="118" t="s">
        <v>109</v>
      </c>
      <c r="C20" s="119">
        <f>(M20*E20*O20*Q20)/100000000</f>
        <v>10.7028195615</v>
      </c>
      <c r="D20" s="118" t="s">
        <v>219</v>
      </c>
      <c r="E20" s="37">
        <v>16.5</v>
      </c>
      <c r="F20" s="37">
        <v>1</v>
      </c>
      <c r="G20" s="120">
        <v>1210</v>
      </c>
      <c r="H20" s="121">
        <v>0</v>
      </c>
      <c r="I20" s="45">
        <v>0.88</v>
      </c>
      <c r="J20" s="46">
        <f>E20*G20*(1-H20)*1440/1000000*2.77</f>
        <v>79.636392000000001</v>
      </c>
      <c r="K20" s="46">
        <f>(IF(G20&lt;L20,L20,G20)*(1-IF(H20&lt;N20,H20,N20))*E20*O20*Q20)/100000000</f>
        <v>11.203359750000001</v>
      </c>
      <c r="L20" s="122">
        <v>1160</v>
      </c>
      <c r="M20" s="122">
        <f>+L20-L20*0.0035</f>
        <v>1155.94</v>
      </c>
      <c r="N20" s="47">
        <f>1-(M20/L20)</f>
        <v>3.4999999999999476E-3</v>
      </c>
      <c r="O20" s="48">
        <f>+'[1]Trim Rwd'!H16</f>
        <v>261</v>
      </c>
      <c r="P20" s="49">
        <f>O20*(Q20-R20-S20)</f>
        <v>52200</v>
      </c>
      <c r="Q20" s="48">
        <v>215</v>
      </c>
      <c r="R20" s="123">
        <v>0</v>
      </c>
      <c r="S20" s="123">
        <v>15</v>
      </c>
      <c r="T20" s="50">
        <f>E20*M20*O20*Q20/100000000</f>
        <v>10.7028195615</v>
      </c>
      <c r="U20" s="50">
        <f>E20*M20*O20*(Q20-R20-S20)/100000000</f>
        <v>9.9561112200000004</v>
      </c>
      <c r="V20" s="50">
        <f>E20*G20*(1-N20)*O20/100*(R20+S20)/1000000</f>
        <v>0.778894045875</v>
      </c>
      <c r="W20" s="50">
        <f>+'[1]4'!K8/1000</f>
        <v>19.001000000000001</v>
      </c>
      <c r="X20" s="51">
        <f>SUM(W20:W25)/SUM(K20:K25)</f>
        <v>0.79021126921829099</v>
      </c>
      <c r="Y20" s="52">
        <v>0</v>
      </c>
      <c r="Z20" s="50">
        <v>0</v>
      </c>
      <c r="AA20" s="53">
        <f>SUM(U20:U25)-SUM(W20:W25)-SUM(Z20:Z25)-SUM(Y20:Y25)</f>
        <v>8.3693381360714234</v>
      </c>
      <c r="AB20" s="53">
        <f>(SUM(K20:K25)-SUM(W20:W25)-SUM(Y20:Y25)-SUM(Z20:Z25)-SUM(AC20:AC25)-SUM(V20:V25))-AA20</f>
        <v>-1.8707187732152519E-2</v>
      </c>
      <c r="AC20" s="50">
        <f>K20-T20</f>
        <v>0.50054018850000048</v>
      </c>
      <c r="AD20" s="50">
        <f>+AM20+BA20</f>
        <v>33</v>
      </c>
      <c r="AE20" s="101" t="s">
        <v>202</v>
      </c>
      <c r="AF20" s="50">
        <v>33</v>
      </c>
      <c r="AG20" s="50"/>
      <c r="AH20" s="50"/>
      <c r="AI20" s="54"/>
      <c r="AJ20" s="50"/>
      <c r="AK20" s="50"/>
      <c r="AL20" s="50"/>
      <c r="AM20" s="50">
        <f>SUM(AF20:AL20)+AT20+AV20+AX20</f>
        <v>33</v>
      </c>
      <c r="AN20" s="50"/>
      <c r="AO20" s="50"/>
      <c r="AP20" s="50"/>
      <c r="AQ20" s="50"/>
      <c r="AR20" s="50">
        <f>SUM(AN20:AQ20)</f>
        <v>0</v>
      </c>
      <c r="AS20" s="50"/>
      <c r="AT20" s="50"/>
      <c r="AU20" s="50"/>
      <c r="AV20" s="50"/>
      <c r="AW20" s="50"/>
      <c r="AX20" s="50"/>
      <c r="AY20" s="50"/>
      <c r="AZ20" s="50"/>
      <c r="BA20" s="50">
        <f>+AR20+AS20+AU20+AW20+AY20+AZ20</f>
        <v>0</v>
      </c>
      <c r="BB20" s="124">
        <v>7</v>
      </c>
      <c r="BC20" s="116"/>
      <c r="BD20" s="116"/>
      <c r="BE20" s="124"/>
      <c r="BF20" s="116"/>
    </row>
    <row r="21" spans="1:58" ht="12.95" customHeight="1" x14ac:dyDescent="0.2">
      <c r="A21" s="117"/>
      <c r="B21" s="118" t="s">
        <v>109</v>
      </c>
      <c r="C21" s="119">
        <f>(M21*E21*O21*Q21)/100000000</f>
        <v>6.0724218749999999</v>
      </c>
      <c r="D21" s="118" t="s">
        <v>219</v>
      </c>
      <c r="E21" s="37">
        <v>30</v>
      </c>
      <c r="F21" s="37">
        <v>1</v>
      </c>
      <c r="G21" s="120">
        <v>690</v>
      </c>
      <c r="H21" s="121">
        <v>0</v>
      </c>
      <c r="I21" s="45">
        <v>0.88</v>
      </c>
      <c r="J21" s="46">
        <f>E21*G21*(1-H21)*1440/1000000*2.77</f>
        <v>82.568160000000006</v>
      </c>
      <c r="K21" s="46">
        <f>(IF(G21&lt;L21,L21,G21)*(1-IF(H21&lt;N21,H21,N21))*E21*O21*Q21)/100000000</f>
        <v>6.09375</v>
      </c>
      <c r="L21" s="122">
        <v>700</v>
      </c>
      <c r="M21" s="122">
        <f>+L21-L21*0.0035</f>
        <v>697.55</v>
      </c>
      <c r="N21" s="47">
        <f>1-(M21/L21)</f>
        <v>3.5000000000000586E-3</v>
      </c>
      <c r="O21" s="48">
        <f>+'[1]Trim Rwd'!H17</f>
        <v>232.14285714285714</v>
      </c>
      <c r="P21" s="49">
        <f>O21*(Q21-R21-S21)</f>
        <v>25535.714285714286</v>
      </c>
      <c r="Q21" s="48">
        <v>125</v>
      </c>
      <c r="R21" s="123">
        <v>0</v>
      </c>
      <c r="S21" s="123">
        <v>15</v>
      </c>
      <c r="T21" s="50">
        <f>E21*M21*O21*Q21/100000000</f>
        <v>6.0724218749999999</v>
      </c>
      <c r="U21" s="50">
        <f>E21*M21*O21*(Q21-R21-S21)/100000000</f>
        <v>5.3437312500000003</v>
      </c>
      <c r="V21" s="50">
        <f>E21*G21*(1-N21)*O21/100*(R21+S21)/1000000</f>
        <v>0.71828075892857135</v>
      </c>
      <c r="W21" s="50">
        <f>+'[1]4'!K9/1000</f>
        <v>4.1929999999999996</v>
      </c>
      <c r="X21" s="55"/>
      <c r="Y21" s="52"/>
      <c r="Z21" s="50">
        <f>+'[1]4'!D18/1000</f>
        <v>0.998</v>
      </c>
      <c r="AA21" s="50"/>
      <c r="AB21" s="50"/>
      <c r="AC21" s="50">
        <f>K21-T21</f>
        <v>2.1328125000000142E-2</v>
      </c>
      <c r="AD21" s="50">
        <f>+AM21+BA21</f>
        <v>0</v>
      </c>
      <c r="AE21" s="101" t="s">
        <v>111</v>
      </c>
      <c r="AF21" s="50"/>
      <c r="AG21" s="50">
        <v>0</v>
      </c>
      <c r="AH21" s="50"/>
      <c r="AI21" s="54"/>
      <c r="AJ21" s="50"/>
      <c r="AK21" s="50"/>
      <c r="AL21" s="50"/>
      <c r="AM21" s="50">
        <f>SUM(AF21:AL21)+AT21+AV21+AX21</f>
        <v>0</v>
      </c>
      <c r="AN21" s="125"/>
      <c r="AO21" s="50"/>
      <c r="AP21" s="50"/>
      <c r="AQ21" s="50"/>
      <c r="AR21" s="50">
        <f>SUM(AN21:AQ21)</f>
        <v>0</v>
      </c>
      <c r="AS21" s="50"/>
      <c r="AT21" s="50"/>
      <c r="AU21" s="50"/>
      <c r="AV21" s="50"/>
      <c r="AW21" s="50"/>
      <c r="AX21" s="50"/>
      <c r="AY21" s="50"/>
      <c r="AZ21" s="50"/>
      <c r="BA21" s="50">
        <f>+AR21+AS21+AU21+AW21+AY21+AZ21</f>
        <v>0</v>
      </c>
      <c r="BB21" s="126"/>
      <c r="BC21" s="116">
        <v>0</v>
      </c>
      <c r="BD21" s="116"/>
      <c r="BE21" s="126"/>
      <c r="BF21" s="116"/>
    </row>
    <row r="22" spans="1:58" ht="12.95" customHeight="1" x14ac:dyDescent="0.2">
      <c r="A22" s="117"/>
      <c r="B22" s="118" t="s">
        <v>109</v>
      </c>
      <c r="C22" s="119">
        <f>(M22*E22*O22*Q22)/100000000</f>
        <v>7.4917667200000002</v>
      </c>
      <c r="D22" s="118" t="s">
        <v>219</v>
      </c>
      <c r="E22" s="37">
        <v>17</v>
      </c>
      <c r="F22" s="37">
        <v>1</v>
      </c>
      <c r="G22" s="120">
        <v>1210</v>
      </c>
      <c r="H22" s="121">
        <v>0</v>
      </c>
      <c r="I22" s="45">
        <v>0.88</v>
      </c>
      <c r="J22" s="46">
        <f>E22*G22*(1-H22)*1440/1000000*2.77</f>
        <v>82.049616</v>
      </c>
      <c r="K22" s="46">
        <f>(IF(G22&lt;L22,L22,G22)*(1-IF(H22&lt;N22,H22,N22))*E22*O22*Q22)/100000000</f>
        <v>7.5807306666666676</v>
      </c>
      <c r="L22" s="122">
        <v>1200</v>
      </c>
      <c r="M22" s="122">
        <f>+L22-L22*0.0035</f>
        <v>1195.8</v>
      </c>
      <c r="N22" s="47">
        <f>1-(M22/L22)</f>
        <v>3.5000000000000586E-3</v>
      </c>
      <c r="O22" s="48">
        <f>+'[1]Trim Rwd'!H19</f>
        <v>263.23809523809524</v>
      </c>
      <c r="P22" s="49">
        <f>O22*(Q22-R22-S22)</f>
        <v>32904.761904761908</v>
      </c>
      <c r="Q22" s="48">
        <v>140</v>
      </c>
      <c r="R22" s="123">
        <v>0</v>
      </c>
      <c r="S22" s="123">
        <v>15</v>
      </c>
      <c r="T22" s="50">
        <f>E22*M22*O22*Q22/100000000</f>
        <v>7.4917667200000002</v>
      </c>
      <c r="U22" s="50">
        <f>E22*M22*O22*(Q22-R22-S22)/100000000</f>
        <v>6.6890774285714283</v>
      </c>
      <c r="V22" s="50">
        <f>E22*G22*(1-N22)*O22/100*(R22+S22)/1000000</f>
        <v>0.80937836885714276</v>
      </c>
      <c r="W22" s="50">
        <f>+'[1]4'!K10/1000</f>
        <v>18.114000000000001</v>
      </c>
      <c r="X22" s="55"/>
      <c r="Y22" s="52"/>
      <c r="Z22" s="50">
        <f>+('[1]4'!D17/1000)</f>
        <v>0.72399999999999998</v>
      </c>
      <c r="AA22" s="50"/>
      <c r="AB22" s="50"/>
      <c r="AC22" s="50">
        <f>K22-T22</f>
        <v>8.8963946666667404E-2</v>
      </c>
      <c r="AD22" s="50">
        <f>+AM22+BA22</f>
        <v>29</v>
      </c>
      <c r="AE22" s="101" t="s">
        <v>118</v>
      </c>
      <c r="AF22" s="124"/>
      <c r="AG22" s="124"/>
      <c r="AH22" s="124">
        <v>29</v>
      </c>
      <c r="AJ22" s="50"/>
      <c r="AK22" s="50"/>
      <c r="AL22" s="50"/>
      <c r="AM22" s="50">
        <f>SUM(AF22:AL22)+AT22+AV22+AX22</f>
        <v>29</v>
      </c>
      <c r="AN22" s="50"/>
      <c r="AO22" s="50"/>
      <c r="AP22" s="50"/>
      <c r="AQ22" s="50"/>
      <c r="AR22" s="50">
        <f>SUM(AN22:AQ22)</f>
        <v>0</v>
      </c>
      <c r="AS22" s="50"/>
      <c r="AT22" s="50"/>
      <c r="AU22" s="50"/>
      <c r="AV22" s="50"/>
      <c r="AW22" s="50"/>
      <c r="AX22" s="50"/>
      <c r="AY22" s="50"/>
      <c r="AZ22" s="50"/>
      <c r="BA22" s="50">
        <f>+AR22+AS22+AU22+AW22+AY22+AZ22</f>
        <v>0</v>
      </c>
      <c r="BB22" s="124"/>
      <c r="BC22" s="146"/>
      <c r="BD22" s="146"/>
      <c r="BE22" s="124"/>
      <c r="BF22" s="146"/>
    </row>
    <row r="23" spans="1:58" ht="12.95" customHeight="1" x14ac:dyDescent="0.2">
      <c r="A23" s="117"/>
      <c r="B23" s="118" t="s">
        <v>109</v>
      </c>
      <c r="C23" s="119">
        <f>(M23*E23*O23*Q23)/100000000</f>
        <v>30.561204095999997</v>
      </c>
      <c r="D23" s="118" t="s">
        <v>219</v>
      </c>
      <c r="E23" s="37">
        <v>18</v>
      </c>
      <c r="F23" s="37">
        <v>1</v>
      </c>
      <c r="G23" s="120">
        <v>1150</v>
      </c>
      <c r="H23" s="121">
        <v>0</v>
      </c>
      <c r="I23" s="45">
        <v>0.88</v>
      </c>
      <c r="J23" s="46">
        <f>E23*G23*(1-H23)*1440/1000000*2.77</f>
        <v>82.568160000000006</v>
      </c>
      <c r="K23" s="46">
        <f>(IF(G23&lt;L23,L23,G23)*(1-IF(H23&lt;N23,H23,N23))*E23*O23*Q23)/100000000</f>
        <v>30.668544000000001</v>
      </c>
      <c r="L23" s="122">
        <v>1160</v>
      </c>
      <c r="M23" s="122">
        <f>+L23-L23*0.0035</f>
        <v>1155.94</v>
      </c>
      <c r="N23" s="47">
        <f>1-(M23/L23)</f>
        <v>3.4999999999999476E-3</v>
      </c>
      <c r="O23" s="48">
        <f>+'[1]Trim Rwd'!H21</f>
        <v>272</v>
      </c>
      <c r="P23" s="49">
        <f>O23*(Q23-R23-S23)</f>
        <v>141440</v>
      </c>
      <c r="Q23" s="48">
        <v>540</v>
      </c>
      <c r="R23" s="123">
        <v>0</v>
      </c>
      <c r="S23" s="123">
        <v>20</v>
      </c>
      <c r="T23" s="50">
        <f>E23*M23*O23*Q23/100000000</f>
        <v>30.561204095999997</v>
      </c>
      <c r="U23" s="50">
        <f>E23*M23*O23*(Q23-R23-S23)/100000000</f>
        <v>29.429307648000002</v>
      </c>
      <c r="V23" s="50">
        <f>E23*G23*(1-N23)*O23/100*(R23+S23)/1000000</f>
        <v>1.1221387199999999</v>
      </c>
      <c r="W23" s="50">
        <f>+'[1]4'!K11/1000</f>
        <v>16.696000000000002</v>
      </c>
      <c r="X23" s="55"/>
      <c r="Y23" s="52"/>
      <c r="Z23" s="50">
        <f>+('[1]4'!D19+'[1]4'!D25)/1000</f>
        <v>0.56399999999999995</v>
      </c>
      <c r="AA23" s="50"/>
      <c r="AB23" s="50"/>
      <c r="AC23" s="50">
        <f>K23-T23</f>
        <v>0.10733990400000337</v>
      </c>
      <c r="AD23" s="50">
        <f>+AM23+BA23</f>
        <v>18</v>
      </c>
      <c r="AE23" s="148" t="s">
        <v>124</v>
      </c>
      <c r="AF23" s="50"/>
      <c r="AG23" s="50"/>
      <c r="AH23" s="50"/>
      <c r="AI23" s="54">
        <v>18</v>
      </c>
      <c r="AJ23" s="50"/>
      <c r="AK23" s="50"/>
      <c r="AL23" s="50"/>
      <c r="AM23" s="50">
        <f>SUM(AF23:AL23)+AT23+AV23+AX23</f>
        <v>18</v>
      </c>
      <c r="AN23" s="50"/>
      <c r="AO23" s="50"/>
      <c r="AP23" s="50"/>
      <c r="AQ23" s="50"/>
      <c r="AR23" s="50">
        <f>SUM(AN23:AQ23)</f>
        <v>0</v>
      </c>
      <c r="AS23" s="50"/>
      <c r="AT23" s="50"/>
      <c r="AU23" s="50"/>
      <c r="AV23" s="50"/>
      <c r="AW23" s="50"/>
      <c r="AX23" s="50"/>
      <c r="AY23" s="50"/>
      <c r="AZ23" s="50"/>
      <c r="BA23" s="50">
        <f>+AR23+AS23+AU23+AW23+AY23+AZ23</f>
        <v>0</v>
      </c>
      <c r="BB23" s="124"/>
      <c r="BC23" s="146"/>
      <c r="BD23" s="146"/>
      <c r="BE23" s="124"/>
      <c r="BF23" s="146"/>
    </row>
    <row r="24" spans="1:58" ht="12.95" customHeight="1" x14ac:dyDescent="0.2">
      <c r="A24" s="117"/>
      <c r="B24" s="118" t="s">
        <v>109</v>
      </c>
      <c r="C24" s="119">
        <f>(M24*E24*O24*Q24)/100000000</f>
        <v>19.868707277999999</v>
      </c>
      <c r="D24" s="118" t="s">
        <v>175</v>
      </c>
      <c r="E24" s="37">
        <v>14</v>
      </c>
      <c r="F24" s="37">
        <v>1</v>
      </c>
      <c r="G24" s="120">
        <v>1270</v>
      </c>
      <c r="H24" s="121">
        <v>0</v>
      </c>
      <c r="I24" s="45">
        <v>0.88</v>
      </c>
      <c r="J24" s="46">
        <f>E24*G24*(1-H24)*1440/1000000*2.77</f>
        <v>70.920864000000009</v>
      </c>
      <c r="K24" s="46">
        <f>(IF(G24&lt;L24,L24,G24)*(1-IF(H24&lt;N24,H24,N24))*E24*O24*Q24)/100000000</f>
        <v>19.938492</v>
      </c>
      <c r="L24" s="122">
        <v>1270</v>
      </c>
      <c r="M24" s="122">
        <f>+L24-L24*0.0035</f>
        <v>1265.5550000000001</v>
      </c>
      <c r="N24" s="47">
        <f>1-(M24/L24)</f>
        <v>3.4999999999999476E-3</v>
      </c>
      <c r="O24" s="48">
        <f>+'[1]Trim Rwd'!H22</f>
        <v>267</v>
      </c>
      <c r="P24" s="49">
        <f>O24*(Q24-R24-S24)</f>
        <v>108135</v>
      </c>
      <c r="Q24" s="48">
        <v>420</v>
      </c>
      <c r="R24" s="123">
        <v>0</v>
      </c>
      <c r="S24" s="123">
        <v>15</v>
      </c>
      <c r="T24" s="50">
        <f>E24*M24*O24*Q24/100000000</f>
        <v>19.868707277999999</v>
      </c>
      <c r="U24" s="50">
        <f>E24*M24*O24*(Q24-R24-S24)/100000000</f>
        <v>19.159110589499999</v>
      </c>
      <c r="V24" s="50">
        <f>E24*G24*(1-N24)*O24/100*(R24+S24)/1000000</f>
        <v>0.70959668849999991</v>
      </c>
      <c r="W24" s="50">
        <f>+'[1]4'!K7/1000</f>
        <v>0.65800000000000003</v>
      </c>
      <c r="X24" s="51"/>
      <c r="Y24" s="52"/>
      <c r="Z24" s="50">
        <f>+'[1]4'!D27/1000</f>
        <v>0.27300000000000002</v>
      </c>
      <c r="AA24" s="53"/>
      <c r="AB24" s="53"/>
      <c r="AC24" s="50">
        <f>K24-T24</f>
        <v>6.9784722000001409E-2</v>
      </c>
      <c r="AD24" s="50"/>
      <c r="AE24" s="101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126"/>
      <c r="BC24" s="116"/>
      <c r="BD24" s="116"/>
      <c r="BE24" s="116"/>
      <c r="BF24" s="116"/>
    </row>
    <row r="25" spans="1:58" ht="12.95" customHeight="1" x14ac:dyDescent="0.2">
      <c r="A25" s="117"/>
      <c r="B25" s="118" t="s">
        <v>109</v>
      </c>
      <c r="C25" s="119"/>
      <c r="D25" s="118"/>
      <c r="E25" s="37">
        <v>21.5</v>
      </c>
      <c r="F25" s="37"/>
      <c r="G25" s="120"/>
      <c r="H25" s="121"/>
      <c r="I25" s="45"/>
      <c r="J25" s="46"/>
      <c r="K25" s="46"/>
      <c r="L25" s="122"/>
      <c r="M25" s="122"/>
      <c r="N25" s="47"/>
      <c r="O25" s="48"/>
      <c r="P25" s="49"/>
      <c r="Q25" s="48"/>
      <c r="R25" s="123"/>
      <c r="S25" s="123"/>
      <c r="T25" s="50"/>
      <c r="U25" s="50"/>
      <c r="V25" s="50"/>
      <c r="W25" s="50">
        <f>+'[1]4'!K12/1000</f>
        <v>0.98699999999999999</v>
      </c>
      <c r="X25" s="51"/>
      <c r="Y25" s="52"/>
      <c r="Z25" s="50"/>
      <c r="AA25" s="53"/>
      <c r="AB25" s="53"/>
      <c r="AC25" s="50"/>
      <c r="AD25" s="50"/>
      <c r="AE25" s="101"/>
      <c r="AF25" s="50"/>
      <c r="AG25" s="50"/>
      <c r="AH25" s="50"/>
      <c r="AI25" s="54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124"/>
      <c r="BC25" s="116"/>
      <c r="BD25" s="116"/>
      <c r="BE25" s="124"/>
      <c r="BF25" s="116"/>
    </row>
    <row r="26" spans="1:58" ht="12.95" customHeight="1" x14ac:dyDescent="0.2">
      <c r="A26" s="117"/>
      <c r="B26" s="118"/>
      <c r="C26" s="119"/>
      <c r="D26" s="118"/>
      <c r="E26" s="37"/>
      <c r="F26" s="37"/>
      <c r="G26" s="120"/>
      <c r="H26" s="121"/>
      <c r="I26" s="45"/>
      <c r="J26" s="46"/>
      <c r="K26" s="46"/>
      <c r="L26" s="122"/>
      <c r="M26" s="122"/>
      <c r="N26" s="47"/>
      <c r="O26" s="48"/>
      <c r="P26" s="49"/>
      <c r="Q26" s="48"/>
      <c r="R26" s="123"/>
      <c r="S26" s="123"/>
      <c r="T26" s="50"/>
      <c r="U26" s="50"/>
      <c r="V26" s="50"/>
      <c r="W26" s="50"/>
      <c r="X26" s="55"/>
      <c r="Y26" s="52"/>
      <c r="Z26" s="50"/>
      <c r="AA26" s="50"/>
      <c r="AB26" s="50"/>
      <c r="AC26" s="50"/>
      <c r="AD26" s="50"/>
      <c r="AE26" s="101"/>
      <c r="AF26" s="50"/>
      <c r="AG26" s="50"/>
      <c r="AH26" s="50"/>
      <c r="AI26" s="54"/>
      <c r="AJ26" s="50"/>
      <c r="AK26" s="50"/>
      <c r="AL26" s="50"/>
      <c r="AM26" s="50"/>
      <c r="AN26" s="125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126"/>
      <c r="BC26" s="116"/>
      <c r="BD26" s="116"/>
      <c r="BE26" s="126"/>
      <c r="BF26" s="116"/>
    </row>
    <row r="27" spans="1:58" ht="12.95" customHeight="1" x14ac:dyDescent="0.2">
      <c r="A27" s="117">
        <v>45966</v>
      </c>
      <c r="B27" s="118" t="s">
        <v>109</v>
      </c>
      <c r="C27" s="119">
        <f>(M27*E27*O27*Q27)/100000000</f>
        <v>18.900228858000002</v>
      </c>
      <c r="D27" s="118" t="s">
        <v>175</v>
      </c>
      <c r="E27" s="37">
        <v>14</v>
      </c>
      <c r="F27" s="37">
        <v>1</v>
      </c>
      <c r="G27" s="120">
        <v>1270</v>
      </c>
      <c r="H27" s="121">
        <v>0</v>
      </c>
      <c r="I27" s="45">
        <v>0.88</v>
      </c>
      <c r="J27" s="46">
        <f>E27*G27*(1-H27)*1440/1000000*2.77</f>
        <v>70.920864000000009</v>
      </c>
      <c r="K27" s="46">
        <f>(IF(G27&lt;L27,L27,G27)*(1-IF(H27&lt;N27,H27,N27))*E27*O27*Q27)/100000000</f>
        <v>20.413218000000001</v>
      </c>
      <c r="L27" s="122">
        <v>1180</v>
      </c>
      <c r="M27" s="122">
        <f>+L27-L27*0.0035</f>
        <v>1175.8699999999999</v>
      </c>
      <c r="N27" s="47">
        <f>1-(M27/L27)</f>
        <v>3.5000000000000586E-3</v>
      </c>
      <c r="O27" s="48">
        <f>+'[1]Trim Rwd'!H25</f>
        <v>267</v>
      </c>
      <c r="P27" s="49">
        <f>O27*(Q27-R27-S27)</f>
        <v>93717</v>
      </c>
      <c r="Q27" s="48">
        <v>430</v>
      </c>
      <c r="R27" s="123">
        <v>60</v>
      </c>
      <c r="S27" s="123">
        <v>19</v>
      </c>
      <c r="T27" s="50">
        <f>E27*M27*O27*Q27/100000000</f>
        <v>18.900228858000002</v>
      </c>
      <c r="U27" s="50">
        <f>E27*M27*O27*(Q27-R27-S27)/100000000</f>
        <v>15.427861230600001</v>
      </c>
      <c r="V27" s="50">
        <f>E27*G27*(1-N27)*O27/100*(R27+S27)/1000000</f>
        <v>3.7372092261000001</v>
      </c>
      <c r="W27" s="50">
        <f>+'[1]5'!K7/1000</f>
        <v>29.161000000000001</v>
      </c>
      <c r="X27" s="51">
        <f>SUM(W27:W30)/SUM(K27:K30)</f>
        <v>0.90111446399423623</v>
      </c>
      <c r="Y27" s="52">
        <v>0</v>
      </c>
      <c r="Z27" s="50">
        <f>+'[1]5'!D16/1000</f>
        <v>0.44400000000000001</v>
      </c>
      <c r="AA27" s="53">
        <f>SUM(U27:U30)-SUM(W27:W30)-SUM(Z27:Z30)-SUM(Y27:Y30)</f>
        <v>-9.9001868797448296</v>
      </c>
      <c r="AB27" s="53">
        <f>(SUM(K27:K30)-SUM(W27:W30)-SUM(Y27:Y30)-SUM(Z27:Z30)-SUM(AC27:AC30)-SUM(V27:V30))-AA27</f>
        <v>-0.81123329938965227</v>
      </c>
      <c r="AC27" s="50">
        <f>K27-T27</f>
        <v>1.5129891419999986</v>
      </c>
      <c r="AD27" s="50">
        <f>+AM27+BA27</f>
        <v>50</v>
      </c>
      <c r="AE27" s="101" t="s">
        <v>208</v>
      </c>
      <c r="AF27" s="50">
        <v>50</v>
      </c>
      <c r="AG27" s="50"/>
      <c r="AH27" s="50"/>
      <c r="AI27" s="54"/>
      <c r="AJ27" s="50"/>
      <c r="AK27" s="50"/>
      <c r="AL27" s="50"/>
      <c r="AM27" s="50">
        <f>SUM(AF27:AL27)+AT27+AV27+AX27</f>
        <v>50</v>
      </c>
      <c r="AN27" s="50"/>
      <c r="AO27" s="50"/>
      <c r="AP27" s="50"/>
      <c r="AQ27" s="50"/>
      <c r="AR27" s="50">
        <f>SUM(AN27:AQ27)</f>
        <v>0</v>
      </c>
      <c r="AS27" s="50"/>
      <c r="AT27" s="50"/>
      <c r="AU27" s="50"/>
      <c r="AV27" s="50"/>
      <c r="AW27" s="50"/>
      <c r="AX27" s="50"/>
      <c r="AY27" s="50"/>
      <c r="AZ27" s="50"/>
      <c r="BA27" s="50">
        <f>+AR27+AS27+AU27+AW27+AY27+AZ27</f>
        <v>0</v>
      </c>
      <c r="BB27" s="124">
        <v>10</v>
      </c>
      <c r="BC27" s="116"/>
      <c r="BD27" s="116"/>
      <c r="BE27" s="124"/>
      <c r="BF27" s="116"/>
    </row>
    <row r="28" spans="1:58" ht="12.95" customHeight="1" x14ac:dyDescent="0.2">
      <c r="A28" s="117"/>
      <c r="B28" s="118" t="s">
        <v>115</v>
      </c>
      <c r="C28" s="119">
        <f>(M28*E28*O28*Q28)/100000000</f>
        <v>37.913123668965518</v>
      </c>
      <c r="D28" s="118" t="s">
        <v>175</v>
      </c>
      <c r="E28" s="37">
        <v>10.3</v>
      </c>
      <c r="F28" s="37">
        <v>1</v>
      </c>
      <c r="G28" s="120">
        <v>1730</v>
      </c>
      <c r="H28" s="121">
        <v>0.16</v>
      </c>
      <c r="I28" s="45">
        <v>0.88</v>
      </c>
      <c r="J28" s="46">
        <f>E28*G28*(1-H28)*1440/1000000*2.77</f>
        <v>59.704198847999997</v>
      </c>
      <c r="K28" s="46">
        <f>(IF(G28&lt;L28,L28,G28)*(1-IF(H28&lt;N28,H28,N28))*E28*O28*Q28)/100000000</f>
        <v>40.817626920000002</v>
      </c>
      <c r="L28" s="122">
        <v>1606.8965517241379</v>
      </c>
      <c r="M28" s="122">
        <v>1349.7931034482758</v>
      </c>
      <c r="N28" s="47">
        <f>1-(M28/L28)</f>
        <v>0.16000000000000003</v>
      </c>
      <c r="O28" s="48">
        <f>+'[1]Trim Rwd'!H26</f>
        <v>270</v>
      </c>
      <c r="P28" s="49">
        <f>O28*(Q28-R28-S28)</f>
        <v>221400</v>
      </c>
      <c r="Q28" s="48">
        <v>1010</v>
      </c>
      <c r="R28" s="123">
        <v>140</v>
      </c>
      <c r="S28" s="123">
        <v>50</v>
      </c>
      <c r="T28" s="50">
        <f>E28*M28*O28*Q28/100000000</f>
        <v>37.913123668965518</v>
      </c>
      <c r="U28" s="50">
        <f>E28*M28*O28*(Q28-R28-S28)/100000000</f>
        <v>30.780951889655171</v>
      </c>
      <c r="V28" s="50">
        <f>E28*G28*(1-N28)*O28/100*(R28+S28)/1000000</f>
        <v>7.6785634799999993</v>
      </c>
      <c r="W28" s="50">
        <f>+'[1]5'!K13/1000</f>
        <v>17.317</v>
      </c>
      <c r="X28" s="55"/>
      <c r="Y28" s="52"/>
      <c r="Z28" s="50">
        <v>0</v>
      </c>
      <c r="AA28" s="50"/>
      <c r="AB28" s="50"/>
      <c r="AC28" s="50">
        <f>K28-T28</f>
        <v>2.9045032510344839</v>
      </c>
      <c r="AD28" s="50">
        <f>+AM28+BA28</f>
        <v>0</v>
      </c>
      <c r="AE28" s="101" t="s">
        <v>111</v>
      </c>
      <c r="AF28" s="50"/>
      <c r="AG28" s="50">
        <v>0</v>
      </c>
      <c r="AH28" s="50"/>
      <c r="AI28" s="54"/>
      <c r="AJ28" s="50"/>
      <c r="AK28" s="50"/>
      <c r="AL28" s="50"/>
      <c r="AM28" s="50">
        <f>SUM(AF28:AL28)+AT28+AV28+AX28</f>
        <v>0</v>
      </c>
      <c r="AN28" s="125"/>
      <c r="AO28" s="50"/>
      <c r="AP28" s="50"/>
      <c r="AQ28" s="50"/>
      <c r="AR28" s="50">
        <f>SUM(AN28:AQ28)</f>
        <v>0</v>
      </c>
      <c r="AS28" s="50"/>
      <c r="AT28" s="50"/>
      <c r="AU28" s="50"/>
      <c r="AV28" s="50"/>
      <c r="AW28" s="50"/>
      <c r="AX28" s="50"/>
      <c r="AY28" s="50"/>
      <c r="AZ28" s="50"/>
      <c r="BA28" s="50">
        <f>+AR28+AS28+AU28+AW28+AY28+AZ28</f>
        <v>0</v>
      </c>
      <c r="BB28" s="126"/>
      <c r="BC28" s="116">
        <v>0</v>
      </c>
      <c r="BD28" s="116"/>
      <c r="BE28" s="126"/>
      <c r="BF28" s="116"/>
    </row>
    <row r="29" spans="1:58" ht="12.95" customHeight="1" x14ac:dyDescent="0.2">
      <c r="A29" s="117"/>
      <c r="B29" s="118" t="s">
        <v>109</v>
      </c>
      <c r="C29" s="119"/>
      <c r="D29" s="118"/>
      <c r="E29" s="37">
        <v>18</v>
      </c>
      <c r="F29" s="37"/>
      <c r="G29" s="127"/>
      <c r="H29" s="121"/>
      <c r="I29" s="45"/>
      <c r="J29" s="46"/>
      <c r="K29" s="46"/>
      <c r="L29" s="122"/>
      <c r="M29" s="122"/>
      <c r="N29" s="47"/>
      <c r="O29" s="48"/>
      <c r="P29" s="49"/>
      <c r="Q29" s="48"/>
      <c r="R29" s="123"/>
      <c r="S29" s="123"/>
      <c r="T29" s="50"/>
      <c r="U29" s="50"/>
      <c r="V29" s="50"/>
      <c r="W29" s="50">
        <f>+'[1]5'!K11/1000</f>
        <v>8.6980000000000004</v>
      </c>
      <c r="X29" s="55"/>
      <c r="Y29" s="52"/>
      <c r="Z29" s="50">
        <f>+'[1]5'!D8/1000</f>
        <v>0.48899999999999999</v>
      </c>
      <c r="AA29" s="50"/>
      <c r="AB29" s="50"/>
      <c r="AC29" s="50"/>
      <c r="AD29" s="50">
        <f>+AM29+BA29</f>
        <v>19</v>
      </c>
      <c r="AE29" s="101" t="s">
        <v>212</v>
      </c>
      <c r="AF29" s="124"/>
      <c r="AG29" s="124"/>
      <c r="AH29" s="124">
        <v>19</v>
      </c>
      <c r="AI29" s="54"/>
      <c r="AJ29" s="50"/>
      <c r="AK29" s="50"/>
      <c r="AL29" s="50"/>
      <c r="AM29" s="50">
        <f>SUM(AF29:AL29)+AT29+AV29+AX29</f>
        <v>19</v>
      </c>
      <c r="AN29" s="50"/>
      <c r="AO29" s="50"/>
      <c r="AP29" s="50"/>
      <c r="AQ29" s="50"/>
      <c r="AR29" s="50">
        <f>SUM(AN29:AQ29)</f>
        <v>0</v>
      </c>
      <c r="AS29" s="50"/>
      <c r="AT29" s="50"/>
      <c r="AU29" s="50"/>
      <c r="AV29" s="50"/>
      <c r="AW29" s="50"/>
      <c r="AX29" s="50"/>
      <c r="AY29" s="50"/>
      <c r="AZ29" s="50"/>
      <c r="BA29" s="50">
        <f>+AR29+AS29+AU29+AW29+AY29+AZ29</f>
        <v>0</v>
      </c>
      <c r="BB29" s="124"/>
      <c r="BC29" s="146"/>
      <c r="BD29" s="146"/>
      <c r="BE29" s="124"/>
      <c r="BF29" s="146"/>
    </row>
    <row r="30" spans="1:58" ht="12.95" customHeight="1" x14ac:dyDescent="0.2">
      <c r="A30" s="117"/>
      <c r="B30" s="118"/>
      <c r="C30" s="119"/>
      <c r="D30" s="118"/>
      <c r="E30" s="37"/>
      <c r="F30" s="37"/>
      <c r="G30" s="120"/>
      <c r="H30" s="121"/>
      <c r="I30" s="45"/>
      <c r="J30" s="46"/>
      <c r="K30" s="46"/>
      <c r="L30" s="122"/>
      <c r="M30" s="122"/>
      <c r="N30" s="47"/>
      <c r="O30" s="48"/>
      <c r="P30" s="49"/>
      <c r="Q30" s="48"/>
      <c r="R30" s="123"/>
      <c r="S30" s="123"/>
      <c r="T30" s="50"/>
      <c r="U30" s="50"/>
      <c r="V30" s="50"/>
      <c r="W30" s="50"/>
      <c r="X30" s="51"/>
      <c r="Y30" s="52"/>
      <c r="Z30" s="50"/>
      <c r="AA30" s="53"/>
      <c r="AB30" s="53"/>
      <c r="AC30" s="50"/>
      <c r="AD30" s="50">
        <f>+AM30+BA30</f>
        <v>60</v>
      </c>
      <c r="AE30" s="148" t="s">
        <v>220</v>
      </c>
      <c r="AF30" s="50"/>
      <c r="AG30" s="50"/>
      <c r="AH30" s="50"/>
      <c r="AI30" s="54"/>
      <c r="AJ30" s="50"/>
      <c r="AK30" s="50"/>
      <c r="AL30" s="50"/>
      <c r="AM30" s="50">
        <f t="shared" ref="AM30:AM31" si="0">SUM(AF30:AL30)+AT30+AV30+AX30</f>
        <v>0</v>
      </c>
      <c r="AN30" s="50"/>
      <c r="AO30" s="50"/>
      <c r="AP30" s="50">
        <v>60</v>
      </c>
      <c r="AQ30" s="50"/>
      <c r="AR30" s="50">
        <f t="shared" ref="AR30:AR31" si="1">SUM(AN30:AQ30)</f>
        <v>60</v>
      </c>
      <c r="AS30" s="50"/>
      <c r="AT30" s="50"/>
      <c r="AU30" s="50"/>
      <c r="AV30" s="50"/>
      <c r="AW30" s="50"/>
      <c r="AX30" s="50"/>
      <c r="AY30" s="50"/>
      <c r="AZ30" s="50"/>
      <c r="BA30" s="50">
        <f t="shared" ref="BA30:BA31" si="2">+AR30+AS30+AU30+AW30+AY30+AZ30</f>
        <v>60</v>
      </c>
      <c r="BB30" s="124"/>
      <c r="BC30" s="146"/>
      <c r="BD30" s="146"/>
      <c r="BE30" s="124"/>
      <c r="BF30" s="146"/>
    </row>
    <row r="31" spans="1:58" ht="12.95" customHeight="1" x14ac:dyDescent="0.2">
      <c r="A31" s="117"/>
      <c r="B31" s="118"/>
      <c r="C31" s="119"/>
      <c r="D31" s="118"/>
      <c r="E31" s="37"/>
      <c r="F31" s="37"/>
      <c r="G31" s="120"/>
      <c r="H31" s="121"/>
      <c r="I31" s="45"/>
      <c r="J31" s="46"/>
      <c r="K31" s="46"/>
      <c r="L31" s="122"/>
      <c r="M31" s="122"/>
      <c r="N31" s="47"/>
      <c r="O31" s="48"/>
      <c r="P31" s="49"/>
      <c r="Q31" s="48"/>
      <c r="R31" s="123"/>
      <c r="S31" s="123"/>
      <c r="T31" s="50"/>
      <c r="U31" s="50"/>
      <c r="V31" s="50"/>
      <c r="W31" s="50"/>
      <c r="X31" s="51"/>
      <c r="Y31" s="52"/>
      <c r="Z31" s="50"/>
      <c r="AA31" s="53"/>
      <c r="AB31" s="53"/>
      <c r="AC31" s="50"/>
      <c r="AD31" s="50">
        <f>+AM31+BA31</f>
        <v>140</v>
      </c>
      <c r="AE31" s="148" t="s">
        <v>221</v>
      </c>
      <c r="AF31" s="50"/>
      <c r="AG31" s="50"/>
      <c r="AH31" s="50"/>
      <c r="AJ31" s="50"/>
      <c r="AK31" s="50"/>
      <c r="AL31" s="50"/>
      <c r="AM31" s="50">
        <f t="shared" si="0"/>
        <v>0</v>
      </c>
      <c r="AN31" s="50"/>
      <c r="AO31" s="50">
        <v>140</v>
      </c>
      <c r="AP31" s="50"/>
      <c r="AQ31" s="50"/>
      <c r="AR31" s="50">
        <f t="shared" si="1"/>
        <v>140</v>
      </c>
      <c r="AS31" s="50"/>
      <c r="AT31" s="50"/>
      <c r="AU31" s="50"/>
      <c r="AV31" s="50"/>
      <c r="AW31" s="50"/>
      <c r="AX31" s="50"/>
      <c r="AY31" s="50"/>
      <c r="AZ31" s="50"/>
      <c r="BA31" s="50">
        <f t="shared" si="2"/>
        <v>140</v>
      </c>
      <c r="BB31" s="124"/>
      <c r="BC31" s="146"/>
      <c r="BD31" s="146"/>
      <c r="BE31" s="124"/>
      <c r="BF31" s="146"/>
    </row>
    <row r="32" spans="1:58" ht="12.95" customHeight="1" x14ac:dyDescent="0.2">
      <c r="A32" s="117"/>
      <c r="B32" s="118"/>
      <c r="C32" s="119"/>
      <c r="D32" s="118"/>
      <c r="E32" s="37"/>
      <c r="F32" s="37"/>
      <c r="G32" s="127"/>
      <c r="H32" s="121"/>
      <c r="I32" s="45"/>
      <c r="J32" s="46"/>
      <c r="K32" s="46"/>
      <c r="L32" s="122"/>
      <c r="M32" s="122"/>
      <c r="N32" s="47"/>
      <c r="O32" s="48"/>
      <c r="P32" s="49"/>
      <c r="Q32" s="48"/>
      <c r="R32" s="123"/>
      <c r="S32" s="123"/>
      <c r="T32" s="50"/>
      <c r="U32" s="50"/>
      <c r="V32" s="50"/>
      <c r="W32" s="50"/>
      <c r="X32" s="55"/>
      <c r="Y32" s="52"/>
      <c r="Z32" s="50"/>
      <c r="AA32" s="50"/>
      <c r="AB32" s="50"/>
      <c r="AC32" s="50"/>
      <c r="AD32" s="50"/>
      <c r="AE32" s="101"/>
      <c r="AF32" s="124"/>
      <c r="AG32" s="124"/>
      <c r="AH32" s="124"/>
      <c r="AI32" s="54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124"/>
      <c r="BC32" s="146"/>
      <c r="BD32" s="146"/>
      <c r="BE32" s="124"/>
      <c r="BF32" s="146"/>
    </row>
    <row r="33" spans="1:58" ht="12.95" customHeight="1" x14ac:dyDescent="0.2">
      <c r="A33" s="117">
        <v>45936</v>
      </c>
      <c r="B33" s="118" t="s">
        <v>115</v>
      </c>
      <c r="C33" s="119">
        <f>(M33*E33*O33*Q33)/100000000</f>
        <v>54.590484535194349</v>
      </c>
      <c r="D33" s="118" t="s">
        <v>175</v>
      </c>
      <c r="E33" s="37">
        <v>12</v>
      </c>
      <c r="F33" s="37">
        <v>1</v>
      </c>
      <c r="G33" s="120">
        <v>1700</v>
      </c>
      <c r="H33" s="121">
        <v>0.24</v>
      </c>
      <c r="I33" s="45">
        <v>0.88</v>
      </c>
      <c r="J33" s="46">
        <f>E33*G33*(1-H33)*1440/1000000*2.77</f>
        <v>61.8423552</v>
      </c>
      <c r="K33" s="46">
        <f>(IF(G33&lt;L33,L33,G33)*(1-IF(H33&lt;N33,H33,N33))*E33*O33*Q33)/100000000</f>
        <v>59.192560519480516</v>
      </c>
      <c r="L33" s="122">
        <v>1567.829181494662</v>
      </c>
      <c r="M33" s="122">
        <v>1191.5501779359431</v>
      </c>
      <c r="N33" s="47">
        <f>1-(M33/L33)</f>
        <v>0.24</v>
      </c>
      <c r="O33" s="48">
        <f>+'[1]Trim Rwd'!H30</f>
        <v>267.9220779220779</v>
      </c>
      <c r="P33" s="49">
        <f>O33*(Q33-R33-S33)</f>
        <v>346423.24675324676</v>
      </c>
      <c r="Q33" s="48">
        <v>1425</v>
      </c>
      <c r="R33" s="123">
        <v>20</v>
      </c>
      <c r="S33" s="123">
        <f>85+27</f>
        <v>112</v>
      </c>
      <c r="T33" s="50">
        <f>E33*M33*O33*Q33/100000000</f>
        <v>54.590484535194349</v>
      </c>
      <c r="U33" s="50">
        <f>E33*M33*O33*(Q33-R33-S33)/100000000</f>
        <v>49.5336817571974</v>
      </c>
      <c r="V33" s="50">
        <f>E33*G33*(1-N33)*O33/100*(R33+S33)/1000000</f>
        <v>5.483100342857143</v>
      </c>
      <c r="W33" s="50">
        <f>+'[1]6'!K14/1000</f>
        <v>43.052</v>
      </c>
      <c r="X33" s="51">
        <f>SUM(W33:W36)/SUM(K33:K36)</f>
        <v>0.74072481548311198</v>
      </c>
      <c r="Y33" s="52">
        <v>0</v>
      </c>
      <c r="Z33" s="50">
        <v>0</v>
      </c>
      <c r="AA33" s="53">
        <f>SUM(U33:U36)-SUM(W33:W36)-SUM(Z33:Z36)-SUM(Y33:Y36)</f>
        <v>5.4756481571973996</v>
      </c>
      <c r="AB33" s="53">
        <f>(SUM(K33:K36)-SUM(W33:W36)-SUM(Y33:Y36)-SUM(Z33:Z36)-SUM(AC33:AC36)-SUM(V33:V36))-AA33</f>
        <v>-0.42629756486019854</v>
      </c>
      <c r="AC33" s="50">
        <f>K33-T33</f>
        <v>4.6020759842861665</v>
      </c>
      <c r="AD33" s="50">
        <f>+AM33+BA33</f>
        <v>85</v>
      </c>
      <c r="AE33" s="101" t="s">
        <v>222</v>
      </c>
      <c r="AF33" s="50">
        <v>85</v>
      </c>
      <c r="AG33" s="50"/>
      <c r="AH33" s="50"/>
      <c r="AI33" s="54"/>
      <c r="AJ33" s="50"/>
      <c r="AK33" s="50"/>
      <c r="AL33" s="50"/>
      <c r="AM33" s="50">
        <f>SUM(AF33:AL33)+AT33+AV33+AX33</f>
        <v>85</v>
      </c>
      <c r="AN33" s="50"/>
      <c r="AO33" s="50"/>
      <c r="AP33" s="50"/>
      <c r="AQ33" s="50"/>
      <c r="AR33" s="50">
        <f>SUM(AN33:AQ33)</f>
        <v>0</v>
      </c>
      <c r="AS33" s="50"/>
      <c r="AT33" s="50"/>
      <c r="AU33" s="50"/>
      <c r="AV33" s="50"/>
      <c r="AW33" s="50"/>
      <c r="AX33" s="50"/>
      <c r="AY33" s="50"/>
      <c r="AZ33" s="50"/>
      <c r="BA33" s="50">
        <f>+AR33+AS33+AU33+AW33+AY33+AZ33</f>
        <v>0</v>
      </c>
      <c r="BB33" s="124">
        <v>27</v>
      </c>
      <c r="BC33" s="116"/>
      <c r="BD33" s="116"/>
      <c r="BE33" s="124"/>
      <c r="BF33" s="116"/>
    </row>
    <row r="34" spans="1:58" ht="12.95" customHeight="1" x14ac:dyDescent="0.2">
      <c r="A34" s="117"/>
      <c r="B34" s="118" t="s">
        <v>115</v>
      </c>
      <c r="C34" s="119">
        <f>(M34*E34*O34*Q34)/100000000</f>
        <v>0.64496640000000005</v>
      </c>
      <c r="D34" s="118" t="s">
        <v>175</v>
      </c>
      <c r="E34" s="37">
        <v>13</v>
      </c>
      <c r="F34" s="37">
        <v>1</v>
      </c>
      <c r="G34" s="120">
        <v>1700</v>
      </c>
      <c r="H34" s="121">
        <v>0.24</v>
      </c>
      <c r="I34" s="45">
        <v>0.88</v>
      </c>
      <c r="J34" s="46">
        <f>E34*G34*(1-H34)*1440/1000000*2.77</f>
        <v>66.995884799999999</v>
      </c>
      <c r="K34" s="46">
        <f>(IF(G34&lt;L34,L34,G34)*(1-IF(H34&lt;N34,H34,N34))*E34*O34*Q34)/100000000</f>
        <v>0.68527680000000002</v>
      </c>
      <c r="L34" s="122">
        <v>1600</v>
      </c>
      <c r="M34" s="122">
        <v>1216</v>
      </c>
      <c r="N34" s="47">
        <f>1-(M34/L34)</f>
        <v>0.24</v>
      </c>
      <c r="O34" s="48">
        <f>+'[1]Trim Rwd'!H33</f>
        <v>272</v>
      </c>
      <c r="P34" s="49">
        <f>O34*(Q34-R34-S34)</f>
        <v>4080</v>
      </c>
      <c r="Q34" s="48">
        <v>15</v>
      </c>
      <c r="R34" s="123">
        <v>0</v>
      </c>
      <c r="S34" s="123">
        <v>0</v>
      </c>
      <c r="T34" s="50">
        <f>E34*M34*O34*Q34/100000000</f>
        <v>0.64496640000000005</v>
      </c>
      <c r="U34" s="50">
        <f>E34*M34*O34*(Q34-R34-S34)/100000000</f>
        <v>0.64496640000000005</v>
      </c>
      <c r="V34" s="50">
        <f>E34*G34*(1-N34)*O34/100*(R34+S34)/1000000</f>
        <v>0</v>
      </c>
      <c r="W34" s="50">
        <f>+'[1]6'!K15/1000</f>
        <v>0</v>
      </c>
      <c r="X34" s="55"/>
      <c r="Y34" s="52"/>
      <c r="Z34" s="50">
        <v>0</v>
      </c>
      <c r="AA34" s="50"/>
      <c r="AB34" s="50"/>
      <c r="AC34" s="50">
        <f>K34-T34</f>
        <v>4.0310399999999968E-2</v>
      </c>
      <c r="AD34" s="50">
        <f>+AM34+BA34</f>
        <v>0</v>
      </c>
      <c r="AE34" s="101" t="s">
        <v>111</v>
      </c>
      <c r="AF34" s="50"/>
      <c r="AG34" s="50">
        <v>0</v>
      </c>
      <c r="AH34" s="50"/>
      <c r="AI34" s="54"/>
      <c r="AJ34" s="50"/>
      <c r="AK34" s="50"/>
      <c r="AL34" s="50"/>
      <c r="AM34" s="50">
        <f>SUM(AF34:AL34)+AT34+AV34+AX34</f>
        <v>0</v>
      </c>
      <c r="AN34" s="125"/>
      <c r="AO34" s="50"/>
      <c r="AP34" s="50"/>
      <c r="AQ34" s="50"/>
      <c r="AR34" s="50">
        <f>SUM(AN34:AQ34)</f>
        <v>0</v>
      </c>
      <c r="AS34" s="50"/>
      <c r="AT34" s="50"/>
      <c r="AU34" s="50"/>
      <c r="AV34" s="50"/>
      <c r="AW34" s="50"/>
      <c r="AX34" s="50"/>
      <c r="AY34" s="50"/>
      <c r="AZ34" s="50"/>
      <c r="BA34" s="50">
        <f>+AR34+AS34+AU34+AW34+AY34+AZ34</f>
        <v>0</v>
      </c>
      <c r="BB34" s="126"/>
      <c r="BC34" s="116">
        <v>0</v>
      </c>
      <c r="BD34" s="116"/>
      <c r="BE34" s="126"/>
      <c r="BF34" s="116"/>
    </row>
    <row r="35" spans="1:58" ht="12.95" customHeight="1" x14ac:dyDescent="0.2">
      <c r="A35" s="117"/>
      <c r="B35" s="118" t="s">
        <v>115</v>
      </c>
      <c r="C35" s="119"/>
      <c r="D35" s="118"/>
      <c r="E35" s="37">
        <v>10.3</v>
      </c>
      <c r="F35" s="37"/>
      <c r="G35" s="127"/>
      <c r="H35" s="121"/>
      <c r="I35" s="45"/>
      <c r="J35" s="46"/>
      <c r="K35" s="46"/>
      <c r="L35" s="122"/>
      <c r="M35" s="122"/>
      <c r="N35" s="47"/>
      <c r="O35" s="48"/>
      <c r="P35" s="49"/>
      <c r="Q35" s="48"/>
      <c r="R35" s="123"/>
      <c r="S35" s="123"/>
      <c r="T35" s="50"/>
      <c r="U35" s="50"/>
      <c r="V35" s="50"/>
      <c r="W35" s="50">
        <f>+'[1]6'!K13/1000</f>
        <v>1.3009999999999999</v>
      </c>
      <c r="X35" s="55"/>
      <c r="Y35" s="52"/>
      <c r="Z35" s="52">
        <f>+'[1]6'!D8/1000</f>
        <v>0.35</v>
      </c>
      <c r="AA35" s="50"/>
      <c r="AB35" s="50"/>
      <c r="AC35" s="50"/>
      <c r="AD35" s="50">
        <f>+AM35+BA35</f>
        <v>27</v>
      </c>
      <c r="AE35" s="101" t="s">
        <v>123</v>
      </c>
      <c r="AF35" s="124"/>
      <c r="AG35" s="124"/>
      <c r="AH35" s="124">
        <v>27</v>
      </c>
      <c r="AI35" s="54"/>
      <c r="AJ35" s="50"/>
      <c r="AK35" s="50"/>
      <c r="AL35" s="50"/>
      <c r="AM35" s="50">
        <f>SUM(AF35:AL35)+AT35+AV35+AX35</f>
        <v>27</v>
      </c>
      <c r="AN35" s="50"/>
      <c r="AO35" s="50"/>
      <c r="AP35" s="50"/>
      <c r="AQ35" s="50"/>
      <c r="AR35" s="50">
        <f>SUM(AN35:AQ35)</f>
        <v>0</v>
      </c>
      <c r="AS35" s="50"/>
      <c r="AT35" s="50"/>
      <c r="AU35" s="50"/>
      <c r="AV35" s="50"/>
      <c r="AW35" s="50"/>
      <c r="AX35" s="50"/>
      <c r="AY35" s="50"/>
      <c r="AZ35" s="50"/>
      <c r="BA35" s="50">
        <f>+AR35+AS35+AU35+AW35+AY35+AZ35</f>
        <v>0</v>
      </c>
      <c r="BB35" s="124"/>
      <c r="BC35" s="146"/>
      <c r="BD35" s="146"/>
      <c r="BE35" s="124"/>
      <c r="BF35" s="146"/>
    </row>
    <row r="36" spans="1:58" ht="12.95" customHeight="1" x14ac:dyDescent="0.2">
      <c r="A36" s="117"/>
      <c r="B36" s="118"/>
      <c r="C36" s="119"/>
      <c r="D36" s="118"/>
      <c r="E36" s="37"/>
      <c r="F36" s="37"/>
      <c r="G36" s="120"/>
      <c r="H36" s="121"/>
      <c r="I36" s="45"/>
      <c r="J36" s="46"/>
      <c r="K36" s="46"/>
      <c r="L36" s="122"/>
      <c r="M36" s="122"/>
      <c r="N36" s="47"/>
      <c r="O36" s="48"/>
      <c r="P36" s="49"/>
      <c r="Q36" s="48"/>
      <c r="R36" s="123"/>
      <c r="S36" s="123"/>
      <c r="T36" s="50"/>
      <c r="U36" s="50"/>
      <c r="V36" s="50"/>
      <c r="W36" s="50"/>
      <c r="X36" s="51"/>
      <c r="Y36" s="52"/>
      <c r="Z36" s="50"/>
      <c r="AA36" s="53"/>
      <c r="AB36" s="53"/>
      <c r="AC36" s="50"/>
      <c r="AD36" s="50">
        <f>+AM36+BA36</f>
        <v>20</v>
      </c>
      <c r="AE36" s="148" t="s">
        <v>223</v>
      </c>
      <c r="AF36" s="50"/>
      <c r="AG36" s="50"/>
      <c r="AH36" s="50"/>
      <c r="AI36" s="54"/>
      <c r="AJ36" s="50"/>
      <c r="AK36" s="50"/>
      <c r="AL36" s="50"/>
      <c r="AM36" s="50">
        <f t="shared" ref="AM36" si="3">SUM(AF36:AL36)+AT36+AV36+AX36</f>
        <v>0</v>
      </c>
      <c r="AN36" s="50"/>
      <c r="AO36" s="50"/>
      <c r="AP36" s="50">
        <v>20</v>
      </c>
      <c r="AQ36" s="50"/>
      <c r="AR36" s="50">
        <f t="shared" ref="AR36" si="4">SUM(AN36:AQ36)</f>
        <v>20</v>
      </c>
      <c r="AS36" s="50"/>
      <c r="AT36" s="50"/>
      <c r="AU36" s="50"/>
      <c r="AV36" s="50"/>
      <c r="AW36" s="50"/>
      <c r="AX36" s="50"/>
      <c r="AY36" s="50"/>
      <c r="AZ36" s="50"/>
      <c r="BA36" s="50">
        <f t="shared" ref="BA36" si="5">+AR36+AS36+AU36+AW36+AY36+AZ36</f>
        <v>20</v>
      </c>
      <c r="BB36" s="124"/>
      <c r="BC36" s="146"/>
      <c r="BD36" s="146"/>
      <c r="BE36" s="124"/>
      <c r="BF36" s="146"/>
    </row>
    <row r="37" spans="1:58" ht="12.95" customHeight="1" x14ac:dyDescent="0.2">
      <c r="A37" s="117"/>
      <c r="B37" s="118"/>
      <c r="C37" s="119"/>
      <c r="D37" s="118"/>
      <c r="E37" s="37"/>
      <c r="F37" s="37"/>
      <c r="G37" s="127"/>
      <c r="H37" s="121"/>
      <c r="I37" s="45"/>
      <c r="J37" s="46"/>
      <c r="K37" s="46"/>
      <c r="L37" s="122"/>
      <c r="M37" s="122"/>
      <c r="N37" s="47"/>
      <c r="O37" s="48"/>
      <c r="P37" s="49"/>
      <c r="Q37" s="48"/>
      <c r="R37" s="123"/>
      <c r="S37" s="123"/>
      <c r="T37" s="50"/>
      <c r="U37" s="50"/>
      <c r="V37" s="50"/>
      <c r="W37" s="50"/>
      <c r="X37" s="55"/>
      <c r="Y37" s="52"/>
      <c r="Z37" s="50"/>
      <c r="AA37" s="50"/>
      <c r="AB37" s="50"/>
      <c r="AC37" s="50"/>
      <c r="AD37" s="50"/>
      <c r="AE37" s="101"/>
      <c r="AF37" s="124"/>
      <c r="AG37" s="124"/>
      <c r="AH37" s="124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124"/>
      <c r="BC37" s="146"/>
      <c r="BD37" s="116"/>
      <c r="BE37" s="116"/>
      <c r="BF37" s="116"/>
    </row>
    <row r="38" spans="1:58" ht="12.95" customHeight="1" x14ac:dyDescent="0.2">
      <c r="A38" s="117">
        <v>45968</v>
      </c>
      <c r="B38" s="118" t="s">
        <v>115</v>
      </c>
      <c r="C38" s="119">
        <f>(M38*E38*O38*Q38)/100000000</f>
        <v>37.193062400000002</v>
      </c>
      <c r="D38" s="118" t="s">
        <v>175</v>
      </c>
      <c r="E38" s="37">
        <v>13</v>
      </c>
      <c r="F38" s="37">
        <v>1</v>
      </c>
      <c r="G38" s="120">
        <v>1700</v>
      </c>
      <c r="H38" s="121">
        <v>0.24</v>
      </c>
      <c r="I38" s="45">
        <v>0.88</v>
      </c>
      <c r="J38" s="46">
        <f>E38*G38*(1-H38)*1440/1000000*2.77</f>
        <v>66.995884799999999</v>
      </c>
      <c r="K38" s="46">
        <f>(IF(G38&lt;L38,L38,G38)*(1-IF(H38&lt;N38,H38,N38))*E38*O38*Q38)/100000000</f>
        <v>39.517628799999997</v>
      </c>
      <c r="L38" s="122">
        <v>1600</v>
      </c>
      <c r="M38" s="122">
        <v>1216</v>
      </c>
      <c r="N38" s="47">
        <f>1-(M38/L38)</f>
        <v>0.24</v>
      </c>
      <c r="O38" s="48">
        <f>+'[1]Trim Rwd'!H35</f>
        <v>272</v>
      </c>
      <c r="P38" s="49">
        <f>O38*(Q38-R38-S38)</f>
        <v>210800</v>
      </c>
      <c r="Q38" s="48">
        <v>865</v>
      </c>
      <c r="R38" s="123">
        <v>0</v>
      </c>
      <c r="S38" s="123">
        <v>90</v>
      </c>
      <c r="T38" s="50">
        <f>E38*M38*O38*Q38/100000000</f>
        <v>37.193062400000002</v>
      </c>
      <c r="U38" s="50">
        <f>E38*M38*O38*(Q38-R38-S38)/100000000</f>
        <v>33.323264000000002</v>
      </c>
      <c r="V38" s="50">
        <f>E38*G38*(1-N38)*O38/100*(R38+S38)/1000000</f>
        <v>4.1116608000000001</v>
      </c>
      <c r="W38" s="50">
        <f>+'[1]7'!K15/1000</f>
        <v>32.631</v>
      </c>
      <c r="X38" s="51">
        <f>SUM(W38:W41)/SUM(K38:K41)</f>
        <v>0.78018143522729932</v>
      </c>
      <c r="Y38" s="52">
        <v>0</v>
      </c>
      <c r="Z38" s="50">
        <v>0</v>
      </c>
      <c r="AA38" s="53">
        <f>SUM(U38:U41)-SUM(W38:W41)-SUM(Z38:Z41)-SUM(Y38:Y41)</f>
        <v>4.4809749128347889</v>
      </c>
      <c r="AB38" s="53">
        <f>(SUM(K38:K41)-SUM(W38:W41)-SUM(Y38:Y41)-SUM(Z38:Z41)-SUM(AC38:AC41)-SUM(V38:V41))-AA38</f>
        <v>-0.3503499032347861</v>
      </c>
      <c r="AC38" s="50">
        <f>K38-T38</f>
        <v>2.3245663999999948</v>
      </c>
      <c r="AD38" s="50">
        <f>+AM38+BA38</f>
        <v>90</v>
      </c>
      <c r="AE38" s="101" t="s">
        <v>224</v>
      </c>
      <c r="AF38" s="50">
        <v>90</v>
      </c>
      <c r="AG38" s="50"/>
      <c r="AH38" s="50"/>
      <c r="AI38" s="54"/>
      <c r="AJ38" s="50"/>
      <c r="AK38" s="50"/>
      <c r="AL38" s="50"/>
      <c r="AM38" s="50">
        <f>SUM(AF38:AL38)+AT38+AV38+AX38</f>
        <v>90</v>
      </c>
      <c r="AN38" s="50"/>
      <c r="AO38" s="50"/>
      <c r="AP38" s="50"/>
      <c r="AQ38" s="50"/>
      <c r="AR38" s="50">
        <f>SUM(AN38:AQ38)</f>
        <v>0</v>
      </c>
      <c r="AS38" s="50"/>
      <c r="AT38" s="50"/>
      <c r="AU38" s="50"/>
      <c r="AV38" s="50"/>
      <c r="AW38" s="50"/>
      <c r="AX38" s="50"/>
      <c r="AY38" s="50"/>
      <c r="AZ38" s="50"/>
      <c r="BA38" s="50">
        <f>+AR38+AS38+AU38+AW38+AY38+AZ38</f>
        <v>0</v>
      </c>
      <c r="BB38" s="124">
        <v>18</v>
      </c>
      <c r="BC38" s="116"/>
      <c r="BD38" s="116"/>
      <c r="BE38" s="124"/>
      <c r="BF38" s="116"/>
    </row>
    <row r="39" spans="1:58" ht="12.95" customHeight="1" x14ac:dyDescent="0.2">
      <c r="A39" s="117"/>
      <c r="B39" s="118" t="s">
        <v>115</v>
      </c>
      <c r="C39" s="119">
        <f>(M39*E39*O39*Q39)/100000000</f>
        <v>21.293999580000001</v>
      </c>
      <c r="D39" s="118" t="s">
        <v>175</v>
      </c>
      <c r="E39" s="37">
        <v>10.3</v>
      </c>
      <c r="F39" s="37">
        <v>1</v>
      </c>
      <c r="G39" s="120">
        <v>1730</v>
      </c>
      <c r="H39" s="121">
        <v>0.16</v>
      </c>
      <c r="I39" s="45">
        <v>0.88</v>
      </c>
      <c r="J39" s="46">
        <f>E39*G39*(1-H39)*1440/1000000*2.77</f>
        <v>59.704198847999997</v>
      </c>
      <c r="K39" s="46">
        <f>(IF(G39&lt;L39,L39,G39)*(1-IF(H39&lt;N39,H39,N39))*E39*O39*Q39)/100000000</f>
        <v>22.893494820000001</v>
      </c>
      <c r="L39" s="122">
        <v>1609.1304347826087</v>
      </c>
      <c r="M39" s="122">
        <v>1351.6695652173912</v>
      </c>
      <c r="N39" s="47">
        <f>1-(M39/L39)</f>
        <v>0.16000000000000003</v>
      </c>
      <c r="O39" s="48">
        <f>+'[1]Trim Rwd'!H36</f>
        <v>266</v>
      </c>
      <c r="P39" s="49">
        <f>O39*(Q39-R39-S39)</f>
        <v>142576</v>
      </c>
      <c r="Q39" s="48">
        <v>575</v>
      </c>
      <c r="R39" s="123">
        <v>0</v>
      </c>
      <c r="S39" s="123">
        <f>13+26</f>
        <v>39</v>
      </c>
      <c r="T39" s="50">
        <f>E39*M39*O39*Q39/100000000</f>
        <v>21.293999580000001</v>
      </c>
      <c r="U39" s="50">
        <f>E39*M39*O39*(Q39-R39-S39)/100000000</f>
        <v>19.849710912834784</v>
      </c>
      <c r="V39" s="50">
        <f>E39*G39*(1-N39)*O39/100*(R39+S39)/1000000</f>
        <v>1.5527761704</v>
      </c>
      <c r="W39" s="50">
        <f>+'[1]7'!K13/1000</f>
        <v>11.616</v>
      </c>
      <c r="X39" s="55"/>
      <c r="Y39" s="52"/>
      <c r="Z39" s="50">
        <v>0</v>
      </c>
      <c r="AA39" s="50"/>
      <c r="AB39" s="50"/>
      <c r="AC39" s="50">
        <f>K39-T39</f>
        <v>1.5994952399999995</v>
      </c>
      <c r="AD39" s="50">
        <f>+AM39+BA39</f>
        <v>13</v>
      </c>
      <c r="AE39" s="101" t="s">
        <v>132</v>
      </c>
      <c r="AF39" s="50"/>
      <c r="AG39" s="50">
        <v>13</v>
      </c>
      <c r="AH39" s="50"/>
      <c r="AI39" s="54"/>
      <c r="AJ39" s="50"/>
      <c r="AK39" s="50"/>
      <c r="AL39" s="50"/>
      <c r="AM39" s="50">
        <f>SUM(AF39:AL39)+AT39+AV39+AX39</f>
        <v>13</v>
      </c>
      <c r="AN39" s="125"/>
      <c r="AO39" s="50"/>
      <c r="AP39" s="50"/>
      <c r="AQ39" s="50"/>
      <c r="AR39" s="50">
        <f>SUM(AN39:AQ39)</f>
        <v>0</v>
      </c>
      <c r="AS39" s="50"/>
      <c r="AT39" s="50"/>
      <c r="AU39" s="50"/>
      <c r="AV39" s="50"/>
      <c r="AW39" s="50"/>
      <c r="AX39" s="50"/>
      <c r="AY39" s="50"/>
      <c r="AZ39" s="50"/>
      <c r="BA39" s="50">
        <f>+AR39+AS39+AU39+AW39+AY39+AZ39</f>
        <v>0</v>
      </c>
      <c r="BB39" s="126"/>
      <c r="BC39" s="116">
        <v>7</v>
      </c>
      <c r="BD39" s="116"/>
      <c r="BE39" s="126"/>
      <c r="BF39" s="116"/>
    </row>
    <row r="40" spans="1:58" ht="12.95" customHeight="1" x14ac:dyDescent="0.2">
      <c r="A40" s="117"/>
      <c r="B40" s="118" t="s">
        <v>115</v>
      </c>
      <c r="C40" s="119"/>
      <c r="D40" s="118"/>
      <c r="E40" s="37">
        <v>12</v>
      </c>
      <c r="F40" s="37"/>
      <c r="G40" s="127"/>
      <c r="H40" s="121"/>
      <c r="I40" s="45"/>
      <c r="J40" s="46"/>
      <c r="K40" s="46"/>
      <c r="L40" s="122"/>
      <c r="M40" s="122"/>
      <c r="N40" s="47"/>
      <c r="O40" s="48"/>
      <c r="P40" s="49"/>
      <c r="Q40" s="48"/>
      <c r="R40" s="123"/>
      <c r="S40" s="123"/>
      <c r="T40" s="50"/>
      <c r="U40" s="50"/>
      <c r="V40" s="50"/>
      <c r="W40" s="50">
        <f>+'[1]7'!K14/1000</f>
        <v>4.4450000000000003</v>
      </c>
      <c r="X40" s="55"/>
      <c r="Y40" s="52"/>
      <c r="Z40" s="50"/>
      <c r="AA40" s="50"/>
      <c r="AB40" s="50"/>
      <c r="AC40" s="50"/>
      <c r="AD40" s="50">
        <f>+AM40+BA40</f>
        <v>26</v>
      </c>
      <c r="AE40" s="101" t="s">
        <v>118</v>
      </c>
      <c r="AF40" s="124"/>
      <c r="AG40" s="124"/>
      <c r="AH40" s="124">
        <v>26</v>
      </c>
      <c r="AI40" s="54"/>
      <c r="AJ40" s="50"/>
      <c r="AK40" s="50"/>
      <c r="AL40" s="50"/>
      <c r="AM40" s="50">
        <f>SUM(AF40:AL40)+AT40+AV40+AX40</f>
        <v>26</v>
      </c>
      <c r="AN40" s="50"/>
      <c r="AO40" s="50"/>
      <c r="AP40" s="50"/>
      <c r="AQ40" s="50"/>
      <c r="AR40" s="50">
        <f>SUM(AN40:AQ40)</f>
        <v>0</v>
      </c>
      <c r="AS40" s="50"/>
      <c r="AT40" s="50"/>
      <c r="AU40" s="50"/>
      <c r="AV40" s="50"/>
      <c r="AW40" s="50"/>
      <c r="AX40" s="50"/>
      <c r="AY40" s="50"/>
      <c r="AZ40" s="50"/>
      <c r="BA40" s="50">
        <f>+AR40+AS40+AU40+AW40+AY40+AZ40</f>
        <v>0</v>
      </c>
      <c r="BB40" s="124"/>
      <c r="BC40" s="146"/>
      <c r="BD40" s="146"/>
      <c r="BE40" s="124"/>
      <c r="BF40" s="146"/>
    </row>
    <row r="41" spans="1:58" ht="12.95" customHeight="1" x14ac:dyDescent="0.2">
      <c r="A41" s="117"/>
      <c r="B41" s="118"/>
      <c r="C41" s="119"/>
      <c r="D41" s="118"/>
      <c r="E41" s="37"/>
      <c r="F41" s="37"/>
      <c r="G41" s="120"/>
      <c r="H41" s="121"/>
      <c r="I41" s="45"/>
      <c r="J41" s="46"/>
      <c r="K41" s="46"/>
      <c r="L41" s="122"/>
      <c r="M41" s="122"/>
      <c r="N41" s="47"/>
      <c r="O41" s="48"/>
      <c r="P41" s="49"/>
      <c r="Q41" s="48"/>
      <c r="R41" s="123"/>
      <c r="S41" s="123"/>
      <c r="T41" s="50"/>
      <c r="U41" s="50"/>
      <c r="V41" s="50"/>
      <c r="W41" s="50"/>
      <c r="X41" s="51"/>
      <c r="Y41" s="52"/>
      <c r="Z41" s="50"/>
      <c r="AA41" s="53"/>
      <c r="AB41" s="53"/>
      <c r="AC41" s="50"/>
      <c r="AD41" s="50"/>
      <c r="AE41" s="148"/>
      <c r="AF41" s="50"/>
      <c r="AG41" s="50"/>
      <c r="AH41" s="50"/>
      <c r="AI41" s="54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124"/>
      <c r="BC41" s="146"/>
      <c r="BD41" s="146"/>
      <c r="BE41" s="124"/>
      <c r="BF41" s="146"/>
    </row>
    <row r="42" spans="1:58" ht="12.95" customHeight="1" x14ac:dyDescent="0.2">
      <c r="A42" s="117">
        <v>45969</v>
      </c>
      <c r="B42" s="118" t="s">
        <v>115</v>
      </c>
      <c r="C42" s="119">
        <f>(M42*E42*O42*Q42)/100000000</f>
        <v>51.478430976000006</v>
      </c>
      <c r="D42" s="118" t="s">
        <v>175</v>
      </c>
      <c r="E42" s="37">
        <v>10.3</v>
      </c>
      <c r="F42" s="37">
        <v>1</v>
      </c>
      <c r="G42" s="120">
        <v>1730</v>
      </c>
      <c r="H42" s="121">
        <v>0.16</v>
      </c>
      <c r="I42" s="45">
        <v>0.88</v>
      </c>
      <c r="J42" s="46">
        <f>E42*G42*(1-H42)*1440/1000000*2.77</f>
        <v>59.704198847999997</v>
      </c>
      <c r="K42" s="46">
        <f>(IF(G42&lt;L42,L42,G42)*(1-IF(H42&lt;N42,H42,N42))*E42*O42*Q42)/100000000</f>
        <v>57.333273984000009</v>
      </c>
      <c r="L42" s="122">
        <v>1553.3333333333333</v>
      </c>
      <c r="M42" s="122">
        <v>1304.8</v>
      </c>
      <c r="N42" s="47">
        <f>1-(M42/L42)</f>
        <v>0.16000000000000003</v>
      </c>
      <c r="O42" s="48">
        <f>+'[1]Trim Rwd'!H39</f>
        <v>266</v>
      </c>
      <c r="P42" s="49">
        <f>O42*(Q42-R42-S42)</f>
        <v>364686</v>
      </c>
      <c r="Q42" s="48">
        <v>1440</v>
      </c>
      <c r="R42" s="123">
        <v>0</v>
      </c>
      <c r="S42" s="123">
        <v>69</v>
      </c>
      <c r="T42" s="50">
        <f>E42*M42*O42*Q42/100000000</f>
        <v>51.478430976000006</v>
      </c>
      <c r="U42" s="50">
        <f>E42*M42*O42*(Q42-R42-S42)/100000000</f>
        <v>49.011756158400004</v>
      </c>
      <c r="V42" s="50">
        <f>E42*G42*(1-N42)*O42/100*(R42+S42)/1000000</f>
        <v>2.7472193783999996</v>
      </c>
      <c r="W42" s="50">
        <f>+'[1]8'!K34/1000</f>
        <v>47.743000000000002</v>
      </c>
      <c r="X42" s="51">
        <f>SUM(W42:W45)/SUM(K42:K45)</f>
        <v>0.83272760619467912</v>
      </c>
      <c r="Y42" s="52">
        <v>0</v>
      </c>
      <c r="Z42" s="50">
        <v>0</v>
      </c>
      <c r="AA42" s="53">
        <f>SUM(U42:U45)-SUM(W42:W45)-SUM(Z42:Z45)-SUM(Y42:Y45)</f>
        <v>1.2687561584000022</v>
      </c>
      <c r="AB42" s="53">
        <f>(SUM(K42:K45)-SUM(W42:W45)-SUM(Y42:Y45)-SUM(Z42:Z45)-SUM(AC42:AC45)-SUM(V42:V45))-AA42</f>
        <v>-0.28054456079999834</v>
      </c>
      <c r="AC42" s="50">
        <f>K42-T42</f>
        <v>5.8548430080000031</v>
      </c>
      <c r="AD42" s="50">
        <f>+AM42+BA42</f>
        <v>25</v>
      </c>
      <c r="AE42" s="101" t="s">
        <v>164</v>
      </c>
      <c r="AF42" s="50">
        <v>25</v>
      </c>
      <c r="AG42" s="50"/>
      <c r="AH42" s="50"/>
      <c r="AI42" s="54"/>
      <c r="AJ42" s="50"/>
      <c r="AK42" s="50"/>
      <c r="AL42" s="50"/>
      <c r="AM42" s="50">
        <f>SUM(AF42:AL42)+AT42+AV42+AX42</f>
        <v>25</v>
      </c>
      <c r="AN42" s="50"/>
      <c r="AO42" s="50"/>
      <c r="AP42" s="50"/>
      <c r="AQ42" s="50"/>
      <c r="AR42" s="50">
        <f>SUM(AN42:AQ42)</f>
        <v>0</v>
      </c>
      <c r="AS42" s="50"/>
      <c r="AT42" s="50"/>
      <c r="AU42" s="50"/>
      <c r="AV42" s="50"/>
      <c r="AW42" s="50"/>
      <c r="AX42" s="50"/>
      <c r="AY42" s="50"/>
      <c r="AZ42" s="50"/>
      <c r="BA42" s="50">
        <f>+AR42+AS42+AU42+AW42+AY42+AZ42</f>
        <v>0</v>
      </c>
      <c r="BB42" s="124">
        <v>5</v>
      </c>
      <c r="BC42" s="116"/>
      <c r="BD42" s="116"/>
      <c r="BE42" s="124"/>
      <c r="BF42" s="116"/>
    </row>
    <row r="43" spans="1:58" ht="12.95" customHeight="1" x14ac:dyDescent="0.2">
      <c r="A43" s="117"/>
      <c r="B43" s="118"/>
      <c r="C43" s="119"/>
      <c r="D43" s="118"/>
      <c r="E43" s="37"/>
      <c r="F43" s="37"/>
      <c r="G43" s="120"/>
      <c r="H43" s="121"/>
      <c r="I43" s="45"/>
      <c r="J43" s="46"/>
      <c r="K43" s="46"/>
      <c r="L43" s="122"/>
      <c r="M43" s="122"/>
      <c r="N43" s="47"/>
      <c r="O43" s="48"/>
      <c r="P43" s="49"/>
      <c r="Q43" s="48"/>
      <c r="R43" s="123"/>
      <c r="S43" s="123"/>
      <c r="T43" s="50"/>
      <c r="U43" s="50"/>
      <c r="V43" s="50"/>
      <c r="W43" s="50"/>
      <c r="X43" s="55"/>
      <c r="Y43" s="52"/>
      <c r="Z43" s="50"/>
      <c r="AA43" s="50"/>
      <c r="AB43" s="50"/>
      <c r="AC43" s="50"/>
      <c r="AD43" s="50">
        <f>+AM43+BA43</f>
        <v>18</v>
      </c>
      <c r="AE43" s="101" t="s">
        <v>133</v>
      </c>
      <c r="AF43" s="50"/>
      <c r="AG43" s="50">
        <v>18</v>
      </c>
      <c r="AH43" s="50"/>
      <c r="AI43" s="54"/>
      <c r="AJ43" s="50"/>
      <c r="AK43" s="50"/>
      <c r="AL43" s="50"/>
      <c r="AM43" s="50">
        <f>SUM(AF43:AL43)+AT43+AV43+AX43</f>
        <v>18</v>
      </c>
      <c r="AN43" s="125"/>
      <c r="AO43" s="50"/>
      <c r="AP43" s="50"/>
      <c r="AQ43" s="50"/>
      <c r="AR43" s="50">
        <f>SUM(AN43:AQ43)</f>
        <v>0</v>
      </c>
      <c r="AS43" s="50"/>
      <c r="AT43" s="50"/>
      <c r="AU43" s="50"/>
      <c r="AV43" s="50"/>
      <c r="AW43" s="50"/>
      <c r="AX43" s="50"/>
      <c r="AY43" s="50"/>
      <c r="AZ43" s="50"/>
      <c r="BA43" s="50">
        <f>+AR43+AS43+AU43+AW43+AY43+AZ43</f>
        <v>0</v>
      </c>
      <c r="BB43" s="126"/>
      <c r="BC43" s="116">
        <v>10</v>
      </c>
      <c r="BD43" s="116"/>
      <c r="BE43" s="126"/>
      <c r="BF43" s="116"/>
    </row>
    <row r="44" spans="1:58" ht="12.95" customHeight="1" x14ac:dyDescent="0.2">
      <c r="A44" s="117"/>
      <c r="B44" s="118"/>
      <c r="C44" s="119"/>
      <c r="D44" s="118"/>
      <c r="E44" s="37"/>
      <c r="F44" s="37"/>
      <c r="G44" s="127"/>
      <c r="H44" s="121"/>
      <c r="I44" s="45"/>
      <c r="J44" s="46"/>
      <c r="K44" s="46"/>
      <c r="L44" s="122"/>
      <c r="M44" s="122"/>
      <c r="N44" s="47"/>
      <c r="O44" s="48"/>
      <c r="P44" s="49"/>
      <c r="Q44" s="48"/>
      <c r="R44" s="123"/>
      <c r="S44" s="123"/>
      <c r="T44" s="50"/>
      <c r="U44" s="50"/>
      <c r="V44" s="50"/>
      <c r="W44" s="50"/>
      <c r="X44" s="55"/>
      <c r="Y44" s="52"/>
      <c r="Z44" s="50"/>
      <c r="AA44" s="50"/>
      <c r="AB44" s="50"/>
      <c r="AC44" s="50"/>
      <c r="AD44" s="50">
        <f>+AM44+BA44</f>
        <v>26</v>
      </c>
      <c r="AE44" s="101" t="s">
        <v>212</v>
      </c>
      <c r="AF44" s="124"/>
      <c r="AG44" s="124"/>
      <c r="AH44" s="124">
        <v>26</v>
      </c>
      <c r="AI44" s="54"/>
      <c r="AJ44" s="50"/>
      <c r="AK44" s="50"/>
      <c r="AL44" s="50"/>
      <c r="AM44" s="50">
        <f>SUM(AF44:AL44)+AT44+AV44+AX44</f>
        <v>26</v>
      </c>
      <c r="AN44" s="50"/>
      <c r="AO44" s="50"/>
      <c r="AP44" s="50"/>
      <c r="AQ44" s="50"/>
      <c r="AR44" s="50">
        <f>SUM(AN44:AQ44)</f>
        <v>0</v>
      </c>
      <c r="AS44" s="50"/>
      <c r="AT44" s="50"/>
      <c r="AU44" s="50"/>
      <c r="AV44" s="50"/>
      <c r="AW44" s="50"/>
      <c r="AX44" s="50"/>
      <c r="AY44" s="50"/>
      <c r="AZ44" s="50"/>
      <c r="BA44" s="50">
        <f>+AR44+AS44+AU44+AW44+AY44+AZ44</f>
        <v>0</v>
      </c>
      <c r="BB44" s="124"/>
      <c r="BC44" s="146"/>
      <c r="BD44" s="146"/>
      <c r="BE44" s="124"/>
      <c r="BF44" s="146"/>
    </row>
    <row r="45" spans="1:58" ht="12.95" customHeight="1" x14ac:dyDescent="0.2">
      <c r="A45" s="117"/>
      <c r="B45" s="118"/>
      <c r="C45" s="119"/>
      <c r="D45" s="118"/>
      <c r="E45" s="37"/>
      <c r="F45" s="37"/>
      <c r="G45" s="120"/>
      <c r="H45" s="121"/>
      <c r="I45" s="45"/>
      <c r="J45" s="46"/>
      <c r="K45" s="46"/>
      <c r="L45" s="122"/>
      <c r="M45" s="122"/>
      <c r="N45" s="47"/>
      <c r="O45" s="48"/>
      <c r="P45" s="49"/>
      <c r="Q45" s="48"/>
      <c r="R45" s="123"/>
      <c r="S45" s="123"/>
      <c r="T45" s="50"/>
      <c r="U45" s="50"/>
      <c r="V45" s="50"/>
      <c r="W45" s="50"/>
      <c r="X45" s="51"/>
      <c r="Y45" s="52"/>
      <c r="Z45" s="50"/>
      <c r="AA45" s="53"/>
      <c r="AB45" s="53"/>
      <c r="AC45" s="50"/>
      <c r="AD45" s="50"/>
      <c r="AE45" s="148"/>
      <c r="AF45" s="50"/>
      <c r="AG45" s="50"/>
      <c r="AH45" s="50"/>
      <c r="AI45" s="54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124"/>
      <c r="BC45" s="146"/>
      <c r="BD45" s="146"/>
      <c r="BE45" s="124"/>
      <c r="BF45" s="146"/>
    </row>
    <row r="46" spans="1:58" ht="12.95" customHeight="1" x14ac:dyDescent="0.2">
      <c r="A46" s="117">
        <v>45970</v>
      </c>
      <c r="B46" s="118" t="s">
        <v>115</v>
      </c>
      <c r="C46" s="119">
        <f>(M46*E46*O46*Q46)/100000000</f>
        <v>31.490033769600004</v>
      </c>
      <c r="D46" s="118" t="s">
        <v>175</v>
      </c>
      <c r="E46" s="37">
        <v>10.3</v>
      </c>
      <c r="F46" s="37">
        <v>1</v>
      </c>
      <c r="G46" s="120">
        <v>1730</v>
      </c>
      <c r="H46" s="121">
        <v>0.16</v>
      </c>
      <c r="I46" s="45">
        <v>0.88</v>
      </c>
      <c r="J46" s="46">
        <f>E46*G46*(1-H46)*1440/1000000*2.77</f>
        <v>59.704198847999997</v>
      </c>
      <c r="K46" s="46">
        <f>(IF(G46&lt;L46,L46,G46)*(1-IF(H46&lt;N46,H46,N46))*E46*O46*Q46)/100000000</f>
        <v>34.479593937600001</v>
      </c>
      <c r="L46" s="122">
        <v>1580</v>
      </c>
      <c r="M46" s="122">
        <f>+L46-L46*0.16</f>
        <v>1327.2</v>
      </c>
      <c r="N46" s="47">
        <f>1-(M46/L46)</f>
        <v>0.15999999999999992</v>
      </c>
      <c r="O46" s="48">
        <f>+'[1]Trim Rwd'!H42</f>
        <v>266</v>
      </c>
      <c r="P46" s="49">
        <f>O46*(Q46-R46-S46)</f>
        <v>222642</v>
      </c>
      <c r="Q46" s="48">
        <v>866</v>
      </c>
      <c r="R46" s="123">
        <v>0</v>
      </c>
      <c r="S46" s="123">
        <v>29</v>
      </c>
      <c r="T46" s="50">
        <f>E46*M46*O46*Q46/100000000</f>
        <v>31.490033769600004</v>
      </c>
      <c r="U46" s="50">
        <f>E46*M46*O46*(Q46-R46-S46)/100000000</f>
        <v>30.435517627200003</v>
      </c>
      <c r="V46" s="50">
        <f>E46*G46*(1-N46)*O46/100*(R46+S46)/1000000</f>
        <v>1.1546284344</v>
      </c>
      <c r="W46" s="50">
        <f>+'[1]9'!K13/1000</f>
        <v>37.960999999999999</v>
      </c>
      <c r="X46" s="51">
        <f>SUM(W46:W49)/SUM(K46:K49)</f>
        <v>0.89529501929382349</v>
      </c>
      <c r="Y46" s="52">
        <v>0</v>
      </c>
      <c r="Z46" s="50">
        <v>0</v>
      </c>
      <c r="AA46" s="53">
        <f>SUM(U46:U49)-SUM(W46:W49)-SUM(Z46:Z49)-SUM(Y46:Y49)</f>
        <v>-0.55747437279999312</v>
      </c>
      <c r="AB46" s="53">
        <f>(SUM(K46:K49)-SUM(W46:W49)-SUM(Y46:Y49)-SUM(Z46:Z49)-SUM(AC46:AC49)-SUM(V46:V49))-AA46</f>
        <v>-0.14288509199999977</v>
      </c>
      <c r="AC46" s="50">
        <f>K46-T46</f>
        <v>2.989560167999997</v>
      </c>
      <c r="AD46" s="50">
        <f>+AM46+BA46</f>
        <v>0</v>
      </c>
      <c r="AE46" s="101" t="s">
        <v>110</v>
      </c>
      <c r="AF46" s="50">
        <v>0</v>
      </c>
      <c r="AG46" s="50"/>
      <c r="AH46" s="50"/>
      <c r="AI46" s="54"/>
      <c r="AJ46" s="50"/>
      <c r="AK46" s="50"/>
      <c r="AL46" s="50"/>
      <c r="AM46" s="50">
        <f>SUM(AF46:AL46)+AT46+AV46+AX46</f>
        <v>0</v>
      </c>
      <c r="AN46" s="50"/>
      <c r="AO46" s="50"/>
      <c r="AP46" s="50"/>
      <c r="AQ46" s="50"/>
      <c r="AR46" s="50">
        <f>SUM(AN46:AQ46)</f>
        <v>0</v>
      </c>
      <c r="AS46" s="50"/>
      <c r="AT46" s="50"/>
      <c r="AU46" s="50"/>
      <c r="AV46" s="50"/>
      <c r="AW46" s="50"/>
      <c r="AX46" s="50"/>
      <c r="AY46" s="50"/>
      <c r="AZ46" s="50"/>
      <c r="BA46" s="50">
        <f>+AR46+AS46+AU46+AW46+AY46+AZ46</f>
        <v>0</v>
      </c>
      <c r="BB46" s="124">
        <v>0</v>
      </c>
      <c r="BC46" s="116"/>
      <c r="BD46" s="116"/>
      <c r="BE46" s="124"/>
      <c r="BF46" s="116"/>
    </row>
    <row r="47" spans="1:58" ht="12.95" customHeight="1" x14ac:dyDescent="0.2">
      <c r="A47" s="117"/>
      <c r="B47" s="118" t="s">
        <v>115</v>
      </c>
      <c r="C47" s="119">
        <f>(M47*E47*O47*Q47)/100000000</f>
        <v>23.090183199999998</v>
      </c>
      <c r="D47" s="118" t="s">
        <v>175</v>
      </c>
      <c r="E47" s="37">
        <v>12.5</v>
      </c>
      <c r="F47" s="37">
        <v>1</v>
      </c>
      <c r="G47" s="120">
        <v>1700</v>
      </c>
      <c r="H47" s="121">
        <v>0.24</v>
      </c>
      <c r="I47" s="45">
        <v>0.88</v>
      </c>
      <c r="J47" s="46">
        <f>E47*G47*(1-H47)*1440/1000000*2.77</f>
        <v>64.419120000000007</v>
      </c>
      <c r="K47" s="46">
        <f>(IF(G47&lt;L47,L47,G47)*(1-IF(H47&lt;N47,H47,N47))*E47*O47*Q47)/100000000</f>
        <v>24.843868000000001</v>
      </c>
      <c r="L47" s="122">
        <v>1580</v>
      </c>
      <c r="M47" s="122">
        <f>+L47-L47*0.24</f>
        <v>1200.8</v>
      </c>
      <c r="N47" s="47">
        <f>1-(M47/L47)</f>
        <v>0.24</v>
      </c>
      <c r="O47" s="48">
        <f>+'[1]Trim Rwd'!H43</f>
        <v>268</v>
      </c>
      <c r="P47" s="49">
        <f>O47*(Q47-R47-S47)</f>
        <v>150080</v>
      </c>
      <c r="Q47" s="48">
        <v>574</v>
      </c>
      <c r="R47" s="123">
        <v>0</v>
      </c>
      <c r="S47" s="123">
        <v>14</v>
      </c>
      <c r="T47" s="50">
        <f>E47*M47*O47*Q47/100000000</f>
        <v>23.090183199999998</v>
      </c>
      <c r="U47" s="50">
        <f>E47*M47*O47*(Q47-R47-S47)/100000000</f>
        <v>22.527007999999999</v>
      </c>
      <c r="V47" s="50">
        <f>E47*G47*(1-N47)*O47/100*(R47+S47)/1000000</f>
        <v>0.60594800000000004</v>
      </c>
      <c r="W47" s="50">
        <f>+'[1]9'!K16/1000</f>
        <v>15.151</v>
      </c>
      <c r="X47" s="55"/>
      <c r="Y47" s="52"/>
      <c r="Z47" s="50">
        <f>+'[1]9'!D34/1000</f>
        <v>0.40799999999999997</v>
      </c>
      <c r="AA47" s="50"/>
      <c r="AB47" s="50"/>
      <c r="AC47" s="50">
        <f>K47-T47</f>
        <v>1.753684800000002</v>
      </c>
      <c r="AD47" s="50">
        <f>+AM47+BA47</f>
        <v>14</v>
      </c>
      <c r="AE47" s="101" t="s">
        <v>119</v>
      </c>
      <c r="AF47" s="50"/>
      <c r="AG47" s="50">
        <v>14</v>
      </c>
      <c r="AH47" s="50"/>
      <c r="AI47" s="54"/>
      <c r="AJ47" s="50"/>
      <c r="AK47" s="50"/>
      <c r="AL47" s="50"/>
      <c r="AM47" s="50">
        <f>SUM(AF47:AL47)+AT47+AV47+AX47</f>
        <v>14</v>
      </c>
      <c r="AN47" s="125"/>
      <c r="AO47" s="50"/>
      <c r="AP47" s="50"/>
      <c r="AQ47" s="50"/>
      <c r="AR47" s="50">
        <f>SUM(AN47:AQ47)</f>
        <v>0</v>
      </c>
      <c r="AS47" s="50"/>
      <c r="AT47" s="50"/>
      <c r="AU47" s="50"/>
      <c r="AV47" s="50"/>
      <c r="AW47" s="50"/>
      <c r="AX47" s="50"/>
      <c r="AY47" s="50"/>
      <c r="AZ47" s="50"/>
      <c r="BA47" s="50">
        <f>+AR47+AS47+AU47+AW47+AY47+AZ47</f>
        <v>0</v>
      </c>
      <c r="BB47" s="126"/>
      <c r="BC47" s="116">
        <v>11</v>
      </c>
      <c r="BD47" s="116"/>
      <c r="BE47" s="126"/>
      <c r="BF47" s="116"/>
    </row>
    <row r="48" spans="1:58" ht="12.95" customHeight="1" x14ac:dyDescent="0.2">
      <c r="A48" s="117"/>
      <c r="B48" s="118"/>
      <c r="C48" s="119"/>
      <c r="D48" s="118"/>
      <c r="E48" s="37"/>
      <c r="F48" s="37"/>
      <c r="G48" s="127"/>
      <c r="H48" s="121"/>
      <c r="I48" s="45"/>
      <c r="J48" s="46"/>
      <c r="K48" s="46"/>
      <c r="L48" s="122"/>
      <c r="M48" s="122"/>
      <c r="N48" s="47"/>
      <c r="O48" s="48"/>
      <c r="P48" s="49"/>
      <c r="Q48" s="48"/>
      <c r="R48" s="123"/>
      <c r="S48" s="123"/>
      <c r="T48" s="50"/>
      <c r="U48" s="50"/>
      <c r="V48" s="50"/>
      <c r="W48" s="50"/>
      <c r="X48" s="55"/>
      <c r="Y48" s="52"/>
      <c r="Z48" s="50"/>
      <c r="AA48" s="50"/>
      <c r="AB48" s="50"/>
      <c r="AC48" s="50"/>
      <c r="AD48" s="50">
        <f>+AM48+BA48</f>
        <v>29</v>
      </c>
      <c r="AE48" s="101" t="s">
        <v>123</v>
      </c>
      <c r="AF48" s="124"/>
      <c r="AG48" s="124"/>
      <c r="AH48" s="124">
        <v>29</v>
      </c>
      <c r="AI48" s="54"/>
      <c r="AJ48" s="50"/>
      <c r="AK48" s="50"/>
      <c r="AL48" s="50"/>
      <c r="AM48" s="50">
        <f>SUM(AF48:AL48)+AT48+AV48+AX48</f>
        <v>29</v>
      </c>
      <c r="AN48" s="50"/>
      <c r="AO48" s="50"/>
      <c r="AP48" s="50"/>
      <c r="AQ48" s="50"/>
      <c r="AR48" s="50">
        <f>SUM(AN48:AQ48)</f>
        <v>0</v>
      </c>
      <c r="AS48" s="50"/>
      <c r="AT48" s="50"/>
      <c r="AU48" s="50"/>
      <c r="AV48" s="50"/>
      <c r="AW48" s="50"/>
      <c r="AX48" s="50"/>
      <c r="AY48" s="50"/>
      <c r="AZ48" s="50"/>
      <c r="BA48" s="50">
        <f>+AR48+AS48+AU48+AW48+AY48+AZ48</f>
        <v>0</v>
      </c>
      <c r="BB48" s="124"/>
      <c r="BC48" s="146"/>
      <c r="BD48" s="146"/>
      <c r="BE48" s="124"/>
      <c r="BF48" s="146"/>
    </row>
    <row r="49" spans="1:58" ht="12.95" customHeight="1" x14ac:dyDescent="0.2">
      <c r="A49" s="117"/>
      <c r="B49" s="118"/>
      <c r="C49" s="119"/>
      <c r="D49" s="118"/>
      <c r="E49" s="37"/>
      <c r="F49" s="37"/>
      <c r="G49" s="120"/>
      <c r="H49" s="121"/>
      <c r="I49" s="45"/>
      <c r="J49" s="46"/>
      <c r="K49" s="46"/>
      <c r="L49" s="122"/>
      <c r="M49" s="122"/>
      <c r="N49" s="47"/>
      <c r="O49" s="48"/>
      <c r="P49" s="49"/>
      <c r="Q49" s="48"/>
      <c r="R49" s="123"/>
      <c r="S49" s="123"/>
      <c r="T49" s="50"/>
      <c r="U49" s="50"/>
      <c r="V49" s="50"/>
      <c r="W49" s="50"/>
      <c r="X49" s="51"/>
      <c r="Y49" s="52"/>
      <c r="Z49" s="50"/>
      <c r="AA49" s="53"/>
      <c r="AB49" s="53"/>
      <c r="AC49" s="50"/>
      <c r="AD49" s="50"/>
      <c r="AE49" s="101"/>
      <c r="AF49" s="50"/>
      <c r="AG49" s="50"/>
      <c r="AH49" s="50"/>
      <c r="AI49" s="54"/>
      <c r="AJ49" s="50"/>
      <c r="AK49" s="50"/>
      <c r="AL49" s="50"/>
      <c r="AM49" s="50"/>
      <c r="AN49" s="125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126"/>
      <c r="BC49" s="116"/>
      <c r="BD49" s="116"/>
      <c r="BE49" s="116"/>
      <c r="BF49" s="116"/>
    </row>
    <row r="50" spans="1:58" ht="12.95" customHeight="1" x14ac:dyDescent="0.2">
      <c r="A50" s="117">
        <v>45971</v>
      </c>
      <c r="B50" s="118" t="s">
        <v>115</v>
      </c>
      <c r="C50" s="119">
        <f>(M50*E50*O50*Q50)/100000000</f>
        <v>4.827216</v>
      </c>
      <c r="D50" s="118" t="s">
        <v>175</v>
      </c>
      <c r="E50" s="37">
        <v>12.5</v>
      </c>
      <c r="F50" s="37">
        <v>1</v>
      </c>
      <c r="G50" s="120">
        <v>1700</v>
      </c>
      <c r="H50" s="121">
        <v>0.24</v>
      </c>
      <c r="I50" s="45">
        <v>0.88</v>
      </c>
      <c r="J50" s="46">
        <f>E50*G50*(1-H50)*1440/1000000*2.77</f>
        <v>64.419120000000007</v>
      </c>
      <c r="K50" s="46">
        <f>(IF(G50&lt;L50,L50,G50)*(1-IF(H50&lt;N50,H50,N50))*E50*O50*Q50)/100000000</f>
        <v>5.1938399999999998</v>
      </c>
      <c r="L50" s="122">
        <v>1580</v>
      </c>
      <c r="M50" s="122">
        <f>+L50-L50*0.24</f>
        <v>1200.8</v>
      </c>
      <c r="N50" s="47">
        <f>1-(M50/L50)</f>
        <v>0.24</v>
      </c>
      <c r="O50" s="48">
        <f>+'[1]Trim Rwd'!H45</f>
        <v>268</v>
      </c>
      <c r="P50" s="49">
        <f>O50*(Q50-R50-S50)</f>
        <v>28676</v>
      </c>
      <c r="Q50" s="48">
        <v>120</v>
      </c>
      <c r="R50" s="123">
        <v>0</v>
      </c>
      <c r="S50" s="123">
        <v>13</v>
      </c>
      <c r="T50" s="50">
        <f>E50*M50*O50*Q50/100000000</f>
        <v>4.827216</v>
      </c>
      <c r="U50" s="50">
        <f>E50*M50*O50*(Q50-R50-S50)/100000000</f>
        <v>4.3042676000000002</v>
      </c>
      <c r="V50" s="50">
        <f>E50*G50*(1-N50)*O50/100*(R50+S50)/1000000</f>
        <v>0.562666</v>
      </c>
      <c r="W50" s="50">
        <f>+'[1]10'!K16/1000</f>
        <v>10.034000000000001</v>
      </c>
      <c r="X50" s="51">
        <f>SUM(W50:W53)/SUM(K50:K53)</f>
        <v>0.81277098610842591</v>
      </c>
      <c r="Y50" s="52">
        <v>0</v>
      </c>
      <c r="Z50" s="50">
        <f>+'[1]10'!D7/1000</f>
        <v>0.88</v>
      </c>
      <c r="AA50" s="53">
        <f>SUM(U50:U53)-SUM(W50:W53)-SUM(Z50:Z53)-SUM(Y50:Y53)</f>
        <v>2.3899476000000037</v>
      </c>
      <c r="AB50" s="53">
        <f>(SUM(K50:K53)-SUM(W50:W53)-SUM(Y50:Y53)-SUM(Z50:Z53)-SUM(AC50:AC53)-SUM(V50:V53))-AA50</f>
        <v>-3.9717600000002129E-2</v>
      </c>
      <c r="AC50" s="50">
        <f>K50-T50</f>
        <v>0.36662399999999984</v>
      </c>
      <c r="AD50" s="50">
        <f>+AM50+BA50</f>
        <v>0</v>
      </c>
      <c r="AE50" s="101" t="s">
        <v>110</v>
      </c>
      <c r="AF50" s="50">
        <v>0</v>
      </c>
      <c r="AG50" s="50"/>
      <c r="AH50" s="50"/>
      <c r="AI50" s="54"/>
      <c r="AJ50" s="50"/>
      <c r="AK50" s="50"/>
      <c r="AL50" s="50"/>
      <c r="AM50" s="50">
        <f>SUM(AF50:AL50)+AT50+AV50+AX50</f>
        <v>0</v>
      </c>
      <c r="AN50" s="50"/>
      <c r="AO50" s="50"/>
      <c r="AP50" s="50"/>
      <c r="AQ50" s="50"/>
      <c r="AR50" s="50">
        <f>SUM(AN50:AQ50)</f>
        <v>0</v>
      </c>
      <c r="AS50" s="50"/>
      <c r="AT50" s="50"/>
      <c r="AU50" s="50"/>
      <c r="AV50" s="50"/>
      <c r="AW50" s="50"/>
      <c r="AX50" s="50"/>
      <c r="AY50" s="50"/>
      <c r="AZ50" s="50"/>
      <c r="BA50" s="50">
        <f>+AR50+AS50+AU50+AW50+AY50+AZ50</f>
        <v>0</v>
      </c>
      <c r="BB50" s="124">
        <v>0</v>
      </c>
      <c r="BC50" s="116"/>
      <c r="BD50" s="116"/>
      <c r="BE50" s="124"/>
      <c r="BF50" s="116"/>
    </row>
    <row r="51" spans="1:58" ht="12.95" customHeight="1" x14ac:dyDescent="0.2">
      <c r="A51" s="117"/>
      <c r="B51" s="234" t="s">
        <v>211</v>
      </c>
      <c r="C51" s="119">
        <f>(M51*E51*O51*Q51)/100000000</f>
        <v>48.185279999999999</v>
      </c>
      <c r="D51" s="118" t="s">
        <v>175</v>
      </c>
      <c r="E51" s="37">
        <v>13</v>
      </c>
      <c r="F51" s="37">
        <v>1</v>
      </c>
      <c r="G51" s="120">
        <v>1350</v>
      </c>
      <c r="H51" s="121">
        <v>0.2</v>
      </c>
      <c r="I51" s="45">
        <v>0.88</v>
      </c>
      <c r="J51" s="46">
        <f>E51*G51*(1-H51)*1440/1000000*2.77</f>
        <v>56.002752000000001</v>
      </c>
      <c r="K51" s="46">
        <f>(IF(G51&lt;L51,L51,G51)*(1-IF(H51&lt;N51,H51,N51))*E51*O51*Q51)/100000000</f>
        <v>48.185279999999999</v>
      </c>
      <c r="L51" s="122">
        <v>1350</v>
      </c>
      <c r="M51" s="122">
        <f t="shared" ref="M51" si="6">+L51-L51*0.2</f>
        <v>1080</v>
      </c>
      <c r="N51" s="47">
        <f>1-(M51/L51)</f>
        <v>0.19999999999999996</v>
      </c>
      <c r="O51" s="48">
        <f>+'[1]Trim Rwd'!H46</f>
        <v>260</v>
      </c>
      <c r="P51" s="49">
        <f>O51*(Q51-R51-S51)</f>
        <v>304200</v>
      </c>
      <c r="Q51" s="48">
        <v>1320</v>
      </c>
      <c r="R51" s="123">
        <v>0</v>
      </c>
      <c r="S51" s="123">
        <v>150</v>
      </c>
      <c r="T51" s="50">
        <f>E51*M51*O51*Q51/100000000</f>
        <v>48.185279999999999</v>
      </c>
      <c r="U51" s="50">
        <f>E51*M51*O51*(Q51-R51-S51)/100000000</f>
        <v>42.709679999999999</v>
      </c>
      <c r="V51" s="50">
        <f>E51*G51*(1-N51)*O51/100*(R51+S51)/1000000</f>
        <v>5.4756</v>
      </c>
      <c r="W51" s="50">
        <f>+'[1]10'!K17/1000</f>
        <v>33.350999999999999</v>
      </c>
      <c r="X51" s="55"/>
      <c r="Y51" s="52"/>
      <c r="Z51" s="50">
        <f>+('[1]10'!D8+'[1]10'!D16+'[1]10'!D25)/1000</f>
        <v>0.35899999999999999</v>
      </c>
      <c r="AA51" s="50"/>
      <c r="AB51" s="50"/>
      <c r="AC51" s="50">
        <f>K51-T51</f>
        <v>0</v>
      </c>
      <c r="AD51" s="50">
        <f>+AM51+BA51</f>
        <v>10</v>
      </c>
      <c r="AE51" s="101" t="s">
        <v>117</v>
      </c>
      <c r="AF51" s="50"/>
      <c r="AG51" s="50">
        <v>10</v>
      </c>
      <c r="AH51" s="50"/>
      <c r="AI51" s="54"/>
      <c r="AJ51" s="50"/>
      <c r="AK51" s="50"/>
      <c r="AL51" s="50"/>
      <c r="AM51" s="50">
        <f>SUM(AF51:AL51)+AT51+AV51+AX51</f>
        <v>10</v>
      </c>
      <c r="AN51" s="125"/>
      <c r="AO51" s="50"/>
      <c r="AP51" s="50"/>
      <c r="AQ51" s="50"/>
      <c r="AR51" s="50">
        <f>SUM(AN51:AQ51)</f>
        <v>0</v>
      </c>
      <c r="AS51" s="50"/>
      <c r="AT51" s="50"/>
      <c r="AU51" s="50"/>
      <c r="AV51" s="50"/>
      <c r="AW51" s="50"/>
      <c r="AX51" s="50"/>
      <c r="AY51" s="50"/>
      <c r="AZ51" s="50"/>
      <c r="BA51" s="50">
        <f>+AR51+AS51+AU51+AW51+AY51+AZ51</f>
        <v>0</v>
      </c>
      <c r="BB51" s="126"/>
      <c r="BC51" s="116">
        <v>9</v>
      </c>
      <c r="BD51" s="116"/>
      <c r="BE51" s="126"/>
      <c r="BF51" s="116"/>
    </row>
    <row r="52" spans="1:58" ht="12.95" customHeight="1" x14ac:dyDescent="0.2">
      <c r="A52" s="117"/>
      <c r="B52" s="118"/>
      <c r="C52" s="119"/>
      <c r="D52" s="118"/>
      <c r="E52" s="37"/>
      <c r="F52" s="37"/>
      <c r="G52" s="127"/>
      <c r="H52" s="121"/>
      <c r="I52" s="45"/>
      <c r="J52" s="46"/>
      <c r="K52" s="46"/>
      <c r="L52" s="122"/>
      <c r="M52" s="122"/>
      <c r="N52" s="47"/>
      <c r="O52" s="48"/>
      <c r="P52" s="49"/>
      <c r="Q52" s="48"/>
      <c r="R52" s="123"/>
      <c r="S52" s="123"/>
      <c r="T52" s="50"/>
      <c r="U52" s="50"/>
      <c r="V52" s="50"/>
      <c r="W52" s="50"/>
      <c r="X52" s="55"/>
      <c r="Y52" s="52"/>
      <c r="Z52" s="50"/>
      <c r="AA52" s="50"/>
      <c r="AB52" s="50"/>
      <c r="AC52" s="50"/>
      <c r="AD52" s="50">
        <f>+AM52+BA52</f>
        <v>18</v>
      </c>
      <c r="AE52" s="101" t="s">
        <v>215</v>
      </c>
      <c r="AF52" s="124"/>
      <c r="AG52" s="124"/>
      <c r="AH52" s="124">
        <v>18</v>
      </c>
      <c r="AI52" s="54"/>
      <c r="AJ52" s="50"/>
      <c r="AK52" s="50"/>
      <c r="AL52" s="50"/>
      <c r="AM52" s="50">
        <f>SUM(AF52:AL52)+AT52+AV52+AX52</f>
        <v>18</v>
      </c>
      <c r="AN52" s="50"/>
      <c r="AO52" s="50"/>
      <c r="AP52" s="50"/>
      <c r="AQ52" s="50"/>
      <c r="AR52" s="50">
        <f>SUM(AN52:AQ52)</f>
        <v>0</v>
      </c>
      <c r="AS52" s="50"/>
      <c r="AT52" s="50"/>
      <c r="AU52" s="50"/>
      <c r="AV52" s="50"/>
      <c r="AW52" s="50"/>
      <c r="AX52" s="50"/>
      <c r="AY52" s="50"/>
      <c r="AZ52" s="50"/>
      <c r="BA52" s="50">
        <f>+AR52+AS52+AU52+AW52+AY52+AZ52</f>
        <v>0</v>
      </c>
      <c r="BB52" s="124"/>
      <c r="BC52" s="146"/>
      <c r="BD52" s="146"/>
      <c r="BE52" s="124"/>
      <c r="BF52" s="146"/>
    </row>
    <row r="53" spans="1:58" ht="12.95" customHeight="1" x14ac:dyDescent="0.2">
      <c r="A53" s="117"/>
      <c r="B53" s="118"/>
      <c r="C53" s="119"/>
      <c r="D53" s="118"/>
      <c r="E53" s="37"/>
      <c r="F53" s="37"/>
      <c r="G53" s="120"/>
      <c r="H53" s="121"/>
      <c r="I53" s="45"/>
      <c r="J53" s="46"/>
      <c r="K53" s="46"/>
      <c r="L53" s="122"/>
      <c r="M53" s="122"/>
      <c r="N53" s="47"/>
      <c r="O53" s="48"/>
      <c r="P53" s="49"/>
      <c r="Q53" s="48"/>
      <c r="R53" s="123"/>
      <c r="S53" s="123"/>
      <c r="T53" s="50"/>
      <c r="U53" s="50"/>
      <c r="V53" s="50"/>
      <c r="W53" s="50"/>
      <c r="X53" s="51"/>
      <c r="Y53" s="52"/>
      <c r="Z53" s="50"/>
      <c r="AA53" s="53"/>
      <c r="AB53" s="53"/>
      <c r="AC53" s="50"/>
      <c r="AD53" s="50">
        <f>+AM53+BA53</f>
        <v>135</v>
      </c>
      <c r="AE53" s="148" t="s">
        <v>124</v>
      </c>
      <c r="AF53" s="50"/>
      <c r="AG53" s="50"/>
      <c r="AH53" s="124"/>
      <c r="AI53" s="54">
        <v>135</v>
      </c>
      <c r="AJ53" s="50"/>
      <c r="AK53" s="50"/>
      <c r="AL53" s="50"/>
      <c r="AM53" s="50">
        <f>SUM(AF53:AL53)+AT53+AV53+AX53</f>
        <v>135</v>
      </c>
      <c r="AN53" s="50"/>
      <c r="AO53" s="50"/>
      <c r="AP53" s="50"/>
      <c r="AQ53" s="50"/>
      <c r="AR53" s="50">
        <f>SUM(AN53:AQ53)</f>
        <v>0</v>
      </c>
      <c r="AS53" s="50"/>
      <c r="AT53" s="50"/>
      <c r="AU53" s="50"/>
      <c r="AV53" s="50"/>
      <c r="AW53" s="50"/>
      <c r="AX53" s="50"/>
      <c r="AY53" s="50"/>
      <c r="AZ53" s="50"/>
      <c r="BA53" s="50">
        <f>+AR53+AS53+AU53+AW53+AY53+AZ53</f>
        <v>0</v>
      </c>
      <c r="BB53" s="124"/>
      <c r="BC53" s="146"/>
      <c r="BD53" s="146"/>
      <c r="BE53" s="124"/>
      <c r="BF53" s="146"/>
    </row>
    <row r="54" spans="1:58" ht="12.95" customHeight="1" x14ac:dyDescent="0.2">
      <c r="A54" s="117"/>
      <c r="B54" s="118"/>
      <c r="C54" s="119"/>
      <c r="D54" s="118"/>
      <c r="E54" s="37"/>
      <c r="F54" s="37"/>
      <c r="G54" s="127"/>
      <c r="H54" s="121"/>
      <c r="I54" s="45"/>
      <c r="J54" s="46"/>
      <c r="K54" s="46"/>
      <c r="L54" s="122"/>
      <c r="M54" s="122"/>
      <c r="N54" s="47"/>
      <c r="O54" s="48"/>
      <c r="P54" s="49"/>
      <c r="Q54" s="48"/>
      <c r="R54" s="123"/>
      <c r="S54" s="123"/>
      <c r="T54" s="50"/>
      <c r="U54" s="50"/>
      <c r="V54" s="50"/>
      <c r="W54" s="50"/>
      <c r="X54" s="55"/>
      <c r="Y54" s="52"/>
      <c r="Z54" s="50"/>
      <c r="AA54" s="50"/>
      <c r="AB54" s="50"/>
      <c r="AC54" s="50"/>
      <c r="AD54" s="50"/>
      <c r="AE54" s="101"/>
      <c r="AF54" s="124"/>
      <c r="AG54" s="124"/>
      <c r="AH54" s="124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124"/>
      <c r="BC54" s="146"/>
      <c r="BD54" s="116"/>
      <c r="BE54" s="116"/>
      <c r="BF54" s="116"/>
    </row>
    <row r="55" spans="1:58" ht="12.95" customHeight="1" x14ac:dyDescent="0.2">
      <c r="A55" s="117">
        <v>45972</v>
      </c>
      <c r="B55" s="234" t="s">
        <v>211</v>
      </c>
      <c r="C55" s="119">
        <f>(M55*E55*O55*Q55)/100000000</f>
        <v>52.565759999999997</v>
      </c>
      <c r="D55" s="118" t="s">
        <v>175</v>
      </c>
      <c r="E55" s="37">
        <v>13</v>
      </c>
      <c r="F55" s="37">
        <v>1</v>
      </c>
      <c r="G55" s="120">
        <v>1350</v>
      </c>
      <c r="H55" s="121">
        <v>0.2</v>
      </c>
      <c r="I55" s="45">
        <v>0.88</v>
      </c>
      <c r="J55" s="46">
        <f>E55*G55*(1-H55)*1440/1000000*2.77</f>
        <v>56.002752000000001</v>
      </c>
      <c r="K55" s="46">
        <f>(IF(G55&lt;L55,L55,G55)*(1-IF(H55&lt;N55,H55,N55))*E55*O55*Q55)/100000000</f>
        <v>52.565759999999997</v>
      </c>
      <c r="L55" s="122">
        <v>1350</v>
      </c>
      <c r="M55" s="122">
        <f t="shared" ref="M55" si="7">+L55-L55*0.2</f>
        <v>1080</v>
      </c>
      <c r="N55" s="47">
        <f>1-(M55/L55)</f>
        <v>0.19999999999999996</v>
      </c>
      <c r="O55" s="48">
        <f>+'[1]Trim Rwd'!H48</f>
        <v>260</v>
      </c>
      <c r="P55" s="49">
        <f>O55*(Q55-R55-S55)</f>
        <v>346320</v>
      </c>
      <c r="Q55" s="48">
        <v>1440</v>
      </c>
      <c r="R55" s="123">
        <v>75</v>
      </c>
      <c r="S55" s="123">
        <v>33</v>
      </c>
      <c r="T55" s="50">
        <f>E55*M55*O55*Q55/100000000</f>
        <v>52.565759999999997</v>
      </c>
      <c r="U55" s="50">
        <f>E55*M55*O55*(Q55-R55-S55)/100000000</f>
        <v>48.623328000000001</v>
      </c>
      <c r="V55" s="50">
        <f>E55*G55*(1-N55)*O55/100*(R55+S55)/1000000</f>
        <v>3.9424320000000002</v>
      </c>
      <c r="W55" s="50">
        <f>+'[1]11'!K34/1000</f>
        <v>51.335000000000001</v>
      </c>
      <c r="X55" s="51">
        <f>SUM(W55:W58)/SUM(K55:K58)</f>
        <v>0.97658627973798917</v>
      </c>
      <c r="Y55" s="52">
        <v>0</v>
      </c>
      <c r="Z55" s="50">
        <f>+'[1]11'!D34/1000</f>
        <v>0.46400000000000002</v>
      </c>
      <c r="AA55" s="53">
        <f>SUM(U55:U58)-SUM(W55:W58)-SUM(Z55:Z58)-SUM(Y55:Y58)</f>
        <v>-3.1756720000000001</v>
      </c>
      <c r="AB55" s="53">
        <f>(SUM(K55:K58)-SUM(W55:W58)-SUM(Y55:Y58)-SUM(Z55:Z58)-SUM(AC55:AC58)-SUM(V55:V58))-AA55</f>
        <v>-3.5527136788005009E-15</v>
      </c>
      <c r="AC55" s="50">
        <f>K55-T55</f>
        <v>0</v>
      </c>
      <c r="AD55" s="50">
        <f>+AM55+BA55</f>
        <v>5</v>
      </c>
      <c r="AE55" s="101" t="s">
        <v>116</v>
      </c>
      <c r="AF55" s="50">
        <v>5</v>
      </c>
      <c r="AG55" s="50"/>
      <c r="AH55" s="50"/>
      <c r="AI55" s="54"/>
      <c r="AJ55" s="50"/>
      <c r="AK55" s="50"/>
      <c r="AL55" s="50"/>
      <c r="AM55" s="50">
        <f>SUM(AF55:AL55)+AT55+AV55+AX55</f>
        <v>5</v>
      </c>
      <c r="AN55" s="50"/>
      <c r="AO55" s="50"/>
      <c r="AP55" s="50"/>
      <c r="AQ55" s="50"/>
      <c r="AR55" s="50">
        <f>SUM(AN55:AQ55)</f>
        <v>0</v>
      </c>
      <c r="AS55" s="50"/>
      <c r="AT55" s="50"/>
      <c r="AU55" s="50"/>
      <c r="AV55" s="50"/>
      <c r="AW55" s="50"/>
      <c r="AX55" s="50"/>
      <c r="AY55" s="50"/>
      <c r="AZ55" s="50"/>
      <c r="BA55" s="50">
        <f>+AR55+AS55+AU55+AW55+AY55+AZ55</f>
        <v>0</v>
      </c>
      <c r="BB55" s="124">
        <v>1</v>
      </c>
      <c r="BC55" s="116"/>
      <c r="BD55" s="116"/>
      <c r="BE55" s="124"/>
      <c r="BF55" s="116"/>
    </row>
    <row r="56" spans="1:58" ht="12.95" customHeight="1" x14ac:dyDescent="0.2">
      <c r="A56" s="117"/>
      <c r="B56" s="118"/>
      <c r="C56" s="119"/>
      <c r="D56" s="118"/>
      <c r="E56" s="37"/>
      <c r="F56" s="37"/>
      <c r="G56" s="127"/>
      <c r="H56" s="121"/>
      <c r="I56" s="45"/>
      <c r="J56" s="46"/>
      <c r="K56" s="46"/>
      <c r="L56" s="122"/>
      <c r="M56" s="122"/>
      <c r="N56" s="47"/>
      <c r="O56" s="48"/>
      <c r="P56" s="49"/>
      <c r="Q56" s="48"/>
      <c r="R56" s="123"/>
      <c r="S56" s="123"/>
      <c r="T56" s="50"/>
      <c r="U56" s="50"/>
      <c r="V56" s="50"/>
      <c r="W56" s="50"/>
      <c r="X56" s="55"/>
      <c r="Y56" s="52"/>
      <c r="Z56" s="50"/>
      <c r="AA56" s="50"/>
      <c r="AB56" s="50"/>
      <c r="AC56" s="50"/>
      <c r="AD56" s="50">
        <f>+AM56+BA56</f>
        <v>9</v>
      </c>
      <c r="AE56" s="101" t="s">
        <v>117</v>
      </c>
      <c r="AF56" s="50"/>
      <c r="AG56" s="50">
        <v>9</v>
      </c>
      <c r="AH56" s="50"/>
      <c r="AI56" s="54"/>
      <c r="AJ56" s="50"/>
      <c r="AK56" s="50"/>
      <c r="AL56" s="50"/>
      <c r="AM56" s="50">
        <f>SUM(AF56:AL56)+AT56+AV56+AX56</f>
        <v>9</v>
      </c>
      <c r="AN56" s="125"/>
      <c r="AO56" s="50"/>
      <c r="AP56" s="50"/>
      <c r="AQ56" s="50"/>
      <c r="AR56" s="50">
        <f>SUM(AN56:AQ56)</f>
        <v>0</v>
      </c>
      <c r="AS56" s="50"/>
      <c r="AT56" s="50"/>
      <c r="AU56" s="50"/>
      <c r="AV56" s="50"/>
      <c r="AW56" s="50"/>
      <c r="AX56" s="50"/>
      <c r="AY56" s="50"/>
      <c r="AZ56" s="50"/>
      <c r="BA56" s="50">
        <f>+AR56+AS56+AU56+AW56+AY56+AZ56</f>
        <v>0</v>
      </c>
      <c r="BB56" s="126"/>
      <c r="BC56" s="116">
        <v>9</v>
      </c>
      <c r="BD56" s="116"/>
      <c r="BE56" s="126"/>
      <c r="BF56" s="116"/>
    </row>
    <row r="57" spans="1:58" ht="12.95" customHeight="1" x14ac:dyDescent="0.2">
      <c r="A57" s="117"/>
      <c r="B57" s="118"/>
      <c r="C57" s="119"/>
      <c r="D57" s="118"/>
      <c r="E57" s="37"/>
      <c r="F57" s="37"/>
      <c r="G57" s="127"/>
      <c r="H57" s="121"/>
      <c r="I57" s="45"/>
      <c r="J57" s="46"/>
      <c r="K57" s="46"/>
      <c r="L57" s="122"/>
      <c r="M57" s="122"/>
      <c r="N57" s="47"/>
      <c r="O57" s="48"/>
      <c r="P57" s="49"/>
      <c r="Q57" s="48"/>
      <c r="R57" s="123"/>
      <c r="S57" s="123"/>
      <c r="T57" s="50"/>
      <c r="U57" s="50"/>
      <c r="V57" s="50"/>
      <c r="W57" s="50"/>
      <c r="X57" s="55"/>
      <c r="Y57" s="52"/>
      <c r="Z57" s="50"/>
      <c r="AA57" s="50"/>
      <c r="AB57" s="50"/>
      <c r="AC57" s="50"/>
      <c r="AD57" s="50">
        <f>+AM57+BA57</f>
        <v>19</v>
      </c>
      <c r="AE57" s="101" t="s">
        <v>207</v>
      </c>
      <c r="AF57" s="124"/>
      <c r="AG57" s="124"/>
      <c r="AH57" s="124">
        <v>19</v>
      </c>
      <c r="AI57" s="54"/>
      <c r="AJ57" s="50"/>
      <c r="AK57" s="50"/>
      <c r="AL57" s="50"/>
      <c r="AM57" s="50">
        <f>SUM(AF57:AL57)+AT57+AV57+AX57</f>
        <v>19</v>
      </c>
      <c r="AN57" s="50"/>
      <c r="AO57" s="50"/>
      <c r="AP57" s="50"/>
      <c r="AQ57" s="50"/>
      <c r="AR57" s="50">
        <f>SUM(AN57:AQ57)</f>
        <v>0</v>
      </c>
      <c r="AS57" s="50"/>
      <c r="AT57" s="50"/>
      <c r="AU57" s="50"/>
      <c r="AV57" s="50"/>
      <c r="AW57" s="50"/>
      <c r="AX57" s="50"/>
      <c r="AY57" s="50"/>
      <c r="AZ57" s="50"/>
      <c r="BA57" s="50">
        <f>+AR57+AS57+AU57+AW57+AY57+AZ57</f>
        <v>0</v>
      </c>
      <c r="BB57" s="124"/>
      <c r="BC57" s="146"/>
      <c r="BD57" s="146"/>
      <c r="BE57" s="124"/>
      <c r="BF57" s="146"/>
    </row>
    <row r="58" spans="1:58" ht="12.95" customHeight="1" x14ac:dyDescent="0.2">
      <c r="A58" s="117"/>
      <c r="B58" s="118"/>
      <c r="C58" s="119"/>
      <c r="D58" s="118"/>
      <c r="E58" s="37"/>
      <c r="F58" s="37"/>
      <c r="G58" s="120"/>
      <c r="H58" s="121"/>
      <c r="I58" s="45"/>
      <c r="J58" s="46"/>
      <c r="K58" s="46"/>
      <c r="L58" s="122"/>
      <c r="M58" s="122"/>
      <c r="N58" s="47"/>
      <c r="O58" s="48"/>
      <c r="P58" s="49"/>
      <c r="Q58" s="48"/>
      <c r="R58" s="123"/>
      <c r="S58" s="123"/>
      <c r="T58" s="50"/>
      <c r="U58" s="50"/>
      <c r="V58" s="50"/>
      <c r="W58" s="50"/>
      <c r="X58" s="51"/>
      <c r="Y58" s="52"/>
      <c r="Z58" s="50"/>
      <c r="AA58" s="53"/>
      <c r="AB58" s="53"/>
      <c r="AC58" s="50"/>
      <c r="AD58" s="50">
        <f>+AM58+BA58</f>
        <v>75</v>
      </c>
      <c r="AE58" s="148" t="s">
        <v>225</v>
      </c>
      <c r="AF58" s="50"/>
      <c r="AG58" s="50"/>
      <c r="AH58" s="124"/>
      <c r="AI58" s="54"/>
      <c r="AJ58" s="50"/>
      <c r="AK58" s="50"/>
      <c r="AL58" s="50"/>
      <c r="AM58" s="50">
        <f>SUM(AF58:AL58)+AT58+AV58+AX58</f>
        <v>0</v>
      </c>
      <c r="AN58" s="50"/>
      <c r="AO58" s="50"/>
      <c r="AP58" s="50"/>
      <c r="AQ58" s="50"/>
      <c r="AR58" s="50">
        <f>SUM(AN58:AQ58)</f>
        <v>0</v>
      </c>
      <c r="AS58" s="50"/>
      <c r="AT58" s="50"/>
      <c r="AU58" s="50"/>
      <c r="AV58" s="50"/>
      <c r="AW58" s="50"/>
      <c r="AX58" s="50"/>
      <c r="AY58" s="50">
        <v>75</v>
      </c>
      <c r="AZ58" s="50"/>
      <c r="BA58" s="50">
        <f>+AR58+AS58+AU58+AW58+AY58+AZ58</f>
        <v>75</v>
      </c>
      <c r="BB58" s="124"/>
      <c r="BC58" s="146"/>
      <c r="BD58" s="146"/>
      <c r="BE58" s="124">
        <v>1</v>
      </c>
      <c r="BF58" s="146"/>
    </row>
    <row r="59" spans="1:58" ht="12.95" customHeight="1" x14ac:dyDescent="0.2">
      <c r="A59" s="117"/>
      <c r="B59" s="118"/>
      <c r="C59" s="119"/>
      <c r="D59" s="118"/>
      <c r="E59" s="37"/>
      <c r="F59" s="37"/>
      <c r="G59" s="127"/>
      <c r="H59" s="121"/>
      <c r="I59" s="45"/>
      <c r="J59" s="46"/>
      <c r="K59" s="46"/>
      <c r="L59" s="122"/>
      <c r="M59" s="122"/>
      <c r="N59" s="47"/>
      <c r="O59" s="48"/>
      <c r="P59" s="49"/>
      <c r="Q59" s="48"/>
      <c r="R59" s="123"/>
      <c r="S59" s="123"/>
      <c r="T59" s="50"/>
      <c r="U59" s="50"/>
      <c r="V59" s="50"/>
      <c r="W59" s="50"/>
      <c r="X59" s="55"/>
      <c r="Y59" s="52"/>
      <c r="Z59" s="50"/>
      <c r="AA59" s="50"/>
      <c r="AB59" s="50"/>
      <c r="AC59" s="50"/>
      <c r="AD59" s="50"/>
      <c r="AE59" s="101"/>
      <c r="AF59" s="124"/>
      <c r="AG59" s="124"/>
      <c r="AH59" s="124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124"/>
      <c r="BC59" s="146"/>
      <c r="BD59" s="116"/>
      <c r="BE59" s="116"/>
      <c r="BF59" s="116"/>
    </row>
    <row r="60" spans="1:58" ht="12.95" customHeight="1" x14ac:dyDescent="0.2">
      <c r="A60" s="117">
        <v>45973</v>
      </c>
      <c r="B60" s="234" t="s">
        <v>211</v>
      </c>
      <c r="C60" s="119">
        <f>(M60*E60*O60*Q60)/100000000</f>
        <v>17.354484837209302</v>
      </c>
      <c r="D60" s="118" t="s">
        <v>175</v>
      </c>
      <c r="E60" s="37">
        <v>13</v>
      </c>
      <c r="F60" s="37">
        <v>1</v>
      </c>
      <c r="G60" s="120">
        <v>1350</v>
      </c>
      <c r="H60" s="121">
        <v>0.2</v>
      </c>
      <c r="I60" s="45">
        <v>0.88</v>
      </c>
      <c r="J60" s="46">
        <f>E60*G60*(1-H60)*1440/1000000*2.77</f>
        <v>56.002752000000001</v>
      </c>
      <c r="K60" s="46">
        <f>(IF(G60&lt;L60,L60,G60)*(1-IF(H60&lt;N60,H60,N60))*E60*O60*Q60)/100000000</f>
        <v>17.354484837209302</v>
      </c>
      <c r="L60" s="122">
        <v>1350</v>
      </c>
      <c r="M60" s="122">
        <v>1080</v>
      </c>
      <c r="N60" s="47">
        <f>1-(M60/L60)</f>
        <v>0.19999999999999996</v>
      </c>
      <c r="O60" s="48">
        <f>+'[1]Trim Rwd'!H50</f>
        <v>266.39534883720933</v>
      </c>
      <c r="P60" s="49">
        <f>O60*(Q60-R60-S60)</f>
        <v>121209.88372093024</v>
      </c>
      <c r="Q60" s="48">
        <v>464</v>
      </c>
      <c r="R60" s="123">
        <v>0</v>
      </c>
      <c r="S60" s="123">
        <v>9</v>
      </c>
      <c r="T60" s="50">
        <f>E60*M60*O60*Q60/100000000</f>
        <v>17.354484837209302</v>
      </c>
      <c r="U60" s="50">
        <f>E60*M60*O60*(Q60-R60-S60)/100000000</f>
        <v>17.017867674418603</v>
      </c>
      <c r="V60" s="50">
        <f>E60*G60*(1-N60)*O60/100*(R60+S60)/1000000</f>
        <v>0.3366171627906977</v>
      </c>
      <c r="W60" s="50">
        <f>+'[1]12'!K17/1000</f>
        <v>27.731000000000002</v>
      </c>
      <c r="X60" s="51">
        <f>SUM(W60:W63)/SUM(K60:K63)</f>
        <v>0.84842955816779531</v>
      </c>
      <c r="Y60" s="52">
        <v>0</v>
      </c>
      <c r="Z60" s="50">
        <f>+('[1]12'!D7+'[1]12'!D16+'[1]12'!D25)/1000</f>
        <v>0.505</v>
      </c>
      <c r="AA60" s="53">
        <f>SUM(U60:U63)-SUM(W60:W63)-SUM(Z60:Z63)-SUM(Y60:Y63)</f>
        <v>3.6036072606254992</v>
      </c>
      <c r="AB60" s="53">
        <f>(SUM(K60:K63)-SUM(W60:W63)-SUM(Y60:Y63)-SUM(Z60:Z63)-SUM(AC60:AC63)-SUM(V60:V63))-AA60</f>
        <v>-3.4427586206888794E-2</v>
      </c>
      <c r="AC60" s="50">
        <f>K60-T60</f>
        <v>0</v>
      </c>
      <c r="AD60" s="50">
        <f>+AM60+BA60</f>
        <v>0</v>
      </c>
      <c r="AE60" s="101" t="s">
        <v>110</v>
      </c>
      <c r="AF60" s="50">
        <v>0</v>
      </c>
      <c r="AG60" s="50"/>
      <c r="AH60" s="50"/>
      <c r="AI60" s="54"/>
      <c r="AJ60" s="50"/>
      <c r="AK60" s="50"/>
      <c r="AL60" s="50"/>
      <c r="AM60" s="50">
        <f>SUM(AF60:AL60)+AT60+AV60+AX60</f>
        <v>0</v>
      </c>
      <c r="AN60" s="50"/>
      <c r="AO60" s="50"/>
      <c r="AP60" s="50"/>
      <c r="AQ60" s="50"/>
      <c r="AR60" s="50">
        <f>SUM(AN60:AQ60)</f>
        <v>0</v>
      </c>
      <c r="AS60" s="50"/>
      <c r="AT60" s="50"/>
      <c r="AU60" s="50"/>
      <c r="AV60" s="50"/>
      <c r="AW60" s="50"/>
      <c r="AX60" s="50"/>
      <c r="AY60" s="50"/>
      <c r="AZ60" s="50"/>
      <c r="BA60" s="50">
        <f>+AR60+AS60+AU60+AW60+AY60+AZ60</f>
        <v>0</v>
      </c>
      <c r="BB60" s="124">
        <v>0</v>
      </c>
      <c r="BC60" s="116"/>
      <c r="BD60" s="116"/>
      <c r="BE60" s="124"/>
      <c r="BF60" s="116"/>
    </row>
    <row r="61" spans="1:58" ht="12.95" customHeight="1" x14ac:dyDescent="0.2">
      <c r="A61" s="117"/>
      <c r="B61" s="234" t="s">
        <v>211</v>
      </c>
      <c r="C61" s="119">
        <f t="shared" ref="C61:C62" si="8">(M61*E61*O61*Q61)/100000000</f>
        <v>15.829632000000002</v>
      </c>
      <c r="D61" s="118" t="s">
        <v>175</v>
      </c>
      <c r="E61" s="37">
        <v>14</v>
      </c>
      <c r="F61" s="37">
        <v>1</v>
      </c>
      <c r="G61" s="120">
        <v>1350</v>
      </c>
      <c r="H61" s="121">
        <v>0.2</v>
      </c>
      <c r="I61" s="45">
        <v>0.88</v>
      </c>
      <c r="J61" s="46">
        <f t="shared" ref="J61:J62" si="9">E61*G61*(1-H61)*1440/1000000*2.77</f>
        <v>60.310656000000002</v>
      </c>
      <c r="K61" s="46">
        <f t="shared" ref="K61:K62" si="10">(IF(G61&lt;L61,L61,G61)*(1-IF(H61&lt;N61,H61,N61))*E61*O61*Q61)/100000000</f>
        <v>15.960672000000004</v>
      </c>
      <c r="L61" s="122">
        <v>1338.9162561576354</v>
      </c>
      <c r="M61" s="122">
        <v>1071.1330049261085</v>
      </c>
      <c r="N61" s="47">
        <f t="shared" ref="N61:N62" si="11">1-(M61/L61)</f>
        <v>0.19999999999999984</v>
      </c>
      <c r="O61" s="48">
        <f>+'[1]Trim Rwd'!H52</f>
        <v>260</v>
      </c>
      <c r="P61" s="49">
        <f t="shared" ref="P61:P62" si="12">O61*(Q61-R61-S61)</f>
        <v>102960</v>
      </c>
      <c r="Q61" s="48">
        <v>406</v>
      </c>
      <c r="R61" s="123">
        <v>0</v>
      </c>
      <c r="S61" s="123">
        <v>10</v>
      </c>
      <c r="T61" s="50">
        <f t="shared" ref="T61:T62" si="13">E61*M61*O61*Q61/100000000</f>
        <v>15.829632000000002</v>
      </c>
      <c r="U61" s="50">
        <f t="shared" ref="U61:U62" si="14">E61*M61*O61*(Q61-R61-S61)/100000000</f>
        <v>15.439739586206899</v>
      </c>
      <c r="V61" s="50">
        <f t="shared" ref="V61:V62" si="15">E61*G61*(1-N61)*O61/100*(R61+S61)/1000000</f>
        <v>0.39312000000000008</v>
      </c>
      <c r="W61" s="50">
        <f>+'[1]12'!K18/1000</f>
        <v>15.617000000000001</v>
      </c>
      <c r="X61" s="55"/>
      <c r="Y61" s="52"/>
      <c r="Z61" s="50">
        <f>+('[1]12'!D17+'[1]12'!D26)/1000</f>
        <v>1.554</v>
      </c>
      <c r="AA61" s="50"/>
      <c r="AB61" s="50"/>
      <c r="AC61" s="50">
        <f>K61-T61</f>
        <v>0.13104000000000227</v>
      </c>
      <c r="AD61" s="50">
        <f>+AM61+BA61</f>
        <v>9</v>
      </c>
      <c r="AE61" s="101" t="s">
        <v>129</v>
      </c>
      <c r="AF61" s="50"/>
      <c r="AG61" s="50">
        <v>9</v>
      </c>
      <c r="AH61" s="50"/>
      <c r="AI61" s="54"/>
      <c r="AJ61" s="50"/>
      <c r="AK61" s="50"/>
      <c r="AL61" s="50"/>
      <c r="AM61" s="50">
        <f>SUM(AF61:AL61)+AT61+AV61+AX61</f>
        <v>9</v>
      </c>
      <c r="AN61" s="125"/>
      <c r="AO61" s="50"/>
      <c r="AP61" s="50"/>
      <c r="AQ61" s="50"/>
      <c r="AR61" s="50">
        <f>SUM(AN61:AQ61)</f>
        <v>0</v>
      </c>
      <c r="AS61" s="50"/>
      <c r="AT61" s="50"/>
      <c r="AU61" s="50"/>
      <c r="AV61" s="50"/>
      <c r="AW61" s="50"/>
      <c r="AX61" s="50"/>
      <c r="AY61" s="50"/>
      <c r="AZ61" s="50"/>
      <c r="BA61" s="50">
        <f>+AR61+AS61+AU61+AW61+AY61+AZ61</f>
        <v>0</v>
      </c>
      <c r="BB61" s="126"/>
      <c r="BC61" s="116">
        <v>8</v>
      </c>
      <c r="BD61" s="116"/>
      <c r="BE61" s="126"/>
      <c r="BF61" s="116"/>
    </row>
    <row r="62" spans="1:58" ht="12.95" customHeight="1" x14ac:dyDescent="0.2">
      <c r="A62" s="117"/>
      <c r="B62" s="234" t="s">
        <v>211</v>
      </c>
      <c r="C62" s="119">
        <f t="shared" si="8"/>
        <v>22.23</v>
      </c>
      <c r="D62" s="118" t="s">
        <v>175</v>
      </c>
      <c r="E62" s="37">
        <v>15</v>
      </c>
      <c r="F62" s="37">
        <v>1</v>
      </c>
      <c r="G62" s="120">
        <v>1350</v>
      </c>
      <c r="H62" s="121">
        <v>0.2</v>
      </c>
      <c r="I62" s="45">
        <v>0.88</v>
      </c>
      <c r="J62" s="46">
        <f t="shared" si="9"/>
        <v>64.618560000000002</v>
      </c>
      <c r="K62" s="46">
        <f t="shared" si="10"/>
        <v>24.008400000000002</v>
      </c>
      <c r="L62" s="122">
        <v>1250</v>
      </c>
      <c r="M62" s="122">
        <f t="shared" ref="M62" si="16">+L62-L62*0.2</f>
        <v>1000</v>
      </c>
      <c r="N62" s="47">
        <f t="shared" si="11"/>
        <v>0.19999999999999996</v>
      </c>
      <c r="O62" s="48">
        <f>+'[1]Trim Rwd'!H53</f>
        <v>260</v>
      </c>
      <c r="P62" s="49">
        <f t="shared" si="12"/>
        <v>145600</v>
      </c>
      <c r="Q62" s="48">
        <v>570</v>
      </c>
      <c r="R62" s="123">
        <v>0</v>
      </c>
      <c r="S62" s="123">
        <v>10</v>
      </c>
      <c r="T62" s="50">
        <f t="shared" si="13"/>
        <v>22.23</v>
      </c>
      <c r="U62" s="50">
        <f t="shared" si="14"/>
        <v>21.84</v>
      </c>
      <c r="V62" s="50">
        <f t="shared" si="15"/>
        <v>0.42120000000000002</v>
      </c>
      <c r="W62" s="50">
        <f>+'[1]12'!K19/1000</f>
        <v>5.2869999999999999</v>
      </c>
      <c r="X62" s="55"/>
      <c r="Y62" s="52"/>
      <c r="Z62" s="50"/>
      <c r="AA62" s="50"/>
      <c r="AB62" s="50"/>
      <c r="AC62" s="50">
        <f>K62-T62</f>
        <v>1.7784000000000013</v>
      </c>
      <c r="AD62" s="50">
        <f>+AM62+BA62</f>
        <v>20</v>
      </c>
      <c r="AE62" s="101" t="s">
        <v>215</v>
      </c>
      <c r="AF62" s="124"/>
      <c r="AG62" s="124"/>
      <c r="AH62" s="124">
        <v>20</v>
      </c>
      <c r="AI62" s="54"/>
      <c r="AJ62" s="50"/>
      <c r="AK62" s="50"/>
      <c r="AL62" s="50"/>
      <c r="AM62" s="50">
        <f>SUM(AF62:AL62)+AT62+AV62+AX62</f>
        <v>20</v>
      </c>
      <c r="AN62" s="50"/>
      <c r="AO62" s="50"/>
      <c r="AP62" s="50"/>
      <c r="AQ62" s="50"/>
      <c r="AR62" s="50">
        <f>SUM(AN62:AQ62)</f>
        <v>0</v>
      </c>
      <c r="AS62" s="50"/>
      <c r="AT62" s="50"/>
      <c r="AU62" s="50"/>
      <c r="AV62" s="50"/>
      <c r="AW62" s="50"/>
      <c r="AX62" s="50"/>
      <c r="AY62" s="50"/>
      <c r="AZ62" s="50"/>
      <c r="BA62" s="50">
        <f>+AR62+AS62+AU62+AW62+AY62+AZ62</f>
        <v>0</v>
      </c>
      <c r="BB62" s="124"/>
      <c r="BC62" s="146"/>
      <c r="BD62" s="146"/>
      <c r="BE62" s="124"/>
      <c r="BF62" s="146"/>
    </row>
    <row r="63" spans="1:58" ht="12.95" customHeight="1" x14ac:dyDescent="0.2">
      <c r="A63" s="117"/>
      <c r="B63" s="118"/>
      <c r="C63" s="119"/>
      <c r="D63" s="118"/>
      <c r="E63" s="37"/>
      <c r="F63" s="37"/>
      <c r="G63" s="120"/>
      <c r="H63" s="121"/>
      <c r="I63" s="45"/>
      <c r="J63" s="46"/>
      <c r="K63" s="46"/>
      <c r="L63" s="122"/>
      <c r="M63" s="122"/>
      <c r="N63" s="47"/>
      <c r="O63" s="48"/>
      <c r="P63" s="49"/>
      <c r="Q63" s="48"/>
      <c r="R63" s="123"/>
      <c r="S63" s="123"/>
      <c r="T63" s="50"/>
      <c r="U63" s="50"/>
      <c r="V63" s="50"/>
      <c r="W63" s="50"/>
      <c r="X63" s="51"/>
      <c r="Y63" s="52"/>
      <c r="Z63" s="50"/>
      <c r="AA63" s="53"/>
      <c r="AB63" s="53"/>
      <c r="AC63" s="50"/>
      <c r="AD63" s="50"/>
      <c r="AE63" s="101"/>
      <c r="AF63" s="50"/>
      <c r="AG63" s="50"/>
      <c r="AH63" s="50"/>
      <c r="AI63" s="54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124"/>
      <c r="BC63" s="116"/>
      <c r="BD63" s="116"/>
      <c r="BE63" s="116"/>
      <c r="BF63" s="116"/>
    </row>
    <row r="64" spans="1:58" ht="12.95" customHeight="1" x14ac:dyDescent="0.2">
      <c r="A64" s="117">
        <v>45974</v>
      </c>
      <c r="B64" s="234" t="s">
        <v>211</v>
      </c>
      <c r="C64" s="119">
        <f t="shared" ref="C64" si="17">(M64*E64*O64*Q64)/100000000</f>
        <v>9.6557661290322585</v>
      </c>
      <c r="D64" s="118" t="s">
        <v>175</v>
      </c>
      <c r="E64" s="37">
        <v>15</v>
      </c>
      <c r="F64" s="37">
        <v>1</v>
      </c>
      <c r="G64" s="120">
        <v>1350</v>
      </c>
      <c r="H64" s="121">
        <v>0.2</v>
      </c>
      <c r="I64" s="45">
        <v>0.88</v>
      </c>
      <c r="J64" s="46">
        <f t="shared" ref="J64" si="18">E64*G64*(1-H64)*1440/1000000*2.77</f>
        <v>64.618560000000002</v>
      </c>
      <c r="K64" s="46">
        <f t="shared" ref="K64" si="19">(IF(G64&lt;L64,L64,G64)*(1-IF(H64&lt;N64,H64,N64))*E64*O64*Q64)/100000000</f>
        <v>10.428227419354839</v>
      </c>
      <c r="L64" s="122">
        <v>1250</v>
      </c>
      <c r="M64" s="122">
        <f>+L64-L64*0.2</f>
        <v>1000</v>
      </c>
      <c r="N64" s="47">
        <f t="shared" ref="N64" si="20">1-(M64/L64)</f>
        <v>0.19999999999999996</v>
      </c>
      <c r="O64" s="48">
        <f>+'[1]Trim Rwd'!H55</f>
        <v>262.74193548387098</v>
      </c>
      <c r="P64" s="49">
        <f t="shared" ref="P64" si="21">O64*(Q64-R64-S64)</f>
        <v>56489.516129032258</v>
      </c>
      <c r="Q64" s="48">
        <v>245</v>
      </c>
      <c r="R64" s="123">
        <v>0</v>
      </c>
      <c r="S64" s="123">
        <v>30</v>
      </c>
      <c r="T64" s="50">
        <f t="shared" ref="T64" si="22">E64*M64*O64*Q64/100000000</f>
        <v>9.6557661290322585</v>
      </c>
      <c r="U64" s="50">
        <f t="shared" ref="U64" si="23">E64*M64*O64*(Q64-R64-S64)/100000000</f>
        <v>8.473427419354838</v>
      </c>
      <c r="V64" s="50">
        <f t="shared" ref="V64" si="24">E64*G64*(1-N64)*O64/100*(R64+S64)/1000000</f>
        <v>1.2769258064516127</v>
      </c>
      <c r="W64" s="50">
        <f>+'[1]13'!K19/1000</f>
        <v>22.652999999999999</v>
      </c>
      <c r="X64" s="51">
        <f>SUM(W64:W68)/SUM(K64:K68)</f>
        <v>0.67228889269173642</v>
      </c>
      <c r="Y64" s="52">
        <v>0</v>
      </c>
      <c r="Z64" s="50">
        <f>+('[1]13'!D7+'[1]13'!D18)/1000</f>
        <v>0.86499999999999999</v>
      </c>
      <c r="AA64" s="53">
        <f>SUM(U64:U68)-SUM(W64:W68)-SUM(Z64:Z68)-SUM(Y64:Y68)</f>
        <v>-8.54636765264517</v>
      </c>
      <c r="AB64" s="53">
        <f>(SUM(K64:K68)-SUM(W64:W68)-SUM(Y64:Y68)-SUM(Z64:Z68)-SUM(AC64:AC68)-SUM(V64:V68))-AA64</f>
        <v>-2.1921714684105442</v>
      </c>
      <c r="AC64" s="50">
        <f>K64-T64</f>
        <v>0.77246129032258004</v>
      </c>
      <c r="AD64" s="50">
        <f>+AM64+BA64</f>
        <v>30</v>
      </c>
      <c r="AE64" s="101" t="s">
        <v>161</v>
      </c>
      <c r="AF64" s="50">
        <v>30</v>
      </c>
      <c r="AG64" s="50"/>
      <c r="AH64" s="50"/>
      <c r="AI64" s="54"/>
      <c r="AJ64" s="50"/>
      <c r="AK64" s="50"/>
      <c r="AL64" s="50"/>
      <c r="AM64" s="50">
        <f>SUM(AF64:AL64)+AT64+AV64+AX64</f>
        <v>30</v>
      </c>
      <c r="AN64" s="50"/>
      <c r="AO64" s="50"/>
      <c r="AP64" s="50"/>
      <c r="AQ64" s="50"/>
      <c r="AR64" s="50">
        <f>SUM(AN64:AQ64)</f>
        <v>0</v>
      </c>
      <c r="AS64" s="50"/>
      <c r="AT64" s="50"/>
      <c r="AU64" s="50"/>
      <c r="AV64" s="50"/>
      <c r="AW64" s="50"/>
      <c r="AX64" s="50"/>
      <c r="AY64" s="50"/>
      <c r="AZ64" s="50"/>
      <c r="BA64" s="50">
        <f>+AR64+AS64+AU64+AW64+AY64+AZ64</f>
        <v>0</v>
      </c>
      <c r="BB64" s="124">
        <v>6</v>
      </c>
      <c r="BC64" s="116"/>
      <c r="BD64" s="116"/>
      <c r="BE64" s="124"/>
      <c r="BF64" s="116"/>
    </row>
    <row r="65" spans="1:58" ht="12.95" customHeight="1" x14ac:dyDescent="0.2">
      <c r="A65" s="117"/>
      <c r="B65" s="118" t="s">
        <v>115</v>
      </c>
      <c r="C65" s="119">
        <f>(M65*E65*O65*Q65)/100000000</f>
        <v>20.74136</v>
      </c>
      <c r="D65" s="118" t="s">
        <v>175</v>
      </c>
      <c r="E65" s="37">
        <v>12.5</v>
      </c>
      <c r="F65" s="37">
        <v>1</v>
      </c>
      <c r="G65" s="120">
        <v>1700</v>
      </c>
      <c r="H65" s="121">
        <v>0.24</v>
      </c>
      <c r="I65" s="45">
        <v>0.88</v>
      </c>
      <c r="J65" s="46">
        <f>E65*G65*(1-H65)*1440/1000000*2.77</f>
        <v>64.419120000000007</v>
      </c>
      <c r="K65" s="46">
        <f>(IF(G65&lt;L65,L65,G65)*(1-IF(H65&lt;N65,H65,N65))*E65*O65*Q65)/100000000</f>
        <v>23.351199999999999</v>
      </c>
      <c r="L65" s="122">
        <v>1510</v>
      </c>
      <c r="M65" s="122">
        <f>+L65-L65*0.2</f>
        <v>1208</v>
      </c>
      <c r="N65" s="47">
        <f>1-(M65/L65)</f>
        <v>0.19999999999999996</v>
      </c>
      <c r="O65" s="48">
        <f>+'[1]Trim Rwd'!H60</f>
        <v>272</v>
      </c>
      <c r="P65" s="49">
        <f>O65*(Q65-R65-S65)</f>
        <v>39440</v>
      </c>
      <c r="Q65" s="48">
        <f>155+350</f>
        <v>505</v>
      </c>
      <c r="R65" s="123">
        <v>350</v>
      </c>
      <c r="S65" s="123">
        <v>10</v>
      </c>
      <c r="T65" s="50">
        <f>E65*M65*O65*Q65/100000000</f>
        <v>20.74136</v>
      </c>
      <c r="U65" s="50">
        <f>E65*M65*O65*(Q65-R65-S65)/100000000</f>
        <v>5.9554400000000003</v>
      </c>
      <c r="V65" s="50">
        <f>E65*G65*(1-N65)*O65/100*(R65+S65)/1000000</f>
        <v>16.6464</v>
      </c>
      <c r="W65" s="50">
        <f>+'[1]13'!K16/1000</f>
        <v>3.234</v>
      </c>
      <c r="X65" s="55"/>
      <c r="Y65" s="52"/>
      <c r="Z65" s="50">
        <v>0</v>
      </c>
      <c r="AA65" s="50"/>
      <c r="AB65" s="50"/>
      <c r="AC65" s="50">
        <f>K65-T65</f>
        <v>2.6098399999999984</v>
      </c>
      <c r="AD65" s="50">
        <f>+AM65+BA65</f>
        <v>10</v>
      </c>
      <c r="AE65" s="101" t="s">
        <v>129</v>
      </c>
      <c r="AF65" s="50"/>
      <c r="AG65" s="50">
        <v>10</v>
      </c>
      <c r="AH65" s="50"/>
      <c r="AI65" s="54"/>
      <c r="AJ65" s="50"/>
      <c r="AK65" s="50"/>
      <c r="AL65" s="50"/>
      <c r="AM65" s="50">
        <f>SUM(AF65:AL65)+AT65+AV65+AX65</f>
        <v>10</v>
      </c>
      <c r="AN65" s="125"/>
      <c r="AO65" s="50"/>
      <c r="AP65" s="50"/>
      <c r="AQ65" s="50"/>
      <c r="AR65" s="50">
        <f>SUM(AN65:AQ65)</f>
        <v>0</v>
      </c>
      <c r="AS65" s="50"/>
      <c r="AT65" s="50"/>
      <c r="AU65" s="50"/>
      <c r="AV65" s="50"/>
      <c r="AW65" s="50"/>
      <c r="AX65" s="50"/>
      <c r="AY65" s="50"/>
      <c r="AZ65" s="50"/>
      <c r="BA65" s="50">
        <f>+AR65+AS65+AU65+AW65+AY65+AZ65</f>
        <v>0</v>
      </c>
      <c r="BB65" s="126"/>
      <c r="BC65" s="116">
        <v>8</v>
      </c>
      <c r="BD65" s="116"/>
      <c r="BE65" s="126"/>
      <c r="BF65" s="116"/>
    </row>
    <row r="66" spans="1:58" ht="12.95" customHeight="1" x14ac:dyDescent="0.2">
      <c r="A66" s="117"/>
      <c r="B66" s="118" t="s">
        <v>115</v>
      </c>
      <c r="C66" s="119">
        <f>(M66*E66*O66*Q66)/100000000</f>
        <v>22.44426756</v>
      </c>
      <c r="D66" s="118" t="s">
        <v>175</v>
      </c>
      <c r="E66" s="37">
        <v>13</v>
      </c>
      <c r="F66" s="37">
        <v>1</v>
      </c>
      <c r="G66" s="120">
        <v>1700</v>
      </c>
      <c r="H66" s="121">
        <v>0.24</v>
      </c>
      <c r="I66" s="45">
        <v>0.88</v>
      </c>
      <c r="J66" s="46">
        <f>E66*G66*(1-H66)*1440/1000000*2.77</f>
        <v>66.995884799999999</v>
      </c>
      <c r="K66" s="46">
        <f>(IF(G66&lt;L66,L66,G66)*(1-IF(H66&lt;N66,H66,N66))*E66*O66*Q66)/100000000</f>
        <v>31.533268472727265</v>
      </c>
      <c r="L66" s="122">
        <v>1210</v>
      </c>
      <c r="M66" s="122">
        <f>+L66-L66*0.24</f>
        <v>919.6</v>
      </c>
      <c r="N66" s="47">
        <f>1-(M66/L66)</f>
        <v>0.24</v>
      </c>
      <c r="O66" s="48">
        <f>+'[1]Trim Rwd'!H61</f>
        <v>272.09090909090907</v>
      </c>
      <c r="P66" s="49">
        <f>O66*(Q66-R66-S66)</f>
        <v>182845.09090909088</v>
      </c>
      <c r="Q66" s="48">
        <v>690</v>
      </c>
      <c r="R66" s="123">
        <v>0</v>
      </c>
      <c r="S66" s="123">
        <v>18</v>
      </c>
      <c r="T66" s="50">
        <f>E66*M66*O66*Q66/100000000</f>
        <v>22.44426756</v>
      </c>
      <c r="U66" s="50">
        <f>E66*M66*O66*(Q66-R66-S66)/100000000</f>
        <v>21.858764927999996</v>
      </c>
      <c r="V66" s="50">
        <f>E66*G66*(1-N66)*O66/100*(R66+S66)/1000000</f>
        <v>0.82260700363636352</v>
      </c>
      <c r="W66" s="50">
        <f>+'[1]13'!K15/1000</f>
        <v>16.794</v>
      </c>
      <c r="X66" s="55"/>
      <c r="Y66" s="52"/>
      <c r="Z66" s="50">
        <v>0</v>
      </c>
      <c r="AA66" s="50"/>
      <c r="AB66" s="50"/>
      <c r="AC66" s="50">
        <f>K66-T66</f>
        <v>9.0890009127272648</v>
      </c>
      <c r="AD66" s="50">
        <f>+AM66+BA66</f>
        <v>18</v>
      </c>
      <c r="AE66" s="101" t="s">
        <v>112</v>
      </c>
      <c r="AF66" s="124"/>
      <c r="AG66" s="124"/>
      <c r="AH66" s="124">
        <v>18</v>
      </c>
      <c r="AI66" s="54"/>
      <c r="AJ66" s="50"/>
      <c r="AK66" s="50"/>
      <c r="AL66" s="50"/>
      <c r="AM66" s="50">
        <f>SUM(AF66:AL66)+AT66+AV66+AX66</f>
        <v>18</v>
      </c>
      <c r="AN66" s="50"/>
      <c r="AO66" s="50"/>
      <c r="AP66" s="50"/>
      <c r="AQ66" s="50"/>
      <c r="AR66" s="50">
        <f>SUM(AN66:AQ66)</f>
        <v>0</v>
      </c>
      <c r="AS66" s="50"/>
      <c r="AT66" s="50"/>
      <c r="AU66" s="50"/>
      <c r="AV66" s="50"/>
      <c r="AW66" s="50"/>
      <c r="AX66" s="50"/>
      <c r="AY66" s="50"/>
      <c r="AZ66" s="50"/>
      <c r="BA66" s="50">
        <f>+AR66+AS66+AU66+AW66+AY66+AZ66</f>
        <v>0</v>
      </c>
      <c r="BB66" s="124"/>
      <c r="BC66" s="146"/>
      <c r="BD66" s="146"/>
      <c r="BE66" s="124"/>
      <c r="BF66" s="146"/>
    </row>
    <row r="67" spans="1:58" ht="12.95" customHeight="1" x14ac:dyDescent="0.2">
      <c r="A67" s="117"/>
      <c r="B67" s="234" t="s">
        <v>211</v>
      </c>
      <c r="C67" s="119"/>
      <c r="D67" s="118"/>
      <c r="E67" s="37">
        <v>13</v>
      </c>
      <c r="F67" s="37"/>
      <c r="G67" s="120"/>
      <c r="H67" s="121"/>
      <c r="I67" s="45"/>
      <c r="J67" s="46"/>
      <c r="K67" s="46"/>
      <c r="L67" s="122"/>
      <c r="M67" s="122"/>
      <c r="N67" s="47"/>
      <c r="O67" s="48"/>
      <c r="P67" s="49"/>
      <c r="Q67" s="48"/>
      <c r="R67" s="123"/>
      <c r="S67" s="123"/>
      <c r="T67" s="50"/>
      <c r="U67" s="50"/>
      <c r="V67" s="50"/>
      <c r="W67" s="50">
        <f>+'[1]13'!K17/1000</f>
        <v>0.39100000000000001</v>
      </c>
      <c r="X67" s="51"/>
      <c r="Y67" s="52"/>
      <c r="Z67" s="50">
        <f>+'[1]13'!D16/1000</f>
        <v>0.06</v>
      </c>
      <c r="AA67" s="53"/>
      <c r="AB67" s="53"/>
      <c r="AC67" s="50"/>
      <c r="AD67" s="50">
        <f>+AM67+BA67</f>
        <v>350</v>
      </c>
      <c r="AE67" s="148" t="s">
        <v>226</v>
      </c>
      <c r="AF67" s="50"/>
      <c r="AG67" s="50"/>
      <c r="AH67" s="50"/>
      <c r="AI67" s="54"/>
      <c r="AJ67" s="50"/>
      <c r="AK67" s="50"/>
      <c r="AL67" s="50"/>
      <c r="AM67" s="50">
        <f>SUM(AF67:AL67)+AT67+AV67+AX67</f>
        <v>0</v>
      </c>
      <c r="AN67" s="50">
        <v>350</v>
      </c>
      <c r="AO67" s="50"/>
      <c r="AP67" s="50"/>
      <c r="AQ67" s="50"/>
      <c r="AR67" s="50">
        <f>SUM(AN67:AQ67)</f>
        <v>350</v>
      </c>
      <c r="AS67" s="50"/>
      <c r="AT67" s="50"/>
      <c r="AU67" s="50"/>
      <c r="AV67" s="50"/>
      <c r="AW67" s="50"/>
      <c r="AX67" s="50"/>
      <c r="AY67" s="50"/>
      <c r="AZ67" s="50"/>
      <c r="BA67" s="50">
        <f>+AR67+AS67+AU67+AW67+AY67+AZ67</f>
        <v>350</v>
      </c>
      <c r="BB67" s="124"/>
      <c r="BC67" s="146"/>
      <c r="BD67" s="146"/>
      <c r="BE67" s="124"/>
      <c r="BF67" s="146"/>
    </row>
    <row r="68" spans="1:58" ht="12.95" customHeight="1" x14ac:dyDescent="0.2">
      <c r="A68" s="117"/>
      <c r="B68" s="234" t="s">
        <v>211</v>
      </c>
      <c r="C68" s="119"/>
      <c r="D68" s="118"/>
      <c r="E68" s="37">
        <v>14</v>
      </c>
      <c r="F68" s="37"/>
      <c r="G68" s="120"/>
      <c r="H68" s="121"/>
      <c r="I68" s="45"/>
      <c r="J68" s="46"/>
      <c r="K68" s="46"/>
      <c r="L68" s="122"/>
      <c r="M68" s="122"/>
      <c r="N68" s="47"/>
      <c r="O68" s="48"/>
      <c r="P68" s="49"/>
      <c r="Q68" s="48"/>
      <c r="R68" s="123"/>
      <c r="S68" s="123"/>
      <c r="T68" s="50"/>
      <c r="U68" s="50"/>
      <c r="V68" s="50"/>
      <c r="W68" s="50">
        <f>+'[1]13'!K18/1000</f>
        <v>0.83699999999999997</v>
      </c>
      <c r="X68" s="51"/>
      <c r="Y68" s="52"/>
      <c r="Z68" s="50"/>
      <c r="AA68" s="53"/>
      <c r="AB68" s="53"/>
      <c r="AC68" s="50"/>
      <c r="AD68" s="50"/>
      <c r="AE68" s="101"/>
      <c r="AF68" s="50"/>
      <c r="AG68" s="50"/>
      <c r="AH68" s="50"/>
      <c r="AI68" s="54"/>
      <c r="AJ68" s="50"/>
      <c r="AK68" s="50"/>
      <c r="AL68" s="50"/>
      <c r="AM68" s="50"/>
      <c r="AN68" s="125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126"/>
      <c r="BC68" s="116"/>
      <c r="BD68" s="116"/>
      <c r="BE68" s="116"/>
      <c r="BF68" s="116"/>
    </row>
    <row r="69" spans="1:58" ht="12.95" customHeight="1" x14ac:dyDescent="0.2">
      <c r="A69" s="117"/>
      <c r="B69" s="118"/>
      <c r="C69" s="119"/>
      <c r="D69" s="118"/>
      <c r="E69" s="37"/>
      <c r="F69" s="37"/>
      <c r="G69" s="127"/>
      <c r="H69" s="121"/>
      <c r="I69" s="45"/>
      <c r="J69" s="46"/>
      <c r="K69" s="46"/>
      <c r="L69" s="122"/>
      <c r="M69" s="122"/>
      <c r="N69" s="47"/>
      <c r="O69" s="48"/>
      <c r="P69" s="49"/>
      <c r="Q69" s="48"/>
      <c r="R69" s="123"/>
      <c r="S69" s="123"/>
      <c r="T69" s="50"/>
      <c r="U69" s="50"/>
      <c r="V69" s="50"/>
      <c r="W69" s="50"/>
      <c r="X69" s="55"/>
      <c r="Y69" s="52"/>
      <c r="Z69" s="50"/>
      <c r="AA69" s="50"/>
      <c r="AB69" s="50"/>
      <c r="AC69" s="50"/>
      <c r="AD69" s="50"/>
      <c r="AE69" s="101"/>
      <c r="AF69" s="124"/>
      <c r="AG69" s="124"/>
      <c r="AH69" s="124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124"/>
      <c r="BC69" s="146"/>
      <c r="BD69" s="116"/>
      <c r="BE69" s="116"/>
      <c r="BF69" s="116"/>
    </row>
    <row r="70" spans="1:58" ht="12.95" customHeight="1" x14ac:dyDescent="0.2">
      <c r="A70" s="117">
        <v>45975</v>
      </c>
      <c r="B70" s="118" t="s">
        <v>115</v>
      </c>
      <c r="C70" s="119">
        <f>(M70*E70*O70*Q70)/100000000</f>
        <v>7.4065765800000003</v>
      </c>
      <c r="D70" s="118" t="s">
        <v>175</v>
      </c>
      <c r="E70" s="37">
        <v>13</v>
      </c>
      <c r="F70" s="37">
        <v>1</v>
      </c>
      <c r="G70" s="120">
        <v>1700</v>
      </c>
      <c r="H70" s="121">
        <v>0.24</v>
      </c>
      <c r="I70" s="45">
        <v>0.88</v>
      </c>
      <c r="J70" s="46">
        <f>E70*G70*(1-H70)*1440/1000000*2.77</f>
        <v>66.995884799999999</v>
      </c>
      <c r="K70" s="46">
        <f>(IF(G70&lt;L70,L70,G70)*(1-IF(H70&lt;N70,H70,N70))*E70*O70*Q70)/100000000</f>
        <v>9.6855232200000003</v>
      </c>
      <c r="L70" s="122">
        <v>1300</v>
      </c>
      <c r="M70" s="122">
        <v>988</v>
      </c>
      <c r="N70" s="47">
        <f>1-(M70/L70)</f>
        <v>0.24</v>
      </c>
      <c r="O70" s="48">
        <f>+'[1]Trim Rwd'!H64</f>
        <v>270.73076923076923</v>
      </c>
      <c r="P70" s="49">
        <f>O70*(Q70-R70-S70)</f>
        <v>50897.384615384617</v>
      </c>
      <c r="Q70" s="48">
        <v>213</v>
      </c>
      <c r="R70" s="123">
        <v>0</v>
      </c>
      <c r="S70" s="123">
        <v>25</v>
      </c>
      <c r="T70" s="50">
        <f>E70*M70*O70*Q70/100000000</f>
        <v>7.4065765800000003</v>
      </c>
      <c r="U70" s="50">
        <f>E70*M70*O70*(Q70-R70-S70)/100000000</f>
        <v>6.5372600800000003</v>
      </c>
      <c r="V70" s="50">
        <f>E70*G70*(1-N70)*O70/100*(R70+S70)/1000000</f>
        <v>1.1367985</v>
      </c>
      <c r="W70" s="50">
        <f>+'[1]14'!K15/1000</f>
        <v>13.164999999999999</v>
      </c>
      <c r="X70" s="51">
        <f>SUM(W70:W73)/SUM(K70:K73)</f>
        <v>0.76772461676314663</v>
      </c>
      <c r="Y70" s="52">
        <v>0</v>
      </c>
      <c r="Z70" s="50">
        <v>0</v>
      </c>
      <c r="AA70" s="53">
        <f>SUM(U70:U73)-SUM(W70:W73)-SUM(Z70:Z73)-SUM(Y70:Y73)</f>
        <v>2.335157982847484</v>
      </c>
      <c r="AB70" s="53">
        <f>(SUM(K70:K73)-SUM(W70:W73)-SUM(Y70:Y73)-SUM(Z70:Z73)-SUM(AC70:AC73)-SUM(V70:V73))-AA70</f>
        <v>-0.53548545977055984</v>
      </c>
      <c r="AC70" s="50">
        <f>K70-T70</f>
        <v>2.27894664</v>
      </c>
      <c r="AD70" s="50">
        <f>+AM70+BA70</f>
        <v>0</v>
      </c>
      <c r="AE70" s="101" t="s">
        <v>110</v>
      </c>
      <c r="AF70" s="50">
        <v>0</v>
      </c>
      <c r="AG70" s="50"/>
      <c r="AH70" s="50"/>
      <c r="AI70" s="54"/>
      <c r="AJ70" s="50"/>
      <c r="AK70" s="50"/>
      <c r="AL70" s="50"/>
      <c r="AM70" s="50">
        <f>SUM(AF70:AL70)+AT70+AV70+AX70</f>
        <v>0</v>
      </c>
      <c r="AN70" s="50"/>
      <c r="AO70" s="50"/>
      <c r="AP70" s="50"/>
      <c r="AQ70" s="50"/>
      <c r="AR70" s="50">
        <f>SUM(AN70:AQ70)</f>
        <v>0</v>
      </c>
      <c r="AS70" s="50"/>
      <c r="AT70" s="50"/>
      <c r="AU70" s="50"/>
      <c r="AV70" s="50"/>
      <c r="AW70" s="50"/>
      <c r="AX70" s="50"/>
      <c r="AY70" s="50"/>
      <c r="AZ70" s="50"/>
      <c r="BA70" s="50">
        <f>+AR70+AS70+AU70+AW70+AY70+AZ70</f>
        <v>0</v>
      </c>
      <c r="BB70" s="124">
        <v>0</v>
      </c>
      <c r="BC70" s="116"/>
      <c r="BD70" s="116"/>
      <c r="BE70" s="124"/>
      <c r="BF70" s="116"/>
    </row>
    <row r="71" spans="1:58" ht="12.95" customHeight="1" x14ac:dyDescent="0.2">
      <c r="A71" s="117"/>
      <c r="B71" s="118" t="s">
        <v>115</v>
      </c>
      <c r="C71" s="119">
        <f>(M71*E71*O71*Q71)/100000000</f>
        <v>45.21411736615385</v>
      </c>
      <c r="D71" s="118" t="s">
        <v>175</v>
      </c>
      <c r="E71" s="37">
        <v>12.5</v>
      </c>
      <c r="F71" s="37">
        <v>1</v>
      </c>
      <c r="G71" s="120">
        <v>1700</v>
      </c>
      <c r="H71" s="121">
        <v>0.24</v>
      </c>
      <c r="I71" s="45">
        <v>0.88</v>
      </c>
      <c r="J71" s="46">
        <f>E71*G71*(1-H71)*1440/1000000*2.77</f>
        <v>64.419120000000007</v>
      </c>
      <c r="K71" s="46">
        <f>(IF(G71&lt;L71,L71,G71)*(1-IF(H71&lt;N71,H71,N71))*E71*O71*Q71)/100000000</f>
        <v>52.521678369230777</v>
      </c>
      <c r="L71" s="122">
        <v>1463.4718826405867</v>
      </c>
      <c r="M71" s="122">
        <v>1112.238630806846</v>
      </c>
      <c r="N71" s="47">
        <f>1-(M71/L71)</f>
        <v>0.24</v>
      </c>
      <c r="O71" s="48">
        <f>+'[1]Trim Rwd'!H66</f>
        <v>265.04615384615386</v>
      </c>
      <c r="P71" s="49">
        <f>O71*(Q71-R71-S71)</f>
        <v>313284.55384615384</v>
      </c>
      <c r="Q71" s="48">
        <v>1227</v>
      </c>
      <c r="R71" s="123">
        <v>0</v>
      </c>
      <c r="S71" s="123">
        <v>45</v>
      </c>
      <c r="T71" s="50">
        <f>E71*M71*O71*Q71/100000000</f>
        <v>45.21411736615385</v>
      </c>
      <c r="U71" s="50">
        <f>E71*M71*O71*(Q71-R71-S71)/100000000</f>
        <v>43.555897902847484</v>
      </c>
      <c r="V71" s="50">
        <f>E71*G71*(1-N71)*O71/100*(R71+S71)/1000000</f>
        <v>1.926222923076923</v>
      </c>
      <c r="W71" s="50">
        <f>+'[1]14'!K16/1000</f>
        <v>34.593000000000004</v>
      </c>
      <c r="X71" s="55"/>
      <c r="Y71" s="52"/>
      <c r="Z71" s="50">
        <f>+'[1]9'!D58/1000</f>
        <v>0</v>
      </c>
      <c r="AA71" s="50"/>
      <c r="AB71" s="50"/>
      <c r="AC71" s="50">
        <f>K71-T71</f>
        <v>7.3075610030769269</v>
      </c>
      <c r="AD71" s="50">
        <f>+AM71+BA71</f>
        <v>19</v>
      </c>
      <c r="AE71" s="101" t="s">
        <v>119</v>
      </c>
      <c r="AF71" s="50"/>
      <c r="AG71" s="50">
        <v>19</v>
      </c>
      <c r="AH71" s="50"/>
      <c r="AI71" s="54"/>
      <c r="AJ71" s="50"/>
      <c r="AK71" s="50"/>
      <c r="AL71" s="50"/>
      <c r="AM71" s="50">
        <f>SUM(AF71:AL71)+AT71+AV71+AX71</f>
        <v>19</v>
      </c>
      <c r="AN71" s="125"/>
      <c r="AO71" s="50"/>
      <c r="AP71" s="50"/>
      <c r="AQ71" s="50"/>
      <c r="AR71" s="50">
        <f>SUM(AN71:AQ71)</f>
        <v>0</v>
      </c>
      <c r="AS71" s="50"/>
      <c r="AT71" s="50"/>
      <c r="AU71" s="50"/>
      <c r="AV71" s="50"/>
      <c r="AW71" s="50"/>
      <c r="AX71" s="50"/>
      <c r="AY71" s="50"/>
      <c r="AZ71" s="50"/>
      <c r="BA71" s="50">
        <f>+AR71+AS71+AU71+AW71+AY71+AZ71</f>
        <v>0</v>
      </c>
      <c r="BB71" s="126"/>
      <c r="BC71" s="116">
        <v>11</v>
      </c>
      <c r="BD71" s="116"/>
      <c r="BE71" s="126"/>
      <c r="BF71" s="116"/>
    </row>
    <row r="72" spans="1:58" ht="12.95" customHeight="1" x14ac:dyDescent="0.2">
      <c r="A72" s="117"/>
      <c r="B72" s="118"/>
      <c r="C72" s="119"/>
      <c r="D72" s="118"/>
      <c r="E72" s="37"/>
      <c r="F72" s="37"/>
      <c r="G72" s="127"/>
      <c r="H72" s="121"/>
      <c r="I72" s="45"/>
      <c r="J72" s="46"/>
      <c r="K72" s="46"/>
      <c r="L72" s="122"/>
      <c r="M72" s="122"/>
      <c r="N72" s="47"/>
      <c r="O72" s="48"/>
      <c r="P72" s="49"/>
      <c r="Q72" s="48"/>
      <c r="R72" s="123"/>
      <c r="S72" s="123"/>
      <c r="T72" s="50"/>
      <c r="U72" s="50"/>
      <c r="V72" s="50"/>
      <c r="W72" s="50"/>
      <c r="X72" s="55"/>
      <c r="Y72" s="52"/>
      <c r="Z72" s="50"/>
      <c r="AA72" s="50"/>
      <c r="AB72" s="50"/>
      <c r="AC72" s="50"/>
      <c r="AD72" s="50">
        <f>+AM72+BA72</f>
        <v>38</v>
      </c>
      <c r="AE72" s="101" t="s">
        <v>118</v>
      </c>
      <c r="AF72" s="124"/>
      <c r="AG72" s="124"/>
      <c r="AH72" s="124">
        <v>38</v>
      </c>
      <c r="AI72" s="54"/>
      <c r="AJ72" s="50"/>
      <c r="AK72" s="50"/>
      <c r="AL72" s="50"/>
      <c r="AM72" s="50">
        <f>SUM(AF72:AL72)+AT72+AV72+AX72</f>
        <v>38</v>
      </c>
      <c r="AN72" s="50"/>
      <c r="AO72" s="50"/>
      <c r="AP72" s="50"/>
      <c r="AQ72" s="50"/>
      <c r="AR72" s="50">
        <f>SUM(AN72:AQ72)</f>
        <v>0</v>
      </c>
      <c r="AS72" s="50"/>
      <c r="AT72" s="50"/>
      <c r="AU72" s="50"/>
      <c r="AV72" s="50"/>
      <c r="AW72" s="50"/>
      <c r="AX72" s="50"/>
      <c r="AY72" s="50"/>
      <c r="AZ72" s="50"/>
      <c r="BA72" s="50">
        <f>+AR72+AS72+AU72+AW72+AY72+AZ72</f>
        <v>0</v>
      </c>
      <c r="BB72" s="124"/>
      <c r="BC72" s="146"/>
      <c r="BD72" s="146"/>
      <c r="BE72" s="124"/>
      <c r="BF72" s="146"/>
    </row>
    <row r="73" spans="1:58" ht="12.95" customHeight="1" x14ac:dyDescent="0.2">
      <c r="A73" s="117"/>
      <c r="B73" s="118"/>
      <c r="C73" s="119"/>
      <c r="D73" s="118"/>
      <c r="E73" s="37"/>
      <c r="F73" s="37"/>
      <c r="G73" s="127"/>
      <c r="H73" s="121"/>
      <c r="I73" s="45"/>
      <c r="J73" s="46"/>
      <c r="K73" s="46"/>
      <c r="L73" s="122"/>
      <c r="M73" s="122"/>
      <c r="N73" s="47"/>
      <c r="O73" s="48"/>
      <c r="P73" s="49"/>
      <c r="Q73" s="48"/>
      <c r="R73" s="123"/>
      <c r="S73" s="123"/>
      <c r="T73" s="50"/>
      <c r="U73" s="50"/>
      <c r="V73" s="50"/>
      <c r="W73" s="50"/>
      <c r="X73" s="55"/>
      <c r="Y73" s="52"/>
      <c r="Z73" s="50"/>
      <c r="AA73" s="50"/>
      <c r="AB73" s="50"/>
      <c r="AC73" s="50"/>
      <c r="AD73" s="50">
        <f>+AM73+BA73</f>
        <v>13</v>
      </c>
      <c r="AE73" s="101" t="s">
        <v>227</v>
      </c>
      <c r="AF73" s="124"/>
      <c r="AG73" s="124"/>
      <c r="AH73" s="124"/>
      <c r="AI73" s="54"/>
      <c r="AJ73" s="50">
        <v>13</v>
      </c>
      <c r="AK73" s="50"/>
      <c r="AL73" s="50"/>
      <c r="AM73" s="50">
        <f>SUM(AF73:AL73)+AT73+AV73+AX73</f>
        <v>13</v>
      </c>
      <c r="AN73" s="50"/>
      <c r="AO73" s="50"/>
      <c r="AP73" s="50"/>
      <c r="AQ73" s="50"/>
      <c r="AR73" s="50">
        <f>SUM(AN73:AQ73)</f>
        <v>0</v>
      </c>
      <c r="AS73" s="50"/>
      <c r="AT73" s="50"/>
      <c r="AU73" s="50"/>
      <c r="AV73" s="50"/>
      <c r="AW73" s="50"/>
      <c r="AX73" s="50"/>
      <c r="AY73" s="50"/>
      <c r="AZ73" s="50"/>
      <c r="BA73" s="50">
        <f>+AR73+AS73+AU73+AW73+AY73+AZ73</f>
        <v>0</v>
      </c>
      <c r="BB73" s="124"/>
      <c r="BC73" s="146"/>
      <c r="BD73" s="146"/>
      <c r="BE73" s="124"/>
      <c r="BF73" s="146"/>
    </row>
    <row r="74" spans="1:58" ht="12.95" customHeight="1" x14ac:dyDescent="0.2">
      <c r="A74" s="117"/>
      <c r="B74" s="118"/>
      <c r="C74" s="119"/>
      <c r="D74" s="118"/>
      <c r="E74" s="37"/>
      <c r="F74" s="37"/>
      <c r="G74" s="127"/>
      <c r="H74" s="121"/>
      <c r="I74" s="45"/>
      <c r="J74" s="46"/>
      <c r="K74" s="46"/>
      <c r="L74" s="122"/>
      <c r="M74" s="122"/>
      <c r="N74" s="47"/>
      <c r="O74" s="48"/>
      <c r="P74" s="49"/>
      <c r="Q74" s="48"/>
      <c r="R74" s="123"/>
      <c r="S74" s="123"/>
      <c r="T74" s="50"/>
      <c r="U74" s="50"/>
      <c r="V74" s="50"/>
      <c r="W74" s="50"/>
      <c r="X74" s="55"/>
      <c r="Y74" s="52"/>
      <c r="Z74" s="50"/>
      <c r="AA74" s="50"/>
      <c r="AB74" s="50"/>
      <c r="AC74" s="50"/>
      <c r="AD74" s="50"/>
      <c r="AE74" s="101"/>
      <c r="AF74" s="124"/>
      <c r="AG74" s="124"/>
      <c r="AH74" s="124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124"/>
      <c r="BC74" s="146"/>
      <c r="BD74" s="116"/>
      <c r="BE74" s="116"/>
      <c r="BF74" s="116"/>
    </row>
    <row r="75" spans="1:58" ht="12.95" customHeight="1" x14ac:dyDescent="0.2">
      <c r="A75" s="117">
        <v>45976</v>
      </c>
      <c r="B75" s="118" t="s">
        <v>115</v>
      </c>
      <c r="C75" s="119">
        <f>(M75*E75*O75*Q75)/100000000</f>
        <v>29.666182000000006</v>
      </c>
      <c r="D75" s="118" t="s">
        <v>175</v>
      </c>
      <c r="E75" s="37">
        <v>12.5</v>
      </c>
      <c r="F75" s="37">
        <v>1</v>
      </c>
      <c r="G75" s="120">
        <v>1700</v>
      </c>
      <c r="H75" s="121">
        <v>0.24</v>
      </c>
      <c r="I75" s="45">
        <v>0.88</v>
      </c>
      <c r="J75" s="46">
        <f>E75*G75*(1-H75)*1440/1000000*2.77</f>
        <v>64.419120000000007</v>
      </c>
      <c r="K75" s="46">
        <f>(IF(G75&lt;L75,L75,G75)*(1-IF(H75&lt;N75,H75,N75))*E75*O75*Q75)/100000000</f>
        <v>32.752200000000002</v>
      </c>
      <c r="L75" s="122">
        <v>1539.8205128205129</v>
      </c>
      <c r="M75" s="122">
        <v>1170.2635897435898</v>
      </c>
      <c r="N75" s="47">
        <f>1-(M75/L75)</f>
        <v>0.24</v>
      </c>
      <c r="O75" s="48">
        <f>+'[1]Trim Rwd'!H69</f>
        <v>260</v>
      </c>
      <c r="P75" s="49">
        <f>O75*(Q75-R75-S75)</f>
        <v>193440</v>
      </c>
      <c r="Q75" s="48">
        <v>780</v>
      </c>
      <c r="R75" s="123">
        <v>0</v>
      </c>
      <c r="S75" s="123">
        <v>36</v>
      </c>
      <c r="T75" s="50">
        <f>E75*M75*O75*Q75/100000000</f>
        <v>29.666182000000006</v>
      </c>
      <c r="U75" s="50">
        <f>E75*M75*O75*(Q75-R75-S75)/100000000</f>
        <v>28.296973600000001</v>
      </c>
      <c r="V75" s="50">
        <f>E75*G75*(1-N75)*O75/100*(R75+S75)/1000000</f>
        <v>1.5116400000000001</v>
      </c>
      <c r="W75" s="50">
        <f>+'[1]15'!K16/1000</f>
        <v>28.22</v>
      </c>
      <c r="X75" s="51">
        <f>SUM(W75:W78)/SUM(K75:K78)</f>
        <v>0.78342130090007389</v>
      </c>
      <c r="Y75" s="52">
        <v>0</v>
      </c>
      <c r="Z75" s="50">
        <f>+'[1]15'!D7/1000</f>
        <v>0.28999999999999998</v>
      </c>
      <c r="AA75" s="53">
        <f>SUM(U75:U78)-SUM(W75:W78)-SUM(Z75:Z78)-SUM(Y75:Y78)</f>
        <v>4.9043108000000082</v>
      </c>
      <c r="AB75" s="53">
        <f>(SUM(K75:K78)-SUM(W75:W78)-SUM(Y75:Y78)-SUM(Z75:Z78)-SUM(AC75:AC78)-SUM(V75:V78))-AA75</f>
        <v>-0.19222679999999226</v>
      </c>
      <c r="AC75" s="50">
        <f>K75-T75</f>
        <v>3.0860179999999957</v>
      </c>
      <c r="AD75" s="50">
        <f>+AM75+BA75</f>
        <v>0</v>
      </c>
      <c r="AE75" s="101" t="s">
        <v>110</v>
      </c>
      <c r="AF75" s="50">
        <v>0</v>
      </c>
      <c r="AG75" s="50"/>
      <c r="AH75" s="50"/>
      <c r="AI75" s="54"/>
      <c r="AJ75" s="50"/>
      <c r="AK75" s="50"/>
      <c r="AL75" s="50"/>
      <c r="AM75" s="50">
        <f>SUM(AF75:AL75)+AT75+AV75+AX75</f>
        <v>0</v>
      </c>
      <c r="AN75" s="50"/>
      <c r="AO75" s="50"/>
      <c r="AP75" s="50"/>
      <c r="AQ75" s="50"/>
      <c r="AR75" s="50">
        <f>SUM(AN75:AQ75)</f>
        <v>0</v>
      </c>
      <c r="AS75" s="50"/>
      <c r="AT75" s="50"/>
      <c r="AU75" s="50"/>
      <c r="AV75" s="50"/>
      <c r="AW75" s="50"/>
      <c r="AX75" s="50"/>
      <c r="AY75" s="50"/>
      <c r="AZ75" s="50"/>
      <c r="BA75" s="50">
        <f>+AR75+AS75+AU75+AW75+AY75+AZ75</f>
        <v>0</v>
      </c>
      <c r="BB75" s="124">
        <v>0</v>
      </c>
      <c r="BC75" s="116"/>
      <c r="BD75" s="116"/>
      <c r="BE75" s="124"/>
      <c r="BF75" s="116"/>
    </row>
    <row r="76" spans="1:58" ht="12.95" customHeight="1" x14ac:dyDescent="0.2">
      <c r="A76" s="117"/>
      <c r="B76" s="118" t="s">
        <v>115</v>
      </c>
      <c r="C76" s="119">
        <f>(M76*E76*O76*Q76)/100000000</f>
        <v>24.332616000000005</v>
      </c>
      <c r="D76" s="118" t="s">
        <v>175</v>
      </c>
      <c r="E76" s="37">
        <v>12</v>
      </c>
      <c r="F76" s="37">
        <v>1</v>
      </c>
      <c r="G76" s="120">
        <v>1700</v>
      </c>
      <c r="H76" s="121">
        <v>0.24</v>
      </c>
      <c r="I76" s="45">
        <v>0.88</v>
      </c>
      <c r="J76" s="46">
        <f>E76*G76*(1-H76)*1440/1000000*2.77</f>
        <v>61.8423552</v>
      </c>
      <c r="K76" s="46">
        <f>(IF(G76&lt;L76,L76,G76)*(1-IF(H76&lt;N76,H76,N76))*E76*O76*Q76)/100000000</f>
        <v>26.860679999999999</v>
      </c>
      <c r="L76" s="122">
        <v>1540</v>
      </c>
      <c r="M76" s="122">
        <f t="shared" ref="M76" si="25">+L76-L76*0.24</f>
        <v>1170.4000000000001</v>
      </c>
      <c r="N76" s="47">
        <f>1-(M76/L76)</f>
        <v>0.24</v>
      </c>
      <c r="O76" s="48">
        <f>+'[1]Trim Rwd'!H70</f>
        <v>262.5</v>
      </c>
      <c r="P76" s="49">
        <f>O76*(Q76-R76-S76)</f>
        <v>169837.5</v>
      </c>
      <c r="Q76" s="48">
        <v>660</v>
      </c>
      <c r="R76" s="123">
        <v>0</v>
      </c>
      <c r="S76" s="123">
        <v>13</v>
      </c>
      <c r="T76" s="50">
        <f>E76*M76*O76*Q76/100000000</f>
        <v>24.332616000000005</v>
      </c>
      <c r="U76" s="50">
        <f>E76*M76*O76*(Q76-R76-S76)/100000000</f>
        <v>23.853337200000006</v>
      </c>
      <c r="V76" s="50">
        <f>E76*G76*(1-N76)*O76/100*(R76+S76)/1000000</f>
        <v>0.52907400000000004</v>
      </c>
      <c r="W76" s="50">
        <f>+'[1]15'!K14/1000</f>
        <v>18.481999999999999</v>
      </c>
      <c r="X76" s="55"/>
      <c r="Y76" s="52"/>
      <c r="Z76" s="50">
        <f>+'[1]15'!D17/1000</f>
        <v>0.254</v>
      </c>
      <c r="AA76" s="50"/>
      <c r="AB76" s="50"/>
      <c r="AC76" s="50">
        <f>K76-T76</f>
        <v>2.5280639999999934</v>
      </c>
      <c r="AD76" s="50">
        <f>+AM76+BA76</f>
        <v>13</v>
      </c>
      <c r="AE76" s="101" t="s">
        <v>127</v>
      </c>
      <c r="AF76" s="50"/>
      <c r="AG76" s="50">
        <v>13</v>
      </c>
      <c r="AH76" s="50"/>
      <c r="AI76" s="54"/>
      <c r="AJ76" s="50"/>
      <c r="AK76" s="50"/>
      <c r="AL76" s="50"/>
      <c r="AM76" s="50">
        <f>SUM(AF76:AL76)+AT76+AV76+AX76</f>
        <v>13</v>
      </c>
      <c r="AN76" s="125"/>
      <c r="AO76" s="50"/>
      <c r="AP76" s="50"/>
      <c r="AQ76" s="50"/>
      <c r="AR76" s="50">
        <f>SUM(AN76:AQ76)</f>
        <v>0</v>
      </c>
      <c r="AS76" s="50"/>
      <c r="AT76" s="50"/>
      <c r="AU76" s="50"/>
      <c r="AV76" s="50"/>
      <c r="AW76" s="50"/>
      <c r="AX76" s="50"/>
      <c r="AY76" s="50"/>
      <c r="AZ76" s="50"/>
      <c r="BA76" s="50">
        <f>+AR76+AS76+AU76+AW76+AY76+AZ76</f>
        <v>0</v>
      </c>
      <c r="BB76" s="126"/>
      <c r="BC76" s="116">
        <v>12</v>
      </c>
      <c r="BD76" s="116"/>
      <c r="BE76" s="126"/>
      <c r="BF76" s="116"/>
    </row>
    <row r="77" spans="1:58" ht="12.95" customHeight="1" x14ac:dyDescent="0.2">
      <c r="A77" s="117"/>
      <c r="B77" s="118"/>
      <c r="C77" s="119"/>
      <c r="D77" s="118"/>
      <c r="E77" s="37"/>
      <c r="F77" s="37"/>
      <c r="G77" s="127"/>
      <c r="H77" s="121"/>
      <c r="I77" s="45"/>
      <c r="J77" s="46"/>
      <c r="K77" s="46"/>
      <c r="L77" s="122"/>
      <c r="M77" s="122"/>
      <c r="N77" s="47"/>
      <c r="O77" s="48"/>
      <c r="P77" s="49"/>
      <c r="Q77" s="48"/>
      <c r="R77" s="123"/>
      <c r="S77" s="123"/>
      <c r="T77" s="50"/>
      <c r="U77" s="50"/>
      <c r="V77" s="50"/>
      <c r="W77" s="50"/>
      <c r="X77" s="55"/>
      <c r="Y77" s="52"/>
      <c r="Z77" s="50"/>
      <c r="AA77" s="50"/>
      <c r="AB77" s="50"/>
      <c r="AC77" s="50"/>
      <c r="AD77" s="50">
        <f>+AM77+BA77</f>
        <v>36</v>
      </c>
      <c r="AE77" s="101" t="s">
        <v>112</v>
      </c>
      <c r="AF77" s="124"/>
      <c r="AG77" s="124"/>
      <c r="AH77" s="124">
        <v>36</v>
      </c>
      <c r="AI77" s="54"/>
      <c r="AJ77" s="50"/>
      <c r="AK77" s="50"/>
      <c r="AL77" s="50"/>
      <c r="AM77" s="50">
        <f>SUM(AF77:AL77)+AT77+AV77+AX77</f>
        <v>36</v>
      </c>
      <c r="AN77" s="50"/>
      <c r="AO77" s="50"/>
      <c r="AP77" s="50"/>
      <c r="AQ77" s="50"/>
      <c r="AR77" s="50">
        <f>SUM(AN77:AQ77)</f>
        <v>0</v>
      </c>
      <c r="AS77" s="50"/>
      <c r="AT77" s="50"/>
      <c r="AU77" s="50"/>
      <c r="AV77" s="50"/>
      <c r="AW77" s="50"/>
      <c r="AX77" s="50"/>
      <c r="AY77" s="50"/>
      <c r="AZ77" s="50"/>
      <c r="BA77" s="50">
        <f>+AR77+AS77+AU77+AW77+AY77+AZ77</f>
        <v>0</v>
      </c>
      <c r="BB77" s="124"/>
      <c r="BC77" s="146"/>
      <c r="BD77" s="146"/>
      <c r="BE77" s="124"/>
      <c r="BF77" s="146"/>
    </row>
    <row r="78" spans="1:58" ht="12.95" customHeight="1" x14ac:dyDescent="0.2">
      <c r="A78" s="117"/>
      <c r="B78" s="118"/>
      <c r="C78" s="119"/>
      <c r="D78" s="118"/>
      <c r="E78" s="37"/>
      <c r="F78" s="37"/>
      <c r="G78" s="127"/>
      <c r="H78" s="121"/>
      <c r="I78" s="45"/>
      <c r="J78" s="46"/>
      <c r="K78" s="46"/>
      <c r="L78" s="122"/>
      <c r="M78" s="122"/>
      <c r="N78" s="47"/>
      <c r="O78" s="48"/>
      <c r="P78" s="49"/>
      <c r="Q78" s="48"/>
      <c r="R78" s="123"/>
      <c r="S78" s="123"/>
      <c r="T78" s="50"/>
      <c r="U78" s="50"/>
      <c r="V78" s="50"/>
      <c r="W78" s="50"/>
      <c r="X78" s="55"/>
      <c r="Y78" s="52"/>
      <c r="Z78" s="50"/>
      <c r="AA78" s="50"/>
      <c r="AB78" s="50"/>
      <c r="AC78" s="50"/>
      <c r="AD78" s="50"/>
      <c r="AE78" s="101"/>
      <c r="AF78" s="124"/>
      <c r="AG78" s="124"/>
      <c r="AH78" s="124"/>
      <c r="AI78" s="54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124"/>
      <c r="BC78" s="146"/>
      <c r="BD78" s="146"/>
      <c r="BE78" s="124"/>
      <c r="BF78" s="146"/>
    </row>
    <row r="79" spans="1:58" ht="12.95" customHeight="1" x14ac:dyDescent="0.2">
      <c r="A79" s="117">
        <v>45977</v>
      </c>
      <c r="B79" s="118" t="s">
        <v>115</v>
      </c>
      <c r="C79" s="119">
        <f>(M79*E79*O79*Q79)/100000000</f>
        <v>6.0831540000000013</v>
      </c>
      <c r="D79" s="118" t="s">
        <v>175</v>
      </c>
      <c r="E79" s="37">
        <v>12</v>
      </c>
      <c r="F79" s="37">
        <v>1</v>
      </c>
      <c r="G79" s="120">
        <v>1700</v>
      </c>
      <c r="H79" s="121">
        <v>0.24</v>
      </c>
      <c r="I79" s="45">
        <v>0.88</v>
      </c>
      <c r="J79" s="46">
        <f>E79*G79*(1-H79)*1440/1000000*2.77</f>
        <v>61.8423552</v>
      </c>
      <c r="K79" s="46">
        <f>(IF(G79&lt;L79,L79,G79)*(1-IF(H79&lt;N79,H79,N79))*E79*O79*Q79)/100000000</f>
        <v>6.7151699999999996</v>
      </c>
      <c r="L79" s="122">
        <v>1540</v>
      </c>
      <c r="M79" s="122">
        <f t="shared" ref="M79:M80" si="26">+L79-L79*0.24</f>
        <v>1170.4000000000001</v>
      </c>
      <c r="N79" s="47">
        <f>1-(M79/L79)</f>
        <v>0.24</v>
      </c>
      <c r="O79" s="48">
        <f>+'[1]Trim Rwd'!H72</f>
        <v>262.5</v>
      </c>
      <c r="P79" s="49">
        <f>O79*(Q79-R79-S79)</f>
        <v>42525</v>
      </c>
      <c r="Q79" s="48">
        <v>165</v>
      </c>
      <c r="R79" s="123">
        <v>0</v>
      </c>
      <c r="S79" s="123">
        <v>3</v>
      </c>
      <c r="T79" s="50">
        <f>E79*M79*O79*Q79/100000000</f>
        <v>6.0831540000000013</v>
      </c>
      <c r="U79" s="50">
        <f>E79*M79*O79*(Q79-R79-S79)/100000000</f>
        <v>5.9725512000000016</v>
      </c>
      <c r="V79" s="50">
        <f>E79*G79*(1-N79)*O79/100*(R79+S79)/1000000</f>
        <v>0.12209399999999999</v>
      </c>
      <c r="W79" s="50">
        <f>+'[1]16'!K14/1000</f>
        <v>10.789</v>
      </c>
      <c r="X79" s="51">
        <f>SUM(W79:W82)/SUM(K79:K82)</f>
        <v>0.85703249220818689</v>
      </c>
      <c r="Y79" s="52">
        <v>0</v>
      </c>
      <c r="Z79" s="50">
        <f>+'[1]16'!D7/1000</f>
        <v>0.27</v>
      </c>
      <c r="AA79" s="53">
        <f>SUM(U79:U82)-SUM(W79:W82)-SUM(Z79:Z82)-SUM(Y79:Y82)</f>
        <v>2.0269671999999974</v>
      </c>
      <c r="AB79" s="53">
        <f>(SUM(K79:K82)-SUM(W79:W82)-SUM(Y79:Y82)-SUM(Z79:Z82)-SUM(AC79:AC82)-SUM(V79:V82))-AA79</f>
        <v>-0.11361088000000419</v>
      </c>
      <c r="AC79" s="50">
        <f>K79-T79</f>
        <v>0.63201599999999836</v>
      </c>
      <c r="AD79" s="50">
        <f>+AM79+BA79</f>
        <v>0</v>
      </c>
      <c r="AE79" s="101" t="s">
        <v>110</v>
      </c>
      <c r="AF79" s="50">
        <v>0</v>
      </c>
      <c r="AG79" s="50"/>
      <c r="AH79" s="50"/>
      <c r="AI79" s="54"/>
      <c r="AJ79" s="50"/>
      <c r="AK79" s="50"/>
      <c r="AL79" s="50"/>
      <c r="AM79" s="50">
        <f>SUM(AF79:AL79)+AT79+AV79+AX79</f>
        <v>0</v>
      </c>
      <c r="AN79" s="50"/>
      <c r="AO79" s="50"/>
      <c r="AP79" s="50"/>
      <c r="AQ79" s="50"/>
      <c r="AR79" s="50">
        <f>SUM(AN79:AQ79)</f>
        <v>0</v>
      </c>
      <c r="AS79" s="50"/>
      <c r="AT79" s="50"/>
      <c r="AU79" s="50"/>
      <c r="AV79" s="50"/>
      <c r="AW79" s="50"/>
      <c r="AX79" s="50"/>
      <c r="AY79" s="50"/>
      <c r="AZ79" s="50"/>
      <c r="BA79" s="50">
        <f>+AR79+AS79+AU79+AW79+AY79+AZ79</f>
        <v>0</v>
      </c>
      <c r="BB79" s="124">
        <v>0</v>
      </c>
      <c r="BC79" s="116"/>
      <c r="BD79" s="116"/>
      <c r="BE79" s="124"/>
      <c r="BF79" s="116"/>
    </row>
    <row r="80" spans="1:58" ht="12.95" customHeight="1" x14ac:dyDescent="0.2">
      <c r="A80" s="117"/>
      <c r="B80" s="118" t="s">
        <v>115</v>
      </c>
      <c r="C80" s="119">
        <f>(M80*E80*O80*Q80)/100000000</f>
        <v>53.04042432</v>
      </c>
      <c r="D80" s="118" t="s">
        <v>175</v>
      </c>
      <c r="E80" s="37">
        <v>13</v>
      </c>
      <c r="F80" s="37">
        <v>1</v>
      </c>
      <c r="G80" s="120">
        <v>1700</v>
      </c>
      <c r="H80" s="121">
        <v>0.24</v>
      </c>
      <c r="I80" s="45">
        <v>0.88</v>
      </c>
      <c r="J80" s="46">
        <f>E80*G80*(1-H80)*1440/1000000*2.77</f>
        <v>66.995884799999999</v>
      </c>
      <c r="K80" s="46">
        <f>(IF(G80&lt;L80,L80,G80)*(1-IF(H80&lt;N80,H80,N80))*E80*O80*Q80)/100000000</f>
        <v>58.248528</v>
      </c>
      <c r="L80" s="122">
        <v>1548</v>
      </c>
      <c r="M80" s="122">
        <f t="shared" si="26"/>
        <v>1176.48</v>
      </c>
      <c r="N80" s="47">
        <f>1-(M80/L80)</f>
        <v>0.24</v>
      </c>
      <c r="O80" s="48">
        <f>+'[1]Trim Rwd'!H73</f>
        <v>272</v>
      </c>
      <c r="P80" s="49">
        <f>O80*(Q80-R80-S80)</f>
        <v>340000</v>
      </c>
      <c r="Q80" s="48">
        <v>1275</v>
      </c>
      <c r="R80" s="123">
        <v>0</v>
      </c>
      <c r="S80" s="123">
        <v>25</v>
      </c>
      <c r="T80" s="50">
        <f>E80*M80*O80*Q80/100000000</f>
        <v>53.04042432</v>
      </c>
      <c r="U80" s="50">
        <f>E80*M80*O80*(Q80-R80-S80)/100000000</f>
        <v>52.000416000000001</v>
      </c>
      <c r="V80" s="50">
        <f>E80*G80*(1-N80)*O80/100*(R80+S80)/1000000</f>
        <v>1.142128</v>
      </c>
      <c r="W80" s="50">
        <f>+'[1]16'!K15/1000</f>
        <v>44.887</v>
      </c>
      <c r="X80" s="55"/>
      <c r="Y80" s="52"/>
      <c r="Z80" s="50">
        <v>0</v>
      </c>
      <c r="AA80" s="50"/>
      <c r="AB80" s="50"/>
      <c r="AC80" s="50">
        <f>K80-T80</f>
        <v>5.2081036800000007</v>
      </c>
      <c r="AD80" s="50">
        <f>+AM80+BA80</f>
        <v>13</v>
      </c>
      <c r="AE80" s="101" t="s">
        <v>188</v>
      </c>
      <c r="AF80" s="50"/>
      <c r="AG80" s="50">
        <v>13</v>
      </c>
      <c r="AH80" s="50"/>
      <c r="AI80" s="54"/>
      <c r="AJ80" s="50"/>
      <c r="AK80" s="50"/>
      <c r="AL80" s="50"/>
      <c r="AM80" s="50">
        <f>SUM(AF80:AL80)+AT80+AV80+AX80</f>
        <v>13</v>
      </c>
      <c r="AN80" s="125"/>
      <c r="AO80" s="50"/>
      <c r="AP80" s="50"/>
      <c r="AQ80" s="50"/>
      <c r="AR80" s="50">
        <f>SUM(AN80:AQ80)</f>
        <v>0</v>
      </c>
      <c r="AS80" s="50"/>
      <c r="AT80" s="50"/>
      <c r="AU80" s="50"/>
      <c r="AV80" s="50"/>
      <c r="AW80" s="50"/>
      <c r="AX80" s="50"/>
      <c r="AY80" s="50"/>
      <c r="AZ80" s="50"/>
      <c r="BA80" s="50">
        <f>+AR80+AS80+AU80+AW80+AY80+AZ80</f>
        <v>0</v>
      </c>
      <c r="BB80" s="126"/>
      <c r="BC80" s="116">
        <v>14</v>
      </c>
      <c r="BD80" s="116"/>
      <c r="BE80" s="126"/>
      <c r="BF80" s="116"/>
    </row>
    <row r="81" spans="1:58" ht="12.95" customHeight="1" x14ac:dyDescent="0.2">
      <c r="A81" s="117"/>
      <c r="B81" s="118"/>
      <c r="C81" s="119"/>
      <c r="D81" s="118"/>
      <c r="E81" s="37"/>
      <c r="F81" s="37"/>
      <c r="G81" s="127"/>
      <c r="H81" s="121"/>
      <c r="I81" s="45"/>
      <c r="J81" s="46"/>
      <c r="K81" s="46"/>
      <c r="L81" s="122"/>
      <c r="M81" s="122"/>
      <c r="N81" s="47"/>
      <c r="O81" s="48"/>
      <c r="P81" s="49"/>
      <c r="Q81" s="48"/>
      <c r="R81" s="123"/>
      <c r="S81" s="123"/>
      <c r="T81" s="50"/>
      <c r="U81" s="50"/>
      <c r="V81" s="50"/>
      <c r="W81" s="50"/>
      <c r="X81" s="55"/>
      <c r="Y81" s="52"/>
      <c r="Z81" s="50"/>
      <c r="AA81" s="50"/>
      <c r="AB81" s="50"/>
      <c r="AC81" s="50"/>
      <c r="AD81" s="50">
        <f>+AM81+BA81</f>
        <v>15</v>
      </c>
      <c r="AE81" s="101" t="s">
        <v>126</v>
      </c>
      <c r="AF81" s="124"/>
      <c r="AG81" s="124"/>
      <c r="AH81" s="124">
        <v>15</v>
      </c>
      <c r="AI81" s="54"/>
      <c r="AJ81" s="50"/>
      <c r="AK81" s="50"/>
      <c r="AL81" s="50"/>
      <c r="AM81" s="50">
        <f>SUM(AF81:AL81)+AT81+AV81+AX81</f>
        <v>15</v>
      </c>
      <c r="AN81" s="50"/>
      <c r="AO81" s="50"/>
      <c r="AP81" s="50"/>
      <c r="AQ81" s="50"/>
      <c r="AR81" s="50">
        <f>SUM(AN81:AQ81)</f>
        <v>0</v>
      </c>
      <c r="AS81" s="50"/>
      <c r="AT81" s="50"/>
      <c r="AU81" s="50"/>
      <c r="AV81" s="50"/>
      <c r="AW81" s="50"/>
      <c r="AX81" s="50"/>
      <c r="AY81" s="50"/>
      <c r="AZ81" s="50"/>
      <c r="BA81" s="50">
        <f>+AR81+AS81+AU81+AW81+AY81+AZ81</f>
        <v>0</v>
      </c>
      <c r="BB81" s="124"/>
      <c r="BC81" s="146"/>
      <c r="BD81" s="146"/>
      <c r="BE81" s="124"/>
      <c r="BF81" s="146"/>
    </row>
    <row r="82" spans="1:58" ht="12.95" customHeight="1" x14ac:dyDescent="0.2">
      <c r="A82" s="117"/>
      <c r="B82" s="118"/>
      <c r="C82" s="119"/>
      <c r="D82" s="118"/>
      <c r="E82" s="37"/>
      <c r="F82" s="37"/>
      <c r="G82" s="120"/>
      <c r="H82" s="121"/>
      <c r="I82" s="45"/>
      <c r="J82" s="46"/>
      <c r="K82" s="46"/>
      <c r="L82" s="122"/>
      <c r="M82" s="122"/>
      <c r="N82" s="47"/>
      <c r="O82" s="48"/>
      <c r="P82" s="49"/>
      <c r="Q82" s="48"/>
      <c r="R82" s="123"/>
      <c r="S82" s="123"/>
      <c r="T82" s="50"/>
      <c r="U82" s="50"/>
      <c r="V82" s="50"/>
      <c r="W82" s="50"/>
      <c r="X82" s="55"/>
      <c r="Y82" s="52"/>
      <c r="Z82" s="50"/>
      <c r="AA82" s="50"/>
      <c r="AB82" s="50"/>
      <c r="AC82" s="50"/>
      <c r="AD82" s="50"/>
      <c r="AE82" s="101"/>
      <c r="AF82" s="124"/>
      <c r="AG82" s="124"/>
      <c r="AH82" s="124"/>
      <c r="AI82" s="54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124"/>
      <c r="BC82" s="146"/>
      <c r="BD82" s="146"/>
      <c r="BE82" s="124"/>
      <c r="BF82" s="146"/>
    </row>
    <row r="83" spans="1:58" ht="12.95" customHeight="1" x14ac:dyDescent="0.2">
      <c r="A83" s="117">
        <v>45978</v>
      </c>
      <c r="B83" s="118" t="s">
        <v>115</v>
      </c>
      <c r="C83" s="119">
        <f>(M83*E83*O83*Q83)/100000000</f>
        <v>27.908233599999999</v>
      </c>
      <c r="D83" s="118" t="s">
        <v>175</v>
      </c>
      <c r="E83" s="37">
        <v>13</v>
      </c>
      <c r="F83" s="37">
        <v>1</v>
      </c>
      <c r="G83" s="120">
        <v>1700</v>
      </c>
      <c r="H83" s="121">
        <v>0.24</v>
      </c>
      <c r="I83" s="45">
        <v>0.88</v>
      </c>
      <c r="J83" s="46">
        <f>E83*G83*(1-H83)*1440/1000000*2.77</f>
        <v>66.995884799999999</v>
      </c>
      <c r="K83" s="46">
        <f>(IF(G83&lt;L83,L83,G83)*(1-IF(H83&lt;N83,H83,N83))*E83*O83*Q83)/100000000</f>
        <v>30.609030400000002</v>
      </c>
      <c r="L83" s="122">
        <v>1550</v>
      </c>
      <c r="M83" s="122">
        <v>1178</v>
      </c>
      <c r="N83" s="47">
        <f>1-(M83/L83)</f>
        <v>0.24</v>
      </c>
      <c r="O83" s="48">
        <f>+'[1]Trim Rwd'!H75</f>
        <v>272</v>
      </c>
      <c r="P83" s="49">
        <f>O83*(Q83-R83-S83)</f>
        <v>119680</v>
      </c>
      <c r="Q83" s="48">
        <f>471+199</f>
        <v>670</v>
      </c>
      <c r="R83" s="123">
        <v>199</v>
      </c>
      <c r="S83" s="123">
        <v>31</v>
      </c>
      <c r="T83" s="50">
        <f>E83*M83*O83*Q83/100000000</f>
        <v>27.908233599999999</v>
      </c>
      <c r="U83" s="50">
        <f>E83*M83*O83*(Q83-R83-S83)/100000000</f>
        <v>18.327795200000001</v>
      </c>
      <c r="V83" s="50">
        <f>E83*G83*(1-N83)*O83/100*(R83+S83)/1000000</f>
        <v>10.507577600000001</v>
      </c>
      <c r="W83" s="50">
        <f>+'[1]17'!K15/1000</f>
        <v>21.670999999999999</v>
      </c>
      <c r="X83" s="51">
        <f>SUM(W83:W86)/SUM(K83:K86)</f>
        <v>0.7280433272742024</v>
      </c>
      <c r="Y83" s="52">
        <v>0</v>
      </c>
      <c r="Z83" s="50">
        <f>+'[1]17'!D7/1000</f>
        <v>0.8</v>
      </c>
      <c r="AA83" s="53">
        <f>SUM(U83:U86)-SUM(W83:W86)-SUM(Z83:Z86)-SUM(Y83:Y86)</f>
        <v>-0.28510800853754192</v>
      </c>
      <c r="AB83" s="53">
        <f>(SUM(K83:K86)-SUM(W83:W86)-SUM(Y83:Y86)-SUM(Z83:Z86)-SUM(AC83:AC86)-SUM(V83:V86))-AA83</f>
        <v>-1.030612196679852</v>
      </c>
      <c r="AC83" s="50">
        <f>K83-T83</f>
        <v>2.7007968000000027</v>
      </c>
      <c r="AD83" s="50">
        <f>+AM83+BA83</f>
        <v>15</v>
      </c>
      <c r="AE83" s="101" t="s">
        <v>165</v>
      </c>
      <c r="AF83" s="50">
        <v>15</v>
      </c>
      <c r="AG83" s="50"/>
      <c r="AH83" s="50"/>
      <c r="AI83" s="54"/>
      <c r="AJ83" s="50"/>
      <c r="AK83" s="50"/>
      <c r="AL83" s="50"/>
      <c r="AM83" s="50">
        <f>SUM(AF83:AL83)+AT83+AV83+AX83</f>
        <v>15</v>
      </c>
      <c r="AN83" s="50"/>
      <c r="AO83" s="50"/>
      <c r="AP83" s="50"/>
      <c r="AQ83" s="50"/>
      <c r="AR83" s="50">
        <f>SUM(AN83:AQ83)</f>
        <v>0</v>
      </c>
      <c r="AS83" s="50"/>
      <c r="AT83" s="50"/>
      <c r="AU83" s="50"/>
      <c r="AV83" s="50"/>
      <c r="AW83" s="50"/>
      <c r="AX83" s="50"/>
      <c r="AY83" s="50"/>
      <c r="AZ83" s="50"/>
      <c r="BA83" s="50">
        <f>+AR83+AS83+AU83+AW83+AY83+AZ83</f>
        <v>0</v>
      </c>
      <c r="BB83" s="124">
        <v>3</v>
      </c>
      <c r="BC83" s="116"/>
      <c r="BD83" s="116"/>
      <c r="BE83" s="124"/>
      <c r="BF83" s="116"/>
    </row>
    <row r="84" spans="1:58" ht="12.95" customHeight="1" x14ac:dyDescent="0.2">
      <c r="A84" s="117"/>
      <c r="B84" s="118" t="s">
        <v>115</v>
      </c>
      <c r="C84" s="119">
        <f>(M84*E84*O84*Q84)/100000000</f>
        <v>29.289434733913044</v>
      </c>
      <c r="D84" s="118" t="s">
        <v>175</v>
      </c>
      <c r="E84" s="37">
        <v>12</v>
      </c>
      <c r="F84" s="37">
        <v>1</v>
      </c>
      <c r="G84" s="120">
        <v>1700</v>
      </c>
      <c r="H84" s="121">
        <v>0.24</v>
      </c>
      <c r="I84" s="45">
        <v>0.88</v>
      </c>
      <c r="J84" s="46">
        <f>E84*G84*(1-H84)*1440/1000000*2.77</f>
        <v>61.8423552</v>
      </c>
      <c r="K84" s="46">
        <f>(IF(G84&lt;L84,L84,G84)*(1-IF(H84&lt;N84,H84,N84))*E84*O84*Q84)/100000000</f>
        <v>31.565840660869565</v>
      </c>
      <c r="L84" s="122">
        <v>1577.4025974025974</v>
      </c>
      <c r="M84" s="122">
        <v>1198.8259740259741</v>
      </c>
      <c r="N84" s="47">
        <f>1-(M84/L84)</f>
        <v>0.24</v>
      </c>
      <c r="O84" s="48">
        <f>+'[1]Trim Rwd'!H76</f>
        <v>264.41304347826087</v>
      </c>
      <c r="P84" s="49">
        <f>O84*(Q84-R84-S84)</f>
        <v>194343.58695652173</v>
      </c>
      <c r="Q84" s="48">
        <v>770</v>
      </c>
      <c r="R84" s="123">
        <v>0</v>
      </c>
      <c r="S84" s="123">
        <v>35</v>
      </c>
      <c r="T84" s="50">
        <f>E84*M84*O84*Q84/100000000</f>
        <v>29.289434733913044</v>
      </c>
      <c r="U84" s="50">
        <f>E84*M84*O84*(Q84-R84-S84)/100000000</f>
        <v>27.958096791462456</v>
      </c>
      <c r="V84" s="50">
        <f>E84*G84*(1-N84)*O84/100*(R84+S84)/1000000</f>
        <v>1.4348109391304347</v>
      </c>
      <c r="W84" s="50">
        <f>+'[1]17'!K14/1000</f>
        <v>23.594999999999999</v>
      </c>
      <c r="X84" s="55"/>
      <c r="Y84" s="52"/>
      <c r="Z84" s="50">
        <f>+('[1]17'!D17+'[1]17'!D25)/1000</f>
        <v>0.505</v>
      </c>
      <c r="AA84" s="50"/>
      <c r="AB84" s="50"/>
      <c r="AC84" s="50">
        <f>K84-T84</f>
        <v>2.2764059269565209</v>
      </c>
      <c r="AD84" s="50">
        <f>+AM84+BA84</f>
        <v>16</v>
      </c>
      <c r="AE84" s="101" t="s">
        <v>119</v>
      </c>
      <c r="AF84" s="50"/>
      <c r="AG84" s="50">
        <v>16</v>
      </c>
      <c r="AH84" s="50"/>
      <c r="AI84" s="54"/>
      <c r="AJ84" s="50"/>
      <c r="AK84" s="50"/>
      <c r="AL84" s="50"/>
      <c r="AM84" s="50">
        <f>SUM(AF84:AL84)+AT84+AV84+AX84</f>
        <v>16</v>
      </c>
      <c r="AN84" s="125"/>
      <c r="AO84" s="50"/>
      <c r="AP84" s="50"/>
      <c r="AQ84" s="50"/>
      <c r="AR84" s="50">
        <f>SUM(AN84:AQ84)</f>
        <v>0</v>
      </c>
      <c r="AS84" s="50"/>
      <c r="AT84" s="50"/>
      <c r="AU84" s="50"/>
      <c r="AV84" s="50"/>
      <c r="AW84" s="50"/>
      <c r="AX84" s="50"/>
      <c r="AY84" s="50"/>
      <c r="AZ84" s="50"/>
      <c r="BA84" s="50">
        <f>+AR84+AS84+AU84+AW84+AY84+AZ84</f>
        <v>0</v>
      </c>
      <c r="BB84" s="126"/>
      <c r="BC84" s="116">
        <v>11</v>
      </c>
      <c r="BD84" s="116"/>
      <c r="BE84" s="126"/>
      <c r="BF84" s="116"/>
    </row>
    <row r="85" spans="1:58" ht="12.95" customHeight="1" x14ac:dyDescent="0.2">
      <c r="A85" s="117"/>
      <c r="B85" s="118"/>
      <c r="C85" s="119"/>
      <c r="D85" s="118"/>
      <c r="E85" s="37"/>
      <c r="F85" s="37"/>
      <c r="G85" s="127"/>
      <c r="H85" s="121"/>
      <c r="I85" s="45"/>
      <c r="J85" s="46"/>
      <c r="K85" s="46"/>
      <c r="L85" s="122"/>
      <c r="M85" s="122"/>
      <c r="N85" s="47"/>
      <c r="O85" s="48"/>
      <c r="P85" s="49"/>
      <c r="Q85" s="48"/>
      <c r="R85" s="123"/>
      <c r="S85" s="123"/>
      <c r="T85" s="50"/>
      <c r="U85" s="50"/>
      <c r="V85" s="50"/>
      <c r="W85" s="50"/>
      <c r="X85" s="55"/>
      <c r="Y85" s="52"/>
      <c r="Z85" s="50"/>
      <c r="AA85" s="50"/>
      <c r="AB85" s="50"/>
      <c r="AC85" s="50"/>
      <c r="AD85" s="50">
        <f>+AM85+BA85</f>
        <v>30</v>
      </c>
      <c r="AE85" s="101" t="s">
        <v>169</v>
      </c>
      <c r="AF85" s="124"/>
      <c r="AG85" s="124"/>
      <c r="AH85" s="124">
        <v>30</v>
      </c>
      <c r="AI85" s="54"/>
      <c r="AJ85" s="50"/>
      <c r="AK85" s="50"/>
      <c r="AL85" s="50"/>
      <c r="AM85" s="50">
        <f>SUM(AF85:AL85)+AT85+AV85+AX85</f>
        <v>30</v>
      </c>
      <c r="AN85" s="50"/>
      <c r="AO85" s="50"/>
      <c r="AP85" s="50"/>
      <c r="AQ85" s="50"/>
      <c r="AR85" s="50">
        <f>SUM(AN85:AQ85)</f>
        <v>0</v>
      </c>
      <c r="AS85" s="50"/>
      <c r="AT85" s="50"/>
      <c r="AU85" s="50"/>
      <c r="AV85" s="50"/>
      <c r="AW85" s="50"/>
      <c r="AX85" s="50"/>
      <c r="AY85" s="50"/>
      <c r="AZ85" s="50"/>
      <c r="BA85" s="50">
        <f>+AR85+AS85+AU85+AW85+AY85+AZ85</f>
        <v>0</v>
      </c>
      <c r="BB85" s="124"/>
      <c r="BC85" s="146"/>
      <c r="BD85" s="146"/>
      <c r="BE85" s="124"/>
      <c r="BF85" s="146"/>
    </row>
    <row r="86" spans="1:58" ht="12.95" customHeight="1" x14ac:dyDescent="0.2">
      <c r="A86" s="117"/>
      <c r="B86" s="118"/>
      <c r="C86" s="119"/>
      <c r="D86" s="118"/>
      <c r="E86" s="37"/>
      <c r="F86" s="37"/>
      <c r="G86" s="127"/>
      <c r="H86" s="121"/>
      <c r="I86" s="45"/>
      <c r="J86" s="46"/>
      <c r="K86" s="46"/>
      <c r="L86" s="122"/>
      <c r="M86" s="122"/>
      <c r="N86" s="47"/>
      <c r="O86" s="48"/>
      <c r="P86" s="49"/>
      <c r="Q86" s="48"/>
      <c r="R86" s="123"/>
      <c r="S86" s="123"/>
      <c r="T86" s="50"/>
      <c r="U86" s="50"/>
      <c r="V86" s="50"/>
      <c r="W86" s="50"/>
      <c r="X86" s="55"/>
      <c r="Y86" s="52"/>
      <c r="Z86" s="50"/>
      <c r="AA86" s="50"/>
      <c r="AB86" s="50"/>
      <c r="AC86" s="50"/>
      <c r="AD86" s="50">
        <f>+AM86+BA86</f>
        <v>5</v>
      </c>
      <c r="AE86" s="148" t="s">
        <v>124</v>
      </c>
      <c r="AF86" s="124"/>
      <c r="AG86" s="124"/>
      <c r="AH86" s="124"/>
      <c r="AI86" s="54">
        <v>5</v>
      </c>
      <c r="AJ86" s="50"/>
      <c r="AK86" s="50"/>
      <c r="AL86" s="50"/>
      <c r="AM86" s="50">
        <f>SUM(AF86:AL86)+AT86+AV86+AX86</f>
        <v>5</v>
      </c>
      <c r="AN86" s="50"/>
      <c r="AO86" s="50"/>
      <c r="AP86" s="50"/>
      <c r="AQ86" s="50"/>
      <c r="AR86" s="50">
        <f>SUM(AN86:AQ86)</f>
        <v>0</v>
      </c>
      <c r="AS86" s="50"/>
      <c r="AT86" s="50"/>
      <c r="AU86" s="50"/>
      <c r="AV86" s="50"/>
      <c r="AW86" s="50"/>
      <c r="AX86" s="50"/>
      <c r="AY86" s="50"/>
      <c r="AZ86" s="50"/>
      <c r="BA86" s="50">
        <f>+AR86+AS86+AU86+AW86+AY86+AZ86</f>
        <v>0</v>
      </c>
      <c r="BB86" s="124"/>
      <c r="BC86" s="146"/>
      <c r="BD86" s="146"/>
      <c r="BE86" s="124"/>
      <c r="BF86" s="146"/>
    </row>
    <row r="87" spans="1:58" ht="12.95" customHeight="1" x14ac:dyDescent="0.2">
      <c r="A87" s="117"/>
      <c r="B87" s="118"/>
      <c r="C87" s="119"/>
      <c r="D87" s="118"/>
      <c r="E87" s="37"/>
      <c r="F87" s="37"/>
      <c r="G87" s="120"/>
      <c r="H87" s="121"/>
      <c r="I87" s="45"/>
      <c r="J87" s="46"/>
      <c r="K87" s="46"/>
      <c r="L87" s="122"/>
      <c r="M87" s="122"/>
      <c r="N87" s="47"/>
      <c r="O87" s="48"/>
      <c r="P87" s="49"/>
      <c r="Q87" s="48"/>
      <c r="R87" s="123"/>
      <c r="S87" s="123"/>
      <c r="T87" s="50"/>
      <c r="U87" s="50"/>
      <c r="V87" s="50"/>
      <c r="W87" s="50"/>
      <c r="X87" s="55"/>
      <c r="Y87" s="52"/>
      <c r="Z87" s="50"/>
      <c r="AA87" s="50"/>
      <c r="AB87" s="50"/>
      <c r="AC87" s="50"/>
      <c r="AD87" s="50">
        <f>+AM87+BA87</f>
        <v>199</v>
      </c>
      <c r="AE87" s="148" t="s">
        <v>228</v>
      </c>
      <c r="AF87" s="124"/>
      <c r="AG87" s="124"/>
      <c r="AH87" s="124"/>
      <c r="AI87" s="54"/>
      <c r="AJ87" s="50"/>
      <c r="AK87" s="50"/>
      <c r="AL87" s="50"/>
      <c r="AM87" s="50">
        <f>SUM(AF87:AL87)+AT87+AV87+AX87</f>
        <v>0</v>
      </c>
      <c r="AN87" s="50"/>
      <c r="AO87" s="50"/>
      <c r="AP87" s="50"/>
      <c r="AQ87" s="50"/>
      <c r="AR87" s="50">
        <f>SUM(AN87:AQ87)</f>
        <v>0</v>
      </c>
      <c r="AS87" s="50">
        <v>199</v>
      </c>
      <c r="AT87" s="50"/>
      <c r="AU87" s="50"/>
      <c r="AV87" s="50"/>
      <c r="AW87" s="50"/>
      <c r="AX87" s="50"/>
      <c r="AY87" s="50"/>
      <c r="AZ87" s="50"/>
      <c r="BA87" s="50">
        <f>+AR87+AS87+AU87+AW87+AY87+AZ87</f>
        <v>199</v>
      </c>
      <c r="BB87" s="124"/>
      <c r="BC87" s="146"/>
      <c r="BD87" s="146"/>
      <c r="BE87" s="124"/>
      <c r="BF87" s="146"/>
    </row>
    <row r="88" spans="1:58" ht="12.95" customHeight="1" x14ac:dyDescent="0.2">
      <c r="A88" s="117"/>
      <c r="B88" s="118"/>
      <c r="C88" s="119"/>
      <c r="D88" s="118"/>
      <c r="E88" s="37"/>
      <c r="F88" s="37"/>
      <c r="G88" s="120"/>
      <c r="H88" s="121"/>
      <c r="I88" s="45"/>
      <c r="J88" s="46"/>
      <c r="K88" s="46"/>
      <c r="L88" s="122"/>
      <c r="M88" s="122"/>
      <c r="N88" s="47"/>
      <c r="O88" s="48"/>
      <c r="P88" s="49"/>
      <c r="Q88" s="48"/>
      <c r="R88" s="123"/>
      <c r="S88" s="123"/>
      <c r="T88" s="50"/>
      <c r="U88" s="50"/>
      <c r="V88" s="50"/>
      <c r="W88" s="50"/>
      <c r="X88" s="55"/>
      <c r="Y88" s="52"/>
      <c r="Z88" s="50"/>
      <c r="AA88" s="53"/>
      <c r="AB88" s="53"/>
      <c r="AC88" s="50"/>
      <c r="AD88" s="50"/>
      <c r="AE88" s="101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124"/>
      <c r="BC88" s="116"/>
      <c r="BD88" s="116"/>
      <c r="BE88" s="116"/>
      <c r="BF88" s="116"/>
    </row>
    <row r="89" spans="1:58" ht="12.95" customHeight="1" x14ac:dyDescent="0.2">
      <c r="A89" s="117">
        <v>45979</v>
      </c>
      <c r="B89" s="118" t="s">
        <v>115</v>
      </c>
      <c r="C89" s="119">
        <f>(M89*E89*O89*Q89)/100000000</f>
        <v>9.8683416000000008</v>
      </c>
      <c r="D89" s="118" t="s">
        <v>175</v>
      </c>
      <c r="E89" s="37">
        <v>12</v>
      </c>
      <c r="F89" s="37">
        <v>1</v>
      </c>
      <c r="G89" s="120">
        <v>1700</v>
      </c>
      <c r="H89" s="121">
        <v>0.24</v>
      </c>
      <c r="I89" s="45">
        <v>0.88</v>
      </c>
      <c r="J89" s="46">
        <f>E89*G89*(1-H89)*1440/1000000*2.77</f>
        <v>61.8423552</v>
      </c>
      <c r="K89" s="46">
        <f>(IF(G89&lt;L89,L89,G89)*(1-IF(H89&lt;N89,H89,N89))*E89*O89*Q89)/100000000</f>
        <v>10.8233424</v>
      </c>
      <c r="L89" s="122">
        <v>1550</v>
      </c>
      <c r="M89" s="122">
        <v>1178</v>
      </c>
      <c r="N89" s="47">
        <f>1-(M89/L89)</f>
        <v>0.24</v>
      </c>
      <c r="O89" s="48">
        <f>+'[1]Trim Rwd'!H79</f>
        <v>268.5</v>
      </c>
      <c r="P89" s="49">
        <f>O89*(Q89-R89-S89)</f>
        <v>67125</v>
      </c>
      <c r="Q89" s="48">
        <v>260</v>
      </c>
      <c r="R89" s="123">
        <v>0</v>
      </c>
      <c r="S89" s="123">
        <v>10</v>
      </c>
      <c r="T89" s="50">
        <f>E89*M89*O89*Q89/100000000</f>
        <v>9.8683416000000008</v>
      </c>
      <c r="U89" s="50">
        <f>E89*M89*O89*(Q89-R89-S89)/100000000</f>
        <v>9.4887899999999998</v>
      </c>
      <c r="V89" s="50">
        <f>E89*G89*(1-N89)*O89/100*(R89+S89)/1000000</f>
        <v>0.41628239999999994</v>
      </c>
      <c r="W89" s="50">
        <f>+'[1]18'!K14/1000</f>
        <v>13.865</v>
      </c>
      <c r="X89" s="51">
        <f>SUM(W89:W92)/SUM(K89:K92)</f>
        <v>0.70191175327409483</v>
      </c>
      <c r="Y89" s="52">
        <v>0</v>
      </c>
      <c r="Z89" s="50">
        <f>+'[1]17'!D13/1000</f>
        <v>0</v>
      </c>
      <c r="AA89" s="53">
        <f>SUM(U89:U92)-SUM(W89:W92)-SUM(Z89:Z92)-SUM(Y89:Y92)</f>
        <v>4.7909501584158543</v>
      </c>
      <c r="AB89" s="53">
        <f>(SUM(K89:K92)-SUM(W89:W92)-SUM(Y89:Y92)-SUM(Z89:Z92)-SUM(AC89:AC92)-SUM(V89:V92))-AA89</f>
        <v>-0.52843785742574223</v>
      </c>
      <c r="AC89" s="50">
        <f>K89-T89</f>
        <v>0.95500079999999876</v>
      </c>
      <c r="AD89" s="50">
        <f t="shared" ref="AD89:AD94" si="27">+AM89+BA89</f>
        <v>10</v>
      </c>
      <c r="AE89" s="101" t="s">
        <v>113</v>
      </c>
      <c r="AF89" s="50">
        <v>10</v>
      </c>
      <c r="AG89" s="50"/>
      <c r="AH89" s="50"/>
      <c r="AI89" s="54"/>
      <c r="AJ89" s="50"/>
      <c r="AK89" s="50"/>
      <c r="AL89" s="50"/>
      <c r="AM89" s="50">
        <f t="shared" ref="AM89:AM94" si="28">SUM(AF89:AL89)+AT89+AV89+AX89</f>
        <v>10</v>
      </c>
      <c r="AN89" s="50"/>
      <c r="AO89" s="50"/>
      <c r="AP89" s="50"/>
      <c r="AQ89" s="50"/>
      <c r="AR89" s="50">
        <f t="shared" ref="AR89:AR94" si="29">SUM(AN89:AQ89)</f>
        <v>0</v>
      </c>
      <c r="AS89" s="50"/>
      <c r="AT89" s="50"/>
      <c r="AU89" s="50"/>
      <c r="AV89" s="50"/>
      <c r="AW89" s="50"/>
      <c r="AX89" s="50"/>
      <c r="AY89" s="50"/>
      <c r="AZ89" s="50"/>
      <c r="BA89" s="50">
        <f t="shared" ref="BA89:BA94" si="30">+AR89+AS89+AU89+AW89+AY89+AZ89</f>
        <v>0</v>
      </c>
      <c r="BB89" s="124">
        <v>2</v>
      </c>
      <c r="BC89" s="116"/>
      <c r="BD89" s="116"/>
      <c r="BE89" s="124"/>
      <c r="BF89" s="116"/>
    </row>
    <row r="90" spans="1:58" ht="12.95" customHeight="1" x14ac:dyDescent="0.2">
      <c r="A90" s="117"/>
      <c r="B90" s="118" t="s">
        <v>115</v>
      </c>
      <c r="C90" s="119">
        <f>(M90*E90*O90*Q90)/100000000</f>
        <v>51.490881900990111</v>
      </c>
      <c r="D90" s="118" t="s">
        <v>175</v>
      </c>
      <c r="E90" s="37">
        <v>13</v>
      </c>
      <c r="F90" s="37">
        <v>1</v>
      </c>
      <c r="G90" s="120">
        <v>1700</v>
      </c>
      <c r="H90" s="121">
        <v>0.24</v>
      </c>
      <c r="I90" s="45">
        <v>0.88</v>
      </c>
      <c r="J90" s="46">
        <f>E90*G90*(1-H90)*1440/1000000*2.77</f>
        <v>66.995884799999999</v>
      </c>
      <c r="K90" s="46">
        <f>(IF(G90&lt;L90,L90,G90)*(1-IF(H90&lt;N90,H90,N90))*E90*O90*Q90)/100000000</f>
        <v>53.908441600000003</v>
      </c>
      <c r="L90" s="122">
        <v>1623.7623762376238</v>
      </c>
      <c r="M90" s="122">
        <v>1234.0594059405942</v>
      </c>
      <c r="N90" s="47">
        <f>1-(M90/L90)</f>
        <v>0.24</v>
      </c>
      <c r="O90" s="48">
        <f>+'[1]Trim Rwd'!H80</f>
        <v>272</v>
      </c>
      <c r="P90" s="49">
        <f>O90*(Q90-R90-S90)</f>
        <v>255680</v>
      </c>
      <c r="Q90" s="48">
        <v>1180</v>
      </c>
      <c r="R90" s="123">
        <v>170</v>
      </c>
      <c r="S90" s="123">
        <f>55+15</f>
        <v>70</v>
      </c>
      <c r="T90" s="50">
        <f>E90*M90*O90*Q90/100000000</f>
        <v>51.490881900990111</v>
      </c>
      <c r="U90" s="50">
        <f>E90*M90*O90*(Q90-R90-S90)/100000000</f>
        <v>41.018160158415853</v>
      </c>
      <c r="V90" s="50">
        <f>E90*G90*(1-N90)*O90/100*(R90+S90)/1000000</f>
        <v>10.9644288</v>
      </c>
      <c r="W90" s="50">
        <f>+'[1]18'!K15/1000</f>
        <v>31.571000000000002</v>
      </c>
      <c r="X90" s="55"/>
      <c r="Y90" s="52"/>
      <c r="Z90" s="50">
        <f>+'[1]18'!D16/1000</f>
        <v>0.28000000000000003</v>
      </c>
      <c r="AA90" s="50"/>
      <c r="AB90" s="50"/>
      <c r="AC90" s="50">
        <f>K90-T90</f>
        <v>2.4175596990098924</v>
      </c>
      <c r="AD90" s="50">
        <f t="shared" si="27"/>
        <v>15</v>
      </c>
      <c r="AE90" s="101" t="s">
        <v>119</v>
      </c>
      <c r="AF90" s="50"/>
      <c r="AG90" s="50">
        <v>15</v>
      </c>
      <c r="AH90" s="50"/>
      <c r="AI90" s="54"/>
      <c r="AJ90" s="50"/>
      <c r="AK90" s="50"/>
      <c r="AL90" s="50"/>
      <c r="AM90" s="50">
        <f t="shared" si="28"/>
        <v>15</v>
      </c>
      <c r="AN90" s="125"/>
      <c r="AO90" s="50"/>
      <c r="AP90" s="50"/>
      <c r="AQ90" s="50"/>
      <c r="AR90" s="50">
        <f t="shared" si="29"/>
        <v>0</v>
      </c>
      <c r="AS90" s="50"/>
      <c r="AT90" s="50"/>
      <c r="AU90" s="50"/>
      <c r="AV90" s="50"/>
      <c r="AW90" s="50"/>
      <c r="AX90" s="50"/>
      <c r="AY90" s="50"/>
      <c r="AZ90" s="50"/>
      <c r="BA90" s="50">
        <f t="shared" si="30"/>
        <v>0</v>
      </c>
      <c r="BB90" s="126"/>
      <c r="BC90" s="116">
        <v>11</v>
      </c>
      <c r="BD90" s="116"/>
      <c r="BE90" s="126"/>
      <c r="BF90" s="116"/>
    </row>
    <row r="91" spans="1:58" ht="12.95" customHeight="1" x14ac:dyDescent="0.2">
      <c r="A91" s="117"/>
      <c r="B91" s="118"/>
      <c r="C91" s="119"/>
      <c r="D91" s="118"/>
      <c r="E91" s="37"/>
      <c r="F91" s="37"/>
      <c r="G91" s="127"/>
      <c r="H91" s="121"/>
      <c r="I91" s="45"/>
      <c r="J91" s="46"/>
      <c r="K91" s="46"/>
      <c r="L91" s="122"/>
      <c r="M91" s="122"/>
      <c r="N91" s="47"/>
      <c r="O91" s="48"/>
      <c r="P91" s="49"/>
      <c r="Q91" s="48"/>
      <c r="R91" s="123"/>
      <c r="S91" s="123"/>
      <c r="T91" s="50"/>
      <c r="U91" s="50"/>
      <c r="V91" s="50"/>
      <c r="W91" s="50"/>
      <c r="X91" s="55"/>
      <c r="Y91" s="52"/>
      <c r="Z91" s="50"/>
      <c r="AA91" s="50"/>
      <c r="AB91" s="50"/>
      <c r="AC91" s="50"/>
      <c r="AD91" s="50">
        <f t="shared" si="27"/>
        <v>25</v>
      </c>
      <c r="AE91" s="101" t="s">
        <v>114</v>
      </c>
      <c r="AF91" s="124"/>
      <c r="AG91" s="124"/>
      <c r="AH91" s="124">
        <v>25</v>
      </c>
      <c r="AI91" s="54"/>
      <c r="AJ91" s="50"/>
      <c r="AK91" s="50"/>
      <c r="AL91" s="50"/>
      <c r="AM91" s="50">
        <f t="shared" si="28"/>
        <v>25</v>
      </c>
      <c r="AN91" s="50"/>
      <c r="AO91" s="50"/>
      <c r="AP91" s="50"/>
      <c r="AQ91" s="50"/>
      <c r="AR91" s="50">
        <f t="shared" si="29"/>
        <v>0</v>
      </c>
      <c r="AS91" s="50"/>
      <c r="AT91" s="50"/>
      <c r="AU91" s="50"/>
      <c r="AV91" s="50"/>
      <c r="AW91" s="50"/>
      <c r="AX91" s="50"/>
      <c r="AY91" s="50"/>
      <c r="AZ91" s="50"/>
      <c r="BA91" s="50">
        <f t="shared" si="30"/>
        <v>0</v>
      </c>
      <c r="BB91" s="124"/>
      <c r="BC91" s="146"/>
      <c r="BD91" s="146"/>
      <c r="BE91" s="124"/>
      <c r="BF91" s="146"/>
    </row>
    <row r="92" spans="1:58" ht="12.95" customHeight="1" x14ac:dyDescent="0.2">
      <c r="A92" s="117"/>
      <c r="B92" s="118"/>
      <c r="C92" s="119"/>
      <c r="D92" s="118"/>
      <c r="E92" s="37"/>
      <c r="F92" s="37"/>
      <c r="G92" s="127"/>
      <c r="H92" s="121"/>
      <c r="I92" s="45"/>
      <c r="J92" s="46"/>
      <c r="K92" s="46"/>
      <c r="L92" s="122"/>
      <c r="M92" s="122"/>
      <c r="N92" s="47"/>
      <c r="O92" s="48"/>
      <c r="P92" s="49"/>
      <c r="Q92" s="48"/>
      <c r="R92" s="123"/>
      <c r="S92" s="123"/>
      <c r="T92" s="50"/>
      <c r="U92" s="50"/>
      <c r="V92" s="50"/>
      <c r="W92" s="50"/>
      <c r="X92" s="55"/>
      <c r="Y92" s="52"/>
      <c r="Z92" s="50"/>
      <c r="AA92" s="50"/>
      <c r="AB92" s="50"/>
      <c r="AC92" s="50"/>
      <c r="AD92" s="50">
        <f t="shared" si="27"/>
        <v>140</v>
      </c>
      <c r="AE92" s="148" t="s">
        <v>229</v>
      </c>
      <c r="AF92" s="124"/>
      <c r="AG92" s="124"/>
      <c r="AH92" s="124"/>
      <c r="AI92" s="54"/>
      <c r="AJ92" s="50"/>
      <c r="AK92" s="50"/>
      <c r="AL92" s="50"/>
      <c r="AM92" s="50">
        <f t="shared" si="28"/>
        <v>0</v>
      </c>
      <c r="AN92" s="50"/>
      <c r="AO92" s="50">
        <v>140</v>
      </c>
      <c r="AP92" s="50"/>
      <c r="AQ92" s="50"/>
      <c r="AR92" s="50">
        <f t="shared" si="29"/>
        <v>140</v>
      </c>
      <c r="AS92" s="50"/>
      <c r="AT92" s="50"/>
      <c r="AU92" s="50"/>
      <c r="AV92" s="50"/>
      <c r="AW92" s="50"/>
      <c r="AX92" s="50"/>
      <c r="AY92" s="50"/>
      <c r="AZ92" s="50"/>
      <c r="BA92" s="50">
        <f t="shared" si="30"/>
        <v>140</v>
      </c>
      <c r="BB92" s="124"/>
      <c r="BC92" s="146"/>
      <c r="BD92" s="146"/>
      <c r="BE92" s="124"/>
      <c r="BF92" s="146"/>
    </row>
    <row r="93" spans="1:58" ht="12.95" customHeight="1" x14ac:dyDescent="0.2">
      <c r="A93" s="117"/>
      <c r="B93" s="118"/>
      <c r="C93" s="119"/>
      <c r="D93" s="118"/>
      <c r="E93" s="37"/>
      <c r="F93" s="37"/>
      <c r="G93" s="120"/>
      <c r="H93" s="121"/>
      <c r="I93" s="45"/>
      <c r="J93" s="46"/>
      <c r="K93" s="46"/>
      <c r="L93" s="122"/>
      <c r="M93" s="122"/>
      <c r="N93" s="47"/>
      <c r="O93" s="48"/>
      <c r="P93" s="49"/>
      <c r="Q93" s="48"/>
      <c r="R93" s="123"/>
      <c r="S93" s="123"/>
      <c r="T93" s="50"/>
      <c r="U93" s="50"/>
      <c r="V93" s="50"/>
      <c r="W93" s="50"/>
      <c r="X93" s="55"/>
      <c r="Y93" s="52"/>
      <c r="Z93" s="50"/>
      <c r="AA93" s="50"/>
      <c r="AB93" s="50"/>
      <c r="AC93" s="50"/>
      <c r="AD93" s="50">
        <f t="shared" si="27"/>
        <v>30</v>
      </c>
      <c r="AE93" s="148" t="s">
        <v>230</v>
      </c>
      <c r="AF93" s="124"/>
      <c r="AG93" s="124"/>
      <c r="AH93" s="124"/>
      <c r="AI93" s="54"/>
      <c r="AJ93" s="50"/>
      <c r="AK93" s="50"/>
      <c r="AL93" s="50"/>
      <c r="AM93" s="50">
        <f t="shared" si="28"/>
        <v>0</v>
      </c>
      <c r="AN93" s="50"/>
      <c r="AO93" s="50">
        <v>30</v>
      </c>
      <c r="AP93" s="50"/>
      <c r="AQ93" s="50"/>
      <c r="AR93" s="50">
        <f t="shared" si="29"/>
        <v>30</v>
      </c>
      <c r="AS93" s="50"/>
      <c r="AT93" s="50"/>
      <c r="AU93" s="50"/>
      <c r="AV93" s="50"/>
      <c r="AW93" s="50"/>
      <c r="AX93" s="50"/>
      <c r="AY93" s="50"/>
      <c r="AZ93" s="50"/>
      <c r="BA93" s="50">
        <f t="shared" si="30"/>
        <v>30</v>
      </c>
      <c r="BB93" s="124"/>
      <c r="BC93" s="146"/>
      <c r="BD93" s="146"/>
      <c r="BE93" s="124"/>
      <c r="BF93" s="146"/>
    </row>
    <row r="94" spans="1:58" ht="12.95" customHeight="1" x14ac:dyDescent="0.2">
      <c r="A94" s="117"/>
      <c r="B94" s="118"/>
      <c r="C94" s="119"/>
      <c r="D94" s="118"/>
      <c r="E94" s="37"/>
      <c r="F94" s="37"/>
      <c r="G94" s="120"/>
      <c r="H94" s="121"/>
      <c r="I94" s="45"/>
      <c r="J94" s="46"/>
      <c r="K94" s="46"/>
      <c r="L94" s="122"/>
      <c r="M94" s="122"/>
      <c r="N94" s="47"/>
      <c r="O94" s="48"/>
      <c r="P94" s="49"/>
      <c r="Q94" s="48"/>
      <c r="R94" s="123"/>
      <c r="S94" s="123"/>
      <c r="T94" s="50"/>
      <c r="U94" s="50"/>
      <c r="V94" s="50"/>
      <c r="W94" s="50"/>
      <c r="X94" s="51"/>
      <c r="Y94" s="52"/>
      <c r="Z94" s="50"/>
      <c r="AA94" s="53"/>
      <c r="AB94" s="53"/>
      <c r="AC94" s="50"/>
      <c r="AD94" s="50">
        <f t="shared" si="27"/>
        <v>30</v>
      </c>
      <c r="AE94" s="148" t="s">
        <v>231</v>
      </c>
      <c r="AF94" s="124"/>
      <c r="AG94" s="124"/>
      <c r="AH94" s="124"/>
      <c r="AI94" s="54"/>
      <c r="AJ94" s="50">
        <v>30</v>
      </c>
      <c r="AK94" s="50"/>
      <c r="AL94" s="50"/>
      <c r="AM94" s="50">
        <f t="shared" si="28"/>
        <v>30</v>
      </c>
      <c r="AN94" s="50"/>
      <c r="AO94" s="50"/>
      <c r="AP94" s="50"/>
      <c r="AQ94" s="50"/>
      <c r="AR94" s="50">
        <f t="shared" si="29"/>
        <v>0</v>
      </c>
      <c r="AS94" s="50"/>
      <c r="AT94" s="50"/>
      <c r="AU94" s="50"/>
      <c r="AV94" s="50"/>
      <c r="AW94" s="50"/>
      <c r="AX94" s="50"/>
      <c r="AY94" s="50"/>
      <c r="AZ94" s="50"/>
      <c r="BA94" s="50">
        <f t="shared" si="30"/>
        <v>0</v>
      </c>
      <c r="BB94" s="124"/>
      <c r="BC94" s="146"/>
      <c r="BD94" s="146"/>
      <c r="BE94" s="124"/>
      <c r="BF94" s="146"/>
    </row>
    <row r="95" spans="1:58" ht="12.95" customHeight="1" x14ac:dyDescent="0.2">
      <c r="A95" s="117"/>
      <c r="B95" s="118"/>
      <c r="C95" s="119"/>
      <c r="D95" s="118"/>
      <c r="E95" s="37"/>
      <c r="F95" s="37"/>
      <c r="G95" s="120"/>
      <c r="H95" s="121"/>
      <c r="I95" s="45"/>
      <c r="J95" s="46"/>
      <c r="K95" s="46"/>
      <c r="L95" s="122"/>
      <c r="M95" s="122"/>
      <c r="N95" s="47"/>
      <c r="O95" s="48"/>
      <c r="P95" s="49"/>
      <c r="Q95" s="48"/>
      <c r="R95" s="123"/>
      <c r="S95" s="123"/>
      <c r="T95" s="50"/>
      <c r="U95" s="50"/>
      <c r="V95" s="50"/>
      <c r="W95" s="50"/>
      <c r="X95" s="51"/>
      <c r="Y95" s="52"/>
      <c r="Z95" s="50"/>
      <c r="AA95" s="53"/>
      <c r="AB95" s="53"/>
      <c r="AC95" s="50"/>
      <c r="AD95" s="50"/>
      <c r="AE95" s="101"/>
      <c r="AF95" s="50"/>
      <c r="AG95" s="50"/>
      <c r="AH95" s="50"/>
      <c r="AI95" s="54"/>
      <c r="AJ95" s="50"/>
      <c r="AK95" s="50"/>
      <c r="AL95" s="50"/>
      <c r="AM95" s="50"/>
      <c r="AN95" s="125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126"/>
      <c r="BC95" s="116"/>
      <c r="BD95" s="116"/>
      <c r="BE95" s="116"/>
      <c r="BF95" s="116"/>
    </row>
    <row r="96" spans="1:58" ht="12.95" customHeight="1" x14ac:dyDescent="0.2">
      <c r="A96" s="117">
        <v>45980</v>
      </c>
      <c r="B96" s="118" t="s">
        <v>115</v>
      </c>
      <c r="C96" s="119">
        <f>(M96*E96*O96*Q96)/100000000</f>
        <v>65.141606399999986</v>
      </c>
      <c r="D96" s="118" t="s">
        <v>175</v>
      </c>
      <c r="E96" s="37">
        <v>13</v>
      </c>
      <c r="F96" s="37">
        <v>1</v>
      </c>
      <c r="G96" s="120">
        <v>1700</v>
      </c>
      <c r="H96" s="121">
        <v>0.24</v>
      </c>
      <c r="I96" s="45">
        <v>0.88</v>
      </c>
      <c r="J96" s="46">
        <f>E96*G96*(1-H96)*1440/1000000*2.77</f>
        <v>66.995884799999999</v>
      </c>
      <c r="K96" s="46">
        <f>(IF(G96&lt;L96,L96,G96)*(1-IF(H96&lt;N96,H96,N96))*E96*O96*Q96)/100000000</f>
        <v>65.786572800000002</v>
      </c>
      <c r="L96" s="122">
        <v>1683.3333333333333</v>
      </c>
      <c r="M96" s="122">
        <v>1279.3333333333333</v>
      </c>
      <c r="N96" s="47">
        <f>1-(M96/L96)</f>
        <v>0.24</v>
      </c>
      <c r="O96" s="48">
        <f>+'[1]Trim Rwd'!H82</f>
        <v>272</v>
      </c>
      <c r="P96" s="49">
        <f>O96*(Q96-R96-S96)</f>
        <v>374272</v>
      </c>
      <c r="Q96" s="48">
        <v>1440</v>
      </c>
      <c r="R96" s="123">
        <v>0</v>
      </c>
      <c r="S96" s="123">
        <v>64</v>
      </c>
      <c r="T96" s="50">
        <f>E96*M96*O96*Q96/100000000</f>
        <v>65.141606399999986</v>
      </c>
      <c r="U96" s="50">
        <f>E96*M96*O96*(Q96-R96-S96)/100000000</f>
        <v>62.246423893333322</v>
      </c>
      <c r="V96" s="50">
        <f>E96*G96*(1-N96)*O96/100*(R96+S96)/1000000</f>
        <v>2.9238476800000002</v>
      </c>
      <c r="W96" s="50">
        <f>+'[1]19'!K34/1000</f>
        <v>62.713000000000001</v>
      </c>
      <c r="X96" s="51">
        <f>SUM(W96:W99)/SUM(K96:K99)</f>
        <v>0.95327963337831756</v>
      </c>
      <c r="Y96" s="52">
        <v>0</v>
      </c>
      <c r="Z96" s="50">
        <f>+'[1]19'!D34/1000</f>
        <v>0.26300000000000001</v>
      </c>
      <c r="AA96" s="53">
        <f>SUM(U96:U99)-SUM(W96:W99)-SUM(Z96:Z99)-SUM(Y96:Y99)</f>
        <v>-0.72957610666667894</v>
      </c>
      <c r="AB96" s="53">
        <f>(SUM(K96:K99)-SUM(W96:W99)-SUM(Y96:Y99)-SUM(Z96:Z99)-SUM(AC96:AC99)-SUM(V96:V99))-AA96</f>
        <v>-2.8665173333335736E-2</v>
      </c>
      <c r="AC96" s="50">
        <f>K96-T96</f>
        <v>0.64496640000001548</v>
      </c>
      <c r="AD96" s="50">
        <f t="shared" ref="AD96:AD99" si="31">+AM96+BA96</f>
        <v>0</v>
      </c>
      <c r="AE96" s="101" t="s">
        <v>110</v>
      </c>
      <c r="AF96" s="50">
        <v>0</v>
      </c>
      <c r="AG96" s="50"/>
      <c r="AH96" s="50"/>
      <c r="AI96" s="54"/>
      <c r="AJ96" s="50"/>
      <c r="AK96" s="50"/>
      <c r="AL96" s="50"/>
      <c r="AM96" s="50">
        <f t="shared" ref="AM96:AM98" si="32">SUM(AF96:AL96)+AT96+AV96+AX96</f>
        <v>0</v>
      </c>
      <c r="AN96" s="50"/>
      <c r="AO96" s="50"/>
      <c r="AP96" s="50"/>
      <c r="AQ96" s="50"/>
      <c r="AR96" s="50">
        <f t="shared" ref="AR96:AR98" si="33">SUM(AN96:AQ96)</f>
        <v>0</v>
      </c>
      <c r="AS96" s="50"/>
      <c r="AT96" s="50"/>
      <c r="AU96" s="50"/>
      <c r="AV96" s="50"/>
      <c r="AW96" s="50"/>
      <c r="AX96" s="50"/>
      <c r="AY96" s="50"/>
      <c r="AZ96" s="50"/>
      <c r="BA96" s="50">
        <f t="shared" ref="BA96:BA99" si="34">+AR96+AS96+AU96+AW96+AY96+AZ96</f>
        <v>0</v>
      </c>
      <c r="BB96" s="124">
        <v>0</v>
      </c>
      <c r="BC96" s="116"/>
      <c r="BD96" s="116"/>
      <c r="BE96" s="124"/>
      <c r="BF96" s="116"/>
    </row>
    <row r="97" spans="1:58" ht="12.95" customHeight="1" x14ac:dyDescent="0.2">
      <c r="A97" s="117"/>
      <c r="B97" s="118"/>
      <c r="C97" s="119"/>
      <c r="D97" s="118"/>
      <c r="E97" s="37"/>
      <c r="F97" s="37"/>
      <c r="G97" s="120"/>
      <c r="H97" s="121"/>
      <c r="I97" s="45"/>
      <c r="J97" s="46"/>
      <c r="K97" s="46"/>
      <c r="L97" s="122"/>
      <c r="M97" s="122"/>
      <c r="N97" s="47"/>
      <c r="O97" s="48"/>
      <c r="P97" s="49"/>
      <c r="Q97" s="48"/>
      <c r="R97" s="123"/>
      <c r="S97" s="123"/>
      <c r="T97" s="50"/>
      <c r="U97" s="50"/>
      <c r="V97" s="50"/>
      <c r="W97" s="50"/>
      <c r="X97" s="55"/>
      <c r="Y97" s="52"/>
      <c r="Z97" s="50"/>
      <c r="AA97" s="50"/>
      <c r="AB97" s="50"/>
      <c r="AC97" s="50"/>
      <c r="AD97" s="50">
        <f t="shared" si="31"/>
        <v>17</v>
      </c>
      <c r="AE97" s="101" t="s">
        <v>191</v>
      </c>
      <c r="AF97" s="50"/>
      <c r="AG97" s="50">
        <v>17</v>
      </c>
      <c r="AH97" s="50"/>
      <c r="AI97" s="54"/>
      <c r="AJ97" s="50"/>
      <c r="AK97" s="50"/>
      <c r="AL97" s="50"/>
      <c r="AM97" s="50">
        <f t="shared" si="32"/>
        <v>17</v>
      </c>
      <c r="AN97" s="125"/>
      <c r="AO97" s="50"/>
      <c r="AP97" s="50"/>
      <c r="AQ97" s="50"/>
      <c r="AR97" s="50">
        <f t="shared" si="33"/>
        <v>0</v>
      </c>
      <c r="AS97" s="50"/>
      <c r="AT97" s="50"/>
      <c r="AU97" s="50"/>
      <c r="AV97" s="50"/>
      <c r="AW97" s="50"/>
      <c r="AX97" s="50"/>
      <c r="AY97" s="50"/>
      <c r="AZ97" s="50"/>
      <c r="BA97" s="50">
        <f t="shared" si="34"/>
        <v>0</v>
      </c>
      <c r="BB97" s="126"/>
      <c r="BC97" s="116">
        <v>15</v>
      </c>
      <c r="BD97" s="116"/>
      <c r="BE97" s="126"/>
      <c r="BF97" s="116"/>
    </row>
    <row r="98" spans="1:58" ht="12.95" customHeight="1" x14ac:dyDescent="0.2">
      <c r="A98" s="117"/>
      <c r="B98" s="118"/>
      <c r="C98" s="119"/>
      <c r="D98" s="118"/>
      <c r="E98" s="37"/>
      <c r="F98" s="37"/>
      <c r="G98" s="127"/>
      <c r="H98" s="121"/>
      <c r="I98" s="45"/>
      <c r="J98" s="46"/>
      <c r="K98" s="46"/>
      <c r="L98" s="122"/>
      <c r="M98" s="122"/>
      <c r="N98" s="47"/>
      <c r="O98" s="48"/>
      <c r="P98" s="49"/>
      <c r="Q98" s="48"/>
      <c r="R98" s="123"/>
      <c r="S98" s="123"/>
      <c r="T98" s="50"/>
      <c r="U98" s="50"/>
      <c r="V98" s="50"/>
      <c r="W98" s="50"/>
      <c r="X98" s="55"/>
      <c r="Y98" s="52"/>
      <c r="Z98" s="50"/>
      <c r="AA98" s="50"/>
      <c r="AB98" s="50"/>
      <c r="AC98" s="50"/>
      <c r="AD98" s="50">
        <f t="shared" si="31"/>
        <v>22</v>
      </c>
      <c r="AE98" s="101" t="s">
        <v>123</v>
      </c>
      <c r="AF98" s="124"/>
      <c r="AG98" s="124"/>
      <c r="AH98" s="124">
        <v>22</v>
      </c>
      <c r="AI98" s="54"/>
      <c r="AJ98" s="50"/>
      <c r="AK98" s="50"/>
      <c r="AL98" s="50"/>
      <c r="AM98" s="50">
        <f t="shared" si="32"/>
        <v>22</v>
      </c>
      <c r="AN98" s="50"/>
      <c r="AO98" s="50"/>
      <c r="AP98" s="50"/>
      <c r="AQ98" s="50"/>
      <c r="AR98" s="50">
        <f t="shared" si="33"/>
        <v>0</v>
      </c>
      <c r="AS98" s="50"/>
      <c r="AT98" s="50"/>
      <c r="AU98" s="50"/>
      <c r="AV98" s="50"/>
      <c r="AW98" s="50"/>
      <c r="AX98" s="50"/>
      <c r="AY98" s="50"/>
      <c r="AZ98" s="50"/>
      <c r="BA98" s="50">
        <f t="shared" si="34"/>
        <v>0</v>
      </c>
      <c r="BB98" s="124"/>
      <c r="BC98" s="146"/>
      <c r="BD98" s="146"/>
      <c r="BE98" s="124"/>
      <c r="BF98" s="146"/>
    </row>
    <row r="99" spans="1:58" ht="12.95" customHeight="1" x14ac:dyDescent="0.2">
      <c r="A99" s="117"/>
      <c r="B99" s="118"/>
      <c r="C99" s="119"/>
      <c r="D99" s="118"/>
      <c r="E99" s="37"/>
      <c r="F99" s="37"/>
      <c r="G99" s="127"/>
      <c r="H99" s="121"/>
      <c r="I99" s="45"/>
      <c r="J99" s="46"/>
      <c r="K99" s="46"/>
      <c r="L99" s="122"/>
      <c r="M99" s="122"/>
      <c r="N99" s="47"/>
      <c r="O99" s="48"/>
      <c r="P99" s="49"/>
      <c r="Q99" s="48"/>
      <c r="R99" s="123"/>
      <c r="S99" s="123"/>
      <c r="T99" s="50"/>
      <c r="U99" s="50"/>
      <c r="V99" s="50"/>
      <c r="W99" s="50"/>
      <c r="X99" s="55"/>
      <c r="Y99" s="52"/>
      <c r="Z99" s="50"/>
      <c r="AA99" s="50"/>
      <c r="AB99" s="50"/>
      <c r="AC99" s="50"/>
      <c r="AD99" s="50">
        <f t="shared" si="31"/>
        <v>25</v>
      </c>
      <c r="AE99" s="148" t="s">
        <v>232</v>
      </c>
      <c r="AF99" s="124">
        <v>25</v>
      </c>
      <c r="AG99" s="124"/>
      <c r="AH99" s="124"/>
      <c r="AI99" s="54"/>
      <c r="AJ99" s="50"/>
      <c r="AK99" s="50"/>
      <c r="AL99" s="50"/>
      <c r="AM99" s="50">
        <f t="shared" ref="AM99" si="35">SUM(AF99:AL99)+AT99+AV99+AX99</f>
        <v>25</v>
      </c>
      <c r="AN99" s="50"/>
      <c r="AO99" s="50"/>
      <c r="AP99" s="50"/>
      <c r="AQ99" s="50"/>
      <c r="AR99" s="50">
        <f t="shared" ref="AR99" si="36">SUM(AN99:AQ99)</f>
        <v>0</v>
      </c>
      <c r="AS99" s="50"/>
      <c r="AT99" s="50"/>
      <c r="AU99" s="50"/>
      <c r="AV99" s="50"/>
      <c r="AW99" s="50"/>
      <c r="AX99" s="50"/>
      <c r="AY99" s="50"/>
      <c r="AZ99" s="50"/>
      <c r="BA99" s="50">
        <f t="shared" si="34"/>
        <v>0</v>
      </c>
      <c r="BB99" s="124"/>
      <c r="BC99" s="146"/>
      <c r="BD99" s="146"/>
      <c r="BE99" s="124"/>
      <c r="BF99" s="146"/>
    </row>
    <row r="100" spans="1:58" ht="12.95" customHeight="1" x14ac:dyDescent="0.2">
      <c r="A100" s="117"/>
      <c r="B100" s="118"/>
      <c r="C100" s="119"/>
      <c r="D100" s="118"/>
      <c r="E100" s="37"/>
      <c r="F100" s="37"/>
      <c r="G100" s="120"/>
      <c r="H100" s="121"/>
      <c r="I100" s="45"/>
      <c r="J100" s="46"/>
      <c r="K100" s="46"/>
      <c r="L100" s="122"/>
      <c r="M100" s="122"/>
      <c r="N100" s="47"/>
      <c r="O100" s="48"/>
      <c r="P100" s="49"/>
      <c r="Q100" s="48"/>
      <c r="R100" s="123"/>
      <c r="S100" s="123"/>
      <c r="T100" s="50"/>
      <c r="U100" s="50"/>
      <c r="V100" s="50"/>
      <c r="W100" s="50"/>
      <c r="X100" s="55"/>
      <c r="Y100" s="52"/>
      <c r="Z100" s="50"/>
      <c r="AA100" s="50"/>
      <c r="AB100" s="50"/>
      <c r="AC100" s="50"/>
      <c r="AD100" s="50"/>
      <c r="AE100" s="101"/>
      <c r="AF100" s="124"/>
      <c r="AG100" s="124"/>
      <c r="AH100" s="124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124"/>
      <c r="BC100" s="146"/>
      <c r="BD100" s="116"/>
      <c r="BE100" s="116"/>
      <c r="BF100" s="116"/>
    </row>
    <row r="101" spans="1:58" ht="12.95" customHeight="1" x14ac:dyDescent="0.2">
      <c r="A101" s="117">
        <v>45981</v>
      </c>
      <c r="B101" s="118" t="s">
        <v>115</v>
      </c>
      <c r="C101" s="119">
        <f>(M101*E101*O101*Q101)/100000000</f>
        <v>62.948720639999998</v>
      </c>
      <c r="D101" s="118" t="s">
        <v>175</v>
      </c>
      <c r="E101" s="37">
        <v>13</v>
      </c>
      <c r="F101" s="37">
        <v>1</v>
      </c>
      <c r="G101" s="120">
        <v>1700</v>
      </c>
      <c r="H101" s="121">
        <v>0.24</v>
      </c>
      <c r="I101" s="45">
        <v>0.88</v>
      </c>
      <c r="J101" s="46">
        <f>E101*G101*(1-H101)*1440/1000000*2.77</f>
        <v>66.995884799999999</v>
      </c>
      <c r="K101" s="46">
        <f>(IF(G101&lt;L101,L101,G101)*(1-IF(H101&lt;N101,H101,N101))*E101*O101*Q101)/100000000</f>
        <v>65.786572800000002</v>
      </c>
      <c r="L101" s="122">
        <v>1626.6666666666667</v>
      </c>
      <c r="M101" s="122">
        <v>1236.2666666666667</v>
      </c>
      <c r="N101" s="47">
        <f>1-(M101/L101)</f>
        <v>0.24</v>
      </c>
      <c r="O101" s="48">
        <f>+'[1]Trim Rwd'!H84</f>
        <v>272</v>
      </c>
      <c r="P101" s="49">
        <f>O101*(Q101-R101-S101)</f>
        <v>379168</v>
      </c>
      <c r="Q101" s="48">
        <v>1440</v>
      </c>
      <c r="R101" s="123">
        <v>0</v>
      </c>
      <c r="S101" s="123">
        <v>46</v>
      </c>
      <c r="T101" s="50">
        <f>E101*M101*O101*Q101/100000000</f>
        <v>62.948720639999998</v>
      </c>
      <c r="U101" s="50">
        <f>E101*M101*O101*(Q101-R101-S101)/100000000</f>
        <v>60.937858730666669</v>
      </c>
      <c r="V101" s="50">
        <f>E101*G101*(1-N101)*O101/100*(R101+S101)/1000000</f>
        <v>2.10151552</v>
      </c>
      <c r="W101" s="50">
        <f>+'[1]20'!K34/1000</f>
        <v>57.715000000000003</v>
      </c>
      <c r="X101" s="51">
        <f>SUM(W101:W104)/SUM(K101:K104)</f>
        <v>0.87730668346960916</v>
      </c>
      <c r="Y101" s="52">
        <v>0</v>
      </c>
      <c r="Z101" s="50">
        <f>+'[1]20'!D34/1000</f>
        <v>2.3250000000000002</v>
      </c>
      <c r="AA101" s="53">
        <f>SUM(U101:U104)-SUM(W101:W104)-SUM(Z101:Z104)-SUM(Y101:Y104)</f>
        <v>0.89785873066666522</v>
      </c>
      <c r="AB101" s="53">
        <f>(SUM(K101:K104)-SUM(W101:W104)-SUM(Y101:Y104)-SUM(Z101:Z104)-SUM(AC101:AC104)-SUM(V101:V104))-AA101</f>
        <v>-9.0653610666671103E-2</v>
      </c>
      <c r="AC101" s="50">
        <f>K101-T101</f>
        <v>2.8378521600000042</v>
      </c>
      <c r="AD101" s="50">
        <f t="shared" ref="AD101:AD103" si="37">+AM101+BA101</f>
        <v>10</v>
      </c>
      <c r="AE101" s="101" t="s">
        <v>113</v>
      </c>
      <c r="AF101" s="50">
        <v>10</v>
      </c>
      <c r="AG101" s="50"/>
      <c r="AH101" s="50"/>
      <c r="AI101" s="54"/>
      <c r="AJ101" s="50"/>
      <c r="AK101" s="50"/>
      <c r="AL101" s="50"/>
      <c r="AM101" s="50">
        <f t="shared" ref="AM101:AM103" si="38">SUM(AF101:AL101)+AT101+AV101+AX101</f>
        <v>10</v>
      </c>
      <c r="AN101" s="50"/>
      <c r="AO101" s="50"/>
      <c r="AP101" s="50"/>
      <c r="AQ101" s="50"/>
      <c r="AR101" s="50">
        <f t="shared" ref="AR101:AR103" si="39">SUM(AN101:AQ101)</f>
        <v>0</v>
      </c>
      <c r="AS101" s="50"/>
      <c r="AT101" s="50"/>
      <c r="AU101" s="50"/>
      <c r="AV101" s="50"/>
      <c r="AW101" s="50"/>
      <c r="AX101" s="50"/>
      <c r="AY101" s="50"/>
      <c r="AZ101" s="50"/>
      <c r="BA101" s="50">
        <f t="shared" ref="BA101:BA103" si="40">+AR101+AS101+AU101+AW101+AY101+AZ101</f>
        <v>0</v>
      </c>
      <c r="BB101" s="124">
        <v>2</v>
      </c>
      <c r="BC101" s="116"/>
      <c r="BD101" s="116"/>
      <c r="BE101" s="124"/>
      <c r="BF101" s="116"/>
    </row>
    <row r="102" spans="1:58" ht="12.95" customHeight="1" x14ac:dyDescent="0.2">
      <c r="A102" s="117"/>
      <c r="B102" s="118"/>
      <c r="C102" s="119"/>
      <c r="D102" s="118"/>
      <c r="E102" s="37"/>
      <c r="F102" s="37"/>
      <c r="G102" s="120"/>
      <c r="H102" s="121"/>
      <c r="I102" s="45"/>
      <c r="J102" s="46"/>
      <c r="K102" s="46"/>
      <c r="L102" s="122"/>
      <c r="M102" s="122"/>
      <c r="N102" s="47"/>
      <c r="O102" s="48"/>
      <c r="P102" s="49"/>
      <c r="Q102" s="48"/>
      <c r="R102" s="123"/>
      <c r="S102" s="123"/>
      <c r="T102" s="50"/>
      <c r="U102" s="50"/>
      <c r="V102" s="50"/>
      <c r="W102" s="50"/>
      <c r="X102" s="55"/>
      <c r="Y102" s="52"/>
      <c r="Z102" s="50"/>
      <c r="AA102" s="50"/>
      <c r="AB102" s="50"/>
      <c r="AC102" s="50"/>
      <c r="AD102" s="50">
        <f t="shared" si="37"/>
        <v>11</v>
      </c>
      <c r="AE102" s="101" t="s">
        <v>188</v>
      </c>
      <c r="AF102" s="50"/>
      <c r="AG102" s="50">
        <v>11</v>
      </c>
      <c r="AH102" s="50"/>
      <c r="AI102" s="54"/>
      <c r="AJ102" s="50"/>
      <c r="AK102" s="50"/>
      <c r="AL102" s="50"/>
      <c r="AM102" s="50">
        <f t="shared" si="38"/>
        <v>11</v>
      </c>
      <c r="AN102" s="125"/>
      <c r="AO102" s="50"/>
      <c r="AP102" s="50"/>
      <c r="AQ102" s="50"/>
      <c r="AR102" s="50">
        <f t="shared" si="39"/>
        <v>0</v>
      </c>
      <c r="AS102" s="50"/>
      <c r="AT102" s="50"/>
      <c r="AU102" s="50"/>
      <c r="AV102" s="50"/>
      <c r="AW102" s="50"/>
      <c r="AX102" s="50"/>
      <c r="AY102" s="50"/>
      <c r="AZ102" s="50"/>
      <c r="BA102" s="50">
        <f t="shared" si="40"/>
        <v>0</v>
      </c>
      <c r="BB102" s="126"/>
      <c r="BC102" s="116">
        <v>14</v>
      </c>
      <c r="BD102" s="116"/>
      <c r="BE102" s="126"/>
      <c r="BF102" s="116"/>
    </row>
    <row r="103" spans="1:58" ht="12.95" customHeight="1" x14ac:dyDescent="0.2">
      <c r="A103" s="117"/>
      <c r="B103" s="118"/>
      <c r="C103" s="119"/>
      <c r="D103" s="118"/>
      <c r="E103" s="37"/>
      <c r="F103" s="37"/>
      <c r="G103" s="127"/>
      <c r="H103" s="121"/>
      <c r="I103" s="45"/>
      <c r="J103" s="46"/>
      <c r="K103" s="46"/>
      <c r="L103" s="122"/>
      <c r="M103" s="122"/>
      <c r="N103" s="47"/>
      <c r="O103" s="48"/>
      <c r="P103" s="49"/>
      <c r="Q103" s="48"/>
      <c r="R103" s="123"/>
      <c r="S103" s="123"/>
      <c r="T103" s="50"/>
      <c r="U103" s="50"/>
      <c r="V103" s="50"/>
      <c r="W103" s="50"/>
      <c r="X103" s="55"/>
      <c r="Y103" s="52"/>
      <c r="Z103" s="50"/>
      <c r="AA103" s="50"/>
      <c r="AB103" s="50"/>
      <c r="AC103" s="50"/>
      <c r="AD103" s="50">
        <f t="shared" si="37"/>
        <v>25</v>
      </c>
      <c r="AE103" s="101" t="s">
        <v>114</v>
      </c>
      <c r="AF103" s="124"/>
      <c r="AG103" s="124"/>
      <c r="AH103" s="124">
        <v>25</v>
      </c>
      <c r="AI103" s="54"/>
      <c r="AJ103" s="50"/>
      <c r="AK103" s="50"/>
      <c r="AL103" s="50"/>
      <c r="AM103" s="50">
        <f t="shared" si="38"/>
        <v>25</v>
      </c>
      <c r="AN103" s="50"/>
      <c r="AO103" s="50"/>
      <c r="AP103" s="50"/>
      <c r="AQ103" s="50"/>
      <c r="AR103" s="50">
        <f t="shared" si="39"/>
        <v>0</v>
      </c>
      <c r="AS103" s="50"/>
      <c r="AT103" s="50"/>
      <c r="AU103" s="50"/>
      <c r="AV103" s="50"/>
      <c r="AW103" s="50"/>
      <c r="AX103" s="50"/>
      <c r="AY103" s="50"/>
      <c r="AZ103" s="50"/>
      <c r="BA103" s="50">
        <f t="shared" si="40"/>
        <v>0</v>
      </c>
      <c r="BB103" s="124"/>
      <c r="BC103" s="146"/>
      <c r="BD103" s="146"/>
      <c r="BE103" s="124"/>
      <c r="BF103" s="146"/>
    </row>
    <row r="104" spans="1:58" ht="12.95" customHeight="1" x14ac:dyDescent="0.2">
      <c r="A104" s="117"/>
      <c r="B104" s="118"/>
      <c r="C104" s="119"/>
      <c r="D104" s="118"/>
      <c r="E104" s="37"/>
      <c r="F104" s="37"/>
      <c r="G104" s="127"/>
      <c r="H104" s="121"/>
      <c r="I104" s="45"/>
      <c r="J104" s="46"/>
      <c r="K104" s="46"/>
      <c r="L104" s="122"/>
      <c r="M104" s="122"/>
      <c r="N104" s="47"/>
      <c r="O104" s="48"/>
      <c r="P104" s="49"/>
      <c r="Q104" s="48"/>
      <c r="R104" s="123"/>
      <c r="S104" s="123"/>
      <c r="T104" s="50"/>
      <c r="U104" s="50"/>
      <c r="V104" s="50"/>
      <c r="W104" s="50"/>
      <c r="X104" s="55"/>
      <c r="Y104" s="52"/>
      <c r="Z104" s="50"/>
      <c r="AA104" s="50"/>
      <c r="AB104" s="50"/>
      <c r="AC104" s="50"/>
      <c r="AD104" s="50"/>
      <c r="AE104" s="148"/>
      <c r="AF104" s="124"/>
      <c r="AG104" s="124"/>
      <c r="AH104" s="124"/>
      <c r="AI104" s="54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124"/>
      <c r="BC104" s="146"/>
      <c r="BD104" s="146"/>
      <c r="BE104" s="124"/>
      <c r="BF104" s="146"/>
    </row>
    <row r="105" spans="1:58" ht="12.95" customHeight="1" x14ac:dyDescent="0.2">
      <c r="A105" s="117">
        <v>45982</v>
      </c>
      <c r="B105" s="118" t="s">
        <v>115</v>
      </c>
      <c r="C105" s="119">
        <f>(M105*E105*O105*Q105)/100000000</f>
        <v>64.367646719999996</v>
      </c>
      <c r="D105" s="118" t="s">
        <v>175</v>
      </c>
      <c r="E105" s="37">
        <v>13</v>
      </c>
      <c r="F105" s="37">
        <v>1</v>
      </c>
      <c r="G105" s="120">
        <v>1700</v>
      </c>
      <c r="H105" s="121">
        <v>0.24</v>
      </c>
      <c r="I105" s="45">
        <v>0.88</v>
      </c>
      <c r="J105" s="46">
        <f>E105*G105*(1-H105)*1440/1000000*2.77</f>
        <v>66.995884799999999</v>
      </c>
      <c r="K105" s="46">
        <f>(IF(G105&lt;L105,L105,G105)*(1-IF(H105&lt;N105,H105,N105))*E105*O105*Q105)/100000000</f>
        <v>65.786572800000016</v>
      </c>
      <c r="L105" s="122">
        <v>1663.3333333333333</v>
      </c>
      <c r="M105" s="122">
        <v>1264.1333333333334</v>
      </c>
      <c r="N105" s="47">
        <f>1-(M105/L105)</f>
        <v>0.23999999999999988</v>
      </c>
      <c r="O105" s="48">
        <f>+'[1]Trim Rwd'!H86</f>
        <v>272</v>
      </c>
      <c r="P105" s="49">
        <f>O105*(Q105-R105-S105)</f>
        <v>351696</v>
      </c>
      <c r="Q105" s="48">
        <v>1440</v>
      </c>
      <c r="R105" s="123">
        <v>0</v>
      </c>
      <c r="S105" s="123">
        <v>147</v>
      </c>
      <c r="T105" s="50">
        <f>E105*M105*O105*Q105/100000000</f>
        <v>64.367646719999996</v>
      </c>
      <c r="U105" s="50">
        <f>E105*M105*O105*(Q105-R105-S105)/100000000</f>
        <v>57.796782784000008</v>
      </c>
      <c r="V105" s="50">
        <f>E105*G105*(1-N105)*O105/100*(R105+S105)/1000000</f>
        <v>6.7157126400000013</v>
      </c>
      <c r="W105" s="50">
        <f>+'[1]21'!K34/1000</f>
        <v>56.137999999999998</v>
      </c>
      <c r="X105" s="51">
        <f>SUM(W105:W108)/SUM(K105:K108)</f>
        <v>0.85333522648560867</v>
      </c>
      <c r="Y105" s="52">
        <v>0</v>
      </c>
      <c r="Z105" s="50">
        <f>+'[1]21'!D34/1000</f>
        <v>0.82299999999999995</v>
      </c>
      <c r="AA105" s="53">
        <f>SUM(U105:U108)-SUM(W105:W108)-SUM(Z105:Z108)-SUM(Y105:Y108)</f>
        <v>0.83578278400001027</v>
      </c>
      <c r="AB105" s="53">
        <f>(SUM(K105:K108)-SUM(W105:W108)-SUM(Y105:Y108)-SUM(Z105:Z108)-SUM(AC105:AC108)-SUM(V105:V108))-AA105</f>
        <v>-0.14484870400001393</v>
      </c>
      <c r="AC105" s="50">
        <f>K105-T105</f>
        <v>1.4189260800000199</v>
      </c>
      <c r="AD105" s="50">
        <f t="shared" ref="AD105:AD109" si="41">+AM105+BA105</f>
        <v>0</v>
      </c>
      <c r="AE105" s="101" t="s">
        <v>110</v>
      </c>
      <c r="AF105" s="50">
        <v>0</v>
      </c>
      <c r="AG105" s="50"/>
      <c r="AH105" s="50"/>
      <c r="AI105" s="54"/>
      <c r="AJ105" s="50"/>
      <c r="AK105" s="50"/>
      <c r="AL105" s="50"/>
      <c r="AM105" s="50">
        <f t="shared" ref="AM105:AM107" si="42">SUM(AF105:AL105)+AT105+AV105+AX105</f>
        <v>0</v>
      </c>
      <c r="AN105" s="50"/>
      <c r="AO105" s="50"/>
      <c r="AP105" s="50"/>
      <c r="AQ105" s="50"/>
      <c r="AR105" s="50">
        <f t="shared" ref="AR105:AR107" si="43">SUM(AN105:AQ105)</f>
        <v>0</v>
      </c>
      <c r="AS105" s="50"/>
      <c r="AT105" s="50"/>
      <c r="AU105" s="50"/>
      <c r="AV105" s="50"/>
      <c r="AW105" s="50"/>
      <c r="AX105" s="50"/>
      <c r="AY105" s="50"/>
      <c r="AZ105" s="50"/>
      <c r="BA105" s="50">
        <f t="shared" ref="BA105:BA109" si="44">+AR105+AS105+AU105+AW105+AY105+AZ105</f>
        <v>0</v>
      </c>
      <c r="BB105" s="124">
        <v>0</v>
      </c>
      <c r="BC105" s="116"/>
      <c r="BD105" s="116"/>
      <c r="BE105" s="124"/>
      <c r="BF105" s="116"/>
    </row>
    <row r="106" spans="1:58" ht="12.95" customHeight="1" x14ac:dyDescent="0.2">
      <c r="A106" s="117"/>
      <c r="B106" s="118"/>
      <c r="C106" s="119"/>
      <c r="D106" s="118"/>
      <c r="E106" s="37"/>
      <c r="F106" s="37"/>
      <c r="G106" s="120"/>
      <c r="H106" s="121"/>
      <c r="I106" s="45"/>
      <c r="J106" s="46"/>
      <c r="K106" s="46"/>
      <c r="L106" s="122"/>
      <c r="M106" s="122"/>
      <c r="N106" s="47"/>
      <c r="O106" s="48"/>
      <c r="P106" s="49"/>
      <c r="Q106" s="48"/>
      <c r="R106" s="123"/>
      <c r="S106" s="123"/>
      <c r="T106" s="50"/>
      <c r="U106" s="50"/>
      <c r="V106" s="50"/>
      <c r="W106" s="50"/>
      <c r="X106" s="55"/>
      <c r="Y106" s="52"/>
      <c r="Z106" s="50"/>
      <c r="AA106" s="50"/>
      <c r="AB106" s="50"/>
      <c r="AC106" s="50"/>
      <c r="AD106" s="50">
        <f t="shared" si="41"/>
        <v>19</v>
      </c>
      <c r="AE106" s="101" t="s">
        <v>195</v>
      </c>
      <c r="AF106" s="50"/>
      <c r="AG106" s="50">
        <v>19</v>
      </c>
      <c r="AH106" s="50"/>
      <c r="AI106" s="54"/>
      <c r="AJ106" s="50"/>
      <c r="AK106" s="50"/>
      <c r="AL106" s="50"/>
      <c r="AM106" s="50">
        <f t="shared" si="42"/>
        <v>19</v>
      </c>
      <c r="AN106" s="125"/>
      <c r="AO106" s="50"/>
      <c r="AP106" s="50"/>
      <c r="AQ106" s="50"/>
      <c r="AR106" s="50">
        <f t="shared" si="43"/>
        <v>0</v>
      </c>
      <c r="AS106" s="50"/>
      <c r="AT106" s="50"/>
      <c r="AU106" s="50"/>
      <c r="AV106" s="50"/>
      <c r="AW106" s="50"/>
      <c r="AX106" s="50"/>
      <c r="AY106" s="50"/>
      <c r="AZ106" s="50"/>
      <c r="BA106" s="50">
        <f t="shared" si="44"/>
        <v>0</v>
      </c>
      <c r="BB106" s="126"/>
      <c r="BC106" s="116">
        <v>13</v>
      </c>
      <c r="BD106" s="116"/>
      <c r="BE106" s="126"/>
      <c r="BF106" s="116"/>
    </row>
    <row r="107" spans="1:58" ht="12.95" customHeight="1" x14ac:dyDescent="0.2">
      <c r="A107" s="117"/>
      <c r="B107" s="118"/>
      <c r="C107" s="119"/>
      <c r="D107" s="118"/>
      <c r="E107" s="37"/>
      <c r="F107" s="37"/>
      <c r="G107" s="127"/>
      <c r="H107" s="121"/>
      <c r="I107" s="45"/>
      <c r="J107" s="46"/>
      <c r="K107" s="46"/>
      <c r="L107" s="122"/>
      <c r="M107" s="122"/>
      <c r="N107" s="47"/>
      <c r="O107" s="48"/>
      <c r="P107" s="49"/>
      <c r="Q107" s="48"/>
      <c r="R107" s="123"/>
      <c r="S107" s="123"/>
      <c r="T107" s="50"/>
      <c r="U107" s="50"/>
      <c r="V107" s="50"/>
      <c r="W107" s="50"/>
      <c r="X107" s="55"/>
      <c r="Y107" s="52"/>
      <c r="Z107" s="50"/>
      <c r="AA107" s="50"/>
      <c r="AB107" s="50"/>
      <c r="AC107" s="50"/>
      <c r="AD107" s="50">
        <f t="shared" si="41"/>
        <v>28</v>
      </c>
      <c r="AE107" s="101" t="s">
        <v>118</v>
      </c>
      <c r="AF107" s="124"/>
      <c r="AG107" s="124"/>
      <c r="AH107" s="124">
        <v>28</v>
      </c>
      <c r="AI107" s="54"/>
      <c r="AJ107" s="50"/>
      <c r="AK107" s="50"/>
      <c r="AL107" s="50"/>
      <c r="AM107" s="50">
        <f t="shared" si="42"/>
        <v>28</v>
      </c>
      <c r="AN107" s="50"/>
      <c r="AO107" s="50"/>
      <c r="AP107" s="50"/>
      <c r="AQ107" s="50"/>
      <c r="AR107" s="50">
        <f t="shared" si="43"/>
        <v>0</v>
      </c>
      <c r="AS107" s="50"/>
      <c r="AT107" s="50"/>
      <c r="AU107" s="50"/>
      <c r="AV107" s="50"/>
      <c r="AW107" s="50"/>
      <c r="AX107" s="50"/>
      <c r="AY107" s="50"/>
      <c r="AZ107" s="50"/>
      <c r="BA107" s="50">
        <f t="shared" si="44"/>
        <v>0</v>
      </c>
      <c r="BB107" s="124"/>
      <c r="BC107" s="146"/>
      <c r="BD107" s="146"/>
      <c r="BE107" s="124"/>
      <c r="BF107" s="146"/>
    </row>
    <row r="108" spans="1:58" ht="12.95" customHeight="1" x14ac:dyDescent="0.2">
      <c r="A108" s="117"/>
      <c r="B108" s="118"/>
      <c r="C108" s="119"/>
      <c r="D108" s="118"/>
      <c r="E108" s="37"/>
      <c r="F108" s="37"/>
      <c r="G108" s="127"/>
      <c r="H108" s="121"/>
      <c r="I108" s="45"/>
      <c r="J108" s="46"/>
      <c r="K108" s="46"/>
      <c r="L108" s="122"/>
      <c r="M108" s="122"/>
      <c r="N108" s="47"/>
      <c r="O108" s="48"/>
      <c r="P108" s="49"/>
      <c r="Q108" s="48"/>
      <c r="R108" s="123"/>
      <c r="S108" s="123"/>
      <c r="T108" s="50"/>
      <c r="U108" s="50"/>
      <c r="V108" s="50"/>
      <c r="W108" s="50"/>
      <c r="X108" s="55"/>
      <c r="Y108" s="52"/>
      <c r="Z108" s="50"/>
      <c r="AA108" s="50"/>
      <c r="AB108" s="50"/>
      <c r="AC108" s="50"/>
      <c r="AD108" s="50">
        <f t="shared" si="41"/>
        <v>86</v>
      </c>
      <c r="AE108" s="148" t="s">
        <v>233</v>
      </c>
      <c r="AF108" s="124"/>
      <c r="AG108" s="124"/>
      <c r="AH108" s="124"/>
      <c r="AI108" s="54"/>
      <c r="AJ108" s="50"/>
      <c r="AK108" s="50">
        <v>86</v>
      </c>
      <c r="AL108" s="50"/>
      <c r="AM108" s="50">
        <f t="shared" ref="AM108:AM109" si="45">SUM(AF108:AL108)+AT108+AV108+AX108</f>
        <v>86</v>
      </c>
      <c r="AN108" s="50"/>
      <c r="AO108" s="50"/>
      <c r="AP108" s="50"/>
      <c r="AQ108" s="50"/>
      <c r="AR108" s="50">
        <f t="shared" ref="AR108:AR109" si="46">SUM(AN108:AQ108)</f>
        <v>0</v>
      </c>
      <c r="AS108" s="50"/>
      <c r="AT108" s="50"/>
      <c r="AU108" s="50"/>
      <c r="AV108" s="50"/>
      <c r="AW108" s="50"/>
      <c r="AX108" s="50"/>
      <c r="AY108" s="50"/>
      <c r="AZ108" s="50"/>
      <c r="BA108" s="50">
        <f t="shared" si="44"/>
        <v>0</v>
      </c>
      <c r="BB108" s="124"/>
      <c r="BC108" s="146"/>
      <c r="BD108" s="146"/>
      <c r="BE108" s="124"/>
      <c r="BF108" s="146"/>
    </row>
    <row r="109" spans="1:58" ht="12.95" customHeight="1" x14ac:dyDescent="0.2">
      <c r="A109" s="117"/>
      <c r="B109" s="118"/>
      <c r="C109" s="119"/>
      <c r="D109" s="118"/>
      <c r="E109" s="37"/>
      <c r="F109" s="37"/>
      <c r="G109" s="120"/>
      <c r="H109" s="121"/>
      <c r="I109" s="45"/>
      <c r="J109" s="46"/>
      <c r="K109" s="46"/>
      <c r="L109" s="122"/>
      <c r="M109" s="122"/>
      <c r="N109" s="47"/>
      <c r="O109" s="48"/>
      <c r="P109" s="49"/>
      <c r="Q109" s="48"/>
      <c r="R109" s="123"/>
      <c r="S109" s="123"/>
      <c r="T109" s="50"/>
      <c r="U109" s="50"/>
      <c r="V109" s="50"/>
      <c r="W109" s="50"/>
      <c r="X109" s="51"/>
      <c r="Y109" s="52"/>
      <c r="Z109" s="50"/>
      <c r="AA109" s="53"/>
      <c r="AB109" s="53"/>
      <c r="AC109" s="50"/>
      <c r="AD109" s="50">
        <f t="shared" si="41"/>
        <v>14</v>
      </c>
      <c r="AE109" s="148" t="s">
        <v>234</v>
      </c>
      <c r="AF109" s="124"/>
      <c r="AG109" s="124"/>
      <c r="AH109" s="124"/>
      <c r="AI109" s="54"/>
      <c r="AJ109" s="50">
        <v>14</v>
      </c>
      <c r="AK109" s="50"/>
      <c r="AL109" s="50"/>
      <c r="AM109" s="50">
        <f t="shared" si="45"/>
        <v>14</v>
      </c>
      <c r="AN109" s="50"/>
      <c r="AO109" s="50"/>
      <c r="AP109" s="50"/>
      <c r="AQ109" s="50"/>
      <c r="AR109" s="50">
        <f t="shared" si="46"/>
        <v>0</v>
      </c>
      <c r="AS109" s="50"/>
      <c r="AT109" s="50"/>
      <c r="AU109" s="50"/>
      <c r="AV109" s="50"/>
      <c r="AW109" s="50"/>
      <c r="AX109" s="50"/>
      <c r="AY109" s="50"/>
      <c r="AZ109" s="50"/>
      <c r="BA109" s="50">
        <f t="shared" si="44"/>
        <v>0</v>
      </c>
      <c r="BB109" s="124"/>
      <c r="BC109" s="146"/>
      <c r="BD109" s="146"/>
      <c r="BE109" s="124"/>
      <c r="BF109" s="146"/>
    </row>
    <row r="110" spans="1:58" ht="12.95" customHeight="1" x14ac:dyDescent="0.2">
      <c r="A110" s="117"/>
      <c r="B110" s="118"/>
      <c r="C110" s="119"/>
      <c r="D110" s="118"/>
      <c r="E110" s="37"/>
      <c r="F110" s="37"/>
      <c r="G110" s="120"/>
      <c r="H110" s="121"/>
      <c r="I110" s="45"/>
      <c r="J110" s="46"/>
      <c r="K110" s="46"/>
      <c r="L110" s="122"/>
      <c r="M110" s="122"/>
      <c r="N110" s="47"/>
      <c r="O110" s="48"/>
      <c r="P110" s="49"/>
      <c r="Q110" s="48"/>
      <c r="R110" s="123"/>
      <c r="S110" s="123"/>
      <c r="T110" s="50"/>
      <c r="U110" s="50"/>
      <c r="V110" s="50"/>
      <c r="W110" s="50"/>
      <c r="X110" s="55"/>
      <c r="Y110" s="52"/>
      <c r="Z110" s="50"/>
      <c r="AA110" s="50"/>
      <c r="AB110" s="50"/>
      <c r="AC110" s="50"/>
      <c r="AD110" s="50"/>
      <c r="AE110" s="101"/>
      <c r="AF110" s="124"/>
      <c r="AG110" s="124"/>
      <c r="AH110" s="124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124"/>
      <c r="BC110" s="146"/>
      <c r="BD110" s="116"/>
      <c r="BE110" s="116"/>
      <c r="BF110" s="116"/>
    </row>
    <row r="111" spans="1:58" ht="12.95" customHeight="1" x14ac:dyDescent="0.2">
      <c r="A111" s="117">
        <v>45983</v>
      </c>
      <c r="B111" s="118" t="s">
        <v>115</v>
      </c>
      <c r="C111" s="119">
        <f>(M111*E111*O111*Q111)/100000000</f>
        <v>64.625633280000002</v>
      </c>
      <c r="D111" s="118" t="s">
        <v>175</v>
      </c>
      <c r="E111" s="37">
        <v>13</v>
      </c>
      <c r="F111" s="37">
        <v>1</v>
      </c>
      <c r="G111" s="120">
        <v>1700</v>
      </c>
      <c r="H111" s="121">
        <v>0.24</v>
      </c>
      <c r="I111" s="45">
        <v>0.88</v>
      </c>
      <c r="J111" s="46">
        <f>E111*G111*(1-H111)*1440/1000000*2.77</f>
        <v>66.995884799999999</v>
      </c>
      <c r="K111" s="46">
        <f>(IF(G111&lt;L111,L111,G111)*(1-IF(H111&lt;N111,H111,N111))*E111*O111*Q111)/100000000</f>
        <v>65.786572800000002</v>
      </c>
      <c r="L111" s="122">
        <v>1670</v>
      </c>
      <c r="M111" s="122">
        <v>1269.2</v>
      </c>
      <c r="N111" s="47">
        <f>1-(M111/L111)</f>
        <v>0.24</v>
      </c>
      <c r="O111" s="48">
        <f>+'[1]Trim Rwd'!H88</f>
        <v>272</v>
      </c>
      <c r="P111" s="49">
        <f>O111*(Q111-R111-S111)</f>
        <v>318240</v>
      </c>
      <c r="Q111" s="48">
        <v>1440</v>
      </c>
      <c r="R111" s="123">
        <v>222</v>
      </c>
      <c r="S111" s="123">
        <v>48</v>
      </c>
      <c r="T111" s="50">
        <f>E111*M111*O111*Q111/100000000</f>
        <v>64.625633280000002</v>
      </c>
      <c r="U111" s="50">
        <f>E111*M111*O111*(Q111-R111-S111)/100000000</f>
        <v>52.508327039999998</v>
      </c>
      <c r="V111" s="50">
        <f>E111*G111*(1-N111)*O111/100*(R111+S111)/1000000</f>
        <v>12.334982400000001</v>
      </c>
      <c r="W111" s="50">
        <f>+'[1]22'!K34/1000</f>
        <v>54.898000000000003</v>
      </c>
      <c r="X111" s="51">
        <f>SUM(W111:W114)/SUM(K111:K114)</f>
        <v>0.83448639537580538</v>
      </c>
      <c r="Y111" s="52">
        <v>0</v>
      </c>
      <c r="Z111" s="50">
        <f>+'[1]22'!D34/1000</f>
        <v>1.6240000000000001</v>
      </c>
      <c r="AA111" s="53">
        <f>SUM(U111:U114)-SUM(W111:W114)-SUM(Z111:Z114)-SUM(Y111:Y114)</f>
        <v>-4.0136729600000063</v>
      </c>
      <c r="AB111" s="53">
        <f>(SUM(K111:K114)-SUM(W111:W114)-SUM(Y111:Y114)-SUM(Z111:Z114)-SUM(AC111:AC114)-SUM(V111:V114))-AA111</f>
        <v>-0.21767615999999634</v>
      </c>
      <c r="AC111" s="50">
        <f>K111-T111</f>
        <v>1.1609395199999994</v>
      </c>
      <c r="AD111" s="50">
        <f t="shared" ref="AD111:AD114" si="47">+AM111+BA111</f>
        <v>10</v>
      </c>
      <c r="AE111" s="101" t="s">
        <v>113</v>
      </c>
      <c r="AF111" s="50">
        <v>10</v>
      </c>
      <c r="AG111" s="50"/>
      <c r="AH111" s="50"/>
      <c r="AI111" s="54"/>
      <c r="AJ111" s="50"/>
      <c r="AK111" s="50"/>
      <c r="AL111" s="50"/>
      <c r="AM111" s="50">
        <f t="shared" ref="AM111:AM113" si="48">SUM(AF111:AL111)+AT111+AV111+AX111</f>
        <v>10</v>
      </c>
      <c r="AN111" s="50"/>
      <c r="AO111" s="50"/>
      <c r="AP111" s="50"/>
      <c r="AQ111" s="50"/>
      <c r="AR111" s="50">
        <f t="shared" ref="AR111:AR113" si="49">SUM(AN111:AQ111)</f>
        <v>0</v>
      </c>
      <c r="AS111" s="50"/>
      <c r="AT111" s="50"/>
      <c r="AU111" s="50"/>
      <c r="AV111" s="50"/>
      <c r="AW111" s="50"/>
      <c r="AX111" s="50"/>
      <c r="AY111" s="50"/>
      <c r="AZ111" s="50"/>
      <c r="BA111" s="50">
        <f t="shared" ref="BA111:BA114" si="50">+AR111+AS111+AU111+AW111+AY111+AZ111</f>
        <v>0</v>
      </c>
      <c r="BB111" s="124">
        <v>2</v>
      </c>
      <c r="BC111" s="116"/>
      <c r="BD111" s="116"/>
      <c r="BE111" s="124"/>
      <c r="BF111" s="116"/>
    </row>
    <row r="112" spans="1:58" ht="12.95" customHeight="1" x14ac:dyDescent="0.2">
      <c r="A112" s="117"/>
      <c r="B112" s="118"/>
      <c r="C112" s="119"/>
      <c r="D112" s="118"/>
      <c r="E112" s="37"/>
      <c r="F112" s="37"/>
      <c r="G112" s="120"/>
      <c r="H112" s="121"/>
      <c r="I112" s="45"/>
      <c r="J112" s="46"/>
      <c r="K112" s="46"/>
      <c r="L112" s="122"/>
      <c r="M112" s="122"/>
      <c r="N112" s="47"/>
      <c r="O112" s="48"/>
      <c r="P112" s="49"/>
      <c r="Q112" s="48"/>
      <c r="R112" s="123"/>
      <c r="S112" s="123"/>
      <c r="T112" s="50"/>
      <c r="U112" s="50"/>
      <c r="V112" s="50"/>
      <c r="W112" s="50"/>
      <c r="X112" s="55"/>
      <c r="Y112" s="52"/>
      <c r="Z112" s="50"/>
      <c r="AA112" s="50"/>
      <c r="AB112" s="50"/>
      <c r="AC112" s="50"/>
      <c r="AD112" s="50">
        <f t="shared" si="47"/>
        <v>13</v>
      </c>
      <c r="AE112" s="101" t="s">
        <v>119</v>
      </c>
      <c r="AF112" s="50"/>
      <c r="AG112" s="50">
        <v>13</v>
      </c>
      <c r="AH112" s="50"/>
      <c r="AI112" s="54"/>
      <c r="AJ112" s="50"/>
      <c r="AK112" s="50"/>
      <c r="AL112" s="50"/>
      <c r="AM112" s="50">
        <f t="shared" si="48"/>
        <v>13</v>
      </c>
      <c r="AN112" s="125"/>
      <c r="AO112" s="50"/>
      <c r="AP112" s="50"/>
      <c r="AQ112" s="50"/>
      <c r="AR112" s="50">
        <f t="shared" si="49"/>
        <v>0</v>
      </c>
      <c r="AS112" s="50"/>
      <c r="AT112" s="50"/>
      <c r="AU112" s="50"/>
      <c r="AV112" s="50"/>
      <c r="AW112" s="50"/>
      <c r="AX112" s="50"/>
      <c r="AY112" s="50"/>
      <c r="AZ112" s="50"/>
      <c r="BA112" s="50">
        <f t="shared" si="50"/>
        <v>0</v>
      </c>
      <c r="BB112" s="126"/>
      <c r="BC112" s="116">
        <v>11</v>
      </c>
      <c r="BD112" s="116"/>
      <c r="BE112" s="126"/>
      <c r="BF112" s="116"/>
    </row>
    <row r="113" spans="1:58" ht="12.95" customHeight="1" x14ac:dyDescent="0.2">
      <c r="A113" s="117"/>
      <c r="B113" s="118"/>
      <c r="C113" s="119"/>
      <c r="D113" s="118"/>
      <c r="E113" s="37"/>
      <c r="F113" s="37"/>
      <c r="G113" s="127"/>
      <c r="H113" s="121"/>
      <c r="I113" s="45"/>
      <c r="J113" s="46"/>
      <c r="K113" s="46"/>
      <c r="L113" s="122"/>
      <c r="M113" s="122"/>
      <c r="N113" s="47"/>
      <c r="O113" s="48"/>
      <c r="P113" s="49"/>
      <c r="Q113" s="48"/>
      <c r="R113" s="123"/>
      <c r="S113" s="123"/>
      <c r="T113" s="50"/>
      <c r="U113" s="50"/>
      <c r="V113" s="50"/>
      <c r="W113" s="50"/>
      <c r="X113" s="55"/>
      <c r="Y113" s="52"/>
      <c r="Z113" s="50"/>
      <c r="AA113" s="50"/>
      <c r="AB113" s="50"/>
      <c r="AC113" s="50"/>
      <c r="AD113" s="50">
        <f t="shared" si="47"/>
        <v>25</v>
      </c>
      <c r="AE113" s="101" t="s">
        <v>180</v>
      </c>
      <c r="AF113" s="124"/>
      <c r="AG113" s="124"/>
      <c r="AH113" s="124">
        <v>25</v>
      </c>
      <c r="AI113" s="54"/>
      <c r="AJ113" s="50"/>
      <c r="AK113" s="50"/>
      <c r="AL113" s="50"/>
      <c r="AM113" s="50">
        <f t="shared" si="48"/>
        <v>25</v>
      </c>
      <c r="AN113" s="50"/>
      <c r="AO113" s="50"/>
      <c r="AP113" s="50"/>
      <c r="AQ113" s="50"/>
      <c r="AR113" s="50">
        <f t="shared" si="49"/>
        <v>0</v>
      </c>
      <c r="AS113" s="50"/>
      <c r="AT113" s="50"/>
      <c r="AU113" s="50"/>
      <c r="AV113" s="50"/>
      <c r="AW113" s="50"/>
      <c r="AX113" s="50"/>
      <c r="AY113" s="50"/>
      <c r="AZ113" s="50"/>
      <c r="BA113" s="50">
        <f t="shared" si="50"/>
        <v>0</v>
      </c>
      <c r="BB113" s="124"/>
      <c r="BC113" s="146"/>
      <c r="BD113" s="146"/>
      <c r="BE113" s="124"/>
      <c r="BF113" s="146"/>
    </row>
    <row r="114" spans="1:58" ht="12.95" customHeight="1" x14ac:dyDescent="0.2">
      <c r="A114" s="117"/>
      <c r="B114" s="118"/>
      <c r="C114" s="119"/>
      <c r="D114" s="118"/>
      <c r="E114" s="37"/>
      <c r="F114" s="37"/>
      <c r="G114" s="127"/>
      <c r="H114" s="121"/>
      <c r="I114" s="45"/>
      <c r="J114" s="46"/>
      <c r="K114" s="46"/>
      <c r="L114" s="122"/>
      <c r="M114" s="122"/>
      <c r="N114" s="47"/>
      <c r="O114" s="48"/>
      <c r="P114" s="49"/>
      <c r="Q114" s="48"/>
      <c r="R114" s="123"/>
      <c r="S114" s="123"/>
      <c r="T114" s="50"/>
      <c r="U114" s="50"/>
      <c r="V114" s="50"/>
      <c r="W114" s="50"/>
      <c r="X114" s="55"/>
      <c r="Y114" s="52"/>
      <c r="Z114" s="50"/>
      <c r="AA114" s="50"/>
      <c r="AB114" s="50"/>
      <c r="AC114" s="50"/>
      <c r="AD114" s="50">
        <f t="shared" si="47"/>
        <v>222</v>
      </c>
      <c r="AE114" s="148" t="s">
        <v>235</v>
      </c>
      <c r="AF114" s="124"/>
      <c r="AG114" s="124"/>
      <c r="AH114" s="124"/>
      <c r="AI114" s="54"/>
      <c r="AJ114" s="50"/>
      <c r="AK114" s="50"/>
      <c r="AL114" s="50"/>
      <c r="AM114" s="50">
        <f t="shared" ref="AM114" si="51">SUM(AF114:AL114)+AT114+AV114+AX114</f>
        <v>0</v>
      </c>
      <c r="AN114" s="50"/>
      <c r="AO114" s="50">
        <v>222</v>
      </c>
      <c r="AP114" s="50"/>
      <c r="AQ114" s="50"/>
      <c r="AR114" s="50">
        <f t="shared" ref="AR114" si="52">SUM(AN114:AQ114)</f>
        <v>222</v>
      </c>
      <c r="AS114" s="50"/>
      <c r="AT114" s="50"/>
      <c r="AU114" s="50"/>
      <c r="AV114" s="50"/>
      <c r="AW114" s="50"/>
      <c r="AX114" s="50"/>
      <c r="AY114" s="50"/>
      <c r="AZ114" s="50"/>
      <c r="BA114" s="50">
        <f t="shared" si="50"/>
        <v>222</v>
      </c>
      <c r="BB114" s="124"/>
      <c r="BC114" s="146"/>
      <c r="BD114" s="146"/>
      <c r="BE114" s="124"/>
      <c r="BF114" s="146"/>
    </row>
    <row r="115" spans="1:58" ht="12.95" customHeight="1" x14ac:dyDescent="0.2">
      <c r="A115" s="117"/>
      <c r="B115" s="118"/>
      <c r="C115" s="119"/>
      <c r="D115" s="118"/>
      <c r="E115" s="37"/>
      <c r="F115" s="37"/>
      <c r="G115" s="120"/>
      <c r="H115" s="121"/>
      <c r="I115" s="45"/>
      <c r="J115" s="46"/>
      <c r="K115" s="46"/>
      <c r="L115" s="122"/>
      <c r="M115" s="122"/>
      <c r="N115" s="47"/>
      <c r="O115" s="48"/>
      <c r="P115" s="49"/>
      <c r="Q115" s="48"/>
      <c r="R115" s="123"/>
      <c r="S115" s="123"/>
      <c r="T115" s="50"/>
      <c r="U115" s="50"/>
      <c r="V115" s="50"/>
      <c r="W115" s="50"/>
      <c r="X115" s="55"/>
      <c r="Y115" s="52"/>
      <c r="Z115" s="50"/>
      <c r="AA115" s="50"/>
      <c r="AB115" s="50"/>
      <c r="AC115" s="50"/>
      <c r="AD115" s="50"/>
      <c r="AE115" s="101"/>
      <c r="AF115" s="124"/>
      <c r="AG115" s="124"/>
      <c r="AH115" s="124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124"/>
      <c r="BC115" s="146"/>
      <c r="BD115" s="116"/>
      <c r="BE115" s="116"/>
      <c r="BF115" s="116"/>
    </row>
    <row r="116" spans="1:58" ht="12.95" customHeight="1" x14ac:dyDescent="0.2">
      <c r="A116" s="117">
        <v>45984</v>
      </c>
      <c r="B116" s="118" t="s">
        <v>115</v>
      </c>
      <c r="C116" s="119">
        <f>(M116*E116*O116*Q116)/100000000</f>
        <v>64.148263988321176</v>
      </c>
      <c r="D116" s="118" t="s">
        <v>175</v>
      </c>
      <c r="E116" s="37">
        <v>13</v>
      </c>
      <c r="F116" s="37">
        <v>1</v>
      </c>
      <c r="G116" s="120">
        <v>1700</v>
      </c>
      <c r="H116" s="121">
        <v>0.24</v>
      </c>
      <c r="I116" s="45">
        <v>0.88</v>
      </c>
      <c r="J116" s="46">
        <f>E116*G116*(1-H116)*1440/1000000*2.77</f>
        <v>66.995884799999999</v>
      </c>
      <c r="K116" s="46">
        <f>(IF(G116&lt;L116,L116,G116)*(1-IF(H116&lt;N116,H116,N116))*E116*O116*Q116)/100000000</f>
        <v>65.786572800000002</v>
      </c>
      <c r="L116" s="122">
        <v>1657.6642335766423</v>
      </c>
      <c r="M116" s="122">
        <v>1259.8248175182482</v>
      </c>
      <c r="N116" s="47">
        <f>1-(M116/L116)</f>
        <v>0.24</v>
      </c>
      <c r="O116" s="48">
        <f>+'[1]Trim Rwd'!H90</f>
        <v>272</v>
      </c>
      <c r="P116" s="49">
        <f>O116*(Q116-R116-S116)</f>
        <v>353600</v>
      </c>
      <c r="Q116" s="48">
        <v>1440</v>
      </c>
      <c r="R116" s="123">
        <v>70</v>
      </c>
      <c r="S116" s="123">
        <v>70</v>
      </c>
      <c r="T116" s="50">
        <f>E116*M116*O116*Q116/100000000</f>
        <v>64.148263988321176</v>
      </c>
      <c r="U116" s="50">
        <f>E116*M116*O116*(Q116-R116-S116)/100000000</f>
        <v>57.911627211678841</v>
      </c>
      <c r="V116" s="50">
        <f>E116*G116*(1-N116)*O116/100*(R116+S116)/1000000</f>
        <v>6.3959168000000011</v>
      </c>
      <c r="W116" s="50">
        <f>+'[1]23'!K34/1000</f>
        <v>51.46</v>
      </c>
      <c r="X116" s="51">
        <f>SUM(W116:W119)/SUM(K116:K119)</f>
        <v>0.78222649105684983</v>
      </c>
      <c r="Y116" s="52">
        <v>0</v>
      </c>
      <c r="Z116" s="50">
        <v>0</v>
      </c>
      <c r="AA116" s="53">
        <f>SUM(U116:U119)-SUM(W116:W119)-SUM(Z116:Z119)-SUM(Y116:Y119)</f>
        <v>6.45162721167884</v>
      </c>
      <c r="AB116" s="53">
        <f>(SUM(K116:K119)-SUM(W116:W119)-SUM(Y116:Y119)-SUM(Z116:Z119)-SUM(AC116:AC119)-SUM(V116:V119))-AA116</f>
        <v>-0.15928002335766589</v>
      </c>
      <c r="AC116" s="50">
        <f>K116-T116</f>
        <v>1.6383088116788258</v>
      </c>
      <c r="AD116" s="50">
        <f t="shared" ref="AD116:AD120" si="53">+AM116+BA116</f>
        <v>10</v>
      </c>
      <c r="AE116" s="101" t="s">
        <v>113</v>
      </c>
      <c r="AF116" s="50">
        <v>10</v>
      </c>
      <c r="AG116" s="50"/>
      <c r="AH116" s="50"/>
      <c r="AI116" s="54"/>
      <c r="AJ116" s="50"/>
      <c r="AK116" s="50"/>
      <c r="AL116" s="50"/>
      <c r="AM116" s="50">
        <f t="shared" ref="AM116:AM118" si="54">SUM(AF116:AL116)+AT116+AV116+AX116</f>
        <v>10</v>
      </c>
      <c r="AN116" s="50"/>
      <c r="AO116" s="50"/>
      <c r="AP116" s="50"/>
      <c r="AQ116" s="50"/>
      <c r="AR116" s="50">
        <f t="shared" ref="AR116:AR118" si="55">SUM(AN116:AQ116)</f>
        <v>0</v>
      </c>
      <c r="AS116" s="50"/>
      <c r="AT116" s="50"/>
      <c r="AU116" s="50"/>
      <c r="AV116" s="50"/>
      <c r="AW116" s="50"/>
      <c r="AX116" s="50"/>
      <c r="AY116" s="50"/>
      <c r="AZ116" s="50"/>
      <c r="BA116" s="50">
        <f t="shared" ref="BA116:BA120" si="56">+AR116+AS116+AU116+AW116+AY116+AZ116</f>
        <v>0</v>
      </c>
      <c r="BB116" s="124">
        <v>2</v>
      </c>
      <c r="BC116" s="116"/>
      <c r="BD116" s="116"/>
      <c r="BE116" s="124"/>
      <c r="BF116" s="116"/>
    </row>
    <row r="117" spans="1:58" ht="12.95" customHeight="1" x14ac:dyDescent="0.2">
      <c r="A117" s="117"/>
      <c r="B117" s="118"/>
      <c r="C117" s="119"/>
      <c r="D117" s="118"/>
      <c r="E117" s="37"/>
      <c r="F117" s="37"/>
      <c r="G117" s="120"/>
      <c r="H117" s="121"/>
      <c r="I117" s="45"/>
      <c r="J117" s="46"/>
      <c r="K117" s="46"/>
      <c r="L117" s="122"/>
      <c r="M117" s="122"/>
      <c r="N117" s="47"/>
      <c r="O117" s="48"/>
      <c r="P117" s="49"/>
      <c r="Q117" s="48"/>
      <c r="R117" s="123"/>
      <c r="S117" s="123"/>
      <c r="T117" s="50"/>
      <c r="U117" s="50"/>
      <c r="V117" s="50"/>
      <c r="W117" s="50"/>
      <c r="X117" s="55"/>
      <c r="Y117" s="52"/>
      <c r="Z117" s="50"/>
      <c r="AA117" s="50"/>
      <c r="AB117" s="50"/>
      <c r="AC117" s="50"/>
      <c r="AD117" s="50">
        <f t="shared" si="53"/>
        <v>16</v>
      </c>
      <c r="AE117" s="101" t="s">
        <v>195</v>
      </c>
      <c r="AF117" s="50"/>
      <c r="AG117" s="50">
        <v>16</v>
      </c>
      <c r="AH117" s="50"/>
      <c r="AI117" s="54"/>
      <c r="AJ117" s="50"/>
      <c r="AK117" s="50"/>
      <c r="AL117" s="50"/>
      <c r="AM117" s="50">
        <f t="shared" si="54"/>
        <v>16</v>
      </c>
      <c r="AN117" s="125"/>
      <c r="AO117" s="50"/>
      <c r="AP117" s="50"/>
      <c r="AQ117" s="50"/>
      <c r="AR117" s="50">
        <f t="shared" si="55"/>
        <v>0</v>
      </c>
      <c r="AS117" s="50"/>
      <c r="AT117" s="50"/>
      <c r="AU117" s="50"/>
      <c r="AV117" s="50"/>
      <c r="AW117" s="50"/>
      <c r="AX117" s="50"/>
      <c r="AY117" s="50"/>
      <c r="AZ117" s="50"/>
      <c r="BA117" s="50">
        <f t="shared" si="56"/>
        <v>0</v>
      </c>
      <c r="BB117" s="126"/>
      <c r="BC117" s="116">
        <v>13</v>
      </c>
      <c r="BD117" s="116"/>
      <c r="BE117" s="126"/>
      <c r="BF117" s="116"/>
    </row>
    <row r="118" spans="1:58" ht="12.95" customHeight="1" x14ac:dyDescent="0.2">
      <c r="A118" s="117"/>
      <c r="B118" s="118"/>
      <c r="C118" s="119"/>
      <c r="D118" s="118"/>
      <c r="E118" s="37"/>
      <c r="F118" s="37"/>
      <c r="G118" s="127"/>
      <c r="H118" s="121"/>
      <c r="I118" s="45"/>
      <c r="J118" s="46"/>
      <c r="K118" s="46"/>
      <c r="L118" s="122"/>
      <c r="M118" s="122"/>
      <c r="N118" s="47"/>
      <c r="O118" s="48"/>
      <c r="P118" s="49"/>
      <c r="Q118" s="48"/>
      <c r="R118" s="123"/>
      <c r="S118" s="123"/>
      <c r="T118" s="50"/>
      <c r="U118" s="50"/>
      <c r="V118" s="50"/>
      <c r="W118" s="50"/>
      <c r="X118" s="55"/>
      <c r="Y118" s="52"/>
      <c r="Z118" s="50"/>
      <c r="AA118" s="50"/>
      <c r="AB118" s="50"/>
      <c r="AC118" s="50"/>
      <c r="AD118" s="50">
        <f t="shared" si="53"/>
        <v>24</v>
      </c>
      <c r="AE118" s="101" t="s">
        <v>123</v>
      </c>
      <c r="AF118" s="124"/>
      <c r="AG118" s="124"/>
      <c r="AH118" s="124">
        <v>24</v>
      </c>
      <c r="AI118" s="54"/>
      <c r="AJ118" s="50"/>
      <c r="AK118" s="50"/>
      <c r="AL118" s="50"/>
      <c r="AM118" s="50">
        <f t="shared" si="54"/>
        <v>24</v>
      </c>
      <c r="AN118" s="50"/>
      <c r="AO118" s="50"/>
      <c r="AP118" s="50"/>
      <c r="AQ118" s="50"/>
      <c r="AR118" s="50">
        <f t="shared" si="55"/>
        <v>0</v>
      </c>
      <c r="AS118" s="50"/>
      <c r="AT118" s="50"/>
      <c r="AU118" s="50"/>
      <c r="AV118" s="50"/>
      <c r="AW118" s="50"/>
      <c r="AX118" s="50"/>
      <c r="AY118" s="50"/>
      <c r="AZ118" s="50"/>
      <c r="BA118" s="50">
        <f t="shared" si="56"/>
        <v>0</v>
      </c>
      <c r="BB118" s="124"/>
      <c r="BC118" s="146"/>
      <c r="BD118" s="146"/>
      <c r="BE118" s="124"/>
      <c r="BF118" s="146"/>
    </row>
    <row r="119" spans="1:58" ht="12.95" customHeight="1" x14ac:dyDescent="0.2">
      <c r="A119" s="117"/>
      <c r="B119" s="118"/>
      <c r="C119" s="119"/>
      <c r="D119" s="118"/>
      <c r="E119" s="37"/>
      <c r="F119" s="37"/>
      <c r="G119" s="127"/>
      <c r="H119" s="121"/>
      <c r="I119" s="45"/>
      <c r="J119" s="46"/>
      <c r="K119" s="46"/>
      <c r="L119" s="122"/>
      <c r="M119" s="122"/>
      <c r="N119" s="47"/>
      <c r="O119" s="48"/>
      <c r="P119" s="49"/>
      <c r="Q119" s="48"/>
      <c r="R119" s="123"/>
      <c r="S119" s="123"/>
      <c r="T119" s="50"/>
      <c r="U119" s="50"/>
      <c r="V119" s="50"/>
      <c r="W119" s="50"/>
      <c r="X119" s="55"/>
      <c r="Y119" s="52"/>
      <c r="Z119" s="50"/>
      <c r="AA119" s="50"/>
      <c r="AB119" s="50"/>
      <c r="AC119" s="50"/>
      <c r="AD119" s="50">
        <f t="shared" si="53"/>
        <v>70</v>
      </c>
      <c r="AE119" s="148" t="s">
        <v>236</v>
      </c>
      <c r="AF119" s="124"/>
      <c r="AG119" s="124"/>
      <c r="AH119" s="124"/>
      <c r="AI119" s="54"/>
      <c r="AJ119" s="50"/>
      <c r="AK119" s="50"/>
      <c r="AL119" s="50"/>
      <c r="AM119" s="50">
        <f t="shared" ref="AM119:AM120" si="57">SUM(AF119:AL119)+AT119+AV119+AX119</f>
        <v>0</v>
      </c>
      <c r="AN119" s="50"/>
      <c r="AO119" s="50">
        <v>70</v>
      </c>
      <c r="AP119" s="50"/>
      <c r="AQ119" s="50"/>
      <c r="AR119" s="50">
        <f t="shared" ref="AR119:AR120" si="58">SUM(AN119:AQ119)</f>
        <v>70</v>
      </c>
      <c r="AS119" s="50"/>
      <c r="AT119" s="50"/>
      <c r="AU119" s="50"/>
      <c r="AV119" s="50"/>
      <c r="AW119" s="50"/>
      <c r="AX119" s="50"/>
      <c r="AY119" s="50"/>
      <c r="AZ119" s="50"/>
      <c r="BA119" s="50">
        <f t="shared" si="56"/>
        <v>70</v>
      </c>
      <c r="BB119" s="124"/>
      <c r="BC119" s="146"/>
      <c r="BD119" s="146"/>
      <c r="BE119" s="124"/>
      <c r="BF119" s="146"/>
    </row>
    <row r="120" spans="1:58" ht="12.95" customHeight="1" x14ac:dyDescent="0.2">
      <c r="A120" s="117"/>
      <c r="B120" s="118"/>
      <c r="C120" s="119"/>
      <c r="D120" s="118"/>
      <c r="E120" s="37"/>
      <c r="F120" s="37"/>
      <c r="G120" s="120"/>
      <c r="H120" s="121"/>
      <c r="I120" s="45"/>
      <c r="J120" s="46"/>
      <c r="K120" s="46"/>
      <c r="L120" s="122"/>
      <c r="M120" s="122"/>
      <c r="N120" s="47"/>
      <c r="O120" s="48"/>
      <c r="P120" s="49"/>
      <c r="Q120" s="48"/>
      <c r="R120" s="123"/>
      <c r="S120" s="123"/>
      <c r="T120" s="50"/>
      <c r="U120" s="50"/>
      <c r="V120" s="50"/>
      <c r="W120" s="50"/>
      <c r="X120" s="51"/>
      <c r="Y120" s="52"/>
      <c r="Z120" s="50"/>
      <c r="AA120" s="53"/>
      <c r="AB120" s="53"/>
      <c r="AC120" s="50"/>
      <c r="AD120" s="50">
        <f t="shared" si="53"/>
        <v>20</v>
      </c>
      <c r="AE120" s="148" t="s">
        <v>237</v>
      </c>
      <c r="AF120" s="124"/>
      <c r="AG120" s="124"/>
      <c r="AH120" s="124"/>
      <c r="AI120" s="54"/>
      <c r="AJ120" s="50">
        <v>20</v>
      </c>
      <c r="AK120" s="50"/>
      <c r="AL120" s="50"/>
      <c r="AM120" s="50">
        <f t="shared" si="57"/>
        <v>20</v>
      </c>
      <c r="AN120" s="50"/>
      <c r="AO120" s="50"/>
      <c r="AP120" s="50"/>
      <c r="AQ120" s="50"/>
      <c r="AR120" s="50">
        <f t="shared" si="58"/>
        <v>0</v>
      </c>
      <c r="AS120" s="50"/>
      <c r="AT120" s="50"/>
      <c r="AU120" s="50"/>
      <c r="AV120" s="50"/>
      <c r="AW120" s="50"/>
      <c r="AX120" s="50"/>
      <c r="AY120" s="50"/>
      <c r="AZ120" s="50"/>
      <c r="BA120" s="50">
        <f t="shared" si="56"/>
        <v>0</v>
      </c>
      <c r="BB120" s="124"/>
      <c r="BC120" s="146"/>
      <c r="BD120" s="146"/>
      <c r="BE120" s="124"/>
      <c r="BF120" s="146"/>
    </row>
    <row r="121" spans="1:58" ht="12.95" customHeight="1" x14ac:dyDescent="0.2">
      <c r="A121" s="117"/>
      <c r="B121" s="118"/>
      <c r="C121" s="119"/>
      <c r="D121" s="118"/>
      <c r="E121" s="37"/>
      <c r="F121" s="37"/>
      <c r="G121" s="120"/>
      <c r="H121" s="121"/>
      <c r="I121" s="45"/>
      <c r="J121" s="46"/>
      <c r="K121" s="46"/>
      <c r="L121" s="122"/>
      <c r="M121" s="122"/>
      <c r="N121" s="47"/>
      <c r="O121" s="48"/>
      <c r="P121" s="49"/>
      <c r="Q121" s="48"/>
      <c r="R121" s="123"/>
      <c r="S121" s="123"/>
      <c r="T121" s="50"/>
      <c r="U121" s="50"/>
      <c r="V121" s="50"/>
      <c r="W121" s="50"/>
      <c r="X121" s="55"/>
      <c r="Y121" s="52"/>
      <c r="Z121" s="50"/>
      <c r="AA121" s="50"/>
      <c r="AB121" s="50"/>
      <c r="AC121" s="50"/>
      <c r="AD121" s="50"/>
      <c r="AE121" s="101"/>
      <c r="AF121" s="124"/>
      <c r="AG121" s="124"/>
      <c r="AH121" s="124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124"/>
      <c r="BC121" s="146"/>
      <c r="BD121" s="116"/>
      <c r="BE121" s="116"/>
      <c r="BF121" s="116"/>
    </row>
    <row r="122" spans="1:58" ht="12.95" customHeight="1" x14ac:dyDescent="0.2">
      <c r="A122" s="117">
        <v>45985</v>
      </c>
      <c r="B122" s="118" t="s">
        <v>115</v>
      </c>
      <c r="C122" s="119">
        <f>(M122*E122*O122*Q122)/100000000</f>
        <v>39.848608800000001</v>
      </c>
      <c r="D122" s="118" t="s">
        <v>175</v>
      </c>
      <c r="E122" s="37">
        <v>13</v>
      </c>
      <c r="F122" s="37">
        <v>1</v>
      </c>
      <c r="G122" s="120">
        <v>1700</v>
      </c>
      <c r="H122" s="121">
        <v>0.24</v>
      </c>
      <c r="I122" s="45">
        <v>0.88</v>
      </c>
      <c r="J122" s="46">
        <f>E122*G122*(1-H122)*1440/1000000*2.77</f>
        <v>66.995884799999999</v>
      </c>
      <c r="K122" s="46">
        <f>(IF(G122&lt;L122,L122,G122)*(1-IF(H122&lt;N122,H122,N122))*E122*O122*Q122)/100000000</f>
        <v>41.056142400000006</v>
      </c>
      <c r="L122" s="122">
        <v>1650</v>
      </c>
      <c r="M122" s="122">
        <f>+L122-L122*0.24</f>
        <v>1254</v>
      </c>
      <c r="N122" s="47">
        <f>1-(M122/L122)</f>
        <v>0.24</v>
      </c>
      <c r="O122" s="48">
        <f>+'[1]Trim Rwd'!H92</f>
        <v>271.60000000000002</v>
      </c>
      <c r="P122" s="49">
        <f>O122*(Q122-R122-S122)</f>
        <v>230860.00000000003</v>
      </c>
      <c r="Q122" s="48">
        <v>900</v>
      </c>
      <c r="R122" s="123">
        <v>0</v>
      </c>
      <c r="S122" s="123">
        <v>50</v>
      </c>
      <c r="T122" s="50">
        <f>E122*M122*O122*Q122/100000000</f>
        <v>39.848608800000001</v>
      </c>
      <c r="U122" s="50">
        <f>E122*M122*O122*(Q122-R122-S122)/100000000</f>
        <v>37.634797200000001</v>
      </c>
      <c r="V122" s="50">
        <f>E122*G122*(1-N122)*O122/100*(R122+S122)/1000000</f>
        <v>2.2808968000000003</v>
      </c>
      <c r="W122" s="50">
        <f>+'[1]24'!K15/1000</f>
        <v>42.862000000000002</v>
      </c>
      <c r="X122" s="51">
        <f>SUM(W122:W125)/SUM(K122:K125)</f>
        <v>0.89462070011974226</v>
      </c>
      <c r="Y122" s="52">
        <v>0</v>
      </c>
      <c r="Z122" s="50">
        <v>0</v>
      </c>
      <c r="AA122" s="53">
        <f>SUM(U122:U125)-SUM(W122:W125)-SUM(Z122:Z125)-SUM(Y122:Y125)</f>
        <v>4.1978139999997666E-2</v>
      </c>
      <c r="AB122" s="53">
        <f>(SUM(K122:K125)-SUM(W122:W125)-SUM(Y122:Y125)-SUM(Z122:Z125)-SUM(AC122:AC125)-SUM(V122:V125))-AA122</f>
        <v>-0.17064964000000016</v>
      </c>
      <c r="AC122" s="50">
        <f>K122-T122</f>
        <v>1.207533600000005</v>
      </c>
      <c r="AD122" s="50">
        <f t="shared" ref="AD122:AD125" si="59">+AM122+BA122</f>
        <v>20</v>
      </c>
      <c r="AE122" s="101" t="s">
        <v>134</v>
      </c>
      <c r="AF122" s="50">
        <v>20</v>
      </c>
      <c r="AG122" s="50"/>
      <c r="AH122" s="50"/>
      <c r="AI122" s="54"/>
      <c r="AJ122" s="50"/>
      <c r="AK122" s="50"/>
      <c r="AL122" s="50"/>
      <c r="AM122" s="50">
        <f t="shared" ref="AM122:AM124" si="60">SUM(AF122:AL122)+AT122+AV122+AX122</f>
        <v>20</v>
      </c>
      <c r="AN122" s="50"/>
      <c r="AO122" s="50"/>
      <c r="AP122" s="50"/>
      <c r="AQ122" s="50"/>
      <c r="AR122" s="50">
        <f t="shared" ref="AR122:AR124" si="61">SUM(AN122:AQ122)</f>
        <v>0</v>
      </c>
      <c r="AS122" s="50"/>
      <c r="AT122" s="50"/>
      <c r="AU122" s="50"/>
      <c r="AV122" s="50"/>
      <c r="AW122" s="50"/>
      <c r="AX122" s="50"/>
      <c r="AY122" s="50"/>
      <c r="AZ122" s="50"/>
      <c r="BA122" s="50">
        <f t="shared" ref="BA122:BA125" si="62">+AR122+AS122+AU122+AW122+AY122+AZ122</f>
        <v>0</v>
      </c>
      <c r="BB122" s="124">
        <v>4</v>
      </c>
      <c r="BC122" s="116"/>
      <c r="BD122" s="116"/>
      <c r="BE122" s="124"/>
      <c r="BF122" s="116"/>
    </row>
    <row r="123" spans="1:58" ht="12.95" customHeight="1" x14ac:dyDescent="0.2">
      <c r="A123" s="117"/>
      <c r="B123" s="118" t="s">
        <v>115</v>
      </c>
      <c r="C123" s="119">
        <f>(M123*E123*O123*Q123)/100000000</f>
        <v>19.262985839999999</v>
      </c>
      <c r="D123" s="118" t="s">
        <v>175</v>
      </c>
      <c r="E123" s="37">
        <v>10.3</v>
      </c>
      <c r="F123" s="37">
        <v>1</v>
      </c>
      <c r="G123" s="120">
        <v>1730</v>
      </c>
      <c r="H123" s="121">
        <v>0.16</v>
      </c>
      <c r="I123" s="45">
        <v>0.88</v>
      </c>
      <c r="J123" s="46">
        <f>E123*G123*(1-H123)*1440/1000000*2.77</f>
        <v>59.704198847999997</v>
      </c>
      <c r="K123" s="46">
        <f>(IF(G123&lt;L123,L123,G123)*(1-IF(H123&lt;N123,H123,N123))*E123*O123*Q123)/100000000</f>
        <v>21.499977744000002</v>
      </c>
      <c r="L123" s="122">
        <v>1550</v>
      </c>
      <c r="M123" s="122">
        <f>+L123-L123*0.16</f>
        <v>1302</v>
      </c>
      <c r="N123" s="47">
        <f>1-(M123/L123)</f>
        <v>0.16000000000000003</v>
      </c>
      <c r="O123" s="48">
        <f>+'[1]Trim Rwd'!H94</f>
        <v>266</v>
      </c>
      <c r="P123" s="49">
        <f>O123*(Q123-R123-S123)</f>
        <v>136990</v>
      </c>
      <c r="Q123" s="48">
        <v>540</v>
      </c>
      <c r="R123" s="123">
        <v>0</v>
      </c>
      <c r="S123" s="123">
        <v>25</v>
      </c>
      <c r="T123" s="50">
        <f>E123*M123*O123*Q123/100000000</f>
        <v>19.262985839999999</v>
      </c>
      <c r="U123" s="50">
        <f>E123*M123*O123*(Q123-R123-S123)/100000000</f>
        <v>18.371180939999999</v>
      </c>
      <c r="V123" s="50">
        <f>E123*G123*(1-N123)*O123/100*(R123+S123)/1000000</f>
        <v>0.99536933999999999</v>
      </c>
      <c r="W123" s="50">
        <f>+'[1]24'!K13/1000</f>
        <v>13.102</v>
      </c>
      <c r="X123" s="55"/>
      <c r="Y123" s="52"/>
      <c r="Z123" s="50"/>
      <c r="AA123" s="50"/>
      <c r="AB123" s="50"/>
      <c r="AC123" s="50">
        <f>K123-T123</f>
        <v>2.2369919040000035</v>
      </c>
      <c r="AD123" s="50">
        <f t="shared" si="59"/>
        <v>19</v>
      </c>
      <c r="AE123" s="101" t="s">
        <v>188</v>
      </c>
      <c r="AF123" s="50"/>
      <c r="AG123" s="50">
        <v>19</v>
      </c>
      <c r="AH123" s="50"/>
      <c r="AI123" s="54"/>
      <c r="AJ123" s="50"/>
      <c r="AK123" s="50"/>
      <c r="AL123" s="50"/>
      <c r="AM123" s="50">
        <f t="shared" si="60"/>
        <v>19</v>
      </c>
      <c r="AN123" s="125"/>
      <c r="AO123" s="50"/>
      <c r="AP123" s="50"/>
      <c r="AQ123" s="50"/>
      <c r="AR123" s="50">
        <f t="shared" si="61"/>
        <v>0</v>
      </c>
      <c r="AS123" s="50"/>
      <c r="AT123" s="50"/>
      <c r="AU123" s="50"/>
      <c r="AV123" s="50"/>
      <c r="AW123" s="50"/>
      <c r="AX123" s="50"/>
      <c r="AY123" s="50"/>
      <c r="AZ123" s="50"/>
      <c r="BA123" s="50">
        <f t="shared" si="62"/>
        <v>0</v>
      </c>
      <c r="BB123" s="126"/>
      <c r="BC123" s="116">
        <v>14</v>
      </c>
      <c r="BD123" s="116"/>
      <c r="BE123" s="126"/>
      <c r="BF123" s="116"/>
    </row>
    <row r="124" spans="1:58" ht="12.95" customHeight="1" x14ac:dyDescent="0.2">
      <c r="A124" s="117"/>
      <c r="B124" s="118"/>
      <c r="C124" s="119"/>
      <c r="D124" s="118"/>
      <c r="E124" s="37"/>
      <c r="F124" s="37"/>
      <c r="G124" s="127"/>
      <c r="H124" s="121"/>
      <c r="I124" s="45"/>
      <c r="J124" s="46"/>
      <c r="K124" s="46"/>
      <c r="L124" s="122"/>
      <c r="M124" s="122"/>
      <c r="N124" s="47"/>
      <c r="O124" s="48"/>
      <c r="P124" s="49"/>
      <c r="Q124" s="48"/>
      <c r="R124" s="123"/>
      <c r="S124" s="123"/>
      <c r="T124" s="50"/>
      <c r="U124" s="50"/>
      <c r="V124" s="50"/>
      <c r="W124" s="50"/>
      <c r="X124" s="55"/>
      <c r="Y124" s="52"/>
      <c r="Z124" s="50"/>
      <c r="AA124" s="50"/>
      <c r="AB124" s="50"/>
      <c r="AC124" s="50"/>
      <c r="AD124" s="50">
        <f t="shared" si="59"/>
        <v>21</v>
      </c>
      <c r="AE124" s="101" t="s">
        <v>123</v>
      </c>
      <c r="AF124" s="124"/>
      <c r="AG124" s="124"/>
      <c r="AH124" s="124">
        <v>21</v>
      </c>
      <c r="AI124" s="54"/>
      <c r="AJ124" s="50"/>
      <c r="AK124" s="50"/>
      <c r="AL124" s="50"/>
      <c r="AM124" s="50">
        <f t="shared" si="60"/>
        <v>21</v>
      </c>
      <c r="AN124" s="50"/>
      <c r="AO124" s="50"/>
      <c r="AP124" s="50"/>
      <c r="AQ124" s="50"/>
      <c r="AR124" s="50">
        <f t="shared" si="61"/>
        <v>0</v>
      </c>
      <c r="AS124" s="50"/>
      <c r="AT124" s="50"/>
      <c r="AU124" s="50"/>
      <c r="AV124" s="50"/>
      <c r="AW124" s="50"/>
      <c r="AX124" s="50"/>
      <c r="AY124" s="50"/>
      <c r="AZ124" s="50"/>
      <c r="BA124" s="50">
        <f t="shared" si="62"/>
        <v>0</v>
      </c>
      <c r="BB124" s="124"/>
      <c r="BC124" s="146"/>
      <c r="BD124" s="146"/>
      <c r="BE124" s="124"/>
      <c r="BF124" s="146"/>
    </row>
    <row r="125" spans="1:58" ht="12.95" customHeight="1" x14ac:dyDescent="0.2">
      <c r="A125" s="117"/>
      <c r="B125" s="118"/>
      <c r="C125" s="119"/>
      <c r="D125" s="118"/>
      <c r="E125" s="37"/>
      <c r="F125" s="37"/>
      <c r="G125" s="120"/>
      <c r="H125" s="121"/>
      <c r="I125" s="45"/>
      <c r="J125" s="46"/>
      <c r="K125" s="46"/>
      <c r="L125" s="122"/>
      <c r="M125" s="122"/>
      <c r="N125" s="47"/>
      <c r="O125" s="48"/>
      <c r="P125" s="49"/>
      <c r="Q125" s="48"/>
      <c r="R125" s="123"/>
      <c r="S125" s="123"/>
      <c r="T125" s="50"/>
      <c r="U125" s="50"/>
      <c r="V125" s="50"/>
      <c r="W125" s="50"/>
      <c r="X125" s="51"/>
      <c r="Y125" s="52"/>
      <c r="Z125" s="50"/>
      <c r="AA125" s="53"/>
      <c r="AB125" s="53"/>
      <c r="AC125" s="50"/>
      <c r="AD125" s="50">
        <f t="shared" si="59"/>
        <v>15</v>
      </c>
      <c r="AE125" s="148" t="s">
        <v>124</v>
      </c>
      <c r="AF125" s="50"/>
      <c r="AG125" s="50"/>
      <c r="AH125" s="50"/>
      <c r="AI125" s="54">
        <v>15</v>
      </c>
      <c r="AJ125" s="50"/>
      <c r="AK125" s="50"/>
      <c r="AL125" s="50"/>
      <c r="AM125" s="50">
        <f t="shared" ref="AM125" si="63">SUM(AF125:AL125)+AT125+AV125+AX125</f>
        <v>15</v>
      </c>
      <c r="AN125" s="50"/>
      <c r="AO125" s="50"/>
      <c r="AP125" s="50"/>
      <c r="AQ125" s="50"/>
      <c r="AR125" s="50">
        <f t="shared" ref="AR125" si="64">SUM(AN125:AQ125)</f>
        <v>0</v>
      </c>
      <c r="AS125" s="50"/>
      <c r="AT125" s="50"/>
      <c r="AU125" s="50"/>
      <c r="AV125" s="50"/>
      <c r="AW125" s="50"/>
      <c r="AX125" s="50"/>
      <c r="AY125" s="50"/>
      <c r="AZ125" s="50"/>
      <c r="BA125" s="50">
        <f t="shared" si="62"/>
        <v>0</v>
      </c>
      <c r="BB125" s="124"/>
      <c r="BC125" s="146"/>
      <c r="BD125" s="146"/>
      <c r="BE125" s="124"/>
      <c r="BF125" s="146"/>
    </row>
    <row r="126" spans="1:58" ht="12.95" customHeight="1" x14ac:dyDescent="0.2">
      <c r="A126" s="117"/>
      <c r="B126" s="118"/>
      <c r="C126" s="119"/>
      <c r="D126" s="118"/>
      <c r="E126" s="37"/>
      <c r="F126" s="37"/>
      <c r="G126" s="120"/>
      <c r="H126" s="121"/>
      <c r="I126" s="45"/>
      <c r="J126" s="46"/>
      <c r="K126" s="46"/>
      <c r="L126" s="122"/>
      <c r="M126" s="122"/>
      <c r="N126" s="47"/>
      <c r="O126" s="48"/>
      <c r="P126" s="49"/>
      <c r="Q126" s="48"/>
      <c r="R126" s="123"/>
      <c r="S126" s="123"/>
      <c r="T126" s="50"/>
      <c r="U126" s="50"/>
      <c r="V126" s="50"/>
      <c r="W126" s="50"/>
      <c r="X126" s="51"/>
      <c r="Y126" s="52"/>
      <c r="Z126" s="50"/>
      <c r="AA126" s="53"/>
      <c r="AB126" s="53"/>
      <c r="AC126" s="50"/>
      <c r="AD126" s="50"/>
      <c r="AE126" s="101"/>
      <c r="AF126" s="50"/>
      <c r="AG126" s="50"/>
      <c r="AH126" s="50"/>
      <c r="AI126" s="54"/>
      <c r="AJ126" s="50"/>
      <c r="AK126" s="50"/>
      <c r="AL126" s="50"/>
      <c r="AM126" s="50"/>
      <c r="AN126" s="125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126"/>
      <c r="BC126" s="116"/>
      <c r="BD126" s="116"/>
      <c r="BE126" s="116"/>
      <c r="BF126" s="116"/>
    </row>
    <row r="127" spans="1:58" ht="12.95" customHeight="1" x14ac:dyDescent="0.2">
      <c r="A127" s="117">
        <v>45986</v>
      </c>
      <c r="B127" s="118" t="s">
        <v>115</v>
      </c>
      <c r="C127" s="119">
        <f>(M127*E127*O127*Q127)/100000000</f>
        <v>53.024993279999997</v>
      </c>
      <c r="D127" s="118" t="s">
        <v>175</v>
      </c>
      <c r="E127" s="37">
        <v>10.3</v>
      </c>
      <c r="F127" s="37">
        <v>1</v>
      </c>
      <c r="G127" s="120">
        <v>1730</v>
      </c>
      <c r="H127" s="121">
        <v>0.16</v>
      </c>
      <c r="I127" s="45">
        <v>0.88</v>
      </c>
      <c r="J127" s="46">
        <f>E127*G127*(1-H127)*1440/1000000*2.77</f>
        <v>59.704198847999997</v>
      </c>
      <c r="K127" s="46">
        <f>(IF(G127&lt;L127,L127,G127)*(1-IF(H127&lt;N127,H127,N127))*E127*O127*Q127)/100000000</f>
        <v>57.333273984000009</v>
      </c>
      <c r="L127" s="122">
        <v>1600</v>
      </c>
      <c r="M127" s="122">
        <v>1344</v>
      </c>
      <c r="N127" s="47">
        <f>1-(M127/L127)</f>
        <v>0.16000000000000003</v>
      </c>
      <c r="O127" s="48">
        <f>+'[1]Trim Rwd'!H96</f>
        <v>266</v>
      </c>
      <c r="P127" s="49">
        <f>O127*(Q127-R127-S127)</f>
        <v>375858</v>
      </c>
      <c r="Q127" s="48">
        <v>1440</v>
      </c>
      <c r="R127" s="123">
        <v>0</v>
      </c>
      <c r="S127" s="123">
        <v>27</v>
      </c>
      <c r="T127" s="50">
        <f>E127*M127*O127*Q127/100000000</f>
        <v>53.024993279999997</v>
      </c>
      <c r="U127" s="50">
        <f>E127*M127*O127*(Q127-R127-S127)/100000000</f>
        <v>52.030774656000006</v>
      </c>
      <c r="V127" s="50">
        <f>E127*G127*(1-N127)*O127/100*(R127+S127)/1000000</f>
        <v>1.0749988872</v>
      </c>
      <c r="W127" s="50">
        <f>+'[1]25'!K34/1000</f>
        <v>53.747</v>
      </c>
      <c r="X127" s="51">
        <f>SUM(W127:W130)/SUM(K127:K130)</f>
        <v>0.93744864483055979</v>
      </c>
      <c r="Y127" s="52">
        <v>0</v>
      </c>
      <c r="Z127" s="50">
        <v>0</v>
      </c>
      <c r="AA127" s="53">
        <f>SUM(U127:U130)-SUM(W127:W130)-SUM(Z127:Z130)-SUM(Y127:Y130)</f>
        <v>-1.7162253439999944</v>
      </c>
      <c r="AB127" s="53">
        <f>(SUM(K127:K130)-SUM(W127:W130)-SUM(Y127:Y130)-SUM(Z127:Z130)-SUM(AC127:AC130)-SUM(V127:V130))-AA127</f>
        <v>-8.0780263200008751E-2</v>
      </c>
      <c r="AC127" s="50">
        <f>K127-T127</f>
        <v>4.308280704000012</v>
      </c>
      <c r="AD127" s="50">
        <f t="shared" ref="AD127:AD129" si="65">+AM127+BA127</f>
        <v>0</v>
      </c>
      <c r="AE127" s="101" t="s">
        <v>110</v>
      </c>
      <c r="AF127" s="50">
        <v>0</v>
      </c>
      <c r="AG127" s="50"/>
      <c r="AH127" s="50"/>
      <c r="AI127" s="54"/>
      <c r="AJ127" s="50"/>
      <c r="AK127" s="50"/>
      <c r="AL127" s="50"/>
      <c r="AM127" s="50">
        <f t="shared" ref="AM127:AM129" si="66">SUM(AF127:AL127)+AT127+AV127+AX127</f>
        <v>0</v>
      </c>
      <c r="AN127" s="50"/>
      <c r="AO127" s="50"/>
      <c r="AP127" s="50"/>
      <c r="AQ127" s="50"/>
      <c r="AR127" s="50">
        <f t="shared" ref="AR127:AR129" si="67">SUM(AN127:AQ127)</f>
        <v>0</v>
      </c>
      <c r="AS127" s="50"/>
      <c r="AT127" s="50"/>
      <c r="AU127" s="50"/>
      <c r="AV127" s="50"/>
      <c r="AW127" s="50"/>
      <c r="AX127" s="50"/>
      <c r="AY127" s="50"/>
      <c r="AZ127" s="50"/>
      <c r="BA127" s="50">
        <f t="shared" ref="BA127:BA129" si="68">+AR127+AS127+AU127+AW127+AY127+AZ127</f>
        <v>0</v>
      </c>
      <c r="BB127" s="124">
        <v>0</v>
      </c>
      <c r="BC127" s="116"/>
      <c r="BD127" s="116"/>
      <c r="BE127" s="124"/>
      <c r="BF127" s="116"/>
    </row>
    <row r="128" spans="1:58" ht="12.95" customHeight="1" x14ac:dyDescent="0.2">
      <c r="A128" s="117"/>
      <c r="B128" s="118"/>
      <c r="C128" s="119"/>
      <c r="D128" s="118"/>
      <c r="E128" s="37"/>
      <c r="F128" s="37"/>
      <c r="G128" s="120"/>
      <c r="H128" s="121"/>
      <c r="I128" s="45"/>
      <c r="J128" s="46"/>
      <c r="K128" s="46"/>
      <c r="L128" s="122"/>
      <c r="M128" s="122"/>
      <c r="N128" s="47"/>
      <c r="O128" s="48"/>
      <c r="P128" s="49"/>
      <c r="Q128" s="48"/>
      <c r="R128" s="123"/>
      <c r="S128" s="123"/>
      <c r="T128" s="50"/>
      <c r="U128" s="50"/>
      <c r="V128" s="50"/>
      <c r="W128" s="50"/>
      <c r="X128" s="55"/>
      <c r="Y128" s="52"/>
      <c r="Z128" s="50"/>
      <c r="AA128" s="50"/>
      <c r="AB128" s="50"/>
      <c r="AC128" s="50"/>
      <c r="AD128" s="50">
        <f t="shared" si="65"/>
        <v>11</v>
      </c>
      <c r="AE128" s="101" t="s">
        <v>133</v>
      </c>
      <c r="AF128" s="50"/>
      <c r="AG128" s="50">
        <v>11</v>
      </c>
      <c r="AH128" s="50"/>
      <c r="AI128" s="54"/>
      <c r="AJ128" s="50"/>
      <c r="AK128" s="50"/>
      <c r="AL128" s="50"/>
      <c r="AM128" s="50">
        <f t="shared" si="66"/>
        <v>11</v>
      </c>
      <c r="AN128" s="125"/>
      <c r="AO128" s="50"/>
      <c r="AP128" s="50"/>
      <c r="AQ128" s="50"/>
      <c r="AR128" s="50">
        <f t="shared" si="67"/>
        <v>0</v>
      </c>
      <c r="AS128" s="50"/>
      <c r="AT128" s="50"/>
      <c r="AU128" s="50"/>
      <c r="AV128" s="50"/>
      <c r="AW128" s="50"/>
      <c r="AX128" s="50"/>
      <c r="AY128" s="50"/>
      <c r="AZ128" s="50"/>
      <c r="BA128" s="50">
        <f t="shared" si="68"/>
        <v>0</v>
      </c>
      <c r="BB128" s="126"/>
      <c r="BC128" s="116">
        <v>10</v>
      </c>
      <c r="BD128" s="116"/>
      <c r="BE128" s="126"/>
      <c r="BF128" s="116"/>
    </row>
    <row r="129" spans="1:58" ht="12.95" customHeight="1" x14ac:dyDescent="0.2">
      <c r="A129" s="117"/>
      <c r="B129" s="118"/>
      <c r="C129" s="119"/>
      <c r="D129" s="118"/>
      <c r="E129" s="37"/>
      <c r="F129" s="37"/>
      <c r="G129" s="127"/>
      <c r="H129" s="121"/>
      <c r="I129" s="45"/>
      <c r="J129" s="46"/>
      <c r="K129" s="46"/>
      <c r="L129" s="122"/>
      <c r="M129" s="122"/>
      <c r="N129" s="47"/>
      <c r="O129" s="48"/>
      <c r="P129" s="49"/>
      <c r="Q129" s="48"/>
      <c r="R129" s="123"/>
      <c r="S129" s="123"/>
      <c r="T129" s="50"/>
      <c r="U129" s="50"/>
      <c r="V129" s="50"/>
      <c r="W129" s="50"/>
      <c r="X129" s="55"/>
      <c r="Y129" s="52"/>
      <c r="Z129" s="50"/>
      <c r="AA129" s="50"/>
      <c r="AB129" s="50"/>
      <c r="AC129" s="50"/>
      <c r="AD129" s="50">
        <f t="shared" si="65"/>
        <v>16</v>
      </c>
      <c r="AE129" s="101" t="s">
        <v>207</v>
      </c>
      <c r="AF129" s="124"/>
      <c r="AG129" s="124"/>
      <c r="AH129" s="124">
        <v>16</v>
      </c>
      <c r="AI129" s="54"/>
      <c r="AJ129" s="50"/>
      <c r="AK129" s="50"/>
      <c r="AL129" s="50"/>
      <c r="AM129" s="50">
        <f t="shared" si="66"/>
        <v>16</v>
      </c>
      <c r="AN129" s="50"/>
      <c r="AO129" s="50"/>
      <c r="AP129" s="50"/>
      <c r="AQ129" s="50"/>
      <c r="AR129" s="50">
        <f t="shared" si="67"/>
        <v>0</v>
      </c>
      <c r="AS129" s="50"/>
      <c r="AT129" s="50"/>
      <c r="AU129" s="50"/>
      <c r="AV129" s="50"/>
      <c r="AW129" s="50"/>
      <c r="AX129" s="50"/>
      <c r="AY129" s="50"/>
      <c r="AZ129" s="50"/>
      <c r="BA129" s="50">
        <f t="shared" si="68"/>
        <v>0</v>
      </c>
      <c r="BB129" s="124"/>
      <c r="BC129" s="146"/>
      <c r="BD129" s="146"/>
      <c r="BE129" s="124"/>
      <c r="BF129" s="146"/>
    </row>
    <row r="130" spans="1:58" ht="12.95" customHeight="1" x14ac:dyDescent="0.2">
      <c r="A130" s="117"/>
      <c r="B130" s="118"/>
      <c r="C130" s="119"/>
      <c r="D130" s="118"/>
      <c r="E130" s="37"/>
      <c r="F130" s="37"/>
      <c r="G130" s="127"/>
      <c r="H130" s="121"/>
      <c r="I130" s="45"/>
      <c r="J130" s="46"/>
      <c r="K130" s="46"/>
      <c r="L130" s="122"/>
      <c r="M130" s="122"/>
      <c r="N130" s="47"/>
      <c r="O130" s="48"/>
      <c r="P130" s="49"/>
      <c r="Q130" s="48"/>
      <c r="R130" s="123"/>
      <c r="S130" s="123"/>
      <c r="T130" s="50"/>
      <c r="U130" s="50"/>
      <c r="V130" s="50"/>
      <c r="W130" s="50"/>
      <c r="X130" s="55"/>
      <c r="Y130" s="52"/>
      <c r="Z130" s="50"/>
      <c r="AA130" s="50"/>
      <c r="AB130" s="50"/>
      <c r="AC130" s="50"/>
      <c r="AD130" s="50"/>
      <c r="AE130" s="161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124"/>
      <c r="BC130" s="116"/>
      <c r="BD130" s="116"/>
      <c r="BE130" s="116"/>
      <c r="BF130" s="116"/>
    </row>
    <row r="131" spans="1:58" ht="12.95" customHeight="1" x14ac:dyDescent="0.2">
      <c r="A131" s="117">
        <v>45987</v>
      </c>
      <c r="B131" s="118" t="s">
        <v>115</v>
      </c>
      <c r="C131" s="119">
        <f>(M131*E131*O131*Q131)/100000000</f>
        <v>54.050774400000009</v>
      </c>
      <c r="D131" s="118" t="s">
        <v>175</v>
      </c>
      <c r="E131" s="37">
        <v>10.3</v>
      </c>
      <c r="F131" s="37">
        <v>1</v>
      </c>
      <c r="G131" s="120">
        <v>1730</v>
      </c>
      <c r="H131" s="121">
        <v>0.16</v>
      </c>
      <c r="I131" s="45">
        <v>0.88</v>
      </c>
      <c r="J131" s="46">
        <f>E131*G131*(1-H131)*1440/1000000*2.77</f>
        <v>59.704198847999997</v>
      </c>
      <c r="K131" s="46">
        <f>(IF(G131&lt;L131,L131,G131)*(1-IF(H131&lt;N131,H131,N131))*E131*O131*Q131)/100000000</f>
        <v>57.366772829447861</v>
      </c>
      <c r="L131" s="122">
        <v>1630</v>
      </c>
      <c r="M131" s="122">
        <v>1370</v>
      </c>
      <c r="N131" s="47">
        <f>1-(M131/L131)</f>
        <v>0.1595092024539877</v>
      </c>
      <c r="O131" s="48">
        <f>+'[1]Trim Rwd'!H99</f>
        <v>266</v>
      </c>
      <c r="P131" s="49">
        <f>O131*(Q131-R131-S131)</f>
        <v>374528</v>
      </c>
      <c r="Q131" s="48">
        <v>1440</v>
      </c>
      <c r="R131" s="123">
        <v>0</v>
      </c>
      <c r="S131" s="123">
        <v>32</v>
      </c>
      <c r="T131" s="50">
        <f>E131*M131*O131*Q131/100000000</f>
        <v>54.050774400000009</v>
      </c>
      <c r="U131" s="50">
        <f>E131*M131*O131*(Q131-R131-S131)/100000000</f>
        <v>52.849646080000007</v>
      </c>
      <c r="V131" s="50">
        <f>E131*G131*(1-N131)*O131/100*(R131+S131)/1000000</f>
        <v>1.2748171739877301</v>
      </c>
      <c r="W131" s="50">
        <f>+'[1]26'!K34/1000</f>
        <v>51.795999999999999</v>
      </c>
      <c r="X131" s="51">
        <f>SUM(W131:W134)/SUM(K131:K134)</f>
        <v>0.90289199558061528</v>
      </c>
      <c r="Y131" s="52">
        <v>0</v>
      </c>
      <c r="Z131" s="50">
        <v>0</v>
      </c>
      <c r="AA131" s="53">
        <f>SUM(U131:U134)-SUM(W131:W134)-SUM(Z131:Z134)-SUM(Y131:Y134)</f>
        <v>1.0536460800000071</v>
      </c>
      <c r="AB131" s="53">
        <f>(SUM(K131:K134)-SUM(W131:W134)-SUM(Y131:Y134)-SUM(Z131:Z134)-SUM(AC131:AC134)-SUM(V131:V134))-AA131</f>
        <v>-7.3688853987727843E-2</v>
      </c>
      <c r="AC131" s="50">
        <f>K131-T131</f>
        <v>3.3159984294478519</v>
      </c>
      <c r="AD131" s="50">
        <f t="shared" ref="AD131:AD133" si="69">+AM131+BA131</f>
        <v>0</v>
      </c>
      <c r="AE131" s="101" t="s">
        <v>110</v>
      </c>
      <c r="AF131" s="50">
        <v>0</v>
      </c>
      <c r="AG131" s="50"/>
      <c r="AH131" s="50"/>
      <c r="AI131" s="54"/>
      <c r="AJ131" s="50"/>
      <c r="AK131" s="50"/>
      <c r="AL131" s="50"/>
      <c r="AM131" s="50">
        <f t="shared" ref="AM131:AM133" si="70">SUM(AF131:AL131)+AT131+AV131+AX131</f>
        <v>0</v>
      </c>
      <c r="AN131" s="50"/>
      <c r="AO131" s="50"/>
      <c r="AP131" s="50"/>
      <c r="AQ131" s="50"/>
      <c r="AR131" s="50">
        <f t="shared" ref="AR131:AR133" si="71">SUM(AN131:AQ131)</f>
        <v>0</v>
      </c>
      <c r="AS131" s="50"/>
      <c r="AT131" s="50"/>
      <c r="AU131" s="50"/>
      <c r="AV131" s="50"/>
      <c r="AW131" s="50"/>
      <c r="AX131" s="50"/>
      <c r="AY131" s="50"/>
      <c r="AZ131" s="50"/>
      <c r="BA131" s="50">
        <f t="shared" ref="BA131:BA133" si="72">+AR131+AS131+AU131+AW131+AY131+AZ131</f>
        <v>0</v>
      </c>
      <c r="BB131" s="124">
        <v>0</v>
      </c>
      <c r="BC131" s="116"/>
      <c r="BD131" s="116"/>
      <c r="BE131" s="124"/>
      <c r="BF131" s="116"/>
    </row>
    <row r="132" spans="1:58" ht="12.95" customHeight="1" x14ac:dyDescent="0.2">
      <c r="A132" s="117"/>
      <c r="B132" s="118"/>
      <c r="C132" s="119"/>
      <c r="D132" s="118"/>
      <c r="E132" s="37"/>
      <c r="F132" s="37"/>
      <c r="G132" s="120"/>
      <c r="H132" s="121"/>
      <c r="I132" s="45"/>
      <c r="J132" s="46"/>
      <c r="K132" s="46"/>
      <c r="L132" s="122"/>
      <c r="M132" s="122"/>
      <c r="N132" s="47"/>
      <c r="O132" s="48"/>
      <c r="P132" s="49"/>
      <c r="Q132" s="48"/>
      <c r="R132" s="123"/>
      <c r="S132" s="123"/>
      <c r="T132" s="50"/>
      <c r="U132" s="50"/>
      <c r="V132" s="50"/>
      <c r="W132" s="50"/>
      <c r="X132" s="55"/>
      <c r="Y132" s="52"/>
      <c r="Z132" s="50"/>
      <c r="AA132" s="50"/>
      <c r="AB132" s="50"/>
      <c r="AC132" s="50"/>
      <c r="AD132" s="50">
        <f t="shared" si="69"/>
        <v>12</v>
      </c>
      <c r="AE132" s="101" t="s">
        <v>127</v>
      </c>
      <c r="AF132" s="50"/>
      <c r="AG132" s="50">
        <v>12</v>
      </c>
      <c r="AH132" s="50"/>
      <c r="AI132" s="54"/>
      <c r="AJ132" s="50"/>
      <c r="AK132" s="50"/>
      <c r="AL132" s="50"/>
      <c r="AM132" s="50">
        <f t="shared" si="70"/>
        <v>12</v>
      </c>
      <c r="AN132" s="125"/>
      <c r="AO132" s="50"/>
      <c r="AP132" s="50"/>
      <c r="AQ132" s="50"/>
      <c r="AR132" s="50">
        <f t="shared" si="71"/>
        <v>0</v>
      </c>
      <c r="AS132" s="50"/>
      <c r="AT132" s="50"/>
      <c r="AU132" s="50"/>
      <c r="AV132" s="50"/>
      <c r="AW132" s="50"/>
      <c r="AX132" s="50"/>
      <c r="AY132" s="50"/>
      <c r="AZ132" s="50"/>
      <c r="BA132" s="50">
        <f t="shared" si="72"/>
        <v>0</v>
      </c>
      <c r="BB132" s="126"/>
      <c r="BC132" s="116">
        <v>12</v>
      </c>
      <c r="BD132" s="116"/>
      <c r="BE132" s="126"/>
      <c r="BF132" s="116"/>
    </row>
    <row r="133" spans="1:58" ht="12.95" customHeight="1" x14ac:dyDescent="0.2">
      <c r="A133" s="117"/>
      <c r="B133" s="118"/>
      <c r="C133" s="119"/>
      <c r="D133" s="118"/>
      <c r="E133" s="37"/>
      <c r="F133" s="37"/>
      <c r="G133" s="127"/>
      <c r="H133" s="121"/>
      <c r="I133" s="45"/>
      <c r="J133" s="46"/>
      <c r="K133" s="46"/>
      <c r="L133" s="122"/>
      <c r="M133" s="122"/>
      <c r="N133" s="47"/>
      <c r="O133" s="48"/>
      <c r="P133" s="49"/>
      <c r="Q133" s="48"/>
      <c r="R133" s="123"/>
      <c r="S133" s="123"/>
      <c r="T133" s="50"/>
      <c r="U133" s="50"/>
      <c r="V133" s="50"/>
      <c r="W133" s="50"/>
      <c r="X133" s="55"/>
      <c r="Y133" s="52"/>
      <c r="Z133" s="50"/>
      <c r="AA133" s="50"/>
      <c r="AB133" s="50"/>
      <c r="AC133" s="50"/>
      <c r="AD133" s="50">
        <f t="shared" si="69"/>
        <v>20</v>
      </c>
      <c r="AE133" s="101" t="s">
        <v>180</v>
      </c>
      <c r="AF133" s="124"/>
      <c r="AG133" s="124"/>
      <c r="AH133" s="124">
        <v>20</v>
      </c>
      <c r="AI133" s="54"/>
      <c r="AJ133" s="50"/>
      <c r="AK133" s="50"/>
      <c r="AL133" s="50"/>
      <c r="AM133" s="50">
        <f t="shared" si="70"/>
        <v>20</v>
      </c>
      <c r="AN133" s="50"/>
      <c r="AO133" s="50"/>
      <c r="AP133" s="50"/>
      <c r="AQ133" s="50"/>
      <c r="AR133" s="50">
        <f t="shared" si="71"/>
        <v>0</v>
      </c>
      <c r="AS133" s="50"/>
      <c r="AT133" s="50"/>
      <c r="AU133" s="50"/>
      <c r="AV133" s="50"/>
      <c r="AW133" s="50"/>
      <c r="AX133" s="50"/>
      <c r="AY133" s="50"/>
      <c r="AZ133" s="50"/>
      <c r="BA133" s="50">
        <f t="shared" si="72"/>
        <v>0</v>
      </c>
      <c r="BB133" s="124"/>
      <c r="BC133" s="146"/>
      <c r="BD133" s="146"/>
      <c r="BE133" s="124"/>
      <c r="BF133" s="146"/>
    </row>
    <row r="134" spans="1:58" ht="12.95" customHeight="1" x14ac:dyDescent="0.25">
      <c r="A134" s="117"/>
      <c r="B134" s="102"/>
      <c r="C134" s="119"/>
      <c r="D134" s="118"/>
      <c r="E134" s="210"/>
      <c r="F134" s="37"/>
      <c r="G134" s="127"/>
      <c r="H134" s="121"/>
      <c r="I134" s="45"/>
      <c r="J134" s="46"/>
      <c r="K134" s="46"/>
      <c r="L134" s="122"/>
      <c r="M134" s="122"/>
      <c r="N134" s="47"/>
      <c r="O134" s="48"/>
      <c r="P134" s="49"/>
      <c r="Q134" s="57"/>
      <c r="R134" s="126"/>
      <c r="S134" s="126"/>
      <c r="T134" s="50"/>
      <c r="U134" s="50"/>
      <c r="V134" s="50"/>
      <c r="W134" s="124"/>
      <c r="X134" s="55"/>
      <c r="Y134" s="55"/>
      <c r="Z134" s="124"/>
      <c r="AA134" s="53"/>
      <c r="AB134" s="53"/>
      <c r="AC134" s="50"/>
      <c r="AD134" s="50"/>
      <c r="AE134" s="235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124"/>
      <c r="BC134" s="116"/>
      <c r="BD134" s="116"/>
      <c r="BE134" s="116"/>
      <c r="BF134" s="116"/>
    </row>
    <row r="135" spans="1:58" ht="12.95" customHeight="1" x14ac:dyDescent="0.2">
      <c r="A135" s="117">
        <v>45988</v>
      </c>
      <c r="B135" s="118" t="s">
        <v>115</v>
      </c>
      <c r="C135" s="119">
        <f>(M135*E135*O135*Q135)/100000000</f>
        <v>33.78503997473684</v>
      </c>
      <c r="D135" s="118" t="s">
        <v>175</v>
      </c>
      <c r="E135" s="37">
        <v>10.3</v>
      </c>
      <c r="F135" s="37">
        <v>1</v>
      </c>
      <c r="G135" s="120">
        <v>1730</v>
      </c>
      <c r="H135" s="121">
        <v>0.16</v>
      </c>
      <c r="I135" s="45">
        <v>0.88</v>
      </c>
      <c r="J135" s="46">
        <f>E135*G135*(1-H135)*1440/1000000*2.77</f>
        <v>59.704198847999997</v>
      </c>
      <c r="K135" s="46">
        <f>(IF(G135&lt;L135,L135,G135)*(1-IF(H135&lt;N135,H135,N135))*E135*O135*Q135)/100000000</f>
        <v>36.079085898947369</v>
      </c>
      <c r="L135" s="122">
        <v>1620</v>
      </c>
      <c r="M135" s="122">
        <v>1360.8</v>
      </c>
      <c r="N135" s="47">
        <f>1-(M135/L135)</f>
        <v>0.16000000000000003</v>
      </c>
      <c r="O135" s="48">
        <f>+'[1]Trim Rwd'!H101</f>
        <v>267.82456140350877</v>
      </c>
      <c r="P135" s="49">
        <f>O135*(Q135-R135-S135)</f>
        <v>235685.61403508772</v>
      </c>
      <c r="Q135" s="48">
        <v>900</v>
      </c>
      <c r="R135" s="123">
        <v>0</v>
      </c>
      <c r="S135" s="123">
        <v>20</v>
      </c>
      <c r="T135" s="50">
        <f>E135*M135*O135*Q135/100000000</f>
        <v>33.78503997473684</v>
      </c>
      <c r="U135" s="50">
        <f>E135*M135*O135*(Q135-R135-S135)/100000000</f>
        <v>33.034261308631578</v>
      </c>
      <c r="V135" s="50">
        <f>E135*G135*(1-N135)*O135/100*(R135+S135)/1000000</f>
        <v>0.80175746442105256</v>
      </c>
      <c r="W135" s="50">
        <f>+'[1]27'!K13/1000</f>
        <v>45.076000000000001</v>
      </c>
      <c r="X135" s="51">
        <f>SUM(W135:W138)/SUM(K135:K138)</f>
        <v>1.0425622476570926</v>
      </c>
      <c r="Y135" s="52">
        <v>0</v>
      </c>
      <c r="Z135" s="50">
        <f>+'[1]27'!D7/1000</f>
        <v>0.76</v>
      </c>
      <c r="AA135" s="53">
        <f>SUM(U135:U138)-SUM(W135:W138)-SUM(Z135:Z138)-SUM(Y135:Y138)</f>
        <v>-7.930551491368421</v>
      </c>
      <c r="AB135" s="53">
        <f>(SUM(K135:K138)-SUM(W135:W138)-SUM(Y135:Y138)-SUM(Z135:Z138)-SUM(AC135:AC138)-SUM(V135:V138))-AA135</f>
        <v>-8.1621998315789313E-2</v>
      </c>
      <c r="AC135" s="50">
        <f>K135-T135</f>
        <v>2.2940459242105291</v>
      </c>
      <c r="AD135" s="50">
        <f t="shared" ref="AD135:AD138" si="73">+AM135+BA135</f>
        <v>0</v>
      </c>
      <c r="AE135" s="101" t="s">
        <v>110</v>
      </c>
      <c r="AF135" s="50">
        <v>0</v>
      </c>
      <c r="AG135" s="50"/>
      <c r="AH135" s="50"/>
      <c r="AI135" s="54"/>
      <c r="AJ135" s="50"/>
      <c r="AK135" s="50"/>
      <c r="AL135" s="50"/>
      <c r="AM135" s="50">
        <f t="shared" ref="AM135:AM137" si="74">SUM(AF135:AL135)+AT135+AV135+AX135</f>
        <v>0</v>
      </c>
      <c r="AN135" s="50"/>
      <c r="AO135" s="50"/>
      <c r="AP135" s="50"/>
      <c r="AQ135" s="50"/>
      <c r="AR135" s="50">
        <f t="shared" ref="AR135:AR137" si="75">SUM(AN135:AQ135)</f>
        <v>0</v>
      </c>
      <c r="AS135" s="50"/>
      <c r="AT135" s="50"/>
      <c r="AU135" s="50"/>
      <c r="AV135" s="50"/>
      <c r="AW135" s="50"/>
      <c r="AX135" s="50"/>
      <c r="AY135" s="50"/>
      <c r="AZ135" s="50"/>
      <c r="BA135" s="50">
        <f t="shared" ref="BA135:BA138" si="76">+AR135+AS135+AU135+AW135+AY135+AZ135</f>
        <v>0</v>
      </c>
      <c r="BB135" s="124">
        <v>0</v>
      </c>
      <c r="BC135" s="116"/>
      <c r="BD135" s="116"/>
      <c r="BE135" s="124"/>
      <c r="BF135" s="116"/>
    </row>
    <row r="136" spans="1:58" ht="12.95" customHeight="1" x14ac:dyDescent="0.2">
      <c r="A136" s="117"/>
      <c r="B136" s="118" t="s">
        <v>115</v>
      </c>
      <c r="C136" s="119">
        <f>(M136*E136*O136*Q136)/100000000</f>
        <v>20.942712000000004</v>
      </c>
      <c r="D136" s="118" t="s">
        <v>175</v>
      </c>
      <c r="E136" s="37">
        <v>12</v>
      </c>
      <c r="F136" s="37">
        <v>1</v>
      </c>
      <c r="G136" s="120">
        <v>1700</v>
      </c>
      <c r="H136" s="121">
        <v>0.24</v>
      </c>
      <c r="I136" s="45">
        <v>0.88</v>
      </c>
      <c r="J136" s="46">
        <f>E136*G136*(1-H136)*1440/1000000*2.77</f>
        <v>61.8423552</v>
      </c>
      <c r="K136" s="46">
        <f>(IF(G136&lt;L136,L136,G136)*(1-IF(H136&lt;N136,H136,N136))*E136*O136*Q136)/100000000</f>
        <v>21.97692</v>
      </c>
      <c r="L136" s="122">
        <v>1620</v>
      </c>
      <c r="M136" s="122">
        <f>+L136-L136*0.24</f>
        <v>1231.2</v>
      </c>
      <c r="N136" s="47">
        <f>1-(M136/L136)</f>
        <v>0.24</v>
      </c>
      <c r="O136" s="48">
        <f>+'[1]Trim Rwd'!H104</f>
        <v>262.5</v>
      </c>
      <c r="P136" s="49">
        <f>O136*(Q136-R136-S136)</f>
        <v>137550</v>
      </c>
      <c r="Q136" s="48">
        <v>540</v>
      </c>
      <c r="R136" s="123">
        <v>0</v>
      </c>
      <c r="S136" s="123">
        <v>16</v>
      </c>
      <c r="T136" s="50">
        <f>E136*M136*O136*Q136/100000000</f>
        <v>20.942712000000004</v>
      </c>
      <c r="U136" s="50">
        <f>E136*M136*O136*(Q136-R136-S136)/100000000</f>
        <v>20.322187200000002</v>
      </c>
      <c r="V136" s="50">
        <f>E136*G136*(1-N136)*O136/100*(R136+S136)/1000000</f>
        <v>0.65116799999999997</v>
      </c>
      <c r="W136" s="50">
        <f>+'[1]27'!K14/1000</f>
        <v>15.451000000000001</v>
      </c>
      <c r="X136" s="55"/>
      <c r="Y136" s="52"/>
      <c r="Z136" s="50"/>
      <c r="AA136" s="50"/>
      <c r="AB136" s="50"/>
      <c r="AC136" s="50">
        <f>K136-T136</f>
        <v>1.034207999999996</v>
      </c>
      <c r="AD136" s="50">
        <f t="shared" si="73"/>
        <v>12</v>
      </c>
      <c r="AE136" s="101" t="s">
        <v>195</v>
      </c>
      <c r="AF136" s="50"/>
      <c r="AG136" s="50">
        <v>12</v>
      </c>
      <c r="AH136" s="50"/>
      <c r="AI136" s="54"/>
      <c r="AJ136" s="50"/>
      <c r="AK136" s="50"/>
      <c r="AL136" s="50"/>
      <c r="AM136" s="50">
        <f t="shared" si="74"/>
        <v>12</v>
      </c>
      <c r="AN136" s="125"/>
      <c r="AO136" s="50"/>
      <c r="AP136" s="50"/>
      <c r="AQ136" s="50"/>
      <c r="AR136" s="50">
        <f t="shared" si="75"/>
        <v>0</v>
      </c>
      <c r="AS136" s="50"/>
      <c r="AT136" s="50"/>
      <c r="AU136" s="50"/>
      <c r="AV136" s="50"/>
      <c r="AW136" s="50"/>
      <c r="AX136" s="50"/>
      <c r="AY136" s="50"/>
      <c r="AZ136" s="50"/>
      <c r="BA136" s="50">
        <f t="shared" si="76"/>
        <v>0</v>
      </c>
      <c r="BB136" s="126"/>
      <c r="BC136" s="116">
        <v>13</v>
      </c>
      <c r="BD136" s="116"/>
      <c r="BE136" s="126"/>
      <c r="BF136" s="116"/>
    </row>
    <row r="137" spans="1:58" ht="12.95" customHeight="1" x14ac:dyDescent="0.2">
      <c r="A137" s="117"/>
      <c r="B137" s="118"/>
      <c r="C137" s="119"/>
      <c r="D137" s="118"/>
      <c r="E137" s="37"/>
      <c r="F137" s="37"/>
      <c r="G137" s="127"/>
      <c r="H137" s="121"/>
      <c r="I137" s="45"/>
      <c r="J137" s="46"/>
      <c r="K137" s="46"/>
      <c r="L137" s="122"/>
      <c r="M137" s="122"/>
      <c r="N137" s="47"/>
      <c r="O137" s="48"/>
      <c r="P137" s="49"/>
      <c r="Q137" s="48"/>
      <c r="R137" s="123"/>
      <c r="S137" s="123"/>
      <c r="T137" s="50"/>
      <c r="U137" s="50"/>
      <c r="V137" s="50"/>
      <c r="W137" s="50"/>
      <c r="X137" s="55"/>
      <c r="Y137" s="52"/>
      <c r="Z137" s="50"/>
      <c r="AA137" s="50"/>
      <c r="AB137" s="50"/>
      <c r="AC137" s="50"/>
      <c r="AD137" s="50">
        <f t="shared" si="73"/>
        <v>18</v>
      </c>
      <c r="AE137" s="101" t="s">
        <v>112</v>
      </c>
      <c r="AF137" s="124"/>
      <c r="AG137" s="124"/>
      <c r="AH137" s="124">
        <v>18</v>
      </c>
      <c r="AI137" s="54"/>
      <c r="AJ137" s="50"/>
      <c r="AK137" s="50"/>
      <c r="AL137" s="50"/>
      <c r="AM137" s="50">
        <f t="shared" si="74"/>
        <v>18</v>
      </c>
      <c r="AN137" s="50"/>
      <c r="AO137" s="50"/>
      <c r="AP137" s="50"/>
      <c r="AQ137" s="50"/>
      <c r="AR137" s="50">
        <f t="shared" si="75"/>
        <v>0</v>
      </c>
      <c r="AS137" s="50"/>
      <c r="AT137" s="50"/>
      <c r="AU137" s="50"/>
      <c r="AV137" s="50"/>
      <c r="AW137" s="50"/>
      <c r="AX137" s="50"/>
      <c r="AY137" s="50"/>
      <c r="AZ137" s="50"/>
      <c r="BA137" s="50">
        <f t="shared" si="76"/>
        <v>0</v>
      </c>
      <c r="BB137" s="124"/>
      <c r="BC137" s="146"/>
      <c r="BD137" s="146"/>
      <c r="BE137" s="124"/>
      <c r="BF137" s="146"/>
    </row>
    <row r="138" spans="1:58" ht="12.95" customHeight="1" x14ac:dyDescent="0.25">
      <c r="A138" s="117"/>
      <c r="B138" s="102"/>
      <c r="C138" s="119"/>
      <c r="D138" s="118"/>
      <c r="E138" s="210"/>
      <c r="F138" s="37"/>
      <c r="G138" s="127"/>
      <c r="H138" s="121"/>
      <c r="I138" s="45"/>
      <c r="J138" s="46"/>
      <c r="K138" s="46"/>
      <c r="L138" s="122"/>
      <c r="M138" s="122"/>
      <c r="N138" s="47"/>
      <c r="O138" s="48"/>
      <c r="P138" s="49"/>
      <c r="Q138" s="57"/>
      <c r="R138" s="126"/>
      <c r="S138" s="126"/>
      <c r="T138" s="50"/>
      <c r="U138" s="50"/>
      <c r="V138" s="50"/>
      <c r="W138" s="124"/>
      <c r="X138" s="55"/>
      <c r="Y138" s="55"/>
      <c r="Z138" s="124"/>
      <c r="AA138" s="53"/>
      <c r="AB138" s="53"/>
      <c r="AC138" s="50"/>
      <c r="AD138" s="50">
        <f t="shared" si="73"/>
        <v>6</v>
      </c>
      <c r="AE138" s="148" t="s">
        <v>238</v>
      </c>
      <c r="AF138" s="50">
        <v>6</v>
      </c>
      <c r="AG138" s="50"/>
      <c r="AH138" s="50"/>
      <c r="AI138" s="50"/>
      <c r="AJ138" s="50"/>
      <c r="AK138" s="50"/>
      <c r="AL138" s="50"/>
      <c r="AM138" s="50">
        <f t="shared" ref="AM138" si="77">SUM(AF138:AL138)+AT138+AV138+AX138</f>
        <v>6</v>
      </c>
      <c r="AN138" s="50"/>
      <c r="AO138" s="50"/>
      <c r="AP138" s="50"/>
      <c r="AQ138" s="50"/>
      <c r="AR138" s="50">
        <f t="shared" ref="AR138" si="78">SUM(AN138:AQ138)</f>
        <v>0</v>
      </c>
      <c r="AS138" s="50"/>
      <c r="AT138" s="50"/>
      <c r="AU138" s="50"/>
      <c r="AV138" s="50"/>
      <c r="AW138" s="50"/>
      <c r="AX138" s="50"/>
      <c r="AY138" s="50"/>
      <c r="AZ138" s="50"/>
      <c r="BA138" s="50">
        <f t="shared" si="76"/>
        <v>0</v>
      </c>
      <c r="BB138" s="124"/>
      <c r="BC138" s="146"/>
      <c r="BD138" s="146"/>
      <c r="BE138" s="124"/>
      <c r="BF138" s="146">
        <v>1</v>
      </c>
    </row>
    <row r="139" spans="1:58" ht="12.95" customHeight="1" x14ac:dyDescent="0.25">
      <c r="A139" s="117"/>
      <c r="B139" s="102"/>
      <c r="C139" s="119"/>
      <c r="D139" s="118"/>
      <c r="E139" s="210"/>
      <c r="F139" s="37"/>
      <c r="G139" s="127"/>
      <c r="H139" s="121"/>
      <c r="I139" s="45"/>
      <c r="J139" s="46"/>
      <c r="K139" s="46"/>
      <c r="L139" s="122"/>
      <c r="M139" s="122"/>
      <c r="N139" s="47"/>
      <c r="O139" s="48"/>
      <c r="P139" s="49"/>
      <c r="Q139" s="57"/>
      <c r="R139" s="126"/>
      <c r="S139" s="126"/>
      <c r="T139" s="50"/>
      <c r="U139" s="50"/>
      <c r="V139" s="50"/>
      <c r="W139" s="124"/>
      <c r="X139" s="55"/>
      <c r="Y139" s="55"/>
      <c r="Z139" s="124"/>
      <c r="AA139" s="53"/>
      <c r="AB139" s="53"/>
      <c r="AC139" s="50"/>
      <c r="AD139" s="50"/>
      <c r="AE139" s="161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124"/>
      <c r="BC139" s="116"/>
      <c r="BD139" s="116"/>
      <c r="BE139" s="116"/>
      <c r="BF139" s="116"/>
    </row>
    <row r="140" spans="1:58" ht="12.95" customHeight="1" x14ac:dyDescent="0.2">
      <c r="A140" s="117">
        <v>45989</v>
      </c>
      <c r="B140" s="118" t="s">
        <v>115</v>
      </c>
      <c r="C140" s="119">
        <f>(M140*E140*O140*Q140)/100000000</f>
        <v>55.157760000000003</v>
      </c>
      <c r="D140" s="118" t="s">
        <v>175</v>
      </c>
      <c r="E140" s="37">
        <v>12</v>
      </c>
      <c r="F140" s="37">
        <v>1</v>
      </c>
      <c r="G140" s="120">
        <v>1700</v>
      </c>
      <c r="H140" s="121">
        <v>0.24</v>
      </c>
      <c r="I140" s="45">
        <v>0.88</v>
      </c>
      <c r="J140" s="46">
        <f>E140*G140*(1-H140)*1440/1000000*2.77</f>
        <v>61.8423552</v>
      </c>
      <c r="K140" s="46">
        <f>(IF(G140&lt;L140,L140,G140)*(1-IF(H140&lt;N140,H140,N140))*E140*O140*Q140)/100000000</f>
        <v>58.605119999999999</v>
      </c>
      <c r="L140" s="122">
        <v>1600</v>
      </c>
      <c r="M140" s="122">
        <f>+L140-L140*0.24</f>
        <v>1216</v>
      </c>
      <c r="N140" s="47">
        <f>1-(M140/L140)</f>
        <v>0.24</v>
      </c>
      <c r="O140" s="48">
        <f>+'[1]Trim Rwd'!H106</f>
        <v>262.5</v>
      </c>
      <c r="P140" s="49">
        <f>O140*(Q140-R140-S140)</f>
        <v>367237.5</v>
      </c>
      <c r="Q140" s="48">
        <v>1440</v>
      </c>
      <c r="R140" s="123">
        <v>0</v>
      </c>
      <c r="S140" s="123">
        <v>41</v>
      </c>
      <c r="T140" s="50">
        <f>E140*M140*O140*Q140/100000000</f>
        <v>55.157760000000003</v>
      </c>
      <c r="U140" s="50">
        <f>E140*M140*O140*(Q140-R140-S140)/100000000</f>
        <v>53.587296000000002</v>
      </c>
      <c r="V140" s="50">
        <f>E140*G140*(1-N140)*O140/100*(R140+S140)/1000000</f>
        <v>1.6686179999999999</v>
      </c>
      <c r="W140" s="50">
        <f>+'[1]28'!K34/1000</f>
        <v>51.81</v>
      </c>
      <c r="X140" s="51">
        <f>SUM(W140:W143)/SUM(K140:K143)</f>
        <v>0.88405245138991273</v>
      </c>
      <c r="Y140" s="52">
        <v>0</v>
      </c>
      <c r="Z140" s="50">
        <f>+'[1]28'!D34/1000</f>
        <v>0.26400000000000001</v>
      </c>
      <c r="AA140" s="53">
        <f>SUM(U140:U143)-SUM(W140:W143)-SUM(Z140:Z143)-SUM(Y140:Y143)</f>
        <v>1.5132959999999998</v>
      </c>
      <c r="AB140" s="53">
        <f>(SUM(K140:K143)-SUM(W140:W143)-SUM(Y140:Y143)-SUM(Z140:Z143)-SUM(AC140:AC143)-SUM(V140:V143))-AA140</f>
        <v>-9.8153999999998964E-2</v>
      </c>
      <c r="AC140" s="50">
        <f>K140-T140</f>
        <v>3.4473599999999962</v>
      </c>
      <c r="AD140" s="50">
        <f t="shared" ref="AD140:AD142" si="79">+AM140+BA140</f>
        <v>0</v>
      </c>
      <c r="AE140" s="101" t="s">
        <v>110</v>
      </c>
      <c r="AF140" s="50">
        <v>0</v>
      </c>
      <c r="AG140" s="50"/>
      <c r="AH140" s="50"/>
      <c r="AI140" s="54"/>
      <c r="AJ140" s="50"/>
      <c r="AK140" s="50"/>
      <c r="AL140" s="50"/>
      <c r="AM140" s="50">
        <f t="shared" ref="AM140:AM142" si="80">SUM(AF140:AL140)+AT140+AV140+AX140</f>
        <v>0</v>
      </c>
      <c r="AN140" s="50"/>
      <c r="AO140" s="50"/>
      <c r="AP140" s="50"/>
      <c r="AQ140" s="50"/>
      <c r="AR140" s="50">
        <f t="shared" ref="AR140:AR142" si="81">SUM(AN140:AQ140)</f>
        <v>0</v>
      </c>
      <c r="AS140" s="50"/>
      <c r="AT140" s="50"/>
      <c r="AU140" s="50"/>
      <c r="AV140" s="50"/>
      <c r="AW140" s="50"/>
      <c r="AX140" s="50"/>
      <c r="AY140" s="50"/>
      <c r="AZ140" s="50"/>
      <c r="BA140" s="50">
        <f t="shared" ref="BA140:BA142" si="82">+AR140+AS140+AU140+AW140+AY140+AZ140</f>
        <v>0</v>
      </c>
      <c r="BB140" s="124">
        <v>0</v>
      </c>
      <c r="BC140" s="116"/>
      <c r="BD140" s="116"/>
      <c r="BE140" s="124"/>
      <c r="BF140" s="116"/>
    </row>
    <row r="141" spans="1:58" ht="12.95" customHeight="1" x14ac:dyDescent="0.2">
      <c r="A141" s="117"/>
      <c r="B141" s="118"/>
      <c r="C141" s="119"/>
      <c r="D141" s="118"/>
      <c r="E141" s="37"/>
      <c r="F141" s="37"/>
      <c r="G141" s="120"/>
      <c r="H141" s="121"/>
      <c r="I141" s="45"/>
      <c r="J141" s="46"/>
      <c r="K141" s="46"/>
      <c r="L141" s="122"/>
      <c r="M141" s="122"/>
      <c r="N141" s="47"/>
      <c r="O141" s="48"/>
      <c r="P141" s="49"/>
      <c r="Q141" s="48"/>
      <c r="R141" s="123"/>
      <c r="S141" s="123"/>
      <c r="T141" s="50"/>
      <c r="U141" s="50"/>
      <c r="V141" s="50"/>
      <c r="W141" s="50"/>
      <c r="X141" s="55"/>
      <c r="Y141" s="52"/>
      <c r="Z141" s="50"/>
      <c r="AA141" s="50"/>
      <c r="AB141" s="50"/>
      <c r="AC141" s="50"/>
      <c r="AD141" s="50">
        <f t="shared" si="79"/>
        <v>15</v>
      </c>
      <c r="AE141" s="101" t="s">
        <v>133</v>
      </c>
      <c r="AF141" s="50"/>
      <c r="AG141" s="50">
        <v>15</v>
      </c>
      <c r="AH141" s="50"/>
      <c r="AI141" s="54"/>
      <c r="AJ141" s="50"/>
      <c r="AK141" s="50"/>
      <c r="AL141" s="50"/>
      <c r="AM141" s="50">
        <f t="shared" si="80"/>
        <v>15</v>
      </c>
      <c r="AN141" s="125"/>
      <c r="AO141" s="50"/>
      <c r="AP141" s="50"/>
      <c r="AQ141" s="50"/>
      <c r="AR141" s="50">
        <f t="shared" si="81"/>
        <v>0</v>
      </c>
      <c r="AS141" s="50"/>
      <c r="AT141" s="50"/>
      <c r="AU141" s="50"/>
      <c r="AV141" s="50"/>
      <c r="AW141" s="50"/>
      <c r="AX141" s="50"/>
      <c r="AY141" s="50"/>
      <c r="AZ141" s="50"/>
      <c r="BA141" s="50">
        <f t="shared" si="82"/>
        <v>0</v>
      </c>
      <c r="BB141" s="126"/>
      <c r="BC141" s="116">
        <v>10</v>
      </c>
      <c r="BD141" s="116"/>
      <c r="BE141" s="126"/>
      <c r="BF141" s="116"/>
    </row>
    <row r="142" spans="1:58" ht="12.95" customHeight="1" x14ac:dyDescent="0.2">
      <c r="A142" s="117"/>
      <c r="B142" s="118"/>
      <c r="C142" s="119"/>
      <c r="D142" s="118"/>
      <c r="E142" s="37"/>
      <c r="F142" s="37"/>
      <c r="G142" s="127"/>
      <c r="H142" s="121"/>
      <c r="I142" s="45"/>
      <c r="J142" s="46"/>
      <c r="K142" s="46"/>
      <c r="L142" s="122"/>
      <c r="M142" s="122"/>
      <c r="N142" s="47"/>
      <c r="O142" s="48"/>
      <c r="P142" s="49"/>
      <c r="Q142" s="48"/>
      <c r="R142" s="123"/>
      <c r="S142" s="123"/>
      <c r="T142" s="50"/>
      <c r="U142" s="50"/>
      <c r="V142" s="50"/>
      <c r="W142" s="50"/>
      <c r="X142" s="55"/>
      <c r="Y142" s="52"/>
      <c r="Z142" s="50"/>
      <c r="AA142" s="50"/>
      <c r="AB142" s="50"/>
      <c r="AC142" s="50"/>
      <c r="AD142" s="50">
        <f t="shared" si="79"/>
        <v>26</v>
      </c>
      <c r="AE142" s="101" t="s">
        <v>118</v>
      </c>
      <c r="AF142" s="124"/>
      <c r="AG142" s="124"/>
      <c r="AH142" s="124">
        <v>26</v>
      </c>
      <c r="AI142" s="54"/>
      <c r="AJ142" s="50"/>
      <c r="AK142" s="50"/>
      <c r="AL142" s="50"/>
      <c r="AM142" s="50">
        <f t="shared" si="80"/>
        <v>26</v>
      </c>
      <c r="AN142" s="50"/>
      <c r="AO142" s="50"/>
      <c r="AP142" s="50"/>
      <c r="AQ142" s="50"/>
      <c r="AR142" s="50">
        <f t="shared" si="81"/>
        <v>0</v>
      </c>
      <c r="AS142" s="50"/>
      <c r="AT142" s="50"/>
      <c r="AU142" s="50"/>
      <c r="AV142" s="50"/>
      <c r="AW142" s="50"/>
      <c r="AX142" s="50"/>
      <c r="AY142" s="50"/>
      <c r="AZ142" s="50"/>
      <c r="BA142" s="50">
        <f t="shared" si="82"/>
        <v>0</v>
      </c>
      <c r="BB142" s="124"/>
      <c r="BC142" s="146"/>
      <c r="BD142" s="146"/>
      <c r="BE142" s="124"/>
      <c r="BF142" s="146"/>
    </row>
    <row r="143" spans="1:58" ht="12.95" customHeight="1" x14ac:dyDescent="0.25">
      <c r="A143" s="117"/>
      <c r="B143" s="102"/>
      <c r="C143" s="119"/>
      <c r="D143" s="118"/>
      <c r="E143" s="210"/>
      <c r="F143" s="37"/>
      <c r="G143" s="127"/>
      <c r="H143" s="121"/>
      <c r="I143" s="45"/>
      <c r="J143" s="46"/>
      <c r="K143" s="46"/>
      <c r="L143" s="122"/>
      <c r="M143" s="122"/>
      <c r="N143" s="47"/>
      <c r="O143" s="48"/>
      <c r="P143" s="49"/>
      <c r="Q143" s="57"/>
      <c r="R143" s="126"/>
      <c r="S143" s="126"/>
      <c r="T143" s="50"/>
      <c r="U143" s="50"/>
      <c r="V143" s="50"/>
      <c r="W143" s="124"/>
      <c r="X143" s="55"/>
      <c r="Y143" s="55"/>
      <c r="Z143" s="124"/>
      <c r="AA143" s="53"/>
      <c r="AB143" s="53"/>
      <c r="AC143" s="50"/>
      <c r="AD143" s="50"/>
      <c r="AE143" s="161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124"/>
      <c r="BC143" s="116"/>
      <c r="BD143" s="116"/>
      <c r="BE143" s="116"/>
      <c r="BF143" s="116"/>
    </row>
    <row r="144" spans="1:58" ht="12.95" customHeight="1" x14ac:dyDescent="0.2">
      <c r="A144" s="117">
        <v>45990</v>
      </c>
      <c r="B144" s="118" t="s">
        <v>115</v>
      </c>
      <c r="C144" s="119">
        <f>(M144*E144*O144*Q144)/100000000</f>
        <v>56.313446399999997</v>
      </c>
      <c r="D144" s="118" t="s">
        <v>175</v>
      </c>
      <c r="E144" s="37">
        <v>12</v>
      </c>
      <c r="F144" s="37">
        <v>1</v>
      </c>
      <c r="G144" s="120">
        <v>1700</v>
      </c>
      <c r="H144" s="121">
        <v>0.24</v>
      </c>
      <c r="I144" s="45">
        <v>0.88</v>
      </c>
      <c r="J144" s="46">
        <f>E144*G144*(1-H144)*1440/1000000*2.77</f>
        <v>61.8423552</v>
      </c>
      <c r="K144" s="46">
        <f>(IF(G144&lt;L144,L144,G144)*(1-IF(H144&lt;N144,H144,N144))*E144*O144*Q144)/100000000</f>
        <v>59.833036800000002</v>
      </c>
      <c r="L144" s="122">
        <v>1600</v>
      </c>
      <c r="M144" s="122">
        <f>+L144-L144*0.24</f>
        <v>1216</v>
      </c>
      <c r="N144" s="47">
        <f>1-(M144/L144)</f>
        <v>0.24</v>
      </c>
      <c r="O144" s="48">
        <f>+'[1]Trim Rwd'!H110</f>
        <v>268</v>
      </c>
      <c r="P144" s="49">
        <f>O144*(Q144-R144-S144)</f>
        <v>374932</v>
      </c>
      <c r="Q144" s="48">
        <v>1440</v>
      </c>
      <c r="R144" s="123">
        <v>0</v>
      </c>
      <c r="S144" s="123">
        <v>41</v>
      </c>
      <c r="T144" s="50">
        <f>E144*M144*O144*Q144/100000000</f>
        <v>56.313446399999997</v>
      </c>
      <c r="U144" s="50">
        <f>E144*M144*O144*(Q144-R144-S144)/100000000</f>
        <v>54.710077439999999</v>
      </c>
      <c r="V144" s="50">
        <f>E144*G144*(1-N144)*O144/100*(R144+S144)/1000000</f>
        <v>1.7035795200000001</v>
      </c>
      <c r="W144" s="50">
        <f>+'[1]29'!K34/1000</f>
        <v>55.331000000000003</v>
      </c>
      <c r="X144" s="51">
        <f>SUM(W144:W147)/SUM(K144:K147)</f>
        <v>0.92475667222025415</v>
      </c>
      <c r="Y144" s="52">
        <v>0</v>
      </c>
      <c r="Z144" s="50">
        <v>0</v>
      </c>
      <c r="AA144" s="53">
        <f>SUM(U144:U147)-SUM(W144:W147)-SUM(Z144:Z147)-SUM(Y144:Y147)</f>
        <v>-0.6209225600000039</v>
      </c>
      <c r="AB144" s="53">
        <f>(SUM(K144:K147)-SUM(W144:W147)-SUM(Y144:Y147)-SUM(Z144:Z147)-SUM(AC144:AC147)-SUM(V144:V147))-AA144</f>
        <v>-0.10021056000000272</v>
      </c>
      <c r="AC144" s="50">
        <f>K144-T144</f>
        <v>3.5195904000000056</v>
      </c>
      <c r="AD144" s="50">
        <f t="shared" ref="AD144:AD146" si="83">+AM144+BA144</f>
        <v>0</v>
      </c>
      <c r="AE144" s="101" t="s">
        <v>110</v>
      </c>
      <c r="AF144" s="50">
        <v>0</v>
      </c>
      <c r="AG144" s="50"/>
      <c r="AH144" s="50"/>
      <c r="AI144" s="54"/>
      <c r="AJ144" s="50"/>
      <c r="AK144" s="50"/>
      <c r="AL144" s="50"/>
      <c r="AM144" s="50">
        <f t="shared" ref="AM144:AM146" si="84">SUM(AF144:AL144)+AT144+AV144+AX144</f>
        <v>0</v>
      </c>
      <c r="AN144" s="50"/>
      <c r="AO144" s="50"/>
      <c r="AP144" s="50"/>
      <c r="AQ144" s="50"/>
      <c r="AR144" s="50">
        <f t="shared" ref="AR144:AR146" si="85">SUM(AN144:AQ144)</f>
        <v>0</v>
      </c>
      <c r="AS144" s="50"/>
      <c r="AT144" s="50"/>
      <c r="AU144" s="50"/>
      <c r="AV144" s="50"/>
      <c r="AW144" s="50"/>
      <c r="AX144" s="50"/>
      <c r="AY144" s="50"/>
      <c r="AZ144" s="50"/>
      <c r="BA144" s="50">
        <f t="shared" ref="BA144:BA146" si="86">+AR144+AS144+AU144+AW144+AY144+AZ144</f>
        <v>0</v>
      </c>
      <c r="BB144" s="124">
        <v>0</v>
      </c>
      <c r="BC144" s="116"/>
      <c r="BD144" s="116"/>
      <c r="BE144" s="124"/>
      <c r="BF144" s="116"/>
    </row>
    <row r="145" spans="1:58" ht="12.95" customHeight="1" x14ac:dyDescent="0.2">
      <c r="A145" s="117"/>
      <c r="B145" s="118"/>
      <c r="C145" s="119"/>
      <c r="D145" s="118"/>
      <c r="E145" s="37"/>
      <c r="F145" s="37"/>
      <c r="G145" s="120"/>
      <c r="H145" s="121"/>
      <c r="I145" s="45"/>
      <c r="J145" s="46"/>
      <c r="K145" s="46"/>
      <c r="L145" s="122"/>
      <c r="M145" s="122"/>
      <c r="N145" s="47"/>
      <c r="O145" s="48"/>
      <c r="P145" s="49"/>
      <c r="Q145" s="48"/>
      <c r="R145" s="123"/>
      <c r="S145" s="123"/>
      <c r="T145" s="50"/>
      <c r="U145" s="50"/>
      <c r="V145" s="50"/>
      <c r="W145" s="50"/>
      <c r="X145" s="55"/>
      <c r="Y145" s="52"/>
      <c r="Z145" s="50"/>
      <c r="AA145" s="50"/>
      <c r="AB145" s="50"/>
      <c r="AC145" s="50"/>
      <c r="AD145" s="50">
        <f t="shared" si="83"/>
        <v>11</v>
      </c>
      <c r="AE145" s="101" t="s">
        <v>133</v>
      </c>
      <c r="AF145" s="50"/>
      <c r="AG145" s="50">
        <v>11</v>
      </c>
      <c r="AH145" s="50"/>
      <c r="AI145" s="54"/>
      <c r="AJ145" s="50"/>
      <c r="AK145" s="50"/>
      <c r="AL145" s="50"/>
      <c r="AM145" s="50">
        <f t="shared" si="84"/>
        <v>11</v>
      </c>
      <c r="AN145" s="125"/>
      <c r="AO145" s="50"/>
      <c r="AP145" s="50"/>
      <c r="AQ145" s="50"/>
      <c r="AR145" s="50">
        <f t="shared" si="85"/>
        <v>0</v>
      </c>
      <c r="AS145" s="50"/>
      <c r="AT145" s="50"/>
      <c r="AU145" s="50"/>
      <c r="AV145" s="50"/>
      <c r="AW145" s="50"/>
      <c r="AX145" s="50"/>
      <c r="AY145" s="50"/>
      <c r="AZ145" s="50"/>
      <c r="BA145" s="50">
        <f t="shared" si="86"/>
        <v>0</v>
      </c>
      <c r="BB145" s="126"/>
      <c r="BC145" s="116">
        <v>10</v>
      </c>
      <c r="BD145" s="116"/>
      <c r="BE145" s="126"/>
      <c r="BF145" s="116"/>
    </row>
    <row r="146" spans="1:58" ht="12.95" customHeight="1" x14ac:dyDescent="0.2">
      <c r="A146" s="117"/>
      <c r="B146" s="118"/>
      <c r="C146" s="119"/>
      <c r="D146" s="118"/>
      <c r="E146" s="37"/>
      <c r="F146" s="37"/>
      <c r="G146" s="127"/>
      <c r="H146" s="121"/>
      <c r="I146" s="45"/>
      <c r="J146" s="46"/>
      <c r="K146" s="46"/>
      <c r="L146" s="122"/>
      <c r="M146" s="122"/>
      <c r="N146" s="47"/>
      <c r="O146" s="48"/>
      <c r="P146" s="49"/>
      <c r="Q146" s="48"/>
      <c r="R146" s="123"/>
      <c r="S146" s="123"/>
      <c r="T146" s="50"/>
      <c r="U146" s="50"/>
      <c r="V146" s="50"/>
      <c r="W146" s="50"/>
      <c r="X146" s="55"/>
      <c r="Y146" s="52"/>
      <c r="Z146" s="50"/>
      <c r="AA146" s="50"/>
      <c r="AB146" s="50"/>
      <c r="AC146" s="50"/>
      <c r="AD146" s="50">
        <f t="shared" si="83"/>
        <v>30</v>
      </c>
      <c r="AE146" s="101" t="s">
        <v>123</v>
      </c>
      <c r="AF146" s="124"/>
      <c r="AG146" s="124"/>
      <c r="AH146" s="124">
        <v>30</v>
      </c>
      <c r="AI146" s="54"/>
      <c r="AJ146" s="50"/>
      <c r="AK146" s="50"/>
      <c r="AL146" s="50"/>
      <c r="AM146" s="50">
        <f t="shared" si="84"/>
        <v>30</v>
      </c>
      <c r="AN146" s="50"/>
      <c r="AO146" s="50"/>
      <c r="AP146" s="50"/>
      <c r="AQ146" s="50"/>
      <c r="AR146" s="50">
        <f t="shared" si="85"/>
        <v>0</v>
      </c>
      <c r="AS146" s="50"/>
      <c r="AT146" s="50"/>
      <c r="AU146" s="50"/>
      <c r="AV146" s="50"/>
      <c r="AW146" s="50"/>
      <c r="AX146" s="50"/>
      <c r="AY146" s="50"/>
      <c r="AZ146" s="50"/>
      <c r="BA146" s="50">
        <f t="shared" si="86"/>
        <v>0</v>
      </c>
      <c r="BB146" s="124"/>
      <c r="BC146" s="146"/>
      <c r="BD146" s="146"/>
      <c r="BE146" s="124"/>
      <c r="BF146" s="146"/>
    </row>
    <row r="147" spans="1:58" ht="12.95" customHeight="1" x14ac:dyDescent="0.25">
      <c r="A147" s="117"/>
      <c r="B147" s="102"/>
      <c r="C147" s="119"/>
      <c r="D147" s="118"/>
      <c r="E147" s="210"/>
      <c r="F147" s="37"/>
      <c r="G147" s="127"/>
      <c r="H147" s="121"/>
      <c r="I147" s="45"/>
      <c r="J147" s="46"/>
      <c r="K147" s="46"/>
      <c r="L147" s="122"/>
      <c r="M147" s="122"/>
      <c r="N147" s="47"/>
      <c r="O147" s="48"/>
      <c r="P147" s="49"/>
      <c r="Q147" s="57"/>
      <c r="R147" s="126"/>
      <c r="S147" s="126"/>
      <c r="T147" s="50"/>
      <c r="U147" s="50"/>
      <c r="V147" s="50"/>
      <c r="W147" s="124"/>
      <c r="X147" s="55"/>
      <c r="Y147" s="55"/>
      <c r="Z147" s="124"/>
      <c r="AA147" s="53"/>
      <c r="AB147" s="53"/>
      <c r="AC147" s="50"/>
      <c r="AD147" s="50"/>
      <c r="AE147" s="161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124"/>
      <c r="BC147" s="116"/>
      <c r="BD147" s="116"/>
      <c r="BE147" s="116"/>
      <c r="BF147" s="116"/>
    </row>
    <row r="148" spans="1:58" ht="12.95" customHeight="1" x14ac:dyDescent="0.2">
      <c r="A148" s="117">
        <v>45991</v>
      </c>
      <c r="B148" s="118" t="s">
        <v>115</v>
      </c>
      <c r="C148" s="119">
        <f>(M148*E148*O148*Q148)/100000000</f>
        <v>32.771297279999999</v>
      </c>
      <c r="D148" s="118" t="s">
        <v>175</v>
      </c>
      <c r="E148" s="37">
        <v>12</v>
      </c>
      <c r="F148" s="37">
        <v>1</v>
      </c>
      <c r="G148" s="120">
        <v>1700</v>
      </c>
      <c r="H148" s="121">
        <v>0.24</v>
      </c>
      <c r="I148" s="45">
        <v>0.88</v>
      </c>
      <c r="J148" s="46">
        <f>E148*G148*(1-H148)*1440/1000000*2.77</f>
        <v>61.8423552</v>
      </c>
      <c r="K148" s="46">
        <f>(IF(G148&lt;L148,L148,G148)*(1-IF(H148&lt;N148,H148,N148))*E148*O148*Q148)/100000000</f>
        <v>34.819503359999999</v>
      </c>
      <c r="L148" s="122">
        <v>1600</v>
      </c>
      <c r="M148" s="122">
        <f>+L148-L148*0.24</f>
        <v>1216</v>
      </c>
      <c r="N148" s="47">
        <f>1-(M148/L148)</f>
        <v>0.24</v>
      </c>
      <c r="O148" s="48">
        <f>+'[1]Trim Rwd'!H110</f>
        <v>268</v>
      </c>
      <c r="P148" s="49">
        <f>O148*(Q148-R148-S148)</f>
        <v>218688</v>
      </c>
      <c r="Q148" s="48">
        <v>838</v>
      </c>
      <c r="R148" s="123">
        <v>0</v>
      </c>
      <c r="S148" s="123">
        <v>22</v>
      </c>
      <c r="T148" s="50">
        <f>E148*M148*O148*Q148/100000000</f>
        <v>32.771297279999999</v>
      </c>
      <c r="U148" s="50">
        <f>E148*M148*O148*(Q148-R148-S148)/100000000</f>
        <v>31.910952959999999</v>
      </c>
      <c r="V148" s="50">
        <f>E148*G148*(1-N148)*O148/100*(R148+S148)/1000000</f>
        <v>0.91411584000000012</v>
      </c>
      <c r="W148" s="50">
        <f>+'[1]30'!K14/1000</f>
        <v>36.738</v>
      </c>
      <c r="X148" s="51">
        <f>SUM(W148:W151)/SUM(K148:K151)</f>
        <v>0.93511365399264468</v>
      </c>
      <c r="Y148" s="52">
        <f>+SUM([1]RBP!$AG$3:$AG$4)</f>
        <v>2.68</v>
      </c>
      <c r="Z148" s="50">
        <v>0</v>
      </c>
      <c r="AA148" s="53">
        <f>SUM(U148:U151)-SUM(W148:W151)-SUM(Z148:Z151)-SUM(Y148:Y151)</f>
        <v>-4.1027190400000038</v>
      </c>
      <c r="AB148" s="53">
        <f>(SUM(K148:K151)-SUM(W148:W151)-SUM(Y148:Y151)-SUM(Z148:Z151)-SUM(AC148:AC151)-SUM(V148:V151))-AA148</f>
        <v>-0.11245871999999668</v>
      </c>
      <c r="AC148" s="50">
        <f>K148-T148</f>
        <v>2.0482060799999999</v>
      </c>
      <c r="AD148" s="50">
        <f t="shared" ref="AD148:AD150" si="87">+AM148+BA148</f>
        <v>0</v>
      </c>
      <c r="AE148" s="101" t="s">
        <v>110</v>
      </c>
      <c r="AF148" s="50">
        <v>0</v>
      </c>
      <c r="AG148" s="50"/>
      <c r="AH148" s="50"/>
      <c r="AI148" s="54"/>
      <c r="AJ148" s="50"/>
      <c r="AK148" s="50"/>
      <c r="AL148" s="50"/>
      <c r="AM148" s="50">
        <f t="shared" ref="AM148:AM150" si="88">SUM(AF148:AL148)+AT148+AV148+AX148</f>
        <v>0</v>
      </c>
      <c r="AN148" s="50"/>
      <c r="AO148" s="50"/>
      <c r="AP148" s="50"/>
      <c r="AQ148" s="50"/>
      <c r="AR148" s="50">
        <f t="shared" ref="AR148:AR150" si="89">SUM(AN148:AQ148)</f>
        <v>0</v>
      </c>
      <c r="AS148" s="50"/>
      <c r="AT148" s="50"/>
      <c r="AU148" s="50"/>
      <c r="AV148" s="50"/>
      <c r="AW148" s="50"/>
      <c r="AX148" s="50"/>
      <c r="AY148" s="50"/>
      <c r="AZ148" s="50"/>
      <c r="BA148" s="50">
        <f t="shared" ref="BA148:BA150" si="90">+AR148+AS148+AU148+AW148+AY148+AZ148</f>
        <v>0</v>
      </c>
      <c r="BB148" s="124">
        <v>0</v>
      </c>
      <c r="BC148" s="116"/>
      <c r="BD148" s="116"/>
      <c r="BE148" s="124"/>
      <c r="BF148" s="116"/>
    </row>
    <row r="149" spans="1:58" ht="12.95" customHeight="1" x14ac:dyDescent="0.2">
      <c r="A149" s="117"/>
      <c r="B149" s="118" t="s">
        <v>115</v>
      </c>
      <c r="C149" s="119">
        <f>(M149*E149*O149*Q149)/100000000</f>
        <v>25.694323199999999</v>
      </c>
      <c r="D149" s="118" t="s">
        <v>175</v>
      </c>
      <c r="E149" s="37">
        <v>13</v>
      </c>
      <c r="F149" s="37">
        <v>1</v>
      </c>
      <c r="G149" s="120">
        <v>1700</v>
      </c>
      <c r="H149" s="121">
        <v>0.24</v>
      </c>
      <c r="I149" s="45">
        <v>0.88</v>
      </c>
      <c r="J149" s="46">
        <f>E149*G149*(1-H149)*1440/1000000*2.77</f>
        <v>66.995884799999999</v>
      </c>
      <c r="K149" s="46">
        <f>(IF(G149&lt;L149,L149,G149)*(1-IF(H149&lt;N149,H149,N149))*E149*O149*Q149)/100000000</f>
        <v>27.300218399999999</v>
      </c>
      <c r="L149" s="122">
        <v>1600</v>
      </c>
      <c r="M149" s="122">
        <f>+L149-L149*0.24</f>
        <v>1216</v>
      </c>
      <c r="N149" s="47">
        <f>1-(M149/L149)</f>
        <v>0.24</v>
      </c>
      <c r="O149" s="48">
        <f>+'[1]Trim Rwd'!H111</f>
        <v>270</v>
      </c>
      <c r="P149" s="49">
        <f>O149*(Q149-R149-S149)</f>
        <v>156600</v>
      </c>
      <c r="Q149" s="48">
        <v>602</v>
      </c>
      <c r="R149" s="123">
        <v>0</v>
      </c>
      <c r="S149" s="123">
        <v>22</v>
      </c>
      <c r="T149" s="50">
        <f>E149*M149*O149*Q149/100000000</f>
        <v>25.694323199999999</v>
      </c>
      <c r="U149" s="50">
        <f>E149*M149*O149*(Q149-R149-S149)/100000000</f>
        <v>24.755327999999999</v>
      </c>
      <c r="V149" s="50">
        <f>E149*G149*(1-N149)*O149/100*(R149+S149)/1000000</f>
        <v>0.99768239999999986</v>
      </c>
      <c r="W149" s="50">
        <f>+'[1]30'!K15/1000</f>
        <v>21.350999999999999</v>
      </c>
      <c r="X149" s="55"/>
      <c r="Y149" s="52"/>
      <c r="Z149" s="50"/>
      <c r="AA149" s="50"/>
      <c r="AB149" s="50"/>
      <c r="AC149" s="50">
        <f>K149-T149</f>
        <v>1.6058951999999991</v>
      </c>
      <c r="AD149" s="50">
        <f t="shared" si="87"/>
        <v>18</v>
      </c>
      <c r="AE149" s="101" t="s">
        <v>117</v>
      </c>
      <c r="AF149" s="50"/>
      <c r="AG149" s="50">
        <v>18</v>
      </c>
      <c r="AH149" s="50"/>
      <c r="AI149" s="54"/>
      <c r="AJ149" s="50"/>
      <c r="AK149" s="50"/>
      <c r="AL149" s="50"/>
      <c r="AM149" s="50">
        <f t="shared" si="88"/>
        <v>18</v>
      </c>
      <c r="AN149" s="125"/>
      <c r="AO149" s="50"/>
      <c r="AP149" s="50"/>
      <c r="AQ149" s="50"/>
      <c r="AR149" s="50">
        <f t="shared" si="89"/>
        <v>0</v>
      </c>
      <c r="AS149" s="50"/>
      <c r="AT149" s="50"/>
      <c r="AU149" s="50"/>
      <c r="AV149" s="50"/>
      <c r="AW149" s="50"/>
      <c r="AX149" s="50"/>
      <c r="AY149" s="50"/>
      <c r="AZ149" s="50"/>
      <c r="BA149" s="50">
        <f t="shared" si="90"/>
        <v>0</v>
      </c>
      <c r="BB149" s="126"/>
      <c r="BC149" s="116">
        <v>9</v>
      </c>
      <c r="BD149" s="116"/>
      <c r="BE149" s="126"/>
      <c r="BF149" s="116"/>
    </row>
    <row r="150" spans="1:58" ht="12.95" customHeight="1" x14ac:dyDescent="0.2">
      <c r="A150" s="117"/>
      <c r="B150" s="118"/>
      <c r="C150" s="119"/>
      <c r="D150" s="118"/>
      <c r="E150" s="37"/>
      <c r="F150" s="37"/>
      <c r="G150" s="127"/>
      <c r="H150" s="121"/>
      <c r="I150" s="45"/>
      <c r="J150" s="46"/>
      <c r="K150" s="46"/>
      <c r="L150" s="122"/>
      <c r="M150" s="122"/>
      <c r="N150" s="47"/>
      <c r="O150" s="48"/>
      <c r="P150" s="49"/>
      <c r="Q150" s="48"/>
      <c r="R150" s="123"/>
      <c r="S150" s="123"/>
      <c r="T150" s="50"/>
      <c r="U150" s="50"/>
      <c r="V150" s="50"/>
      <c r="W150" s="50"/>
      <c r="X150" s="55"/>
      <c r="Y150" s="52"/>
      <c r="Z150" s="50"/>
      <c r="AA150" s="50"/>
      <c r="AB150" s="50"/>
      <c r="AC150" s="50"/>
      <c r="AD150" s="50">
        <f t="shared" si="87"/>
        <v>26</v>
      </c>
      <c r="AE150" s="101" t="s">
        <v>126</v>
      </c>
      <c r="AF150" s="124"/>
      <c r="AG150" s="124"/>
      <c r="AH150" s="124">
        <v>26</v>
      </c>
      <c r="AI150" s="54"/>
      <c r="AJ150" s="50"/>
      <c r="AK150" s="50"/>
      <c r="AL150" s="50"/>
      <c r="AM150" s="50">
        <f t="shared" si="88"/>
        <v>26</v>
      </c>
      <c r="AN150" s="50"/>
      <c r="AO150" s="50"/>
      <c r="AP150" s="50"/>
      <c r="AQ150" s="50"/>
      <c r="AR150" s="50">
        <f t="shared" si="89"/>
        <v>0</v>
      </c>
      <c r="AS150" s="50"/>
      <c r="AT150" s="50"/>
      <c r="AU150" s="50"/>
      <c r="AV150" s="50"/>
      <c r="AW150" s="50"/>
      <c r="AX150" s="50"/>
      <c r="AY150" s="50"/>
      <c r="AZ150" s="50"/>
      <c r="BA150" s="50">
        <f t="shared" si="90"/>
        <v>0</v>
      </c>
      <c r="BB150" s="124"/>
      <c r="BC150" s="146"/>
      <c r="BD150" s="146"/>
      <c r="BE150" s="124"/>
      <c r="BF150" s="146"/>
    </row>
    <row r="151" spans="1:58" ht="12.95" customHeight="1" x14ac:dyDescent="0.2">
      <c r="A151" s="117"/>
      <c r="B151" s="118"/>
      <c r="C151" s="119"/>
      <c r="D151" s="118"/>
      <c r="E151" s="37"/>
      <c r="F151" s="37"/>
      <c r="G151" s="213"/>
      <c r="H151" s="214"/>
      <c r="I151" s="45"/>
      <c r="J151" s="46"/>
      <c r="K151" s="46"/>
      <c r="L151" s="122"/>
      <c r="M151" s="122"/>
      <c r="N151" s="47"/>
      <c r="O151" s="48"/>
      <c r="P151" s="49"/>
      <c r="Q151" s="57"/>
      <c r="R151" s="126"/>
      <c r="S151" s="126"/>
      <c r="T151" s="50"/>
      <c r="U151" s="50"/>
      <c r="V151" s="50"/>
      <c r="W151" s="124"/>
      <c r="X151" s="55"/>
      <c r="Y151" s="55"/>
      <c r="Z151" s="124"/>
      <c r="AA151" s="53">
        <f>U151-W151-Z151</f>
        <v>0</v>
      </c>
      <c r="AB151" s="53"/>
      <c r="AC151" s="50">
        <f>K151-T151</f>
        <v>0</v>
      </c>
      <c r="AD151" s="50"/>
      <c r="AE151" s="215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124"/>
      <c r="BC151" s="116"/>
      <c r="BD151" s="116"/>
      <c r="BE151" s="116"/>
      <c r="BF151" s="116"/>
    </row>
    <row r="152" spans="1:58" x14ac:dyDescent="0.2">
      <c r="R152" s="131"/>
      <c r="S152" s="131"/>
      <c r="AA152" s="59">
        <f>U152-W152-Z152</f>
        <v>0</v>
      </c>
      <c r="AB152" s="59"/>
      <c r="AC152" s="60">
        <f>K152-T152</f>
        <v>0</v>
      </c>
      <c r="AD152" s="50"/>
      <c r="AF152" s="61"/>
      <c r="AG152" s="61"/>
      <c r="AH152" s="61"/>
      <c r="AI152" s="61"/>
      <c r="AJ152" s="61"/>
      <c r="AK152" s="61"/>
      <c r="AL152" s="61"/>
      <c r="AM152" s="50"/>
      <c r="AN152" s="61"/>
      <c r="AO152" s="61"/>
      <c r="AP152" s="61"/>
      <c r="AQ152" s="61"/>
      <c r="AR152" s="50"/>
      <c r="AS152" s="61"/>
      <c r="AT152" s="61"/>
      <c r="AU152" s="61"/>
      <c r="AV152" s="61"/>
      <c r="AW152" s="61"/>
      <c r="AX152" s="61"/>
      <c r="AY152" s="61"/>
      <c r="AZ152" s="61"/>
      <c r="BA152" s="50"/>
      <c r="BB152" s="124"/>
      <c r="BC152" s="116"/>
      <c r="BD152" s="116"/>
      <c r="BE152" s="116"/>
      <c r="BF152" s="116"/>
    </row>
    <row r="153" spans="1:58" s="128" customFormat="1" ht="12.95" customHeight="1" x14ac:dyDescent="0.2">
      <c r="A153" s="132"/>
      <c r="B153" s="133"/>
      <c r="C153" s="62">
        <f>SUM(C6:C151)</f>
        <v>1766.6755171878315</v>
      </c>
      <c r="D153" s="133"/>
      <c r="E153" s="38"/>
      <c r="F153" s="38"/>
      <c r="G153" s="63"/>
      <c r="H153" s="63"/>
      <c r="I153" s="64">
        <v>0.85</v>
      </c>
      <c r="J153" s="46"/>
      <c r="K153" s="65">
        <f>SUM(K6:K151)</f>
        <v>1870.6123418817328</v>
      </c>
      <c r="L153" s="150"/>
      <c r="M153" s="150"/>
      <c r="N153" s="149"/>
      <c r="O153" s="66">
        <f>P153/(Q153-R153-S153)</f>
        <v>267.21724084657473</v>
      </c>
      <c r="P153" s="67">
        <f>SUM(P6:P151)</f>
        <v>10679337.030433359</v>
      </c>
      <c r="Q153" s="68">
        <f>SUM(Q6:Q152)</f>
        <v>43200</v>
      </c>
      <c r="R153" s="67">
        <f t="shared" ref="R153:W153" si="91">SUM(R6:R151)</f>
        <v>1306</v>
      </c>
      <c r="S153" s="67">
        <f t="shared" si="91"/>
        <v>1929</v>
      </c>
      <c r="T153" s="67">
        <f t="shared" si="91"/>
        <v>1766.6755171878315</v>
      </c>
      <c r="U153" s="67">
        <f t="shared" si="91"/>
        <v>1632.388881454531</v>
      </c>
      <c r="V153" s="69">
        <f t="shared" si="91"/>
        <v>142.39179415358439</v>
      </c>
      <c r="W153" s="70">
        <f t="shared" si="91"/>
        <v>1595.056</v>
      </c>
      <c r="X153" s="71">
        <f>W153/K153</f>
        <v>0.8526919042966763</v>
      </c>
      <c r="Y153" s="72">
        <f>SUM(Y6:Y151)</f>
        <v>2.68</v>
      </c>
      <c r="Z153" s="70">
        <f>SUM(Z6:Z151)</f>
        <v>20.072000000000003</v>
      </c>
      <c r="AA153" s="67">
        <f>SUM(AA6:AA151)</f>
        <v>14.580881454530779</v>
      </c>
      <c r="AB153" s="67">
        <f>SUM(AB6:AB151)</f>
        <v>-8.1051584202836402</v>
      </c>
      <c r="AC153" s="67">
        <f>SUM(AC6:AC151)</f>
        <v>103.93682469390146</v>
      </c>
      <c r="AD153" s="50">
        <f>SUM(AD6:AD152)</f>
        <v>3235</v>
      </c>
      <c r="AE153" s="134"/>
      <c r="AF153" s="67">
        <f t="shared" ref="AF153:BF153" si="92">SUM(AF6:AF152)</f>
        <v>499</v>
      </c>
      <c r="AG153" s="67">
        <f t="shared" si="92"/>
        <v>338</v>
      </c>
      <c r="AH153" s="67">
        <f t="shared" si="92"/>
        <v>736</v>
      </c>
      <c r="AI153" s="67">
        <f t="shared" si="92"/>
        <v>193</v>
      </c>
      <c r="AJ153" s="67">
        <f t="shared" si="92"/>
        <v>77</v>
      </c>
      <c r="AK153" s="67">
        <f t="shared" si="92"/>
        <v>86</v>
      </c>
      <c r="AL153" s="67">
        <f t="shared" si="92"/>
        <v>0</v>
      </c>
      <c r="AM153" s="67">
        <f t="shared" si="92"/>
        <v>1929</v>
      </c>
      <c r="AN153" s="61">
        <f t="shared" si="92"/>
        <v>350</v>
      </c>
      <c r="AO153" s="61">
        <f t="shared" si="92"/>
        <v>602</v>
      </c>
      <c r="AP153" s="61">
        <f t="shared" si="92"/>
        <v>80</v>
      </c>
      <c r="AQ153" s="61">
        <f t="shared" si="92"/>
        <v>0</v>
      </c>
      <c r="AR153" s="67">
        <f t="shared" si="92"/>
        <v>1032</v>
      </c>
      <c r="AS153" s="67">
        <f t="shared" si="92"/>
        <v>199</v>
      </c>
      <c r="AT153" s="67">
        <f t="shared" si="92"/>
        <v>0</v>
      </c>
      <c r="AU153" s="67">
        <f t="shared" si="92"/>
        <v>0</v>
      </c>
      <c r="AV153" s="67">
        <f t="shared" si="92"/>
        <v>0</v>
      </c>
      <c r="AW153" s="67">
        <f t="shared" si="92"/>
        <v>0</v>
      </c>
      <c r="AX153" s="67">
        <f t="shared" si="92"/>
        <v>0</v>
      </c>
      <c r="AY153" s="67">
        <f t="shared" si="92"/>
        <v>75</v>
      </c>
      <c r="AZ153" s="67">
        <f t="shared" si="92"/>
        <v>0</v>
      </c>
      <c r="BA153" s="67">
        <f t="shared" si="92"/>
        <v>1306</v>
      </c>
      <c r="BB153" s="61">
        <f t="shared" si="92"/>
        <v>104</v>
      </c>
      <c r="BC153" s="61">
        <f t="shared" si="92"/>
        <v>269</v>
      </c>
      <c r="BD153" s="61">
        <f t="shared" si="92"/>
        <v>0</v>
      </c>
      <c r="BE153" s="61">
        <f t="shared" si="92"/>
        <v>1</v>
      </c>
      <c r="BF153" s="61">
        <f t="shared" si="92"/>
        <v>1</v>
      </c>
    </row>
    <row r="154" spans="1:58" s="128" customFormat="1" ht="12.95" customHeight="1" x14ac:dyDescent="0.2">
      <c r="A154" s="132"/>
      <c r="B154" s="133"/>
      <c r="C154" s="133"/>
      <c r="D154" s="133"/>
      <c r="E154" s="38"/>
      <c r="F154" s="38"/>
      <c r="G154" s="63"/>
      <c r="H154" s="63"/>
      <c r="I154" s="63"/>
      <c r="J154" s="73"/>
      <c r="K154" s="73"/>
      <c r="L154" s="150"/>
      <c r="M154" s="150"/>
      <c r="N154" s="149"/>
      <c r="O154" s="217"/>
      <c r="P154" s="218"/>
      <c r="Q154" s="63">
        <f>30*1440-Q153</f>
        <v>0</v>
      </c>
      <c r="R154" s="74">
        <f>R153/Q153</f>
        <v>3.0231481481481481E-2</v>
      </c>
      <c r="S154" s="74">
        <f>S153/Q153</f>
        <v>4.4652777777777777E-2</v>
      </c>
      <c r="T154" s="75"/>
      <c r="U154" s="75"/>
      <c r="V154" s="76">
        <f>V153/K153</f>
        <v>7.6120418413547997E-2</v>
      </c>
      <c r="W154" s="77" t="s">
        <v>136</v>
      </c>
      <c r="X154" s="78">
        <v>0.85</v>
      </c>
      <c r="Y154" s="79">
        <f>Y153/K153</f>
        <v>1.4326859392492129E-3</v>
      </c>
      <c r="Z154" s="80">
        <f>Z153/K153</f>
        <v>1.0730176183809777E-2</v>
      </c>
      <c r="AA154" s="80">
        <f>AA153/K153</f>
        <v>7.7947103887186031E-3</v>
      </c>
      <c r="AB154" s="80">
        <f>AB153/K153</f>
        <v>-4.3328904866148255E-3</v>
      </c>
      <c r="AC154" s="81">
        <f>AC153/K153</f>
        <v>5.5562995264613051E-2</v>
      </c>
      <c r="AD154" s="82"/>
      <c r="AE154" s="151"/>
      <c r="AF154" s="80">
        <f>AF153/$AD$153*$V$154</f>
        <v>1.1741603953125332E-2</v>
      </c>
      <c r="AG154" s="80">
        <f>AG153/$AD$153*$V$154</f>
        <v>7.9532307337802852E-3</v>
      </c>
      <c r="AH154" s="80">
        <f>AH153/$AD$153*$V$154</f>
        <v>1.7318277574148788E-2</v>
      </c>
      <c r="AI154" s="80">
        <f>AI153/$AD$153*$V$154</f>
        <v>4.5413418095254293E-3</v>
      </c>
      <c r="AJ154" s="80">
        <f t="shared" ref="AJ154:BA154" si="93">AJ153/$AD$153*$V$154</f>
        <v>1.8118306701215444E-3</v>
      </c>
      <c r="AK154" s="80">
        <f t="shared" si="93"/>
        <v>2.023603086109777E-3</v>
      </c>
      <c r="AL154" s="80">
        <f>AL153/$AD$153*$V$154</f>
        <v>0</v>
      </c>
      <c r="AM154" s="80">
        <f t="shared" si="93"/>
        <v>4.5389887826811151E-2</v>
      </c>
      <c r="AN154" s="80">
        <f t="shared" si="93"/>
        <v>8.235593955097929E-3</v>
      </c>
      <c r="AO154" s="80">
        <f t="shared" si="93"/>
        <v>1.4165221602768438E-2</v>
      </c>
      <c r="AP154" s="80">
        <f t="shared" si="93"/>
        <v>1.8824214754509551E-3</v>
      </c>
      <c r="AQ154" s="80">
        <f>AQ153/$AD$153*$V$154</f>
        <v>0</v>
      </c>
      <c r="AR154" s="80">
        <f t="shared" si="93"/>
        <v>2.428323703331732E-2</v>
      </c>
      <c r="AS154" s="80">
        <f t="shared" si="93"/>
        <v>4.6825234201842503E-3</v>
      </c>
      <c r="AT154" s="80">
        <f t="shared" si="93"/>
        <v>0</v>
      </c>
      <c r="AU154" s="80">
        <f t="shared" si="93"/>
        <v>0</v>
      </c>
      <c r="AV154" s="80">
        <f t="shared" si="93"/>
        <v>0</v>
      </c>
      <c r="AW154" s="80">
        <f t="shared" si="93"/>
        <v>0</v>
      </c>
      <c r="AX154" s="80">
        <f t="shared" si="93"/>
        <v>0</v>
      </c>
      <c r="AY154" s="80">
        <f t="shared" si="93"/>
        <v>1.7647701332352704E-3</v>
      </c>
      <c r="AZ154" s="80">
        <f t="shared" si="93"/>
        <v>0</v>
      </c>
      <c r="BA154" s="80">
        <f t="shared" si="93"/>
        <v>3.0730530586736839E-2</v>
      </c>
      <c r="BB154" s="56" t="s">
        <v>137</v>
      </c>
      <c r="BC154" s="56" t="s">
        <v>137</v>
      </c>
      <c r="BD154" s="56" t="s">
        <v>203</v>
      </c>
      <c r="BE154" s="56" t="s">
        <v>203</v>
      </c>
      <c r="BF154" s="56" t="s">
        <v>203</v>
      </c>
    </row>
    <row r="155" spans="1:58" ht="12.95" customHeight="1" x14ac:dyDescent="0.2">
      <c r="A155" s="132"/>
      <c r="B155" s="133"/>
      <c r="C155" s="133"/>
      <c r="D155" s="133"/>
      <c r="E155" s="38"/>
      <c r="F155" s="38"/>
      <c r="G155" s="56"/>
      <c r="H155" s="56"/>
      <c r="I155" s="56"/>
      <c r="J155" s="46"/>
      <c r="K155" s="46"/>
      <c r="L155" s="122"/>
      <c r="M155" s="122"/>
      <c r="N155" s="124"/>
      <c r="O155" s="83"/>
      <c r="P155" s="84"/>
      <c r="Q155" s="56"/>
      <c r="R155" s="50">
        <f>R153-(BA153)</f>
        <v>0</v>
      </c>
      <c r="S155" s="50">
        <f>+S153-AM153</f>
        <v>0</v>
      </c>
      <c r="T155" s="124"/>
      <c r="U155" s="124"/>
      <c r="V155" s="124"/>
      <c r="W155" s="50">
        <f>+W153-'[1]31'!$M$34/1000</f>
        <v>0</v>
      </c>
      <c r="X155" s="136"/>
      <c r="Y155" s="152">
        <f>+Y153-SUM([1]RBP!AG3:AG4)</f>
        <v>0</v>
      </c>
      <c r="Z155" s="50">
        <f>+Z153-'[1]31'!J56/1000</f>
        <v>0</v>
      </c>
      <c r="AA155" s="124"/>
      <c r="AB155" s="124"/>
      <c r="AC155" s="124"/>
      <c r="AD155" s="124"/>
      <c r="AE155" s="151"/>
      <c r="AF155" s="85"/>
      <c r="AG155" s="85"/>
      <c r="AH155" s="85"/>
      <c r="AI155" s="85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7">
        <f>BB153/($Q$153/1440)/2</f>
        <v>1.7333333333333334</v>
      </c>
      <c r="BC155" s="87">
        <f t="shared" ref="BC155" si="94">BC153/($Q$153/1440)/2</f>
        <v>4.4833333333333334</v>
      </c>
      <c r="BD155" s="87">
        <f>BD153/($Q$153/1440)</f>
        <v>0</v>
      </c>
      <c r="BE155" s="87">
        <f t="shared" ref="BE155:BF155" si="95">BE153/($Q$153/1440)</f>
        <v>3.3333333333333333E-2</v>
      </c>
      <c r="BF155" s="87">
        <f t="shared" si="95"/>
        <v>3.3333333333333333E-2</v>
      </c>
    </row>
    <row r="156" spans="1:58" x14ac:dyDescent="0.2">
      <c r="A156" s="137"/>
      <c r="B156" s="138"/>
      <c r="C156" s="138"/>
      <c r="D156" s="138"/>
      <c r="E156" s="39"/>
      <c r="F156" s="39"/>
      <c r="G156" s="88"/>
      <c r="H156" s="88"/>
      <c r="I156" s="88"/>
      <c r="J156" s="89"/>
      <c r="K156" s="89"/>
      <c r="O156" s="90"/>
      <c r="P156" s="91"/>
      <c r="Q156" s="88"/>
      <c r="R156" s="92"/>
      <c r="S156" s="92"/>
      <c r="U156" s="139"/>
      <c r="V156" s="139"/>
      <c r="W156" s="93" t="s">
        <v>138</v>
      </c>
      <c r="X156" s="160">
        <f>W153/U153</f>
        <v>0.97712990949726042</v>
      </c>
      <c r="Y156" s="160"/>
      <c r="Z156" s="92"/>
      <c r="AD156" s="125"/>
      <c r="AE156" s="140"/>
      <c r="AF156" s="94"/>
      <c r="AG156" s="94"/>
      <c r="AH156" s="94"/>
      <c r="AI156" s="94"/>
      <c r="AJ156" s="94"/>
      <c r="AK156" s="94"/>
      <c r="AL156" s="94"/>
      <c r="AM156" s="94"/>
      <c r="AN156" s="86"/>
      <c r="AO156" s="86"/>
      <c r="AP156" s="86"/>
      <c r="AQ156" s="86"/>
      <c r="AR156" s="86"/>
      <c r="AS156" s="94"/>
      <c r="AT156" s="94"/>
      <c r="AU156" s="94"/>
      <c r="AV156" s="94"/>
      <c r="AW156" s="94"/>
      <c r="AX156" s="94"/>
      <c r="AY156" s="94"/>
      <c r="AZ156" s="94"/>
      <c r="BA156" s="86"/>
      <c r="BB156" s="128"/>
      <c r="BC156" s="86"/>
      <c r="BD156" s="86"/>
      <c r="BE156" s="128"/>
      <c r="BF156" s="86"/>
    </row>
    <row r="157" spans="1:58" x14ac:dyDescent="0.2">
      <c r="A157" s="137"/>
      <c r="B157" s="138"/>
      <c r="C157" s="138"/>
      <c r="D157" s="138"/>
      <c r="E157" s="39"/>
      <c r="F157" s="39"/>
      <c r="G157" s="88"/>
      <c r="H157" s="88"/>
      <c r="I157" s="88"/>
      <c r="J157" s="89"/>
      <c r="K157" s="89"/>
      <c r="O157" s="90"/>
      <c r="P157" s="91"/>
      <c r="Q157" s="88"/>
      <c r="R157" s="92"/>
      <c r="S157" s="92"/>
      <c r="U157" s="139"/>
      <c r="V157" s="139"/>
      <c r="W157" s="93"/>
      <c r="X157" s="86"/>
      <c r="Y157" s="86"/>
      <c r="Z157" s="92"/>
      <c r="AA157" s="141"/>
      <c r="AB157" s="141"/>
      <c r="AD157" s="125"/>
      <c r="AE157" s="140"/>
      <c r="AF157" s="94"/>
      <c r="AG157" s="94"/>
      <c r="AH157" s="94"/>
      <c r="AI157" s="94"/>
      <c r="AJ157" s="94"/>
      <c r="AK157" s="94"/>
      <c r="AL157" s="94"/>
      <c r="AM157" s="94"/>
      <c r="AN157" s="94"/>
      <c r="AO157" s="86"/>
      <c r="AP157" s="86"/>
      <c r="AQ157" s="86"/>
      <c r="AR157" s="94"/>
      <c r="AS157" s="86"/>
      <c r="AT157" s="86"/>
      <c r="AU157" s="86"/>
      <c r="AV157" s="86"/>
      <c r="AW157" s="86"/>
      <c r="AX157" s="86"/>
      <c r="AY157" s="86"/>
      <c r="AZ157" s="86"/>
      <c r="BA157" s="86"/>
      <c r="BB157" s="128"/>
      <c r="BC157" s="86"/>
      <c r="BD157" s="86"/>
      <c r="BE157" s="128"/>
      <c r="BF157" s="86"/>
    </row>
    <row r="158" spans="1:58" x14ac:dyDescent="0.2">
      <c r="A158" s="137"/>
      <c r="B158" s="138"/>
      <c r="C158" s="138"/>
      <c r="D158" s="138"/>
      <c r="E158" s="39"/>
      <c r="F158" s="39"/>
      <c r="G158" s="88"/>
      <c r="H158" s="88"/>
      <c r="I158" s="88"/>
      <c r="J158" s="89"/>
      <c r="K158" s="89"/>
      <c r="O158" s="90"/>
      <c r="P158" s="91"/>
      <c r="Q158" s="88"/>
      <c r="R158" s="95"/>
      <c r="S158" s="92"/>
      <c r="U158" s="139"/>
      <c r="V158" s="139"/>
      <c r="W158" s="93" t="s">
        <v>139</v>
      </c>
      <c r="X158" s="85">
        <f>+W153+Y153</f>
        <v>1597.7360000000001</v>
      </c>
      <c r="Y158" s="86"/>
      <c r="Z158" s="92"/>
      <c r="AD158" s="125"/>
      <c r="AE158" s="140"/>
      <c r="AF158" s="125"/>
      <c r="AG158" s="125"/>
      <c r="AH158" s="125"/>
      <c r="AI158" s="125"/>
      <c r="AJ158" s="86"/>
      <c r="AK158" s="86"/>
      <c r="AL158" s="86"/>
      <c r="AM158" s="94"/>
      <c r="AN158" s="86"/>
      <c r="AO158" s="86"/>
      <c r="AP158" s="86"/>
      <c r="AQ158" s="86"/>
      <c r="AR158" s="94"/>
      <c r="AS158" s="86"/>
      <c r="AT158" s="86"/>
      <c r="AU158" s="86"/>
      <c r="AV158" s="86"/>
      <c r="AW158" s="86"/>
      <c r="AX158" s="86"/>
      <c r="AY158" s="86"/>
      <c r="AZ158" s="86"/>
      <c r="BA158" s="86"/>
      <c r="BB158" s="128"/>
      <c r="BC158" s="86"/>
      <c r="BD158" s="86"/>
      <c r="BE158" s="128"/>
      <c r="BF158" s="86"/>
    </row>
    <row r="159" spans="1:58" x14ac:dyDescent="0.2">
      <c r="A159" s="137"/>
      <c r="C159" s="138" t="s">
        <v>140</v>
      </c>
      <c r="D159" s="138"/>
      <c r="E159" s="39"/>
      <c r="F159" s="39"/>
      <c r="G159" s="88"/>
      <c r="H159" s="88"/>
      <c r="I159" s="88"/>
      <c r="J159" s="89"/>
      <c r="K159" s="89"/>
      <c r="O159" s="90"/>
      <c r="P159" s="91"/>
      <c r="Q159" s="88"/>
      <c r="R159" s="95"/>
      <c r="S159" s="92"/>
      <c r="U159" s="139"/>
      <c r="V159" s="142"/>
      <c r="W159" s="96"/>
      <c r="X159" s="97"/>
      <c r="Y159" s="96"/>
      <c r="Z159" s="97"/>
      <c r="AD159" s="98"/>
      <c r="AE159" s="140"/>
      <c r="AF159" s="98"/>
      <c r="AG159" s="98"/>
      <c r="AH159" s="98"/>
      <c r="AI159" s="98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  <c r="BA159" s="86"/>
      <c r="BB159" s="128"/>
      <c r="BC159" s="86"/>
      <c r="BD159" s="86"/>
      <c r="BE159" s="128"/>
      <c r="BF159" s="86"/>
    </row>
    <row r="160" spans="1:58" x14ac:dyDescent="0.2">
      <c r="A160" s="137"/>
      <c r="B160" s="138"/>
      <c r="C160" s="138" t="s">
        <v>141</v>
      </c>
      <c r="D160" s="138"/>
      <c r="E160" s="39"/>
      <c r="F160" s="39"/>
      <c r="G160" s="88"/>
      <c r="H160" s="88"/>
      <c r="I160" s="88"/>
      <c r="J160" s="89"/>
      <c r="K160" s="89"/>
      <c r="O160" s="90"/>
      <c r="P160" s="91"/>
      <c r="Q160" s="88"/>
      <c r="R160" s="95"/>
      <c r="S160" s="92"/>
      <c r="V160" s="103"/>
      <c r="W160" s="143" t="s">
        <v>142</v>
      </c>
      <c r="X160" s="103"/>
      <c r="Y160" s="103"/>
      <c r="Z160" s="97"/>
      <c r="AE160" s="140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  <c r="AP160" s="92"/>
      <c r="AQ160" s="92"/>
      <c r="AS160" s="92"/>
      <c r="AT160" s="92"/>
      <c r="AU160" s="92"/>
      <c r="AV160" s="92"/>
      <c r="AW160" s="92"/>
      <c r="AX160" s="92"/>
      <c r="AY160" s="92"/>
      <c r="AZ160" s="92"/>
      <c r="BA160" s="92"/>
      <c r="BB160" s="128"/>
      <c r="BE160" s="128"/>
    </row>
    <row r="161" spans="1:57" x14ac:dyDescent="0.2">
      <c r="A161" s="137"/>
      <c r="B161" s="138"/>
      <c r="C161" s="138"/>
      <c r="D161" s="138"/>
      <c r="E161" s="39"/>
      <c r="F161" s="39"/>
      <c r="G161" s="88"/>
      <c r="H161" s="88"/>
      <c r="I161" s="88"/>
      <c r="J161" s="89"/>
      <c r="K161" s="89"/>
      <c r="O161" s="90"/>
      <c r="P161" s="91"/>
      <c r="Q161" s="88"/>
      <c r="R161" s="95"/>
      <c r="S161" s="92"/>
      <c r="V161" s="103"/>
      <c r="W161" s="104" t="s">
        <v>181</v>
      </c>
      <c r="X161" s="144">
        <f>Y154</f>
        <v>1.4326859392492129E-3</v>
      </c>
      <c r="Y161" s="145"/>
      <c r="Z161" s="97"/>
      <c r="AE161" s="140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  <c r="AP161" s="92"/>
      <c r="AQ161" s="92"/>
      <c r="AS161" s="92"/>
      <c r="AT161" s="92"/>
      <c r="AU161" s="92"/>
      <c r="AV161" s="92"/>
      <c r="AW161" s="92"/>
      <c r="AX161" s="92"/>
      <c r="AY161" s="92"/>
      <c r="AZ161" s="92"/>
      <c r="BA161" s="92"/>
      <c r="BB161" s="128"/>
      <c r="BE161" s="128"/>
    </row>
    <row r="162" spans="1:57" x14ac:dyDescent="0.2">
      <c r="R162" s="141"/>
      <c r="V162" s="103"/>
      <c r="W162" s="104" t="s">
        <v>143</v>
      </c>
      <c r="X162" s="105">
        <f>Z154</f>
        <v>1.0730176183809777E-2</v>
      </c>
      <c r="Y162" s="106"/>
      <c r="Z162" s="103"/>
    </row>
    <row r="163" spans="1:57" x14ac:dyDescent="0.2">
      <c r="R163" s="141"/>
      <c r="V163" s="103"/>
      <c r="W163" s="104" t="s">
        <v>144</v>
      </c>
      <c r="X163" s="105">
        <f>AC154</f>
        <v>5.5562995264613051E-2</v>
      </c>
      <c r="Y163" s="105"/>
      <c r="Z163" s="103"/>
    </row>
    <row r="164" spans="1:57" x14ac:dyDescent="0.2">
      <c r="R164" s="141"/>
      <c r="V164" s="103"/>
      <c r="W164" s="104" t="s">
        <v>145</v>
      </c>
      <c r="X164" s="105">
        <f>AA154</f>
        <v>7.7947103887186031E-3</v>
      </c>
      <c r="Y164" s="106"/>
      <c r="Z164" s="103"/>
    </row>
    <row r="165" spans="1:57" x14ac:dyDescent="0.2">
      <c r="V165" s="103"/>
      <c r="W165" s="104" t="s">
        <v>146</v>
      </c>
      <c r="X165" s="105">
        <f>AB154</f>
        <v>-4.3328904866148255E-3</v>
      </c>
      <c r="Y165" s="106" t="s">
        <v>147</v>
      </c>
      <c r="Z165" s="103"/>
    </row>
    <row r="166" spans="1:57" x14ac:dyDescent="0.2">
      <c r="V166" s="103"/>
      <c r="W166" s="104" t="s">
        <v>148</v>
      </c>
      <c r="X166" s="105">
        <f>AF154</f>
        <v>1.1741603953125332E-2</v>
      </c>
      <c r="Y166" s="106"/>
      <c r="Z166" s="103"/>
    </row>
    <row r="167" spans="1:57" x14ac:dyDescent="0.2">
      <c r="V167" s="103"/>
      <c r="W167" s="104" t="s">
        <v>149</v>
      </c>
      <c r="X167" s="105">
        <f>+AG154</f>
        <v>7.9532307337802852E-3</v>
      </c>
      <c r="Y167" s="106"/>
      <c r="Z167" s="103"/>
    </row>
    <row r="168" spans="1:57" x14ac:dyDescent="0.2">
      <c r="V168" s="103"/>
      <c r="W168" s="104" t="s">
        <v>150</v>
      </c>
      <c r="X168" s="105">
        <f>+AH154</f>
        <v>1.7318277574148788E-2</v>
      </c>
      <c r="Y168" s="106"/>
      <c r="Z168" s="103"/>
    </row>
    <row r="169" spans="1:57" x14ac:dyDescent="0.2">
      <c r="V169" s="103"/>
      <c r="W169" s="104" t="s">
        <v>151</v>
      </c>
      <c r="X169" s="105">
        <f>+AI154</f>
        <v>4.5413418095254293E-3</v>
      </c>
      <c r="Y169" s="106"/>
      <c r="Z169" s="103"/>
    </row>
    <row r="170" spans="1:57" x14ac:dyDescent="0.2">
      <c r="V170" s="103"/>
      <c r="W170" s="104" t="s">
        <v>152</v>
      </c>
      <c r="X170" s="105">
        <f>+AJ154</f>
        <v>1.8118306701215444E-3</v>
      </c>
      <c r="Y170" s="106"/>
      <c r="Z170" s="103"/>
    </row>
    <row r="171" spans="1:57" x14ac:dyDescent="0.2">
      <c r="V171" s="103"/>
      <c r="W171" s="104" t="s">
        <v>154</v>
      </c>
      <c r="X171" s="105">
        <f>+AK154</f>
        <v>2.023603086109777E-3</v>
      </c>
      <c r="Y171" s="106"/>
      <c r="Z171" s="103"/>
    </row>
    <row r="172" spans="1:57" x14ac:dyDescent="0.2">
      <c r="V172" s="103"/>
      <c r="W172" s="104" t="s">
        <v>153</v>
      </c>
      <c r="X172" s="105">
        <f>+AL154</f>
        <v>0</v>
      </c>
      <c r="Y172" s="106"/>
      <c r="Z172" s="103"/>
    </row>
    <row r="173" spans="1:57" x14ac:dyDescent="0.2">
      <c r="V173" s="103"/>
      <c r="W173" s="104" t="s">
        <v>155</v>
      </c>
      <c r="X173" s="105">
        <f>+AN154</f>
        <v>8.235593955097929E-3</v>
      </c>
      <c r="Y173" s="106"/>
      <c r="Z173" s="103"/>
    </row>
    <row r="174" spans="1:57" x14ac:dyDescent="0.2">
      <c r="V174" s="103"/>
      <c r="W174" s="104" t="s">
        <v>158</v>
      </c>
      <c r="X174" s="105">
        <f>+AO154</f>
        <v>1.4165221602768438E-2</v>
      </c>
      <c r="Y174" s="106"/>
      <c r="Z174" s="103"/>
    </row>
    <row r="175" spans="1:57" x14ac:dyDescent="0.2">
      <c r="V175" s="103"/>
      <c r="W175" s="104" t="s">
        <v>157</v>
      </c>
      <c r="X175" s="105">
        <f>+AP154</f>
        <v>1.8824214754509551E-3</v>
      </c>
      <c r="Y175" s="106"/>
      <c r="Z175" s="103"/>
    </row>
    <row r="176" spans="1:57" x14ac:dyDescent="0.2">
      <c r="V176" s="103"/>
      <c r="W176" s="104" t="s">
        <v>156</v>
      </c>
      <c r="X176" s="105">
        <f>+AQ154</f>
        <v>0</v>
      </c>
      <c r="Y176" s="106"/>
      <c r="Z176" s="103"/>
    </row>
    <row r="177" spans="6:26" ht="15" customHeight="1" x14ac:dyDescent="0.2">
      <c r="F177" s="114"/>
      <c r="J177" s="114"/>
      <c r="K177" s="114"/>
      <c r="L177" s="114"/>
      <c r="M177" s="114"/>
      <c r="Q177" s="114"/>
      <c r="V177" s="103"/>
      <c r="W177" s="104" t="s">
        <v>159</v>
      </c>
      <c r="X177" s="105">
        <f>+AS154</f>
        <v>4.6825234201842503E-3</v>
      </c>
      <c r="Y177" s="106"/>
      <c r="Z177" s="103"/>
    </row>
    <row r="178" spans="6:26" x14ac:dyDescent="0.2">
      <c r="F178" s="114"/>
      <c r="J178" s="114"/>
      <c r="K178" s="114"/>
      <c r="L178" s="114"/>
      <c r="M178" s="114"/>
      <c r="Q178" s="114"/>
      <c r="V178" s="103"/>
      <c r="W178" s="104" t="s">
        <v>185</v>
      </c>
      <c r="X178" s="105">
        <f>+AT154</f>
        <v>0</v>
      </c>
      <c r="Y178" s="106"/>
      <c r="Z178" s="103"/>
    </row>
    <row r="179" spans="6:26" x14ac:dyDescent="0.2">
      <c r="F179" s="114"/>
      <c r="J179" s="114"/>
      <c r="K179" s="114"/>
      <c r="L179" s="114"/>
      <c r="M179" s="114"/>
      <c r="Q179" s="114"/>
      <c r="V179" s="103"/>
      <c r="W179" s="104" t="s">
        <v>186</v>
      </c>
      <c r="X179" s="105">
        <f>+AU154</f>
        <v>0</v>
      </c>
      <c r="Y179" s="106"/>
      <c r="Z179" s="103"/>
    </row>
    <row r="180" spans="6:26" x14ac:dyDescent="0.2">
      <c r="F180" s="114"/>
      <c r="J180" s="114"/>
      <c r="K180" s="114"/>
      <c r="L180" s="114"/>
      <c r="M180" s="114"/>
      <c r="Q180" s="114"/>
      <c r="V180" s="103"/>
      <c r="W180" s="104" t="s">
        <v>40</v>
      </c>
      <c r="X180" s="105">
        <f>AV154</f>
        <v>0</v>
      </c>
      <c r="Y180" s="106"/>
      <c r="Z180" s="103"/>
    </row>
    <row r="181" spans="6:26" x14ac:dyDescent="0.2">
      <c r="F181" s="114"/>
      <c r="J181" s="114"/>
      <c r="K181" s="114"/>
      <c r="L181" s="114"/>
      <c r="M181" s="114"/>
      <c r="Q181" s="114"/>
      <c r="V181" s="103"/>
      <c r="W181" s="104" t="s">
        <v>193</v>
      </c>
      <c r="X181" s="105">
        <f>AW154</f>
        <v>0</v>
      </c>
      <c r="Y181" s="106"/>
      <c r="Z181" s="103"/>
    </row>
    <row r="182" spans="6:26" x14ac:dyDescent="0.2">
      <c r="F182" s="114"/>
      <c r="J182" s="114"/>
      <c r="K182" s="114"/>
      <c r="L182" s="114"/>
      <c r="M182" s="114"/>
      <c r="Q182" s="114"/>
      <c r="V182" s="103"/>
      <c r="W182" s="103" t="s">
        <v>171</v>
      </c>
      <c r="X182" s="105">
        <f>AX154+AY154</f>
        <v>1.7647701332352704E-3</v>
      </c>
      <c r="Y182" s="105"/>
      <c r="Z182" s="103"/>
    </row>
    <row r="183" spans="6:26" x14ac:dyDescent="0.2">
      <c r="F183" s="114"/>
      <c r="J183" s="114"/>
      <c r="K183" s="114"/>
      <c r="L183" s="114"/>
      <c r="M183" s="114"/>
      <c r="Q183" s="114"/>
      <c r="V183" s="103"/>
      <c r="W183" s="103" t="s">
        <v>194</v>
      </c>
      <c r="X183" s="105">
        <f>AZ154</f>
        <v>0</v>
      </c>
      <c r="Y183" s="103"/>
      <c r="Z183" s="103"/>
    </row>
    <row r="184" spans="6:26" x14ac:dyDescent="0.2">
      <c r="F184" s="114"/>
      <c r="J184" s="114"/>
      <c r="K184" s="114"/>
      <c r="L184" s="114"/>
      <c r="M184" s="114"/>
      <c r="Q184" s="114"/>
      <c r="V184" s="103"/>
      <c r="W184" s="103"/>
      <c r="X184" s="107">
        <f>SUM(X161:X183)</f>
        <v>0.14730809570332382</v>
      </c>
      <c r="Y184" s="103"/>
      <c r="Z184" s="103"/>
    </row>
    <row r="185" spans="6:26" x14ac:dyDescent="0.2">
      <c r="F185" s="114"/>
      <c r="J185" s="114"/>
      <c r="K185" s="114"/>
      <c r="L185" s="114"/>
      <c r="M185" s="114"/>
      <c r="Q185" s="114"/>
    </row>
    <row r="186" spans="6:26" x14ac:dyDescent="0.2">
      <c r="F186" s="114"/>
      <c r="J186" s="114"/>
      <c r="K186" s="114"/>
      <c r="L186" s="114"/>
      <c r="M186" s="114"/>
      <c r="Q186" s="114"/>
      <c r="X186" s="141">
        <f>+X184+X153</f>
        <v>1</v>
      </c>
    </row>
    <row r="187" spans="6:26" x14ac:dyDescent="0.2">
      <c r="F187" s="114"/>
      <c r="J187" s="114"/>
      <c r="K187" s="114"/>
      <c r="L187" s="114"/>
      <c r="M187" s="114"/>
      <c r="Q187" s="114"/>
    </row>
    <row r="188" spans="6:26" x14ac:dyDescent="0.2">
      <c r="F188" s="114"/>
      <c r="J188" s="114"/>
      <c r="K188" s="114"/>
      <c r="L188" s="114"/>
      <c r="M188" s="114"/>
      <c r="Q188" s="114"/>
    </row>
    <row r="189" spans="6:26" x14ac:dyDescent="0.2">
      <c r="F189" s="114"/>
      <c r="J189" s="114"/>
      <c r="K189" s="114"/>
      <c r="L189" s="114"/>
      <c r="M189" s="114"/>
      <c r="Q189" s="114"/>
    </row>
    <row r="190" spans="6:26" x14ac:dyDescent="0.2">
      <c r="F190" s="114"/>
      <c r="J190" s="114"/>
      <c r="K190" s="114"/>
      <c r="L190" s="114"/>
      <c r="M190" s="114"/>
      <c r="Q190" s="114"/>
    </row>
    <row r="191" spans="6:26" x14ac:dyDescent="0.2">
      <c r="F191" s="114"/>
      <c r="J191" s="114"/>
      <c r="K191" s="114"/>
      <c r="L191" s="114"/>
      <c r="M191" s="114"/>
      <c r="Q191" s="114"/>
    </row>
    <row r="192" spans="6:26" x14ac:dyDescent="0.2">
      <c r="F192" s="114"/>
      <c r="J192" s="114"/>
      <c r="K192" s="114"/>
      <c r="L192" s="114"/>
      <c r="M192" s="114"/>
      <c r="Q192" s="114"/>
    </row>
    <row r="193" spans="6:17" x14ac:dyDescent="0.2">
      <c r="F193" s="114"/>
      <c r="J193" s="114"/>
      <c r="K193" s="114"/>
      <c r="L193" s="114"/>
      <c r="M193" s="114"/>
      <c r="Q193" s="114"/>
    </row>
    <row r="194" spans="6:17" x14ac:dyDescent="0.2">
      <c r="F194" s="114"/>
      <c r="J194" s="114"/>
      <c r="K194" s="114"/>
      <c r="L194" s="114"/>
      <c r="M194" s="114"/>
      <c r="Q194" s="114"/>
    </row>
    <row r="195" spans="6:17" x14ac:dyDescent="0.2">
      <c r="F195" s="114"/>
      <c r="J195" s="114"/>
      <c r="K195" s="114"/>
      <c r="L195" s="114"/>
      <c r="M195" s="114"/>
      <c r="Q195" s="114"/>
    </row>
    <row r="196" spans="6:17" x14ac:dyDescent="0.2">
      <c r="F196" s="114"/>
      <c r="J196" s="114"/>
      <c r="K196" s="114"/>
      <c r="L196" s="114"/>
      <c r="M196" s="114"/>
      <c r="Q196" s="114"/>
    </row>
    <row r="197" spans="6:17" x14ac:dyDescent="0.2">
      <c r="F197" s="114"/>
      <c r="J197" s="114"/>
      <c r="K197" s="114"/>
      <c r="L197" s="114"/>
      <c r="M197" s="114"/>
      <c r="Q197" s="114"/>
    </row>
    <row r="198" spans="6:17" x14ac:dyDescent="0.2">
      <c r="F198" s="114"/>
      <c r="J198" s="114"/>
      <c r="K198" s="114"/>
      <c r="L198" s="114"/>
      <c r="M198" s="114"/>
      <c r="Q198" s="114"/>
    </row>
    <row r="199" spans="6:17" x14ac:dyDescent="0.2">
      <c r="F199" s="114"/>
      <c r="J199" s="114"/>
      <c r="K199" s="114"/>
      <c r="L199" s="114"/>
      <c r="M199" s="114"/>
      <c r="Q199" s="114"/>
    </row>
    <row r="200" spans="6:17" x14ac:dyDescent="0.2">
      <c r="F200" s="114"/>
      <c r="J200" s="114"/>
      <c r="K200" s="114"/>
      <c r="L200" s="114"/>
      <c r="M200" s="114"/>
      <c r="Q200" s="114"/>
    </row>
    <row r="201" spans="6:17" x14ac:dyDescent="0.2">
      <c r="F201" s="114"/>
      <c r="J201" s="114"/>
      <c r="K201" s="114"/>
      <c r="L201" s="114"/>
      <c r="M201" s="114"/>
      <c r="Q201" s="114"/>
    </row>
    <row r="202" spans="6:17" x14ac:dyDescent="0.2">
      <c r="F202" s="114"/>
      <c r="J202" s="114"/>
      <c r="K202" s="114"/>
      <c r="L202" s="114"/>
      <c r="M202" s="114"/>
      <c r="Q202" s="114"/>
    </row>
    <row r="203" spans="6:17" x14ac:dyDescent="0.2">
      <c r="F203" s="114"/>
      <c r="J203" s="114"/>
      <c r="K203" s="114"/>
      <c r="L203" s="114"/>
      <c r="M203" s="114"/>
      <c r="Q203" s="114"/>
    </row>
    <row r="204" spans="6:17" x14ac:dyDescent="0.2">
      <c r="F204" s="114"/>
      <c r="J204" s="114"/>
      <c r="K204" s="114"/>
      <c r="L204" s="114"/>
      <c r="M204" s="114"/>
      <c r="Q204" s="114"/>
    </row>
    <row r="205" spans="6:17" x14ac:dyDescent="0.2">
      <c r="F205" s="114"/>
      <c r="J205" s="114"/>
      <c r="K205" s="114"/>
      <c r="L205" s="114"/>
      <c r="M205" s="114"/>
      <c r="Q205" s="114"/>
    </row>
    <row r="206" spans="6:17" x14ac:dyDescent="0.2">
      <c r="F206" s="114"/>
      <c r="J206" s="114"/>
      <c r="K206" s="114"/>
      <c r="L206" s="114"/>
      <c r="M206" s="114"/>
      <c r="Q206" s="114"/>
    </row>
    <row r="207" spans="6:17" x14ac:dyDescent="0.2">
      <c r="F207" s="114"/>
      <c r="J207" s="114"/>
      <c r="K207" s="114"/>
      <c r="L207" s="114"/>
      <c r="M207" s="114"/>
      <c r="Q207" s="114"/>
    </row>
    <row r="208" spans="6:17" x14ac:dyDescent="0.2">
      <c r="F208" s="114"/>
      <c r="J208" s="114"/>
      <c r="K208" s="114"/>
      <c r="L208" s="114"/>
      <c r="M208" s="114"/>
      <c r="Q208" s="114"/>
    </row>
    <row r="209" spans="6:17" x14ac:dyDescent="0.2">
      <c r="F209" s="114"/>
      <c r="J209" s="114"/>
      <c r="K209" s="114"/>
      <c r="L209" s="114"/>
      <c r="M209" s="114"/>
      <c r="Q209" s="114"/>
    </row>
    <row r="210" spans="6:17" x14ac:dyDescent="0.2">
      <c r="F210" s="114"/>
      <c r="J210" s="114"/>
      <c r="K210" s="114"/>
      <c r="L210" s="114"/>
      <c r="M210" s="114"/>
      <c r="Q210" s="114"/>
    </row>
    <row r="211" spans="6:17" x14ac:dyDescent="0.2">
      <c r="F211" s="114"/>
      <c r="J211" s="114"/>
      <c r="K211" s="114"/>
      <c r="L211" s="114"/>
      <c r="M211" s="114"/>
      <c r="Q211" s="114"/>
    </row>
    <row r="212" spans="6:17" x14ac:dyDescent="0.2">
      <c r="F212" s="114"/>
      <c r="J212" s="114"/>
      <c r="K212" s="114"/>
      <c r="L212" s="114"/>
      <c r="M212" s="114"/>
      <c r="Q212" s="114"/>
    </row>
    <row r="213" spans="6:17" x14ac:dyDescent="0.2">
      <c r="F213" s="114"/>
      <c r="J213" s="114"/>
      <c r="K213" s="114"/>
      <c r="L213" s="114"/>
      <c r="M213" s="114"/>
      <c r="Q213" s="114"/>
    </row>
    <row r="214" spans="6:17" x14ac:dyDescent="0.2">
      <c r="F214" s="114"/>
      <c r="J214" s="114"/>
      <c r="K214" s="114"/>
      <c r="L214" s="114"/>
      <c r="M214" s="114"/>
      <c r="Q214" s="114"/>
    </row>
    <row r="215" spans="6:17" x14ac:dyDescent="0.2">
      <c r="F215" s="114"/>
      <c r="J215" s="114"/>
      <c r="K215" s="114"/>
      <c r="L215" s="114"/>
      <c r="M215" s="114"/>
      <c r="Q215" s="114"/>
    </row>
    <row r="216" spans="6:17" x14ac:dyDescent="0.2">
      <c r="F216" s="114"/>
      <c r="J216" s="114"/>
      <c r="K216" s="114"/>
      <c r="L216" s="114"/>
      <c r="M216" s="114"/>
      <c r="Q216" s="114"/>
    </row>
    <row r="217" spans="6:17" x14ac:dyDescent="0.2">
      <c r="F217" s="114"/>
      <c r="J217" s="114"/>
      <c r="K217" s="114"/>
      <c r="L217" s="114"/>
      <c r="M217" s="114"/>
      <c r="Q217" s="114"/>
    </row>
    <row r="218" spans="6:17" x14ac:dyDescent="0.2">
      <c r="F218" s="114"/>
      <c r="J218" s="114"/>
      <c r="K218" s="114"/>
      <c r="L218" s="114"/>
      <c r="M218" s="114"/>
      <c r="Q218" s="114"/>
    </row>
    <row r="219" spans="6:17" x14ac:dyDescent="0.2">
      <c r="F219" s="114"/>
      <c r="J219" s="114"/>
      <c r="K219" s="114"/>
      <c r="L219" s="114"/>
      <c r="M219" s="114"/>
      <c r="Q219" s="114"/>
    </row>
    <row r="220" spans="6:17" x14ac:dyDescent="0.2">
      <c r="F220" s="114"/>
      <c r="J220" s="114"/>
      <c r="K220" s="114"/>
      <c r="L220" s="114"/>
      <c r="M220" s="114"/>
      <c r="Q220" s="114"/>
    </row>
    <row r="221" spans="6:17" x14ac:dyDescent="0.2">
      <c r="F221" s="114"/>
      <c r="J221" s="114"/>
      <c r="K221" s="114"/>
      <c r="L221" s="114"/>
      <c r="M221" s="114"/>
      <c r="Q221" s="114"/>
    </row>
    <row r="222" spans="6:17" x14ac:dyDescent="0.2">
      <c r="F222" s="114"/>
      <c r="J222" s="114"/>
      <c r="K222" s="114"/>
      <c r="L222" s="114"/>
      <c r="M222" s="114"/>
      <c r="Q222" s="114"/>
    </row>
    <row r="223" spans="6:17" x14ac:dyDescent="0.2">
      <c r="F223" s="114"/>
      <c r="J223" s="114"/>
      <c r="K223" s="114"/>
      <c r="L223" s="114"/>
      <c r="M223" s="114"/>
      <c r="Q223" s="114"/>
    </row>
    <row r="224" spans="6:17" x14ac:dyDescent="0.2">
      <c r="F224" s="114"/>
      <c r="J224" s="114"/>
      <c r="K224" s="114"/>
      <c r="L224" s="114"/>
      <c r="M224" s="114"/>
      <c r="Q224" s="114"/>
    </row>
    <row r="225" spans="6:17" x14ac:dyDescent="0.2">
      <c r="F225" s="114"/>
      <c r="J225" s="114"/>
      <c r="K225" s="114"/>
      <c r="L225" s="114"/>
      <c r="M225" s="114"/>
      <c r="Q225" s="114"/>
    </row>
    <row r="226" spans="6:17" x14ac:dyDescent="0.2">
      <c r="F226" s="114"/>
      <c r="J226" s="114"/>
      <c r="K226" s="114"/>
      <c r="L226" s="114"/>
      <c r="M226" s="114"/>
      <c r="Q226" s="114"/>
    </row>
    <row r="227" spans="6:17" x14ac:dyDescent="0.2">
      <c r="F227" s="114"/>
      <c r="J227" s="114"/>
      <c r="K227" s="114"/>
      <c r="L227" s="114"/>
      <c r="M227" s="114"/>
      <c r="Q227" s="114"/>
    </row>
    <row r="228" spans="6:17" x14ac:dyDescent="0.2">
      <c r="F228" s="114"/>
      <c r="J228" s="114"/>
      <c r="K228" s="114"/>
      <c r="L228" s="114"/>
      <c r="M228" s="114"/>
      <c r="Q228" s="114"/>
    </row>
    <row r="229" spans="6:17" x14ac:dyDescent="0.2">
      <c r="F229" s="114"/>
      <c r="J229" s="114"/>
      <c r="K229" s="114"/>
      <c r="L229" s="114"/>
      <c r="M229" s="114"/>
      <c r="Q229" s="114"/>
    </row>
    <row r="230" spans="6:17" x14ac:dyDescent="0.2">
      <c r="F230" s="114"/>
      <c r="J230" s="114"/>
      <c r="K230" s="114"/>
      <c r="L230" s="114"/>
      <c r="M230" s="114"/>
      <c r="Q230" s="114"/>
    </row>
    <row r="231" spans="6:17" x14ac:dyDescent="0.2">
      <c r="F231" s="114"/>
      <c r="J231" s="114"/>
      <c r="K231" s="114"/>
      <c r="L231" s="114"/>
      <c r="M231" s="114"/>
      <c r="Q231" s="114"/>
    </row>
    <row r="232" spans="6:17" x14ac:dyDescent="0.2">
      <c r="F232" s="114"/>
      <c r="J232" s="114"/>
      <c r="K232" s="114"/>
      <c r="L232" s="114"/>
      <c r="M232" s="114"/>
      <c r="Q232" s="114"/>
    </row>
    <row r="233" spans="6:17" x14ac:dyDescent="0.2">
      <c r="F233" s="114"/>
      <c r="J233" s="114"/>
      <c r="K233" s="114"/>
      <c r="L233" s="114"/>
      <c r="M233" s="114"/>
      <c r="Q233" s="114"/>
    </row>
    <row r="234" spans="6:17" x14ac:dyDescent="0.2">
      <c r="F234" s="114"/>
      <c r="J234" s="114"/>
      <c r="K234" s="114"/>
      <c r="L234" s="114"/>
      <c r="M234" s="114"/>
      <c r="Q234" s="114"/>
    </row>
    <row r="235" spans="6:17" x14ac:dyDescent="0.2">
      <c r="F235" s="114"/>
      <c r="J235" s="114"/>
      <c r="K235" s="114"/>
      <c r="L235" s="114"/>
      <c r="M235" s="114"/>
      <c r="Q235" s="114"/>
    </row>
    <row r="236" spans="6:17" x14ac:dyDescent="0.2">
      <c r="F236" s="114"/>
      <c r="J236" s="114"/>
      <c r="K236" s="114"/>
      <c r="L236" s="114"/>
      <c r="M236" s="114"/>
      <c r="Q236" s="114"/>
    </row>
    <row r="237" spans="6:17" x14ac:dyDescent="0.2">
      <c r="F237" s="114"/>
      <c r="J237" s="114"/>
      <c r="K237" s="114"/>
      <c r="L237" s="114"/>
      <c r="M237" s="114"/>
      <c r="Q237" s="114"/>
    </row>
    <row r="238" spans="6:17" x14ac:dyDescent="0.2">
      <c r="F238" s="114"/>
      <c r="J238" s="114"/>
      <c r="K238" s="114"/>
      <c r="L238" s="114"/>
      <c r="M238" s="114"/>
      <c r="Q238" s="114"/>
    </row>
    <row r="239" spans="6:17" x14ac:dyDescent="0.2">
      <c r="F239" s="114"/>
      <c r="J239" s="114"/>
      <c r="K239" s="114"/>
      <c r="L239" s="114"/>
      <c r="M239" s="114"/>
      <c r="Q239" s="114"/>
    </row>
  </sheetData>
  <mergeCells count="49">
    <mergeCell ref="BD3:BD5"/>
    <mergeCell ref="BE3:BE5"/>
    <mergeCell ref="BF3:BF5"/>
    <mergeCell ref="AF4:AH4"/>
    <mergeCell ref="AI4:AI5"/>
    <mergeCell ref="AJ4:AJ5"/>
    <mergeCell ref="AK4:AK5"/>
    <mergeCell ref="AL4:AL5"/>
    <mergeCell ref="AN4:AN5"/>
    <mergeCell ref="AO4:AO5"/>
    <mergeCell ref="AV3:AW3"/>
    <mergeCell ref="AX3:AY3"/>
    <mergeCell ref="AZ3:AZ5"/>
    <mergeCell ref="BA3:BA5"/>
    <mergeCell ref="BB3:BB5"/>
    <mergeCell ref="BC3:BC5"/>
    <mergeCell ref="AT3:AU4"/>
    <mergeCell ref="AP4:AP5"/>
    <mergeCell ref="AQ4:AQ5"/>
    <mergeCell ref="AR4:AR5"/>
    <mergeCell ref="AD3:AD5"/>
    <mergeCell ref="AE3:AE5"/>
    <mergeCell ref="AF3:AL3"/>
    <mergeCell ref="AM3:AM5"/>
    <mergeCell ref="AN3:AR3"/>
    <mergeCell ref="AS3:AS5"/>
    <mergeCell ref="AA3:AA5"/>
    <mergeCell ref="AB3:AB5"/>
    <mergeCell ref="S3:S5"/>
    <mergeCell ref="T3:T5"/>
    <mergeCell ref="U3:U5"/>
    <mergeCell ref="V3:V5"/>
    <mergeCell ref="W3:W5"/>
    <mergeCell ref="AC3:AC5"/>
    <mergeCell ref="R3:R5"/>
    <mergeCell ref="A3:A5"/>
    <mergeCell ref="B3:B5"/>
    <mergeCell ref="C3:C5"/>
    <mergeCell ref="D3:D5"/>
    <mergeCell ref="E3:E5"/>
    <mergeCell ref="F3:F5"/>
    <mergeCell ref="G3:K4"/>
    <mergeCell ref="L3:N4"/>
    <mergeCell ref="O3:O5"/>
    <mergeCell ref="P3:P5"/>
    <mergeCell ref="Q3:Q5"/>
    <mergeCell ref="X3:X5"/>
    <mergeCell ref="Y3:Y5"/>
    <mergeCell ref="Z3:Z5"/>
  </mergeCells>
  <conditionalFormatting sqref="B10:B11 C114 B115:C115">
    <cfRule type="cellIs" dxfId="34712" priority="6342" stopIfTrue="1" operator="equal">
      <formula>"Towel"</formula>
    </cfRule>
    <cfRule type="cellIs" dxfId="34711" priority="6343" stopIfTrue="1" operator="equal">
      <formula>"Napkin Hs"</formula>
    </cfRule>
  </conditionalFormatting>
  <conditionalFormatting sqref="B15:B16">
    <cfRule type="cellIs" dxfId="34710" priority="6310" stopIfTrue="1" operator="equal">
      <formula>"Towel"</formula>
    </cfRule>
    <cfRule type="cellIs" dxfId="34709" priority="6311" stopIfTrue="1" operator="equal">
      <formula>"Napkin Hs"</formula>
    </cfRule>
  </conditionalFormatting>
  <conditionalFormatting sqref="B33:B35">
    <cfRule type="cellIs" dxfId="34708" priority="6182" stopIfTrue="1" operator="equal">
      <formula>"Towel"</formula>
    </cfRule>
    <cfRule type="cellIs" dxfId="34707" priority="6183" stopIfTrue="1" operator="equal">
      <formula>"Napkin Hs"</formula>
    </cfRule>
  </conditionalFormatting>
  <conditionalFormatting sqref="B38:B40">
    <cfRule type="cellIs" dxfId="34706" priority="6126" stopIfTrue="1" operator="equal">
      <formula>"Towel"</formula>
    </cfRule>
    <cfRule type="cellIs" dxfId="34705" priority="6127" stopIfTrue="1" operator="equal">
      <formula>"Napkin Hs"</formula>
    </cfRule>
  </conditionalFormatting>
  <conditionalFormatting sqref="B42:B44">
    <cfRule type="cellIs" dxfId="34704" priority="6028" stopIfTrue="1" operator="equal">
      <formula>"Towel"</formula>
    </cfRule>
    <cfRule type="cellIs" dxfId="34703" priority="6029" stopIfTrue="1" operator="equal">
      <formula>"Napkin Hs"</formula>
    </cfRule>
  </conditionalFormatting>
  <conditionalFormatting sqref="B47:B48">
    <cfRule type="cellIs" dxfId="34702" priority="5897" stopIfTrue="1" operator="equal">
      <formula>"Towel"</formula>
    </cfRule>
    <cfRule type="cellIs" dxfId="34701" priority="5898" stopIfTrue="1" operator="equal">
      <formula>"Napkin Hs"</formula>
    </cfRule>
  </conditionalFormatting>
  <conditionalFormatting sqref="B50:B52">
    <cfRule type="cellIs" dxfId="34700" priority="5762" stopIfTrue="1" operator="equal">
      <formula>"Towel"</formula>
    </cfRule>
    <cfRule type="cellIs" dxfId="34699" priority="5763" stopIfTrue="1" operator="equal">
      <formula>"Napkin Hs"</formula>
    </cfRule>
  </conditionalFormatting>
  <conditionalFormatting sqref="B55:B56">
    <cfRule type="cellIs" dxfId="34698" priority="5522" stopIfTrue="1" operator="equal">
      <formula>"Towel"</formula>
    </cfRule>
    <cfRule type="cellIs" dxfId="34697" priority="5523" stopIfTrue="1" operator="equal">
      <formula>"Napkin Hs"</formula>
    </cfRule>
  </conditionalFormatting>
  <conditionalFormatting sqref="B55:B57">
    <cfRule type="cellIs" dxfId="34696" priority="5595" stopIfTrue="1" operator="equal">
      <formula>"Towel"</formula>
    </cfRule>
    <cfRule type="cellIs" dxfId="34695" priority="5596" stopIfTrue="1" operator="equal">
      <formula>"Napkin Hs"</formula>
    </cfRule>
  </conditionalFormatting>
  <conditionalFormatting sqref="B64">
    <cfRule type="cellIs" dxfId="34694" priority="5266" stopIfTrue="1" operator="equal">
      <formula>"Towel"</formula>
    </cfRule>
    <cfRule type="cellIs" dxfId="34693" priority="5267" stopIfTrue="1" operator="equal">
      <formula>"Napkin Hs"</formula>
    </cfRule>
    <cfRule type="cellIs" dxfId="34692" priority="5268" stopIfTrue="1" operator="equal">
      <formula>"Towel"</formula>
    </cfRule>
    <cfRule type="cellIs" dxfId="34691" priority="5269" stopIfTrue="1" operator="equal">
      <formula>"Napkin Hs"</formula>
    </cfRule>
    <cfRule type="cellIs" dxfId="34690" priority="5270" stopIfTrue="1" operator="equal">
      <formula>"Towel"</formula>
    </cfRule>
    <cfRule type="cellIs" dxfId="34689" priority="5271" stopIfTrue="1" operator="equal">
      <formula>"Napkin Hs"</formula>
    </cfRule>
  </conditionalFormatting>
  <conditionalFormatting sqref="B67:B68">
    <cfRule type="cellIs" dxfId="34688" priority="5258" stopIfTrue="1" operator="equal">
      <formula>"Towel"</formula>
    </cfRule>
    <cfRule type="cellIs" dxfId="34687" priority="5259" stopIfTrue="1" operator="equal">
      <formula>"Napkin Hs"</formula>
    </cfRule>
    <cfRule type="cellIs" dxfId="34686" priority="5260" stopIfTrue="1" operator="equal">
      <formula>"Towel"</formula>
    </cfRule>
    <cfRule type="cellIs" dxfId="34685" priority="5261" stopIfTrue="1" operator="equal">
      <formula>"Napkin Hs"</formula>
    </cfRule>
    <cfRule type="cellIs" dxfId="34684" priority="5262" stopIfTrue="1" operator="equal">
      <formula>"Towel"</formula>
    </cfRule>
    <cfRule type="cellIs" dxfId="34683" priority="5263" stopIfTrue="1" operator="equal">
      <formula>"Napkin Hs"</formula>
    </cfRule>
    <cfRule type="cellIs" dxfId="34682" priority="5264" stopIfTrue="1" operator="equal">
      <formula>"Towel"</formula>
    </cfRule>
    <cfRule type="cellIs" dxfId="34681" priority="5265" stopIfTrue="1" operator="equal">
      <formula>"Napkin Hs"</formula>
    </cfRule>
  </conditionalFormatting>
  <conditionalFormatting sqref="B72:B73">
    <cfRule type="cellIs" dxfId="34680" priority="5202" stopIfTrue="1" operator="equal">
      <formula>"Towel"</formula>
    </cfRule>
    <cfRule type="cellIs" dxfId="34679" priority="5203" stopIfTrue="1" operator="equal">
      <formula>"Napkin Hs"</formula>
    </cfRule>
  </conditionalFormatting>
  <conditionalFormatting sqref="B77:B78">
    <cfRule type="cellIs" dxfId="34678" priority="5106" stopIfTrue="1" operator="equal">
      <formula>"Towel"</formula>
    </cfRule>
    <cfRule type="cellIs" dxfId="34677" priority="5107" stopIfTrue="1" operator="equal">
      <formula>"Napkin Hs"</formula>
    </cfRule>
  </conditionalFormatting>
  <conditionalFormatting sqref="B81">
    <cfRule type="cellIs" dxfId="34676" priority="4980" stopIfTrue="1" operator="equal">
      <formula>"Towel"</formula>
    </cfRule>
    <cfRule type="cellIs" dxfId="34675" priority="4981" stopIfTrue="1" operator="equal">
      <formula>"Napkin Hs"</formula>
    </cfRule>
  </conditionalFormatting>
  <conditionalFormatting sqref="B85:B86">
    <cfRule type="cellIs" dxfId="34674" priority="4846" stopIfTrue="1" operator="equal">
      <formula>"Towel"</formula>
    </cfRule>
    <cfRule type="cellIs" dxfId="34673" priority="4847" stopIfTrue="1" operator="equal">
      <formula>"Napkin Hs"</formula>
    </cfRule>
  </conditionalFormatting>
  <conditionalFormatting sqref="B91:B92">
    <cfRule type="cellIs" dxfId="34672" priority="4470" stopIfTrue="1" operator="equal">
      <formula>"Towel"</formula>
    </cfRule>
    <cfRule type="cellIs" dxfId="34671" priority="4471" stopIfTrue="1" operator="equal">
      <formula>"Napkin Hs"</formula>
    </cfRule>
  </conditionalFormatting>
  <conditionalFormatting sqref="B98:B99">
    <cfRule type="cellIs" dxfId="34670" priority="4156" stopIfTrue="1" operator="equal">
      <formula>"Towel"</formula>
    </cfRule>
    <cfRule type="cellIs" dxfId="34669" priority="4157" stopIfTrue="1" operator="equal">
      <formula>"Napkin Hs"</formula>
    </cfRule>
  </conditionalFormatting>
  <conditionalFormatting sqref="B6:C6 B8:C9 B25:C26 B130:C130 B134:C134 B139:C139 C154 B143:C143 B147:C147 B151:B154 C151:C152">
    <cfRule type="cellIs" dxfId="34668" priority="7236" stopIfTrue="1" operator="equal">
      <formula>"Towel"</formula>
    </cfRule>
    <cfRule type="cellIs" dxfId="34667" priority="7237" stopIfTrue="1" operator="equal">
      <formula>"Napkin Hs"</formula>
    </cfRule>
  </conditionalFormatting>
  <conditionalFormatting sqref="B7:C7">
    <cfRule type="cellIs" dxfId="34666" priority="6410" stopIfTrue="1" operator="equal">
      <formula>"Towel"</formula>
    </cfRule>
    <cfRule type="cellIs" dxfId="34665" priority="6411" stopIfTrue="1" operator="equal">
      <formula>"Napkin Hs"</formula>
    </cfRule>
  </conditionalFormatting>
  <conditionalFormatting sqref="B9:C9">
    <cfRule type="cellIs" dxfId="34664" priority="6354" stopIfTrue="1" operator="equal">
      <formula>"Towel"</formula>
    </cfRule>
    <cfRule type="cellIs" dxfId="34663" priority="6355" stopIfTrue="1" operator="equal">
      <formula>"Napkin Hs"</formula>
    </cfRule>
  </conditionalFormatting>
  <conditionalFormatting sqref="B12:C12">
    <cfRule type="cellIs" dxfId="34662" priority="6362" stopIfTrue="1" operator="equal">
      <formula>"Towel"</formula>
    </cfRule>
    <cfRule type="cellIs" dxfId="34661" priority="6363" stopIfTrue="1" operator="equal">
      <formula>"Napkin Hs"</formula>
    </cfRule>
  </conditionalFormatting>
  <conditionalFormatting sqref="B14:C14">
    <cfRule type="cellIs" dxfId="34660" priority="6358" stopIfTrue="1" operator="equal">
      <formula>"Towel"</formula>
    </cfRule>
    <cfRule type="cellIs" dxfId="34659" priority="6359" stopIfTrue="1" operator="equal">
      <formula>"Napkin Hs"</formula>
    </cfRule>
  </conditionalFormatting>
  <conditionalFormatting sqref="B17:C17">
    <cfRule type="cellIs" dxfId="34658" priority="6334" stopIfTrue="1" operator="equal">
      <formula>"Towel"</formula>
    </cfRule>
    <cfRule type="cellIs" dxfId="34657" priority="6335" stopIfTrue="1" operator="equal">
      <formula>"Napkin Hs"</formula>
    </cfRule>
  </conditionalFormatting>
  <conditionalFormatting sqref="B19:C19">
    <cfRule type="cellIs" dxfId="34656" priority="6330" stopIfTrue="1" operator="equal">
      <formula>"Towel"</formula>
    </cfRule>
    <cfRule type="cellIs" dxfId="34655" priority="6331" stopIfTrue="1" operator="equal">
      <formula>"Napkin Hs"</formula>
    </cfRule>
  </conditionalFormatting>
  <conditionalFormatting sqref="B20:C25">
    <cfRule type="cellIs" dxfId="34654" priority="6282" stopIfTrue="1" operator="equal">
      <formula>"Towel"</formula>
    </cfRule>
    <cfRule type="cellIs" dxfId="34653" priority="6283" stopIfTrue="1" operator="equal">
      <formula>"Napkin Hs"</formula>
    </cfRule>
  </conditionalFormatting>
  <conditionalFormatting sqref="B22:C22">
    <cfRule type="cellIs" dxfId="34652" priority="6302" stopIfTrue="1" operator="equal">
      <formula>"Towel"</formula>
    </cfRule>
    <cfRule type="cellIs" dxfId="34651" priority="6303" stopIfTrue="1" operator="equal">
      <formula>"Napkin Hs"</formula>
    </cfRule>
  </conditionalFormatting>
  <conditionalFormatting sqref="B24:C24 B25">
    <cfRule type="cellIs" dxfId="34650" priority="7198" stopIfTrue="1" operator="equal">
      <formula>"Towel"</formula>
    </cfRule>
    <cfRule type="cellIs" dxfId="34649" priority="7199" stopIfTrue="1" operator="equal">
      <formula>"Napkin Hs"</formula>
    </cfRule>
  </conditionalFormatting>
  <conditionalFormatting sqref="B25:C25">
    <cfRule type="cellIs" dxfId="34648" priority="6400" stopIfTrue="1" operator="equal">
      <formula>"Towel"</formula>
    </cfRule>
    <cfRule type="cellIs" dxfId="34647" priority="6401" stopIfTrue="1" operator="equal">
      <formula>"Napkin Hs"</formula>
    </cfRule>
  </conditionalFormatting>
  <conditionalFormatting sqref="B26:C26">
    <cfRule type="cellIs" dxfId="34646" priority="6404" stopIfTrue="1" operator="equal">
      <formula>"Towel"</formula>
    </cfRule>
    <cfRule type="cellIs" dxfId="34645" priority="6405" stopIfTrue="1" operator="equal">
      <formula>"Napkin Hs"</formula>
    </cfRule>
  </conditionalFormatting>
  <conditionalFormatting sqref="B27:C27">
    <cfRule type="cellIs" dxfId="34644" priority="6270" stopIfTrue="1" operator="equal">
      <formula>"Towel"</formula>
    </cfRule>
    <cfRule type="cellIs" dxfId="34643" priority="6271" stopIfTrue="1" operator="equal">
      <formula>"Napkin Hs"</formula>
    </cfRule>
  </conditionalFormatting>
  <conditionalFormatting sqref="B27:C28">
    <cfRule type="cellIs" dxfId="34642" priority="6254" stopIfTrue="1" operator="equal">
      <formula>"Towel"</formula>
    </cfRule>
    <cfRule type="cellIs" dxfId="34641" priority="6255" stopIfTrue="1" operator="equal">
      <formula>"Napkin Hs"</formula>
    </cfRule>
  </conditionalFormatting>
  <conditionalFormatting sqref="B28:C28">
    <cfRule type="cellIs" dxfId="34640" priority="6238" stopIfTrue="1" operator="equal">
      <formula>"Towel"</formula>
    </cfRule>
    <cfRule type="cellIs" dxfId="34639" priority="6239" stopIfTrue="1" operator="equal">
      <formula>"Napkin Hs"</formula>
    </cfRule>
  </conditionalFormatting>
  <conditionalFormatting sqref="B29:C29">
    <cfRule type="cellIs" dxfId="34638" priority="6274" stopIfTrue="1" operator="equal">
      <formula>"Towel"</formula>
    </cfRule>
    <cfRule type="cellIs" dxfId="34637" priority="6275" stopIfTrue="1" operator="equal">
      <formula>"Napkin Hs"</formula>
    </cfRule>
    <cfRule type="cellIs" dxfId="34636" priority="6280" stopIfTrue="1" operator="equal">
      <formula>"Towel"</formula>
    </cfRule>
    <cfRule type="cellIs" dxfId="34635" priority="6281" stopIfTrue="1" operator="equal">
      <formula>"Napkin Hs"</formula>
    </cfRule>
  </conditionalFormatting>
  <conditionalFormatting sqref="B30:C30">
    <cfRule type="cellIs" dxfId="34634" priority="6378" stopIfTrue="1" operator="equal">
      <formula>"Towel"</formula>
    </cfRule>
    <cfRule type="cellIs" dxfId="34633" priority="6379" stopIfTrue="1" operator="equal">
      <formula>"Napkin Hs"</formula>
    </cfRule>
    <cfRule type="cellIs" dxfId="34632" priority="6394" stopIfTrue="1" operator="equal">
      <formula>"Towel"</formula>
    </cfRule>
    <cfRule type="cellIs" dxfId="34631" priority="6395" stopIfTrue="1" operator="equal">
      <formula>"Napkin Hs"</formula>
    </cfRule>
  </conditionalFormatting>
  <conditionalFormatting sqref="B31:C31">
    <cfRule type="cellIs" dxfId="34630" priority="6374" stopIfTrue="1" operator="equal">
      <formula>"Towel"</formula>
    </cfRule>
    <cfRule type="cellIs" dxfId="34629" priority="6375" stopIfTrue="1" operator="equal">
      <formula>"Napkin Hs"</formula>
    </cfRule>
  </conditionalFormatting>
  <conditionalFormatting sqref="B32:C32">
    <cfRule type="cellIs" dxfId="34628" priority="6382" stopIfTrue="1" operator="equal">
      <formula>"Towel"</formula>
    </cfRule>
    <cfRule type="cellIs" dxfId="34627" priority="6383" stopIfTrue="1" operator="equal">
      <formula>"Napkin Hs"</formula>
    </cfRule>
    <cfRule type="cellIs" dxfId="34626" priority="6388" stopIfTrue="1" operator="equal">
      <formula>"Towel"</formula>
    </cfRule>
    <cfRule type="cellIs" dxfId="34625" priority="6389" stopIfTrue="1" operator="equal">
      <formula>"Napkin Hs"</formula>
    </cfRule>
  </conditionalFormatting>
  <conditionalFormatting sqref="B33:C33">
    <cfRule type="cellIs" dxfId="34624" priority="6200" stopIfTrue="1" operator="equal">
      <formula>"Towel"</formula>
    </cfRule>
    <cfRule type="cellIs" dxfId="34623" priority="6201" stopIfTrue="1" operator="equal">
      <formula>"Napkin Hs"</formula>
    </cfRule>
  </conditionalFormatting>
  <conditionalFormatting sqref="B34:C35">
    <cfRule type="cellIs" dxfId="34622" priority="6216" stopIfTrue="1" operator="equal">
      <formula>"Towel"</formula>
    </cfRule>
    <cfRule type="cellIs" dxfId="34621" priority="6217" stopIfTrue="1" operator="equal">
      <formula>"Napkin Hs"</formula>
    </cfRule>
  </conditionalFormatting>
  <conditionalFormatting sqref="B36:C36">
    <cfRule type="cellIs" dxfId="34620" priority="6230" stopIfTrue="1" operator="equal">
      <formula>"Towel"</formula>
    </cfRule>
    <cfRule type="cellIs" dxfId="34619" priority="6231" stopIfTrue="1" operator="equal">
      <formula>"Napkin Hs"</formula>
    </cfRule>
    <cfRule type="cellIs" dxfId="34618" priority="6236" stopIfTrue="1" operator="equal">
      <formula>"Towel"</formula>
    </cfRule>
    <cfRule type="cellIs" dxfId="34617" priority="6237" stopIfTrue="1" operator="equal">
      <formula>"Napkin Hs"</formula>
    </cfRule>
  </conditionalFormatting>
  <conditionalFormatting sqref="B37:C37">
    <cfRule type="cellIs" dxfId="34616" priority="7188" stopIfTrue="1" operator="equal">
      <formula>"Towel"</formula>
    </cfRule>
    <cfRule type="cellIs" dxfId="34615" priority="7189" stopIfTrue="1" operator="equal">
      <formula>"Napkin Hs"</formula>
    </cfRule>
    <cfRule type="cellIs" dxfId="34614" priority="7194" stopIfTrue="1" operator="equal">
      <formula>"Towel"</formula>
    </cfRule>
    <cfRule type="cellIs" dxfId="34613" priority="7195" stopIfTrue="1" operator="equal">
      <formula>"Napkin Hs"</formula>
    </cfRule>
    <cfRule type="cellIs" dxfId="34612" priority="7232" stopIfTrue="1" operator="equal">
      <formula>"Towel"</formula>
    </cfRule>
    <cfRule type="cellIs" dxfId="34611" priority="7233" stopIfTrue="1" operator="equal">
      <formula>"Napkin Hs"</formula>
    </cfRule>
  </conditionalFormatting>
  <conditionalFormatting sqref="B38:C38">
    <cfRule type="cellIs" dxfId="34610" priority="6144" stopIfTrue="1" operator="equal">
      <formula>"Towel"</formula>
    </cfRule>
    <cfRule type="cellIs" dxfId="34609" priority="6145" stopIfTrue="1" operator="equal">
      <formula>"Napkin Hs"</formula>
    </cfRule>
  </conditionalFormatting>
  <conditionalFormatting sqref="B39:C40">
    <cfRule type="cellIs" dxfId="34608" priority="6160" stopIfTrue="1" operator="equal">
      <formula>"Towel"</formula>
    </cfRule>
    <cfRule type="cellIs" dxfId="34607" priority="6161" stopIfTrue="1" operator="equal">
      <formula>"Napkin Hs"</formula>
    </cfRule>
  </conditionalFormatting>
  <conditionalFormatting sqref="B41:C41">
    <cfRule type="cellIs" dxfId="34606" priority="6174" stopIfTrue="1" operator="equal">
      <formula>"Towel"</formula>
    </cfRule>
    <cfRule type="cellIs" dxfId="34605" priority="6175" stopIfTrue="1" operator="equal">
      <formula>"Napkin Hs"</formula>
    </cfRule>
    <cfRule type="cellIs" dxfId="34604" priority="6180" stopIfTrue="1" operator="equal">
      <formula>"Towel"</formula>
    </cfRule>
    <cfRule type="cellIs" dxfId="34603" priority="6181" stopIfTrue="1" operator="equal">
      <formula>"Napkin Hs"</formula>
    </cfRule>
  </conditionalFormatting>
  <conditionalFormatting sqref="B42:C42">
    <cfRule type="cellIs" dxfId="34602" priority="6046" stopIfTrue="1" operator="equal">
      <formula>"Towel"</formula>
    </cfRule>
    <cfRule type="cellIs" dxfId="34601" priority="6047" stopIfTrue="1" operator="equal">
      <formula>"Napkin Hs"</formula>
    </cfRule>
    <cfRule type="cellIs" dxfId="34600" priority="6052" stopIfTrue="1" operator="equal">
      <formula>"Towel"</formula>
    </cfRule>
    <cfRule type="cellIs" dxfId="34599" priority="6053" stopIfTrue="1" operator="equal">
      <formula>"Napkin Hs"</formula>
    </cfRule>
    <cfRule type="cellIs" dxfId="34598" priority="6058" stopIfTrue="1" operator="equal">
      <formula>"Towel"</formula>
    </cfRule>
    <cfRule type="cellIs" dxfId="34597" priority="6059" stopIfTrue="1" operator="equal">
      <formula>"Napkin Hs"</formula>
    </cfRule>
    <cfRule type="cellIs" dxfId="34596" priority="6064" stopIfTrue="1" operator="equal">
      <formula>"Towel"</formula>
    </cfRule>
    <cfRule type="cellIs" dxfId="34595" priority="6065" stopIfTrue="1" operator="equal">
      <formula>"Napkin Hs"</formula>
    </cfRule>
    <cfRule type="cellIs" dxfId="34594" priority="6070" stopIfTrue="1" operator="equal">
      <formula>"Towel"</formula>
    </cfRule>
    <cfRule type="cellIs" dxfId="34593" priority="6071" stopIfTrue="1" operator="equal">
      <formula>"Napkin Hs"</formula>
    </cfRule>
    <cfRule type="cellIs" dxfId="34592" priority="6076" stopIfTrue="1" operator="equal">
      <formula>"Towel"</formula>
    </cfRule>
    <cfRule type="cellIs" dxfId="34591" priority="6077" stopIfTrue="1" operator="equal">
      <formula>"Napkin Hs"</formula>
    </cfRule>
    <cfRule type="cellIs" dxfId="34590" priority="6082" stopIfTrue="1" operator="equal">
      <formula>"Towel"</formula>
    </cfRule>
    <cfRule type="cellIs" dxfId="34589" priority="6083" stopIfTrue="1" operator="equal">
      <formula>"Napkin Hs"</formula>
    </cfRule>
    <cfRule type="cellIs" dxfId="34588" priority="6088" stopIfTrue="1" operator="equal">
      <formula>"Towel"</formula>
    </cfRule>
    <cfRule type="cellIs" dxfId="34587" priority="6089" stopIfTrue="1" operator="equal">
      <formula>"Napkin Hs"</formula>
    </cfRule>
  </conditionalFormatting>
  <conditionalFormatting sqref="B43:C44">
    <cfRule type="cellIs" dxfId="34586" priority="6104" stopIfTrue="1" operator="equal">
      <formula>"Towel"</formula>
    </cfRule>
    <cfRule type="cellIs" dxfId="34585" priority="6105" stopIfTrue="1" operator="equal">
      <formula>"Napkin Hs"</formula>
    </cfRule>
    <cfRule type="cellIs" dxfId="34584" priority="7126" stopIfTrue="1" operator="equal">
      <formula>"Towel"</formula>
    </cfRule>
    <cfRule type="cellIs" dxfId="34583" priority="7127" stopIfTrue="1" operator="equal">
      <formula>"Napkin Hs"</formula>
    </cfRule>
    <cfRule type="cellIs" dxfId="34582" priority="7132" stopIfTrue="1" operator="equal">
      <formula>"Towel"</formula>
    </cfRule>
    <cfRule type="cellIs" dxfId="34581" priority="7133" stopIfTrue="1" operator="equal">
      <formula>"Napkin Hs"</formula>
    </cfRule>
    <cfRule type="cellIs" dxfId="34580" priority="7138" stopIfTrue="1" operator="equal">
      <formula>"Towel"</formula>
    </cfRule>
    <cfRule type="cellIs" dxfId="34579" priority="7139" stopIfTrue="1" operator="equal">
      <formula>"Napkin Hs"</formula>
    </cfRule>
    <cfRule type="cellIs" dxfId="34578" priority="7144" stopIfTrue="1" operator="equal">
      <formula>"Towel"</formula>
    </cfRule>
    <cfRule type="cellIs" dxfId="34577" priority="7145" stopIfTrue="1" operator="equal">
      <formula>"Napkin Hs"</formula>
    </cfRule>
    <cfRule type="cellIs" dxfId="34576" priority="7150" stopIfTrue="1" operator="equal">
      <formula>"Towel"</formula>
    </cfRule>
    <cfRule type="cellIs" dxfId="34575" priority="7151" stopIfTrue="1" operator="equal">
      <formula>"Napkin Hs"</formula>
    </cfRule>
    <cfRule type="cellIs" dxfId="34574" priority="7156" stopIfTrue="1" operator="equal">
      <formula>"Towel"</formula>
    </cfRule>
    <cfRule type="cellIs" dxfId="34573" priority="7157" stopIfTrue="1" operator="equal">
      <formula>"Napkin Hs"</formula>
    </cfRule>
    <cfRule type="cellIs" dxfId="34572" priority="7162" stopIfTrue="1" operator="equal">
      <formula>"Towel"</formula>
    </cfRule>
    <cfRule type="cellIs" dxfId="34571" priority="7163" stopIfTrue="1" operator="equal">
      <formula>"Napkin Hs"</formula>
    </cfRule>
  </conditionalFormatting>
  <conditionalFormatting sqref="B45:C45">
    <cfRule type="cellIs" dxfId="34570" priority="6118" stopIfTrue="1" operator="equal">
      <formula>"Towel"</formula>
    </cfRule>
    <cfRule type="cellIs" dxfId="34569" priority="6119" stopIfTrue="1" operator="equal">
      <formula>"Napkin Hs"</formula>
    </cfRule>
    <cfRule type="cellIs" dxfId="34568" priority="6124" stopIfTrue="1" operator="equal">
      <formula>"Towel"</formula>
    </cfRule>
    <cfRule type="cellIs" dxfId="34567" priority="6125" stopIfTrue="1" operator="equal">
      <formula>"Napkin Hs"</formula>
    </cfRule>
    <cfRule type="cellIs" dxfId="34566" priority="7166" stopIfTrue="1" operator="equal">
      <formula>"Towel"</formula>
    </cfRule>
    <cfRule type="cellIs" dxfId="34565" priority="7167" stopIfTrue="1" operator="equal">
      <formula>"Napkin Hs"</formula>
    </cfRule>
    <cfRule type="cellIs" dxfId="34564" priority="7172" stopIfTrue="1" operator="equal">
      <formula>"Towel"</formula>
    </cfRule>
    <cfRule type="cellIs" dxfId="34563" priority="7173" stopIfTrue="1" operator="equal">
      <formula>"Napkin Hs"</formula>
    </cfRule>
    <cfRule type="cellIs" dxfId="34562" priority="7178" stopIfTrue="1" operator="equal">
      <formula>"Towel"</formula>
    </cfRule>
    <cfRule type="cellIs" dxfId="34561" priority="7179" stopIfTrue="1" operator="equal">
      <formula>"Napkin Hs"</formula>
    </cfRule>
    <cfRule type="cellIs" dxfId="34560" priority="7184" stopIfTrue="1" operator="equal">
      <formula>"Towel"</formula>
    </cfRule>
    <cfRule type="cellIs" dxfId="34559" priority="7185" stopIfTrue="1" operator="equal">
      <formula>"Napkin Hs"</formula>
    </cfRule>
    <cfRule type="cellIs" dxfId="34558" priority="7226" stopIfTrue="1" operator="equal">
      <formula>"Towel"</formula>
    </cfRule>
    <cfRule type="cellIs" dxfId="34557" priority="7227" stopIfTrue="1" operator="equal">
      <formula>"Napkin Hs"</formula>
    </cfRule>
  </conditionalFormatting>
  <conditionalFormatting sqref="B46:C46">
    <cfRule type="cellIs" dxfId="34556" priority="5931" stopIfTrue="1" operator="equal">
      <formula>"Towel"</formula>
    </cfRule>
    <cfRule type="cellIs" dxfId="34555" priority="5932" stopIfTrue="1" operator="equal">
      <formula>"Napkin Hs"</formula>
    </cfRule>
    <cfRule type="cellIs" dxfId="34554" priority="5937" stopIfTrue="1" operator="equal">
      <formula>"Towel"</formula>
    </cfRule>
    <cfRule type="cellIs" dxfId="34553" priority="5938" stopIfTrue="1" operator="equal">
      <formula>"Napkin Hs"</formula>
    </cfRule>
    <cfRule type="cellIs" dxfId="34552" priority="5943" stopIfTrue="1" operator="equal">
      <formula>"Towel"</formula>
    </cfRule>
    <cfRule type="cellIs" dxfId="34551" priority="5944" stopIfTrue="1" operator="equal">
      <formula>"Napkin Hs"</formula>
    </cfRule>
    <cfRule type="cellIs" dxfId="34550" priority="5949" stopIfTrue="1" operator="equal">
      <formula>"Towel"</formula>
    </cfRule>
    <cfRule type="cellIs" dxfId="34549" priority="5950" stopIfTrue="1" operator="equal">
      <formula>"Napkin Hs"</formula>
    </cfRule>
    <cfRule type="cellIs" dxfId="34548" priority="5955" stopIfTrue="1" operator="equal">
      <formula>"Towel"</formula>
    </cfRule>
    <cfRule type="cellIs" dxfId="34547" priority="5956" stopIfTrue="1" operator="equal">
      <formula>"Napkin Hs"</formula>
    </cfRule>
    <cfRule type="cellIs" dxfId="34546" priority="5961" stopIfTrue="1" operator="equal">
      <formula>"Towel"</formula>
    </cfRule>
    <cfRule type="cellIs" dxfId="34545" priority="5962" stopIfTrue="1" operator="equal">
      <formula>"Napkin Hs"</formula>
    </cfRule>
    <cfRule type="cellIs" dxfId="34544" priority="5967" stopIfTrue="1" operator="equal">
      <formula>"Towel"</formula>
    </cfRule>
    <cfRule type="cellIs" dxfId="34543" priority="5968" stopIfTrue="1" operator="equal">
      <formula>"Napkin Hs"</formula>
    </cfRule>
    <cfRule type="cellIs" dxfId="34542" priority="5973" stopIfTrue="1" operator="equal">
      <formula>"Towel"</formula>
    </cfRule>
    <cfRule type="cellIs" dxfId="34541" priority="5974" stopIfTrue="1" operator="equal">
      <formula>"Napkin Hs"</formula>
    </cfRule>
  </conditionalFormatting>
  <conditionalFormatting sqref="B46:C47">
    <cfRule type="cellIs" dxfId="34540" priority="5916" stopIfTrue="1" operator="equal">
      <formula>"Napkin Hs"</formula>
    </cfRule>
  </conditionalFormatting>
  <conditionalFormatting sqref="B46:C48">
    <cfRule type="cellIs" dxfId="34539" priority="5915" stopIfTrue="1" operator="equal">
      <formula>"Towel"</formula>
    </cfRule>
  </conditionalFormatting>
  <conditionalFormatting sqref="B48:C48">
    <cfRule type="cellIs" dxfId="34538" priority="5975" stopIfTrue="1" operator="equal">
      <formula>"Napkin Hs"</formula>
    </cfRule>
    <cfRule type="cellIs" dxfId="34537" priority="5990" stopIfTrue="1" operator="equal">
      <formula>"Towel"</formula>
    </cfRule>
    <cfRule type="cellIs" dxfId="34536" priority="5991" stopIfTrue="1" operator="equal">
      <formula>"Napkin Hs"</formula>
    </cfRule>
    <cfRule type="cellIs" dxfId="34535" priority="5996" stopIfTrue="1" operator="equal">
      <formula>"Towel"</formula>
    </cfRule>
    <cfRule type="cellIs" dxfId="34534" priority="5997" stopIfTrue="1" operator="equal">
      <formula>"Napkin Hs"</formula>
    </cfRule>
    <cfRule type="cellIs" dxfId="34533" priority="6002" stopIfTrue="1" operator="equal">
      <formula>"Towel"</formula>
    </cfRule>
    <cfRule type="cellIs" dxfId="34532" priority="6003" stopIfTrue="1" operator="equal">
      <formula>"Napkin Hs"</formula>
    </cfRule>
    <cfRule type="cellIs" dxfId="34531" priority="6008" stopIfTrue="1" operator="equal">
      <formula>"Towel"</formula>
    </cfRule>
    <cfRule type="cellIs" dxfId="34530" priority="6009" stopIfTrue="1" operator="equal">
      <formula>"Napkin Hs"</formula>
    </cfRule>
    <cfRule type="cellIs" dxfId="34529" priority="6014" stopIfTrue="1" operator="equal">
      <formula>"Towel"</formula>
    </cfRule>
    <cfRule type="cellIs" dxfId="34528" priority="6015" stopIfTrue="1" operator="equal">
      <formula>"Napkin Hs"</formula>
    </cfRule>
    <cfRule type="cellIs" dxfId="34527" priority="6020" stopIfTrue="1" operator="equal">
      <formula>"Towel"</formula>
    </cfRule>
    <cfRule type="cellIs" dxfId="34526" priority="6021" stopIfTrue="1" operator="equal">
      <formula>"Napkin Hs"</formula>
    </cfRule>
    <cfRule type="cellIs" dxfId="34525" priority="6026" stopIfTrue="1" operator="equal">
      <formula>"Towel"</formula>
    </cfRule>
    <cfRule type="cellIs" dxfId="34524" priority="6027" stopIfTrue="1" operator="equal">
      <formula>"Napkin Hs"</formula>
    </cfRule>
  </conditionalFormatting>
  <conditionalFormatting sqref="B49:C49">
    <cfRule type="cellIs" dxfId="34523" priority="7086" stopIfTrue="1" operator="equal">
      <formula>"Towel"</formula>
    </cfRule>
    <cfRule type="cellIs" dxfId="34522" priority="7087" stopIfTrue="1" operator="equal">
      <formula>"Napkin Hs"</formula>
    </cfRule>
    <cfRule type="cellIs" dxfId="34521" priority="7092" stopIfTrue="1" operator="equal">
      <formula>"Towel"</formula>
    </cfRule>
    <cfRule type="cellIs" dxfId="34520" priority="7093" stopIfTrue="1" operator="equal">
      <formula>"Napkin Hs"</formula>
    </cfRule>
    <cfRule type="cellIs" dxfId="34519" priority="7098" stopIfTrue="1" operator="equal">
      <formula>"Towel"</formula>
    </cfRule>
    <cfRule type="cellIs" dxfId="34518" priority="7099" stopIfTrue="1" operator="equal">
      <formula>"Napkin Hs"</formula>
    </cfRule>
    <cfRule type="cellIs" dxfId="34517" priority="7104" stopIfTrue="1" operator="equal">
      <formula>"Towel"</formula>
    </cfRule>
    <cfRule type="cellIs" dxfId="34516" priority="7105" stopIfTrue="1" operator="equal">
      <formula>"Napkin Hs"</formula>
    </cfRule>
    <cfRule type="cellIs" dxfId="34515" priority="7110" stopIfTrue="1" operator="equal">
      <formula>"Towel"</formula>
    </cfRule>
    <cfRule type="cellIs" dxfId="34514" priority="7111" stopIfTrue="1" operator="equal">
      <formula>"Napkin Hs"</formula>
    </cfRule>
    <cfRule type="cellIs" dxfId="34513" priority="7116" stopIfTrue="1" operator="equal">
      <formula>"Towel"</formula>
    </cfRule>
    <cfRule type="cellIs" dxfId="34512" priority="7117" stopIfTrue="1" operator="equal">
      <formula>"Napkin Hs"</formula>
    </cfRule>
    <cfRule type="cellIs" dxfId="34511" priority="7122" stopIfTrue="1" operator="equal">
      <formula>"Towel"</formula>
    </cfRule>
    <cfRule type="cellIs" dxfId="34510" priority="7123" stopIfTrue="1" operator="equal">
      <formula>"Napkin Hs"</formula>
    </cfRule>
    <cfRule type="cellIs" dxfId="34509" priority="7220" stopIfTrue="1" operator="equal">
      <formula>"Towel"</formula>
    </cfRule>
    <cfRule type="cellIs" dxfId="34508" priority="7221" stopIfTrue="1" operator="equal">
      <formula>"Napkin Hs"</formula>
    </cfRule>
  </conditionalFormatting>
  <conditionalFormatting sqref="B50:C50">
    <cfRule type="cellIs" dxfId="34507" priority="5780" stopIfTrue="1" operator="equal">
      <formula>"Towel"</formula>
    </cfRule>
    <cfRule type="cellIs" dxfId="34506" priority="5781" stopIfTrue="1" operator="equal">
      <formula>"Napkin Hs"</formula>
    </cfRule>
  </conditionalFormatting>
  <conditionalFormatting sqref="B51:C51">
    <cfRule type="cellIs" dxfId="34505" priority="5797" stopIfTrue="1" operator="equal">
      <formula>"Napkin Hs"</formula>
    </cfRule>
  </conditionalFormatting>
  <conditionalFormatting sqref="B51:C52">
    <cfRule type="cellIs" dxfId="34504" priority="5796" stopIfTrue="1" operator="equal">
      <formula>"Towel"</formula>
    </cfRule>
  </conditionalFormatting>
  <conditionalFormatting sqref="B52:C52">
    <cfRule type="cellIs" dxfId="34503" priority="5798" stopIfTrue="1" operator="equal">
      <formula>"Napkin Hs"</formula>
    </cfRule>
    <cfRule type="cellIs" dxfId="34502" priority="5813" stopIfTrue="1" operator="equal">
      <formula>"Towel"</formula>
    </cfRule>
    <cfRule type="cellIs" dxfId="34501" priority="5814" stopIfTrue="1" operator="equal">
      <formula>"Napkin Hs"</formula>
    </cfRule>
    <cfRule type="cellIs" dxfId="34500" priority="5819" stopIfTrue="1" operator="equal">
      <formula>"Towel"</formula>
    </cfRule>
    <cfRule type="cellIs" dxfId="34499" priority="5820" stopIfTrue="1" operator="equal">
      <formula>"Napkin Hs"</formula>
    </cfRule>
    <cfRule type="cellIs" dxfId="34498" priority="5825" stopIfTrue="1" operator="equal">
      <formula>"Towel"</formula>
    </cfRule>
    <cfRule type="cellIs" dxfId="34497" priority="5826" stopIfTrue="1" operator="equal">
      <formula>"Napkin Hs"</formula>
    </cfRule>
    <cfRule type="cellIs" dxfId="34496" priority="5831" stopIfTrue="1" operator="equal">
      <formula>"Towel"</formula>
    </cfRule>
    <cfRule type="cellIs" dxfId="34495" priority="5832" stopIfTrue="1" operator="equal">
      <formula>"Napkin Hs"</formula>
    </cfRule>
    <cfRule type="cellIs" dxfId="34494" priority="5837" stopIfTrue="1" operator="equal">
      <formula>"Towel"</formula>
    </cfRule>
    <cfRule type="cellIs" dxfId="34493" priority="5838" stopIfTrue="1" operator="equal">
      <formula>"Napkin Hs"</formula>
    </cfRule>
    <cfRule type="cellIs" dxfId="34492" priority="5843" stopIfTrue="1" operator="equal">
      <formula>"Towel"</formula>
    </cfRule>
    <cfRule type="cellIs" dxfId="34491" priority="5844" stopIfTrue="1" operator="equal">
      <formula>"Napkin Hs"</formula>
    </cfRule>
    <cfRule type="cellIs" dxfId="34490" priority="5849" stopIfTrue="1" operator="equal">
      <formula>"Towel"</formula>
    </cfRule>
    <cfRule type="cellIs" dxfId="34489" priority="5850" stopIfTrue="1" operator="equal">
      <formula>"Napkin Hs"</formula>
    </cfRule>
  </conditionalFormatting>
  <conditionalFormatting sqref="B53:C53">
    <cfRule type="cellIs" dxfId="34488" priority="5853" stopIfTrue="1" operator="equal">
      <formula>"Towel"</formula>
    </cfRule>
    <cfRule type="cellIs" dxfId="34487" priority="5854" stopIfTrue="1" operator="equal">
      <formula>"Napkin Hs"</formula>
    </cfRule>
    <cfRule type="cellIs" dxfId="34486" priority="5859" stopIfTrue="1" operator="equal">
      <formula>"Towel"</formula>
    </cfRule>
    <cfRule type="cellIs" dxfId="34485" priority="5860" stopIfTrue="1" operator="equal">
      <formula>"Napkin Hs"</formula>
    </cfRule>
    <cfRule type="cellIs" dxfId="34484" priority="5865" stopIfTrue="1" operator="equal">
      <formula>"Towel"</formula>
    </cfRule>
    <cfRule type="cellIs" dxfId="34483" priority="5866" stopIfTrue="1" operator="equal">
      <formula>"Napkin Hs"</formula>
    </cfRule>
    <cfRule type="cellIs" dxfId="34482" priority="5871" stopIfTrue="1" operator="equal">
      <formula>"Towel"</formula>
    </cfRule>
    <cfRule type="cellIs" dxfId="34481" priority="5872" stopIfTrue="1" operator="equal">
      <formula>"Napkin Hs"</formula>
    </cfRule>
    <cfRule type="cellIs" dxfId="34480" priority="5877" stopIfTrue="1" operator="equal">
      <formula>"Towel"</formula>
    </cfRule>
    <cfRule type="cellIs" dxfId="34479" priority="5878" stopIfTrue="1" operator="equal">
      <formula>"Napkin Hs"</formula>
    </cfRule>
    <cfRule type="cellIs" dxfId="34478" priority="5883" stopIfTrue="1" operator="equal">
      <formula>"Towel"</formula>
    </cfRule>
    <cfRule type="cellIs" dxfId="34477" priority="5884" stopIfTrue="1" operator="equal">
      <formula>"Napkin Hs"</formula>
    </cfRule>
    <cfRule type="cellIs" dxfId="34476" priority="5889" stopIfTrue="1" operator="equal">
      <formula>"Towel"</formula>
    </cfRule>
    <cfRule type="cellIs" dxfId="34475" priority="5890" stopIfTrue="1" operator="equal">
      <formula>"Napkin Hs"</formula>
    </cfRule>
    <cfRule type="cellIs" dxfId="34474" priority="5895" stopIfTrue="1" operator="equal">
      <formula>"Towel"</formula>
    </cfRule>
    <cfRule type="cellIs" dxfId="34473" priority="5896" stopIfTrue="1" operator="equal">
      <formula>"Napkin Hs"</formula>
    </cfRule>
  </conditionalFormatting>
  <conditionalFormatting sqref="B54:C54">
    <cfRule type="cellIs" dxfId="34472" priority="7052" stopIfTrue="1" operator="equal">
      <formula>"Towel"</formula>
    </cfRule>
    <cfRule type="cellIs" dxfId="34471" priority="7053" stopIfTrue="1" operator="equal">
      <formula>"Napkin Hs"</formula>
    </cfRule>
    <cfRule type="cellIs" dxfId="34470" priority="7058" stopIfTrue="1" operator="equal">
      <formula>"Towel"</formula>
    </cfRule>
    <cfRule type="cellIs" dxfId="34469" priority="7059" stopIfTrue="1" operator="equal">
      <formula>"Napkin Hs"</formula>
    </cfRule>
    <cfRule type="cellIs" dxfId="34468" priority="7064" stopIfTrue="1" operator="equal">
      <formula>"Towel"</formula>
    </cfRule>
    <cfRule type="cellIs" dxfId="34467" priority="7065" stopIfTrue="1" operator="equal">
      <formula>"Napkin Hs"</formula>
    </cfRule>
    <cfRule type="cellIs" dxfId="34466" priority="7070" stopIfTrue="1" operator="equal">
      <formula>"Towel"</formula>
    </cfRule>
    <cfRule type="cellIs" dxfId="34465" priority="7071" stopIfTrue="1" operator="equal">
      <formula>"Napkin Hs"</formula>
    </cfRule>
    <cfRule type="cellIs" dxfId="34464" priority="7076" stopIfTrue="1" operator="equal">
      <formula>"Towel"</formula>
    </cfRule>
    <cfRule type="cellIs" dxfId="34463" priority="7077" stopIfTrue="1" operator="equal">
      <formula>"Napkin Hs"</formula>
    </cfRule>
    <cfRule type="cellIs" dxfId="34462" priority="7082" stopIfTrue="1" operator="equal">
      <formula>"Towel"</formula>
    </cfRule>
    <cfRule type="cellIs" dxfId="34461" priority="7083" stopIfTrue="1" operator="equal">
      <formula>"Napkin Hs"</formula>
    </cfRule>
  </conditionalFormatting>
  <conditionalFormatting sqref="B55:C55">
    <cfRule type="cellIs" dxfId="34460" priority="5541" stopIfTrue="1" operator="equal">
      <formula>"Napkin Hs"</formula>
    </cfRule>
    <cfRule type="cellIs" dxfId="34459" priority="5611" stopIfTrue="1" operator="equal">
      <formula>"Towel"</formula>
    </cfRule>
    <cfRule type="cellIs" dxfId="34458" priority="5612" stopIfTrue="1" operator="equal">
      <formula>"Napkin Hs"</formula>
    </cfRule>
  </conditionalFormatting>
  <conditionalFormatting sqref="B55:C56">
    <cfRule type="cellIs" dxfId="34457" priority="5540" stopIfTrue="1" operator="equal">
      <formula>"Towel"</formula>
    </cfRule>
  </conditionalFormatting>
  <conditionalFormatting sqref="B56:C56">
    <cfRule type="cellIs" dxfId="34456" priority="5542" stopIfTrue="1" operator="equal">
      <formula>"Napkin Hs"</formula>
    </cfRule>
    <cfRule type="cellIs" dxfId="34455" priority="5557" stopIfTrue="1" operator="equal">
      <formula>"Towel"</formula>
    </cfRule>
    <cfRule type="cellIs" dxfId="34454" priority="5558" stopIfTrue="1" operator="equal">
      <formula>"Napkin Hs"</formula>
    </cfRule>
    <cfRule type="cellIs" dxfId="34453" priority="5563" stopIfTrue="1" operator="equal">
      <formula>"Towel"</formula>
    </cfRule>
    <cfRule type="cellIs" dxfId="34452" priority="5564" stopIfTrue="1" operator="equal">
      <formula>"Napkin Hs"</formula>
    </cfRule>
    <cfRule type="cellIs" dxfId="34451" priority="5569" stopIfTrue="1" operator="equal">
      <formula>"Towel"</formula>
    </cfRule>
    <cfRule type="cellIs" dxfId="34450" priority="5570" stopIfTrue="1" operator="equal">
      <formula>"Napkin Hs"</formula>
    </cfRule>
    <cfRule type="cellIs" dxfId="34449" priority="5575" stopIfTrue="1" operator="equal">
      <formula>"Towel"</formula>
    </cfRule>
    <cfRule type="cellIs" dxfId="34448" priority="5576" stopIfTrue="1" operator="equal">
      <formula>"Napkin Hs"</formula>
    </cfRule>
    <cfRule type="cellIs" dxfId="34447" priority="5581" stopIfTrue="1" operator="equal">
      <formula>"Towel"</formula>
    </cfRule>
    <cfRule type="cellIs" dxfId="34446" priority="5582" stopIfTrue="1" operator="equal">
      <formula>"Napkin Hs"</formula>
    </cfRule>
    <cfRule type="cellIs" dxfId="34445" priority="5587" stopIfTrue="1" operator="equal">
      <formula>"Towel"</formula>
    </cfRule>
    <cfRule type="cellIs" dxfId="34444" priority="5588" stopIfTrue="1" operator="equal">
      <formula>"Napkin Hs"</formula>
    </cfRule>
    <cfRule type="cellIs" dxfId="34443" priority="5593" stopIfTrue="1" operator="equal">
      <formula>"Towel"</formula>
    </cfRule>
    <cfRule type="cellIs" dxfId="34442" priority="5594" stopIfTrue="1" operator="equal">
      <formula>"Napkin Hs"</formula>
    </cfRule>
    <cfRule type="cellIs" dxfId="34441" priority="5628" stopIfTrue="1" operator="equal">
      <formula>"Napkin Hs"</formula>
    </cfRule>
  </conditionalFormatting>
  <conditionalFormatting sqref="B56:C57">
    <cfRule type="cellIs" dxfId="34440" priority="5627" stopIfTrue="1" operator="equal">
      <formula>"Towel"</formula>
    </cfRule>
  </conditionalFormatting>
  <conditionalFormatting sqref="B57:C57">
    <cfRule type="cellIs" dxfId="34439" priority="5629" stopIfTrue="1" operator="equal">
      <formula>"Napkin Hs"</formula>
    </cfRule>
    <cfRule type="cellIs" dxfId="34438" priority="5644" stopIfTrue="1" operator="equal">
      <formula>"Towel"</formula>
    </cfRule>
    <cfRule type="cellIs" dxfId="34437" priority="5645" stopIfTrue="1" operator="equal">
      <formula>"Napkin Hs"</formula>
    </cfRule>
    <cfRule type="cellIs" dxfId="34436" priority="5650" stopIfTrue="1" operator="equal">
      <formula>"Towel"</formula>
    </cfRule>
    <cfRule type="cellIs" dxfId="34435" priority="5651" stopIfTrue="1" operator="equal">
      <formula>"Napkin Hs"</formula>
    </cfRule>
    <cfRule type="cellIs" dxfId="34434" priority="5656" stopIfTrue="1" operator="equal">
      <formula>"Towel"</formula>
    </cfRule>
    <cfRule type="cellIs" dxfId="34433" priority="5657" stopIfTrue="1" operator="equal">
      <formula>"Napkin Hs"</formula>
    </cfRule>
    <cfRule type="cellIs" dxfId="34432" priority="5662" stopIfTrue="1" operator="equal">
      <formula>"Towel"</formula>
    </cfRule>
    <cfRule type="cellIs" dxfId="34431" priority="5663" stopIfTrue="1" operator="equal">
      <formula>"Napkin Hs"</formula>
    </cfRule>
    <cfRule type="cellIs" dxfId="34430" priority="5668" stopIfTrue="1" operator="equal">
      <formula>"Towel"</formula>
    </cfRule>
    <cfRule type="cellIs" dxfId="34429" priority="5669" stopIfTrue="1" operator="equal">
      <formula>"Napkin Hs"</formula>
    </cfRule>
    <cfRule type="cellIs" dxfId="34428" priority="5674" stopIfTrue="1" operator="equal">
      <formula>"Towel"</formula>
    </cfRule>
    <cfRule type="cellIs" dxfId="34427" priority="5675" stopIfTrue="1" operator="equal">
      <formula>"Napkin Hs"</formula>
    </cfRule>
    <cfRule type="cellIs" dxfId="34426" priority="5680" stopIfTrue="1" operator="equal">
      <formula>"Towel"</formula>
    </cfRule>
    <cfRule type="cellIs" dxfId="34425" priority="5681" stopIfTrue="1" operator="equal">
      <formula>"Napkin Hs"</formula>
    </cfRule>
  </conditionalFormatting>
  <conditionalFormatting sqref="B58:C58">
    <cfRule type="cellIs" dxfId="34424" priority="5684" stopIfTrue="1" operator="equal">
      <formula>"Towel"</formula>
    </cfRule>
    <cfRule type="cellIs" dxfId="34423" priority="5685" stopIfTrue="1" operator="equal">
      <formula>"Napkin Hs"</formula>
    </cfRule>
    <cfRule type="cellIs" dxfId="34422" priority="5690" stopIfTrue="1" operator="equal">
      <formula>"Towel"</formula>
    </cfRule>
    <cfRule type="cellIs" dxfId="34421" priority="5691" stopIfTrue="1" operator="equal">
      <formula>"Napkin Hs"</formula>
    </cfRule>
    <cfRule type="cellIs" dxfId="34420" priority="5696" stopIfTrue="1" operator="equal">
      <formula>"Towel"</formula>
    </cfRule>
    <cfRule type="cellIs" dxfId="34419" priority="5697" stopIfTrue="1" operator="equal">
      <formula>"Napkin Hs"</formula>
    </cfRule>
    <cfRule type="cellIs" dxfId="34418" priority="5702" stopIfTrue="1" operator="equal">
      <formula>"Towel"</formula>
    </cfRule>
    <cfRule type="cellIs" dxfId="34417" priority="5703" stopIfTrue="1" operator="equal">
      <formula>"Napkin Hs"</formula>
    </cfRule>
    <cfRule type="cellIs" dxfId="34416" priority="5708" stopIfTrue="1" operator="equal">
      <formula>"Towel"</formula>
    </cfRule>
    <cfRule type="cellIs" dxfId="34415" priority="5709" stopIfTrue="1" operator="equal">
      <formula>"Napkin Hs"</formula>
    </cfRule>
    <cfRule type="cellIs" dxfId="34414" priority="5714" stopIfTrue="1" operator="equal">
      <formula>"Towel"</formula>
    </cfRule>
    <cfRule type="cellIs" dxfId="34413" priority="5715" stopIfTrue="1" operator="equal">
      <formula>"Napkin Hs"</formula>
    </cfRule>
    <cfRule type="cellIs" dxfId="34412" priority="5720" stopIfTrue="1" operator="equal">
      <formula>"Towel"</formula>
    </cfRule>
    <cfRule type="cellIs" dxfId="34411" priority="5721" stopIfTrue="1" operator="equal">
      <formula>"Napkin Hs"</formula>
    </cfRule>
    <cfRule type="cellIs" dxfId="34410" priority="5726" stopIfTrue="1" operator="equal">
      <formula>"Towel"</formula>
    </cfRule>
    <cfRule type="cellIs" dxfId="34409" priority="5727" stopIfTrue="1" operator="equal">
      <formula>"Napkin Hs"</formula>
    </cfRule>
  </conditionalFormatting>
  <conditionalFormatting sqref="B59:C59">
    <cfRule type="cellIs" dxfId="34408" priority="5730" stopIfTrue="1" operator="equal">
      <formula>"Towel"</formula>
    </cfRule>
    <cfRule type="cellIs" dxfId="34407" priority="5731" stopIfTrue="1" operator="equal">
      <formula>"Napkin Hs"</formula>
    </cfRule>
    <cfRule type="cellIs" dxfId="34406" priority="5736" stopIfTrue="1" operator="equal">
      <formula>"Towel"</formula>
    </cfRule>
    <cfRule type="cellIs" dxfId="34405" priority="5737" stopIfTrue="1" operator="equal">
      <formula>"Napkin Hs"</formula>
    </cfRule>
    <cfRule type="cellIs" dxfId="34404" priority="5742" stopIfTrue="1" operator="equal">
      <formula>"Towel"</formula>
    </cfRule>
    <cfRule type="cellIs" dxfId="34403" priority="5743" stopIfTrue="1" operator="equal">
      <formula>"Napkin Hs"</formula>
    </cfRule>
    <cfRule type="cellIs" dxfId="34402" priority="5748" stopIfTrue="1" operator="equal">
      <formula>"Towel"</formula>
    </cfRule>
    <cfRule type="cellIs" dxfId="34401" priority="5749" stopIfTrue="1" operator="equal">
      <formula>"Napkin Hs"</formula>
    </cfRule>
    <cfRule type="cellIs" dxfId="34400" priority="5754" stopIfTrue="1" operator="equal">
      <formula>"Towel"</formula>
    </cfRule>
    <cfRule type="cellIs" dxfId="34399" priority="5755" stopIfTrue="1" operator="equal">
      <formula>"Napkin Hs"</formula>
    </cfRule>
    <cfRule type="cellIs" dxfId="34398" priority="5760" stopIfTrue="1" operator="equal">
      <formula>"Towel"</formula>
    </cfRule>
    <cfRule type="cellIs" dxfId="34397" priority="5761" stopIfTrue="1" operator="equal">
      <formula>"Napkin Hs"</formula>
    </cfRule>
  </conditionalFormatting>
  <conditionalFormatting sqref="B60:C62">
    <cfRule type="cellIs" dxfId="34396" priority="5486" stopIfTrue="1" operator="equal">
      <formula>"Towel"</formula>
    </cfRule>
    <cfRule type="cellIs" dxfId="34395" priority="5487" stopIfTrue="1" operator="equal">
      <formula>"Napkin Hs"</formula>
    </cfRule>
    <cfRule type="cellIs" dxfId="34394" priority="5502" stopIfTrue="1" operator="equal">
      <formula>"Towel"</formula>
    </cfRule>
    <cfRule type="cellIs" dxfId="34393" priority="5503" stopIfTrue="1" operator="equal">
      <formula>"Napkin Hs"</formula>
    </cfRule>
    <cfRule type="cellIs" dxfId="34392" priority="5504" stopIfTrue="1" operator="equal">
      <formula>"Towel"</formula>
    </cfRule>
    <cfRule type="cellIs" dxfId="34391" priority="5505" stopIfTrue="1" operator="equal">
      <formula>"Napkin Hs"</formula>
    </cfRule>
    <cfRule type="cellIs" dxfId="34390" priority="5520" stopIfTrue="1" operator="equal">
      <formula>"Towel"</formula>
    </cfRule>
    <cfRule type="cellIs" dxfId="34389" priority="5521" stopIfTrue="1" operator="equal">
      <formula>"Napkin Hs"</formula>
    </cfRule>
  </conditionalFormatting>
  <conditionalFormatting sqref="B63:C63">
    <cfRule type="cellIs" dxfId="34388" priority="7006" stopIfTrue="1" operator="equal">
      <formula>"Towel"</formula>
    </cfRule>
    <cfRule type="cellIs" dxfId="34387" priority="7007" stopIfTrue="1" operator="equal">
      <formula>"Napkin Hs"</formula>
    </cfRule>
    <cfRule type="cellIs" dxfId="34386" priority="7012" stopIfTrue="1" operator="equal">
      <formula>"Towel"</formula>
    </cfRule>
    <cfRule type="cellIs" dxfId="34385" priority="7013" stopIfTrue="1" operator="equal">
      <formula>"Napkin Hs"</formula>
    </cfRule>
    <cfRule type="cellIs" dxfId="34384" priority="7018" stopIfTrue="1" operator="equal">
      <formula>"Towel"</formula>
    </cfRule>
    <cfRule type="cellIs" dxfId="34383" priority="7019" stopIfTrue="1" operator="equal">
      <formula>"Napkin Hs"</formula>
    </cfRule>
    <cfRule type="cellIs" dxfId="34382" priority="7024" stopIfTrue="1" operator="equal">
      <formula>"Towel"</formula>
    </cfRule>
    <cfRule type="cellIs" dxfId="34381" priority="7025" stopIfTrue="1" operator="equal">
      <formula>"Napkin Hs"</formula>
    </cfRule>
    <cfRule type="cellIs" dxfId="34380" priority="7030" stopIfTrue="1" operator="equal">
      <formula>"Towel"</formula>
    </cfRule>
    <cfRule type="cellIs" dxfId="34379" priority="7031" stopIfTrue="1" operator="equal">
      <formula>"Napkin Hs"</formula>
    </cfRule>
    <cfRule type="cellIs" dxfId="34378" priority="7036" stopIfTrue="1" operator="equal">
      <formula>"Towel"</formula>
    </cfRule>
    <cfRule type="cellIs" dxfId="34377" priority="7037" stopIfTrue="1" operator="equal">
      <formula>"Napkin Hs"</formula>
    </cfRule>
    <cfRule type="cellIs" dxfId="34376" priority="7042" stopIfTrue="1" operator="equal">
      <formula>"Towel"</formula>
    </cfRule>
    <cfRule type="cellIs" dxfId="34375" priority="7043" stopIfTrue="1" operator="equal">
      <formula>"Napkin Hs"</formula>
    </cfRule>
    <cfRule type="cellIs" dxfId="34374" priority="7048" stopIfTrue="1" operator="equal">
      <formula>"Towel"</formula>
    </cfRule>
    <cfRule type="cellIs" dxfId="34373" priority="7049" stopIfTrue="1" operator="equal">
      <formula>"Napkin Hs"</formula>
    </cfRule>
  </conditionalFormatting>
  <conditionalFormatting sqref="B64:C64">
    <cfRule type="cellIs" dxfId="34372" priority="5272" stopIfTrue="1" operator="equal">
      <formula>"Towel"</formula>
    </cfRule>
    <cfRule type="cellIs" dxfId="34371" priority="5273" stopIfTrue="1" operator="equal">
      <formula>"Napkin Hs"</formula>
    </cfRule>
  </conditionalFormatting>
  <conditionalFormatting sqref="B65:C65">
    <cfRule type="cellIs" dxfId="34370" priority="5416" stopIfTrue="1" operator="equal">
      <formula>"Towel"</formula>
    </cfRule>
    <cfRule type="cellIs" dxfId="34369" priority="5417" stopIfTrue="1" operator="equal">
      <formula>"Napkin Hs"</formula>
    </cfRule>
    <cfRule type="cellIs" dxfId="34368" priority="5422" stopIfTrue="1" operator="equal">
      <formula>"Towel"</formula>
    </cfRule>
    <cfRule type="cellIs" dxfId="34367" priority="5423" stopIfTrue="1" operator="equal">
      <formula>"Napkin Hs"</formula>
    </cfRule>
    <cfRule type="cellIs" dxfId="34366" priority="5428" stopIfTrue="1" operator="equal">
      <formula>"Towel"</formula>
    </cfRule>
    <cfRule type="cellIs" dxfId="34365" priority="5429" stopIfTrue="1" operator="equal">
      <formula>"Napkin Hs"</formula>
    </cfRule>
    <cfRule type="cellIs" dxfId="34364" priority="5434" stopIfTrue="1" operator="equal">
      <formula>"Towel"</formula>
    </cfRule>
    <cfRule type="cellIs" dxfId="34363" priority="5435" stopIfTrue="1" operator="equal">
      <formula>"Napkin Hs"</formula>
    </cfRule>
    <cfRule type="cellIs" dxfId="34362" priority="5440" stopIfTrue="1" operator="equal">
      <formula>"Towel"</formula>
    </cfRule>
    <cfRule type="cellIs" dxfId="34361" priority="5441" stopIfTrue="1" operator="equal">
      <formula>"Napkin Hs"</formula>
    </cfRule>
    <cfRule type="cellIs" dxfId="34360" priority="5446" stopIfTrue="1" operator="equal">
      <formula>"Towel"</formula>
    </cfRule>
    <cfRule type="cellIs" dxfId="34359" priority="5447" stopIfTrue="1" operator="equal">
      <formula>"Napkin Hs"</formula>
    </cfRule>
  </conditionalFormatting>
  <conditionalFormatting sqref="B66:C66">
    <cfRule type="cellIs" dxfId="34358" priority="5448" stopIfTrue="1" operator="equal">
      <formula>"Towel"</formula>
    </cfRule>
    <cfRule type="cellIs" dxfId="34357" priority="5449" stopIfTrue="1" operator="equal">
      <formula>"Napkin Hs"</formula>
    </cfRule>
  </conditionalFormatting>
  <conditionalFormatting sqref="B69:C69">
    <cfRule type="cellIs" dxfId="34356" priority="5454" stopIfTrue="1" operator="equal">
      <formula>"Towel"</formula>
    </cfRule>
    <cfRule type="cellIs" dxfId="34355" priority="5455" stopIfTrue="1" operator="equal">
      <formula>"Napkin Hs"</formula>
    </cfRule>
    <cfRule type="cellIs" dxfId="34354" priority="5460" stopIfTrue="1" operator="equal">
      <formula>"Towel"</formula>
    </cfRule>
    <cfRule type="cellIs" dxfId="34353" priority="5461" stopIfTrue="1" operator="equal">
      <formula>"Napkin Hs"</formula>
    </cfRule>
    <cfRule type="cellIs" dxfId="34352" priority="5466" stopIfTrue="1" operator="equal">
      <formula>"Towel"</formula>
    </cfRule>
    <cfRule type="cellIs" dxfId="34351" priority="5467" stopIfTrue="1" operator="equal">
      <formula>"Napkin Hs"</formula>
    </cfRule>
    <cfRule type="cellIs" dxfId="34350" priority="5472" stopIfTrue="1" operator="equal">
      <formula>"Towel"</formula>
    </cfRule>
    <cfRule type="cellIs" dxfId="34349" priority="5473" stopIfTrue="1" operator="equal">
      <formula>"Napkin Hs"</formula>
    </cfRule>
    <cfRule type="cellIs" dxfId="34348" priority="5478" stopIfTrue="1" operator="equal">
      <formula>"Towel"</formula>
    </cfRule>
    <cfRule type="cellIs" dxfId="34347" priority="5479" stopIfTrue="1" operator="equal">
      <formula>"Napkin Hs"</formula>
    </cfRule>
    <cfRule type="cellIs" dxfId="34346" priority="5484" stopIfTrue="1" operator="equal">
      <formula>"Towel"</formula>
    </cfRule>
    <cfRule type="cellIs" dxfId="34345" priority="5485" stopIfTrue="1" operator="equal">
      <formula>"Napkin Hs"</formula>
    </cfRule>
    <cfRule type="cellIs" dxfId="34344" priority="6972" stopIfTrue="1" operator="equal">
      <formula>"Towel"</formula>
    </cfRule>
    <cfRule type="cellIs" dxfId="34343" priority="6973" stopIfTrue="1" operator="equal">
      <formula>"Napkin Hs"</formula>
    </cfRule>
    <cfRule type="cellIs" dxfId="34342" priority="6978" stopIfTrue="1" operator="equal">
      <formula>"Towel"</formula>
    </cfRule>
    <cfRule type="cellIs" dxfId="34341" priority="6979" stopIfTrue="1" operator="equal">
      <formula>"Napkin Hs"</formula>
    </cfRule>
    <cfRule type="cellIs" dxfId="34340" priority="6984" stopIfTrue="1" operator="equal">
      <formula>"Towel"</formula>
    </cfRule>
    <cfRule type="cellIs" dxfId="34339" priority="6985" stopIfTrue="1" operator="equal">
      <formula>"Napkin Hs"</formula>
    </cfRule>
    <cfRule type="cellIs" dxfId="34338" priority="6990" stopIfTrue="1" operator="equal">
      <formula>"Towel"</formula>
    </cfRule>
    <cfRule type="cellIs" dxfId="34337" priority="6991" stopIfTrue="1" operator="equal">
      <formula>"Napkin Hs"</formula>
    </cfRule>
    <cfRule type="cellIs" dxfId="34336" priority="6996" stopIfTrue="1" operator="equal">
      <formula>"Towel"</formula>
    </cfRule>
    <cfRule type="cellIs" dxfId="34335" priority="6997" stopIfTrue="1" operator="equal">
      <formula>"Napkin Hs"</formula>
    </cfRule>
    <cfRule type="cellIs" dxfId="34334" priority="7002" stopIfTrue="1" operator="equal">
      <formula>"Towel"</formula>
    </cfRule>
    <cfRule type="cellIs" dxfId="34333" priority="7003" stopIfTrue="1" operator="equal">
      <formula>"Napkin Hs"</formula>
    </cfRule>
  </conditionalFormatting>
  <conditionalFormatting sqref="B70:C70">
    <cfRule type="cellIs" dxfId="34332" priority="5198" stopIfTrue="1" operator="equal">
      <formula>"Towel"</formula>
    </cfRule>
    <cfRule type="cellIs" dxfId="34331" priority="5199" stopIfTrue="1" operator="equal">
      <formula>"Napkin Hs"</formula>
    </cfRule>
  </conditionalFormatting>
  <conditionalFormatting sqref="B71:C71">
    <cfRule type="cellIs" dxfId="34330" priority="5166" stopIfTrue="1" operator="equal">
      <formula>"Towel"</formula>
    </cfRule>
    <cfRule type="cellIs" dxfId="34329" priority="5167" stopIfTrue="1" operator="equal">
      <formula>"Napkin Hs"</formula>
    </cfRule>
    <cfRule type="cellIs" dxfId="34328" priority="5172" stopIfTrue="1" operator="equal">
      <formula>"Towel"</formula>
    </cfRule>
    <cfRule type="cellIs" dxfId="34327" priority="5173" stopIfTrue="1" operator="equal">
      <formula>"Napkin Hs"</formula>
    </cfRule>
    <cfRule type="cellIs" dxfId="34326" priority="5178" stopIfTrue="1" operator="equal">
      <formula>"Towel"</formula>
    </cfRule>
    <cfRule type="cellIs" dxfId="34325" priority="5179" stopIfTrue="1" operator="equal">
      <formula>"Napkin Hs"</formula>
    </cfRule>
    <cfRule type="cellIs" dxfId="34324" priority="5184" stopIfTrue="1" operator="equal">
      <formula>"Towel"</formula>
    </cfRule>
    <cfRule type="cellIs" dxfId="34323" priority="5185" stopIfTrue="1" operator="equal">
      <formula>"Napkin Hs"</formula>
    </cfRule>
    <cfRule type="cellIs" dxfId="34322" priority="5190" stopIfTrue="1" operator="equal">
      <formula>"Towel"</formula>
    </cfRule>
    <cfRule type="cellIs" dxfId="34321" priority="5191" stopIfTrue="1" operator="equal">
      <formula>"Napkin Hs"</formula>
    </cfRule>
    <cfRule type="cellIs" dxfId="34320" priority="5196" stopIfTrue="1" operator="equal">
      <formula>"Towel"</formula>
    </cfRule>
    <cfRule type="cellIs" dxfId="34319" priority="5197" stopIfTrue="1" operator="equal">
      <formula>"Napkin Hs"</formula>
    </cfRule>
  </conditionalFormatting>
  <conditionalFormatting sqref="B72:C73">
    <cfRule type="cellIs" dxfId="34318" priority="5204" stopIfTrue="1" operator="equal">
      <formula>"Towel"</formula>
    </cfRule>
    <cfRule type="cellIs" dxfId="34317" priority="5205" stopIfTrue="1" operator="equal">
      <formula>"Napkin Hs"</formula>
    </cfRule>
    <cfRule type="cellIs" dxfId="34316" priority="5220" stopIfTrue="1" operator="equal">
      <formula>"Towel"</formula>
    </cfRule>
    <cfRule type="cellIs" dxfId="34315" priority="5221" stopIfTrue="1" operator="equal">
      <formula>"Napkin Hs"</formula>
    </cfRule>
    <cfRule type="cellIs" dxfId="34314" priority="5226" stopIfTrue="1" operator="equal">
      <formula>"Towel"</formula>
    </cfRule>
    <cfRule type="cellIs" dxfId="34313" priority="5227" stopIfTrue="1" operator="equal">
      <formula>"Napkin Hs"</formula>
    </cfRule>
    <cfRule type="cellIs" dxfId="34312" priority="5232" stopIfTrue="1" operator="equal">
      <formula>"Towel"</formula>
    </cfRule>
    <cfRule type="cellIs" dxfId="34311" priority="5233" stopIfTrue="1" operator="equal">
      <formula>"Napkin Hs"</formula>
    </cfRule>
    <cfRule type="cellIs" dxfId="34310" priority="5238" stopIfTrue="1" operator="equal">
      <formula>"Towel"</formula>
    </cfRule>
    <cfRule type="cellIs" dxfId="34309" priority="5239" stopIfTrue="1" operator="equal">
      <formula>"Napkin Hs"</formula>
    </cfRule>
    <cfRule type="cellIs" dxfId="34308" priority="5244" stopIfTrue="1" operator="equal">
      <formula>"Towel"</formula>
    </cfRule>
    <cfRule type="cellIs" dxfId="34307" priority="5245" stopIfTrue="1" operator="equal">
      <formula>"Napkin Hs"</formula>
    </cfRule>
    <cfRule type="cellIs" dxfId="34306" priority="5250" stopIfTrue="1" operator="equal">
      <formula>"Towel"</formula>
    </cfRule>
    <cfRule type="cellIs" dxfId="34305" priority="5251" stopIfTrue="1" operator="equal">
      <formula>"Napkin Hs"</formula>
    </cfRule>
    <cfRule type="cellIs" dxfId="34304" priority="5256" stopIfTrue="1" operator="equal">
      <formula>"Towel"</formula>
    </cfRule>
    <cfRule type="cellIs" dxfId="34303" priority="5257" stopIfTrue="1" operator="equal">
      <formula>"Napkin Hs"</formula>
    </cfRule>
  </conditionalFormatting>
  <conditionalFormatting sqref="B74:C74">
    <cfRule type="cellIs" dxfId="34302" priority="6936" stopIfTrue="1" operator="equal">
      <formula>"Towel"</formula>
    </cfRule>
    <cfRule type="cellIs" dxfId="34301" priority="6937" stopIfTrue="1" operator="equal">
      <formula>"Napkin Hs"</formula>
    </cfRule>
    <cfRule type="cellIs" dxfId="34300" priority="6942" stopIfTrue="1" operator="equal">
      <formula>"Towel"</formula>
    </cfRule>
    <cfRule type="cellIs" dxfId="34299" priority="6943" stopIfTrue="1" operator="equal">
      <formula>"Napkin Hs"</formula>
    </cfRule>
    <cfRule type="cellIs" dxfId="34298" priority="6948" stopIfTrue="1" operator="equal">
      <formula>"Towel"</formula>
    </cfRule>
    <cfRule type="cellIs" dxfId="34297" priority="6949" stopIfTrue="1" operator="equal">
      <formula>"Napkin Hs"</formula>
    </cfRule>
    <cfRule type="cellIs" dxfId="34296" priority="6954" stopIfTrue="1" operator="equal">
      <formula>"Towel"</formula>
    </cfRule>
    <cfRule type="cellIs" dxfId="34295" priority="6955" stopIfTrue="1" operator="equal">
      <formula>"Napkin Hs"</formula>
    </cfRule>
    <cfRule type="cellIs" dxfId="34294" priority="6960" stopIfTrue="1" operator="equal">
      <formula>"Towel"</formula>
    </cfRule>
    <cfRule type="cellIs" dxfId="34293" priority="6961" stopIfTrue="1" operator="equal">
      <formula>"Napkin Hs"</formula>
    </cfRule>
    <cfRule type="cellIs" dxfId="34292" priority="6966" stopIfTrue="1" operator="equal">
      <formula>"Towel"</formula>
    </cfRule>
    <cfRule type="cellIs" dxfId="34291" priority="6967" stopIfTrue="1" operator="equal">
      <formula>"Napkin Hs"</formula>
    </cfRule>
  </conditionalFormatting>
  <conditionalFormatting sqref="B75:C75">
    <cfRule type="cellIs" dxfId="34290" priority="5040" stopIfTrue="1" operator="equal">
      <formula>"Towel"</formula>
    </cfRule>
    <cfRule type="cellIs" dxfId="34289" priority="5041" stopIfTrue="1" operator="equal">
      <formula>"Napkin Hs"</formula>
    </cfRule>
    <cfRule type="cellIs" dxfId="34288" priority="5046" stopIfTrue="1" operator="equal">
      <formula>"Towel"</formula>
    </cfRule>
    <cfRule type="cellIs" dxfId="34287" priority="5047" stopIfTrue="1" operator="equal">
      <formula>"Napkin Hs"</formula>
    </cfRule>
    <cfRule type="cellIs" dxfId="34286" priority="5052" stopIfTrue="1" operator="equal">
      <formula>"Towel"</formula>
    </cfRule>
    <cfRule type="cellIs" dxfId="34285" priority="5053" stopIfTrue="1" operator="equal">
      <formula>"Napkin Hs"</formula>
    </cfRule>
    <cfRule type="cellIs" dxfId="34284" priority="5058" stopIfTrue="1" operator="equal">
      <formula>"Towel"</formula>
    </cfRule>
    <cfRule type="cellIs" dxfId="34283" priority="5059" stopIfTrue="1" operator="equal">
      <formula>"Napkin Hs"</formula>
    </cfRule>
    <cfRule type="cellIs" dxfId="34282" priority="5064" stopIfTrue="1" operator="equal">
      <formula>"Towel"</formula>
    </cfRule>
    <cfRule type="cellIs" dxfId="34281" priority="5065" stopIfTrue="1" operator="equal">
      <formula>"Napkin Hs"</formula>
    </cfRule>
    <cfRule type="cellIs" dxfId="34280" priority="5070" stopIfTrue="1" operator="equal">
      <formula>"Towel"</formula>
    </cfRule>
    <cfRule type="cellIs" dxfId="34279" priority="5071" stopIfTrue="1" operator="equal">
      <formula>"Napkin Hs"</formula>
    </cfRule>
  </conditionalFormatting>
  <conditionalFormatting sqref="B76:C76">
    <cfRule type="cellIs" dxfId="34278" priority="5074" stopIfTrue="1" operator="equal">
      <formula>"Towel"</formula>
    </cfRule>
    <cfRule type="cellIs" dxfId="34277" priority="5075" stopIfTrue="1" operator="equal">
      <formula>"Napkin Hs"</formula>
    </cfRule>
    <cfRule type="cellIs" dxfId="34276" priority="5080" stopIfTrue="1" operator="equal">
      <formula>"Towel"</formula>
    </cfRule>
    <cfRule type="cellIs" dxfId="34275" priority="5081" stopIfTrue="1" operator="equal">
      <formula>"Napkin Hs"</formula>
    </cfRule>
    <cfRule type="cellIs" dxfId="34274" priority="5086" stopIfTrue="1" operator="equal">
      <formula>"Towel"</formula>
    </cfRule>
    <cfRule type="cellIs" dxfId="34273" priority="5087" stopIfTrue="1" operator="equal">
      <formula>"Napkin Hs"</formula>
    </cfRule>
    <cfRule type="cellIs" dxfId="34272" priority="5092" stopIfTrue="1" operator="equal">
      <formula>"Towel"</formula>
    </cfRule>
    <cfRule type="cellIs" dxfId="34271" priority="5093" stopIfTrue="1" operator="equal">
      <formula>"Napkin Hs"</formula>
    </cfRule>
    <cfRule type="cellIs" dxfId="34270" priority="5098" stopIfTrue="1" operator="equal">
      <formula>"Towel"</formula>
    </cfRule>
    <cfRule type="cellIs" dxfId="34269" priority="5099" stopIfTrue="1" operator="equal">
      <formula>"Napkin Hs"</formula>
    </cfRule>
    <cfRule type="cellIs" dxfId="34268" priority="5104" stopIfTrue="1" operator="equal">
      <formula>"Towel"</formula>
    </cfRule>
    <cfRule type="cellIs" dxfId="34267" priority="5105" stopIfTrue="1" operator="equal">
      <formula>"Napkin Hs"</formula>
    </cfRule>
  </conditionalFormatting>
  <conditionalFormatting sqref="B77:C78">
    <cfRule type="cellIs" dxfId="34266" priority="5108" stopIfTrue="1" operator="equal">
      <formula>"Towel"</formula>
    </cfRule>
    <cfRule type="cellIs" dxfId="34265" priority="5109" stopIfTrue="1" operator="equal">
      <formula>"Napkin Hs"</formula>
    </cfRule>
    <cfRule type="cellIs" dxfId="34264" priority="5124" stopIfTrue="1" operator="equal">
      <formula>"Towel"</formula>
    </cfRule>
    <cfRule type="cellIs" dxfId="34263" priority="5125" stopIfTrue="1" operator="equal">
      <formula>"Napkin Hs"</formula>
    </cfRule>
    <cfRule type="cellIs" dxfId="34262" priority="5130" stopIfTrue="1" operator="equal">
      <formula>"Towel"</formula>
    </cfRule>
    <cfRule type="cellIs" dxfId="34261" priority="5131" stopIfTrue="1" operator="equal">
      <formula>"Napkin Hs"</formula>
    </cfRule>
    <cfRule type="cellIs" dxfId="34260" priority="5136" stopIfTrue="1" operator="equal">
      <formula>"Towel"</formula>
    </cfRule>
    <cfRule type="cellIs" dxfId="34259" priority="5137" stopIfTrue="1" operator="equal">
      <formula>"Napkin Hs"</formula>
    </cfRule>
    <cfRule type="cellIs" dxfId="34258" priority="5142" stopIfTrue="1" operator="equal">
      <formula>"Towel"</formula>
    </cfRule>
    <cfRule type="cellIs" dxfId="34257" priority="5143" stopIfTrue="1" operator="equal">
      <formula>"Napkin Hs"</formula>
    </cfRule>
    <cfRule type="cellIs" dxfId="34256" priority="5148" stopIfTrue="1" operator="equal">
      <formula>"Towel"</formula>
    </cfRule>
    <cfRule type="cellIs" dxfId="34255" priority="5149" stopIfTrue="1" operator="equal">
      <formula>"Napkin Hs"</formula>
    </cfRule>
    <cfRule type="cellIs" dxfId="34254" priority="5154" stopIfTrue="1" operator="equal">
      <formula>"Towel"</formula>
    </cfRule>
    <cfRule type="cellIs" dxfId="34253" priority="5155" stopIfTrue="1" operator="equal">
      <formula>"Napkin Hs"</formula>
    </cfRule>
    <cfRule type="cellIs" dxfId="34252" priority="5160" stopIfTrue="1" operator="equal">
      <formula>"Towel"</formula>
    </cfRule>
    <cfRule type="cellIs" dxfId="34251" priority="5161" stopIfTrue="1" operator="equal">
      <formula>"Napkin Hs"</formula>
    </cfRule>
  </conditionalFormatting>
  <conditionalFormatting sqref="B79:C79">
    <cfRule type="cellIs" dxfId="34250" priority="4914" stopIfTrue="1" operator="equal">
      <formula>"Towel"</formula>
    </cfRule>
    <cfRule type="cellIs" dxfId="34249" priority="4915" stopIfTrue="1" operator="equal">
      <formula>"Napkin Hs"</formula>
    </cfRule>
    <cfRule type="cellIs" dxfId="34248" priority="4920" stopIfTrue="1" operator="equal">
      <formula>"Towel"</formula>
    </cfRule>
    <cfRule type="cellIs" dxfId="34247" priority="4921" stopIfTrue="1" operator="equal">
      <formula>"Napkin Hs"</formula>
    </cfRule>
    <cfRule type="cellIs" dxfId="34246" priority="4926" stopIfTrue="1" operator="equal">
      <formula>"Towel"</formula>
    </cfRule>
    <cfRule type="cellIs" dxfId="34245" priority="4927" stopIfTrue="1" operator="equal">
      <formula>"Napkin Hs"</formula>
    </cfRule>
    <cfRule type="cellIs" dxfId="34244" priority="4932" stopIfTrue="1" operator="equal">
      <formula>"Towel"</formula>
    </cfRule>
    <cfRule type="cellIs" dxfId="34243" priority="4933" stopIfTrue="1" operator="equal">
      <formula>"Napkin Hs"</formula>
    </cfRule>
    <cfRule type="cellIs" dxfId="34242" priority="4938" stopIfTrue="1" operator="equal">
      <formula>"Towel"</formula>
    </cfRule>
    <cfRule type="cellIs" dxfId="34241" priority="4939" stopIfTrue="1" operator="equal">
      <formula>"Napkin Hs"</formula>
    </cfRule>
    <cfRule type="cellIs" dxfId="34240" priority="4944" stopIfTrue="1" operator="equal">
      <formula>"Towel"</formula>
    </cfRule>
    <cfRule type="cellIs" dxfId="34239" priority="4945" stopIfTrue="1" operator="equal">
      <formula>"Napkin Hs"</formula>
    </cfRule>
  </conditionalFormatting>
  <conditionalFormatting sqref="B80:C80">
    <cfRule type="cellIs" dxfId="34238" priority="4948" stopIfTrue="1" operator="equal">
      <formula>"Towel"</formula>
    </cfRule>
    <cfRule type="cellIs" dxfId="34237" priority="4949" stopIfTrue="1" operator="equal">
      <formula>"Napkin Hs"</formula>
    </cfRule>
    <cfRule type="cellIs" dxfId="34236" priority="4954" stopIfTrue="1" operator="equal">
      <formula>"Towel"</formula>
    </cfRule>
    <cfRule type="cellIs" dxfId="34235" priority="4955" stopIfTrue="1" operator="equal">
      <formula>"Napkin Hs"</formula>
    </cfRule>
    <cfRule type="cellIs" dxfId="34234" priority="4960" stopIfTrue="1" operator="equal">
      <formula>"Towel"</formula>
    </cfRule>
    <cfRule type="cellIs" dxfId="34233" priority="4961" stopIfTrue="1" operator="equal">
      <formula>"Napkin Hs"</formula>
    </cfRule>
    <cfRule type="cellIs" dxfId="34232" priority="4966" stopIfTrue="1" operator="equal">
      <formula>"Towel"</formula>
    </cfRule>
    <cfRule type="cellIs" dxfId="34231" priority="4967" stopIfTrue="1" operator="equal">
      <formula>"Napkin Hs"</formula>
    </cfRule>
    <cfRule type="cellIs" dxfId="34230" priority="4972" stopIfTrue="1" operator="equal">
      <formula>"Towel"</formula>
    </cfRule>
    <cfRule type="cellIs" dxfId="34229" priority="4973" stopIfTrue="1" operator="equal">
      <formula>"Napkin Hs"</formula>
    </cfRule>
    <cfRule type="cellIs" dxfId="34228" priority="4978" stopIfTrue="1" operator="equal">
      <formula>"Towel"</formula>
    </cfRule>
    <cfRule type="cellIs" dxfId="34227" priority="4979" stopIfTrue="1" operator="equal">
      <formula>"Napkin Hs"</formula>
    </cfRule>
  </conditionalFormatting>
  <conditionalFormatting sqref="B81:C81">
    <cfRule type="cellIs" dxfId="34226" priority="4982" stopIfTrue="1" operator="equal">
      <formula>"Towel"</formula>
    </cfRule>
    <cfRule type="cellIs" dxfId="34225" priority="4983" stopIfTrue="1" operator="equal">
      <formula>"Napkin Hs"</formula>
    </cfRule>
    <cfRule type="cellIs" dxfId="34224" priority="4998" stopIfTrue="1" operator="equal">
      <formula>"Towel"</formula>
    </cfRule>
    <cfRule type="cellIs" dxfId="34223" priority="4999" stopIfTrue="1" operator="equal">
      <formula>"Napkin Hs"</formula>
    </cfRule>
    <cfRule type="cellIs" dxfId="34222" priority="5004" stopIfTrue="1" operator="equal">
      <formula>"Towel"</formula>
    </cfRule>
    <cfRule type="cellIs" dxfId="34221" priority="5005" stopIfTrue="1" operator="equal">
      <formula>"Napkin Hs"</formula>
    </cfRule>
    <cfRule type="cellIs" dxfId="34220" priority="5010" stopIfTrue="1" operator="equal">
      <formula>"Towel"</formula>
    </cfRule>
    <cfRule type="cellIs" dxfId="34219" priority="5011" stopIfTrue="1" operator="equal">
      <formula>"Napkin Hs"</formula>
    </cfRule>
    <cfRule type="cellIs" dxfId="34218" priority="5016" stopIfTrue="1" operator="equal">
      <formula>"Towel"</formula>
    </cfRule>
    <cfRule type="cellIs" dxfId="34217" priority="5017" stopIfTrue="1" operator="equal">
      <formula>"Napkin Hs"</formula>
    </cfRule>
    <cfRule type="cellIs" dxfId="34216" priority="5022" stopIfTrue="1" operator="equal">
      <formula>"Towel"</formula>
    </cfRule>
    <cfRule type="cellIs" dxfId="34215" priority="5023" stopIfTrue="1" operator="equal">
      <formula>"Napkin Hs"</formula>
    </cfRule>
    <cfRule type="cellIs" dxfId="34214" priority="5028" stopIfTrue="1" operator="equal">
      <formula>"Towel"</formula>
    </cfRule>
    <cfRule type="cellIs" dxfId="34213" priority="5029" stopIfTrue="1" operator="equal">
      <formula>"Napkin Hs"</formula>
    </cfRule>
    <cfRule type="cellIs" dxfId="34212" priority="5034" stopIfTrue="1" operator="equal">
      <formula>"Towel"</formula>
    </cfRule>
    <cfRule type="cellIs" dxfId="34211" priority="5035" stopIfTrue="1" operator="equal">
      <formula>"Napkin Hs"</formula>
    </cfRule>
  </conditionalFormatting>
  <conditionalFormatting sqref="B82:C82">
    <cfRule type="cellIs" dxfId="34210" priority="4740" stopIfTrue="1" operator="equal">
      <formula>"Towel"</formula>
    </cfRule>
    <cfRule type="cellIs" dxfId="34209" priority="4741" stopIfTrue="1" operator="equal">
      <formula>"Napkin Hs"</formula>
    </cfRule>
    <cfRule type="cellIs" dxfId="34208" priority="4746" stopIfTrue="1" operator="equal">
      <formula>"Towel"</formula>
    </cfRule>
    <cfRule type="cellIs" dxfId="34207" priority="4747" stopIfTrue="1" operator="equal">
      <formula>"Napkin Hs"</formula>
    </cfRule>
    <cfRule type="cellIs" dxfId="34206" priority="4752" stopIfTrue="1" operator="equal">
      <formula>"Towel"</formula>
    </cfRule>
    <cfRule type="cellIs" dxfId="34205" priority="4753" stopIfTrue="1" operator="equal">
      <formula>"Napkin Hs"</formula>
    </cfRule>
    <cfRule type="cellIs" dxfId="34204" priority="4758" stopIfTrue="1" operator="equal">
      <formula>"Towel"</formula>
    </cfRule>
    <cfRule type="cellIs" dxfId="34203" priority="4759" stopIfTrue="1" operator="equal">
      <formula>"Napkin Hs"</formula>
    </cfRule>
    <cfRule type="cellIs" dxfId="34202" priority="4764" stopIfTrue="1" operator="equal">
      <formula>"Towel"</formula>
    </cfRule>
    <cfRule type="cellIs" dxfId="34201" priority="4765" stopIfTrue="1" operator="equal">
      <formula>"Napkin Hs"</formula>
    </cfRule>
    <cfRule type="cellIs" dxfId="34200" priority="4770" stopIfTrue="1" operator="equal">
      <formula>"Towel"</formula>
    </cfRule>
    <cfRule type="cellIs" dxfId="34199" priority="4771" stopIfTrue="1" operator="equal">
      <formula>"Napkin Hs"</formula>
    </cfRule>
    <cfRule type="cellIs" dxfId="34198" priority="4774" stopIfTrue="1" operator="equal">
      <formula>"Towel"</formula>
    </cfRule>
    <cfRule type="cellIs" dxfId="34197" priority="4775" stopIfTrue="1" operator="equal">
      <formula>"Napkin Hs"</formula>
    </cfRule>
  </conditionalFormatting>
  <conditionalFormatting sqref="B83:C83">
    <cfRule type="cellIs" dxfId="34196" priority="4662" stopIfTrue="1" operator="equal">
      <formula>"Towel"</formula>
    </cfRule>
    <cfRule type="cellIs" dxfId="34195" priority="4663" stopIfTrue="1" operator="equal">
      <formula>"Napkin Hs"</formula>
    </cfRule>
    <cfRule type="cellIs" dxfId="34194" priority="4668" stopIfTrue="1" operator="equal">
      <formula>"Towel"</formula>
    </cfRule>
    <cfRule type="cellIs" dxfId="34193" priority="4669" stopIfTrue="1" operator="equal">
      <formula>"Napkin Hs"</formula>
    </cfRule>
    <cfRule type="cellIs" dxfId="34192" priority="4674" stopIfTrue="1" operator="equal">
      <formula>"Towel"</formula>
    </cfRule>
    <cfRule type="cellIs" dxfId="34191" priority="4675" stopIfTrue="1" operator="equal">
      <formula>"Napkin Hs"</formula>
    </cfRule>
    <cfRule type="cellIs" dxfId="34190" priority="4680" stopIfTrue="1" operator="equal">
      <formula>"Towel"</formula>
    </cfRule>
    <cfRule type="cellIs" dxfId="34189" priority="4681" stopIfTrue="1" operator="equal">
      <formula>"Napkin Hs"</formula>
    </cfRule>
    <cfRule type="cellIs" dxfId="34188" priority="4686" stopIfTrue="1" operator="equal">
      <formula>"Towel"</formula>
    </cfRule>
    <cfRule type="cellIs" dxfId="34187" priority="4687" stopIfTrue="1" operator="equal">
      <formula>"Napkin Hs"</formula>
    </cfRule>
    <cfRule type="cellIs" dxfId="34186" priority="4692" stopIfTrue="1" operator="equal">
      <formula>"Towel"</formula>
    </cfRule>
    <cfRule type="cellIs" dxfId="34185" priority="4693" stopIfTrue="1" operator="equal">
      <formula>"Napkin Hs"</formula>
    </cfRule>
    <cfRule type="cellIs" dxfId="34184" priority="4696" stopIfTrue="1" operator="equal">
      <formula>"Towel"</formula>
    </cfRule>
    <cfRule type="cellIs" dxfId="34183" priority="4697" stopIfTrue="1" operator="equal">
      <formula>"Napkin Hs"</formula>
    </cfRule>
    <cfRule type="cellIs" dxfId="34182" priority="4780" stopIfTrue="1" operator="equal">
      <formula>"Towel"</formula>
    </cfRule>
    <cfRule type="cellIs" dxfId="34181" priority="4781" stopIfTrue="1" operator="equal">
      <formula>"Napkin Hs"</formula>
    </cfRule>
    <cfRule type="cellIs" dxfId="34180" priority="4786" stopIfTrue="1" operator="equal">
      <formula>"Towel"</formula>
    </cfRule>
    <cfRule type="cellIs" dxfId="34179" priority="4787" stopIfTrue="1" operator="equal">
      <formula>"Napkin Hs"</formula>
    </cfRule>
    <cfRule type="cellIs" dxfId="34178" priority="4792" stopIfTrue="1" operator="equal">
      <formula>"Towel"</formula>
    </cfRule>
    <cfRule type="cellIs" dxfId="34177" priority="4793" stopIfTrue="1" operator="equal">
      <formula>"Napkin Hs"</formula>
    </cfRule>
    <cfRule type="cellIs" dxfId="34176" priority="4798" stopIfTrue="1" operator="equal">
      <formula>"Towel"</formula>
    </cfRule>
    <cfRule type="cellIs" dxfId="34175" priority="4799" stopIfTrue="1" operator="equal">
      <formula>"Napkin Hs"</formula>
    </cfRule>
    <cfRule type="cellIs" dxfId="34174" priority="4804" stopIfTrue="1" operator="equal">
      <formula>"Towel"</formula>
    </cfRule>
    <cfRule type="cellIs" dxfId="34173" priority="4805" stopIfTrue="1" operator="equal">
      <formula>"Napkin Hs"</formula>
    </cfRule>
    <cfRule type="cellIs" dxfId="34172" priority="4810" stopIfTrue="1" operator="equal">
      <formula>"Towel"</formula>
    </cfRule>
    <cfRule type="cellIs" dxfId="34171" priority="4811" stopIfTrue="1" operator="equal">
      <formula>"Napkin Hs"</formula>
    </cfRule>
    <cfRule type="cellIs" dxfId="34170" priority="7214" stopIfTrue="1" operator="equal">
      <formula>"Towel"</formula>
    </cfRule>
    <cfRule type="cellIs" dxfId="34169" priority="7215" stopIfTrue="1" operator="equal">
      <formula>"Napkin Hs"</formula>
    </cfRule>
  </conditionalFormatting>
  <conditionalFormatting sqref="B84:C84">
    <cfRule type="cellIs" dxfId="34168" priority="4702" stopIfTrue="1" operator="equal">
      <formula>"Towel"</formula>
    </cfRule>
    <cfRule type="cellIs" dxfId="34167" priority="4703" stopIfTrue="1" operator="equal">
      <formula>"Napkin Hs"</formula>
    </cfRule>
    <cfRule type="cellIs" dxfId="34166" priority="4708" stopIfTrue="1" operator="equal">
      <formula>"Towel"</formula>
    </cfRule>
    <cfRule type="cellIs" dxfId="34165" priority="4709" stopIfTrue="1" operator="equal">
      <formula>"Napkin Hs"</formula>
    </cfRule>
    <cfRule type="cellIs" dxfId="34164" priority="4714" stopIfTrue="1" operator="equal">
      <formula>"Towel"</formula>
    </cfRule>
    <cfRule type="cellIs" dxfId="34163" priority="4715" stopIfTrue="1" operator="equal">
      <formula>"Napkin Hs"</formula>
    </cfRule>
    <cfRule type="cellIs" dxfId="34162" priority="4720" stopIfTrue="1" operator="equal">
      <formula>"Towel"</formula>
    </cfRule>
    <cfRule type="cellIs" dxfId="34161" priority="4721" stopIfTrue="1" operator="equal">
      <formula>"Napkin Hs"</formula>
    </cfRule>
    <cfRule type="cellIs" dxfId="34160" priority="4726" stopIfTrue="1" operator="equal">
      <formula>"Towel"</formula>
    </cfRule>
    <cfRule type="cellIs" dxfId="34159" priority="4727" stopIfTrue="1" operator="equal">
      <formula>"Napkin Hs"</formula>
    </cfRule>
    <cfRule type="cellIs" dxfId="34158" priority="4732" stopIfTrue="1" operator="equal">
      <formula>"Towel"</formula>
    </cfRule>
    <cfRule type="cellIs" dxfId="34157" priority="4733" stopIfTrue="1" operator="equal">
      <formula>"Napkin Hs"</formula>
    </cfRule>
    <cfRule type="cellIs" dxfId="34156" priority="4736" stopIfTrue="1" operator="equal">
      <formula>"Towel"</formula>
    </cfRule>
    <cfRule type="cellIs" dxfId="34155" priority="4737" stopIfTrue="1" operator="equal">
      <formula>"Napkin Hs"</formula>
    </cfRule>
    <cfRule type="cellIs" dxfId="34154" priority="4814" stopIfTrue="1" operator="equal">
      <formula>"Towel"</formula>
    </cfRule>
    <cfRule type="cellIs" dxfId="34153" priority="4815" stopIfTrue="1" operator="equal">
      <formula>"Napkin Hs"</formula>
    </cfRule>
    <cfRule type="cellIs" dxfId="34152" priority="4820" stopIfTrue="1" operator="equal">
      <formula>"Towel"</formula>
    </cfRule>
    <cfRule type="cellIs" dxfId="34151" priority="4821" stopIfTrue="1" operator="equal">
      <formula>"Napkin Hs"</formula>
    </cfRule>
    <cfRule type="cellIs" dxfId="34150" priority="4826" stopIfTrue="1" operator="equal">
      <formula>"Towel"</formula>
    </cfRule>
    <cfRule type="cellIs" dxfId="34149" priority="4827" stopIfTrue="1" operator="equal">
      <formula>"Napkin Hs"</formula>
    </cfRule>
    <cfRule type="cellIs" dxfId="34148" priority="4832" stopIfTrue="1" operator="equal">
      <formula>"Towel"</formula>
    </cfRule>
    <cfRule type="cellIs" dxfId="34147" priority="4833" stopIfTrue="1" operator="equal">
      <formula>"Napkin Hs"</formula>
    </cfRule>
    <cfRule type="cellIs" dxfId="34146" priority="4838" stopIfTrue="1" operator="equal">
      <formula>"Towel"</formula>
    </cfRule>
    <cfRule type="cellIs" dxfId="34145" priority="4839" stopIfTrue="1" operator="equal">
      <formula>"Napkin Hs"</formula>
    </cfRule>
    <cfRule type="cellIs" dxfId="34144" priority="4844" stopIfTrue="1" operator="equal">
      <formula>"Towel"</formula>
    </cfRule>
    <cfRule type="cellIs" dxfId="34143" priority="4845" stopIfTrue="1" operator="equal">
      <formula>"Napkin Hs"</formula>
    </cfRule>
    <cfRule type="cellIs" dxfId="34142" priority="7209" stopIfTrue="1" operator="equal">
      <formula>"Napkin Hs"</formula>
    </cfRule>
  </conditionalFormatting>
  <conditionalFormatting sqref="B84:C85">
    <cfRule type="cellIs" dxfId="34141" priority="6848" stopIfTrue="1" operator="equal">
      <formula>"Towel"</formula>
    </cfRule>
  </conditionalFormatting>
  <conditionalFormatting sqref="B85:C85">
    <cfRule type="cellIs" dxfId="34140" priority="6806" stopIfTrue="1" operator="equal">
      <formula>"Towel"</formula>
    </cfRule>
    <cfRule type="cellIs" dxfId="34139" priority="6807" stopIfTrue="1" operator="equal">
      <formula>"Napkin Hs"</formula>
    </cfRule>
    <cfRule type="cellIs" dxfId="34138" priority="6812" stopIfTrue="1" operator="equal">
      <formula>"Towel"</formula>
    </cfRule>
    <cfRule type="cellIs" dxfId="34137" priority="6813" stopIfTrue="1" operator="equal">
      <formula>"Napkin Hs"</formula>
    </cfRule>
    <cfRule type="cellIs" dxfId="34136" priority="6818" stopIfTrue="1" operator="equal">
      <formula>"Towel"</formula>
    </cfRule>
    <cfRule type="cellIs" dxfId="34135" priority="6819" stopIfTrue="1" operator="equal">
      <formula>"Napkin Hs"</formula>
    </cfRule>
    <cfRule type="cellIs" dxfId="34134" priority="6824" stopIfTrue="1" operator="equal">
      <formula>"Towel"</formula>
    </cfRule>
    <cfRule type="cellIs" dxfId="34133" priority="6825" stopIfTrue="1" operator="equal">
      <formula>"Napkin Hs"</formula>
    </cfRule>
    <cfRule type="cellIs" dxfId="34132" priority="6830" stopIfTrue="1" operator="equal">
      <formula>"Towel"</formula>
    </cfRule>
    <cfRule type="cellIs" dxfId="34131" priority="6831" stopIfTrue="1" operator="equal">
      <formula>"Napkin Hs"</formula>
    </cfRule>
    <cfRule type="cellIs" dxfId="34130" priority="6836" stopIfTrue="1" operator="equal">
      <formula>"Towel"</formula>
    </cfRule>
    <cfRule type="cellIs" dxfId="34129" priority="6837" stopIfTrue="1" operator="equal">
      <formula>"Napkin Hs"</formula>
    </cfRule>
    <cfRule type="cellIs" dxfId="34128" priority="6842" stopIfTrue="1" operator="equal">
      <formula>"Towel"</formula>
    </cfRule>
    <cfRule type="cellIs" dxfId="34127" priority="6843" stopIfTrue="1" operator="equal">
      <formula>"Napkin Hs"</formula>
    </cfRule>
    <cfRule type="cellIs" dxfId="34126" priority="6849" stopIfTrue="1" operator="equal">
      <formula>"Napkin Hs"</formula>
    </cfRule>
  </conditionalFormatting>
  <conditionalFormatting sqref="B85:C86">
    <cfRule type="cellIs" dxfId="34125" priority="4848" stopIfTrue="1" operator="equal">
      <formula>"Towel"</formula>
    </cfRule>
    <cfRule type="cellIs" dxfId="34124" priority="4849" stopIfTrue="1" operator="equal">
      <formula>"Napkin Hs"</formula>
    </cfRule>
    <cfRule type="cellIs" dxfId="34123" priority="4864" stopIfTrue="1" operator="equal">
      <formula>"Towel"</formula>
    </cfRule>
    <cfRule type="cellIs" dxfId="34122" priority="4865" stopIfTrue="1" operator="equal">
      <formula>"Napkin Hs"</formula>
    </cfRule>
    <cfRule type="cellIs" dxfId="34121" priority="4870" stopIfTrue="1" operator="equal">
      <formula>"Towel"</formula>
    </cfRule>
    <cfRule type="cellIs" dxfId="34120" priority="4871" stopIfTrue="1" operator="equal">
      <formula>"Napkin Hs"</formula>
    </cfRule>
    <cfRule type="cellIs" dxfId="34119" priority="4876" stopIfTrue="1" operator="equal">
      <formula>"Towel"</formula>
    </cfRule>
    <cfRule type="cellIs" dxfId="34118" priority="4877" stopIfTrue="1" operator="equal">
      <formula>"Napkin Hs"</formula>
    </cfRule>
    <cfRule type="cellIs" dxfId="34117" priority="4882" stopIfTrue="1" operator="equal">
      <formula>"Towel"</formula>
    </cfRule>
    <cfRule type="cellIs" dxfId="34116" priority="4883" stopIfTrue="1" operator="equal">
      <formula>"Napkin Hs"</formula>
    </cfRule>
    <cfRule type="cellIs" dxfId="34115" priority="4888" stopIfTrue="1" operator="equal">
      <formula>"Towel"</formula>
    </cfRule>
    <cfRule type="cellIs" dxfId="34114" priority="4889" stopIfTrue="1" operator="equal">
      <formula>"Napkin Hs"</formula>
    </cfRule>
    <cfRule type="cellIs" dxfId="34113" priority="4894" stopIfTrue="1" operator="equal">
      <formula>"Towel"</formula>
    </cfRule>
    <cfRule type="cellIs" dxfId="34112" priority="4895" stopIfTrue="1" operator="equal">
      <formula>"Napkin Hs"</formula>
    </cfRule>
    <cfRule type="cellIs" dxfId="34111" priority="4900" stopIfTrue="1" operator="equal">
      <formula>"Towel"</formula>
    </cfRule>
    <cfRule type="cellIs" dxfId="34110" priority="4901" stopIfTrue="1" operator="equal">
      <formula>"Napkin Hs"</formula>
    </cfRule>
  </conditionalFormatting>
  <conditionalFormatting sqref="B86:C86">
    <cfRule type="cellIs" dxfId="34109" priority="6852" stopIfTrue="1" operator="equal">
      <formula>"Towel"</formula>
    </cfRule>
    <cfRule type="cellIs" dxfId="34108" priority="6853" stopIfTrue="1" operator="equal">
      <formula>"Napkin Hs"</formula>
    </cfRule>
    <cfRule type="cellIs" dxfId="34107" priority="6858" stopIfTrue="1" operator="equal">
      <formula>"Towel"</formula>
    </cfRule>
    <cfRule type="cellIs" dxfId="34106" priority="6859" stopIfTrue="1" operator="equal">
      <formula>"Napkin Hs"</formula>
    </cfRule>
    <cfRule type="cellIs" dxfId="34105" priority="6864" stopIfTrue="1" operator="equal">
      <formula>"Towel"</formula>
    </cfRule>
    <cfRule type="cellIs" dxfId="34104" priority="6865" stopIfTrue="1" operator="equal">
      <formula>"Napkin Hs"</formula>
    </cfRule>
    <cfRule type="cellIs" dxfId="34103" priority="6870" stopIfTrue="1" operator="equal">
      <formula>"Towel"</formula>
    </cfRule>
    <cfRule type="cellIs" dxfId="34102" priority="6871" stopIfTrue="1" operator="equal">
      <formula>"Napkin Hs"</formula>
    </cfRule>
    <cfRule type="cellIs" dxfId="34101" priority="6876" stopIfTrue="1" operator="equal">
      <formula>"Towel"</formula>
    </cfRule>
    <cfRule type="cellIs" dxfId="34100" priority="6877" stopIfTrue="1" operator="equal">
      <formula>"Napkin Hs"</formula>
    </cfRule>
    <cfRule type="cellIs" dxfId="34099" priority="6882" stopIfTrue="1" operator="equal">
      <formula>"Towel"</formula>
    </cfRule>
    <cfRule type="cellIs" dxfId="34098" priority="6883" stopIfTrue="1" operator="equal">
      <formula>"Napkin Hs"</formula>
    </cfRule>
    <cfRule type="cellIs" dxfId="34097" priority="6888" stopIfTrue="1" operator="equal">
      <formula>"Towel"</formula>
    </cfRule>
    <cfRule type="cellIs" dxfId="34096" priority="6889" stopIfTrue="1" operator="equal">
      <formula>"Napkin Hs"</formula>
    </cfRule>
    <cfRule type="cellIs" dxfId="34095" priority="6894" stopIfTrue="1" operator="equal">
      <formula>"Towel"</formula>
    </cfRule>
    <cfRule type="cellIs" dxfId="34094" priority="6895" stopIfTrue="1" operator="equal">
      <formula>"Napkin Hs"</formula>
    </cfRule>
  </conditionalFormatting>
  <conditionalFormatting sqref="B87:C87">
    <cfRule type="cellIs" dxfId="34093" priority="4908" stopIfTrue="1" operator="equal">
      <formula>"Towel"</formula>
    </cfRule>
    <cfRule type="cellIs" dxfId="34092" priority="4909" stopIfTrue="1" operator="equal">
      <formula>"Napkin Hs"</formula>
    </cfRule>
    <cfRule type="cellIs" dxfId="34091" priority="6898" stopIfTrue="1" operator="equal">
      <formula>"Towel"</formula>
    </cfRule>
    <cfRule type="cellIs" dxfId="34090" priority="6899" stopIfTrue="1" operator="equal">
      <formula>"Napkin Hs"</formula>
    </cfRule>
    <cfRule type="cellIs" dxfId="34089" priority="6904" stopIfTrue="1" operator="equal">
      <formula>"Towel"</formula>
    </cfRule>
    <cfRule type="cellIs" dxfId="34088" priority="6905" stopIfTrue="1" operator="equal">
      <formula>"Napkin Hs"</formula>
    </cfRule>
    <cfRule type="cellIs" dxfId="34087" priority="6910" stopIfTrue="1" operator="equal">
      <formula>"Towel"</formula>
    </cfRule>
    <cfRule type="cellIs" dxfId="34086" priority="6911" stopIfTrue="1" operator="equal">
      <formula>"Napkin Hs"</formula>
    </cfRule>
    <cfRule type="cellIs" dxfId="34085" priority="6916" stopIfTrue="1" operator="equal">
      <formula>"Towel"</formula>
    </cfRule>
    <cfRule type="cellIs" dxfId="34084" priority="6917" stopIfTrue="1" operator="equal">
      <formula>"Napkin Hs"</formula>
    </cfRule>
    <cfRule type="cellIs" dxfId="34083" priority="6922" stopIfTrue="1" operator="equal">
      <formula>"Towel"</formula>
    </cfRule>
    <cfRule type="cellIs" dxfId="34082" priority="6923" stopIfTrue="1" operator="equal">
      <formula>"Napkin Hs"</formula>
    </cfRule>
    <cfRule type="cellIs" dxfId="34081" priority="6928" stopIfTrue="1" operator="equal">
      <formula>"Towel"</formula>
    </cfRule>
    <cfRule type="cellIs" dxfId="34080" priority="6929" stopIfTrue="1" operator="equal">
      <formula>"Napkin Hs"</formula>
    </cfRule>
  </conditionalFormatting>
  <conditionalFormatting sqref="B88:C88">
    <cfRule type="cellIs" dxfId="34079" priority="4902" stopIfTrue="1" operator="equal">
      <formula>"Towel"</formula>
    </cfRule>
    <cfRule type="cellIs" dxfId="34078" priority="4903" stopIfTrue="1" operator="equal">
      <formula>"Napkin Hs"</formula>
    </cfRule>
    <cfRule type="cellIs" dxfId="34077" priority="6932" stopIfTrue="1" operator="equal">
      <formula>"Towel"</formula>
    </cfRule>
    <cfRule type="cellIs" dxfId="34076" priority="6933" stopIfTrue="1" operator="equal">
      <formula>"Napkin Hs"</formula>
    </cfRule>
  </conditionalFormatting>
  <conditionalFormatting sqref="B89:C89">
    <cfRule type="cellIs" dxfId="34075" priority="4392" stopIfTrue="1" operator="equal">
      <formula>"Towel"</formula>
    </cfRule>
    <cfRule type="cellIs" dxfId="34074" priority="4393" stopIfTrue="1" operator="equal">
      <formula>"Napkin Hs"</formula>
    </cfRule>
    <cfRule type="cellIs" dxfId="34073" priority="4398" stopIfTrue="1" operator="equal">
      <formula>"Towel"</formula>
    </cfRule>
    <cfRule type="cellIs" dxfId="34072" priority="4399" stopIfTrue="1" operator="equal">
      <formula>"Napkin Hs"</formula>
    </cfRule>
    <cfRule type="cellIs" dxfId="34071" priority="4404" stopIfTrue="1" operator="equal">
      <formula>"Towel"</formula>
    </cfRule>
    <cfRule type="cellIs" dxfId="34070" priority="4405" stopIfTrue="1" operator="equal">
      <formula>"Napkin Hs"</formula>
    </cfRule>
    <cfRule type="cellIs" dxfId="34069" priority="4410" stopIfTrue="1" operator="equal">
      <formula>"Towel"</formula>
    </cfRule>
    <cfRule type="cellIs" dxfId="34068" priority="4411" stopIfTrue="1" operator="equal">
      <formula>"Napkin Hs"</formula>
    </cfRule>
    <cfRule type="cellIs" dxfId="34067" priority="4416" stopIfTrue="1" operator="equal">
      <formula>"Towel"</formula>
    </cfRule>
    <cfRule type="cellIs" dxfId="34066" priority="4417" stopIfTrue="1" operator="equal">
      <formula>"Napkin Hs"</formula>
    </cfRule>
    <cfRule type="cellIs" dxfId="34065" priority="4422" stopIfTrue="1" operator="equal">
      <formula>"Towel"</formula>
    </cfRule>
    <cfRule type="cellIs" dxfId="34064" priority="4423" stopIfTrue="1" operator="equal">
      <formula>"Napkin Hs"</formula>
    </cfRule>
    <cfRule type="cellIs" dxfId="34063" priority="4426" stopIfTrue="1" operator="equal">
      <formula>"Towel"</formula>
    </cfRule>
    <cfRule type="cellIs" dxfId="34062" priority="4427" stopIfTrue="1" operator="equal">
      <formula>"Napkin Hs"</formula>
    </cfRule>
    <cfRule type="cellIs" dxfId="34061" priority="4432" stopIfTrue="1" operator="equal">
      <formula>"Towel"</formula>
    </cfRule>
    <cfRule type="cellIs" dxfId="34060" priority="4433" stopIfTrue="1" operator="equal">
      <formula>"Napkin Hs"</formula>
    </cfRule>
    <cfRule type="cellIs" dxfId="34059" priority="4438" stopIfTrue="1" operator="equal">
      <formula>"Towel"</formula>
    </cfRule>
    <cfRule type="cellIs" dxfId="34058" priority="4439" stopIfTrue="1" operator="equal">
      <formula>"Napkin Hs"</formula>
    </cfRule>
    <cfRule type="cellIs" dxfId="34057" priority="4444" stopIfTrue="1" operator="equal">
      <formula>"Towel"</formula>
    </cfRule>
    <cfRule type="cellIs" dxfId="34056" priority="4445" stopIfTrue="1" operator="equal">
      <formula>"Napkin Hs"</formula>
    </cfRule>
    <cfRule type="cellIs" dxfId="34055" priority="4450" stopIfTrue="1" operator="equal">
      <formula>"Towel"</formula>
    </cfRule>
    <cfRule type="cellIs" dxfId="34054" priority="4451" stopIfTrue="1" operator="equal">
      <formula>"Napkin Hs"</formula>
    </cfRule>
    <cfRule type="cellIs" dxfId="34053" priority="4456" stopIfTrue="1" operator="equal">
      <formula>"Towel"</formula>
    </cfRule>
    <cfRule type="cellIs" dxfId="34052" priority="4457" stopIfTrue="1" operator="equal">
      <formula>"Napkin Hs"</formula>
    </cfRule>
    <cfRule type="cellIs" dxfId="34051" priority="4462" stopIfTrue="1" operator="equal">
      <formula>"Towel"</formula>
    </cfRule>
    <cfRule type="cellIs" dxfId="34050" priority="4463" stopIfTrue="1" operator="equal">
      <formula>"Napkin Hs"</formula>
    </cfRule>
    <cfRule type="cellIs" dxfId="34049" priority="4466" stopIfTrue="1" operator="equal">
      <formula>"Towel"</formula>
    </cfRule>
    <cfRule type="cellIs" dxfId="34048" priority="4467" stopIfTrue="1" operator="equal">
      <formula>"Napkin Hs"</formula>
    </cfRule>
  </conditionalFormatting>
  <conditionalFormatting sqref="B90:C90">
    <cfRule type="cellIs" dxfId="34047" priority="4310" stopIfTrue="1" operator="equal">
      <formula>"Towel"</formula>
    </cfRule>
    <cfRule type="cellIs" dxfId="34046" priority="4311" stopIfTrue="1" operator="equal">
      <formula>"Napkin Hs"</formula>
    </cfRule>
    <cfRule type="cellIs" dxfId="34045" priority="4316" stopIfTrue="1" operator="equal">
      <formula>"Towel"</formula>
    </cfRule>
    <cfRule type="cellIs" dxfId="34044" priority="4317" stopIfTrue="1" operator="equal">
      <formula>"Napkin Hs"</formula>
    </cfRule>
    <cfRule type="cellIs" dxfId="34043" priority="4322" stopIfTrue="1" operator="equal">
      <formula>"Towel"</formula>
    </cfRule>
    <cfRule type="cellIs" dxfId="34042" priority="4323" stopIfTrue="1" operator="equal">
      <formula>"Napkin Hs"</formula>
    </cfRule>
    <cfRule type="cellIs" dxfId="34041" priority="4328" stopIfTrue="1" operator="equal">
      <formula>"Towel"</formula>
    </cfRule>
    <cfRule type="cellIs" dxfId="34040" priority="4329" stopIfTrue="1" operator="equal">
      <formula>"Napkin Hs"</formula>
    </cfRule>
    <cfRule type="cellIs" dxfId="34039" priority="4334" stopIfTrue="1" operator="equal">
      <formula>"Towel"</formula>
    </cfRule>
    <cfRule type="cellIs" dxfId="34038" priority="4335" stopIfTrue="1" operator="equal">
      <formula>"Napkin Hs"</formula>
    </cfRule>
    <cfRule type="cellIs" dxfId="34037" priority="4340" stopIfTrue="1" operator="equal">
      <formula>"Towel"</formula>
    </cfRule>
    <cfRule type="cellIs" dxfId="34036" priority="4341" stopIfTrue="1" operator="equal">
      <formula>"Napkin Hs"</formula>
    </cfRule>
    <cfRule type="cellIs" dxfId="34035" priority="4344" stopIfTrue="1" operator="equal">
      <formula>"Towel"</formula>
    </cfRule>
    <cfRule type="cellIs" dxfId="34034" priority="4345" stopIfTrue="1" operator="equal">
      <formula>"Napkin Hs"</formula>
    </cfRule>
    <cfRule type="cellIs" dxfId="34033" priority="4352" stopIfTrue="1" operator="equal">
      <formula>"Towel"</formula>
    </cfRule>
    <cfRule type="cellIs" dxfId="34032" priority="4353" stopIfTrue="1" operator="equal">
      <formula>"Napkin Hs"</formula>
    </cfRule>
    <cfRule type="cellIs" dxfId="34031" priority="4358" stopIfTrue="1" operator="equal">
      <formula>"Towel"</formula>
    </cfRule>
    <cfRule type="cellIs" dxfId="34030" priority="4359" stopIfTrue="1" operator="equal">
      <formula>"Napkin Hs"</formula>
    </cfRule>
    <cfRule type="cellIs" dxfId="34029" priority="4364" stopIfTrue="1" operator="equal">
      <formula>"Towel"</formula>
    </cfRule>
    <cfRule type="cellIs" dxfId="34028" priority="4365" stopIfTrue="1" operator="equal">
      <formula>"Napkin Hs"</formula>
    </cfRule>
    <cfRule type="cellIs" dxfId="34027" priority="4370" stopIfTrue="1" operator="equal">
      <formula>"Towel"</formula>
    </cfRule>
    <cfRule type="cellIs" dxfId="34026" priority="4371" stopIfTrue="1" operator="equal">
      <formula>"Napkin Hs"</formula>
    </cfRule>
    <cfRule type="cellIs" dxfId="34025" priority="4376" stopIfTrue="1" operator="equal">
      <formula>"Towel"</formula>
    </cfRule>
    <cfRule type="cellIs" dxfId="34024" priority="4377" stopIfTrue="1" operator="equal">
      <formula>"Napkin Hs"</formula>
    </cfRule>
    <cfRule type="cellIs" dxfId="34023" priority="4382" stopIfTrue="1" operator="equal">
      <formula>"Towel"</formula>
    </cfRule>
    <cfRule type="cellIs" dxfId="34022" priority="4383" stopIfTrue="1" operator="equal">
      <formula>"Napkin Hs"</formula>
    </cfRule>
    <cfRule type="cellIs" dxfId="34021" priority="4388" stopIfTrue="1" operator="equal">
      <formula>"Towel"</formula>
    </cfRule>
    <cfRule type="cellIs" dxfId="34020" priority="4389" stopIfTrue="1" operator="equal">
      <formula>"Napkin Hs"</formula>
    </cfRule>
  </conditionalFormatting>
  <conditionalFormatting sqref="B91:C91">
    <cfRule type="cellIs" dxfId="34019" priority="4534" stopIfTrue="1" operator="equal">
      <formula>"Towel"</formula>
    </cfRule>
    <cfRule type="cellIs" dxfId="34018" priority="4535" stopIfTrue="1" operator="equal">
      <formula>"Napkin Hs"</formula>
    </cfRule>
    <cfRule type="cellIs" dxfId="34017" priority="4540" stopIfTrue="1" operator="equal">
      <formula>"Towel"</formula>
    </cfRule>
    <cfRule type="cellIs" dxfId="34016" priority="4541" stopIfTrue="1" operator="equal">
      <formula>"Napkin Hs"</formula>
    </cfRule>
    <cfRule type="cellIs" dxfId="34015" priority="4546" stopIfTrue="1" operator="equal">
      <formula>"Towel"</formula>
    </cfRule>
    <cfRule type="cellIs" dxfId="34014" priority="4547" stopIfTrue="1" operator="equal">
      <formula>"Napkin Hs"</formula>
    </cfRule>
    <cfRule type="cellIs" dxfId="34013" priority="4552" stopIfTrue="1" operator="equal">
      <formula>"Towel"</formula>
    </cfRule>
    <cfRule type="cellIs" dxfId="34012" priority="4553" stopIfTrue="1" operator="equal">
      <formula>"Napkin Hs"</formula>
    </cfRule>
    <cfRule type="cellIs" dxfId="34011" priority="4558" stopIfTrue="1" operator="equal">
      <formula>"Towel"</formula>
    </cfRule>
    <cfRule type="cellIs" dxfId="34010" priority="4559" stopIfTrue="1" operator="equal">
      <formula>"Napkin Hs"</formula>
    </cfRule>
    <cfRule type="cellIs" dxfId="34009" priority="4564" stopIfTrue="1" operator="equal">
      <formula>"Towel"</formula>
    </cfRule>
    <cfRule type="cellIs" dxfId="34008" priority="4565" stopIfTrue="1" operator="equal">
      <formula>"Napkin Hs"</formula>
    </cfRule>
    <cfRule type="cellIs" dxfId="34007" priority="4570" stopIfTrue="1" operator="equal">
      <formula>"Towel"</formula>
    </cfRule>
    <cfRule type="cellIs" dxfId="34006" priority="4571" stopIfTrue="1" operator="equal">
      <formula>"Napkin Hs"</formula>
    </cfRule>
    <cfRule type="cellIs" dxfId="34005" priority="4576" stopIfTrue="1" operator="equal">
      <formula>"Towel"</formula>
    </cfRule>
    <cfRule type="cellIs" dxfId="34004" priority="4577" stopIfTrue="1" operator="equal">
      <formula>"Napkin Hs"</formula>
    </cfRule>
  </conditionalFormatting>
  <conditionalFormatting sqref="B91:C92">
    <cfRule type="cellIs" dxfId="34003" priority="4472" stopIfTrue="1" operator="equal">
      <formula>"Towel"</formula>
    </cfRule>
    <cfRule type="cellIs" dxfId="34002" priority="4473" stopIfTrue="1" operator="equal">
      <formula>"Napkin Hs"</formula>
    </cfRule>
    <cfRule type="cellIs" dxfId="34001" priority="4488" stopIfTrue="1" operator="equal">
      <formula>"Towel"</formula>
    </cfRule>
    <cfRule type="cellIs" dxfId="34000" priority="4489" stopIfTrue="1" operator="equal">
      <formula>"Napkin Hs"</formula>
    </cfRule>
    <cfRule type="cellIs" dxfId="33999" priority="4494" stopIfTrue="1" operator="equal">
      <formula>"Towel"</formula>
    </cfRule>
    <cfRule type="cellIs" dxfId="33998" priority="4495" stopIfTrue="1" operator="equal">
      <formula>"Napkin Hs"</formula>
    </cfRule>
    <cfRule type="cellIs" dxfId="33997" priority="4500" stopIfTrue="1" operator="equal">
      <formula>"Towel"</formula>
    </cfRule>
    <cfRule type="cellIs" dxfId="33996" priority="4501" stopIfTrue="1" operator="equal">
      <formula>"Napkin Hs"</formula>
    </cfRule>
    <cfRule type="cellIs" dxfId="33995" priority="4506" stopIfTrue="1" operator="equal">
      <formula>"Towel"</formula>
    </cfRule>
    <cfRule type="cellIs" dxfId="33994" priority="4507" stopIfTrue="1" operator="equal">
      <formula>"Napkin Hs"</formula>
    </cfRule>
    <cfRule type="cellIs" dxfId="33993" priority="4512" stopIfTrue="1" operator="equal">
      <formula>"Towel"</formula>
    </cfRule>
    <cfRule type="cellIs" dxfId="33992" priority="4513" stopIfTrue="1" operator="equal">
      <formula>"Napkin Hs"</formula>
    </cfRule>
    <cfRule type="cellIs" dxfId="33991" priority="4518" stopIfTrue="1" operator="equal">
      <formula>"Towel"</formula>
    </cfRule>
    <cfRule type="cellIs" dxfId="33990" priority="4519" stopIfTrue="1" operator="equal">
      <formula>"Napkin Hs"</formula>
    </cfRule>
    <cfRule type="cellIs" dxfId="33989" priority="4524" stopIfTrue="1" operator="equal">
      <formula>"Towel"</formula>
    </cfRule>
    <cfRule type="cellIs" dxfId="33988" priority="4525" stopIfTrue="1" operator="equal">
      <formula>"Napkin Hs"</formula>
    </cfRule>
  </conditionalFormatting>
  <conditionalFormatting sqref="B92:C92">
    <cfRule type="cellIs" dxfId="33987" priority="4580" stopIfTrue="1" operator="equal">
      <formula>"Towel"</formula>
    </cfRule>
    <cfRule type="cellIs" dxfId="33986" priority="4581" stopIfTrue="1" operator="equal">
      <formula>"Napkin Hs"</formula>
    </cfRule>
    <cfRule type="cellIs" dxfId="33985" priority="4586" stopIfTrue="1" operator="equal">
      <formula>"Towel"</formula>
    </cfRule>
    <cfRule type="cellIs" dxfId="33984" priority="4587" stopIfTrue="1" operator="equal">
      <formula>"Napkin Hs"</formula>
    </cfRule>
    <cfRule type="cellIs" dxfId="33983" priority="4592" stopIfTrue="1" operator="equal">
      <formula>"Towel"</formula>
    </cfRule>
    <cfRule type="cellIs" dxfId="33982" priority="4593" stopIfTrue="1" operator="equal">
      <formula>"Napkin Hs"</formula>
    </cfRule>
    <cfRule type="cellIs" dxfId="33981" priority="4598" stopIfTrue="1" operator="equal">
      <formula>"Towel"</formula>
    </cfRule>
    <cfRule type="cellIs" dxfId="33980" priority="4599" stopIfTrue="1" operator="equal">
      <formula>"Napkin Hs"</formula>
    </cfRule>
    <cfRule type="cellIs" dxfId="33979" priority="4604" stopIfTrue="1" operator="equal">
      <formula>"Towel"</formula>
    </cfRule>
    <cfRule type="cellIs" dxfId="33978" priority="4605" stopIfTrue="1" operator="equal">
      <formula>"Napkin Hs"</formula>
    </cfRule>
    <cfRule type="cellIs" dxfId="33977" priority="4610" stopIfTrue="1" operator="equal">
      <formula>"Towel"</formula>
    </cfRule>
    <cfRule type="cellIs" dxfId="33976" priority="4611" stopIfTrue="1" operator="equal">
      <formula>"Napkin Hs"</formula>
    </cfRule>
    <cfRule type="cellIs" dxfId="33975" priority="4616" stopIfTrue="1" operator="equal">
      <formula>"Towel"</formula>
    </cfRule>
    <cfRule type="cellIs" dxfId="33974" priority="4617" stopIfTrue="1" operator="equal">
      <formula>"Napkin Hs"</formula>
    </cfRule>
    <cfRule type="cellIs" dxfId="33973" priority="4622" stopIfTrue="1" operator="equal">
      <formula>"Towel"</formula>
    </cfRule>
    <cfRule type="cellIs" dxfId="33972" priority="4623" stopIfTrue="1" operator="equal">
      <formula>"Napkin Hs"</formula>
    </cfRule>
  </conditionalFormatting>
  <conditionalFormatting sqref="B93:C93">
    <cfRule type="cellIs" dxfId="33971" priority="4528" stopIfTrue="1" operator="equal">
      <formula>"Towel"</formula>
    </cfRule>
    <cfRule type="cellIs" dxfId="33970" priority="4529" stopIfTrue="1" operator="equal">
      <formula>"Napkin Hs"</formula>
    </cfRule>
    <cfRule type="cellIs" dxfId="33969" priority="4626" stopIfTrue="1" operator="equal">
      <formula>"Towel"</formula>
    </cfRule>
    <cfRule type="cellIs" dxfId="33968" priority="4627" stopIfTrue="1" operator="equal">
      <formula>"Napkin Hs"</formula>
    </cfRule>
    <cfRule type="cellIs" dxfId="33967" priority="4632" stopIfTrue="1" operator="equal">
      <formula>"Towel"</formula>
    </cfRule>
    <cfRule type="cellIs" dxfId="33966" priority="4633" stopIfTrue="1" operator="equal">
      <formula>"Napkin Hs"</formula>
    </cfRule>
    <cfRule type="cellIs" dxfId="33965" priority="4638" stopIfTrue="1" operator="equal">
      <formula>"Towel"</formula>
    </cfRule>
    <cfRule type="cellIs" dxfId="33964" priority="4639" stopIfTrue="1" operator="equal">
      <formula>"Napkin Hs"</formula>
    </cfRule>
    <cfRule type="cellIs" dxfId="33963" priority="4644" stopIfTrue="1" operator="equal">
      <formula>"Towel"</formula>
    </cfRule>
    <cfRule type="cellIs" dxfId="33962" priority="4645" stopIfTrue="1" operator="equal">
      <formula>"Napkin Hs"</formula>
    </cfRule>
    <cfRule type="cellIs" dxfId="33961" priority="4650" stopIfTrue="1" operator="equal">
      <formula>"Towel"</formula>
    </cfRule>
    <cfRule type="cellIs" dxfId="33960" priority="4651" stopIfTrue="1" operator="equal">
      <formula>"Napkin Hs"</formula>
    </cfRule>
    <cfRule type="cellIs" dxfId="33959" priority="4656" stopIfTrue="1" operator="equal">
      <formula>"Towel"</formula>
    </cfRule>
    <cfRule type="cellIs" dxfId="33958" priority="4657" stopIfTrue="1" operator="equal">
      <formula>"Napkin Hs"</formula>
    </cfRule>
  </conditionalFormatting>
  <conditionalFormatting sqref="B94:C94">
    <cfRule type="cellIs" dxfId="33957" priority="6712" stopIfTrue="1" operator="equal">
      <formula>"Towel"</formula>
    </cfRule>
    <cfRule type="cellIs" dxfId="33956" priority="6713" stopIfTrue="1" operator="equal">
      <formula>"Napkin Hs"</formula>
    </cfRule>
    <cfRule type="cellIs" dxfId="33955" priority="6718" stopIfTrue="1" operator="equal">
      <formula>"Towel"</formula>
    </cfRule>
    <cfRule type="cellIs" dxfId="33954" priority="6719" stopIfTrue="1" operator="equal">
      <formula>"Napkin Hs"</formula>
    </cfRule>
    <cfRule type="cellIs" dxfId="33953" priority="6724" stopIfTrue="1" operator="equal">
      <formula>"Towel"</formula>
    </cfRule>
    <cfRule type="cellIs" dxfId="33952" priority="6725" stopIfTrue="1" operator="equal">
      <formula>"Napkin Hs"</formula>
    </cfRule>
    <cfRule type="cellIs" dxfId="33951" priority="6730" stopIfTrue="1" operator="equal">
      <formula>"Towel"</formula>
    </cfRule>
    <cfRule type="cellIs" dxfId="33950" priority="6731" stopIfTrue="1" operator="equal">
      <formula>"Napkin Hs"</formula>
    </cfRule>
    <cfRule type="cellIs" dxfId="33949" priority="6736" stopIfTrue="1" operator="equal">
      <formula>"Towel"</formula>
    </cfRule>
    <cfRule type="cellIs" dxfId="33948" priority="6737" stopIfTrue="1" operator="equal">
      <formula>"Napkin Hs"</formula>
    </cfRule>
    <cfRule type="cellIs" dxfId="33947" priority="6742" stopIfTrue="1" operator="equal">
      <formula>"Towel"</formula>
    </cfRule>
    <cfRule type="cellIs" dxfId="33946" priority="6743" stopIfTrue="1" operator="equal">
      <formula>"Napkin Hs"</formula>
    </cfRule>
    <cfRule type="cellIs" dxfId="33945" priority="6748" stopIfTrue="1" operator="equal">
      <formula>"Towel"</formula>
    </cfRule>
    <cfRule type="cellIs" dxfId="33944" priority="6749" stopIfTrue="1" operator="equal">
      <formula>"Napkin Hs"</formula>
    </cfRule>
    <cfRule type="cellIs" dxfId="33943" priority="6754" stopIfTrue="1" operator="equal">
      <formula>"Towel"</formula>
    </cfRule>
    <cfRule type="cellIs" dxfId="33942" priority="6755" stopIfTrue="1" operator="equal">
      <formula>"Napkin Hs"</formula>
    </cfRule>
  </conditionalFormatting>
  <conditionalFormatting sqref="B95:C95">
    <cfRule type="cellIs" dxfId="33941" priority="6758" stopIfTrue="1" operator="equal">
      <formula>"Towel"</formula>
    </cfRule>
    <cfRule type="cellIs" dxfId="33940" priority="6759" stopIfTrue="1" operator="equal">
      <formula>"Napkin Hs"</formula>
    </cfRule>
    <cfRule type="cellIs" dxfId="33939" priority="6764" stopIfTrue="1" operator="equal">
      <formula>"Towel"</formula>
    </cfRule>
    <cfRule type="cellIs" dxfId="33938" priority="6765" stopIfTrue="1" operator="equal">
      <formula>"Napkin Hs"</formula>
    </cfRule>
    <cfRule type="cellIs" dxfId="33937" priority="6770" stopIfTrue="1" operator="equal">
      <formula>"Towel"</formula>
    </cfRule>
    <cfRule type="cellIs" dxfId="33936" priority="6771" stopIfTrue="1" operator="equal">
      <formula>"Napkin Hs"</formula>
    </cfRule>
    <cfRule type="cellIs" dxfId="33935" priority="6776" stopIfTrue="1" operator="equal">
      <formula>"Towel"</formula>
    </cfRule>
    <cfRule type="cellIs" dxfId="33934" priority="6777" stopIfTrue="1" operator="equal">
      <formula>"Napkin Hs"</formula>
    </cfRule>
    <cfRule type="cellIs" dxfId="33933" priority="6782" stopIfTrue="1" operator="equal">
      <formula>"Towel"</formula>
    </cfRule>
    <cfRule type="cellIs" dxfId="33932" priority="6783" stopIfTrue="1" operator="equal">
      <formula>"Napkin Hs"</formula>
    </cfRule>
    <cfRule type="cellIs" dxfId="33931" priority="6788" stopIfTrue="1" operator="equal">
      <formula>"Towel"</formula>
    </cfRule>
    <cfRule type="cellIs" dxfId="33930" priority="6789" stopIfTrue="1" operator="equal">
      <formula>"Napkin Hs"</formula>
    </cfRule>
    <cfRule type="cellIs" dxfId="33929" priority="6794" stopIfTrue="1" operator="equal">
      <formula>"Towel"</formula>
    </cfRule>
    <cfRule type="cellIs" dxfId="33928" priority="6795" stopIfTrue="1" operator="equal">
      <formula>"Napkin Hs"</formula>
    </cfRule>
    <cfRule type="cellIs" dxfId="33927" priority="6800" stopIfTrue="1" operator="equal">
      <formula>"Towel"</formula>
    </cfRule>
    <cfRule type="cellIs" dxfId="33926" priority="6801" stopIfTrue="1" operator="equal">
      <formula>"Napkin Hs"</formula>
    </cfRule>
  </conditionalFormatting>
  <conditionalFormatting sqref="B96:C96">
    <cfRule type="cellIs" dxfId="33925" priority="3994" stopIfTrue="1" operator="equal">
      <formula>"Towel"</formula>
    </cfRule>
    <cfRule type="cellIs" dxfId="33924" priority="3995" stopIfTrue="1" operator="equal">
      <formula>"Napkin Hs"</formula>
    </cfRule>
    <cfRule type="cellIs" dxfId="33923" priority="4000" stopIfTrue="1" operator="equal">
      <formula>"Towel"</formula>
    </cfRule>
    <cfRule type="cellIs" dxfId="33922" priority="4001" stopIfTrue="1" operator="equal">
      <formula>"Napkin Hs"</formula>
    </cfRule>
    <cfRule type="cellIs" dxfId="33921" priority="4006" stopIfTrue="1" operator="equal">
      <formula>"Towel"</formula>
    </cfRule>
    <cfRule type="cellIs" dxfId="33920" priority="4007" stopIfTrue="1" operator="equal">
      <formula>"Napkin Hs"</formula>
    </cfRule>
    <cfRule type="cellIs" dxfId="33919" priority="4012" stopIfTrue="1" operator="equal">
      <formula>"Towel"</formula>
    </cfRule>
    <cfRule type="cellIs" dxfId="33918" priority="4013" stopIfTrue="1" operator="equal">
      <formula>"Napkin Hs"</formula>
    </cfRule>
    <cfRule type="cellIs" dxfId="33917" priority="4018" stopIfTrue="1" operator="equal">
      <formula>"Towel"</formula>
    </cfRule>
    <cfRule type="cellIs" dxfId="33916" priority="4019" stopIfTrue="1" operator="equal">
      <formula>"Napkin Hs"</formula>
    </cfRule>
    <cfRule type="cellIs" dxfId="33915" priority="4024" stopIfTrue="1" operator="equal">
      <formula>"Towel"</formula>
    </cfRule>
    <cfRule type="cellIs" dxfId="33914" priority="4025" stopIfTrue="1" operator="equal">
      <formula>"Napkin Hs"</formula>
    </cfRule>
    <cfRule type="cellIs" dxfId="33913" priority="4028" stopIfTrue="1" operator="equal">
      <formula>"Towel"</formula>
    </cfRule>
    <cfRule type="cellIs" dxfId="33912" priority="4029" stopIfTrue="1" operator="equal">
      <formula>"Napkin Hs"</formula>
    </cfRule>
    <cfRule type="cellIs" dxfId="33911" priority="4036" stopIfTrue="1" operator="equal">
      <formula>"Towel"</formula>
    </cfRule>
    <cfRule type="cellIs" dxfId="33910" priority="4037" stopIfTrue="1" operator="equal">
      <formula>"Napkin Hs"</formula>
    </cfRule>
    <cfRule type="cellIs" dxfId="33909" priority="4042" stopIfTrue="1" operator="equal">
      <formula>"Towel"</formula>
    </cfRule>
    <cfRule type="cellIs" dxfId="33908" priority="4043" stopIfTrue="1" operator="equal">
      <formula>"Napkin Hs"</formula>
    </cfRule>
    <cfRule type="cellIs" dxfId="33907" priority="4048" stopIfTrue="1" operator="equal">
      <formula>"Towel"</formula>
    </cfRule>
    <cfRule type="cellIs" dxfId="33906" priority="4049" stopIfTrue="1" operator="equal">
      <formula>"Napkin Hs"</formula>
    </cfRule>
    <cfRule type="cellIs" dxfId="33905" priority="4054" stopIfTrue="1" operator="equal">
      <formula>"Towel"</formula>
    </cfRule>
    <cfRule type="cellIs" dxfId="33904" priority="4055" stopIfTrue="1" operator="equal">
      <formula>"Napkin Hs"</formula>
    </cfRule>
    <cfRule type="cellIs" dxfId="33903" priority="4060" stopIfTrue="1" operator="equal">
      <formula>"Towel"</formula>
    </cfRule>
    <cfRule type="cellIs" dxfId="33902" priority="4061" stopIfTrue="1" operator="equal">
      <formula>"Napkin Hs"</formula>
    </cfRule>
    <cfRule type="cellIs" dxfId="33901" priority="4066" stopIfTrue="1" operator="equal">
      <formula>"Towel"</formula>
    </cfRule>
    <cfRule type="cellIs" dxfId="33900" priority="4067" stopIfTrue="1" operator="equal">
      <formula>"Napkin Hs"</formula>
    </cfRule>
    <cfRule type="cellIs" dxfId="33899" priority="4072" stopIfTrue="1" operator="equal">
      <formula>"Towel"</formula>
    </cfRule>
    <cfRule type="cellIs" dxfId="33898" priority="4073" stopIfTrue="1" operator="equal">
      <formula>"Napkin Hs"</formula>
    </cfRule>
  </conditionalFormatting>
  <conditionalFormatting sqref="B97:C97">
    <cfRule type="cellIs" dxfId="33897" priority="4076" stopIfTrue="1" operator="equal">
      <formula>"Towel"</formula>
    </cfRule>
    <cfRule type="cellIs" dxfId="33896" priority="4077" stopIfTrue="1" operator="equal">
      <formula>"Napkin Hs"</formula>
    </cfRule>
    <cfRule type="cellIs" dxfId="33895" priority="4082" stopIfTrue="1" operator="equal">
      <formula>"Towel"</formula>
    </cfRule>
    <cfRule type="cellIs" dxfId="33894" priority="4083" stopIfTrue="1" operator="equal">
      <formula>"Napkin Hs"</formula>
    </cfRule>
    <cfRule type="cellIs" dxfId="33893" priority="4088" stopIfTrue="1" operator="equal">
      <formula>"Towel"</formula>
    </cfRule>
    <cfRule type="cellIs" dxfId="33892" priority="4089" stopIfTrue="1" operator="equal">
      <formula>"Napkin Hs"</formula>
    </cfRule>
    <cfRule type="cellIs" dxfId="33891" priority="4094" stopIfTrue="1" operator="equal">
      <formula>"Towel"</formula>
    </cfRule>
    <cfRule type="cellIs" dxfId="33890" priority="4095" stopIfTrue="1" operator="equal">
      <formula>"Napkin Hs"</formula>
    </cfRule>
    <cfRule type="cellIs" dxfId="33889" priority="4100" stopIfTrue="1" operator="equal">
      <formula>"Towel"</formula>
    </cfRule>
    <cfRule type="cellIs" dxfId="33888" priority="4101" stopIfTrue="1" operator="equal">
      <formula>"Napkin Hs"</formula>
    </cfRule>
    <cfRule type="cellIs" dxfId="33887" priority="4106" stopIfTrue="1" operator="equal">
      <formula>"Towel"</formula>
    </cfRule>
    <cfRule type="cellIs" dxfId="33886" priority="4107" stopIfTrue="1" operator="equal">
      <formula>"Napkin Hs"</formula>
    </cfRule>
    <cfRule type="cellIs" dxfId="33885" priority="4110" stopIfTrue="1" operator="equal">
      <formula>"Towel"</formula>
    </cfRule>
    <cfRule type="cellIs" dxfId="33884" priority="4111" stopIfTrue="1" operator="equal">
      <formula>"Napkin Hs"</formula>
    </cfRule>
    <cfRule type="cellIs" dxfId="33883" priority="4118" stopIfTrue="1" operator="equal">
      <formula>"Towel"</formula>
    </cfRule>
    <cfRule type="cellIs" dxfId="33882" priority="4119" stopIfTrue="1" operator="equal">
      <formula>"Napkin Hs"</formula>
    </cfRule>
    <cfRule type="cellIs" dxfId="33881" priority="4124" stopIfTrue="1" operator="equal">
      <formula>"Towel"</formula>
    </cfRule>
    <cfRule type="cellIs" dxfId="33880" priority="4125" stopIfTrue="1" operator="equal">
      <formula>"Napkin Hs"</formula>
    </cfRule>
    <cfRule type="cellIs" dxfId="33879" priority="4130" stopIfTrue="1" operator="equal">
      <formula>"Towel"</formula>
    </cfRule>
    <cfRule type="cellIs" dxfId="33878" priority="4131" stopIfTrue="1" operator="equal">
      <formula>"Napkin Hs"</formula>
    </cfRule>
    <cfRule type="cellIs" dxfId="33877" priority="4136" stopIfTrue="1" operator="equal">
      <formula>"Towel"</formula>
    </cfRule>
    <cfRule type="cellIs" dxfId="33876" priority="4137" stopIfTrue="1" operator="equal">
      <formula>"Napkin Hs"</formula>
    </cfRule>
    <cfRule type="cellIs" dxfId="33875" priority="4142" stopIfTrue="1" operator="equal">
      <formula>"Towel"</formula>
    </cfRule>
    <cfRule type="cellIs" dxfId="33874" priority="4143" stopIfTrue="1" operator="equal">
      <formula>"Napkin Hs"</formula>
    </cfRule>
    <cfRule type="cellIs" dxfId="33873" priority="4148" stopIfTrue="1" operator="equal">
      <formula>"Towel"</formula>
    </cfRule>
    <cfRule type="cellIs" dxfId="33872" priority="4149" stopIfTrue="1" operator="equal">
      <formula>"Napkin Hs"</formula>
    </cfRule>
    <cfRule type="cellIs" dxfId="33871" priority="4154" stopIfTrue="1" operator="equal">
      <formula>"Towel"</formula>
    </cfRule>
    <cfRule type="cellIs" dxfId="33870" priority="4155" stopIfTrue="1" operator="equal">
      <formula>"Napkin Hs"</formula>
    </cfRule>
  </conditionalFormatting>
  <conditionalFormatting sqref="B98:C98">
    <cfRule type="cellIs" dxfId="33869" priority="4216" stopIfTrue="1" operator="equal">
      <formula>"Towel"</formula>
    </cfRule>
    <cfRule type="cellIs" dxfId="33868" priority="4217" stopIfTrue="1" operator="equal">
      <formula>"Napkin Hs"</formula>
    </cfRule>
    <cfRule type="cellIs" dxfId="33867" priority="4222" stopIfTrue="1" operator="equal">
      <formula>"Towel"</formula>
    </cfRule>
    <cfRule type="cellIs" dxfId="33866" priority="4223" stopIfTrue="1" operator="equal">
      <formula>"Napkin Hs"</formula>
    </cfRule>
    <cfRule type="cellIs" dxfId="33865" priority="4228" stopIfTrue="1" operator="equal">
      <formula>"Towel"</formula>
    </cfRule>
    <cfRule type="cellIs" dxfId="33864" priority="4229" stopIfTrue="1" operator="equal">
      <formula>"Napkin Hs"</formula>
    </cfRule>
    <cfRule type="cellIs" dxfId="33863" priority="4234" stopIfTrue="1" operator="equal">
      <formula>"Towel"</formula>
    </cfRule>
    <cfRule type="cellIs" dxfId="33862" priority="4235" stopIfTrue="1" operator="equal">
      <formula>"Napkin Hs"</formula>
    </cfRule>
    <cfRule type="cellIs" dxfId="33861" priority="4240" stopIfTrue="1" operator="equal">
      <formula>"Towel"</formula>
    </cfRule>
    <cfRule type="cellIs" dxfId="33860" priority="4241" stopIfTrue="1" operator="equal">
      <formula>"Napkin Hs"</formula>
    </cfRule>
    <cfRule type="cellIs" dxfId="33859" priority="4246" stopIfTrue="1" operator="equal">
      <formula>"Towel"</formula>
    </cfRule>
    <cfRule type="cellIs" dxfId="33858" priority="4247" stopIfTrue="1" operator="equal">
      <formula>"Napkin Hs"</formula>
    </cfRule>
    <cfRule type="cellIs" dxfId="33857" priority="4252" stopIfTrue="1" operator="equal">
      <formula>"Towel"</formula>
    </cfRule>
    <cfRule type="cellIs" dxfId="33856" priority="4253" stopIfTrue="1" operator="equal">
      <formula>"Napkin Hs"</formula>
    </cfRule>
    <cfRule type="cellIs" dxfId="33855" priority="4258" stopIfTrue="1" operator="equal">
      <formula>"Towel"</formula>
    </cfRule>
    <cfRule type="cellIs" dxfId="33854" priority="4259" stopIfTrue="1" operator="equal">
      <formula>"Napkin Hs"</formula>
    </cfRule>
  </conditionalFormatting>
  <conditionalFormatting sqref="B98:C99">
    <cfRule type="cellIs" dxfId="33853" priority="4158" stopIfTrue="1" operator="equal">
      <formula>"Towel"</formula>
    </cfRule>
    <cfRule type="cellIs" dxfId="33852" priority="4159" stopIfTrue="1" operator="equal">
      <formula>"Napkin Hs"</formula>
    </cfRule>
    <cfRule type="cellIs" dxfId="33851" priority="4174" stopIfTrue="1" operator="equal">
      <formula>"Towel"</formula>
    </cfRule>
    <cfRule type="cellIs" dxfId="33850" priority="4175" stopIfTrue="1" operator="equal">
      <formula>"Napkin Hs"</formula>
    </cfRule>
    <cfRule type="cellIs" dxfId="33849" priority="4180" stopIfTrue="1" operator="equal">
      <formula>"Towel"</formula>
    </cfRule>
    <cfRule type="cellIs" dxfId="33848" priority="4181" stopIfTrue="1" operator="equal">
      <formula>"Napkin Hs"</formula>
    </cfRule>
    <cfRule type="cellIs" dxfId="33847" priority="4186" stopIfTrue="1" operator="equal">
      <formula>"Towel"</formula>
    </cfRule>
    <cfRule type="cellIs" dxfId="33846" priority="4187" stopIfTrue="1" operator="equal">
      <formula>"Napkin Hs"</formula>
    </cfRule>
    <cfRule type="cellIs" dxfId="33845" priority="4192" stopIfTrue="1" operator="equal">
      <formula>"Towel"</formula>
    </cfRule>
    <cfRule type="cellIs" dxfId="33844" priority="4193" stopIfTrue="1" operator="equal">
      <formula>"Napkin Hs"</formula>
    </cfRule>
    <cfRule type="cellIs" dxfId="33843" priority="4198" stopIfTrue="1" operator="equal">
      <formula>"Towel"</formula>
    </cfRule>
    <cfRule type="cellIs" dxfId="33842" priority="4199" stopIfTrue="1" operator="equal">
      <formula>"Napkin Hs"</formula>
    </cfRule>
    <cfRule type="cellIs" dxfId="33841" priority="4204" stopIfTrue="1" operator="equal">
      <formula>"Towel"</formula>
    </cfRule>
    <cfRule type="cellIs" dxfId="33840" priority="4205" stopIfTrue="1" operator="equal">
      <formula>"Napkin Hs"</formula>
    </cfRule>
    <cfRule type="cellIs" dxfId="33839" priority="4210" stopIfTrue="1" operator="equal">
      <formula>"Towel"</formula>
    </cfRule>
    <cfRule type="cellIs" dxfId="33838" priority="4211" stopIfTrue="1" operator="equal">
      <formula>"Napkin Hs"</formula>
    </cfRule>
  </conditionalFormatting>
  <conditionalFormatting sqref="B99:C99">
    <cfRule type="cellIs" dxfId="33837" priority="4262" stopIfTrue="1" operator="equal">
      <formula>"Towel"</formula>
    </cfRule>
    <cfRule type="cellIs" dxfId="33836" priority="4263" stopIfTrue="1" operator="equal">
      <formula>"Napkin Hs"</formula>
    </cfRule>
    <cfRule type="cellIs" dxfId="33835" priority="4268" stopIfTrue="1" operator="equal">
      <formula>"Towel"</formula>
    </cfRule>
    <cfRule type="cellIs" dxfId="33834" priority="4269" stopIfTrue="1" operator="equal">
      <formula>"Napkin Hs"</formula>
    </cfRule>
    <cfRule type="cellIs" dxfId="33833" priority="4274" stopIfTrue="1" operator="equal">
      <formula>"Towel"</formula>
    </cfRule>
    <cfRule type="cellIs" dxfId="33832" priority="4275" stopIfTrue="1" operator="equal">
      <formula>"Napkin Hs"</formula>
    </cfRule>
    <cfRule type="cellIs" dxfId="33831" priority="4280" stopIfTrue="1" operator="equal">
      <formula>"Towel"</formula>
    </cfRule>
    <cfRule type="cellIs" dxfId="33830" priority="4281" stopIfTrue="1" operator="equal">
      <formula>"Napkin Hs"</formula>
    </cfRule>
    <cfRule type="cellIs" dxfId="33829" priority="4286" stopIfTrue="1" operator="equal">
      <formula>"Towel"</formula>
    </cfRule>
    <cfRule type="cellIs" dxfId="33828" priority="4287" stopIfTrue="1" operator="equal">
      <formula>"Napkin Hs"</formula>
    </cfRule>
    <cfRule type="cellIs" dxfId="33827" priority="4292" stopIfTrue="1" operator="equal">
      <formula>"Towel"</formula>
    </cfRule>
    <cfRule type="cellIs" dxfId="33826" priority="4293" stopIfTrue="1" operator="equal">
      <formula>"Napkin Hs"</formula>
    </cfRule>
    <cfRule type="cellIs" dxfId="33825" priority="4298" stopIfTrue="1" operator="equal">
      <formula>"Towel"</formula>
    </cfRule>
    <cfRule type="cellIs" dxfId="33824" priority="4299" stopIfTrue="1" operator="equal">
      <formula>"Napkin Hs"</formula>
    </cfRule>
    <cfRule type="cellIs" dxfId="33823" priority="4304" stopIfTrue="1" operator="equal">
      <formula>"Towel"</formula>
    </cfRule>
    <cfRule type="cellIs" dxfId="33822" priority="4305" stopIfTrue="1" operator="equal">
      <formula>"Napkin Hs"</formula>
    </cfRule>
  </conditionalFormatting>
  <conditionalFormatting sqref="B100:C100">
    <cfRule type="cellIs" dxfId="33821" priority="6660" stopIfTrue="1" operator="equal">
      <formula>"Towel"</formula>
    </cfRule>
    <cfRule type="cellIs" dxfId="33820" priority="6661" stopIfTrue="1" operator="equal">
      <formula>"Napkin Hs"</formula>
    </cfRule>
    <cfRule type="cellIs" dxfId="33819" priority="6666" stopIfTrue="1" operator="equal">
      <formula>"Towel"</formula>
    </cfRule>
    <cfRule type="cellIs" dxfId="33818" priority="6667" stopIfTrue="1" operator="equal">
      <formula>"Napkin Hs"</formula>
    </cfRule>
    <cfRule type="cellIs" dxfId="33817" priority="6672" stopIfTrue="1" operator="equal">
      <formula>"Towel"</formula>
    </cfRule>
    <cfRule type="cellIs" dxfId="33816" priority="6673" stopIfTrue="1" operator="equal">
      <formula>"Napkin Hs"</formula>
    </cfRule>
    <cfRule type="cellIs" dxfId="33815" priority="6678" stopIfTrue="1" operator="equal">
      <formula>"Towel"</formula>
    </cfRule>
    <cfRule type="cellIs" dxfId="33814" priority="6679" stopIfTrue="1" operator="equal">
      <formula>"Napkin Hs"</formula>
    </cfRule>
    <cfRule type="cellIs" dxfId="33813" priority="6684" stopIfTrue="1" operator="equal">
      <formula>"Towel"</formula>
    </cfRule>
    <cfRule type="cellIs" dxfId="33812" priority="6685" stopIfTrue="1" operator="equal">
      <formula>"Napkin Hs"</formula>
    </cfRule>
    <cfRule type="cellIs" dxfId="33811" priority="6690" stopIfTrue="1" operator="equal">
      <formula>"Towel"</formula>
    </cfRule>
    <cfRule type="cellIs" dxfId="33810" priority="6691" stopIfTrue="1" operator="equal">
      <formula>"Napkin Hs"</formula>
    </cfRule>
    <cfRule type="cellIs" dxfId="33809" priority="6696" stopIfTrue="1" operator="equal">
      <formula>"Towel"</formula>
    </cfRule>
    <cfRule type="cellIs" dxfId="33808" priority="6697" stopIfTrue="1" operator="equal">
      <formula>"Napkin Hs"</formula>
    </cfRule>
    <cfRule type="cellIs" dxfId="33807" priority="6702" stopIfTrue="1" operator="equal">
      <formula>"Towel"</formula>
    </cfRule>
    <cfRule type="cellIs" dxfId="33806" priority="6703" stopIfTrue="1" operator="equal">
      <formula>"Napkin Hs"</formula>
    </cfRule>
    <cfRule type="cellIs" dxfId="33805" priority="6709" stopIfTrue="1" operator="equal">
      <formula>"Napkin Hs"</formula>
    </cfRule>
  </conditionalFormatting>
  <conditionalFormatting sqref="B100:C100">
    <cfRule type="cellIs" dxfId="33804" priority="6708" stopIfTrue="1" operator="equal">
      <formula>"Towel"</formula>
    </cfRule>
  </conditionalFormatting>
  <conditionalFormatting sqref="B105">
    <cfRule type="cellIs" dxfId="33803" priority="6642" stopIfTrue="1" operator="equal">
      <formula>"Towel"</formula>
    </cfRule>
    <cfRule type="cellIs" dxfId="33802" priority="6643" stopIfTrue="1" operator="equal">
      <formula>"Napkin Hs"</formula>
    </cfRule>
    <cfRule type="cellIs" dxfId="33801" priority="6644" stopIfTrue="1" operator="equal">
      <formula>"Towel"</formula>
    </cfRule>
    <cfRule type="cellIs" dxfId="33800" priority="6645" stopIfTrue="1" operator="equal">
      <formula>"Napkin Hs"</formula>
    </cfRule>
    <cfRule type="cellIs" dxfId="33799" priority="6646" stopIfTrue="1" operator="equal">
      <formula>"Towel"</formula>
    </cfRule>
    <cfRule type="cellIs" dxfId="33798" priority="6647" stopIfTrue="1" operator="equal">
      <formula>"Napkin Hs"</formula>
    </cfRule>
    <cfRule type="cellIs" dxfId="33797" priority="6648" stopIfTrue="1" operator="equal">
      <formula>"Towel"</formula>
    </cfRule>
    <cfRule type="cellIs" dxfId="33796" priority="6649" stopIfTrue="1" operator="equal">
      <formula>"Napkin Hs"</formula>
    </cfRule>
    <cfRule type="cellIs" dxfId="33795" priority="6650" stopIfTrue="1" operator="equal">
      <formula>"Towel"</formula>
    </cfRule>
    <cfRule type="cellIs" dxfId="33794" priority="6651" stopIfTrue="1" operator="equal">
      <formula>"Napkin Hs"</formula>
    </cfRule>
    <cfRule type="cellIs" dxfId="33793" priority="6652" stopIfTrue="1" operator="equal">
      <formula>"Towel"</formula>
    </cfRule>
    <cfRule type="cellIs" dxfId="33792" priority="6653" stopIfTrue="1" operator="equal">
      <formula>"Napkin Hs"</formula>
    </cfRule>
    <cfRule type="cellIs" dxfId="33791" priority="6654" stopIfTrue="1" operator="equal">
      <formula>"Towel"</formula>
    </cfRule>
    <cfRule type="cellIs" dxfId="33790" priority="6655" stopIfTrue="1" operator="equal">
      <formula>"Napkin Hs"</formula>
    </cfRule>
    <cfRule type="cellIs" dxfId="33789" priority="6656" stopIfTrue="1" operator="equal">
      <formula>"Towel"</formula>
    </cfRule>
    <cfRule type="cellIs" dxfId="33788" priority="6657" stopIfTrue="1" operator="equal">
      <formula>"Napkin Hs"</formula>
    </cfRule>
  </conditionalFormatting>
  <conditionalFormatting sqref="B105:C106">
    <cfRule type="cellIs" dxfId="33787" priority="6634" stopIfTrue="1" operator="equal">
      <formula>"Towel"</formula>
    </cfRule>
    <cfRule type="cellIs" dxfId="33786" priority="6635" stopIfTrue="1" operator="equal">
      <formula>"Napkin Hs"</formula>
    </cfRule>
  </conditionalFormatting>
  <conditionalFormatting sqref="B107:C107">
    <cfRule type="cellIs" dxfId="33785" priority="7206" stopIfTrue="1" operator="equal">
      <formula>"Napkin Hs"</formula>
    </cfRule>
  </conditionalFormatting>
  <conditionalFormatting sqref="B108:C108 B115:C115">
    <cfRule type="cellIs" dxfId="33784" priority="6538" stopIfTrue="1" operator="equal">
      <formula>"Towel"</formula>
    </cfRule>
    <cfRule type="cellIs" dxfId="33783" priority="6539" stopIfTrue="1" operator="equal">
      <formula>"Napkin Hs"</formula>
    </cfRule>
    <cfRule type="cellIs" dxfId="33782" priority="6544" stopIfTrue="1" operator="equal">
      <formula>"Towel"</formula>
    </cfRule>
    <cfRule type="cellIs" dxfId="33781" priority="6545" stopIfTrue="1" operator="equal">
      <formula>"Napkin Hs"</formula>
    </cfRule>
    <cfRule type="cellIs" dxfId="33780" priority="6550" stopIfTrue="1" operator="equal">
      <formula>"Towel"</formula>
    </cfRule>
    <cfRule type="cellIs" dxfId="33779" priority="6551" stopIfTrue="1" operator="equal">
      <formula>"Napkin Hs"</formula>
    </cfRule>
    <cfRule type="cellIs" dxfId="33778" priority="6556" stopIfTrue="1" operator="equal">
      <formula>"Towel"</formula>
    </cfRule>
    <cfRule type="cellIs" dxfId="33777" priority="6557" stopIfTrue="1" operator="equal">
      <formula>"Napkin Hs"</formula>
    </cfRule>
    <cfRule type="cellIs" dxfId="33776" priority="6562" stopIfTrue="1" operator="equal">
      <formula>"Towel"</formula>
    </cfRule>
    <cfRule type="cellIs" dxfId="33775" priority="6563" stopIfTrue="1" operator="equal">
      <formula>"Napkin Hs"</formula>
    </cfRule>
    <cfRule type="cellIs" dxfId="33774" priority="6568" stopIfTrue="1" operator="equal">
      <formula>"Towel"</formula>
    </cfRule>
    <cfRule type="cellIs" dxfId="33773" priority="6569" stopIfTrue="1" operator="equal">
      <formula>"Napkin Hs"</formula>
    </cfRule>
    <cfRule type="cellIs" dxfId="33772" priority="6574" stopIfTrue="1" operator="equal">
      <formula>"Towel"</formula>
    </cfRule>
    <cfRule type="cellIs" dxfId="33771" priority="6575" stopIfTrue="1" operator="equal">
      <formula>"Napkin Hs"</formula>
    </cfRule>
    <cfRule type="cellIs" dxfId="33770" priority="6580" stopIfTrue="1" operator="equal">
      <formula>"Towel"</formula>
    </cfRule>
    <cfRule type="cellIs" dxfId="33769" priority="6581" stopIfTrue="1" operator="equal">
      <formula>"Napkin Hs"</formula>
    </cfRule>
    <cfRule type="cellIs" dxfId="33768" priority="6586" stopIfTrue="1" operator="equal">
      <formula>"Towel"</formula>
    </cfRule>
    <cfRule type="cellIs" dxfId="33767" priority="6587" stopIfTrue="1" operator="equal">
      <formula>"Napkin Hs"</formula>
    </cfRule>
  </conditionalFormatting>
  <conditionalFormatting sqref="B109:C110">
    <cfRule type="cellIs" dxfId="33766" priority="6486" stopIfTrue="1" operator="equal">
      <formula>"Towel"</formula>
    </cfRule>
    <cfRule type="cellIs" dxfId="33765" priority="6487" stopIfTrue="1" operator="equal">
      <formula>"Napkin Hs"</formula>
    </cfRule>
    <cfRule type="cellIs" dxfId="33764" priority="6492" stopIfTrue="1" operator="equal">
      <formula>"Towel"</formula>
    </cfRule>
    <cfRule type="cellIs" dxfId="33763" priority="6493" stopIfTrue="1" operator="equal">
      <formula>"Napkin Hs"</formula>
    </cfRule>
    <cfRule type="cellIs" dxfId="33762" priority="6498" stopIfTrue="1" operator="equal">
      <formula>"Towel"</formula>
    </cfRule>
    <cfRule type="cellIs" dxfId="33761" priority="6499" stopIfTrue="1" operator="equal">
      <formula>"Napkin Hs"</formula>
    </cfRule>
    <cfRule type="cellIs" dxfId="33760" priority="6504" stopIfTrue="1" operator="equal">
      <formula>"Towel"</formula>
    </cfRule>
    <cfRule type="cellIs" dxfId="33759" priority="6505" stopIfTrue="1" operator="equal">
      <formula>"Napkin Hs"</formula>
    </cfRule>
    <cfRule type="cellIs" dxfId="33758" priority="6510" stopIfTrue="1" operator="equal">
      <formula>"Towel"</formula>
    </cfRule>
    <cfRule type="cellIs" dxfId="33757" priority="6511" stopIfTrue="1" operator="equal">
      <formula>"Napkin Hs"</formula>
    </cfRule>
    <cfRule type="cellIs" dxfId="33756" priority="6516" stopIfTrue="1" operator="equal">
      <formula>"Towel"</formula>
    </cfRule>
    <cfRule type="cellIs" dxfId="33755" priority="6517" stopIfTrue="1" operator="equal">
      <formula>"Napkin Hs"</formula>
    </cfRule>
    <cfRule type="cellIs" dxfId="33754" priority="6522" stopIfTrue="1" operator="equal">
      <formula>"Towel"</formula>
    </cfRule>
    <cfRule type="cellIs" dxfId="33753" priority="6523" stopIfTrue="1" operator="equal">
      <formula>"Napkin Hs"</formula>
    </cfRule>
    <cfRule type="cellIs" dxfId="33752" priority="6528" stopIfTrue="1" operator="equal">
      <formula>"Towel"</formula>
    </cfRule>
    <cfRule type="cellIs" dxfId="33751" priority="6529" stopIfTrue="1" operator="equal">
      <formula>"Napkin Hs"</formula>
    </cfRule>
    <cfRule type="cellIs" dxfId="33750" priority="6534" stopIfTrue="1" operator="equal">
      <formula>"Towel"</formula>
    </cfRule>
    <cfRule type="cellIs" dxfId="33749" priority="6535" stopIfTrue="1" operator="equal">
      <formula>"Napkin Hs"</formula>
    </cfRule>
  </conditionalFormatting>
  <conditionalFormatting sqref="B125:C125">
    <cfRule type="cellIs" dxfId="33748" priority="6424" stopIfTrue="1" operator="equal">
      <formula>"Towel"</formula>
    </cfRule>
    <cfRule type="cellIs" dxfId="33747" priority="6425" stopIfTrue="1" operator="equal">
      <formula>"Napkin Hs"</formula>
    </cfRule>
    <cfRule type="cellIs" dxfId="33746" priority="6430" stopIfTrue="1" operator="equal">
      <formula>"Towel"</formula>
    </cfRule>
    <cfRule type="cellIs" dxfId="33745" priority="6431" stopIfTrue="1" operator="equal">
      <formula>"Napkin Hs"</formula>
    </cfRule>
    <cfRule type="cellIs" dxfId="33744" priority="6436" stopIfTrue="1" operator="equal">
      <formula>"Towel"</formula>
    </cfRule>
    <cfRule type="cellIs" dxfId="33743" priority="6437" stopIfTrue="1" operator="equal">
      <formula>"Napkin Hs"</formula>
    </cfRule>
    <cfRule type="cellIs" dxfId="33742" priority="6442" stopIfTrue="1" operator="equal">
      <formula>"Towel"</formula>
    </cfRule>
    <cfRule type="cellIs" dxfId="33741" priority="6443" stopIfTrue="1" operator="equal">
      <formula>"Napkin Hs"</formula>
    </cfRule>
    <cfRule type="cellIs" dxfId="33740" priority="6448" stopIfTrue="1" operator="equal">
      <formula>"Towel"</formula>
    </cfRule>
    <cfRule type="cellIs" dxfId="33739" priority="6449" stopIfTrue="1" operator="equal">
      <formula>"Napkin Hs"</formula>
    </cfRule>
    <cfRule type="cellIs" dxfId="33738" priority="6454" stopIfTrue="1" operator="equal">
      <formula>"Towel"</formula>
    </cfRule>
    <cfRule type="cellIs" dxfId="33737" priority="6455" stopIfTrue="1" operator="equal">
      <formula>"Napkin Hs"</formula>
    </cfRule>
    <cfRule type="cellIs" dxfId="33736" priority="6460" stopIfTrue="1" operator="equal">
      <formula>"Towel"</formula>
    </cfRule>
    <cfRule type="cellIs" dxfId="33735" priority="6461" stopIfTrue="1" operator="equal">
      <formula>"Napkin Hs"</formula>
    </cfRule>
    <cfRule type="cellIs" dxfId="33734" priority="6466" stopIfTrue="1" operator="equal">
      <formula>"Towel"</formula>
    </cfRule>
    <cfRule type="cellIs" dxfId="33733" priority="6467" stopIfTrue="1" operator="equal">
      <formula>"Napkin Hs"</formula>
    </cfRule>
    <cfRule type="cellIs" dxfId="33732" priority="6472" stopIfTrue="1" operator="equal">
      <formula>"Towel"</formula>
    </cfRule>
    <cfRule type="cellIs" dxfId="33731" priority="6473" stopIfTrue="1" operator="equal">
      <formula>"Napkin Hs"</formula>
    </cfRule>
    <cfRule type="cellIs" dxfId="33730" priority="6478" stopIfTrue="1" operator="equal">
      <formula>"Towel"</formula>
    </cfRule>
    <cfRule type="cellIs" dxfId="33729" priority="6479" stopIfTrue="1" operator="equal">
      <formula>"Napkin Hs"</formula>
    </cfRule>
  </conditionalFormatting>
  <conditionalFormatting sqref="B126:C126">
    <cfRule type="cellIs" dxfId="33728" priority="6420" stopIfTrue="1" operator="equal">
      <formula>"Towel"</formula>
    </cfRule>
    <cfRule type="cellIs" dxfId="33727" priority="6421" stopIfTrue="1" operator="equal">
      <formula>"Napkin Hs"</formula>
    </cfRule>
  </conditionalFormatting>
  <conditionalFormatting sqref="C6 C8:C9 C25:C26 C130 C134 C139 C143 C147 C151">
    <cfRule type="cellIs" dxfId="33726" priority="7235" stopIfTrue="1" operator="equal">
      <formula>"Napkin Hs"</formula>
    </cfRule>
  </conditionalFormatting>
  <conditionalFormatting sqref="C6:C7">
    <cfRule type="cellIs" dxfId="33725" priority="6408" stopIfTrue="1" operator="equal">
      <formula>"Towel"</formula>
    </cfRule>
    <cfRule type="cellIs" dxfId="33724" priority="6409" stopIfTrue="1" operator="equal">
      <formula>"Napkin Hs"</formula>
    </cfRule>
  </conditionalFormatting>
  <conditionalFormatting sqref="C7">
    <cfRule type="cellIs" dxfId="33723" priority="6406" stopIfTrue="1" operator="equal">
      <formula>"Towel"</formula>
    </cfRule>
    <cfRule type="cellIs" dxfId="33722" priority="6407" stopIfTrue="1" operator="equal">
      <formula>"Napkin Hs"</formula>
    </cfRule>
  </conditionalFormatting>
  <conditionalFormatting sqref="C8:C10">
    <cfRule type="cellIs" dxfId="33721" priority="7204" stopIfTrue="1" operator="equal">
      <formula>"Towel"</formula>
    </cfRule>
    <cfRule type="cellIs" dxfId="33720" priority="7205" stopIfTrue="1" operator="equal">
      <formula>"Napkin Hs"</formula>
    </cfRule>
  </conditionalFormatting>
  <conditionalFormatting sqref="C9">
    <cfRule type="cellIs" dxfId="33719" priority="6350" stopIfTrue="1" operator="equal">
      <formula>"Towel"</formula>
    </cfRule>
    <cfRule type="cellIs" dxfId="33718" priority="6351" stopIfTrue="1" operator="equal">
      <formula>"Napkin Hs"</formula>
    </cfRule>
    <cfRule type="cellIs" dxfId="33717" priority="6352" stopIfTrue="1" operator="equal">
      <formula>"Towel"</formula>
    </cfRule>
    <cfRule type="cellIs" dxfId="33716" priority="6353" stopIfTrue="1" operator="equal">
      <formula>"Napkin Hs"</formula>
    </cfRule>
  </conditionalFormatting>
  <conditionalFormatting sqref="C10">
    <cfRule type="cellIs" dxfId="33715" priority="7200" stopIfTrue="1" operator="equal">
      <formula>"Towel"</formula>
    </cfRule>
    <cfRule type="cellIs" dxfId="33714" priority="7201" stopIfTrue="1" operator="equal">
      <formula>"Napkin Hs"</formula>
    </cfRule>
    <cfRule type="cellIs" dxfId="33713" priority="7202" stopIfTrue="1" operator="equal">
      <formula>"Towel"</formula>
    </cfRule>
    <cfRule type="cellIs" dxfId="33712" priority="7203" stopIfTrue="1" operator="equal">
      <formula>"Napkin Hs"</formula>
    </cfRule>
  </conditionalFormatting>
  <conditionalFormatting sqref="C10:C11 B12:C14">
    <cfRule type="cellIs" dxfId="33711" priority="6368" stopIfTrue="1" operator="equal">
      <formula>"Towel"</formula>
    </cfRule>
    <cfRule type="cellIs" dxfId="33710" priority="6369" stopIfTrue="1" operator="equal">
      <formula>"Napkin Hs"</formula>
    </cfRule>
  </conditionalFormatting>
  <conditionalFormatting sqref="C10:C14">
    <cfRule type="cellIs" dxfId="33709" priority="6364" stopIfTrue="1" operator="equal">
      <formula>"Towel"</formula>
    </cfRule>
    <cfRule type="cellIs" dxfId="33708" priority="6365" stopIfTrue="1" operator="equal">
      <formula>"Napkin Hs"</formula>
    </cfRule>
    <cfRule type="cellIs" dxfId="33707" priority="6366" stopIfTrue="1" operator="equal">
      <formula>"Towel"</formula>
    </cfRule>
    <cfRule type="cellIs" dxfId="33706" priority="6367" stopIfTrue="1" operator="equal">
      <formula>"Napkin Hs"</formula>
    </cfRule>
  </conditionalFormatting>
  <conditionalFormatting sqref="C11">
    <cfRule type="cellIs" dxfId="33705" priority="6344" stopIfTrue="1" operator="equal">
      <formula>"Towel"</formula>
    </cfRule>
    <cfRule type="cellIs" dxfId="33704" priority="6345" stopIfTrue="1" operator="equal">
      <formula>"Napkin Hs"</formula>
    </cfRule>
    <cfRule type="cellIs" dxfId="33703" priority="6346" stopIfTrue="1" operator="equal">
      <formula>"Towel"</formula>
    </cfRule>
    <cfRule type="cellIs" dxfId="33702" priority="6347" stopIfTrue="1" operator="equal">
      <formula>"Napkin Hs"</formula>
    </cfRule>
  </conditionalFormatting>
  <conditionalFormatting sqref="C11:C12">
    <cfRule type="cellIs" dxfId="33701" priority="6348" stopIfTrue="1" operator="equal">
      <formula>"Towel"</formula>
    </cfRule>
    <cfRule type="cellIs" dxfId="33700" priority="6349" stopIfTrue="1" operator="equal">
      <formula>"Napkin Hs"</formula>
    </cfRule>
  </conditionalFormatting>
  <conditionalFormatting sqref="C12">
    <cfRule type="cellIs" dxfId="33699" priority="6360" stopIfTrue="1" operator="equal">
      <formula>"Towel"</formula>
    </cfRule>
    <cfRule type="cellIs" dxfId="33698" priority="6361" stopIfTrue="1" operator="equal">
      <formula>"Napkin Hs"</formula>
    </cfRule>
  </conditionalFormatting>
  <conditionalFormatting sqref="C14">
    <cfRule type="cellIs" dxfId="33697" priority="6356" stopIfTrue="1" operator="equal">
      <formula>"Towel"</formula>
    </cfRule>
    <cfRule type="cellIs" dxfId="33696" priority="6357" stopIfTrue="1" operator="equal">
      <formula>"Napkin Hs"</formula>
    </cfRule>
  </conditionalFormatting>
  <conditionalFormatting sqref="C14:C16">
    <cfRule type="cellIs" dxfId="33695" priority="6322" stopIfTrue="1" operator="equal">
      <formula>"Towel"</formula>
    </cfRule>
    <cfRule type="cellIs" dxfId="33694" priority="6323" stopIfTrue="1" operator="equal">
      <formula>"Napkin Hs"</formula>
    </cfRule>
  </conditionalFormatting>
  <conditionalFormatting sqref="C15">
    <cfRule type="cellIs" dxfId="33693" priority="6312" stopIfTrue="1" operator="equal">
      <formula>"Towel"</formula>
    </cfRule>
    <cfRule type="cellIs" dxfId="33692" priority="6313" stopIfTrue="1" operator="equal">
      <formula>"Napkin Hs"</formula>
    </cfRule>
    <cfRule type="cellIs" dxfId="33691" priority="6314" stopIfTrue="1" operator="equal">
      <formula>"Towel"</formula>
    </cfRule>
    <cfRule type="cellIs" dxfId="33690" priority="6315" stopIfTrue="1" operator="equal">
      <formula>"Napkin Hs"</formula>
    </cfRule>
    <cfRule type="cellIs" dxfId="33689" priority="6316" stopIfTrue="1" operator="equal">
      <formula>"Towel"</formula>
    </cfRule>
    <cfRule type="cellIs" dxfId="33688" priority="6317" stopIfTrue="1" operator="equal">
      <formula>"Napkin Hs"</formula>
    </cfRule>
    <cfRule type="cellIs" dxfId="33687" priority="6318" stopIfTrue="1" operator="equal">
      <formula>"Towel"</formula>
    </cfRule>
    <cfRule type="cellIs" dxfId="33686" priority="6319" stopIfTrue="1" operator="equal">
      <formula>"Napkin Hs"</formula>
    </cfRule>
    <cfRule type="cellIs" dxfId="33685" priority="6320" stopIfTrue="1" operator="equal">
      <formula>"Towel"</formula>
    </cfRule>
    <cfRule type="cellIs" dxfId="33684" priority="6321" stopIfTrue="1" operator="equal">
      <formula>"Napkin Hs"</formula>
    </cfRule>
  </conditionalFormatting>
  <conditionalFormatting sqref="C16 B17:C19">
    <cfRule type="cellIs" dxfId="33683" priority="6340" stopIfTrue="1" operator="equal">
      <formula>"Towel"</formula>
    </cfRule>
    <cfRule type="cellIs" dxfId="33682" priority="6341" stopIfTrue="1" operator="equal">
      <formula>"Napkin Hs"</formula>
    </cfRule>
  </conditionalFormatting>
  <conditionalFormatting sqref="C16">
    <cfRule type="cellIs" dxfId="33681" priority="6324" stopIfTrue="1" operator="equal">
      <formula>"Towel"</formula>
    </cfRule>
    <cfRule type="cellIs" dxfId="33680" priority="6325" stopIfTrue="1" operator="equal">
      <formula>"Napkin Hs"</formula>
    </cfRule>
  </conditionalFormatting>
  <conditionalFormatting sqref="C16:C17">
    <cfRule type="cellIs" dxfId="33679" priority="6326" stopIfTrue="1" operator="equal">
      <formula>"Towel"</formula>
    </cfRule>
    <cfRule type="cellIs" dxfId="33678" priority="6327" stopIfTrue="1" operator="equal">
      <formula>"Napkin Hs"</formula>
    </cfRule>
  </conditionalFormatting>
  <conditionalFormatting sqref="C16:C19">
    <cfRule type="cellIs" dxfId="33677" priority="6336" stopIfTrue="1" operator="equal">
      <formula>"Towel"</formula>
    </cfRule>
    <cfRule type="cellIs" dxfId="33676" priority="6337" stopIfTrue="1" operator="equal">
      <formula>"Napkin Hs"</formula>
    </cfRule>
    <cfRule type="cellIs" dxfId="33675" priority="6338" stopIfTrue="1" operator="equal">
      <formula>"Towel"</formula>
    </cfRule>
    <cfRule type="cellIs" dxfId="33674" priority="6339" stopIfTrue="1" operator="equal">
      <formula>"Napkin Hs"</formula>
    </cfRule>
  </conditionalFormatting>
  <conditionalFormatting sqref="C17">
    <cfRule type="cellIs" dxfId="33673" priority="6332" stopIfTrue="1" operator="equal">
      <formula>"Towel"</formula>
    </cfRule>
    <cfRule type="cellIs" dxfId="33672" priority="6333" stopIfTrue="1" operator="equal">
      <formula>"Napkin Hs"</formula>
    </cfRule>
  </conditionalFormatting>
  <conditionalFormatting sqref="C19">
    <cfRule type="cellIs" dxfId="33671" priority="6328" stopIfTrue="1" operator="equal">
      <formula>"Towel"</formula>
    </cfRule>
    <cfRule type="cellIs" dxfId="33670" priority="6329" stopIfTrue="1" operator="equal">
      <formula>"Napkin Hs"</formula>
    </cfRule>
  </conditionalFormatting>
  <conditionalFormatting sqref="C19:C25">
    <cfRule type="cellIs" dxfId="33669" priority="6292" stopIfTrue="1" operator="equal">
      <formula>"Towel"</formula>
    </cfRule>
    <cfRule type="cellIs" dxfId="33668" priority="6293" stopIfTrue="1" operator="equal">
      <formula>"Napkin Hs"</formula>
    </cfRule>
  </conditionalFormatting>
  <conditionalFormatting sqref="C20:C25">
    <cfRule type="cellIs" dxfId="33667" priority="6284" stopIfTrue="1" operator="equal">
      <formula>"Towel"</formula>
    </cfRule>
    <cfRule type="cellIs" dxfId="33666" priority="6285" stopIfTrue="1" operator="equal">
      <formula>"Napkin Hs"</formula>
    </cfRule>
    <cfRule type="cellIs" dxfId="33665" priority="6286" stopIfTrue="1" operator="equal">
      <formula>"Towel"</formula>
    </cfRule>
    <cfRule type="cellIs" dxfId="33664" priority="6287" stopIfTrue="1" operator="equal">
      <formula>"Napkin Hs"</formula>
    </cfRule>
    <cfRule type="cellIs" dxfId="33663" priority="6288" stopIfTrue="1" operator="equal">
      <formula>"Towel"</formula>
    </cfRule>
    <cfRule type="cellIs" dxfId="33662" priority="6289" stopIfTrue="1" operator="equal">
      <formula>"Napkin Hs"</formula>
    </cfRule>
    <cfRule type="cellIs" dxfId="33661" priority="6290" stopIfTrue="1" operator="equal">
      <formula>"Towel"</formula>
    </cfRule>
    <cfRule type="cellIs" dxfId="33660" priority="6291" stopIfTrue="1" operator="equal">
      <formula>"Napkin Hs"</formula>
    </cfRule>
  </conditionalFormatting>
  <conditionalFormatting sqref="C21 B22:C23">
    <cfRule type="cellIs" dxfId="33659" priority="6308" stopIfTrue="1" operator="equal">
      <formula>"Towel"</formula>
    </cfRule>
    <cfRule type="cellIs" dxfId="33658" priority="6309" stopIfTrue="1" operator="equal">
      <formula>"Napkin Hs"</formula>
    </cfRule>
  </conditionalFormatting>
  <conditionalFormatting sqref="C21">
    <cfRule type="cellIs" dxfId="33657" priority="6294" stopIfTrue="1" operator="equal">
      <formula>"Towel"</formula>
    </cfRule>
    <cfRule type="cellIs" dxfId="33656" priority="6295" stopIfTrue="1" operator="equal">
      <formula>"Napkin Hs"</formula>
    </cfRule>
    <cfRule type="cellIs" dxfId="33655" priority="6296" stopIfTrue="1" operator="equal">
      <formula>"Towel"</formula>
    </cfRule>
    <cfRule type="cellIs" dxfId="33654" priority="6297" stopIfTrue="1" operator="equal">
      <formula>"Napkin Hs"</formula>
    </cfRule>
  </conditionalFormatting>
  <conditionalFormatting sqref="C21:C22">
    <cfRule type="cellIs" dxfId="33653" priority="6298" stopIfTrue="1" operator="equal">
      <formula>"Towel"</formula>
    </cfRule>
    <cfRule type="cellIs" dxfId="33652" priority="6299" stopIfTrue="1" operator="equal">
      <formula>"Napkin Hs"</formula>
    </cfRule>
  </conditionalFormatting>
  <conditionalFormatting sqref="C21:C23">
    <cfRule type="cellIs" dxfId="33651" priority="6304" stopIfTrue="1" operator="equal">
      <formula>"Towel"</formula>
    </cfRule>
    <cfRule type="cellIs" dxfId="33650" priority="6305" stopIfTrue="1" operator="equal">
      <formula>"Napkin Hs"</formula>
    </cfRule>
    <cfRule type="cellIs" dxfId="33649" priority="6306" stopIfTrue="1" operator="equal">
      <formula>"Towel"</formula>
    </cfRule>
    <cfRule type="cellIs" dxfId="33648" priority="6307" stopIfTrue="1" operator="equal">
      <formula>"Napkin Hs"</formula>
    </cfRule>
  </conditionalFormatting>
  <conditionalFormatting sqref="C22">
    <cfRule type="cellIs" dxfId="33647" priority="6300" stopIfTrue="1" operator="equal">
      <formula>"Towel"</formula>
    </cfRule>
    <cfRule type="cellIs" dxfId="33646" priority="6301" stopIfTrue="1" operator="equal">
      <formula>"Napkin Hs"</formula>
    </cfRule>
  </conditionalFormatting>
  <conditionalFormatting sqref="C24:C26">
    <cfRule type="cellIs" dxfId="33645" priority="6398" stopIfTrue="1" operator="equal">
      <formula>"Towel"</formula>
    </cfRule>
    <cfRule type="cellIs" dxfId="33644" priority="6399" stopIfTrue="1" operator="equal">
      <formula>"Napkin Hs"</formula>
    </cfRule>
    <cfRule type="cellIs" dxfId="33643" priority="7196" stopIfTrue="1" operator="equal">
      <formula>"Towel"</formula>
    </cfRule>
    <cfRule type="cellIs" dxfId="33642" priority="7197" stopIfTrue="1" operator="equal">
      <formula>"Napkin Hs"</formula>
    </cfRule>
  </conditionalFormatting>
  <conditionalFormatting sqref="C25">
    <cfRule type="cellIs" dxfId="33641" priority="6396" stopIfTrue="1" operator="equal">
      <formula>"Towel"</formula>
    </cfRule>
    <cfRule type="cellIs" dxfId="33640" priority="6397" stopIfTrue="1" operator="equal">
      <formula>"Napkin Hs"</formula>
    </cfRule>
  </conditionalFormatting>
  <conditionalFormatting sqref="C26">
    <cfRule type="cellIs" dxfId="33639" priority="6402" stopIfTrue="1" operator="equal">
      <formula>"Towel"</formula>
    </cfRule>
    <cfRule type="cellIs" dxfId="33638" priority="6403" stopIfTrue="1" operator="equal">
      <formula>"Napkin Hs"</formula>
    </cfRule>
  </conditionalFormatting>
  <conditionalFormatting sqref="C27">
    <cfRule type="cellIs" dxfId="33637" priority="6256" stopIfTrue="1" operator="equal">
      <formula>"Towel"</formula>
    </cfRule>
    <cfRule type="cellIs" dxfId="33636" priority="6257" stopIfTrue="1" operator="equal">
      <formula>"Napkin Hs"</formula>
    </cfRule>
    <cfRule type="cellIs" dxfId="33635" priority="6258" stopIfTrue="1" operator="equal">
      <formula>"Towel"</formula>
    </cfRule>
    <cfRule type="cellIs" dxfId="33634" priority="6259" stopIfTrue="1" operator="equal">
      <formula>"Napkin Hs"</formula>
    </cfRule>
    <cfRule type="cellIs" dxfId="33633" priority="6260" stopIfTrue="1" operator="equal">
      <formula>"Towel"</formula>
    </cfRule>
    <cfRule type="cellIs" dxfId="33632" priority="6261" stopIfTrue="1" operator="equal">
      <formula>"Napkin Hs"</formula>
    </cfRule>
    <cfRule type="cellIs" dxfId="33631" priority="6262" stopIfTrue="1" operator="equal">
      <formula>"Towel"</formula>
    </cfRule>
    <cfRule type="cellIs" dxfId="33630" priority="6263" stopIfTrue="1" operator="equal">
      <formula>"Napkin Hs"</formula>
    </cfRule>
    <cfRule type="cellIs" dxfId="33629" priority="6264" stopIfTrue="1" operator="equal">
      <formula>"Towel"</formula>
    </cfRule>
    <cfRule type="cellIs" dxfId="33628" priority="6265" stopIfTrue="1" operator="equal">
      <formula>"Napkin Hs"</formula>
    </cfRule>
    <cfRule type="cellIs" dxfId="33627" priority="6266" stopIfTrue="1" operator="equal">
      <formula>"Towel"</formula>
    </cfRule>
    <cfRule type="cellIs" dxfId="33626" priority="6267" stopIfTrue="1" operator="equal">
      <formula>"Napkin Hs"</formula>
    </cfRule>
    <cfRule type="cellIs" dxfId="33625" priority="6268" stopIfTrue="1" operator="equal">
      <formula>"Towel"</formula>
    </cfRule>
    <cfRule type="cellIs" dxfId="33624" priority="6269" stopIfTrue="1" operator="equal">
      <formula>"Napkin Hs"</formula>
    </cfRule>
  </conditionalFormatting>
  <conditionalFormatting sqref="C28">
    <cfRule type="cellIs" dxfId="33623" priority="6240" stopIfTrue="1" operator="equal">
      <formula>"Towel"</formula>
    </cfRule>
    <cfRule type="cellIs" dxfId="33622" priority="6241" stopIfTrue="1" operator="equal">
      <formula>"Napkin Hs"</formula>
    </cfRule>
    <cfRule type="cellIs" dxfId="33621" priority="6242" stopIfTrue="1" operator="equal">
      <formula>"Towel"</formula>
    </cfRule>
    <cfRule type="cellIs" dxfId="33620" priority="6243" stopIfTrue="1" operator="equal">
      <formula>"Napkin Hs"</formula>
    </cfRule>
    <cfRule type="cellIs" dxfId="33619" priority="6244" stopIfTrue="1" operator="equal">
      <formula>"Towel"</formula>
    </cfRule>
    <cfRule type="cellIs" dxfId="33618" priority="6245" stopIfTrue="1" operator="equal">
      <formula>"Napkin Hs"</formula>
    </cfRule>
    <cfRule type="cellIs" dxfId="33617" priority="6246" stopIfTrue="1" operator="equal">
      <formula>"Towel"</formula>
    </cfRule>
    <cfRule type="cellIs" dxfId="33616" priority="6247" stopIfTrue="1" operator="equal">
      <formula>"Napkin Hs"</formula>
    </cfRule>
    <cfRule type="cellIs" dxfId="33615" priority="6248" stopIfTrue="1" operator="equal">
      <formula>"Towel"</formula>
    </cfRule>
    <cfRule type="cellIs" dxfId="33614" priority="6249" stopIfTrue="1" operator="equal">
      <formula>"Napkin Hs"</formula>
    </cfRule>
    <cfRule type="cellIs" dxfId="33613" priority="6250" stopIfTrue="1" operator="equal">
      <formula>"Towel"</formula>
    </cfRule>
    <cfRule type="cellIs" dxfId="33612" priority="6251" stopIfTrue="1" operator="equal">
      <formula>"Napkin Hs"</formula>
    </cfRule>
  </conditionalFormatting>
  <conditionalFormatting sqref="C28:C29">
    <cfRule type="cellIs" dxfId="33611" priority="6252" stopIfTrue="1" operator="equal">
      <formula>"Towel"</formula>
    </cfRule>
    <cfRule type="cellIs" dxfId="33610" priority="6253" stopIfTrue="1" operator="equal">
      <formula>"Napkin Hs"</formula>
    </cfRule>
  </conditionalFormatting>
  <conditionalFormatting sqref="C29">
    <cfRule type="cellIs" dxfId="33609" priority="6272" stopIfTrue="1" operator="equal">
      <formula>"Towel"</formula>
    </cfRule>
    <cfRule type="cellIs" dxfId="33608" priority="6273" stopIfTrue="1" operator="equal">
      <formula>"Napkin Hs"</formula>
    </cfRule>
    <cfRule type="cellIs" dxfId="33607" priority="6276" stopIfTrue="1" operator="equal">
      <formula>"Towel"</formula>
    </cfRule>
    <cfRule type="cellIs" dxfId="33606" priority="6277" stopIfTrue="1" operator="equal">
      <formula>"Napkin Hs"</formula>
    </cfRule>
    <cfRule type="cellIs" dxfId="33605" priority="6278" stopIfTrue="1" operator="equal">
      <formula>"Towel"</formula>
    </cfRule>
    <cfRule type="cellIs" dxfId="33604" priority="6279" stopIfTrue="1" operator="equal">
      <formula>"Napkin Hs"</formula>
    </cfRule>
  </conditionalFormatting>
  <conditionalFormatting sqref="C30">
    <cfRule type="cellIs" dxfId="33603" priority="6376" stopIfTrue="1" operator="equal">
      <formula>"Towel"</formula>
    </cfRule>
    <cfRule type="cellIs" dxfId="33602" priority="6377" stopIfTrue="1" operator="equal">
      <formula>"Napkin Hs"</formula>
    </cfRule>
    <cfRule type="cellIs" dxfId="33601" priority="6390" stopIfTrue="1" operator="equal">
      <formula>"Towel"</formula>
    </cfRule>
    <cfRule type="cellIs" dxfId="33600" priority="6391" stopIfTrue="1" operator="equal">
      <formula>"Napkin Hs"</formula>
    </cfRule>
    <cfRule type="cellIs" dxfId="33599" priority="6392" stopIfTrue="1" operator="equal">
      <formula>"Towel"</formula>
    </cfRule>
    <cfRule type="cellIs" dxfId="33598" priority="6393" stopIfTrue="1" operator="equal">
      <formula>"Napkin Hs"</formula>
    </cfRule>
  </conditionalFormatting>
  <conditionalFormatting sqref="C30:C32">
    <cfRule type="cellIs" dxfId="33597" priority="6372" stopIfTrue="1" operator="equal">
      <formula>"Towel"</formula>
    </cfRule>
    <cfRule type="cellIs" dxfId="33596" priority="6373" stopIfTrue="1" operator="equal">
      <formula>"Napkin Hs"</formula>
    </cfRule>
  </conditionalFormatting>
  <conditionalFormatting sqref="C31">
    <cfRule type="cellIs" dxfId="33595" priority="6370" stopIfTrue="1" operator="equal">
      <formula>"Towel"</formula>
    </cfRule>
    <cfRule type="cellIs" dxfId="33594" priority="6371" stopIfTrue="1" operator="equal">
      <formula>"Napkin Hs"</formula>
    </cfRule>
  </conditionalFormatting>
  <conditionalFormatting sqref="C32">
    <cfRule type="cellIs" dxfId="33593" priority="6380" stopIfTrue="1" operator="equal">
      <formula>"Towel"</formula>
    </cfRule>
    <cfRule type="cellIs" dxfId="33592" priority="6381" stopIfTrue="1" operator="equal">
      <formula>"Napkin Hs"</formula>
    </cfRule>
    <cfRule type="cellIs" dxfId="33591" priority="6384" stopIfTrue="1" operator="equal">
      <formula>"Towel"</formula>
    </cfRule>
    <cfRule type="cellIs" dxfId="33590" priority="6385" stopIfTrue="1" operator="equal">
      <formula>"Napkin Hs"</formula>
    </cfRule>
    <cfRule type="cellIs" dxfId="33589" priority="6386" stopIfTrue="1" operator="equal">
      <formula>"Towel"</formula>
    </cfRule>
    <cfRule type="cellIs" dxfId="33588" priority="6387" stopIfTrue="1" operator="equal">
      <formula>"Napkin Hs"</formula>
    </cfRule>
  </conditionalFormatting>
  <conditionalFormatting sqref="C33">
    <cfRule type="cellIs" dxfId="33587" priority="6184" stopIfTrue="1" operator="equal">
      <formula>"Towel"</formula>
    </cfRule>
    <cfRule type="cellIs" dxfId="33586" priority="6185" stopIfTrue="1" operator="equal">
      <formula>"Napkin Hs"</formula>
    </cfRule>
    <cfRule type="cellIs" dxfId="33585" priority="6186" stopIfTrue="1" operator="equal">
      <formula>"Towel"</formula>
    </cfRule>
    <cfRule type="cellIs" dxfId="33584" priority="6187" stopIfTrue="1" operator="equal">
      <formula>"Napkin Hs"</formula>
    </cfRule>
    <cfRule type="cellIs" dxfId="33583" priority="6188" stopIfTrue="1" operator="equal">
      <formula>"Towel"</formula>
    </cfRule>
    <cfRule type="cellIs" dxfId="33582" priority="6189" stopIfTrue="1" operator="equal">
      <formula>"Napkin Hs"</formula>
    </cfRule>
    <cfRule type="cellIs" dxfId="33581" priority="6190" stopIfTrue="1" operator="equal">
      <formula>"Towel"</formula>
    </cfRule>
    <cfRule type="cellIs" dxfId="33580" priority="6191" stopIfTrue="1" operator="equal">
      <formula>"Napkin Hs"</formula>
    </cfRule>
    <cfRule type="cellIs" dxfId="33579" priority="6192" stopIfTrue="1" operator="equal">
      <formula>"Towel"</formula>
    </cfRule>
    <cfRule type="cellIs" dxfId="33578" priority="6193" stopIfTrue="1" operator="equal">
      <formula>"Napkin Hs"</formula>
    </cfRule>
    <cfRule type="cellIs" dxfId="33577" priority="6194" stopIfTrue="1" operator="equal">
      <formula>"Towel"</formula>
    </cfRule>
    <cfRule type="cellIs" dxfId="33576" priority="6195" stopIfTrue="1" operator="equal">
      <formula>"Napkin Hs"</formula>
    </cfRule>
    <cfRule type="cellIs" dxfId="33575" priority="6196" stopIfTrue="1" operator="equal">
      <formula>"Towel"</formula>
    </cfRule>
    <cfRule type="cellIs" dxfId="33574" priority="6197" stopIfTrue="1" operator="equal">
      <formula>"Napkin Hs"</formula>
    </cfRule>
  </conditionalFormatting>
  <conditionalFormatting sqref="C33:C34">
    <cfRule type="cellIs" dxfId="33573" priority="6198" stopIfTrue="1" operator="equal">
      <formula>"Towel"</formula>
    </cfRule>
    <cfRule type="cellIs" dxfId="33572" priority="6199" stopIfTrue="1" operator="equal">
      <formula>"Napkin Hs"</formula>
    </cfRule>
  </conditionalFormatting>
  <conditionalFormatting sqref="C34">
    <cfRule type="cellIs" dxfId="33571" priority="6202" stopIfTrue="1" operator="equal">
      <formula>"Towel"</formula>
    </cfRule>
    <cfRule type="cellIs" dxfId="33570" priority="6203" stopIfTrue="1" operator="equal">
      <formula>"Napkin Hs"</formula>
    </cfRule>
    <cfRule type="cellIs" dxfId="33569" priority="6204" stopIfTrue="1" operator="equal">
      <formula>"Towel"</formula>
    </cfRule>
    <cfRule type="cellIs" dxfId="33568" priority="6205" stopIfTrue="1" operator="equal">
      <formula>"Napkin Hs"</formula>
    </cfRule>
    <cfRule type="cellIs" dxfId="33567" priority="6206" stopIfTrue="1" operator="equal">
      <formula>"Towel"</formula>
    </cfRule>
    <cfRule type="cellIs" dxfId="33566" priority="6207" stopIfTrue="1" operator="equal">
      <formula>"Napkin Hs"</formula>
    </cfRule>
    <cfRule type="cellIs" dxfId="33565" priority="6208" stopIfTrue="1" operator="equal">
      <formula>"Towel"</formula>
    </cfRule>
    <cfRule type="cellIs" dxfId="33564" priority="6209" stopIfTrue="1" operator="equal">
      <formula>"Napkin Hs"</formula>
    </cfRule>
    <cfRule type="cellIs" dxfId="33563" priority="6210" stopIfTrue="1" operator="equal">
      <formula>"Towel"</formula>
    </cfRule>
    <cfRule type="cellIs" dxfId="33562" priority="6211" stopIfTrue="1" operator="equal">
      <formula>"Napkin Hs"</formula>
    </cfRule>
    <cfRule type="cellIs" dxfId="33561" priority="6212" stopIfTrue="1" operator="equal">
      <formula>"Towel"</formula>
    </cfRule>
    <cfRule type="cellIs" dxfId="33560" priority="6213" stopIfTrue="1" operator="equal">
      <formula>"Napkin Hs"</formula>
    </cfRule>
    <cfRule type="cellIs" dxfId="33559" priority="6214" stopIfTrue="1" operator="equal">
      <formula>"Towel"</formula>
    </cfRule>
    <cfRule type="cellIs" dxfId="33558" priority="6215" stopIfTrue="1" operator="equal">
      <formula>"Napkin Hs"</formula>
    </cfRule>
  </conditionalFormatting>
  <conditionalFormatting sqref="C35">
    <cfRule type="cellIs" dxfId="33557" priority="6218" stopIfTrue="1" operator="equal">
      <formula>"Towel"</formula>
    </cfRule>
    <cfRule type="cellIs" dxfId="33556" priority="6219" stopIfTrue="1" operator="equal">
      <formula>"Napkin Hs"</formula>
    </cfRule>
    <cfRule type="cellIs" dxfId="33555" priority="6220" stopIfTrue="1" operator="equal">
      <formula>"Towel"</formula>
    </cfRule>
    <cfRule type="cellIs" dxfId="33554" priority="6221" stopIfTrue="1" operator="equal">
      <formula>"Napkin Hs"</formula>
    </cfRule>
    <cfRule type="cellIs" dxfId="33553" priority="6222" stopIfTrue="1" operator="equal">
      <formula>"Towel"</formula>
    </cfRule>
    <cfRule type="cellIs" dxfId="33552" priority="6223" stopIfTrue="1" operator="equal">
      <formula>"Napkin Hs"</formula>
    </cfRule>
    <cfRule type="cellIs" dxfId="33551" priority="6224" stopIfTrue="1" operator="equal">
      <formula>"Towel"</formula>
    </cfRule>
    <cfRule type="cellIs" dxfId="33550" priority="6225" stopIfTrue="1" operator="equal">
      <formula>"Napkin Hs"</formula>
    </cfRule>
  </conditionalFormatting>
  <conditionalFormatting sqref="C35:C36">
    <cfRule type="cellIs" dxfId="33549" priority="6226" stopIfTrue="1" operator="equal">
      <formula>"Towel"</formula>
    </cfRule>
    <cfRule type="cellIs" dxfId="33548" priority="6227" stopIfTrue="1" operator="equal">
      <formula>"Napkin Hs"</formula>
    </cfRule>
  </conditionalFormatting>
  <conditionalFormatting sqref="C36">
    <cfRule type="cellIs" dxfId="33547" priority="6228" stopIfTrue="1" operator="equal">
      <formula>"Towel"</formula>
    </cfRule>
    <cfRule type="cellIs" dxfId="33546" priority="6229" stopIfTrue="1" operator="equal">
      <formula>"Napkin Hs"</formula>
    </cfRule>
    <cfRule type="cellIs" dxfId="33545" priority="6232" stopIfTrue="1" operator="equal">
      <formula>"Towel"</formula>
    </cfRule>
    <cfRule type="cellIs" dxfId="33544" priority="6233" stopIfTrue="1" operator="equal">
      <formula>"Napkin Hs"</formula>
    </cfRule>
  </conditionalFormatting>
  <conditionalFormatting sqref="C36:C37">
    <cfRule type="cellIs" dxfId="33543" priority="6234" stopIfTrue="1" operator="equal">
      <formula>"Towel"</formula>
    </cfRule>
    <cfRule type="cellIs" dxfId="33542" priority="6235" stopIfTrue="1" operator="equal">
      <formula>"Napkin Hs"</formula>
    </cfRule>
  </conditionalFormatting>
  <conditionalFormatting sqref="C37">
    <cfRule type="cellIs" dxfId="33541" priority="7186" stopIfTrue="1" operator="equal">
      <formula>"Towel"</formula>
    </cfRule>
    <cfRule type="cellIs" dxfId="33540" priority="7187" stopIfTrue="1" operator="equal">
      <formula>"Napkin Hs"</formula>
    </cfRule>
    <cfRule type="cellIs" dxfId="33539" priority="7190" stopIfTrue="1" operator="equal">
      <formula>"Towel"</formula>
    </cfRule>
    <cfRule type="cellIs" dxfId="33538" priority="7191" stopIfTrue="1" operator="equal">
      <formula>"Napkin Hs"</formula>
    </cfRule>
    <cfRule type="cellIs" dxfId="33537" priority="7192" stopIfTrue="1" operator="equal">
      <formula>"Towel"</formula>
    </cfRule>
    <cfRule type="cellIs" dxfId="33536" priority="7193" stopIfTrue="1" operator="equal">
      <formula>"Napkin Hs"</formula>
    </cfRule>
    <cfRule type="cellIs" dxfId="33535" priority="7228" stopIfTrue="1" operator="equal">
      <formula>"Towel"</formula>
    </cfRule>
    <cfRule type="cellIs" dxfId="33534" priority="7229" stopIfTrue="1" operator="equal">
      <formula>"Napkin Hs"</formula>
    </cfRule>
    <cfRule type="cellIs" dxfId="33533" priority="7230" stopIfTrue="1" operator="equal">
      <formula>"Towel"</formula>
    </cfRule>
    <cfRule type="cellIs" dxfId="33532" priority="7231" stopIfTrue="1" operator="equal">
      <formula>"Napkin Hs"</formula>
    </cfRule>
  </conditionalFormatting>
  <conditionalFormatting sqref="C38">
    <cfRule type="cellIs" dxfId="33531" priority="6128" stopIfTrue="1" operator="equal">
      <formula>"Towel"</formula>
    </cfRule>
    <cfRule type="cellIs" dxfId="33530" priority="6129" stopIfTrue="1" operator="equal">
      <formula>"Napkin Hs"</formula>
    </cfRule>
    <cfRule type="cellIs" dxfId="33529" priority="6130" stopIfTrue="1" operator="equal">
      <formula>"Towel"</formula>
    </cfRule>
    <cfRule type="cellIs" dxfId="33528" priority="6131" stopIfTrue="1" operator="equal">
      <formula>"Napkin Hs"</formula>
    </cfRule>
    <cfRule type="cellIs" dxfId="33527" priority="6132" stopIfTrue="1" operator="equal">
      <formula>"Towel"</formula>
    </cfRule>
    <cfRule type="cellIs" dxfId="33526" priority="6133" stopIfTrue="1" operator="equal">
      <formula>"Napkin Hs"</formula>
    </cfRule>
    <cfRule type="cellIs" dxfId="33525" priority="6134" stopIfTrue="1" operator="equal">
      <formula>"Towel"</formula>
    </cfRule>
    <cfRule type="cellIs" dxfId="33524" priority="6135" stopIfTrue="1" operator="equal">
      <formula>"Napkin Hs"</formula>
    </cfRule>
    <cfRule type="cellIs" dxfId="33523" priority="6136" stopIfTrue="1" operator="equal">
      <formula>"Towel"</formula>
    </cfRule>
    <cfRule type="cellIs" dxfId="33522" priority="6137" stopIfTrue="1" operator="equal">
      <formula>"Napkin Hs"</formula>
    </cfRule>
    <cfRule type="cellIs" dxfId="33521" priority="6138" stopIfTrue="1" operator="equal">
      <formula>"Towel"</formula>
    </cfRule>
    <cfRule type="cellIs" dxfId="33520" priority="6139" stopIfTrue="1" operator="equal">
      <formula>"Napkin Hs"</formula>
    </cfRule>
    <cfRule type="cellIs" dxfId="33519" priority="6140" stopIfTrue="1" operator="equal">
      <formula>"Towel"</formula>
    </cfRule>
    <cfRule type="cellIs" dxfId="33518" priority="6141" stopIfTrue="1" operator="equal">
      <formula>"Napkin Hs"</formula>
    </cfRule>
  </conditionalFormatting>
  <conditionalFormatting sqref="C38:C39">
    <cfRule type="cellIs" dxfId="33517" priority="6142" stopIfTrue="1" operator="equal">
      <formula>"Towel"</formula>
    </cfRule>
    <cfRule type="cellIs" dxfId="33516" priority="6143" stopIfTrue="1" operator="equal">
      <formula>"Napkin Hs"</formula>
    </cfRule>
  </conditionalFormatting>
  <conditionalFormatting sqref="C39">
    <cfRule type="cellIs" dxfId="33515" priority="6146" stopIfTrue="1" operator="equal">
      <formula>"Towel"</formula>
    </cfRule>
    <cfRule type="cellIs" dxfId="33514" priority="6147" stopIfTrue="1" operator="equal">
      <formula>"Napkin Hs"</formula>
    </cfRule>
    <cfRule type="cellIs" dxfId="33513" priority="6148" stopIfTrue="1" operator="equal">
      <formula>"Towel"</formula>
    </cfRule>
    <cfRule type="cellIs" dxfId="33512" priority="6149" stopIfTrue="1" operator="equal">
      <formula>"Napkin Hs"</formula>
    </cfRule>
    <cfRule type="cellIs" dxfId="33511" priority="6150" stopIfTrue="1" operator="equal">
      <formula>"Towel"</formula>
    </cfRule>
    <cfRule type="cellIs" dxfId="33510" priority="6151" stopIfTrue="1" operator="equal">
      <formula>"Napkin Hs"</formula>
    </cfRule>
    <cfRule type="cellIs" dxfId="33509" priority="6152" stopIfTrue="1" operator="equal">
      <formula>"Towel"</formula>
    </cfRule>
    <cfRule type="cellIs" dxfId="33508" priority="6153" stopIfTrue="1" operator="equal">
      <formula>"Napkin Hs"</formula>
    </cfRule>
    <cfRule type="cellIs" dxfId="33507" priority="6154" stopIfTrue="1" operator="equal">
      <formula>"Towel"</formula>
    </cfRule>
    <cfRule type="cellIs" dxfId="33506" priority="6155" stopIfTrue="1" operator="equal">
      <formula>"Napkin Hs"</formula>
    </cfRule>
    <cfRule type="cellIs" dxfId="33505" priority="6156" stopIfTrue="1" operator="equal">
      <formula>"Towel"</formula>
    </cfRule>
    <cfRule type="cellIs" dxfId="33504" priority="6157" stopIfTrue="1" operator="equal">
      <formula>"Napkin Hs"</formula>
    </cfRule>
    <cfRule type="cellIs" dxfId="33503" priority="6158" stopIfTrue="1" operator="equal">
      <formula>"Towel"</formula>
    </cfRule>
    <cfRule type="cellIs" dxfId="33502" priority="6159" stopIfTrue="1" operator="equal">
      <formula>"Napkin Hs"</formula>
    </cfRule>
  </conditionalFormatting>
  <conditionalFormatting sqref="C40">
    <cfRule type="cellIs" dxfId="33501" priority="6162" stopIfTrue="1" operator="equal">
      <formula>"Towel"</formula>
    </cfRule>
    <cfRule type="cellIs" dxfId="33500" priority="6163" stopIfTrue="1" operator="equal">
      <formula>"Napkin Hs"</formula>
    </cfRule>
    <cfRule type="cellIs" dxfId="33499" priority="6164" stopIfTrue="1" operator="equal">
      <formula>"Towel"</formula>
    </cfRule>
    <cfRule type="cellIs" dxfId="33498" priority="6165" stopIfTrue="1" operator="equal">
      <formula>"Napkin Hs"</formula>
    </cfRule>
    <cfRule type="cellIs" dxfId="33497" priority="6166" stopIfTrue="1" operator="equal">
      <formula>"Towel"</formula>
    </cfRule>
    <cfRule type="cellIs" dxfId="33496" priority="6167" stopIfTrue="1" operator="equal">
      <formula>"Napkin Hs"</formula>
    </cfRule>
    <cfRule type="cellIs" dxfId="33495" priority="6168" stopIfTrue="1" operator="equal">
      <formula>"Towel"</formula>
    </cfRule>
    <cfRule type="cellIs" dxfId="33494" priority="6169" stopIfTrue="1" operator="equal">
      <formula>"Napkin Hs"</formula>
    </cfRule>
  </conditionalFormatting>
  <conditionalFormatting sqref="C40:C41">
    <cfRule type="cellIs" dxfId="33493" priority="6170" stopIfTrue="1" operator="equal">
      <formula>"Towel"</formula>
    </cfRule>
    <cfRule type="cellIs" dxfId="33492" priority="6171" stopIfTrue="1" operator="equal">
      <formula>"Napkin Hs"</formula>
    </cfRule>
  </conditionalFormatting>
  <conditionalFormatting sqref="C41">
    <cfRule type="cellIs" dxfId="33491" priority="6172" stopIfTrue="1" operator="equal">
      <formula>"Towel"</formula>
    </cfRule>
    <cfRule type="cellIs" dxfId="33490" priority="6173" stopIfTrue="1" operator="equal">
      <formula>"Napkin Hs"</formula>
    </cfRule>
    <cfRule type="cellIs" dxfId="33489" priority="6176" stopIfTrue="1" operator="equal">
      <formula>"Towel"</formula>
    </cfRule>
    <cfRule type="cellIs" dxfId="33488" priority="6177" stopIfTrue="1" operator="equal">
      <formula>"Napkin Hs"</formula>
    </cfRule>
    <cfRule type="cellIs" dxfId="33487" priority="6178" stopIfTrue="1" operator="equal">
      <formula>"Towel"</formula>
    </cfRule>
    <cfRule type="cellIs" dxfId="33486" priority="6179" stopIfTrue="1" operator="equal">
      <formula>"Napkin Hs"</formula>
    </cfRule>
  </conditionalFormatting>
  <conditionalFormatting sqref="C42">
    <cfRule type="cellIs" dxfId="33485" priority="6030" stopIfTrue="1" operator="equal">
      <formula>"Towel"</formula>
    </cfRule>
    <cfRule type="cellIs" dxfId="33484" priority="6031" stopIfTrue="1" operator="equal">
      <formula>"Napkin Hs"</formula>
    </cfRule>
    <cfRule type="cellIs" dxfId="33483" priority="6032" stopIfTrue="1" operator="equal">
      <formula>"Towel"</formula>
    </cfRule>
    <cfRule type="cellIs" dxfId="33482" priority="6033" stopIfTrue="1" operator="equal">
      <formula>"Napkin Hs"</formula>
    </cfRule>
    <cfRule type="cellIs" dxfId="33481" priority="6034" stopIfTrue="1" operator="equal">
      <formula>"Towel"</formula>
    </cfRule>
    <cfRule type="cellIs" dxfId="33480" priority="6035" stopIfTrue="1" operator="equal">
      <formula>"Napkin Hs"</formula>
    </cfRule>
    <cfRule type="cellIs" dxfId="33479" priority="6036" stopIfTrue="1" operator="equal">
      <formula>"Towel"</formula>
    </cfRule>
    <cfRule type="cellIs" dxfId="33478" priority="6037" stopIfTrue="1" operator="equal">
      <formula>"Napkin Hs"</formula>
    </cfRule>
    <cfRule type="cellIs" dxfId="33477" priority="6038" stopIfTrue="1" operator="equal">
      <formula>"Towel"</formula>
    </cfRule>
    <cfRule type="cellIs" dxfId="33476" priority="6039" stopIfTrue="1" operator="equal">
      <formula>"Napkin Hs"</formula>
    </cfRule>
    <cfRule type="cellIs" dxfId="33475" priority="6040" stopIfTrue="1" operator="equal">
      <formula>"Towel"</formula>
    </cfRule>
    <cfRule type="cellIs" dxfId="33474" priority="6041" stopIfTrue="1" operator="equal">
      <formula>"Napkin Hs"</formula>
    </cfRule>
    <cfRule type="cellIs" dxfId="33473" priority="6042" stopIfTrue="1" operator="equal">
      <formula>"Towel"</formula>
    </cfRule>
    <cfRule type="cellIs" dxfId="33472" priority="6043" stopIfTrue="1" operator="equal">
      <formula>"Napkin Hs"</formula>
    </cfRule>
    <cfRule type="cellIs" dxfId="33471" priority="6044" stopIfTrue="1" operator="equal">
      <formula>"Towel"</formula>
    </cfRule>
    <cfRule type="cellIs" dxfId="33470" priority="6045" stopIfTrue="1" operator="equal">
      <formula>"Napkin Hs"</formula>
    </cfRule>
    <cfRule type="cellIs" dxfId="33469" priority="6048" stopIfTrue="1" operator="equal">
      <formula>"Towel"</formula>
    </cfRule>
    <cfRule type="cellIs" dxfId="33468" priority="6049" stopIfTrue="1" operator="equal">
      <formula>"Napkin Hs"</formula>
    </cfRule>
    <cfRule type="cellIs" dxfId="33467" priority="6050" stopIfTrue="1" operator="equal">
      <formula>"Towel"</formula>
    </cfRule>
    <cfRule type="cellIs" dxfId="33466" priority="6051" stopIfTrue="1" operator="equal">
      <formula>"Napkin Hs"</formula>
    </cfRule>
    <cfRule type="cellIs" dxfId="33465" priority="6054" stopIfTrue="1" operator="equal">
      <formula>"Towel"</formula>
    </cfRule>
    <cfRule type="cellIs" dxfId="33464" priority="6055" stopIfTrue="1" operator="equal">
      <formula>"Napkin Hs"</formula>
    </cfRule>
    <cfRule type="cellIs" dxfId="33463" priority="6056" stopIfTrue="1" operator="equal">
      <formula>"Towel"</formula>
    </cfRule>
    <cfRule type="cellIs" dxfId="33462" priority="6057" stopIfTrue="1" operator="equal">
      <formula>"Napkin Hs"</formula>
    </cfRule>
    <cfRule type="cellIs" dxfId="33461" priority="6060" stopIfTrue="1" operator="equal">
      <formula>"Towel"</formula>
    </cfRule>
    <cfRule type="cellIs" dxfId="33460" priority="6061" stopIfTrue="1" operator="equal">
      <formula>"Napkin Hs"</formula>
    </cfRule>
    <cfRule type="cellIs" dxfId="33459" priority="6062" stopIfTrue="1" operator="equal">
      <formula>"Towel"</formula>
    </cfRule>
    <cfRule type="cellIs" dxfId="33458" priority="6063" stopIfTrue="1" operator="equal">
      <formula>"Napkin Hs"</formula>
    </cfRule>
    <cfRule type="cellIs" dxfId="33457" priority="6066" stopIfTrue="1" operator="equal">
      <formula>"Towel"</formula>
    </cfRule>
    <cfRule type="cellIs" dxfId="33456" priority="6067" stopIfTrue="1" operator="equal">
      <formula>"Napkin Hs"</formula>
    </cfRule>
    <cfRule type="cellIs" dxfId="33455" priority="6068" stopIfTrue="1" operator="equal">
      <formula>"Towel"</formula>
    </cfRule>
    <cfRule type="cellIs" dxfId="33454" priority="6069" stopIfTrue="1" operator="equal">
      <formula>"Napkin Hs"</formula>
    </cfRule>
    <cfRule type="cellIs" dxfId="33453" priority="6072" stopIfTrue="1" operator="equal">
      <formula>"Towel"</formula>
    </cfRule>
    <cfRule type="cellIs" dxfId="33452" priority="6073" stopIfTrue="1" operator="equal">
      <formula>"Napkin Hs"</formula>
    </cfRule>
    <cfRule type="cellIs" dxfId="33451" priority="6074" stopIfTrue="1" operator="equal">
      <formula>"Towel"</formula>
    </cfRule>
    <cfRule type="cellIs" dxfId="33450" priority="6075" stopIfTrue="1" operator="equal">
      <formula>"Napkin Hs"</formula>
    </cfRule>
    <cfRule type="cellIs" dxfId="33449" priority="6078" stopIfTrue="1" operator="equal">
      <formula>"Towel"</formula>
    </cfRule>
    <cfRule type="cellIs" dxfId="33448" priority="6079" stopIfTrue="1" operator="equal">
      <formula>"Napkin Hs"</formula>
    </cfRule>
    <cfRule type="cellIs" dxfId="33447" priority="6080" stopIfTrue="1" operator="equal">
      <formula>"Towel"</formula>
    </cfRule>
    <cfRule type="cellIs" dxfId="33446" priority="6081" stopIfTrue="1" operator="equal">
      <formula>"Napkin Hs"</formula>
    </cfRule>
    <cfRule type="cellIs" dxfId="33445" priority="6084" stopIfTrue="1" operator="equal">
      <formula>"Towel"</formula>
    </cfRule>
    <cfRule type="cellIs" dxfId="33444" priority="6085" stopIfTrue="1" operator="equal">
      <formula>"Napkin Hs"</formula>
    </cfRule>
  </conditionalFormatting>
  <conditionalFormatting sqref="C42:C43">
    <cfRule type="cellIs" dxfId="33443" priority="6086" stopIfTrue="1" operator="equal">
      <formula>"Towel"</formula>
    </cfRule>
    <cfRule type="cellIs" dxfId="33442" priority="6087" stopIfTrue="1" operator="equal">
      <formula>"Napkin Hs"</formula>
    </cfRule>
  </conditionalFormatting>
  <conditionalFormatting sqref="C43">
    <cfRule type="cellIs" dxfId="33441" priority="6090" stopIfTrue="1" operator="equal">
      <formula>"Towel"</formula>
    </cfRule>
    <cfRule type="cellIs" dxfId="33440" priority="6091" stopIfTrue="1" operator="equal">
      <formula>"Napkin Hs"</formula>
    </cfRule>
    <cfRule type="cellIs" dxfId="33439" priority="6092" stopIfTrue="1" operator="equal">
      <formula>"Towel"</formula>
    </cfRule>
    <cfRule type="cellIs" dxfId="33438" priority="6093" stopIfTrue="1" operator="equal">
      <formula>"Napkin Hs"</formula>
    </cfRule>
    <cfRule type="cellIs" dxfId="33437" priority="6094" stopIfTrue="1" operator="equal">
      <formula>"Towel"</formula>
    </cfRule>
    <cfRule type="cellIs" dxfId="33436" priority="6095" stopIfTrue="1" operator="equal">
      <formula>"Napkin Hs"</formula>
    </cfRule>
    <cfRule type="cellIs" dxfId="33435" priority="6096" stopIfTrue="1" operator="equal">
      <formula>"Towel"</formula>
    </cfRule>
    <cfRule type="cellIs" dxfId="33434" priority="6097" stopIfTrue="1" operator="equal">
      <formula>"Napkin Hs"</formula>
    </cfRule>
    <cfRule type="cellIs" dxfId="33433" priority="6098" stopIfTrue="1" operator="equal">
      <formula>"Towel"</formula>
    </cfRule>
    <cfRule type="cellIs" dxfId="33432" priority="6099" stopIfTrue="1" operator="equal">
      <formula>"Napkin Hs"</formula>
    </cfRule>
    <cfRule type="cellIs" dxfId="33431" priority="6100" stopIfTrue="1" operator="equal">
      <formula>"Towel"</formula>
    </cfRule>
    <cfRule type="cellIs" dxfId="33430" priority="6101" stopIfTrue="1" operator="equal">
      <formula>"Napkin Hs"</formula>
    </cfRule>
    <cfRule type="cellIs" dxfId="33429" priority="6102" stopIfTrue="1" operator="equal">
      <formula>"Towel"</formula>
    </cfRule>
    <cfRule type="cellIs" dxfId="33428" priority="6103" stopIfTrue="1" operator="equal">
      <formula>"Napkin Hs"</formula>
    </cfRule>
  </conditionalFormatting>
  <conditionalFormatting sqref="C43:C44">
    <cfRule type="cellIs" dxfId="33427" priority="7124" stopIfTrue="1" operator="equal">
      <formula>"Towel"</formula>
    </cfRule>
    <cfRule type="cellIs" dxfId="33426" priority="7125" stopIfTrue="1" operator="equal">
      <formula>"Napkin Hs"</formula>
    </cfRule>
    <cfRule type="cellIs" dxfId="33425" priority="7128" stopIfTrue="1" operator="equal">
      <formula>"Towel"</formula>
    </cfRule>
    <cfRule type="cellIs" dxfId="33424" priority="7129" stopIfTrue="1" operator="equal">
      <formula>"Napkin Hs"</formula>
    </cfRule>
    <cfRule type="cellIs" dxfId="33423" priority="7130" stopIfTrue="1" operator="equal">
      <formula>"Towel"</formula>
    </cfRule>
    <cfRule type="cellIs" dxfId="33422" priority="7131" stopIfTrue="1" operator="equal">
      <formula>"Napkin Hs"</formula>
    </cfRule>
    <cfRule type="cellIs" dxfId="33421" priority="7134" stopIfTrue="1" operator="equal">
      <formula>"Towel"</formula>
    </cfRule>
    <cfRule type="cellIs" dxfId="33420" priority="7135" stopIfTrue="1" operator="equal">
      <formula>"Napkin Hs"</formula>
    </cfRule>
    <cfRule type="cellIs" dxfId="33419" priority="7136" stopIfTrue="1" operator="equal">
      <formula>"Towel"</formula>
    </cfRule>
    <cfRule type="cellIs" dxfId="33418" priority="7137" stopIfTrue="1" operator="equal">
      <formula>"Napkin Hs"</formula>
    </cfRule>
    <cfRule type="cellIs" dxfId="33417" priority="7140" stopIfTrue="1" operator="equal">
      <formula>"Towel"</formula>
    </cfRule>
    <cfRule type="cellIs" dxfId="33416" priority="7141" stopIfTrue="1" operator="equal">
      <formula>"Napkin Hs"</formula>
    </cfRule>
    <cfRule type="cellIs" dxfId="33415" priority="7142" stopIfTrue="1" operator="equal">
      <formula>"Towel"</formula>
    </cfRule>
    <cfRule type="cellIs" dxfId="33414" priority="7143" stopIfTrue="1" operator="equal">
      <formula>"Napkin Hs"</formula>
    </cfRule>
    <cfRule type="cellIs" dxfId="33413" priority="7146" stopIfTrue="1" operator="equal">
      <formula>"Towel"</formula>
    </cfRule>
    <cfRule type="cellIs" dxfId="33412" priority="7147" stopIfTrue="1" operator="equal">
      <formula>"Napkin Hs"</formula>
    </cfRule>
    <cfRule type="cellIs" dxfId="33411" priority="7148" stopIfTrue="1" operator="equal">
      <formula>"Towel"</formula>
    </cfRule>
    <cfRule type="cellIs" dxfId="33410" priority="7149" stopIfTrue="1" operator="equal">
      <formula>"Napkin Hs"</formula>
    </cfRule>
    <cfRule type="cellIs" dxfId="33409" priority="7152" stopIfTrue="1" operator="equal">
      <formula>"Towel"</formula>
    </cfRule>
    <cfRule type="cellIs" dxfId="33408" priority="7153" stopIfTrue="1" operator="equal">
      <formula>"Napkin Hs"</formula>
    </cfRule>
    <cfRule type="cellIs" dxfId="33407" priority="7154" stopIfTrue="1" operator="equal">
      <formula>"Towel"</formula>
    </cfRule>
    <cfRule type="cellIs" dxfId="33406" priority="7155" stopIfTrue="1" operator="equal">
      <formula>"Napkin Hs"</formula>
    </cfRule>
    <cfRule type="cellIs" dxfId="33405" priority="7158" stopIfTrue="1" operator="equal">
      <formula>"Towel"</formula>
    </cfRule>
    <cfRule type="cellIs" dxfId="33404" priority="7159" stopIfTrue="1" operator="equal">
      <formula>"Napkin Hs"</formula>
    </cfRule>
  </conditionalFormatting>
  <conditionalFormatting sqref="C43:C45">
    <cfRule type="cellIs" dxfId="33403" priority="6122" stopIfTrue="1" operator="equal">
      <formula>"Towel"</formula>
    </cfRule>
    <cfRule type="cellIs" dxfId="33402" priority="6123" stopIfTrue="1" operator="equal">
      <formula>"Napkin Hs"</formula>
    </cfRule>
    <cfRule type="cellIs" dxfId="33401" priority="7160" stopIfTrue="1" operator="equal">
      <formula>"Towel"</formula>
    </cfRule>
    <cfRule type="cellIs" dxfId="33400" priority="7161" stopIfTrue="1" operator="equal">
      <formula>"Napkin Hs"</formula>
    </cfRule>
  </conditionalFormatting>
  <conditionalFormatting sqref="C44">
    <cfRule type="cellIs" dxfId="33399" priority="6106" stopIfTrue="1" operator="equal">
      <formula>"Towel"</formula>
    </cfRule>
    <cfRule type="cellIs" dxfId="33398" priority="6107" stopIfTrue="1" operator="equal">
      <formula>"Napkin Hs"</formula>
    </cfRule>
    <cfRule type="cellIs" dxfId="33397" priority="6108" stopIfTrue="1" operator="equal">
      <formula>"Towel"</formula>
    </cfRule>
    <cfRule type="cellIs" dxfId="33396" priority="6109" stopIfTrue="1" operator="equal">
      <formula>"Napkin Hs"</formula>
    </cfRule>
    <cfRule type="cellIs" dxfId="33395" priority="6110" stopIfTrue="1" operator="equal">
      <formula>"Towel"</formula>
    </cfRule>
    <cfRule type="cellIs" dxfId="33394" priority="6111" stopIfTrue="1" operator="equal">
      <formula>"Napkin Hs"</formula>
    </cfRule>
    <cfRule type="cellIs" dxfId="33393" priority="6112" stopIfTrue="1" operator="equal">
      <formula>"Towel"</formula>
    </cfRule>
    <cfRule type="cellIs" dxfId="33392" priority="6113" stopIfTrue="1" operator="equal">
      <formula>"Napkin Hs"</formula>
    </cfRule>
  </conditionalFormatting>
  <conditionalFormatting sqref="C44:C45">
    <cfRule type="cellIs" dxfId="33391" priority="6114" stopIfTrue="1" operator="equal">
      <formula>"Towel"</formula>
    </cfRule>
    <cfRule type="cellIs" dxfId="33390" priority="6115" stopIfTrue="1" operator="equal">
      <formula>"Napkin Hs"</formula>
    </cfRule>
  </conditionalFormatting>
  <conditionalFormatting sqref="C45">
    <cfRule type="cellIs" dxfId="33389" priority="6116" stopIfTrue="1" operator="equal">
      <formula>"Towel"</formula>
    </cfRule>
    <cfRule type="cellIs" dxfId="33388" priority="6117" stopIfTrue="1" operator="equal">
      <formula>"Napkin Hs"</formula>
    </cfRule>
    <cfRule type="cellIs" dxfId="33387" priority="6120" stopIfTrue="1" operator="equal">
      <formula>"Towel"</formula>
    </cfRule>
    <cfRule type="cellIs" dxfId="33386" priority="6121" stopIfTrue="1" operator="equal">
      <formula>"Napkin Hs"</formula>
    </cfRule>
    <cfRule type="cellIs" dxfId="33385" priority="7164" stopIfTrue="1" operator="equal">
      <formula>"Towel"</formula>
    </cfRule>
    <cfRule type="cellIs" dxfId="33384" priority="7165" stopIfTrue="1" operator="equal">
      <formula>"Napkin Hs"</formula>
    </cfRule>
    <cfRule type="cellIs" dxfId="33383" priority="7168" stopIfTrue="1" operator="equal">
      <formula>"Towel"</formula>
    </cfRule>
    <cfRule type="cellIs" dxfId="33382" priority="7169" stopIfTrue="1" operator="equal">
      <formula>"Napkin Hs"</formula>
    </cfRule>
    <cfRule type="cellIs" dxfId="33381" priority="7170" stopIfTrue="1" operator="equal">
      <formula>"Towel"</formula>
    </cfRule>
    <cfRule type="cellIs" dxfId="33380" priority="7171" stopIfTrue="1" operator="equal">
      <formula>"Napkin Hs"</formula>
    </cfRule>
    <cfRule type="cellIs" dxfId="33379" priority="7174" stopIfTrue="1" operator="equal">
      <formula>"Towel"</formula>
    </cfRule>
    <cfRule type="cellIs" dxfId="33378" priority="7175" stopIfTrue="1" operator="equal">
      <formula>"Napkin Hs"</formula>
    </cfRule>
    <cfRule type="cellIs" dxfId="33377" priority="7176" stopIfTrue="1" operator="equal">
      <formula>"Towel"</formula>
    </cfRule>
    <cfRule type="cellIs" dxfId="33376" priority="7177" stopIfTrue="1" operator="equal">
      <formula>"Napkin Hs"</formula>
    </cfRule>
    <cfRule type="cellIs" dxfId="33375" priority="7180" stopIfTrue="1" operator="equal">
      <formula>"Towel"</formula>
    </cfRule>
    <cfRule type="cellIs" dxfId="33374" priority="7181" stopIfTrue="1" operator="equal">
      <formula>"Napkin Hs"</formula>
    </cfRule>
    <cfRule type="cellIs" dxfId="33373" priority="7182" stopIfTrue="1" operator="equal">
      <formula>"Towel"</formula>
    </cfRule>
    <cfRule type="cellIs" dxfId="33372" priority="7183" stopIfTrue="1" operator="equal">
      <formula>"Napkin Hs"</formula>
    </cfRule>
    <cfRule type="cellIs" dxfId="33371" priority="7222" stopIfTrue="1" operator="equal">
      <formula>"Towel"</formula>
    </cfRule>
    <cfRule type="cellIs" dxfId="33370" priority="7223" stopIfTrue="1" operator="equal">
      <formula>"Napkin Hs"</formula>
    </cfRule>
    <cfRule type="cellIs" dxfId="33369" priority="7224" stopIfTrue="1" operator="equal">
      <formula>"Towel"</formula>
    </cfRule>
    <cfRule type="cellIs" dxfId="33368" priority="7225" stopIfTrue="1" operator="equal">
      <formula>"Napkin Hs"</formula>
    </cfRule>
  </conditionalFormatting>
  <conditionalFormatting sqref="C46">
    <cfRule type="cellIs" dxfId="33367" priority="5917" stopIfTrue="1" operator="equal">
      <formula>"Towel"</formula>
    </cfRule>
    <cfRule type="cellIs" dxfId="33366" priority="5918" stopIfTrue="1" operator="equal">
      <formula>"Napkin Hs"</formula>
    </cfRule>
    <cfRule type="cellIs" dxfId="33365" priority="5919" stopIfTrue="1" operator="equal">
      <formula>"Towel"</formula>
    </cfRule>
    <cfRule type="cellIs" dxfId="33364" priority="5920" stopIfTrue="1" operator="equal">
      <formula>"Napkin Hs"</formula>
    </cfRule>
    <cfRule type="cellIs" dxfId="33363" priority="5921" stopIfTrue="1" operator="equal">
      <formula>"Towel"</formula>
    </cfRule>
    <cfRule type="cellIs" dxfId="33362" priority="5922" stopIfTrue="1" operator="equal">
      <formula>"Napkin Hs"</formula>
    </cfRule>
    <cfRule type="cellIs" dxfId="33361" priority="5923" stopIfTrue="1" operator="equal">
      <formula>"Towel"</formula>
    </cfRule>
    <cfRule type="cellIs" dxfId="33360" priority="5924" stopIfTrue="1" operator="equal">
      <formula>"Napkin Hs"</formula>
    </cfRule>
    <cfRule type="cellIs" dxfId="33359" priority="5925" stopIfTrue="1" operator="equal">
      <formula>"Towel"</formula>
    </cfRule>
    <cfRule type="cellIs" dxfId="33358" priority="5926" stopIfTrue="1" operator="equal">
      <formula>"Napkin Hs"</formula>
    </cfRule>
    <cfRule type="cellIs" dxfId="33357" priority="5927" stopIfTrue="1" operator="equal">
      <formula>"Towel"</formula>
    </cfRule>
    <cfRule type="cellIs" dxfId="33356" priority="5928" stopIfTrue="1" operator="equal">
      <formula>"Napkin Hs"</formula>
    </cfRule>
    <cfRule type="cellIs" dxfId="33355" priority="5929" stopIfTrue="1" operator="equal">
      <formula>"Towel"</formula>
    </cfRule>
    <cfRule type="cellIs" dxfId="33354" priority="5930" stopIfTrue="1" operator="equal">
      <formula>"Napkin Hs"</formula>
    </cfRule>
    <cfRule type="cellIs" dxfId="33353" priority="5933" stopIfTrue="1" operator="equal">
      <formula>"Towel"</formula>
    </cfRule>
    <cfRule type="cellIs" dxfId="33352" priority="5934" stopIfTrue="1" operator="equal">
      <formula>"Napkin Hs"</formula>
    </cfRule>
    <cfRule type="cellIs" dxfId="33351" priority="5935" stopIfTrue="1" operator="equal">
      <formula>"Towel"</formula>
    </cfRule>
    <cfRule type="cellIs" dxfId="33350" priority="5936" stopIfTrue="1" operator="equal">
      <formula>"Napkin Hs"</formula>
    </cfRule>
    <cfRule type="cellIs" dxfId="33349" priority="5939" stopIfTrue="1" operator="equal">
      <formula>"Towel"</formula>
    </cfRule>
    <cfRule type="cellIs" dxfId="33348" priority="5940" stopIfTrue="1" operator="equal">
      <formula>"Napkin Hs"</formula>
    </cfRule>
    <cfRule type="cellIs" dxfId="33347" priority="5941" stopIfTrue="1" operator="equal">
      <formula>"Towel"</formula>
    </cfRule>
    <cfRule type="cellIs" dxfId="33346" priority="5942" stopIfTrue="1" operator="equal">
      <formula>"Napkin Hs"</formula>
    </cfRule>
    <cfRule type="cellIs" dxfId="33345" priority="5945" stopIfTrue="1" operator="equal">
      <formula>"Towel"</formula>
    </cfRule>
    <cfRule type="cellIs" dxfId="33344" priority="5946" stopIfTrue="1" operator="equal">
      <formula>"Napkin Hs"</formula>
    </cfRule>
    <cfRule type="cellIs" dxfId="33343" priority="5947" stopIfTrue="1" operator="equal">
      <formula>"Towel"</formula>
    </cfRule>
    <cfRule type="cellIs" dxfId="33342" priority="5948" stopIfTrue="1" operator="equal">
      <formula>"Napkin Hs"</formula>
    </cfRule>
    <cfRule type="cellIs" dxfId="33341" priority="5951" stopIfTrue="1" operator="equal">
      <formula>"Towel"</formula>
    </cfRule>
    <cfRule type="cellIs" dxfId="33340" priority="5952" stopIfTrue="1" operator="equal">
      <formula>"Napkin Hs"</formula>
    </cfRule>
    <cfRule type="cellIs" dxfId="33339" priority="5953" stopIfTrue="1" operator="equal">
      <formula>"Towel"</formula>
    </cfRule>
    <cfRule type="cellIs" dxfId="33338" priority="5954" stopIfTrue="1" operator="equal">
      <formula>"Napkin Hs"</formula>
    </cfRule>
    <cfRule type="cellIs" dxfId="33337" priority="5957" stopIfTrue="1" operator="equal">
      <formula>"Towel"</formula>
    </cfRule>
    <cfRule type="cellIs" dxfId="33336" priority="5958" stopIfTrue="1" operator="equal">
      <formula>"Napkin Hs"</formula>
    </cfRule>
    <cfRule type="cellIs" dxfId="33335" priority="5959" stopIfTrue="1" operator="equal">
      <formula>"Towel"</formula>
    </cfRule>
    <cfRule type="cellIs" dxfId="33334" priority="5960" stopIfTrue="1" operator="equal">
      <formula>"Napkin Hs"</formula>
    </cfRule>
    <cfRule type="cellIs" dxfId="33333" priority="5963" stopIfTrue="1" operator="equal">
      <formula>"Towel"</formula>
    </cfRule>
    <cfRule type="cellIs" dxfId="33332" priority="5964" stopIfTrue="1" operator="equal">
      <formula>"Napkin Hs"</formula>
    </cfRule>
    <cfRule type="cellIs" dxfId="33331" priority="5965" stopIfTrue="1" operator="equal">
      <formula>"Towel"</formula>
    </cfRule>
    <cfRule type="cellIs" dxfId="33330" priority="5966" stopIfTrue="1" operator="equal">
      <formula>"Napkin Hs"</formula>
    </cfRule>
    <cfRule type="cellIs" dxfId="33329" priority="5969" stopIfTrue="1" operator="equal">
      <formula>"Towel"</formula>
    </cfRule>
    <cfRule type="cellIs" dxfId="33328" priority="5970" stopIfTrue="1" operator="equal">
      <formula>"Napkin Hs"</formula>
    </cfRule>
    <cfRule type="cellIs" dxfId="33327" priority="5971" stopIfTrue="1" operator="equal">
      <formula>"Towel"</formula>
    </cfRule>
    <cfRule type="cellIs" dxfId="33326" priority="5972" stopIfTrue="1" operator="equal">
      <formula>"Napkin Hs"</formula>
    </cfRule>
  </conditionalFormatting>
  <conditionalFormatting sqref="C47">
    <cfRule type="cellIs" dxfId="33325" priority="5899" stopIfTrue="1" operator="equal">
      <formula>"Towel"</formula>
    </cfRule>
    <cfRule type="cellIs" dxfId="33324" priority="5900" stopIfTrue="1" operator="equal">
      <formula>"Napkin Hs"</formula>
    </cfRule>
    <cfRule type="cellIs" dxfId="33323" priority="5901" stopIfTrue="1" operator="equal">
      <formula>"Towel"</formula>
    </cfRule>
    <cfRule type="cellIs" dxfId="33322" priority="5902" stopIfTrue="1" operator="equal">
      <formula>"Napkin Hs"</formula>
    </cfRule>
    <cfRule type="cellIs" dxfId="33321" priority="5903" stopIfTrue="1" operator="equal">
      <formula>"Towel"</formula>
    </cfRule>
    <cfRule type="cellIs" dxfId="33320" priority="5904" stopIfTrue="1" operator="equal">
      <formula>"Napkin Hs"</formula>
    </cfRule>
    <cfRule type="cellIs" dxfId="33319" priority="5905" stopIfTrue="1" operator="equal">
      <formula>"Towel"</formula>
    </cfRule>
    <cfRule type="cellIs" dxfId="33318" priority="5906" stopIfTrue="1" operator="equal">
      <formula>"Napkin Hs"</formula>
    </cfRule>
    <cfRule type="cellIs" dxfId="33317" priority="5907" stopIfTrue="1" operator="equal">
      <formula>"Towel"</formula>
    </cfRule>
    <cfRule type="cellIs" dxfId="33316" priority="5908" stopIfTrue="1" operator="equal">
      <formula>"Napkin Hs"</formula>
    </cfRule>
    <cfRule type="cellIs" dxfId="33315" priority="5909" stopIfTrue="1" operator="equal">
      <formula>"Towel"</formula>
    </cfRule>
    <cfRule type="cellIs" dxfId="33314" priority="5910" stopIfTrue="1" operator="equal">
      <formula>"Napkin Hs"</formula>
    </cfRule>
    <cfRule type="cellIs" dxfId="33313" priority="5911" stopIfTrue="1" operator="equal">
      <formula>"Towel"</formula>
    </cfRule>
    <cfRule type="cellIs" dxfId="33312" priority="5912" stopIfTrue="1" operator="equal">
      <formula>"Napkin Hs"</formula>
    </cfRule>
    <cfRule type="cellIs" dxfId="33311" priority="5913" stopIfTrue="1" operator="equal">
      <formula>"Towel"</formula>
    </cfRule>
    <cfRule type="cellIs" dxfId="33310" priority="5914" stopIfTrue="1" operator="equal">
      <formula>"Napkin Hs"</formula>
    </cfRule>
  </conditionalFormatting>
  <conditionalFormatting sqref="C48">
    <cfRule type="cellIs" dxfId="33309" priority="5976" stopIfTrue="1" operator="equal">
      <formula>"Towel"</formula>
    </cfRule>
    <cfRule type="cellIs" dxfId="33308" priority="5977" stopIfTrue="1" operator="equal">
      <formula>"Napkin Hs"</formula>
    </cfRule>
    <cfRule type="cellIs" dxfId="33307" priority="5978" stopIfTrue="1" operator="equal">
      <formula>"Towel"</formula>
    </cfRule>
    <cfRule type="cellIs" dxfId="33306" priority="5979" stopIfTrue="1" operator="equal">
      <formula>"Napkin Hs"</formula>
    </cfRule>
    <cfRule type="cellIs" dxfId="33305" priority="5980" stopIfTrue="1" operator="equal">
      <formula>"Towel"</formula>
    </cfRule>
    <cfRule type="cellIs" dxfId="33304" priority="5981" stopIfTrue="1" operator="equal">
      <formula>"Napkin Hs"</formula>
    </cfRule>
    <cfRule type="cellIs" dxfId="33303" priority="5982" stopIfTrue="1" operator="equal">
      <formula>"Towel"</formula>
    </cfRule>
    <cfRule type="cellIs" dxfId="33302" priority="5983" stopIfTrue="1" operator="equal">
      <formula>"Napkin Hs"</formula>
    </cfRule>
    <cfRule type="cellIs" dxfId="33301" priority="5984" stopIfTrue="1" operator="equal">
      <formula>"Towel"</formula>
    </cfRule>
    <cfRule type="cellIs" dxfId="33300" priority="5985" stopIfTrue="1" operator="equal">
      <formula>"Napkin Hs"</formula>
    </cfRule>
    <cfRule type="cellIs" dxfId="33299" priority="5986" stopIfTrue="1" operator="equal">
      <formula>"Towel"</formula>
    </cfRule>
    <cfRule type="cellIs" dxfId="33298" priority="5987" stopIfTrue="1" operator="equal">
      <formula>"Napkin Hs"</formula>
    </cfRule>
    <cfRule type="cellIs" dxfId="33297" priority="5988" stopIfTrue="1" operator="equal">
      <formula>"Towel"</formula>
    </cfRule>
    <cfRule type="cellIs" dxfId="33296" priority="5989" stopIfTrue="1" operator="equal">
      <formula>"Napkin Hs"</formula>
    </cfRule>
    <cfRule type="cellIs" dxfId="33295" priority="5992" stopIfTrue="1" operator="equal">
      <formula>"Towel"</formula>
    </cfRule>
    <cfRule type="cellIs" dxfId="33294" priority="5993" stopIfTrue="1" operator="equal">
      <formula>"Napkin Hs"</formula>
    </cfRule>
    <cfRule type="cellIs" dxfId="33293" priority="5994" stopIfTrue="1" operator="equal">
      <formula>"Towel"</formula>
    </cfRule>
    <cfRule type="cellIs" dxfId="33292" priority="5995" stopIfTrue="1" operator="equal">
      <formula>"Napkin Hs"</formula>
    </cfRule>
    <cfRule type="cellIs" dxfId="33291" priority="5998" stopIfTrue="1" operator="equal">
      <formula>"Towel"</formula>
    </cfRule>
    <cfRule type="cellIs" dxfId="33290" priority="5999" stopIfTrue="1" operator="equal">
      <formula>"Napkin Hs"</formula>
    </cfRule>
    <cfRule type="cellIs" dxfId="33289" priority="6000" stopIfTrue="1" operator="equal">
      <formula>"Towel"</formula>
    </cfRule>
    <cfRule type="cellIs" dxfId="33288" priority="6001" stopIfTrue="1" operator="equal">
      <formula>"Napkin Hs"</formula>
    </cfRule>
    <cfRule type="cellIs" dxfId="33287" priority="6004" stopIfTrue="1" operator="equal">
      <formula>"Towel"</formula>
    </cfRule>
    <cfRule type="cellIs" dxfId="33286" priority="6005" stopIfTrue="1" operator="equal">
      <formula>"Napkin Hs"</formula>
    </cfRule>
    <cfRule type="cellIs" dxfId="33285" priority="6006" stopIfTrue="1" operator="equal">
      <formula>"Towel"</formula>
    </cfRule>
    <cfRule type="cellIs" dxfId="33284" priority="6007" stopIfTrue="1" operator="equal">
      <formula>"Napkin Hs"</formula>
    </cfRule>
    <cfRule type="cellIs" dxfId="33283" priority="6010" stopIfTrue="1" operator="equal">
      <formula>"Towel"</formula>
    </cfRule>
    <cfRule type="cellIs" dxfId="33282" priority="6011" stopIfTrue="1" operator="equal">
      <formula>"Napkin Hs"</formula>
    </cfRule>
    <cfRule type="cellIs" dxfId="33281" priority="6012" stopIfTrue="1" operator="equal">
      <formula>"Towel"</formula>
    </cfRule>
    <cfRule type="cellIs" dxfId="33280" priority="6013" stopIfTrue="1" operator="equal">
      <formula>"Napkin Hs"</formula>
    </cfRule>
    <cfRule type="cellIs" dxfId="33279" priority="6016" stopIfTrue="1" operator="equal">
      <formula>"Towel"</formula>
    </cfRule>
    <cfRule type="cellIs" dxfId="33278" priority="6017" stopIfTrue="1" operator="equal">
      <formula>"Napkin Hs"</formula>
    </cfRule>
    <cfRule type="cellIs" dxfId="33277" priority="6018" stopIfTrue="1" operator="equal">
      <formula>"Towel"</formula>
    </cfRule>
    <cfRule type="cellIs" dxfId="33276" priority="6019" stopIfTrue="1" operator="equal">
      <formula>"Napkin Hs"</formula>
    </cfRule>
    <cfRule type="cellIs" dxfId="33275" priority="6022" stopIfTrue="1" operator="equal">
      <formula>"Towel"</formula>
    </cfRule>
    <cfRule type="cellIs" dxfId="33274" priority="6023" stopIfTrue="1" operator="equal">
      <formula>"Napkin Hs"</formula>
    </cfRule>
  </conditionalFormatting>
  <conditionalFormatting sqref="C48:C49">
    <cfRule type="cellIs" dxfId="33273" priority="6024" stopIfTrue="1" operator="equal">
      <formula>"Towel"</formula>
    </cfRule>
    <cfRule type="cellIs" dxfId="33272" priority="6025" stopIfTrue="1" operator="equal">
      <formula>"Napkin Hs"</formula>
    </cfRule>
  </conditionalFormatting>
  <conditionalFormatting sqref="C49">
    <cfRule type="cellIs" dxfId="33271" priority="7084" stopIfTrue="1" operator="equal">
      <formula>"Towel"</formula>
    </cfRule>
    <cfRule type="cellIs" dxfId="33270" priority="7085" stopIfTrue="1" operator="equal">
      <formula>"Napkin Hs"</formula>
    </cfRule>
    <cfRule type="cellIs" dxfId="33269" priority="7088" stopIfTrue="1" operator="equal">
      <formula>"Towel"</formula>
    </cfRule>
    <cfRule type="cellIs" dxfId="33268" priority="7089" stopIfTrue="1" operator="equal">
      <formula>"Napkin Hs"</formula>
    </cfRule>
    <cfRule type="cellIs" dxfId="33267" priority="7090" stopIfTrue="1" operator="equal">
      <formula>"Towel"</formula>
    </cfRule>
    <cfRule type="cellIs" dxfId="33266" priority="7091" stopIfTrue="1" operator="equal">
      <formula>"Napkin Hs"</formula>
    </cfRule>
    <cfRule type="cellIs" dxfId="33265" priority="7094" stopIfTrue="1" operator="equal">
      <formula>"Towel"</formula>
    </cfRule>
    <cfRule type="cellIs" dxfId="33264" priority="7095" stopIfTrue="1" operator="equal">
      <formula>"Napkin Hs"</formula>
    </cfRule>
    <cfRule type="cellIs" dxfId="33263" priority="7096" stopIfTrue="1" operator="equal">
      <formula>"Towel"</formula>
    </cfRule>
    <cfRule type="cellIs" dxfId="33262" priority="7097" stopIfTrue="1" operator="equal">
      <formula>"Napkin Hs"</formula>
    </cfRule>
    <cfRule type="cellIs" dxfId="33261" priority="7100" stopIfTrue="1" operator="equal">
      <formula>"Towel"</formula>
    </cfRule>
    <cfRule type="cellIs" dxfId="33260" priority="7101" stopIfTrue="1" operator="equal">
      <formula>"Napkin Hs"</formula>
    </cfRule>
    <cfRule type="cellIs" dxfId="33259" priority="7102" stopIfTrue="1" operator="equal">
      <formula>"Towel"</formula>
    </cfRule>
    <cfRule type="cellIs" dxfId="33258" priority="7103" stopIfTrue="1" operator="equal">
      <formula>"Napkin Hs"</formula>
    </cfRule>
    <cfRule type="cellIs" dxfId="33257" priority="7106" stopIfTrue="1" operator="equal">
      <formula>"Towel"</formula>
    </cfRule>
    <cfRule type="cellIs" dxfId="33256" priority="7107" stopIfTrue="1" operator="equal">
      <formula>"Napkin Hs"</formula>
    </cfRule>
    <cfRule type="cellIs" dxfId="33255" priority="7108" stopIfTrue="1" operator="equal">
      <formula>"Towel"</formula>
    </cfRule>
    <cfRule type="cellIs" dxfId="33254" priority="7109" stopIfTrue="1" operator="equal">
      <formula>"Napkin Hs"</formula>
    </cfRule>
    <cfRule type="cellIs" dxfId="33253" priority="7112" stopIfTrue="1" operator="equal">
      <formula>"Towel"</formula>
    </cfRule>
    <cfRule type="cellIs" dxfId="33252" priority="7113" stopIfTrue="1" operator="equal">
      <formula>"Napkin Hs"</formula>
    </cfRule>
    <cfRule type="cellIs" dxfId="33251" priority="7114" stopIfTrue="1" operator="equal">
      <formula>"Towel"</formula>
    </cfRule>
    <cfRule type="cellIs" dxfId="33250" priority="7115" stopIfTrue="1" operator="equal">
      <formula>"Napkin Hs"</formula>
    </cfRule>
    <cfRule type="cellIs" dxfId="33249" priority="7118" stopIfTrue="1" operator="equal">
      <formula>"Towel"</formula>
    </cfRule>
    <cfRule type="cellIs" dxfId="33248" priority="7119" stopIfTrue="1" operator="equal">
      <formula>"Napkin Hs"</formula>
    </cfRule>
    <cfRule type="cellIs" dxfId="33247" priority="7120" stopIfTrue="1" operator="equal">
      <formula>"Towel"</formula>
    </cfRule>
    <cfRule type="cellIs" dxfId="33246" priority="7121" stopIfTrue="1" operator="equal">
      <formula>"Napkin Hs"</formula>
    </cfRule>
    <cfRule type="cellIs" dxfId="33245" priority="7216" stopIfTrue="1" operator="equal">
      <formula>"Towel"</formula>
    </cfRule>
    <cfRule type="cellIs" dxfId="33244" priority="7217" stopIfTrue="1" operator="equal">
      <formula>"Napkin Hs"</formula>
    </cfRule>
    <cfRule type="cellIs" dxfId="33243" priority="7218" stopIfTrue="1" operator="equal">
      <formula>"Towel"</formula>
    </cfRule>
    <cfRule type="cellIs" dxfId="33242" priority="7219" stopIfTrue="1" operator="equal">
      <formula>"Napkin Hs"</formula>
    </cfRule>
  </conditionalFormatting>
  <conditionalFormatting sqref="C50">
    <cfRule type="cellIs" dxfId="33241" priority="5764" stopIfTrue="1" operator="equal">
      <formula>"Towel"</formula>
    </cfRule>
    <cfRule type="cellIs" dxfId="33240" priority="5765" stopIfTrue="1" operator="equal">
      <formula>"Napkin Hs"</formula>
    </cfRule>
    <cfRule type="cellIs" dxfId="33239" priority="5766" stopIfTrue="1" operator="equal">
      <formula>"Towel"</formula>
    </cfRule>
    <cfRule type="cellIs" dxfId="33238" priority="5767" stopIfTrue="1" operator="equal">
      <formula>"Napkin Hs"</formula>
    </cfRule>
    <cfRule type="cellIs" dxfId="33237" priority="5768" stopIfTrue="1" operator="equal">
      <formula>"Towel"</formula>
    </cfRule>
    <cfRule type="cellIs" dxfId="33236" priority="5769" stopIfTrue="1" operator="equal">
      <formula>"Napkin Hs"</formula>
    </cfRule>
    <cfRule type="cellIs" dxfId="33235" priority="5770" stopIfTrue="1" operator="equal">
      <formula>"Towel"</formula>
    </cfRule>
    <cfRule type="cellIs" dxfId="33234" priority="5771" stopIfTrue="1" operator="equal">
      <formula>"Napkin Hs"</formula>
    </cfRule>
    <cfRule type="cellIs" dxfId="33233" priority="5772" stopIfTrue="1" operator="equal">
      <formula>"Towel"</formula>
    </cfRule>
    <cfRule type="cellIs" dxfId="33232" priority="5773" stopIfTrue="1" operator="equal">
      <formula>"Napkin Hs"</formula>
    </cfRule>
    <cfRule type="cellIs" dxfId="33231" priority="5774" stopIfTrue="1" operator="equal">
      <formula>"Towel"</formula>
    </cfRule>
    <cfRule type="cellIs" dxfId="33230" priority="5775" stopIfTrue="1" operator="equal">
      <formula>"Napkin Hs"</formula>
    </cfRule>
    <cfRule type="cellIs" dxfId="33229" priority="5776" stopIfTrue="1" operator="equal">
      <formula>"Towel"</formula>
    </cfRule>
    <cfRule type="cellIs" dxfId="33228" priority="5777" stopIfTrue="1" operator="equal">
      <formula>"Napkin Hs"</formula>
    </cfRule>
  </conditionalFormatting>
  <conditionalFormatting sqref="C50:C51">
    <cfRule type="cellIs" dxfId="33227" priority="5778" stopIfTrue="1" operator="equal">
      <formula>"Towel"</formula>
    </cfRule>
    <cfRule type="cellIs" dxfId="33226" priority="5779" stopIfTrue="1" operator="equal">
      <formula>"Napkin Hs"</formula>
    </cfRule>
  </conditionalFormatting>
  <conditionalFormatting sqref="C51">
    <cfRule type="cellIs" dxfId="33225" priority="5782" stopIfTrue="1" operator="equal">
      <formula>"Towel"</formula>
    </cfRule>
    <cfRule type="cellIs" dxfId="33224" priority="5783" stopIfTrue="1" operator="equal">
      <formula>"Napkin Hs"</formula>
    </cfRule>
    <cfRule type="cellIs" dxfId="33223" priority="5784" stopIfTrue="1" operator="equal">
      <formula>"Towel"</formula>
    </cfRule>
    <cfRule type="cellIs" dxfId="33222" priority="5785" stopIfTrue="1" operator="equal">
      <formula>"Napkin Hs"</formula>
    </cfRule>
    <cfRule type="cellIs" dxfId="33221" priority="5786" stopIfTrue="1" operator="equal">
      <formula>"Towel"</formula>
    </cfRule>
    <cfRule type="cellIs" dxfId="33220" priority="5787" stopIfTrue="1" operator="equal">
      <formula>"Napkin Hs"</formula>
    </cfRule>
    <cfRule type="cellIs" dxfId="33219" priority="5788" stopIfTrue="1" operator="equal">
      <formula>"Towel"</formula>
    </cfRule>
    <cfRule type="cellIs" dxfId="33218" priority="5789" stopIfTrue="1" operator="equal">
      <formula>"Napkin Hs"</formula>
    </cfRule>
    <cfRule type="cellIs" dxfId="33217" priority="5790" stopIfTrue="1" operator="equal">
      <formula>"Towel"</formula>
    </cfRule>
    <cfRule type="cellIs" dxfId="33216" priority="5791" stopIfTrue="1" operator="equal">
      <formula>"Napkin Hs"</formula>
    </cfRule>
    <cfRule type="cellIs" dxfId="33215" priority="5792" stopIfTrue="1" operator="equal">
      <formula>"Towel"</formula>
    </cfRule>
    <cfRule type="cellIs" dxfId="33214" priority="5793" stopIfTrue="1" operator="equal">
      <formula>"Napkin Hs"</formula>
    </cfRule>
    <cfRule type="cellIs" dxfId="33213" priority="5794" stopIfTrue="1" operator="equal">
      <formula>"Towel"</formula>
    </cfRule>
    <cfRule type="cellIs" dxfId="33212" priority="5795" stopIfTrue="1" operator="equal">
      <formula>"Napkin Hs"</formula>
    </cfRule>
  </conditionalFormatting>
  <conditionalFormatting sqref="C52">
    <cfRule type="cellIs" dxfId="33211" priority="5799" stopIfTrue="1" operator="equal">
      <formula>"Towel"</formula>
    </cfRule>
    <cfRule type="cellIs" dxfId="33210" priority="5800" stopIfTrue="1" operator="equal">
      <formula>"Napkin Hs"</formula>
    </cfRule>
    <cfRule type="cellIs" dxfId="33209" priority="5801" stopIfTrue="1" operator="equal">
      <formula>"Towel"</formula>
    </cfRule>
    <cfRule type="cellIs" dxfId="33208" priority="5802" stopIfTrue="1" operator="equal">
      <formula>"Napkin Hs"</formula>
    </cfRule>
    <cfRule type="cellIs" dxfId="33207" priority="5803" stopIfTrue="1" operator="equal">
      <formula>"Towel"</formula>
    </cfRule>
    <cfRule type="cellIs" dxfId="33206" priority="5804" stopIfTrue="1" operator="equal">
      <formula>"Napkin Hs"</formula>
    </cfRule>
    <cfRule type="cellIs" dxfId="33205" priority="5805" stopIfTrue="1" operator="equal">
      <formula>"Towel"</formula>
    </cfRule>
    <cfRule type="cellIs" dxfId="33204" priority="5806" stopIfTrue="1" operator="equal">
      <formula>"Napkin Hs"</formula>
    </cfRule>
    <cfRule type="cellIs" dxfId="33203" priority="5807" stopIfTrue="1" operator="equal">
      <formula>"Towel"</formula>
    </cfRule>
    <cfRule type="cellIs" dxfId="33202" priority="5808" stopIfTrue="1" operator="equal">
      <formula>"Napkin Hs"</formula>
    </cfRule>
    <cfRule type="cellIs" dxfId="33201" priority="5809" stopIfTrue="1" operator="equal">
      <formula>"Towel"</formula>
    </cfRule>
    <cfRule type="cellIs" dxfId="33200" priority="5810" stopIfTrue="1" operator="equal">
      <formula>"Napkin Hs"</formula>
    </cfRule>
    <cfRule type="cellIs" dxfId="33199" priority="5811" stopIfTrue="1" operator="equal">
      <formula>"Towel"</formula>
    </cfRule>
    <cfRule type="cellIs" dxfId="33198" priority="5812" stopIfTrue="1" operator="equal">
      <formula>"Napkin Hs"</formula>
    </cfRule>
    <cfRule type="cellIs" dxfId="33197" priority="5815" stopIfTrue="1" operator="equal">
      <formula>"Towel"</formula>
    </cfRule>
    <cfRule type="cellIs" dxfId="33196" priority="5816" stopIfTrue="1" operator="equal">
      <formula>"Napkin Hs"</formula>
    </cfRule>
    <cfRule type="cellIs" dxfId="33195" priority="5817" stopIfTrue="1" operator="equal">
      <formula>"Towel"</formula>
    </cfRule>
    <cfRule type="cellIs" dxfId="33194" priority="5818" stopIfTrue="1" operator="equal">
      <formula>"Napkin Hs"</formula>
    </cfRule>
    <cfRule type="cellIs" dxfId="33193" priority="5821" stopIfTrue="1" operator="equal">
      <formula>"Towel"</formula>
    </cfRule>
    <cfRule type="cellIs" dxfId="33192" priority="5822" stopIfTrue="1" operator="equal">
      <formula>"Napkin Hs"</formula>
    </cfRule>
    <cfRule type="cellIs" dxfId="33191" priority="5823" stopIfTrue="1" operator="equal">
      <formula>"Towel"</formula>
    </cfRule>
    <cfRule type="cellIs" dxfId="33190" priority="5824" stopIfTrue="1" operator="equal">
      <formula>"Napkin Hs"</formula>
    </cfRule>
    <cfRule type="cellIs" dxfId="33189" priority="5827" stopIfTrue="1" operator="equal">
      <formula>"Towel"</formula>
    </cfRule>
    <cfRule type="cellIs" dxfId="33188" priority="5828" stopIfTrue="1" operator="equal">
      <formula>"Napkin Hs"</formula>
    </cfRule>
    <cfRule type="cellIs" dxfId="33187" priority="5829" stopIfTrue="1" operator="equal">
      <formula>"Towel"</formula>
    </cfRule>
    <cfRule type="cellIs" dxfId="33186" priority="5830" stopIfTrue="1" operator="equal">
      <formula>"Napkin Hs"</formula>
    </cfRule>
    <cfRule type="cellIs" dxfId="33185" priority="5833" stopIfTrue="1" operator="equal">
      <formula>"Towel"</formula>
    </cfRule>
    <cfRule type="cellIs" dxfId="33184" priority="5834" stopIfTrue="1" operator="equal">
      <formula>"Napkin Hs"</formula>
    </cfRule>
    <cfRule type="cellIs" dxfId="33183" priority="5835" stopIfTrue="1" operator="equal">
      <formula>"Towel"</formula>
    </cfRule>
    <cfRule type="cellIs" dxfId="33182" priority="5836" stopIfTrue="1" operator="equal">
      <formula>"Napkin Hs"</formula>
    </cfRule>
    <cfRule type="cellIs" dxfId="33181" priority="5839" stopIfTrue="1" operator="equal">
      <formula>"Towel"</formula>
    </cfRule>
    <cfRule type="cellIs" dxfId="33180" priority="5840" stopIfTrue="1" operator="equal">
      <formula>"Napkin Hs"</formula>
    </cfRule>
    <cfRule type="cellIs" dxfId="33179" priority="5841" stopIfTrue="1" operator="equal">
      <formula>"Towel"</formula>
    </cfRule>
    <cfRule type="cellIs" dxfId="33178" priority="5842" stopIfTrue="1" operator="equal">
      <formula>"Napkin Hs"</formula>
    </cfRule>
    <cfRule type="cellIs" dxfId="33177" priority="5845" stopIfTrue="1" operator="equal">
      <formula>"Towel"</formula>
    </cfRule>
    <cfRule type="cellIs" dxfId="33176" priority="5846" stopIfTrue="1" operator="equal">
      <formula>"Napkin Hs"</formula>
    </cfRule>
  </conditionalFormatting>
  <conditionalFormatting sqref="C52:C53">
    <cfRule type="cellIs" dxfId="33175" priority="5847" stopIfTrue="1" operator="equal">
      <formula>"Towel"</formula>
    </cfRule>
    <cfRule type="cellIs" dxfId="33174" priority="5848" stopIfTrue="1" operator="equal">
      <formula>"Napkin Hs"</formula>
    </cfRule>
  </conditionalFormatting>
  <conditionalFormatting sqref="C53">
    <cfRule type="cellIs" dxfId="33173" priority="5851" stopIfTrue="1" operator="equal">
      <formula>"Towel"</formula>
    </cfRule>
    <cfRule type="cellIs" dxfId="33172" priority="5852" stopIfTrue="1" operator="equal">
      <formula>"Napkin Hs"</formula>
    </cfRule>
    <cfRule type="cellIs" dxfId="33171" priority="5855" stopIfTrue="1" operator="equal">
      <formula>"Towel"</formula>
    </cfRule>
    <cfRule type="cellIs" dxfId="33170" priority="5856" stopIfTrue="1" operator="equal">
      <formula>"Napkin Hs"</formula>
    </cfRule>
    <cfRule type="cellIs" dxfId="33169" priority="5857" stopIfTrue="1" operator="equal">
      <formula>"Towel"</formula>
    </cfRule>
    <cfRule type="cellIs" dxfId="33168" priority="5858" stopIfTrue="1" operator="equal">
      <formula>"Napkin Hs"</formula>
    </cfRule>
    <cfRule type="cellIs" dxfId="33167" priority="5861" stopIfTrue="1" operator="equal">
      <formula>"Towel"</formula>
    </cfRule>
    <cfRule type="cellIs" dxfId="33166" priority="5862" stopIfTrue="1" operator="equal">
      <formula>"Napkin Hs"</formula>
    </cfRule>
    <cfRule type="cellIs" dxfId="33165" priority="5863" stopIfTrue="1" operator="equal">
      <formula>"Towel"</formula>
    </cfRule>
    <cfRule type="cellIs" dxfId="33164" priority="5864" stopIfTrue="1" operator="equal">
      <formula>"Napkin Hs"</formula>
    </cfRule>
    <cfRule type="cellIs" dxfId="33163" priority="5867" stopIfTrue="1" operator="equal">
      <formula>"Towel"</formula>
    </cfRule>
    <cfRule type="cellIs" dxfId="33162" priority="5868" stopIfTrue="1" operator="equal">
      <formula>"Napkin Hs"</formula>
    </cfRule>
    <cfRule type="cellIs" dxfId="33161" priority="5869" stopIfTrue="1" operator="equal">
      <formula>"Towel"</formula>
    </cfRule>
    <cfRule type="cellIs" dxfId="33160" priority="5870" stopIfTrue="1" operator="equal">
      <formula>"Napkin Hs"</formula>
    </cfRule>
    <cfRule type="cellIs" dxfId="33159" priority="5873" stopIfTrue="1" operator="equal">
      <formula>"Towel"</formula>
    </cfRule>
    <cfRule type="cellIs" dxfId="33158" priority="5874" stopIfTrue="1" operator="equal">
      <formula>"Napkin Hs"</formula>
    </cfRule>
    <cfRule type="cellIs" dxfId="33157" priority="5875" stopIfTrue="1" operator="equal">
      <formula>"Towel"</formula>
    </cfRule>
    <cfRule type="cellIs" dxfId="33156" priority="5876" stopIfTrue="1" operator="equal">
      <formula>"Napkin Hs"</formula>
    </cfRule>
    <cfRule type="cellIs" dxfId="33155" priority="5879" stopIfTrue="1" operator="equal">
      <formula>"Towel"</formula>
    </cfRule>
    <cfRule type="cellIs" dxfId="33154" priority="5880" stopIfTrue="1" operator="equal">
      <formula>"Napkin Hs"</formula>
    </cfRule>
    <cfRule type="cellIs" dxfId="33153" priority="5881" stopIfTrue="1" operator="equal">
      <formula>"Towel"</formula>
    </cfRule>
    <cfRule type="cellIs" dxfId="33152" priority="5882" stopIfTrue="1" operator="equal">
      <formula>"Napkin Hs"</formula>
    </cfRule>
    <cfRule type="cellIs" dxfId="33151" priority="5885" stopIfTrue="1" operator="equal">
      <formula>"Towel"</formula>
    </cfRule>
    <cfRule type="cellIs" dxfId="33150" priority="5886" stopIfTrue="1" operator="equal">
      <formula>"Napkin Hs"</formula>
    </cfRule>
    <cfRule type="cellIs" dxfId="33149" priority="5887" stopIfTrue="1" operator="equal">
      <formula>"Towel"</formula>
    </cfRule>
    <cfRule type="cellIs" dxfId="33148" priority="5888" stopIfTrue="1" operator="equal">
      <formula>"Napkin Hs"</formula>
    </cfRule>
    <cfRule type="cellIs" dxfId="33147" priority="5891" stopIfTrue="1" operator="equal">
      <formula>"Towel"</formula>
    </cfRule>
    <cfRule type="cellIs" dxfId="33146" priority="5892" stopIfTrue="1" operator="equal">
      <formula>"Napkin Hs"</formula>
    </cfRule>
  </conditionalFormatting>
  <conditionalFormatting sqref="C53:C54">
    <cfRule type="cellIs" dxfId="33145" priority="5893" stopIfTrue="1" operator="equal">
      <formula>"Towel"</formula>
    </cfRule>
    <cfRule type="cellIs" dxfId="33144" priority="5894" stopIfTrue="1" operator="equal">
      <formula>"Napkin Hs"</formula>
    </cfRule>
  </conditionalFormatting>
  <conditionalFormatting sqref="C54">
    <cfRule type="cellIs" dxfId="33143" priority="7050" stopIfTrue="1" operator="equal">
      <formula>"Towel"</formula>
    </cfRule>
    <cfRule type="cellIs" dxfId="33142" priority="7051" stopIfTrue="1" operator="equal">
      <formula>"Napkin Hs"</formula>
    </cfRule>
    <cfRule type="cellIs" dxfId="33141" priority="7054" stopIfTrue="1" operator="equal">
      <formula>"Towel"</formula>
    </cfRule>
    <cfRule type="cellIs" dxfId="33140" priority="7055" stopIfTrue="1" operator="equal">
      <formula>"Napkin Hs"</formula>
    </cfRule>
    <cfRule type="cellIs" dxfId="33139" priority="7056" stopIfTrue="1" operator="equal">
      <formula>"Towel"</formula>
    </cfRule>
    <cfRule type="cellIs" dxfId="33138" priority="7057" stopIfTrue="1" operator="equal">
      <formula>"Napkin Hs"</formula>
    </cfRule>
    <cfRule type="cellIs" dxfId="33137" priority="7060" stopIfTrue="1" operator="equal">
      <formula>"Towel"</formula>
    </cfRule>
    <cfRule type="cellIs" dxfId="33136" priority="7061" stopIfTrue="1" operator="equal">
      <formula>"Napkin Hs"</formula>
    </cfRule>
    <cfRule type="cellIs" dxfId="33135" priority="7062" stopIfTrue="1" operator="equal">
      <formula>"Towel"</formula>
    </cfRule>
    <cfRule type="cellIs" dxfId="33134" priority="7063" stopIfTrue="1" operator="equal">
      <formula>"Napkin Hs"</formula>
    </cfRule>
    <cfRule type="cellIs" dxfId="33133" priority="7066" stopIfTrue="1" operator="equal">
      <formula>"Towel"</formula>
    </cfRule>
    <cfRule type="cellIs" dxfId="33132" priority="7067" stopIfTrue="1" operator="equal">
      <formula>"Napkin Hs"</formula>
    </cfRule>
    <cfRule type="cellIs" dxfId="33131" priority="7068" stopIfTrue="1" operator="equal">
      <formula>"Towel"</formula>
    </cfRule>
    <cfRule type="cellIs" dxfId="33130" priority="7069" stopIfTrue="1" operator="equal">
      <formula>"Napkin Hs"</formula>
    </cfRule>
    <cfRule type="cellIs" dxfId="33129" priority="7072" stopIfTrue="1" operator="equal">
      <formula>"Towel"</formula>
    </cfRule>
    <cfRule type="cellIs" dxfId="33128" priority="7073" stopIfTrue="1" operator="equal">
      <formula>"Napkin Hs"</formula>
    </cfRule>
    <cfRule type="cellIs" dxfId="33127" priority="7074" stopIfTrue="1" operator="equal">
      <formula>"Towel"</formula>
    </cfRule>
    <cfRule type="cellIs" dxfId="33126" priority="7075" stopIfTrue="1" operator="equal">
      <formula>"Napkin Hs"</formula>
    </cfRule>
    <cfRule type="cellIs" dxfId="33125" priority="7078" stopIfTrue="1" operator="equal">
      <formula>"Towel"</formula>
    </cfRule>
    <cfRule type="cellIs" dxfId="33124" priority="7079" stopIfTrue="1" operator="equal">
      <formula>"Napkin Hs"</formula>
    </cfRule>
    <cfRule type="cellIs" dxfId="33123" priority="7080" stopIfTrue="1" operator="equal">
      <formula>"Towel"</formula>
    </cfRule>
    <cfRule type="cellIs" dxfId="33122" priority="7081" stopIfTrue="1" operator="equal">
      <formula>"Napkin Hs"</formula>
    </cfRule>
  </conditionalFormatting>
  <conditionalFormatting sqref="C55">
    <cfRule type="cellIs" dxfId="33121" priority="5524" stopIfTrue="1" operator="equal">
      <formula>"Towel"</formula>
    </cfRule>
    <cfRule type="cellIs" dxfId="33120" priority="5525" stopIfTrue="1" operator="equal">
      <formula>"Napkin Hs"</formula>
    </cfRule>
    <cfRule type="cellIs" dxfId="33119" priority="5526" stopIfTrue="1" operator="equal">
      <formula>"Towel"</formula>
    </cfRule>
    <cfRule type="cellIs" dxfId="33118" priority="5527" stopIfTrue="1" operator="equal">
      <formula>"Napkin Hs"</formula>
    </cfRule>
    <cfRule type="cellIs" dxfId="33117" priority="5528" stopIfTrue="1" operator="equal">
      <formula>"Towel"</formula>
    </cfRule>
    <cfRule type="cellIs" dxfId="33116" priority="5529" stopIfTrue="1" operator="equal">
      <formula>"Napkin Hs"</formula>
    </cfRule>
    <cfRule type="cellIs" dxfId="33115" priority="5530" stopIfTrue="1" operator="equal">
      <formula>"Towel"</formula>
    </cfRule>
    <cfRule type="cellIs" dxfId="33114" priority="5531" stopIfTrue="1" operator="equal">
      <formula>"Napkin Hs"</formula>
    </cfRule>
    <cfRule type="cellIs" dxfId="33113" priority="5532" stopIfTrue="1" operator="equal">
      <formula>"Towel"</formula>
    </cfRule>
    <cfRule type="cellIs" dxfId="33112" priority="5533" stopIfTrue="1" operator="equal">
      <formula>"Napkin Hs"</formula>
    </cfRule>
    <cfRule type="cellIs" dxfId="33111" priority="5534" stopIfTrue="1" operator="equal">
      <formula>"Towel"</formula>
    </cfRule>
    <cfRule type="cellIs" dxfId="33110" priority="5535" stopIfTrue="1" operator="equal">
      <formula>"Napkin Hs"</formula>
    </cfRule>
    <cfRule type="cellIs" dxfId="33109" priority="5536" stopIfTrue="1" operator="equal">
      <formula>"Towel"</formula>
    </cfRule>
    <cfRule type="cellIs" dxfId="33108" priority="5537" stopIfTrue="1" operator="equal">
      <formula>"Napkin Hs"</formula>
    </cfRule>
    <cfRule type="cellIs" dxfId="33107" priority="5538" stopIfTrue="1" operator="equal">
      <formula>"Towel"</formula>
    </cfRule>
    <cfRule type="cellIs" dxfId="33106" priority="5539" stopIfTrue="1" operator="equal">
      <formula>"Napkin Hs"</formula>
    </cfRule>
    <cfRule type="cellIs" dxfId="33105" priority="5597" stopIfTrue="1" operator="equal">
      <formula>"Towel"</formula>
    </cfRule>
    <cfRule type="cellIs" dxfId="33104" priority="5598" stopIfTrue="1" operator="equal">
      <formula>"Napkin Hs"</formula>
    </cfRule>
    <cfRule type="cellIs" dxfId="33103" priority="5599" stopIfTrue="1" operator="equal">
      <formula>"Towel"</formula>
    </cfRule>
    <cfRule type="cellIs" dxfId="33102" priority="5600" stopIfTrue="1" operator="equal">
      <formula>"Napkin Hs"</formula>
    </cfRule>
    <cfRule type="cellIs" dxfId="33101" priority="5601" stopIfTrue="1" operator="equal">
      <formula>"Towel"</formula>
    </cfRule>
    <cfRule type="cellIs" dxfId="33100" priority="5602" stopIfTrue="1" operator="equal">
      <formula>"Napkin Hs"</formula>
    </cfRule>
    <cfRule type="cellIs" dxfId="33099" priority="5603" stopIfTrue="1" operator="equal">
      <formula>"Towel"</formula>
    </cfRule>
    <cfRule type="cellIs" dxfId="33098" priority="5604" stopIfTrue="1" operator="equal">
      <formula>"Napkin Hs"</formula>
    </cfRule>
    <cfRule type="cellIs" dxfId="33097" priority="5605" stopIfTrue="1" operator="equal">
      <formula>"Towel"</formula>
    </cfRule>
    <cfRule type="cellIs" dxfId="33096" priority="5606" stopIfTrue="1" operator="equal">
      <formula>"Napkin Hs"</formula>
    </cfRule>
    <cfRule type="cellIs" dxfId="33095" priority="5607" stopIfTrue="1" operator="equal">
      <formula>"Towel"</formula>
    </cfRule>
    <cfRule type="cellIs" dxfId="33094" priority="5608" stopIfTrue="1" operator="equal">
      <formula>"Napkin Hs"</formula>
    </cfRule>
  </conditionalFormatting>
  <conditionalFormatting sqref="C55:C56">
    <cfRule type="cellIs" dxfId="33093" priority="5591" stopIfTrue="1" operator="equal">
      <formula>"Towel"</formula>
    </cfRule>
    <cfRule type="cellIs" dxfId="33092" priority="5592" stopIfTrue="1" operator="equal">
      <formula>"Napkin Hs"</formula>
    </cfRule>
    <cfRule type="cellIs" dxfId="33091" priority="5609" stopIfTrue="1" operator="equal">
      <formula>"Towel"</formula>
    </cfRule>
    <cfRule type="cellIs" dxfId="33090" priority="5610" stopIfTrue="1" operator="equal">
      <formula>"Napkin Hs"</formula>
    </cfRule>
  </conditionalFormatting>
  <conditionalFormatting sqref="C56">
    <cfRule type="cellIs" dxfId="33089" priority="5543" stopIfTrue="1" operator="equal">
      <formula>"Towel"</formula>
    </cfRule>
    <cfRule type="cellIs" dxfId="33088" priority="5544" stopIfTrue="1" operator="equal">
      <formula>"Napkin Hs"</formula>
    </cfRule>
    <cfRule type="cellIs" dxfId="33087" priority="5545" stopIfTrue="1" operator="equal">
      <formula>"Towel"</formula>
    </cfRule>
    <cfRule type="cellIs" dxfId="33086" priority="5546" stopIfTrue="1" operator="equal">
      <formula>"Napkin Hs"</formula>
    </cfRule>
    <cfRule type="cellIs" dxfId="33085" priority="5547" stopIfTrue="1" operator="equal">
      <formula>"Towel"</formula>
    </cfRule>
    <cfRule type="cellIs" dxfId="33084" priority="5548" stopIfTrue="1" operator="equal">
      <formula>"Napkin Hs"</formula>
    </cfRule>
    <cfRule type="cellIs" dxfId="33083" priority="5549" stopIfTrue="1" operator="equal">
      <formula>"Towel"</formula>
    </cfRule>
    <cfRule type="cellIs" dxfId="33082" priority="5550" stopIfTrue="1" operator="equal">
      <formula>"Napkin Hs"</formula>
    </cfRule>
    <cfRule type="cellIs" dxfId="33081" priority="5551" stopIfTrue="1" operator="equal">
      <formula>"Towel"</formula>
    </cfRule>
    <cfRule type="cellIs" dxfId="33080" priority="5552" stopIfTrue="1" operator="equal">
      <formula>"Napkin Hs"</formula>
    </cfRule>
    <cfRule type="cellIs" dxfId="33079" priority="5553" stopIfTrue="1" operator="equal">
      <formula>"Towel"</formula>
    </cfRule>
    <cfRule type="cellIs" dxfId="33078" priority="5554" stopIfTrue="1" operator="equal">
      <formula>"Napkin Hs"</formula>
    </cfRule>
    <cfRule type="cellIs" dxfId="33077" priority="5555" stopIfTrue="1" operator="equal">
      <formula>"Towel"</formula>
    </cfRule>
    <cfRule type="cellIs" dxfId="33076" priority="5556" stopIfTrue="1" operator="equal">
      <formula>"Napkin Hs"</formula>
    </cfRule>
    <cfRule type="cellIs" dxfId="33075" priority="5559" stopIfTrue="1" operator="equal">
      <formula>"Towel"</formula>
    </cfRule>
    <cfRule type="cellIs" dxfId="33074" priority="5560" stopIfTrue="1" operator="equal">
      <formula>"Napkin Hs"</formula>
    </cfRule>
    <cfRule type="cellIs" dxfId="33073" priority="5561" stopIfTrue="1" operator="equal">
      <formula>"Towel"</formula>
    </cfRule>
    <cfRule type="cellIs" dxfId="33072" priority="5562" stopIfTrue="1" operator="equal">
      <formula>"Napkin Hs"</formula>
    </cfRule>
    <cfRule type="cellIs" dxfId="33071" priority="5565" stopIfTrue="1" operator="equal">
      <formula>"Towel"</formula>
    </cfRule>
    <cfRule type="cellIs" dxfId="33070" priority="5566" stopIfTrue="1" operator="equal">
      <formula>"Napkin Hs"</formula>
    </cfRule>
    <cfRule type="cellIs" dxfId="33069" priority="5567" stopIfTrue="1" operator="equal">
      <formula>"Towel"</formula>
    </cfRule>
    <cfRule type="cellIs" dxfId="33068" priority="5568" stopIfTrue="1" operator="equal">
      <formula>"Napkin Hs"</formula>
    </cfRule>
    <cfRule type="cellIs" dxfId="33067" priority="5571" stopIfTrue="1" operator="equal">
      <formula>"Towel"</formula>
    </cfRule>
    <cfRule type="cellIs" dxfId="33066" priority="5572" stopIfTrue="1" operator="equal">
      <formula>"Napkin Hs"</formula>
    </cfRule>
    <cfRule type="cellIs" dxfId="33065" priority="5573" stopIfTrue="1" operator="equal">
      <formula>"Towel"</formula>
    </cfRule>
    <cfRule type="cellIs" dxfId="33064" priority="5574" stopIfTrue="1" operator="equal">
      <formula>"Napkin Hs"</formula>
    </cfRule>
    <cfRule type="cellIs" dxfId="33063" priority="5577" stopIfTrue="1" operator="equal">
      <formula>"Towel"</formula>
    </cfRule>
    <cfRule type="cellIs" dxfId="33062" priority="5578" stopIfTrue="1" operator="equal">
      <formula>"Napkin Hs"</formula>
    </cfRule>
    <cfRule type="cellIs" dxfId="33061" priority="5579" stopIfTrue="1" operator="equal">
      <formula>"Towel"</formula>
    </cfRule>
    <cfRule type="cellIs" dxfId="33060" priority="5580" stopIfTrue="1" operator="equal">
      <formula>"Napkin Hs"</formula>
    </cfRule>
    <cfRule type="cellIs" dxfId="33059" priority="5583" stopIfTrue="1" operator="equal">
      <formula>"Towel"</formula>
    </cfRule>
    <cfRule type="cellIs" dxfId="33058" priority="5584" stopIfTrue="1" operator="equal">
      <formula>"Napkin Hs"</formula>
    </cfRule>
    <cfRule type="cellIs" dxfId="33057" priority="5585" stopIfTrue="1" operator="equal">
      <formula>"Towel"</formula>
    </cfRule>
    <cfRule type="cellIs" dxfId="33056" priority="5586" stopIfTrue="1" operator="equal">
      <formula>"Napkin Hs"</formula>
    </cfRule>
    <cfRule type="cellIs" dxfId="33055" priority="5589" stopIfTrue="1" operator="equal">
      <formula>"Towel"</formula>
    </cfRule>
    <cfRule type="cellIs" dxfId="33054" priority="5590" stopIfTrue="1" operator="equal">
      <formula>"Napkin Hs"</formula>
    </cfRule>
    <cfRule type="cellIs" dxfId="33053" priority="5613" stopIfTrue="1" operator="equal">
      <formula>"Towel"</formula>
    </cfRule>
    <cfRule type="cellIs" dxfId="33052" priority="5614" stopIfTrue="1" operator="equal">
      <formula>"Napkin Hs"</formula>
    </cfRule>
    <cfRule type="cellIs" dxfId="33051" priority="5615" stopIfTrue="1" operator="equal">
      <formula>"Towel"</formula>
    </cfRule>
    <cfRule type="cellIs" dxfId="33050" priority="5616" stopIfTrue="1" operator="equal">
      <formula>"Napkin Hs"</formula>
    </cfRule>
    <cfRule type="cellIs" dxfId="33049" priority="5617" stopIfTrue="1" operator="equal">
      <formula>"Towel"</formula>
    </cfRule>
    <cfRule type="cellIs" dxfId="33048" priority="5618" stopIfTrue="1" operator="equal">
      <formula>"Napkin Hs"</formula>
    </cfRule>
    <cfRule type="cellIs" dxfId="33047" priority="5619" stopIfTrue="1" operator="equal">
      <formula>"Towel"</formula>
    </cfRule>
    <cfRule type="cellIs" dxfId="33046" priority="5620" stopIfTrue="1" operator="equal">
      <formula>"Napkin Hs"</formula>
    </cfRule>
    <cfRule type="cellIs" dxfId="33045" priority="5621" stopIfTrue="1" operator="equal">
      <formula>"Towel"</formula>
    </cfRule>
    <cfRule type="cellIs" dxfId="33044" priority="5622" stopIfTrue="1" operator="equal">
      <formula>"Napkin Hs"</formula>
    </cfRule>
    <cfRule type="cellIs" dxfId="33043" priority="5623" stopIfTrue="1" operator="equal">
      <formula>"Towel"</formula>
    </cfRule>
    <cfRule type="cellIs" dxfId="33042" priority="5624" stopIfTrue="1" operator="equal">
      <formula>"Napkin Hs"</formula>
    </cfRule>
    <cfRule type="cellIs" dxfId="33041" priority="5625" stopIfTrue="1" operator="equal">
      <formula>"Towel"</formula>
    </cfRule>
    <cfRule type="cellIs" dxfId="33040" priority="5626" stopIfTrue="1" operator="equal">
      <formula>"Napkin Hs"</formula>
    </cfRule>
  </conditionalFormatting>
  <conditionalFormatting sqref="C57">
    <cfRule type="cellIs" dxfId="33039" priority="5630" stopIfTrue="1" operator="equal">
      <formula>"Towel"</formula>
    </cfRule>
    <cfRule type="cellIs" dxfId="33038" priority="5631" stopIfTrue="1" operator="equal">
      <formula>"Napkin Hs"</formula>
    </cfRule>
    <cfRule type="cellIs" dxfId="33037" priority="5632" stopIfTrue="1" operator="equal">
      <formula>"Towel"</formula>
    </cfRule>
    <cfRule type="cellIs" dxfId="33036" priority="5633" stopIfTrue="1" operator="equal">
      <formula>"Napkin Hs"</formula>
    </cfRule>
    <cfRule type="cellIs" dxfId="33035" priority="5634" stopIfTrue="1" operator="equal">
      <formula>"Towel"</formula>
    </cfRule>
    <cfRule type="cellIs" dxfId="33034" priority="5635" stopIfTrue="1" operator="equal">
      <formula>"Napkin Hs"</formula>
    </cfRule>
    <cfRule type="cellIs" dxfId="33033" priority="5636" stopIfTrue="1" operator="equal">
      <formula>"Towel"</formula>
    </cfRule>
    <cfRule type="cellIs" dxfId="33032" priority="5637" stopIfTrue="1" operator="equal">
      <formula>"Napkin Hs"</formula>
    </cfRule>
    <cfRule type="cellIs" dxfId="33031" priority="5638" stopIfTrue="1" operator="equal">
      <formula>"Towel"</formula>
    </cfRule>
    <cfRule type="cellIs" dxfId="33030" priority="5639" stopIfTrue="1" operator="equal">
      <formula>"Napkin Hs"</formula>
    </cfRule>
    <cfRule type="cellIs" dxfId="33029" priority="5640" stopIfTrue="1" operator="equal">
      <formula>"Towel"</formula>
    </cfRule>
    <cfRule type="cellIs" dxfId="33028" priority="5641" stopIfTrue="1" operator="equal">
      <formula>"Napkin Hs"</formula>
    </cfRule>
    <cfRule type="cellIs" dxfId="33027" priority="5642" stopIfTrue="1" operator="equal">
      <formula>"Towel"</formula>
    </cfRule>
    <cfRule type="cellIs" dxfId="33026" priority="5643" stopIfTrue="1" operator="equal">
      <formula>"Napkin Hs"</formula>
    </cfRule>
    <cfRule type="cellIs" dxfId="33025" priority="5646" stopIfTrue="1" operator="equal">
      <formula>"Towel"</formula>
    </cfRule>
    <cfRule type="cellIs" dxfId="33024" priority="5647" stopIfTrue="1" operator="equal">
      <formula>"Napkin Hs"</formula>
    </cfRule>
    <cfRule type="cellIs" dxfId="33023" priority="5648" stopIfTrue="1" operator="equal">
      <formula>"Towel"</formula>
    </cfRule>
    <cfRule type="cellIs" dxfId="33022" priority="5649" stopIfTrue="1" operator="equal">
      <formula>"Napkin Hs"</formula>
    </cfRule>
    <cfRule type="cellIs" dxfId="33021" priority="5652" stopIfTrue="1" operator="equal">
      <formula>"Towel"</formula>
    </cfRule>
    <cfRule type="cellIs" dxfId="33020" priority="5653" stopIfTrue="1" operator="equal">
      <formula>"Napkin Hs"</formula>
    </cfRule>
    <cfRule type="cellIs" dxfId="33019" priority="5654" stopIfTrue="1" operator="equal">
      <formula>"Towel"</formula>
    </cfRule>
    <cfRule type="cellIs" dxfId="33018" priority="5655" stopIfTrue="1" operator="equal">
      <formula>"Napkin Hs"</formula>
    </cfRule>
    <cfRule type="cellIs" dxfId="33017" priority="5658" stopIfTrue="1" operator="equal">
      <formula>"Towel"</formula>
    </cfRule>
    <cfRule type="cellIs" dxfId="33016" priority="5659" stopIfTrue="1" operator="equal">
      <formula>"Napkin Hs"</formula>
    </cfRule>
    <cfRule type="cellIs" dxfId="33015" priority="5660" stopIfTrue="1" operator="equal">
      <formula>"Towel"</formula>
    </cfRule>
    <cfRule type="cellIs" dxfId="33014" priority="5661" stopIfTrue="1" operator="equal">
      <formula>"Napkin Hs"</formula>
    </cfRule>
    <cfRule type="cellIs" dxfId="33013" priority="5664" stopIfTrue="1" operator="equal">
      <formula>"Towel"</formula>
    </cfRule>
    <cfRule type="cellIs" dxfId="33012" priority="5665" stopIfTrue="1" operator="equal">
      <formula>"Napkin Hs"</formula>
    </cfRule>
    <cfRule type="cellIs" dxfId="33011" priority="5666" stopIfTrue="1" operator="equal">
      <formula>"Towel"</formula>
    </cfRule>
    <cfRule type="cellIs" dxfId="33010" priority="5667" stopIfTrue="1" operator="equal">
      <formula>"Napkin Hs"</formula>
    </cfRule>
    <cfRule type="cellIs" dxfId="33009" priority="5670" stopIfTrue="1" operator="equal">
      <formula>"Towel"</formula>
    </cfRule>
    <cfRule type="cellIs" dxfId="33008" priority="5671" stopIfTrue="1" operator="equal">
      <formula>"Napkin Hs"</formula>
    </cfRule>
    <cfRule type="cellIs" dxfId="33007" priority="5672" stopIfTrue="1" operator="equal">
      <formula>"Towel"</formula>
    </cfRule>
    <cfRule type="cellIs" dxfId="33006" priority="5673" stopIfTrue="1" operator="equal">
      <formula>"Napkin Hs"</formula>
    </cfRule>
    <cfRule type="cellIs" dxfId="33005" priority="5676" stopIfTrue="1" operator="equal">
      <formula>"Towel"</formula>
    </cfRule>
    <cfRule type="cellIs" dxfId="33004" priority="5677" stopIfTrue="1" operator="equal">
      <formula>"Napkin Hs"</formula>
    </cfRule>
  </conditionalFormatting>
  <conditionalFormatting sqref="C57:C58">
    <cfRule type="cellIs" dxfId="33003" priority="5678" stopIfTrue="1" operator="equal">
      <formula>"Towel"</formula>
    </cfRule>
    <cfRule type="cellIs" dxfId="33002" priority="5679" stopIfTrue="1" operator="equal">
      <formula>"Napkin Hs"</formula>
    </cfRule>
  </conditionalFormatting>
  <conditionalFormatting sqref="C58">
    <cfRule type="cellIs" dxfId="33001" priority="5682" stopIfTrue="1" operator="equal">
      <formula>"Towel"</formula>
    </cfRule>
    <cfRule type="cellIs" dxfId="33000" priority="5683" stopIfTrue="1" operator="equal">
      <formula>"Napkin Hs"</formula>
    </cfRule>
    <cfRule type="cellIs" dxfId="32999" priority="5686" stopIfTrue="1" operator="equal">
      <formula>"Towel"</formula>
    </cfRule>
    <cfRule type="cellIs" dxfId="32998" priority="5687" stopIfTrue="1" operator="equal">
      <formula>"Napkin Hs"</formula>
    </cfRule>
    <cfRule type="cellIs" dxfId="32997" priority="5688" stopIfTrue="1" operator="equal">
      <formula>"Towel"</formula>
    </cfRule>
    <cfRule type="cellIs" dxfId="32996" priority="5689" stopIfTrue="1" operator="equal">
      <formula>"Napkin Hs"</formula>
    </cfRule>
    <cfRule type="cellIs" dxfId="32995" priority="5692" stopIfTrue="1" operator="equal">
      <formula>"Towel"</formula>
    </cfRule>
    <cfRule type="cellIs" dxfId="32994" priority="5693" stopIfTrue="1" operator="equal">
      <formula>"Napkin Hs"</formula>
    </cfRule>
    <cfRule type="cellIs" dxfId="32993" priority="5694" stopIfTrue="1" operator="equal">
      <formula>"Towel"</formula>
    </cfRule>
    <cfRule type="cellIs" dxfId="32992" priority="5695" stopIfTrue="1" operator="equal">
      <formula>"Napkin Hs"</formula>
    </cfRule>
    <cfRule type="cellIs" dxfId="32991" priority="5698" stopIfTrue="1" operator="equal">
      <formula>"Towel"</formula>
    </cfRule>
    <cfRule type="cellIs" dxfId="32990" priority="5699" stopIfTrue="1" operator="equal">
      <formula>"Napkin Hs"</formula>
    </cfRule>
    <cfRule type="cellIs" dxfId="32989" priority="5700" stopIfTrue="1" operator="equal">
      <formula>"Towel"</formula>
    </cfRule>
    <cfRule type="cellIs" dxfId="32988" priority="5701" stopIfTrue="1" operator="equal">
      <formula>"Napkin Hs"</formula>
    </cfRule>
    <cfRule type="cellIs" dxfId="32987" priority="5704" stopIfTrue="1" operator="equal">
      <formula>"Towel"</formula>
    </cfRule>
    <cfRule type="cellIs" dxfId="32986" priority="5705" stopIfTrue="1" operator="equal">
      <formula>"Napkin Hs"</formula>
    </cfRule>
    <cfRule type="cellIs" dxfId="32985" priority="5706" stopIfTrue="1" operator="equal">
      <formula>"Towel"</formula>
    </cfRule>
    <cfRule type="cellIs" dxfId="32984" priority="5707" stopIfTrue="1" operator="equal">
      <formula>"Napkin Hs"</formula>
    </cfRule>
    <cfRule type="cellIs" dxfId="32983" priority="5710" stopIfTrue="1" operator="equal">
      <formula>"Towel"</formula>
    </cfRule>
    <cfRule type="cellIs" dxfId="32982" priority="5711" stopIfTrue="1" operator="equal">
      <formula>"Napkin Hs"</formula>
    </cfRule>
    <cfRule type="cellIs" dxfId="32981" priority="5712" stopIfTrue="1" operator="equal">
      <formula>"Towel"</formula>
    </cfRule>
    <cfRule type="cellIs" dxfId="32980" priority="5713" stopIfTrue="1" operator="equal">
      <formula>"Napkin Hs"</formula>
    </cfRule>
    <cfRule type="cellIs" dxfId="32979" priority="5716" stopIfTrue="1" operator="equal">
      <formula>"Towel"</formula>
    </cfRule>
    <cfRule type="cellIs" dxfId="32978" priority="5717" stopIfTrue="1" operator="equal">
      <formula>"Napkin Hs"</formula>
    </cfRule>
    <cfRule type="cellIs" dxfId="32977" priority="5718" stopIfTrue="1" operator="equal">
      <formula>"Towel"</formula>
    </cfRule>
    <cfRule type="cellIs" dxfId="32976" priority="5719" stopIfTrue="1" operator="equal">
      <formula>"Napkin Hs"</formula>
    </cfRule>
    <cfRule type="cellIs" dxfId="32975" priority="5722" stopIfTrue="1" operator="equal">
      <formula>"Towel"</formula>
    </cfRule>
    <cfRule type="cellIs" dxfId="32974" priority="5723" stopIfTrue="1" operator="equal">
      <formula>"Napkin Hs"</formula>
    </cfRule>
  </conditionalFormatting>
  <conditionalFormatting sqref="C58:C59">
    <cfRule type="cellIs" dxfId="32973" priority="5724" stopIfTrue="1" operator="equal">
      <formula>"Towel"</formula>
    </cfRule>
    <cfRule type="cellIs" dxfId="32972" priority="5725" stopIfTrue="1" operator="equal">
      <formula>"Napkin Hs"</formula>
    </cfRule>
  </conditionalFormatting>
  <conditionalFormatting sqref="C59">
    <cfRule type="cellIs" dxfId="32971" priority="5728" stopIfTrue="1" operator="equal">
      <formula>"Towel"</formula>
    </cfRule>
    <cfRule type="cellIs" dxfId="32970" priority="5729" stopIfTrue="1" operator="equal">
      <formula>"Napkin Hs"</formula>
    </cfRule>
    <cfRule type="cellIs" dxfId="32969" priority="5732" stopIfTrue="1" operator="equal">
      <formula>"Towel"</formula>
    </cfRule>
    <cfRule type="cellIs" dxfId="32968" priority="5733" stopIfTrue="1" operator="equal">
      <formula>"Napkin Hs"</formula>
    </cfRule>
    <cfRule type="cellIs" dxfId="32967" priority="5734" stopIfTrue="1" operator="equal">
      <formula>"Towel"</formula>
    </cfRule>
    <cfRule type="cellIs" dxfId="32966" priority="5735" stopIfTrue="1" operator="equal">
      <formula>"Napkin Hs"</formula>
    </cfRule>
    <cfRule type="cellIs" dxfId="32965" priority="5738" stopIfTrue="1" operator="equal">
      <formula>"Towel"</formula>
    </cfRule>
    <cfRule type="cellIs" dxfId="32964" priority="5739" stopIfTrue="1" operator="equal">
      <formula>"Napkin Hs"</formula>
    </cfRule>
    <cfRule type="cellIs" dxfId="32963" priority="5740" stopIfTrue="1" operator="equal">
      <formula>"Towel"</formula>
    </cfRule>
    <cfRule type="cellIs" dxfId="32962" priority="5741" stopIfTrue="1" operator="equal">
      <formula>"Napkin Hs"</formula>
    </cfRule>
    <cfRule type="cellIs" dxfId="32961" priority="5744" stopIfTrue="1" operator="equal">
      <formula>"Towel"</formula>
    </cfRule>
    <cfRule type="cellIs" dxfId="32960" priority="5745" stopIfTrue="1" operator="equal">
      <formula>"Napkin Hs"</formula>
    </cfRule>
    <cfRule type="cellIs" dxfId="32959" priority="5746" stopIfTrue="1" operator="equal">
      <formula>"Towel"</formula>
    </cfRule>
    <cfRule type="cellIs" dxfId="32958" priority="5747" stopIfTrue="1" operator="equal">
      <formula>"Napkin Hs"</formula>
    </cfRule>
    <cfRule type="cellIs" dxfId="32957" priority="5750" stopIfTrue="1" operator="equal">
      <formula>"Towel"</formula>
    </cfRule>
    <cfRule type="cellIs" dxfId="32956" priority="5751" stopIfTrue="1" operator="equal">
      <formula>"Napkin Hs"</formula>
    </cfRule>
    <cfRule type="cellIs" dxfId="32955" priority="5752" stopIfTrue="1" operator="equal">
      <formula>"Towel"</formula>
    </cfRule>
    <cfRule type="cellIs" dxfId="32954" priority="5753" stopIfTrue="1" operator="equal">
      <formula>"Napkin Hs"</formula>
    </cfRule>
    <cfRule type="cellIs" dxfId="32953" priority="5756" stopIfTrue="1" operator="equal">
      <formula>"Towel"</formula>
    </cfRule>
    <cfRule type="cellIs" dxfId="32952" priority="5757" stopIfTrue="1" operator="equal">
      <formula>"Napkin Hs"</formula>
    </cfRule>
    <cfRule type="cellIs" dxfId="32951" priority="5758" stopIfTrue="1" operator="equal">
      <formula>"Towel"</formula>
    </cfRule>
    <cfRule type="cellIs" dxfId="32950" priority="5759" stopIfTrue="1" operator="equal">
      <formula>"Napkin Hs"</formula>
    </cfRule>
  </conditionalFormatting>
  <conditionalFormatting sqref="C60:C62">
    <cfRule type="cellIs" dxfId="32949" priority="5488" stopIfTrue="1" operator="equal">
      <formula>"Towel"</formula>
    </cfRule>
    <cfRule type="cellIs" dxfId="32948" priority="5489" stopIfTrue="1" operator="equal">
      <formula>"Napkin Hs"</formula>
    </cfRule>
    <cfRule type="cellIs" dxfId="32947" priority="5490" stopIfTrue="1" operator="equal">
      <formula>"Towel"</formula>
    </cfRule>
    <cfRule type="cellIs" dxfId="32946" priority="5491" stopIfTrue="1" operator="equal">
      <formula>"Napkin Hs"</formula>
    </cfRule>
    <cfRule type="cellIs" dxfId="32945" priority="5492" stopIfTrue="1" operator="equal">
      <formula>"Towel"</formula>
    </cfRule>
    <cfRule type="cellIs" dxfId="32944" priority="5493" stopIfTrue="1" operator="equal">
      <formula>"Napkin Hs"</formula>
    </cfRule>
    <cfRule type="cellIs" dxfId="32943" priority="5494" stopIfTrue="1" operator="equal">
      <formula>"Towel"</formula>
    </cfRule>
    <cfRule type="cellIs" dxfId="32942" priority="5495" stopIfTrue="1" operator="equal">
      <formula>"Napkin Hs"</formula>
    </cfRule>
    <cfRule type="cellIs" dxfId="32941" priority="5496" stopIfTrue="1" operator="equal">
      <formula>"Towel"</formula>
    </cfRule>
    <cfRule type="cellIs" dxfId="32940" priority="5497" stopIfTrue="1" operator="equal">
      <formula>"Napkin Hs"</formula>
    </cfRule>
    <cfRule type="cellIs" dxfId="32939" priority="5498" stopIfTrue="1" operator="equal">
      <formula>"Towel"</formula>
    </cfRule>
    <cfRule type="cellIs" dxfId="32938" priority="5499" stopIfTrue="1" operator="equal">
      <formula>"Napkin Hs"</formula>
    </cfRule>
    <cfRule type="cellIs" dxfId="32937" priority="5500" stopIfTrue="1" operator="equal">
      <formula>"Towel"</formula>
    </cfRule>
    <cfRule type="cellIs" dxfId="32936" priority="5501" stopIfTrue="1" operator="equal">
      <formula>"Napkin Hs"</formula>
    </cfRule>
    <cfRule type="cellIs" dxfId="32935" priority="5506" stopIfTrue="1" operator="equal">
      <formula>"Towel"</formula>
    </cfRule>
    <cfRule type="cellIs" dxfId="32934" priority="5507" stopIfTrue="1" operator="equal">
      <formula>"Napkin Hs"</formula>
    </cfRule>
    <cfRule type="cellIs" dxfId="32933" priority="5508" stopIfTrue="1" operator="equal">
      <formula>"Towel"</formula>
    </cfRule>
    <cfRule type="cellIs" dxfId="32932" priority="5509" stopIfTrue="1" operator="equal">
      <formula>"Napkin Hs"</formula>
    </cfRule>
    <cfRule type="cellIs" dxfId="32931" priority="5510" stopIfTrue="1" operator="equal">
      <formula>"Towel"</formula>
    </cfRule>
    <cfRule type="cellIs" dxfId="32930" priority="5511" stopIfTrue="1" operator="equal">
      <formula>"Napkin Hs"</formula>
    </cfRule>
    <cfRule type="cellIs" dxfId="32929" priority="5512" stopIfTrue="1" operator="equal">
      <formula>"Towel"</formula>
    </cfRule>
    <cfRule type="cellIs" dxfId="32928" priority="5513" stopIfTrue="1" operator="equal">
      <formula>"Napkin Hs"</formula>
    </cfRule>
    <cfRule type="cellIs" dxfId="32927" priority="5514" stopIfTrue="1" operator="equal">
      <formula>"Towel"</formula>
    </cfRule>
    <cfRule type="cellIs" dxfId="32926" priority="5515" stopIfTrue="1" operator="equal">
      <formula>"Napkin Hs"</formula>
    </cfRule>
    <cfRule type="cellIs" dxfId="32925" priority="5516" stopIfTrue="1" operator="equal">
      <formula>"Towel"</formula>
    </cfRule>
    <cfRule type="cellIs" dxfId="32924" priority="5517" stopIfTrue="1" operator="equal">
      <formula>"Napkin Hs"</formula>
    </cfRule>
  </conditionalFormatting>
  <conditionalFormatting sqref="C60:C63">
    <cfRule type="cellIs" dxfId="32923" priority="5518" stopIfTrue="1" operator="equal">
      <formula>"Towel"</formula>
    </cfRule>
    <cfRule type="cellIs" dxfId="32922" priority="5519" stopIfTrue="1" operator="equal">
      <formula>"Napkin Hs"</formula>
    </cfRule>
  </conditionalFormatting>
  <conditionalFormatting sqref="C63">
    <cfRule type="cellIs" dxfId="32921" priority="7004" stopIfTrue="1" operator="equal">
      <formula>"Towel"</formula>
    </cfRule>
    <cfRule type="cellIs" dxfId="32920" priority="7005" stopIfTrue="1" operator="equal">
      <formula>"Napkin Hs"</formula>
    </cfRule>
    <cfRule type="cellIs" dxfId="32919" priority="7008" stopIfTrue="1" operator="equal">
      <formula>"Towel"</formula>
    </cfRule>
    <cfRule type="cellIs" dxfId="32918" priority="7009" stopIfTrue="1" operator="equal">
      <formula>"Napkin Hs"</formula>
    </cfRule>
    <cfRule type="cellIs" dxfId="32917" priority="7010" stopIfTrue="1" operator="equal">
      <formula>"Towel"</formula>
    </cfRule>
    <cfRule type="cellIs" dxfId="32916" priority="7011" stopIfTrue="1" operator="equal">
      <formula>"Napkin Hs"</formula>
    </cfRule>
    <cfRule type="cellIs" dxfId="32915" priority="7014" stopIfTrue="1" operator="equal">
      <formula>"Towel"</formula>
    </cfRule>
    <cfRule type="cellIs" dxfId="32914" priority="7015" stopIfTrue="1" operator="equal">
      <formula>"Napkin Hs"</formula>
    </cfRule>
    <cfRule type="cellIs" dxfId="32913" priority="7016" stopIfTrue="1" operator="equal">
      <formula>"Towel"</formula>
    </cfRule>
    <cfRule type="cellIs" dxfId="32912" priority="7017" stopIfTrue="1" operator="equal">
      <formula>"Napkin Hs"</formula>
    </cfRule>
    <cfRule type="cellIs" dxfId="32911" priority="7020" stopIfTrue="1" operator="equal">
      <formula>"Towel"</formula>
    </cfRule>
    <cfRule type="cellIs" dxfId="32910" priority="7021" stopIfTrue="1" operator="equal">
      <formula>"Napkin Hs"</formula>
    </cfRule>
    <cfRule type="cellIs" dxfId="32909" priority="7022" stopIfTrue="1" operator="equal">
      <formula>"Towel"</formula>
    </cfRule>
    <cfRule type="cellIs" dxfId="32908" priority="7023" stopIfTrue="1" operator="equal">
      <formula>"Napkin Hs"</formula>
    </cfRule>
    <cfRule type="cellIs" dxfId="32907" priority="7026" stopIfTrue="1" operator="equal">
      <formula>"Towel"</formula>
    </cfRule>
    <cfRule type="cellIs" dxfId="32906" priority="7027" stopIfTrue="1" operator="equal">
      <formula>"Napkin Hs"</formula>
    </cfRule>
    <cfRule type="cellIs" dxfId="32905" priority="7028" stopIfTrue="1" operator="equal">
      <formula>"Towel"</formula>
    </cfRule>
    <cfRule type="cellIs" dxfId="32904" priority="7029" stopIfTrue="1" operator="equal">
      <formula>"Napkin Hs"</formula>
    </cfRule>
    <cfRule type="cellIs" dxfId="32903" priority="7032" stopIfTrue="1" operator="equal">
      <formula>"Towel"</formula>
    </cfRule>
    <cfRule type="cellIs" dxfId="32902" priority="7033" stopIfTrue="1" operator="equal">
      <formula>"Napkin Hs"</formula>
    </cfRule>
    <cfRule type="cellIs" dxfId="32901" priority="7034" stopIfTrue="1" operator="equal">
      <formula>"Towel"</formula>
    </cfRule>
    <cfRule type="cellIs" dxfId="32900" priority="7035" stopIfTrue="1" operator="equal">
      <formula>"Napkin Hs"</formula>
    </cfRule>
    <cfRule type="cellIs" dxfId="32899" priority="7038" stopIfTrue="1" operator="equal">
      <formula>"Towel"</formula>
    </cfRule>
    <cfRule type="cellIs" dxfId="32898" priority="7039" stopIfTrue="1" operator="equal">
      <formula>"Napkin Hs"</formula>
    </cfRule>
    <cfRule type="cellIs" dxfId="32897" priority="7040" stopIfTrue="1" operator="equal">
      <formula>"Towel"</formula>
    </cfRule>
    <cfRule type="cellIs" dxfId="32896" priority="7041" stopIfTrue="1" operator="equal">
      <formula>"Napkin Hs"</formula>
    </cfRule>
    <cfRule type="cellIs" dxfId="32895" priority="7044" stopIfTrue="1" operator="equal">
      <formula>"Towel"</formula>
    </cfRule>
    <cfRule type="cellIs" dxfId="32894" priority="7045" stopIfTrue="1" operator="equal">
      <formula>"Napkin Hs"</formula>
    </cfRule>
    <cfRule type="cellIs" dxfId="32893" priority="7046" stopIfTrue="1" operator="equal">
      <formula>"Towel"</formula>
    </cfRule>
    <cfRule type="cellIs" dxfId="32892" priority="7047" stopIfTrue="1" operator="equal">
      <formula>"Napkin Hs"</formula>
    </cfRule>
  </conditionalFormatting>
  <conditionalFormatting sqref="C64">
    <cfRule type="cellIs" dxfId="32891" priority="5274" stopIfTrue="1" operator="equal">
      <formula>"Towel"</formula>
    </cfRule>
    <cfRule type="cellIs" dxfId="32890" priority="5275" stopIfTrue="1" operator="equal">
      <formula>"Napkin Hs"</formula>
    </cfRule>
    <cfRule type="cellIs" dxfId="32889" priority="5276" stopIfTrue="1" operator="equal">
      <formula>"Towel"</formula>
    </cfRule>
    <cfRule type="cellIs" dxfId="32888" priority="5277" stopIfTrue="1" operator="equal">
      <formula>"Napkin Hs"</formula>
    </cfRule>
    <cfRule type="cellIs" dxfId="32887" priority="5278" stopIfTrue="1" operator="equal">
      <formula>"Towel"</formula>
    </cfRule>
    <cfRule type="cellIs" dxfId="32886" priority="5279" stopIfTrue="1" operator="equal">
      <formula>"Napkin Hs"</formula>
    </cfRule>
    <cfRule type="cellIs" dxfId="32885" priority="5280" stopIfTrue="1" operator="equal">
      <formula>"Towel"</formula>
    </cfRule>
    <cfRule type="cellIs" dxfId="32884" priority="5281" stopIfTrue="1" operator="equal">
      <formula>"Napkin Hs"</formula>
    </cfRule>
    <cfRule type="cellIs" dxfId="32883" priority="5282" stopIfTrue="1" operator="equal">
      <formula>"Towel"</formula>
    </cfRule>
    <cfRule type="cellIs" dxfId="32882" priority="5283" stopIfTrue="1" operator="equal">
      <formula>"Napkin Hs"</formula>
    </cfRule>
    <cfRule type="cellIs" dxfId="32881" priority="5284" stopIfTrue="1" operator="equal">
      <formula>"Towel"</formula>
    </cfRule>
    <cfRule type="cellIs" dxfId="32880" priority="5285" stopIfTrue="1" operator="equal">
      <formula>"Napkin Hs"</formula>
    </cfRule>
    <cfRule type="cellIs" dxfId="32879" priority="5286" stopIfTrue="1" operator="equal">
      <formula>"Towel"</formula>
    </cfRule>
    <cfRule type="cellIs" dxfId="32878" priority="5287" stopIfTrue="1" operator="equal">
      <formula>"Napkin Hs"</formula>
    </cfRule>
    <cfRule type="cellIs" dxfId="32877" priority="5288" stopIfTrue="1" operator="equal">
      <formula>"Towel"</formula>
    </cfRule>
    <cfRule type="cellIs" dxfId="32876" priority="5289" stopIfTrue="1" operator="equal">
      <formula>"Napkin Hs"</formula>
    </cfRule>
    <cfRule type="cellIs" dxfId="32875" priority="5290" stopIfTrue="1" operator="equal">
      <formula>"Towel"</formula>
    </cfRule>
    <cfRule type="cellIs" dxfId="32874" priority="5291" stopIfTrue="1" operator="equal">
      <formula>"Napkin Hs"</formula>
    </cfRule>
    <cfRule type="cellIs" dxfId="32873" priority="5292" stopIfTrue="1" operator="equal">
      <formula>"Towel"</formula>
    </cfRule>
    <cfRule type="cellIs" dxfId="32872" priority="5293" stopIfTrue="1" operator="equal">
      <formula>"Napkin Hs"</formula>
    </cfRule>
    <cfRule type="cellIs" dxfId="32871" priority="5294" stopIfTrue="1" operator="equal">
      <formula>"Towel"</formula>
    </cfRule>
    <cfRule type="cellIs" dxfId="32870" priority="5295" stopIfTrue="1" operator="equal">
      <formula>"Napkin Hs"</formula>
    </cfRule>
    <cfRule type="cellIs" dxfId="32869" priority="5296" stopIfTrue="1" operator="equal">
      <formula>"Towel"</formula>
    </cfRule>
    <cfRule type="cellIs" dxfId="32868" priority="5297" stopIfTrue="1" operator="equal">
      <formula>"Napkin Hs"</formula>
    </cfRule>
    <cfRule type="cellIs" dxfId="32867" priority="5298" stopIfTrue="1" operator="equal">
      <formula>"Towel"</formula>
    </cfRule>
    <cfRule type="cellIs" dxfId="32866" priority="5299" stopIfTrue="1" operator="equal">
      <formula>"Napkin Hs"</formula>
    </cfRule>
    <cfRule type="cellIs" dxfId="32865" priority="5300" stopIfTrue="1" operator="equal">
      <formula>"Towel"</formula>
    </cfRule>
    <cfRule type="cellIs" dxfId="32864" priority="5301" stopIfTrue="1" operator="equal">
      <formula>"Napkin Hs"</formula>
    </cfRule>
    <cfRule type="cellIs" dxfId="32863" priority="5302" stopIfTrue="1" operator="equal">
      <formula>"Towel"</formula>
    </cfRule>
    <cfRule type="cellIs" dxfId="32862" priority="5303" stopIfTrue="1" operator="equal">
      <formula>"Napkin Hs"</formula>
    </cfRule>
    <cfRule type="cellIs" dxfId="32861" priority="5304" stopIfTrue="1" operator="equal">
      <formula>"Towel"</formula>
    </cfRule>
    <cfRule type="cellIs" dxfId="32860" priority="5305" stopIfTrue="1" operator="equal">
      <formula>"Napkin Hs"</formula>
    </cfRule>
    <cfRule type="cellIs" dxfId="32859" priority="5306" stopIfTrue="1" operator="equal">
      <formula>"Towel"</formula>
    </cfRule>
    <cfRule type="cellIs" dxfId="32858" priority="5307" stopIfTrue="1" operator="equal">
      <formula>"Napkin Hs"</formula>
    </cfRule>
    <cfRule type="cellIs" dxfId="32857" priority="5308" stopIfTrue="1" operator="equal">
      <formula>"Towel"</formula>
    </cfRule>
    <cfRule type="cellIs" dxfId="32856" priority="5309" stopIfTrue="1" operator="equal">
      <formula>"Napkin Hs"</formula>
    </cfRule>
    <cfRule type="cellIs" dxfId="32855" priority="5310" stopIfTrue="1" operator="equal">
      <formula>"Towel"</formula>
    </cfRule>
    <cfRule type="cellIs" dxfId="32854" priority="5311" stopIfTrue="1" operator="equal">
      <formula>"Napkin Hs"</formula>
    </cfRule>
    <cfRule type="cellIs" dxfId="32853" priority="5312" stopIfTrue="1" operator="equal">
      <formula>"Towel"</formula>
    </cfRule>
    <cfRule type="cellIs" dxfId="32852" priority="5313" stopIfTrue="1" operator="equal">
      <formula>"Napkin Hs"</formula>
    </cfRule>
    <cfRule type="cellIs" dxfId="32851" priority="5314" stopIfTrue="1" operator="equal">
      <formula>"Towel"</formula>
    </cfRule>
    <cfRule type="cellIs" dxfId="32850" priority="5315" stopIfTrue="1" operator="equal">
      <formula>"Napkin Hs"</formula>
    </cfRule>
    <cfRule type="cellIs" dxfId="32849" priority="5316" stopIfTrue="1" operator="equal">
      <formula>"Towel"</formula>
    </cfRule>
    <cfRule type="cellIs" dxfId="32848" priority="5317" stopIfTrue="1" operator="equal">
      <formula>"Napkin Hs"</formula>
    </cfRule>
  </conditionalFormatting>
  <conditionalFormatting sqref="C64:C65">
    <cfRule type="cellIs" dxfId="32847" priority="5318" stopIfTrue="1" operator="equal">
      <formula>"Towel"</formula>
    </cfRule>
    <cfRule type="cellIs" dxfId="32846" priority="5319" stopIfTrue="1" operator="equal">
      <formula>"Napkin Hs"</formula>
    </cfRule>
  </conditionalFormatting>
  <conditionalFormatting sqref="C65">
    <cfRule type="cellIs" dxfId="32845" priority="5414" stopIfTrue="1" operator="equal">
      <formula>"Towel"</formula>
    </cfRule>
    <cfRule type="cellIs" dxfId="32844" priority="5415" stopIfTrue="1" operator="equal">
      <formula>"Napkin Hs"</formula>
    </cfRule>
    <cfRule type="cellIs" dxfId="32843" priority="5418" stopIfTrue="1" operator="equal">
      <formula>"Towel"</formula>
    </cfRule>
    <cfRule type="cellIs" dxfId="32842" priority="5419" stopIfTrue="1" operator="equal">
      <formula>"Napkin Hs"</formula>
    </cfRule>
    <cfRule type="cellIs" dxfId="32841" priority="5420" stopIfTrue="1" operator="equal">
      <formula>"Towel"</formula>
    </cfRule>
    <cfRule type="cellIs" dxfId="32840" priority="5421" stopIfTrue="1" operator="equal">
      <formula>"Napkin Hs"</formula>
    </cfRule>
    <cfRule type="cellIs" dxfId="32839" priority="5424" stopIfTrue="1" operator="equal">
      <formula>"Towel"</formula>
    </cfRule>
    <cfRule type="cellIs" dxfId="32838" priority="5425" stopIfTrue="1" operator="equal">
      <formula>"Napkin Hs"</formula>
    </cfRule>
    <cfRule type="cellIs" dxfId="32837" priority="5426" stopIfTrue="1" operator="equal">
      <formula>"Towel"</formula>
    </cfRule>
    <cfRule type="cellIs" dxfId="32836" priority="5427" stopIfTrue="1" operator="equal">
      <formula>"Napkin Hs"</formula>
    </cfRule>
    <cfRule type="cellIs" dxfId="32835" priority="5430" stopIfTrue="1" operator="equal">
      <formula>"Towel"</formula>
    </cfRule>
    <cfRule type="cellIs" dxfId="32834" priority="5431" stopIfTrue="1" operator="equal">
      <formula>"Napkin Hs"</formula>
    </cfRule>
    <cfRule type="cellIs" dxfId="32833" priority="5432" stopIfTrue="1" operator="equal">
      <formula>"Towel"</formula>
    </cfRule>
    <cfRule type="cellIs" dxfId="32832" priority="5433" stopIfTrue="1" operator="equal">
      <formula>"Napkin Hs"</formula>
    </cfRule>
    <cfRule type="cellIs" dxfId="32831" priority="5436" stopIfTrue="1" operator="equal">
      <formula>"Towel"</formula>
    </cfRule>
    <cfRule type="cellIs" dxfId="32830" priority="5437" stopIfTrue="1" operator="equal">
      <formula>"Napkin Hs"</formula>
    </cfRule>
    <cfRule type="cellIs" dxfId="32829" priority="5438" stopIfTrue="1" operator="equal">
      <formula>"Towel"</formula>
    </cfRule>
    <cfRule type="cellIs" dxfId="32828" priority="5439" stopIfTrue="1" operator="equal">
      <formula>"Napkin Hs"</formula>
    </cfRule>
    <cfRule type="cellIs" dxfId="32827" priority="5442" stopIfTrue="1" operator="equal">
      <formula>"Towel"</formula>
    </cfRule>
    <cfRule type="cellIs" dxfId="32826" priority="5443" stopIfTrue="1" operator="equal">
      <formula>"Napkin Hs"</formula>
    </cfRule>
  </conditionalFormatting>
  <conditionalFormatting sqref="C65:C66">
    <cfRule type="cellIs" dxfId="32825" priority="5444" stopIfTrue="1" operator="equal">
      <formula>"Towel"</formula>
    </cfRule>
    <cfRule type="cellIs" dxfId="32824" priority="5445" stopIfTrue="1" operator="equal">
      <formula>"Napkin Hs"</formula>
    </cfRule>
  </conditionalFormatting>
  <conditionalFormatting sqref="C66">
    <cfRule type="cellIs" dxfId="32823" priority="5450" stopIfTrue="1" operator="equal">
      <formula>"Towel"</formula>
    </cfRule>
    <cfRule type="cellIs" dxfId="32822" priority="5451" stopIfTrue="1" operator="equal">
      <formula>"Napkin Hs"</formula>
    </cfRule>
  </conditionalFormatting>
  <conditionalFormatting sqref="C67">
    <cfRule type="cellIs" dxfId="32821" priority="5320" stopIfTrue="1" operator="equal">
      <formula>"Towel"</formula>
    </cfRule>
    <cfRule type="cellIs" dxfId="32820" priority="5321" stopIfTrue="1" operator="equal">
      <formula>"Napkin Hs"</formula>
    </cfRule>
    <cfRule type="cellIs" dxfId="32819" priority="5322" stopIfTrue="1" operator="equal">
      <formula>"Towel"</formula>
    </cfRule>
    <cfRule type="cellIs" dxfId="32818" priority="5323" stopIfTrue="1" operator="equal">
      <formula>"Napkin Hs"</formula>
    </cfRule>
    <cfRule type="cellIs" dxfId="32817" priority="5324" stopIfTrue="1" operator="equal">
      <formula>"Towel"</formula>
    </cfRule>
    <cfRule type="cellIs" dxfId="32816" priority="5325" stopIfTrue="1" operator="equal">
      <formula>"Napkin Hs"</formula>
    </cfRule>
    <cfRule type="cellIs" dxfId="32815" priority="5326" stopIfTrue="1" operator="equal">
      <formula>"Towel"</formula>
    </cfRule>
    <cfRule type="cellIs" dxfId="32814" priority="5327" stopIfTrue="1" operator="equal">
      <formula>"Napkin Hs"</formula>
    </cfRule>
    <cfRule type="cellIs" dxfId="32813" priority="5328" stopIfTrue="1" operator="equal">
      <formula>"Towel"</formula>
    </cfRule>
    <cfRule type="cellIs" dxfId="32812" priority="5329" stopIfTrue="1" operator="equal">
      <formula>"Napkin Hs"</formula>
    </cfRule>
    <cfRule type="cellIs" dxfId="32811" priority="5330" stopIfTrue="1" operator="equal">
      <formula>"Towel"</formula>
    </cfRule>
    <cfRule type="cellIs" dxfId="32810" priority="5331" stopIfTrue="1" operator="equal">
      <formula>"Napkin Hs"</formula>
    </cfRule>
    <cfRule type="cellIs" dxfId="32809" priority="5332" stopIfTrue="1" operator="equal">
      <formula>"Towel"</formula>
    </cfRule>
    <cfRule type="cellIs" dxfId="32808" priority="5333" stopIfTrue="1" operator="equal">
      <formula>"Napkin Hs"</formula>
    </cfRule>
    <cfRule type="cellIs" dxfId="32807" priority="5334" stopIfTrue="1" operator="equal">
      <formula>"Towel"</formula>
    </cfRule>
    <cfRule type="cellIs" dxfId="32806" priority="5335" stopIfTrue="1" operator="equal">
      <formula>"Napkin Hs"</formula>
    </cfRule>
    <cfRule type="cellIs" dxfId="32805" priority="5336" stopIfTrue="1" operator="equal">
      <formula>"Towel"</formula>
    </cfRule>
    <cfRule type="cellIs" dxfId="32804" priority="5337" stopIfTrue="1" operator="equal">
      <formula>"Napkin Hs"</formula>
    </cfRule>
    <cfRule type="cellIs" dxfId="32803" priority="5338" stopIfTrue="1" operator="equal">
      <formula>"Towel"</formula>
    </cfRule>
    <cfRule type="cellIs" dxfId="32802" priority="5339" stopIfTrue="1" operator="equal">
      <formula>"Napkin Hs"</formula>
    </cfRule>
    <cfRule type="cellIs" dxfId="32801" priority="5340" stopIfTrue="1" operator="equal">
      <formula>"Towel"</formula>
    </cfRule>
    <cfRule type="cellIs" dxfId="32800" priority="5341" stopIfTrue="1" operator="equal">
      <formula>"Napkin Hs"</formula>
    </cfRule>
    <cfRule type="cellIs" dxfId="32799" priority="5342" stopIfTrue="1" operator="equal">
      <formula>"Towel"</formula>
    </cfRule>
    <cfRule type="cellIs" dxfId="32798" priority="5343" stopIfTrue="1" operator="equal">
      <formula>"Napkin Hs"</formula>
    </cfRule>
    <cfRule type="cellIs" dxfId="32797" priority="5344" stopIfTrue="1" operator="equal">
      <formula>"Towel"</formula>
    </cfRule>
    <cfRule type="cellIs" dxfId="32796" priority="5345" stopIfTrue="1" operator="equal">
      <formula>"Napkin Hs"</formula>
    </cfRule>
    <cfRule type="cellIs" dxfId="32795" priority="5346" stopIfTrue="1" operator="equal">
      <formula>"Towel"</formula>
    </cfRule>
    <cfRule type="cellIs" dxfId="32794" priority="5347" stopIfTrue="1" operator="equal">
      <formula>"Napkin Hs"</formula>
    </cfRule>
    <cfRule type="cellIs" dxfId="32793" priority="5348" stopIfTrue="1" operator="equal">
      <formula>"Towel"</formula>
    </cfRule>
    <cfRule type="cellIs" dxfId="32792" priority="5349" stopIfTrue="1" operator="equal">
      <formula>"Napkin Hs"</formula>
    </cfRule>
    <cfRule type="cellIs" dxfId="32791" priority="5350" stopIfTrue="1" operator="equal">
      <formula>"Towel"</formula>
    </cfRule>
    <cfRule type="cellIs" dxfId="32790" priority="5351" stopIfTrue="1" operator="equal">
      <formula>"Napkin Hs"</formula>
    </cfRule>
    <cfRule type="cellIs" dxfId="32789" priority="5352" stopIfTrue="1" operator="equal">
      <formula>"Towel"</formula>
    </cfRule>
    <cfRule type="cellIs" dxfId="32788" priority="5353" stopIfTrue="1" operator="equal">
      <formula>"Napkin Hs"</formula>
    </cfRule>
    <cfRule type="cellIs" dxfId="32787" priority="5354" stopIfTrue="1" operator="equal">
      <formula>"Towel"</formula>
    </cfRule>
    <cfRule type="cellIs" dxfId="32786" priority="5355" stopIfTrue="1" operator="equal">
      <formula>"Napkin Hs"</formula>
    </cfRule>
    <cfRule type="cellIs" dxfId="32785" priority="5356" stopIfTrue="1" operator="equal">
      <formula>"Towel"</formula>
    </cfRule>
    <cfRule type="cellIs" dxfId="32784" priority="5357" stopIfTrue="1" operator="equal">
      <formula>"Napkin Hs"</formula>
    </cfRule>
    <cfRule type="cellIs" dxfId="32783" priority="5358" stopIfTrue="1" operator="equal">
      <formula>"Towel"</formula>
    </cfRule>
    <cfRule type="cellIs" dxfId="32782" priority="5359" stopIfTrue="1" operator="equal">
      <formula>"Napkin Hs"</formula>
    </cfRule>
    <cfRule type="cellIs" dxfId="32781" priority="5360" stopIfTrue="1" operator="equal">
      <formula>"Towel"</formula>
    </cfRule>
    <cfRule type="cellIs" dxfId="32780" priority="5361" stopIfTrue="1" operator="equal">
      <formula>"Napkin Hs"</formula>
    </cfRule>
    <cfRule type="cellIs" dxfId="32779" priority="5362" stopIfTrue="1" operator="equal">
      <formula>"Towel"</formula>
    </cfRule>
    <cfRule type="cellIs" dxfId="32778" priority="5363" stopIfTrue="1" operator="equal">
      <formula>"Napkin Hs"</formula>
    </cfRule>
    <cfRule type="cellIs" dxfId="32777" priority="5364" stopIfTrue="1" operator="equal">
      <formula>"Towel"</formula>
    </cfRule>
    <cfRule type="cellIs" dxfId="32776" priority="5365" stopIfTrue="1" operator="equal">
      <formula>"Napkin Hs"</formula>
    </cfRule>
  </conditionalFormatting>
  <conditionalFormatting sqref="C67:C68">
    <cfRule type="cellIs" dxfId="32775" priority="5366" stopIfTrue="1" operator="equal">
      <formula>"Towel"</formula>
    </cfRule>
    <cfRule type="cellIs" dxfId="32774" priority="5367" stopIfTrue="1" operator="equal">
      <formula>"Napkin Hs"</formula>
    </cfRule>
  </conditionalFormatting>
  <conditionalFormatting sqref="C68">
    <cfRule type="cellIs" dxfId="32773" priority="5368" stopIfTrue="1" operator="equal">
      <formula>"Towel"</formula>
    </cfRule>
    <cfRule type="cellIs" dxfId="32772" priority="5369" stopIfTrue="1" operator="equal">
      <formula>"Napkin Hs"</formula>
    </cfRule>
    <cfRule type="cellIs" dxfId="32771" priority="5370" stopIfTrue="1" operator="equal">
      <formula>"Towel"</formula>
    </cfRule>
    <cfRule type="cellIs" dxfId="32770" priority="5371" stopIfTrue="1" operator="equal">
      <formula>"Napkin Hs"</formula>
    </cfRule>
    <cfRule type="cellIs" dxfId="32769" priority="5372" stopIfTrue="1" operator="equal">
      <formula>"Towel"</formula>
    </cfRule>
    <cfRule type="cellIs" dxfId="32768" priority="5373" stopIfTrue="1" operator="equal">
      <formula>"Napkin Hs"</formula>
    </cfRule>
    <cfRule type="cellIs" dxfId="32767" priority="5374" stopIfTrue="1" operator="equal">
      <formula>"Towel"</formula>
    </cfRule>
    <cfRule type="cellIs" dxfId="32766" priority="5375" stopIfTrue="1" operator="equal">
      <formula>"Napkin Hs"</formula>
    </cfRule>
    <cfRule type="cellIs" dxfId="32765" priority="5376" stopIfTrue="1" operator="equal">
      <formula>"Towel"</formula>
    </cfRule>
    <cfRule type="cellIs" dxfId="32764" priority="5377" stopIfTrue="1" operator="equal">
      <formula>"Napkin Hs"</formula>
    </cfRule>
    <cfRule type="cellIs" dxfId="32763" priority="5378" stopIfTrue="1" operator="equal">
      <formula>"Towel"</formula>
    </cfRule>
    <cfRule type="cellIs" dxfId="32762" priority="5379" stopIfTrue="1" operator="equal">
      <formula>"Napkin Hs"</formula>
    </cfRule>
    <cfRule type="cellIs" dxfId="32761" priority="5380" stopIfTrue="1" operator="equal">
      <formula>"Towel"</formula>
    </cfRule>
    <cfRule type="cellIs" dxfId="32760" priority="5381" stopIfTrue="1" operator="equal">
      <formula>"Napkin Hs"</formula>
    </cfRule>
    <cfRule type="cellIs" dxfId="32759" priority="5382" stopIfTrue="1" operator="equal">
      <formula>"Towel"</formula>
    </cfRule>
    <cfRule type="cellIs" dxfId="32758" priority="5383" stopIfTrue="1" operator="equal">
      <formula>"Napkin Hs"</formula>
    </cfRule>
    <cfRule type="cellIs" dxfId="32757" priority="5384" stopIfTrue="1" operator="equal">
      <formula>"Towel"</formula>
    </cfRule>
    <cfRule type="cellIs" dxfId="32756" priority="5385" stopIfTrue="1" operator="equal">
      <formula>"Napkin Hs"</formula>
    </cfRule>
    <cfRule type="cellIs" dxfId="32755" priority="5386" stopIfTrue="1" operator="equal">
      <formula>"Towel"</formula>
    </cfRule>
    <cfRule type="cellIs" dxfId="32754" priority="5387" stopIfTrue="1" operator="equal">
      <formula>"Napkin Hs"</formula>
    </cfRule>
    <cfRule type="cellIs" dxfId="32753" priority="5388" stopIfTrue="1" operator="equal">
      <formula>"Towel"</formula>
    </cfRule>
    <cfRule type="cellIs" dxfId="32752" priority="5389" stopIfTrue="1" operator="equal">
      <formula>"Napkin Hs"</formula>
    </cfRule>
    <cfRule type="cellIs" dxfId="32751" priority="5390" stopIfTrue="1" operator="equal">
      <formula>"Towel"</formula>
    </cfRule>
    <cfRule type="cellIs" dxfId="32750" priority="5391" stopIfTrue="1" operator="equal">
      <formula>"Napkin Hs"</formula>
    </cfRule>
    <cfRule type="cellIs" dxfId="32749" priority="5392" stopIfTrue="1" operator="equal">
      <formula>"Towel"</formula>
    </cfRule>
    <cfRule type="cellIs" dxfId="32748" priority="5393" stopIfTrue="1" operator="equal">
      <formula>"Napkin Hs"</formula>
    </cfRule>
    <cfRule type="cellIs" dxfId="32747" priority="5394" stopIfTrue="1" operator="equal">
      <formula>"Towel"</formula>
    </cfRule>
    <cfRule type="cellIs" dxfId="32746" priority="5395" stopIfTrue="1" operator="equal">
      <formula>"Napkin Hs"</formula>
    </cfRule>
    <cfRule type="cellIs" dxfId="32745" priority="5396" stopIfTrue="1" operator="equal">
      <formula>"Towel"</formula>
    </cfRule>
    <cfRule type="cellIs" dxfId="32744" priority="5397" stopIfTrue="1" operator="equal">
      <formula>"Napkin Hs"</formula>
    </cfRule>
    <cfRule type="cellIs" dxfId="32743" priority="5398" stopIfTrue="1" operator="equal">
      <formula>"Towel"</formula>
    </cfRule>
    <cfRule type="cellIs" dxfId="32742" priority="5399" stopIfTrue="1" operator="equal">
      <formula>"Napkin Hs"</formula>
    </cfRule>
    <cfRule type="cellIs" dxfId="32741" priority="5400" stopIfTrue="1" operator="equal">
      <formula>"Towel"</formula>
    </cfRule>
    <cfRule type="cellIs" dxfId="32740" priority="5401" stopIfTrue="1" operator="equal">
      <formula>"Napkin Hs"</formula>
    </cfRule>
    <cfRule type="cellIs" dxfId="32739" priority="5402" stopIfTrue="1" operator="equal">
      <formula>"Towel"</formula>
    </cfRule>
    <cfRule type="cellIs" dxfId="32738" priority="5403" stopIfTrue="1" operator="equal">
      <formula>"Napkin Hs"</formula>
    </cfRule>
    <cfRule type="cellIs" dxfId="32737" priority="5404" stopIfTrue="1" operator="equal">
      <formula>"Towel"</formula>
    </cfRule>
    <cfRule type="cellIs" dxfId="32736" priority="5405" stopIfTrue="1" operator="equal">
      <formula>"Napkin Hs"</formula>
    </cfRule>
    <cfRule type="cellIs" dxfId="32735" priority="5406" stopIfTrue="1" operator="equal">
      <formula>"Towel"</formula>
    </cfRule>
    <cfRule type="cellIs" dxfId="32734" priority="5407" stopIfTrue="1" operator="equal">
      <formula>"Napkin Hs"</formula>
    </cfRule>
    <cfRule type="cellIs" dxfId="32733" priority="5408" stopIfTrue="1" operator="equal">
      <formula>"Towel"</formula>
    </cfRule>
    <cfRule type="cellIs" dxfId="32732" priority="5409" stopIfTrue="1" operator="equal">
      <formula>"Napkin Hs"</formula>
    </cfRule>
    <cfRule type="cellIs" dxfId="32731" priority="5410" stopIfTrue="1" operator="equal">
      <formula>"Towel"</formula>
    </cfRule>
    <cfRule type="cellIs" dxfId="32730" priority="5411" stopIfTrue="1" operator="equal">
      <formula>"Napkin Hs"</formula>
    </cfRule>
  </conditionalFormatting>
  <conditionalFormatting sqref="C68:C69">
    <cfRule type="cellIs" dxfId="32729" priority="5412" stopIfTrue="1" operator="equal">
      <formula>"Towel"</formula>
    </cfRule>
    <cfRule type="cellIs" dxfId="32728" priority="5413" stopIfTrue="1" operator="equal">
      <formula>"Napkin Hs"</formula>
    </cfRule>
  </conditionalFormatting>
  <conditionalFormatting sqref="C69">
    <cfRule type="cellIs" dxfId="32727" priority="5452" stopIfTrue="1" operator="equal">
      <formula>"Towel"</formula>
    </cfRule>
    <cfRule type="cellIs" dxfId="32726" priority="5453" stopIfTrue="1" operator="equal">
      <formula>"Napkin Hs"</formula>
    </cfRule>
    <cfRule type="cellIs" dxfId="32725" priority="5456" stopIfTrue="1" operator="equal">
      <formula>"Towel"</formula>
    </cfRule>
    <cfRule type="cellIs" dxfId="32724" priority="5457" stopIfTrue="1" operator="equal">
      <formula>"Napkin Hs"</formula>
    </cfRule>
    <cfRule type="cellIs" dxfId="32723" priority="5458" stopIfTrue="1" operator="equal">
      <formula>"Towel"</formula>
    </cfRule>
    <cfRule type="cellIs" dxfId="32722" priority="5459" stopIfTrue="1" operator="equal">
      <formula>"Napkin Hs"</formula>
    </cfRule>
    <cfRule type="cellIs" dxfId="32721" priority="5462" stopIfTrue="1" operator="equal">
      <formula>"Towel"</formula>
    </cfRule>
    <cfRule type="cellIs" dxfId="32720" priority="5463" stopIfTrue="1" operator="equal">
      <formula>"Napkin Hs"</formula>
    </cfRule>
    <cfRule type="cellIs" dxfId="32719" priority="5464" stopIfTrue="1" operator="equal">
      <formula>"Towel"</formula>
    </cfRule>
    <cfRule type="cellIs" dxfId="32718" priority="5465" stopIfTrue="1" operator="equal">
      <formula>"Napkin Hs"</formula>
    </cfRule>
    <cfRule type="cellIs" dxfId="32717" priority="5468" stopIfTrue="1" operator="equal">
      <formula>"Towel"</formula>
    </cfRule>
    <cfRule type="cellIs" dxfId="32716" priority="5469" stopIfTrue="1" operator="equal">
      <formula>"Napkin Hs"</formula>
    </cfRule>
    <cfRule type="cellIs" dxfId="32715" priority="5470" stopIfTrue="1" operator="equal">
      <formula>"Towel"</formula>
    </cfRule>
    <cfRule type="cellIs" dxfId="32714" priority="5471" stopIfTrue="1" operator="equal">
      <formula>"Napkin Hs"</formula>
    </cfRule>
    <cfRule type="cellIs" dxfId="32713" priority="5474" stopIfTrue="1" operator="equal">
      <formula>"Towel"</formula>
    </cfRule>
    <cfRule type="cellIs" dxfId="32712" priority="5475" stopIfTrue="1" operator="equal">
      <formula>"Napkin Hs"</formula>
    </cfRule>
    <cfRule type="cellIs" dxfId="32711" priority="5476" stopIfTrue="1" operator="equal">
      <formula>"Towel"</formula>
    </cfRule>
    <cfRule type="cellIs" dxfId="32710" priority="5477" stopIfTrue="1" operator="equal">
      <formula>"Napkin Hs"</formula>
    </cfRule>
    <cfRule type="cellIs" dxfId="32709" priority="5480" stopIfTrue="1" operator="equal">
      <formula>"Towel"</formula>
    </cfRule>
    <cfRule type="cellIs" dxfId="32708" priority="5481" stopIfTrue="1" operator="equal">
      <formula>"Napkin Hs"</formula>
    </cfRule>
    <cfRule type="cellIs" dxfId="32707" priority="5482" stopIfTrue="1" operator="equal">
      <formula>"Towel"</formula>
    </cfRule>
    <cfRule type="cellIs" dxfId="32706" priority="5483" stopIfTrue="1" operator="equal">
      <formula>"Napkin Hs"</formula>
    </cfRule>
    <cfRule type="cellIs" dxfId="32705" priority="6968" stopIfTrue="1" operator="equal">
      <formula>"Towel"</formula>
    </cfRule>
    <cfRule type="cellIs" dxfId="32704" priority="6969" stopIfTrue="1" operator="equal">
      <formula>"Napkin Hs"</formula>
    </cfRule>
    <cfRule type="cellIs" dxfId="32703" priority="6970" stopIfTrue="1" operator="equal">
      <formula>"Towel"</formula>
    </cfRule>
    <cfRule type="cellIs" dxfId="32702" priority="6971" stopIfTrue="1" operator="equal">
      <formula>"Napkin Hs"</formula>
    </cfRule>
    <cfRule type="cellIs" dxfId="32701" priority="6974" stopIfTrue="1" operator="equal">
      <formula>"Towel"</formula>
    </cfRule>
    <cfRule type="cellIs" dxfId="32700" priority="6975" stopIfTrue="1" operator="equal">
      <formula>"Napkin Hs"</formula>
    </cfRule>
    <cfRule type="cellIs" dxfId="32699" priority="6976" stopIfTrue="1" operator="equal">
      <formula>"Towel"</formula>
    </cfRule>
    <cfRule type="cellIs" dxfId="32698" priority="6977" stopIfTrue="1" operator="equal">
      <formula>"Napkin Hs"</formula>
    </cfRule>
    <cfRule type="cellIs" dxfId="32697" priority="6980" stopIfTrue="1" operator="equal">
      <formula>"Towel"</formula>
    </cfRule>
    <cfRule type="cellIs" dxfId="32696" priority="6981" stopIfTrue="1" operator="equal">
      <formula>"Napkin Hs"</formula>
    </cfRule>
    <cfRule type="cellIs" dxfId="32695" priority="6982" stopIfTrue="1" operator="equal">
      <formula>"Towel"</formula>
    </cfRule>
    <cfRule type="cellIs" dxfId="32694" priority="6983" stopIfTrue="1" operator="equal">
      <formula>"Napkin Hs"</formula>
    </cfRule>
    <cfRule type="cellIs" dxfId="32693" priority="6986" stopIfTrue="1" operator="equal">
      <formula>"Towel"</formula>
    </cfRule>
    <cfRule type="cellIs" dxfId="32692" priority="6987" stopIfTrue="1" operator="equal">
      <formula>"Napkin Hs"</formula>
    </cfRule>
    <cfRule type="cellIs" dxfId="32691" priority="6988" stopIfTrue="1" operator="equal">
      <formula>"Towel"</formula>
    </cfRule>
    <cfRule type="cellIs" dxfId="32690" priority="6989" stopIfTrue="1" operator="equal">
      <formula>"Napkin Hs"</formula>
    </cfRule>
    <cfRule type="cellIs" dxfId="32689" priority="6992" stopIfTrue="1" operator="equal">
      <formula>"Towel"</formula>
    </cfRule>
    <cfRule type="cellIs" dxfId="32688" priority="6993" stopIfTrue="1" operator="equal">
      <formula>"Napkin Hs"</formula>
    </cfRule>
    <cfRule type="cellIs" dxfId="32687" priority="6994" stopIfTrue="1" operator="equal">
      <formula>"Towel"</formula>
    </cfRule>
    <cfRule type="cellIs" dxfId="32686" priority="6995" stopIfTrue="1" operator="equal">
      <formula>"Napkin Hs"</formula>
    </cfRule>
    <cfRule type="cellIs" dxfId="32685" priority="6998" stopIfTrue="1" operator="equal">
      <formula>"Towel"</formula>
    </cfRule>
    <cfRule type="cellIs" dxfId="32684" priority="6999" stopIfTrue="1" operator="equal">
      <formula>"Napkin Hs"</formula>
    </cfRule>
    <cfRule type="cellIs" dxfId="32683" priority="7000" stopIfTrue="1" operator="equal">
      <formula>"Towel"</formula>
    </cfRule>
    <cfRule type="cellIs" dxfId="32682" priority="7001" stopIfTrue="1" operator="equal">
      <formula>"Napkin Hs"</formula>
    </cfRule>
  </conditionalFormatting>
  <conditionalFormatting sqref="C70">
    <cfRule type="cellIs" dxfId="32681" priority="5200" stopIfTrue="1" operator="equal">
      <formula>"Towel"</formula>
    </cfRule>
    <cfRule type="cellIs" dxfId="32680" priority="5201" stopIfTrue="1" operator="equal">
      <formula>"Napkin Hs"</formula>
    </cfRule>
  </conditionalFormatting>
  <conditionalFormatting sqref="C70:C71">
    <cfRule type="cellIs" dxfId="32679" priority="5194" stopIfTrue="1" operator="equal">
      <formula>"Towel"</formula>
    </cfRule>
    <cfRule type="cellIs" dxfId="32678" priority="5195" stopIfTrue="1" operator="equal">
      <formula>"Napkin Hs"</formula>
    </cfRule>
  </conditionalFormatting>
  <conditionalFormatting sqref="C71">
    <cfRule type="cellIs" dxfId="32677" priority="5162" stopIfTrue="1" operator="equal">
      <formula>"Towel"</formula>
    </cfRule>
    <cfRule type="cellIs" dxfId="32676" priority="5163" stopIfTrue="1" operator="equal">
      <formula>"Napkin Hs"</formula>
    </cfRule>
    <cfRule type="cellIs" dxfId="32675" priority="5164" stopIfTrue="1" operator="equal">
      <formula>"Towel"</formula>
    </cfRule>
    <cfRule type="cellIs" dxfId="32674" priority="5165" stopIfTrue="1" operator="equal">
      <formula>"Napkin Hs"</formula>
    </cfRule>
    <cfRule type="cellIs" dxfId="32673" priority="5168" stopIfTrue="1" operator="equal">
      <formula>"Towel"</formula>
    </cfRule>
    <cfRule type="cellIs" dxfId="32672" priority="5169" stopIfTrue="1" operator="equal">
      <formula>"Napkin Hs"</formula>
    </cfRule>
    <cfRule type="cellIs" dxfId="32671" priority="5170" stopIfTrue="1" operator="equal">
      <formula>"Towel"</formula>
    </cfRule>
    <cfRule type="cellIs" dxfId="32670" priority="5171" stopIfTrue="1" operator="equal">
      <formula>"Napkin Hs"</formula>
    </cfRule>
    <cfRule type="cellIs" dxfId="32669" priority="5174" stopIfTrue="1" operator="equal">
      <formula>"Towel"</formula>
    </cfRule>
    <cfRule type="cellIs" dxfId="32668" priority="5175" stopIfTrue="1" operator="equal">
      <formula>"Napkin Hs"</formula>
    </cfRule>
    <cfRule type="cellIs" dxfId="32667" priority="5176" stopIfTrue="1" operator="equal">
      <formula>"Towel"</formula>
    </cfRule>
    <cfRule type="cellIs" dxfId="32666" priority="5177" stopIfTrue="1" operator="equal">
      <formula>"Napkin Hs"</formula>
    </cfRule>
    <cfRule type="cellIs" dxfId="32665" priority="5180" stopIfTrue="1" operator="equal">
      <formula>"Towel"</formula>
    </cfRule>
    <cfRule type="cellIs" dxfId="32664" priority="5181" stopIfTrue="1" operator="equal">
      <formula>"Napkin Hs"</formula>
    </cfRule>
    <cfRule type="cellIs" dxfId="32663" priority="5182" stopIfTrue="1" operator="equal">
      <formula>"Towel"</formula>
    </cfRule>
    <cfRule type="cellIs" dxfId="32662" priority="5183" stopIfTrue="1" operator="equal">
      <formula>"Napkin Hs"</formula>
    </cfRule>
    <cfRule type="cellIs" dxfId="32661" priority="5186" stopIfTrue="1" operator="equal">
      <formula>"Towel"</formula>
    </cfRule>
    <cfRule type="cellIs" dxfId="32660" priority="5187" stopIfTrue="1" operator="equal">
      <formula>"Napkin Hs"</formula>
    </cfRule>
    <cfRule type="cellIs" dxfId="32659" priority="5188" stopIfTrue="1" operator="equal">
      <formula>"Towel"</formula>
    </cfRule>
    <cfRule type="cellIs" dxfId="32658" priority="5189" stopIfTrue="1" operator="equal">
      <formula>"Napkin Hs"</formula>
    </cfRule>
    <cfRule type="cellIs" dxfId="32657" priority="5192" stopIfTrue="1" operator="equal">
      <formula>"Towel"</formula>
    </cfRule>
    <cfRule type="cellIs" dxfId="32656" priority="5193" stopIfTrue="1" operator="equal">
      <formula>"Napkin Hs"</formula>
    </cfRule>
  </conditionalFormatting>
  <conditionalFormatting sqref="C72:C73">
    <cfRule type="cellIs" dxfId="32655" priority="5206" stopIfTrue="1" operator="equal">
      <formula>"Towel"</formula>
    </cfRule>
    <cfRule type="cellIs" dxfId="32654" priority="5207" stopIfTrue="1" operator="equal">
      <formula>"Napkin Hs"</formula>
    </cfRule>
    <cfRule type="cellIs" dxfId="32653" priority="5208" stopIfTrue="1" operator="equal">
      <formula>"Towel"</formula>
    </cfRule>
    <cfRule type="cellIs" dxfId="32652" priority="5209" stopIfTrue="1" operator="equal">
      <formula>"Napkin Hs"</formula>
    </cfRule>
    <cfRule type="cellIs" dxfId="32651" priority="5210" stopIfTrue="1" operator="equal">
      <formula>"Towel"</formula>
    </cfRule>
    <cfRule type="cellIs" dxfId="32650" priority="5211" stopIfTrue="1" operator="equal">
      <formula>"Napkin Hs"</formula>
    </cfRule>
    <cfRule type="cellIs" dxfId="32649" priority="5212" stopIfTrue="1" operator="equal">
      <formula>"Towel"</formula>
    </cfRule>
    <cfRule type="cellIs" dxfId="32648" priority="5213" stopIfTrue="1" operator="equal">
      <formula>"Napkin Hs"</formula>
    </cfRule>
    <cfRule type="cellIs" dxfId="32647" priority="5214" stopIfTrue="1" operator="equal">
      <formula>"Towel"</formula>
    </cfRule>
    <cfRule type="cellIs" dxfId="32646" priority="5215" stopIfTrue="1" operator="equal">
      <formula>"Napkin Hs"</formula>
    </cfRule>
    <cfRule type="cellIs" dxfId="32645" priority="5216" stopIfTrue="1" operator="equal">
      <formula>"Towel"</formula>
    </cfRule>
    <cfRule type="cellIs" dxfId="32644" priority="5217" stopIfTrue="1" operator="equal">
      <formula>"Napkin Hs"</formula>
    </cfRule>
    <cfRule type="cellIs" dxfId="32643" priority="5218" stopIfTrue="1" operator="equal">
      <formula>"Towel"</formula>
    </cfRule>
    <cfRule type="cellIs" dxfId="32642" priority="5219" stopIfTrue="1" operator="equal">
      <formula>"Napkin Hs"</formula>
    </cfRule>
    <cfRule type="cellIs" dxfId="32641" priority="5222" stopIfTrue="1" operator="equal">
      <formula>"Towel"</formula>
    </cfRule>
    <cfRule type="cellIs" dxfId="32640" priority="5223" stopIfTrue="1" operator="equal">
      <formula>"Napkin Hs"</formula>
    </cfRule>
    <cfRule type="cellIs" dxfId="32639" priority="5224" stopIfTrue="1" operator="equal">
      <formula>"Towel"</formula>
    </cfRule>
    <cfRule type="cellIs" dxfId="32638" priority="5225" stopIfTrue="1" operator="equal">
      <formula>"Napkin Hs"</formula>
    </cfRule>
    <cfRule type="cellIs" dxfId="32637" priority="5228" stopIfTrue="1" operator="equal">
      <formula>"Towel"</formula>
    </cfRule>
    <cfRule type="cellIs" dxfId="32636" priority="5229" stopIfTrue="1" operator="equal">
      <formula>"Napkin Hs"</formula>
    </cfRule>
    <cfRule type="cellIs" dxfId="32635" priority="5230" stopIfTrue="1" operator="equal">
      <formula>"Towel"</formula>
    </cfRule>
    <cfRule type="cellIs" dxfId="32634" priority="5231" stopIfTrue="1" operator="equal">
      <formula>"Napkin Hs"</formula>
    </cfRule>
    <cfRule type="cellIs" dxfId="32633" priority="5234" stopIfTrue="1" operator="equal">
      <formula>"Towel"</formula>
    </cfRule>
    <cfRule type="cellIs" dxfId="32632" priority="5235" stopIfTrue="1" operator="equal">
      <formula>"Napkin Hs"</formula>
    </cfRule>
    <cfRule type="cellIs" dxfId="32631" priority="5236" stopIfTrue="1" operator="equal">
      <formula>"Towel"</formula>
    </cfRule>
    <cfRule type="cellIs" dxfId="32630" priority="5237" stopIfTrue="1" operator="equal">
      <formula>"Napkin Hs"</formula>
    </cfRule>
    <cfRule type="cellIs" dxfId="32629" priority="5240" stopIfTrue="1" operator="equal">
      <formula>"Towel"</formula>
    </cfRule>
    <cfRule type="cellIs" dxfId="32628" priority="5241" stopIfTrue="1" operator="equal">
      <formula>"Napkin Hs"</formula>
    </cfRule>
    <cfRule type="cellIs" dxfId="32627" priority="5242" stopIfTrue="1" operator="equal">
      <formula>"Towel"</formula>
    </cfRule>
    <cfRule type="cellIs" dxfId="32626" priority="5243" stopIfTrue="1" operator="equal">
      <formula>"Napkin Hs"</formula>
    </cfRule>
    <cfRule type="cellIs" dxfId="32625" priority="5246" stopIfTrue="1" operator="equal">
      <formula>"Towel"</formula>
    </cfRule>
    <cfRule type="cellIs" dxfId="32624" priority="5247" stopIfTrue="1" operator="equal">
      <formula>"Napkin Hs"</formula>
    </cfRule>
    <cfRule type="cellIs" dxfId="32623" priority="5248" stopIfTrue="1" operator="equal">
      <formula>"Towel"</formula>
    </cfRule>
    <cfRule type="cellIs" dxfId="32622" priority="5249" stopIfTrue="1" operator="equal">
      <formula>"Napkin Hs"</formula>
    </cfRule>
    <cfRule type="cellIs" dxfId="32621" priority="5252" stopIfTrue="1" operator="equal">
      <formula>"Towel"</formula>
    </cfRule>
    <cfRule type="cellIs" dxfId="32620" priority="5253" stopIfTrue="1" operator="equal">
      <formula>"Napkin Hs"</formula>
    </cfRule>
  </conditionalFormatting>
  <conditionalFormatting sqref="C72:C74">
    <cfRule type="cellIs" dxfId="32619" priority="5254" stopIfTrue="1" operator="equal">
      <formula>"Towel"</formula>
    </cfRule>
    <cfRule type="cellIs" dxfId="32618" priority="5255" stopIfTrue="1" operator="equal">
      <formula>"Napkin Hs"</formula>
    </cfRule>
  </conditionalFormatting>
  <conditionalFormatting sqref="C74">
    <cfRule type="cellIs" dxfId="32617" priority="6934" stopIfTrue="1" operator="equal">
      <formula>"Towel"</formula>
    </cfRule>
    <cfRule type="cellIs" dxfId="32616" priority="6935" stopIfTrue="1" operator="equal">
      <formula>"Napkin Hs"</formula>
    </cfRule>
    <cfRule type="cellIs" dxfId="32615" priority="6938" stopIfTrue="1" operator="equal">
      <formula>"Towel"</formula>
    </cfRule>
    <cfRule type="cellIs" dxfId="32614" priority="6939" stopIfTrue="1" operator="equal">
      <formula>"Napkin Hs"</formula>
    </cfRule>
    <cfRule type="cellIs" dxfId="32613" priority="6940" stopIfTrue="1" operator="equal">
      <formula>"Towel"</formula>
    </cfRule>
    <cfRule type="cellIs" dxfId="32612" priority="6941" stopIfTrue="1" operator="equal">
      <formula>"Napkin Hs"</formula>
    </cfRule>
    <cfRule type="cellIs" dxfId="32611" priority="6944" stopIfTrue="1" operator="equal">
      <formula>"Towel"</formula>
    </cfRule>
    <cfRule type="cellIs" dxfId="32610" priority="6945" stopIfTrue="1" operator="equal">
      <formula>"Napkin Hs"</formula>
    </cfRule>
    <cfRule type="cellIs" dxfId="32609" priority="6946" stopIfTrue="1" operator="equal">
      <formula>"Towel"</formula>
    </cfRule>
    <cfRule type="cellIs" dxfId="32608" priority="6947" stopIfTrue="1" operator="equal">
      <formula>"Napkin Hs"</formula>
    </cfRule>
    <cfRule type="cellIs" dxfId="32607" priority="6950" stopIfTrue="1" operator="equal">
      <formula>"Towel"</formula>
    </cfRule>
    <cfRule type="cellIs" dxfId="32606" priority="6951" stopIfTrue="1" operator="equal">
      <formula>"Napkin Hs"</formula>
    </cfRule>
    <cfRule type="cellIs" dxfId="32605" priority="6952" stopIfTrue="1" operator="equal">
      <formula>"Towel"</formula>
    </cfRule>
    <cfRule type="cellIs" dxfId="32604" priority="6953" stopIfTrue="1" operator="equal">
      <formula>"Napkin Hs"</formula>
    </cfRule>
    <cfRule type="cellIs" dxfId="32603" priority="6956" stopIfTrue="1" operator="equal">
      <formula>"Towel"</formula>
    </cfRule>
    <cfRule type="cellIs" dxfId="32602" priority="6957" stopIfTrue="1" operator="equal">
      <formula>"Napkin Hs"</formula>
    </cfRule>
    <cfRule type="cellIs" dxfId="32601" priority="6958" stopIfTrue="1" operator="equal">
      <formula>"Towel"</formula>
    </cfRule>
    <cfRule type="cellIs" dxfId="32600" priority="6959" stopIfTrue="1" operator="equal">
      <formula>"Napkin Hs"</formula>
    </cfRule>
    <cfRule type="cellIs" dxfId="32599" priority="6962" stopIfTrue="1" operator="equal">
      <formula>"Towel"</formula>
    </cfRule>
    <cfRule type="cellIs" dxfId="32598" priority="6963" stopIfTrue="1" operator="equal">
      <formula>"Napkin Hs"</formula>
    </cfRule>
    <cfRule type="cellIs" dxfId="32597" priority="6964" stopIfTrue="1" operator="equal">
      <formula>"Towel"</formula>
    </cfRule>
    <cfRule type="cellIs" dxfId="32596" priority="6965" stopIfTrue="1" operator="equal">
      <formula>"Napkin Hs"</formula>
    </cfRule>
  </conditionalFormatting>
  <conditionalFormatting sqref="C75">
    <cfRule type="cellIs" dxfId="32595" priority="5036" stopIfTrue="1" operator="equal">
      <formula>"Towel"</formula>
    </cfRule>
    <cfRule type="cellIs" dxfId="32594" priority="5037" stopIfTrue="1" operator="equal">
      <formula>"Napkin Hs"</formula>
    </cfRule>
    <cfRule type="cellIs" dxfId="32593" priority="5038" stopIfTrue="1" operator="equal">
      <formula>"Towel"</formula>
    </cfRule>
    <cfRule type="cellIs" dxfId="32592" priority="5039" stopIfTrue="1" operator="equal">
      <formula>"Napkin Hs"</formula>
    </cfRule>
    <cfRule type="cellIs" dxfId="32591" priority="5042" stopIfTrue="1" operator="equal">
      <formula>"Towel"</formula>
    </cfRule>
    <cfRule type="cellIs" dxfId="32590" priority="5043" stopIfTrue="1" operator="equal">
      <formula>"Napkin Hs"</formula>
    </cfRule>
    <cfRule type="cellIs" dxfId="32589" priority="5044" stopIfTrue="1" operator="equal">
      <formula>"Towel"</formula>
    </cfRule>
    <cfRule type="cellIs" dxfId="32588" priority="5045" stopIfTrue="1" operator="equal">
      <formula>"Napkin Hs"</formula>
    </cfRule>
    <cfRule type="cellIs" dxfId="32587" priority="5048" stopIfTrue="1" operator="equal">
      <formula>"Towel"</formula>
    </cfRule>
    <cfRule type="cellIs" dxfId="32586" priority="5049" stopIfTrue="1" operator="equal">
      <formula>"Napkin Hs"</formula>
    </cfRule>
    <cfRule type="cellIs" dxfId="32585" priority="5050" stopIfTrue="1" operator="equal">
      <formula>"Towel"</formula>
    </cfRule>
    <cfRule type="cellIs" dxfId="32584" priority="5051" stopIfTrue="1" operator="equal">
      <formula>"Napkin Hs"</formula>
    </cfRule>
    <cfRule type="cellIs" dxfId="32583" priority="5054" stopIfTrue="1" operator="equal">
      <formula>"Towel"</formula>
    </cfRule>
    <cfRule type="cellIs" dxfId="32582" priority="5055" stopIfTrue="1" operator="equal">
      <formula>"Napkin Hs"</formula>
    </cfRule>
    <cfRule type="cellIs" dxfId="32581" priority="5056" stopIfTrue="1" operator="equal">
      <formula>"Towel"</formula>
    </cfRule>
    <cfRule type="cellIs" dxfId="32580" priority="5057" stopIfTrue="1" operator="equal">
      <formula>"Napkin Hs"</formula>
    </cfRule>
    <cfRule type="cellIs" dxfId="32579" priority="5060" stopIfTrue="1" operator="equal">
      <formula>"Towel"</formula>
    </cfRule>
    <cfRule type="cellIs" dxfId="32578" priority="5061" stopIfTrue="1" operator="equal">
      <formula>"Napkin Hs"</formula>
    </cfRule>
    <cfRule type="cellIs" dxfId="32577" priority="5062" stopIfTrue="1" operator="equal">
      <formula>"Towel"</formula>
    </cfRule>
    <cfRule type="cellIs" dxfId="32576" priority="5063" stopIfTrue="1" operator="equal">
      <formula>"Napkin Hs"</formula>
    </cfRule>
    <cfRule type="cellIs" dxfId="32575" priority="5066" stopIfTrue="1" operator="equal">
      <formula>"Towel"</formula>
    </cfRule>
    <cfRule type="cellIs" dxfId="32574" priority="5067" stopIfTrue="1" operator="equal">
      <formula>"Napkin Hs"</formula>
    </cfRule>
  </conditionalFormatting>
  <conditionalFormatting sqref="C75:C76">
    <cfRule type="cellIs" dxfId="32573" priority="5068" stopIfTrue="1" operator="equal">
      <formula>"Towel"</formula>
    </cfRule>
    <cfRule type="cellIs" dxfId="32572" priority="5069" stopIfTrue="1" operator="equal">
      <formula>"Napkin Hs"</formula>
    </cfRule>
  </conditionalFormatting>
  <conditionalFormatting sqref="C76">
    <cfRule type="cellIs" dxfId="32571" priority="5072" stopIfTrue="1" operator="equal">
      <formula>"Towel"</formula>
    </cfRule>
    <cfRule type="cellIs" dxfId="32570" priority="5073" stopIfTrue="1" operator="equal">
      <formula>"Napkin Hs"</formula>
    </cfRule>
    <cfRule type="cellIs" dxfId="32569" priority="5076" stopIfTrue="1" operator="equal">
      <formula>"Towel"</formula>
    </cfRule>
    <cfRule type="cellIs" dxfId="32568" priority="5077" stopIfTrue="1" operator="equal">
      <formula>"Napkin Hs"</formula>
    </cfRule>
    <cfRule type="cellIs" dxfId="32567" priority="5078" stopIfTrue="1" operator="equal">
      <formula>"Towel"</formula>
    </cfRule>
    <cfRule type="cellIs" dxfId="32566" priority="5079" stopIfTrue="1" operator="equal">
      <formula>"Napkin Hs"</formula>
    </cfRule>
    <cfRule type="cellIs" dxfId="32565" priority="5082" stopIfTrue="1" operator="equal">
      <formula>"Towel"</formula>
    </cfRule>
    <cfRule type="cellIs" dxfId="32564" priority="5083" stopIfTrue="1" operator="equal">
      <formula>"Napkin Hs"</formula>
    </cfRule>
    <cfRule type="cellIs" dxfId="32563" priority="5084" stopIfTrue="1" operator="equal">
      <formula>"Towel"</formula>
    </cfRule>
    <cfRule type="cellIs" dxfId="32562" priority="5085" stopIfTrue="1" operator="equal">
      <formula>"Napkin Hs"</formula>
    </cfRule>
    <cfRule type="cellIs" dxfId="32561" priority="5088" stopIfTrue="1" operator="equal">
      <formula>"Towel"</formula>
    </cfRule>
    <cfRule type="cellIs" dxfId="32560" priority="5089" stopIfTrue="1" operator="equal">
      <formula>"Napkin Hs"</formula>
    </cfRule>
    <cfRule type="cellIs" dxfId="32559" priority="5090" stopIfTrue="1" operator="equal">
      <formula>"Towel"</formula>
    </cfRule>
    <cfRule type="cellIs" dxfId="32558" priority="5091" stopIfTrue="1" operator="equal">
      <formula>"Napkin Hs"</formula>
    </cfRule>
    <cfRule type="cellIs" dxfId="32557" priority="5094" stopIfTrue="1" operator="equal">
      <formula>"Towel"</formula>
    </cfRule>
    <cfRule type="cellIs" dxfId="32556" priority="5095" stopIfTrue="1" operator="equal">
      <formula>"Napkin Hs"</formula>
    </cfRule>
    <cfRule type="cellIs" dxfId="32555" priority="5096" stopIfTrue="1" operator="equal">
      <formula>"Towel"</formula>
    </cfRule>
    <cfRule type="cellIs" dxfId="32554" priority="5097" stopIfTrue="1" operator="equal">
      <formula>"Napkin Hs"</formula>
    </cfRule>
    <cfRule type="cellIs" dxfId="32553" priority="5100" stopIfTrue="1" operator="equal">
      <formula>"Towel"</formula>
    </cfRule>
    <cfRule type="cellIs" dxfId="32552" priority="5101" stopIfTrue="1" operator="equal">
      <formula>"Napkin Hs"</formula>
    </cfRule>
    <cfRule type="cellIs" dxfId="32551" priority="5102" stopIfTrue="1" operator="equal">
      <formula>"Towel"</formula>
    </cfRule>
    <cfRule type="cellIs" dxfId="32550" priority="5103" stopIfTrue="1" operator="equal">
      <formula>"Napkin Hs"</formula>
    </cfRule>
  </conditionalFormatting>
  <conditionalFormatting sqref="C77:C78">
    <cfRule type="cellIs" dxfId="32549" priority="5110" stopIfTrue="1" operator="equal">
      <formula>"Towel"</formula>
    </cfRule>
    <cfRule type="cellIs" dxfId="32548" priority="5111" stopIfTrue="1" operator="equal">
      <formula>"Napkin Hs"</formula>
    </cfRule>
    <cfRule type="cellIs" dxfId="32547" priority="5112" stopIfTrue="1" operator="equal">
      <formula>"Towel"</formula>
    </cfRule>
    <cfRule type="cellIs" dxfId="32546" priority="5113" stopIfTrue="1" operator="equal">
      <formula>"Napkin Hs"</formula>
    </cfRule>
    <cfRule type="cellIs" dxfId="32545" priority="5114" stopIfTrue="1" operator="equal">
      <formula>"Towel"</formula>
    </cfRule>
    <cfRule type="cellIs" dxfId="32544" priority="5115" stopIfTrue="1" operator="equal">
      <formula>"Napkin Hs"</formula>
    </cfRule>
    <cfRule type="cellIs" dxfId="32543" priority="5116" stopIfTrue="1" operator="equal">
      <formula>"Towel"</formula>
    </cfRule>
    <cfRule type="cellIs" dxfId="32542" priority="5117" stopIfTrue="1" operator="equal">
      <formula>"Napkin Hs"</formula>
    </cfRule>
    <cfRule type="cellIs" dxfId="32541" priority="5118" stopIfTrue="1" operator="equal">
      <formula>"Towel"</formula>
    </cfRule>
    <cfRule type="cellIs" dxfId="32540" priority="5119" stopIfTrue="1" operator="equal">
      <formula>"Napkin Hs"</formula>
    </cfRule>
    <cfRule type="cellIs" dxfId="32539" priority="5120" stopIfTrue="1" operator="equal">
      <formula>"Towel"</formula>
    </cfRule>
    <cfRule type="cellIs" dxfId="32538" priority="5121" stopIfTrue="1" operator="equal">
      <formula>"Napkin Hs"</formula>
    </cfRule>
    <cfRule type="cellIs" dxfId="32537" priority="5122" stopIfTrue="1" operator="equal">
      <formula>"Towel"</formula>
    </cfRule>
    <cfRule type="cellIs" dxfId="32536" priority="5123" stopIfTrue="1" operator="equal">
      <formula>"Napkin Hs"</formula>
    </cfRule>
    <cfRule type="cellIs" dxfId="32535" priority="5126" stopIfTrue="1" operator="equal">
      <formula>"Towel"</formula>
    </cfRule>
    <cfRule type="cellIs" dxfId="32534" priority="5127" stopIfTrue="1" operator="equal">
      <formula>"Napkin Hs"</formula>
    </cfRule>
    <cfRule type="cellIs" dxfId="32533" priority="5128" stopIfTrue="1" operator="equal">
      <formula>"Towel"</formula>
    </cfRule>
    <cfRule type="cellIs" dxfId="32532" priority="5129" stopIfTrue="1" operator="equal">
      <formula>"Napkin Hs"</formula>
    </cfRule>
    <cfRule type="cellIs" dxfId="32531" priority="5132" stopIfTrue="1" operator="equal">
      <formula>"Towel"</formula>
    </cfRule>
    <cfRule type="cellIs" dxfId="32530" priority="5133" stopIfTrue="1" operator="equal">
      <formula>"Napkin Hs"</formula>
    </cfRule>
    <cfRule type="cellIs" dxfId="32529" priority="5134" stopIfTrue="1" operator="equal">
      <formula>"Towel"</formula>
    </cfRule>
    <cfRule type="cellIs" dxfId="32528" priority="5135" stopIfTrue="1" operator="equal">
      <formula>"Napkin Hs"</formula>
    </cfRule>
    <cfRule type="cellIs" dxfId="32527" priority="5138" stopIfTrue="1" operator="equal">
      <formula>"Towel"</formula>
    </cfRule>
    <cfRule type="cellIs" dxfId="32526" priority="5139" stopIfTrue="1" operator="equal">
      <formula>"Napkin Hs"</formula>
    </cfRule>
    <cfRule type="cellIs" dxfId="32525" priority="5140" stopIfTrue="1" operator="equal">
      <formula>"Towel"</formula>
    </cfRule>
    <cfRule type="cellIs" dxfId="32524" priority="5141" stopIfTrue="1" operator="equal">
      <formula>"Napkin Hs"</formula>
    </cfRule>
    <cfRule type="cellIs" dxfId="32523" priority="5144" stopIfTrue="1" operator="equal">
      <formula>"Towel"</formula>
    </cfRule>
    <cfRule type="cellIs" dxfId="32522" priority="5145" stopIfTrue="1" operator="equal">
      <formula>"Napkin Hs"</formula>
    </cfRule>
    <cfRule type="cellIs" dxfId="32521" priority="5146" stopIfTrue="1" operator="equal">
      <formula>"Towel"</formula>
    </cfRule>
    <cfRule type="cellIs" dxfId="32520" priority="5147" stopIfTrue="1" operator="equal">
      <formula>"Napkin Hs"</formula>
    </cfRule>
    <cfRule type="cellIs" dxfId="32519" priority="5150" stopIfTrue="1" operator="equal">
      <formula>"Towel"</formula>
    </cfRule>
    <cfRule type="cellIs" dxfId="32518" priority="5151" stopIfTrue="1" operator="equal">
      <formula>"Napkin Hs"</formula>
    </cfRule>
    <cfRule type="cellIs" dxfId="32517" priority="5152" stopIfTrue="1" operator="equal">
      <formula>"Towel"</formula>
    </cfRule>
    <cfRule type="cellIs" dxfId="32516" priority="5153" stopIfTrue="1" operator="equal">
      <formula>"Napkin Hs"</formula>
    </cfRule>
    <cfRule type="cellIs" dxfId="32515" priority="5156" stopIfTrue="1" operator="equal">
      <formula>"Towel"</formula>
    </cfRule>
    <cfRule type="cellIs" dxfId="32514" priority="5157" stopIfTrue="1" operator="equal">
      <formula>"Napkin Hs"</formula>
    </cfRule>
    <cfRule type="cellIs" dxfId="32513" priority="5158" stopIfTrue="1" operator="equal">
      <formula>"Towel"</formula>
    </cfRule>
    <cfRule type="cellIs" dxfId="32512" priority="5159" stopIfTrue="1" operator="equal">
      <formula>"Napkin Hs"</formula>
    </cfRule>
  </conditionalFormatting>
  <conditionalFormatting sqref="C79">
    <cfRule type="cellIs" dxfId="32511" priority="4910" stopIfTrue="1" operator="equal">
      <formula>"Towel"</formula>
    </cfRule>
    <cfRule type="cellIs" dxfId="32510" priority="4911" stopIfTrue="1" operator="equal">
      <formula>"Napkin Hs"</formula>
    </cfRule>
    <cfRule type="cellIs" dxfId="32509" priority="4912" stopIfTrue="1" operator="equal">
      <formula>"Towel"</formula>
    </cfRule>
    <cfRule type="cellIs" dxfId="32508" priority="4913" stopIfTrue="1" operator="equal">
      <formula>"Napkin Hs"</formula>
    </cfRule>
    <cfRule type="cellIs" dxfId="32507" priority="4916" stopIfTrue="1" operator="equal">
      <formula>"Towel"</formula>
    </cfRule>
    <cfRule type="cellIs" dxfId="32506" priority="4917" stopIfTrue="1" operator="equal">
      <formula>"Napkin Hs"</formula>
    </cfRule>
    <cfRule type="cellIs" dxfId="32505" priority="4918" stopIfTrue="1" operator="equal">
      <formula>"Towel"</formula>
    </cfRule>
    <cfRule type="cellIs" dxfId="32504" priority="4919" stopIfTrue="1" operator="equal">
      <formula>"Napkin Hs"</formula>
    </cfRule>
    <cfRule type="cellIs" dxfId="32503" priority="4922" stopIfTrue="1" operator="equal">
      <formula>"Towel"</formula>
    </cfRule>
    <cfRule type="cellIs" dxfId="32502" priority="4923" stopIfTrue="1" operator="equal">
      <formula>"Napkin Hs"</formula>
    </cfRule>
    <cfRule type="cellIs" dxfId="32501" priority="4924" stopIfTrue="1" operator="equal">
      <formula>"Towel"</formula>
    </cfRule>
    <cfRule type="cellIs" dxfId="32500" priority="4925" stopIfTrue="1" operator="equal">
      <formula>"Napkin Hs"</formula>
    </cfRule>
    <cfRule type="cellIs" dxfId="32499" priority="4928" stopIfTrue="1" operator="equal">
      <formula>"Towel"</formula>
    </cfRule>
    <cfRule type="cellIs" dxfId="32498" priority="4929" stopIfTrue="1" operator="equal">
      <formula>"Napkin Hs"</formula>
    </cfRule>
    <cfRule type="cellIs" dxfId="32497" priority="4930" stopIfTrue="1" operator="equal">
      <formula>"Towel"</formula>
    </cfRule>
    <cfRule type="cellIs" dxfId="32496" priority="4931" stopIfTrue="1" operator="equal">
      <formula>"Napkin Hs"</formula>
    </cfRule>
    <cfRule type="cellIs" dxfId="32495" priority="4934" stopIfTrue="1" operator="equal">
      <formula>"Towel"</formula>
    </cfRule>
    <cfRule type="cellIs" dxfId="32494" priority="4935" stopIfTrue="1" operator="equal">
      <formula>"Napkin Hs"</formula>
    </cfRule>
    <cfRule type="cellIs" dxfId="32493" priority="4936" stopIfTrue="1" operator="equal">
      <formula>"Towel"</formula>
    </cfRule>
    <cfRule type="cellIs" dxfId="32492" priority="4937" stopIfTrue="1" operator="equal">
      <formula>"Napkin Hs"</formula>
    </cfRule>
    <cfRule type="cellIs" dxfId="32491" priority="4940" stopIfTrue="1" operator="equal">
      <formula>"Towel"</formula>
    </cfRule>
    <cfRule type="cellIs" dxfId="32490" priority="4941" stopIfTrue="1" operator="equal">
      <formula>"Napkin Hs"</formula>
    </cfRule>
  </conditionalFormatting>
  <conditionalFormatting sqref="C79:C80">
    <cfRule type="cellIs" dxfId="32489" priority="4942" stopIfTrue="1" operator="equal">
      <formula>"Towel"</formula>
    </cfRule>
    <cfRule type="cellIs" dxfId="32488" priority="4943" stopIfTrue="1" operator="equal">
      <formula>"Napkin Hs"</formula>
    </cfRule>
  </conditionalFormatting>
  <conditionalFormatting sqref="C80">
    <cfRule type="cellIs" dxfId="32487" priority="4946" stopIfTrue="1" operator="equal">
      <formula>"Towel"</formula>
    </cfRule>
    <cfRule type="cellIs" dxfId="32486" priority="4947" stopIfTrue="1" operator="equal">
      <formula>"Napkin Hs"</formula>
    </cfRule>
    <cfRule type="cellIs" dxfId="32485" priority="4950" stopIfTrue="1" operator="equal">
      <formula>"Towel"</formula>
    </cfRule>
    <cfRule type="cellIs" dxfId="32484" priority="4951" stopIfTrue="1" operator="equal">
      <formula>"Napkin Hs"</formula>
    </cfRule>
    <cfRule type="cellIs" dxfId="32483" priority="4952" stopIfTrue="1" operator="equal">
      <formula>"Towel"</formula>
    </cfRule>
    <cfRule type="cellIs" dxfId="32482" priority="4953" stopIfTrue="1" operator="equal">
      <formula>"Napkin Hs"</formula>
    </cfRule>
    <cfRule type="cellIs" dxfId="32481" priority="4956" stopIfTrue="1" operator="equal">
      <formula>"Towel"</formula>
    </cfRule>
    <cfRule type="cellIs" dxfId="32480" priority="4957" stopIfTrue="1" operator="equal">
      <formula>"Napkin Hs"</formula>
    </cfRule>
    <cfRule type="cellIs" dxfId="32479" priority="4958" stopIfTrue="1" operator="equal">
      <formula>"Towel"</formula>
    </cfRule>
    <cfRule type="cellIs" dxfId="32478" priority="4959" stopIfTrue="1" operator="equal">
      <formula>"Napkin Hs"</formula>
    </cfRule>
    <cfRule type="cellIs" dxfId="32477" priority="4962" stopIfTrue="1" operator="equal">
      <formula>"Towel"</formula>
    </cfRule>
    <cfRule type="cellIs" dxfId="32476" priority="4963" stopIfTrue="1" operator="equal">
      <formula>"Napkin Hs"</formula>
    </cfRule>
    <cfRule type="cellIs" dxfId="32475" priority="4964" stopIfTrue="1" operator="equal">
      <formula>"Towel"</formula>
    </cfRule>
    <cfRule type="cellIs" dxfId="32474" priority="4965" stopIfTrue="1" operator="equal">
      <formula>"Napkin Hs"</formula>
    </cfRule>
    <cfRule type="cellIs" dxfId="32473" priority="4968" stopIfTrue="1" operator="equal">
      <formula>"Towel"</formula>
    </cfRule>
    <cfRule type="cellIs" dxfId="32472" priority="4969" stopIfTrue="1" operator="equal">
      <formula>"Napkin Hs"</formula>
    </cfRule>
    <cfRule type="cellIs" dxfId="32471" priority="4970" stopIfTrue="1" operator="equal">
      <formula>"Towel"</formula>
    </cfRule>
    <cfRule type="cellIs" dxfId="32470" priority="4971" stopIfTrue="1" operator="equal">
      <formula>"Napkin Hs"</formula>
    </cfRule>
    <cfRule type="cellIs" dxfId="32469" priority="4974" stopIfTrue="1" operator="equal">
      <formula>"Towel"</formula>
    </cfRule>
    <cfRule type="cellIs" dxfId="32468" priority="4975" stopIfTrue="1" operator="equal">
      <formula>"Napkin Hs"</formula>
    </cfRule>
    <cfRule type="cellIs" dxfId="32467" priority="4976" stopIfTrue="1" operator="equal">
      <formula>"Towel"</formula>
    </cfRule>
    <cfRule type="cellIs" dxfId="32466" priority="4977" stopIfTrue="1" operator="equal">
      <formula>"Napkin Hs"</formula>
    </cfRule>
  </conditionalFormatting>
  <conditionalFormatting sqref="C81">
    <cfRule type="cellIs" dxfId="32465" priority="4984" stopIfTrue="1" operator="equal">
      <formula>"Towel"</formula>
    </cfRule>
    <cfRule type="cellIs" dxfId="32464" priority="4985" stopIfTrue="1" operator="equal">
      <formula>"Napkin Hs"</formula>
    </cfRule>
    <cfRule type="cellIs" dxfId="32463" priority="4986" stopIfTrue="1" operator="equal">
      <formula>"Towel"</formula>
    </cfRule>
    <cfRule type="cellIs" dxfId="32462" priority="4987" stopIfTrue="1" operator="equal">
      <formula>"Napkin Hs"</formula>
    </cfRule>
    <cfRule type="cellIs" dxfId="32461" priority="4988" stopIfTrue="1" operator="equal">
      <formula>"Towel"</formula>
    </cfRule>
    <cfRule type="cellIs" dxfId="32460" priority="4989" stopIfTrue="1" operator="equal">
      <formula>"Napkin Hs"</formula>
    </cfRule>
    <cfRule type="cellIs" dxfId="32459" priority="4990" stopIfTrue="1" operator="equal">
      <formula>"Towel"</formula>
    </cfRule>
    <cfRule type="cellIs" dxfId="32458" priority="4991" stopIfTrue="1" operator="equal">
      <formula>"Napkin Hs"</formula>
    </cfRule>
    <cfRule type="cellIs" dxfId="32457" priority="4992" stopIfTrue="1" operator="equal">
      <formula>"Towel"</formula>
    </cfRule>
    <cfRule type="cellIs" dxfId="32456" priority="4993" stopIfTrue="1" operator="equal">
      <formula>"Napkin Hs"</formula>
    </cfRule>
    <cfRule type="cellIs" dxfId="32455" priority="4994" stopIfTrue="1" operator="equal">
      <formula>"Towel"</formula>
    </cfRule>
    <cfRule type="cellIs" dxfId="32454" priority="4995" stopIfTrue="1" operator="equal">
      <formula>"Napkin Hs"</formula>
    </cfRule>
    <cfRule type="cellIs" dxfId="32453" priority="4996" stopIfTrue="1" operator="equal">
      <formula>"Towel"</formula>
    </cfRule>
    <cfRule type="cellIs" dxfId="32452" priority="4997" stopIfTrue="1" operator="equal">
      <formula>"Napkin Hs"</formula>
    </cfRule>
    <cfRule type="cellIs" dxfId="32451" priority="5000" stopIfTrue="1" operator="equal">
      <formula>"Towel"</formula>
    </cfRule>
    <cfRule type="cellIs" dxfId="32450" priority="5001" stopIfTrue="1" operator="equal">
      <formula>"Napkin Hs"</formula>
    </cfRule>
    <cfRule type="cellIs" dxfId="32449" priority="5002" stopIfTrue="1" operator="equal">
      <formula>"Towel"</formula>
    </cfRule>
    <cfRule type="cellIs" dxfId="32448" priority="5003" stopIfTrue="1" operator="equal">
      <formula>"Napkin Hs"</formula>
    </cfRule>
    <cfRule type="cellIs" dxfId="32447" priority="5006" stopIfTrue="1" operator="equal">
      <formula>"Towel"</formula>
    </cfRule>
    <cfRule type="cellIs" dxfId="32446" priority="5007" stopIfTrue="1" operator="equal">
      <formula>"Napkin Hs"</formula>
    </cfRule>
    <cfRule type="cellIs" dxfId="32445" priority="5008" stopIfTrue="1" operator="equal">
      <formula>"Towel"</formula>
    </cfRule>
    <cfRule type="cellIs" dxfId="32444" priority="5009" stopIfTrue="1" operator="equal">
      <formula>"Napkin Hs"</formula>
    </cfRule>
    <cfRule type="cellIs" dxfId="32443" priority="5012" stopIfTrue="1" operator="equal">
      <formula>"Towel"</formula>
    </cfRule>
    <cfRule type="cellIs" dxfId="32442" priority="5013" stopIfTrue="1" operator="equal">
      <formula>"Napkin Hs"</formula>
    </cfRule>
    <cfRule type="cellIs" dxfId="32441" priority="5014" stopIfTrue="1" operator="equal">
      <formula>"Towel"</formula>
    </cfRule>
    <cfRule type="cellIs" dxfId="32440" priority="5015" stopIfTrue="1" operator="equal">
      <formula>"Napkin Hs"</formula>
    </cfRule>
    <cfRule type="cellIs" dxfId="32439" priority="5018" stopIfTrue="1" operator="equal">
      <formula>"Towel"</formula>
    </cfRule>
    <cfRule type="cellIs" dxfId="32438" priority="5019" stopIfTrue="1" operator="equal">
      <formula>"Napkin Hs"</formula>
    </cfRule>
    <cfRule type="cellIs" dxfId="32437" priority="5020" stopIfTrue="1" operator="equal">
      <formula>"Towel"</formula>
    </cfRule>
    <cfRule type="cellIs" dxfId="32436" priority="5021" stopIfTrue="1" operator="equal">
      <formula>"Napkin Hs"</formula>
    </cfRule>
    <cfRule type="cellIs" dxfId="32435" priority="5024" stopIfTrue="1" operator="equal">
      <formula>"Towel"</formula>
    </cfRule>
    <cfRule type="cellIs" dxfId="32434" priority="5025" stopIfTrue="1" operator="equal">
      <formula>"Napkin Hs"</formula>
    </cfRule>
    <cfRule type="cellIs" dxfId="32433" priority="5026" stopIfTrue="1" operator="equal">
      <formula>"Towel"</formula>
    </cfRule>
    <cfRule type="cellIs" dxfId="32432" priority="5027" stopIfTrue="1" operator="equal">
      <formula>"Napkin Hs"</formula>
    </cfRule>
    <cfRule type="cellIs" dxfId="32431" priority="5030" stopIfTrue="1" operator="equal">
      <formula>"Towel"</formula>
    </cfRule>
    <cfRule type="cellIs" dxfId="32430" priority="5031" stopIfTrue="1" operator="equal">
      <formula>"Napkin Hs"</formula>
    </cfRule>
    <cfRule type="cellIs" dxfId="32429" priority="5032" stopIfTrue="1" operator="equal">
      <formula>"Towel"</formula>
    </cfRule>
    <cfRule type="cellIs" dxfId="32428" priority="5033" stopIfTrue="1" operator="equal">
      <formula>"Napkin Hs"</formula>
    </cfRule>
  </conditionalFormatting>
  <conditionalFormatting sqref="C82">
    <cfRule type="cellIs" dxfId="32427" priority="4738" stopIfTrue="1" operator="equal">
      <formula>"Towel"</formula>
    </cfRule>
    <cfRule type="cellIs" dxfId="32426" priority="4739" stopIfTrue="1" operator="equal">
      <formula>"Napkin Hs"</formula>
    </cfRule>
    <cfRule type="cellIs" dxfId="32425" priority="4742" stopIfTrue="1" operator="equal">
      <formula>"Towel"</formula>
    </cfRule>
    <cfRule type="cellIs" dxfId="32424" priority="4743" stopIfTrue="1" operator="equal">
      <formula>"Napkin Hs"</formula>
    </cfRule>
    <cfRule type="cellIs" dxfId="32423" priority="4744" stopIfTrue="1" operator="equal">
      <formula>"Towel"</formula>
    </cfRule>
    <cfRule type="cellIs" dxfId="32422" priority="4745" stopIfTrue="1" operator="equal">
      <formula>"Napkin Hs"</formula>
    </cfRule>
    <cfRule type="cellIs" dxfId="32421" priority="4748" stopIfTrue="1" operator="equal">
      <formula>"Towel"</formula>
    </cfRule>
    <cfRule type="cellIs" dxfId="32420" priority="4749" stopIfTrue="1" operator="equal">
      <formula>"Napkin Hs"</formula>
    </cfRule>
    <cfRule type="cellIs" dxfId="32419" priority="4750" stopIfTrue="1" operator="equal">
      <formula>"Towel"</formula>
    </cfRule>
    <cfRule type="cellIs" dxfId="32418" priority="4751" stopIfTrue="1" operator="equal">
      <formula>"Napkin Hs"</formula>
    </cfRule>
    <cfRule type="cellIs" dxfId="32417" priority="4754" stopIfTrue="1" operator="equal">
      <formula>"Towel"</formula>
    </cfRule>
    <cfRule type="cellIs" dxfId="32416" priority="4755" stopIfTrue="1" operator="equal">
      <formula>"Napkin Hs"</formula>
    </cfRule>
    <cfRule type="cellIs" dxfId="32415" priority="4756" stopIfTrue="1" operator="equal">
      <formula>"Towel"</formula>
    </cfRule>
    <cfRule type="cellIs" dxfId="32414" priority="4757" stopIfTrue="1" operator="equal">
      <formula>"Napkin Hs"</formula>
    </cfRule>
    <cfRule type="cellIs" dxfId="32413" priority="4760" stopIfTrue="1" operator="equal">
      <formula>"Towel"</formula>
    </cfRule>
    <cfRule type="cellIs" dxfId="32412" priority="4761" stopIfTrue="1" operator="equal">
      <formula>"Napkin Hs"</formula>
    </cfRule>
    <cfRule type="cellIs" dxfId="32411" priority="4762" stopIfTrue="1" operator="equal">
      <formula>"Towel"</formula>
    </cfRule>
    <cfRule type="cellIs" dxfId="32410" priority="4763" stopIfTrue="1" operator="equal">
      <formula>"Napkin Hs"</formula>
    </cfRule>
    <cfRule type="cellIs" dxfId="32409" priority="4766" stopIfTrue="1" operator="equal">
      <formula>"Towel"</formula>
    </cfRule>
    <cfRule type="cellIs" dxfId="32408" priority="4767" stopIfTrue="1" operator="equal">
      <formula>"Napkin Hs"</formula>
    </cfRule>
    <cfRule type="cellIs" dxfId="32407" priority="4768" stopIfTrue="1" operator="equal">
      <formula>"Towel"</formula>
    </cfRule>
    <cfRule type="cellIs" dxfId="32406" priority="4769" stopIfTrue="1" operator="equal">
      <formula>"Napkin Hs"</formula>
    </cfRule>
    <cfRule type="cellIs" dxfId="32405" priority="4772" stopIfTrue="1" operator="equal">
      <formula>"Towel"</formula>
    </cfRule>
    <cfRule type="cellIs" dxfId="32404" priority="4773" stopIfTrue="1" operator="equal">
      <formula>"Napkin Hs"</formula>
    </cfRule>
  </conditionalFormatting>
  <conditionalFormatting sqref="C82:C83">
    <cfRule type="cellIs" dxfId="32403" priority="4776" stopIfTrue="1" operator="equal">
      <formula>"Towel"</formula>
    </cfRule>
    <cfRule type="cellIs" dxfId="32402" priority="4777" stopIfTrue="1" operator="equal">
      <formula>"Napkin Hs"</formula>
    </cfRule>
  </conditionalFormatting>
  <conditionalFormatting sqref="C82:C84">
    <cfRule type="cellIs" dxfId="32401" priority="4698" stopIfTrue="1" operator="equal">
      <formula>"Towel"</formula>
    </cfRule>
    <cfRule type="cellIs" dxfId="32400" priority="4699" stopIfTrue="1" operator="equal">
      <formula>"Napkin Hs"</formula>
    </cfRule>
  </conditionalFormatting>
  <conditionalFormatting sqref="C83">
    <cfRule type="cellIs" dxfId="32399" priority="4658" stopIfTrue="1" operator="equal">
      <formula>"Towel"</formula>
    </cfRule>
    <cfRule type="cellIs" dxfId="32398" priority="4659" stopIfTrue="1" operator="equal">
      <formula>"Napkin Hs"</formula>
    </cfRule>
    <cfRule type="cellIs" dxfId="32397" priority="4660" stopIfTrue="1" operator="equal">
      <formula>"Towel"</formula>
    </cfRule>
    <cfRule type="cellIs" dxfId="32396" priority="4661" stopIfTrue="1" operator="equal">
      <formula>"Napkin Hs"</formula>
    </cfRule>
    <cfRule type="cellIs" dxfId="32395" priority="4664" stopIfTrue="1" operator="equal">
      <formula>"Towel"</formula>
    </cfRule>
    <cfRule type="cellIs" dxfId="32394" priority="4665" stopIfTrue="1" operator="equal">
      <formula>"Napkin Hs"</formula>
    </cfRule>
    <cfRule type="cellIs" dxfId="32393" priority="4666" stopIfTrue="1" operator="equal">
      <formula>"Towel"</formula>
    </cfRule>
    <cfRule type="cellIs" dxfId="32392" priority="4667" stopIfTrue="1" operator="equal">
      <formula>"Napkin Hs"</formula>
    </cfRule>
    <cfRule type="cellIs" dxfId="32391" priority="4670" stopIfTrue="1" operator="equal">
      <formula>"Towel"</formula>
    </cfRule>
    <cfRule type="cellIs" dxfId="32390" priority="4671" stopIfTrue="1" operator="equal">
      <formula>"Napkin Hs"</formula>
    </cfRule>
    <cfRule type="cellIs" dxfId="32389" priority="4672" stopIfTrue="1" operator="equal">
      <formula>"Towel"</formula>
    </cfRule>
    <cfRule type="cellIs" dxfId="32388" priority="4673" stopIfTrue="1" operator="equal">
      <formula>"Napkin Hs"</formula>
    </cfRule>
    <cfRule type="cellIs" dxfId="32387" priority="4676" stopIfTrue="1" operator="equal">
      <formula>"Towel"</formula>
    </cfRule>
    <cfRule type="cellIs" dxfId="32386" priority="4677" stopIfTrue="1" operator="equal">
      <formula>"Napkin Hs"</formula>
    </cfRule>
    <cfRule type="cellIs" dxfId="32385" priority="4678" stopIfTrue="1" operator="equal">
      <formula>"Towel"</formula>
    </cfRule>
    <cfRule type="cellIs" dxfId="32384" priority="4679" stopIfTrue="1" operator="equal">
      <formula>"Napkin Hs"</formula>
    </cfRule>
    <cfRule type="cellIs" dxfId="32383" priority="4682" stopIfTrue="1" operator="equal">
      <formula>"Towel"</formula>
    </cfRule>
    <cfRule type="cellIs" dxfId="32382" priority="4683" stopIfTrue="1" operator="equal">
      <formula>"Napkin Hs"</formula>
    </cfRule>
    <cfRule type="cellIs" dxfId="32381" priority="4684" stopIfTrue="1" operator="equal">
      <formula>"Towel"</formula>
    </cfRule>
    <cfRule type="cellIs" dxfId="32380" priority="4685" stopIfTrue="1" operator="equal">
      <formula>"Napkin Hs"</formula>
    </cfRule>
    <cfRule type="cellIs" dxfId="32379" priority="4688" stopIfTrue="1" operator="equal">
      <formula>"Towel"</formula>
    </cfRule>
    <cfRule type="cellIs" dxfId="32378" priority="4689" stopIfTrue="1" operator="equal">
      <formula>"Napkin Hs"</formula>
    </cfRule>
    <cfRule type="cellIs" dxfId="32377" priority="4690" stopIfTrue="1" operator="equal">
      <formula>"Towel"</formula>
    </cfRule>
    <cfRule type="cellIs" dxfId="32376" priority="4691" stopIfTrue="1" operator="equal">
      <formula>"Napkin Hs"</formula>
    </cfRule>
    <cfRule type="cellIs" dxfId="32375" priority="4694" stopIfTrue="1" operator="equal">
      <formula>"Towel"</formula>
    </cfRule>
    <cfRule type="cellIs" dxfId="32374" priority="4695" stopIfTrue="1" operator="equal">
      <formula>"Napkin Hs"</formula>
    </cfRule>
    <cfRule type="cellIs" dxfId="32373" priority="4778" stopIfTrue="1" operator="equal">
      <formula>"Towel"</formula>
    </cfRule>
    <cfRule type="cellIs" dxfId="32372" priority="4779" stopIfTrue="1" operator="equal">
      <formula>"Napkin Hs"</formula>
    </cfRule>
    <cfRule type="cellIs" dxfId="32371" priority="4782" stopIfTrue="1" operator="equal">
      <formula>"Towel"</formula>
    </cfRule>
    <cfRule type="cellIs" dxfId="32370" priority="4783" stopIfTrue="1" operator="equal">
      <formula>"Napkin Hs"</formula>
    </cfRule>
    <cfRule type="cellIs" dxfId="32369" priority="4784" stopIfTrue="1" operator="equal">
      <formula>"Towel"</formula>
    </cfRule>
    <cfRule type="cellIs" dxfId="32368" priority="4785" stopIfTrue="1" operator="equal">
      <formula>"Napkin Hs"</formula>
    </cfRule>
    <cfRule type="cellIs" dxfId="32367" priority="4788" stopIfTrue="1" operator="equal">
      <formula>"Towel"</formula>
    </cfRule>
    <cfRule type="cellIs" dxfId="32366" priority="4789" stopIfTrue="1" operator="equal">
      <formula>"Napkin Hs"</formula>
    </cfRule>
    <cfRule type="cellIs" dxfId="32365" priority="4790" stopIfTrue="1" operator="equal">
      <formula>"Towel"</formula>
    </cfRule>
    <cfRule type="cellIs" dxfId="32364" priority="4791" stopIfTrue="1" operator="equal">
      <formula>"Napkin Hs"</formula>
    </cfRule>
    <cfRule type="cellIs" dxfId="32363" priority="4794" stopIfTrue="1" operator="equal">
      <formula>"Towel"</formula>
    </cfRule>
    <cfRule type="cellIs" dxfId="32362" priority="4795" stopIfTrue="1" operator="equal">
      <formula>"Napkin Hs"</formula>
    </cfRule>
    <cfRule type="cellIs" dxfId="32361" priority="4796" stopIfTrue="1" operator="equal">
      <formula>"Towel"</formula>
    </cfRule>
    <cfRule type="cellIs" dxfId="32360" priority="4797" stopIfTrue="1" operator="equal">
      <formula>"Napkin Hs"</formula>
    </cfRule>
    <cfRule type="cellIs" dxfId="32359" priority="4800" stopIfTrue="1" operator="equal">
      <formula>"Towel"</formula>
    </cfRule>
    <cfRule type="cellIs" dxfId="32358" priority="4801" stopIfTrue="1" operator="equal">
      <formula>"Napkin Hs"</formula>
    </cfRule>
    <cfRule type="cellIs" dxfId="32357" priority="4802" stopIfTrue="1" operator="equal">
      <formula>"Towel"</formula>
    </cfRule>
    <cfRule type="cellIs" dxfId="32356" priority="4803" stopIfTrue="1" operator="equal">
      <formula>"Napkin Hs"</formula>
    </cfRule>
    <cfRule type="cellIs" dxfId="32355" priority="4806" stopIfTrue="1" operator="equal">
      <formula>"Towel"</formula>
    </cfRule>
    <cfRule type="cellIs" dxfId="32354" priority="4807" stopIfTrue="1" operator="equal">
      <formula>"Napkin Hs"</formula>
    </cfRule>
    <cfRule type="cellIs" dxfId="32353" priority="7212" stopIfTrue="1" operator="equal">
      <formula>"Towel"</formula>
    </cfRule>
    <cfRule type="cellIs" dxfId="32352" priority="7213" stopIfTrue="1" operator="equal">
      <formula>"Napkin Hs"</formula>
    </cfRule>
  </conditionalFormatting>
  <conditionalFormatting sqref="C83:C84">
    <cfRule type="cellIs" dxfId="32351" priority="4808" stopIfTrue="1" operator="equal">
      <formula>"Towel"</formula>
    </cfRule>
    <cfRule type="cellIs" dxfId="32350" priority="4809" stopIfTrue="1" operator="equal">
      <formula>"Napkin Hs"</formula>
    </cfRule>
    <cfRule type="cellIs" dxfId="32349" priority="7210" stopIfTrue="1" operator="equal">
      <formula>"Towel"</formula>
    </cfRule>
    <cfRule type="cellIs" dxfId="32348" priority="7211" stopIfTrue="1" operator="equal">
      <formula>"Napkin Hs"</formula>
    </cfRule>
  </conditionalFormatting>
  <conditionalFormatting sqref="C84">
    <cfRule type="cellIs" dxfId="32347" priority="4700" stopIfTrue="1" operator="equal">
      <formula>"Towel"</formula>
    </cfRule>
    <cfRule type="cellIs" dxfId="32346" priority="4701" stopIfTrue="1" operator="equal">
      <formula>"Napkin Hs"</formula>
    </cfRule>
    <cfRule type="cellIs" dxfId="32345" priority="4704" stopIfTrue="1" operator="equal">
      <formula>"Towel"</formula>
    </cfRule>
    <cfRule type="cellIs" dxfId="32344" priority="4705" stopIfTrue="1" operator="equal">
      <formula>"Napkin Hs"</formula>
    </cfRule>
    <cfRule type="cellIs" dxfId="32343" priority="4706" stopIfTrue="1" operator="equal">
      <formula>"Towel"</formula>
    </cfRule>
    <cfRule type="cellIs" dxfId="32342" priority="4707" stopIfTrue="1" operator="equal">
      <formula>"Napkin Hs"</formula>
    </cfRule>
    <cfRule type="cellIs" dxfId="32341" priority="4710" stopIfTrue="1" operator="equal">
      <formula>"Towel"</formula>
    </cfRule>
    <cfRule type="cellIs" dxfId="32340" priority="4711" stopIfTrue="1" operator="equal">
      <formula>"Napkin Hs"</formula>
    </cfRule>
    <cfRule type="cellIs" dxfId="32339" priority="4712" stopIfTrue="1" operator="equal">
      <formula>"Towel"</formula>
    </cfRule>
    <cfRule type="cellIs" dxfId="32338" priority="4713" stopIfTrue="1" operator="equal">
      <formula>"Napkin Hs"</formula>
    </cfRule>
    <cfRule type="cellIs" dxfId="32337" priority="4716" stopIfTrue="1" operator="equal">
      <formula>"Towel"</formula>
    </cfRule>
    <cfRule type="cellIs" dxfId="32336" priority="4717" stopIfTrue="1" operator="equal">
      <formula>"Napkin Hs"</formula>
    </cfRule>
    <cfRule type="cellIs" dxfId="32335" priority="4718" stopIfTrue="1" operator="equal">
      <formula>"Towel"</formula>
    </cfRule>
    <cfRule type="cellIs" dxfId="32334" priority="4719" stopIfTrue="1" operator="equal">
      <formula>"Napkin Hs"</formula>
    </cfRule>
    <cfRule type="cellIs" dxfId="32333" priority="4722" stopIfTrue="1" operator="equal">
      <formula>"Towel"</formula>
    </cfRule>
    <cfRule type="cellIs" dxfId="32332" priority="4723" stopIfTrue="1" operator="equal">
      <formula>"Napkin Hs"</formula>
    </cfRule>
    <cfRule type="cellIs" dxfId="32331" priority="4724" stopIfTrue="1" operator="equal">
      <formula>"Towel"</formula>
    </cfRule>
    <cfRule type="cellIs" dxfId="32330" priority="4725" stopIfTrue="1" operator="equal">
      <formula>"Napkin Hs"</formula>
    </cfRule>
    <cfRule type="cellIs" dxfId="32329" priority="4728" stopIfTrue="1" operator="equal">
      <formula>"Towel"</formula>
    </cfRule>
    <cfRule type="cellIs" dxfId="32328" priority="4729" stopIfTrue="1" operator="equal">
      <formula>"Napkin Hs"</formula>
    </cfRule>
    <cfRule type="cellIs" dxfId="32327" priority="4730" stopIfTrue="1" operator="equal">
      <formula>"Towel"</formula>
    </cfRule>
    <cfRule type="cellIs" dxfId="32326" priority="4731" stopIfTrue="1" operator="equal">
      <formula>"Napkin Hs"</formula>
    </cfRule>
    <cfRule type="cellIs" dxfId="32325" priority="4734" stopIfTrue="1" operator="equal">
      <formula>"Towel"</formula>
    </cfRule>
    <cfRule type="cellIs" dxfId="32324" priority="4735" stopIfTrue="1" operator="equal">
      <formula>"Napkin Hs"</formula>
    </cfRule>
    <cfRule type="cellIs" dxfId="32323" priority="4812" stopIfTrue="1" operator="equal">
      <formula>"Towel"</formula>
    </cfRule>
    <cfRule type="cellIs" dxfId="32322" priority="4813" stopIfTrue="1" operator="equal">
      <formula>"Napkin Hs"</formula>
    </cfRule>
    <cfRule type="cellIs" dxfId="32321" priority="4816" stopIfTrue="1" operator="equal">
      <formula>"Towel"</formula>
    </cfRule>
    <cfRule type="cellIs" dxfId="32320" priority="4817" stopIfTrue="1" operator="equal">
      <formula>"Napkin Hs"</formula>
    </cfRule>
    <cfRule type="cellIs" dxfId="32319" priority="4818" stopIfTrue="1" operator="equal">
      <formula>"Towel"</formula>
    </cfRule>
    <cfRule type="cellIs" dxfId="32318" priority="4819" stopIfTrue="1" operator="equal">
      <formula>"Napkin Hs"</formula>
    </cfRule>
    <cfRule type="cellIs" dxfId="32317" priority="4822" stopIfTrue="1" operator="equal">
      <formula>"Towel"</formula>
    </cfRule>
    <cfRule type="cellIs" dxfId="32316" priority="4823" stopIfTrue="1" operator="equal">
      <formula>"Napkin Hs"</formula>
    </cfRule>
    <cfRule type="cellIs" dxfId="32315" priority="4824" stopIfTrue="1" operator="equal">
      <formula>"Towel"</formula>
    </cfRule>
    <cfRule type="cellIs" dxfId="32314" priority="4825" stopIfTrue="1" operator="equal">
      <formula>"Napkin Hs"</formula>
    </cfRule>
    <cfRule type="cellIs" dxfId="32313" priority="4828" stopIfTrue="1" operator="equal">
      <formula>"Towel"</formula>
    </cfRule>
    <cfRule type="cellIs" dxfId="32312" priority="4829" stopIfTrue="1" operator="equal">
      <formula>"Napkin Hs"</formula>
    </cfRule>
    <cfRule type="cellIs" dxfId="32311" priority="4830" stopIfTrue="1" operator="equal">
      <formula>"Towel"</formula>
    </cfRule>
    <cfRule type="cellIs" dxfId="32310" priority="4831" stopIfTrue="1" operator="equal">
      <formula>"Napkin Hs"</formula>
    </cfRule>
    <cfRule type="cellIs" dxfId="32309" priority="4834" stopIfTrue="1" operator="equal">
      <formula>"Towel"</formula>
    </cfRule>
    <cfRule type="cellIs" dxfId="32308" priority="4835" stopIfTrue="1" operator="equal">
      <formula>"Napkin Hs"</formula>
    </cfRule>
    <cfRule type="cellIs" dxfId="32307" priority="4836" stopIfTrue="1" operator="equal">
      <formula>"Towel"</formula>
    </cfRule>
    <cfRule type="cellIs" dxfId="32306" priority="4837" stopIfTrue="1" operator="equal">
      <formula>"Napkin Hs"</formula>
    </cfRule>
    <cfRule type="cellIs" dxfId="32305" priority="4840" stopIfTrue="1" operator="equal">
      <formula>"Towel"</formula>
    </cfRule>
    <cfRule type="cellIs" dxfId="32304" priority="4841" stopIfTrue="1" operator="equal">
      <formula>"Napkin Hs"</formula>
    </cfRule>
    <cfRule type="cellIs" dxfId="32303" priority="4842" stopIfTrue="1" operator="equal">
      <formula>"Towel"</formula>
    </cfRule>
    <cfRule type="cellIs" dxfId="32302" priority="4843" stopIfTrue="1" operator="equal">
      <formula>"Napkin Hs"</formula>
    </cfRule>
  </conditionalFormatting>
  <conditionalFormatting sqref="C84:C86">
    <cfRule type="cellIs" dxfId="32301" priority="6846" stopIfTrue="1" operator="equal">
      <formula>"Towel"</formula>
    </cfRule>
    <cfRule type="cellIs" dxfId="32300" priority="6847" stopIfTrue="1" operator="equal">
      <formula>"Napkin Hs"</formula>
    </cfRule>
  </conditionalFormatting>
  <conditionalFormatting sqref="C85">
    <cfRule type="cellIs" dxfId="32299" priority="6802" stopIfTrue="1" operator="equal">
      <formula>"Towel"</formula>
    </cfRule>
    <cfRule type="cellIs" dxfId="32298" priority="6803" stopIfTrue="1" operator="equal">
      <formula>"Napkin Hs"</formula>
    </cfRule>
    <cfRule type="cellIs" dxfId="32297" priority="6804" stopIfTrue="1" operator="equal">
      <formula>"Towel"</formula>
    </cfRule>
    <cfRule type="cellIs" dxfId="32296" priority="6805" stopIfTrue="1" operator="equal">
      <formula>"Napkin Hs"</formula>
    </cfRule>
    <cfRule type="cellIs" dxfId="32295" priority="6808" stopIfTrue="1" operator="equal">
      <formula>"Towel"</formula>
    </cfRule>
    <cfRule type="cellIs" dxfId="32294" priority="6809" stopIfTrue="1" operator="equal">
      <formula>"Napkin Hs"</formula>
    </cfRule>
    <cfRule type="cellIs" dxfId="32293" priority="6810" stopIfTrue="1" operator="equal">
      <formula>"Towel"</formula>
    </cfRule>
    <cfRule type="cellIs" dxfId="32292" priority="6811" stopIfTrue="1" operator="equal">
      <formula>"Napkin Hs"</formula>
    </cfRule>
    <cfRule type="cellIs" dxfId="32291" priority="6814" stopIfTrue="1" operator="equal">
      <formula>"Towel"</formula>
    </cfRule>
    <cfRule type="cellIs" dxfId="32290" priority="6815" stopIfTrue="1" operator="equal">
      <formula>"Napkin Hs"</formula>
    </cfRule>
    <cfRule type="cellIs" dxfId="32289" priority="6816" stopIfTrue="1" operator="equal">
      <formula>"Towel"</formula>
    </cfRule>
    <cfRule type="cellIs" dxfId="32288" priority="6817" stopIfTrue="1" operator="equal">
      <formula>"Napkin Hs"</formula>
    </cfRule>
    <cfRule type="cellIs" dxfId="32287" priority="6820" stopIfTrue="1" operator="equal">
      <formula>"Towel"</formula>
    </cfRule>
    <cfRule type="cellIs" dxfId="32286" priority="6821" stopIfTrue="1" operator="equal">
      <formula>"Napkin Hs"</formula>
    </cfRule>
    <cfRule type="cellIs" dxfId="32285" priority="6822" stopIfTrue="1" operator="equal">
      <formula>"Towel"</formula>
    </cfRule>
    <cfRule type="cellIs" dxfId="32284" priority="6823" stopIfTrue="1" operator="equal">
      <formula>"Napkin Hs"</formula>
    </cfRule>
    <cfRule type="cellIs" dxfId="32283" priority="6826" stopIfTrue="1" operator="equal">
      <formula>"Towel"</formula>
    </cfRule>
    <cfRule type="cellIs" dxfId="32282" priority="6827" stopIfTrue="1" operator="equal">
      <formula>"Napkin Hs"</formula>
    </cfRule>
    <cfRule type="cellIs" dxfId="32281" priority="6828" stopIfTrue="1" operator="equal">
      <formula>"Towel"</formula>
    </cfRule>
    <cfRule type="cellIs" dxfId="32280" priority="6829" stopIfTrue="1" operator="equal">
      <formula>"Napkin Hs"</formula>
    </cfRule>
    <cfRule type="cellIs" dxfId="32279" priority="6832" stopIfTrue="1" operator="equal">
      <formula>"Towel"</formula>
    </cfRule>
    <cfRule type="cellIs" dxfId="32278" priority="6833" stopIfTrue="1" operator="equal">
      <formula>"Napkin Hs"</formula>
    </cfRule>
    <cfRule type="cellIs" dxfId="32277" priority="6834" stopIfTrue="1" operator="equal">
      <formula>"Towel"</formula>
    </cfRule>
    <cfRule type="cellIs" dxfId="32276" priority="6835" stopIfTrue="1" operator="equal">
      <formula>"Napkin Hs"</formula>
    </cfRule>
    <cfRule type="cellIs" dxfId="32275" priority="6838" stopIfTrue="1" operator="equal">
      <formula>"Towel"</formula>
    </cfRule>
    <cfRule type="cellIs" dxfId="32274" priority="6839" stopIfTrue="1" operator="equal">
      <formula>"Napkin Hs"</formula>
    </cfRule>
    <cfRule type="cellIs" dxfId="32273" priority="6840" stopIfTrue="1" operator="equal">
      <formula>"Towel"</formula>
    </cfRule>
    <cfRule type="cellIs" dxfId="32272" priority="6841" stopIfTrue="1" operator="equal">
      <formula>"Napkin Hs"</formula>
    </cfRule>
    <cfRule type="cellIs" dxfId="32271" priority="6844" stopIfTrue="1" operator="equal">
      <formula>"Towel"</formula>
    </cfRule>
    <cfRule type="cellIs" dxfId="32270" priority="6845" stopIfTrue="1" operator="equal">
      <formula>"Napkin Hs"</formula>
    </cfRule>
  </conditionalFormatting>
  <conditionalFormatting sqref="C85:C86">
    <cfRule type="cellIs" dxfId="32269" priority="4850" stopIfTrue="1" operator="equal">
      <formula>"Towel"</formula>
    </cfRule>
    <cfRule type="cellIs" dxfId="32268" priority="4851" stopIfTrue="1" operator="equal">
      <formula>"Napkin Hs"</formula>
    </cfRule>
    <cfRule type="cellIs" dxfId="32267" priority="4852" stopIfTrue="1" operator="equal">
      <formula>"Towel"</formula>
    </cfRule>
    <cfRule type="cellIs" dxfId="32266" priority="4853" stopIfTrue="1" operator="equal">
      <formula>"Napkin Hs"</formula>
    </cfRule>
    <cfRule type="cellIs" dxfId="32265" priority="4854" stopIfTrue="1" operator="equal">
      <formula>"Towel"</formula>
    </cfRule>
    <cfRule type="cellIs" dxfId="32264" priority="4855" stopIfTrue="1" operator="equal">
      <formula>"Napkin Hs"</formula>
    </cfRule>
    <cfRule type="cellIs" dxfId="32263" priority="4856" stopIfTrue="1" operator="equal">
      <formula>"Towel"</formula>
    </cfRule>
    <cfRule type="cellIs" dxfId="32262" priority="4857" stopIfTrue="1" operator="equal">
      <formula>"Napkin Hs"</formula>
    </cfRule>
    <cfRule type="cellIs" dxfId="32261" priority="4858" stopIfTrue="1" operator="equal">
      <formula>"Towel"</formula>
    </cfRule>
    <cfRule type="cellIs" dxfId="32260" priority="4859" stopIfTrue="1" operator="equal">
      <formula>"Napkin Hs"</formula>
    </cfRule>
    <cfRule type="cellIs" dxfId="32259" priority="4860" stopIfTrue="1" operator="equal">
      <formula>"Towel"</formula>
    </cfRule>
    <cfRule type="cellIs" dxfId="32258" priority="4861" stopIfTrue="1" operator="equal">
      <formula>"Napkin Hs"</formula>
    </cfRule>
    <cfRule type="cellIs" dxfId="32257" priority="4862" stopIfTrue="1" operator="equal">
      <formula>"Towel"</formula>
    </cfRule>
    <cfRule type="cellIs" dxfId="32256" priority="4863" stopIfTrue="1" operator="equal">
      <formula>"Napkin Hs"</formula>
    </cfRule>
    <cfRule type="cellIs" dxfId="32255" priority="4866" stopIfTrue="1" operator="equal">
      <formula>"Towel"</formula>
    </cfRule>
    <cfRule type="cellIs" dxfId="32254" priority="4867" stopIfTrue="1" operator="equal">
      <formula>"Napkin Hs"</formula>
    </cfRule>
    <cfRule type="cellIs" dxfId="32253" priority="4868" stopIfTrue="1" operator="equal">
      <formula>"Towel"</formula>
    </cfRule>
    <cfRule type="cellIs" dxfId="32252" priority="4869" stopIfTrue="1" operator="equal">
      <formula>"Napkin Hs"</formula>
    </cfRule>
    <cfRule type="cellIs" dxfId="32251" priority="4872" stopIfTrue="1" operator="equal">
      <formula>"Towel"</formula>
    </cfRule>
    <cfRule type="cellIs" dxfId="32250" priority="4873" stopIfTrue="1" operator="equal">
      <formula>"Napkin Hs"</formula>
    </cfRule>
    <cfRule type="cellIs" dxfId="32249" priority="4874" stopIfTrue="1" operator="equal">
      <formula>"Towel"</formula>
    </cfRule>
    <cfRule type="cellIs" dxfId="32248" priority="4875" stopIfTrue="1" operator="equal">
      <formula>"Napkin Hs"</formula>
    </cfRule>
    <cfRule type="cellIs" dxfId="32247" priority="4878" stopIfTrue="1" operator="equal">
      <formula>"Towel"</formula>
    </cfRule>
    <cfRule type="cellIs" dxfId="32246" priority="4879" stopIfTrue="1" operator="equal">
      <formula>"Napkin Hs"</formula>
    </cfRule>
    <cfRule type="cellIs" dxfId="32245" priority="4880" stopIfTrue="1" operator="equal">
      <formula>"Towel"</formula>
    </cfRule>
    <cfRule type="cellIs" dxfId="32244" priority="4881" stopIfTrue="1" operator="equal">
      <formula>"Napkin Hs"</formula>
    </cfRule>
    <cfRule type="cellIs" dxfId="32243" priority="4884" stopIfTrue="1" operator="equal">
      <formula>"Towel"</formula>
    </cfRule>
    <cfRule type="cellIs" dxfId="32242" priority="4885" stopIfTrue="1" operator="equal">
      <formula>"Napkin Hs"</formula>
    </cfRule>
    <cfRule type="cellIs" dxfId="32241" priority="4886" stopIfTrue="1" operator="equal">
      <formula>"Towel"</formula>
    </cfRule>
    <cfRule type="cellIs" dxfId="32240" priority="4887" stopIfTrue="1" operator="equal">
      <formula>"Napkin Hs"</formula>
    </cfRule>
    <cfRule type="cellIs" dxfId="32239" priority="4890" stopIfTrue="1" operator="equal">
      <formula>"Towel"</formula>
    </cfRule>
    <cfRule type="cellIs" dxfId="32238" priority="4891" stopIfTrue="1" operator="equal">
      <formula>"Napkin Hs"</formula>
    </cfRule>
    <cfRule type="cellIs" dxfId="32237" priority="4892" stopIfTrue="1" operator="equal">
      <formula>"Towel"</formula>
    </cfRule>
    <cfRule type="cellIs" dxfId="32236" priority="4893" stopIfTrue="1" operator="equal">
      <formula>"Napkin Hs"</formula>
    </cfRule>
    <cfRule type="cellIs" dxfId="32235" priority="4896" stopIfTrue="1" operator="equal">
      <formula>"Towel"</formula>
    </cfRule>
    <cfRule type="cellIs" dxfId="32234" priority="4897" stopIfTrue="1" operator="equal">
      <formula>"Napkin Hs"</formula>
    </cfRule>
    <cfRule type="cellIs" dxfId="32233" priority="4898" stopIfTrue="1" operator="equal">
      <formula>"Towel"</formula>
    </cfRule>
    <cfRule type="cellIs" dxfId="32232" priority="4899" stopIfTrue="1" operator="equal">
      <formula>"Napkin Hs"</formula>
    </cfRule>
  </conditionalFormatting>
  <conditionalFormatting sqref="C86">
    <cfRule type="cellIs" dxfId="32231" priority="6850" stopIfTrue="1" operator="equal">
      <formula>"Towel"</formula>
    </cfRule>
    <cfRule type="cellIs" dxfId="32230" priority="6851" stopIfTrue="1" operator="equal">
      <formula>"Napkin Hs"</formula>
    </cfRule>
    <cfRule type="cellIs" dxfId="32229" priority="6854" stopIfTrue="1" operator="equal">
      <formula>"Towel"</formula>
    </cfRule>
    <cfRule type="cellIs" dxfId="32228" priority="6855" stopIfTrue="1" operator="equal">
      <formula>"Napkin Hs"</formula>
    </cfRule>
    <cfRule type="cellIs" dxfId="32227" priority="6856" stopIfTrue="1" operator="equal">
      <formula>"Towel"</formula>
    </cfRule>
    <cfRule type="cellIs" dxfId="32226" priority="6857" stopIfTrue="1" operator="equal">
      <formula>"Napkin Hs"</formula>
    </cfRule>
    <cfRule type="cellIs" dxfId="32225" priority="6860" stopIfTrue="1" operator="equal">
      <formula>"Towel"</formula>
    </cfRule>
    <cfRule type="cellIs" dxfId="32224" priority="6861" stopIfTrue="1" operator="equal">
      <formula>"Napkin Hs"</formula>
    </cfRule>
    <cfRule type="cellIs" dxfId="32223" priority="6862" stopIfTrue="1" operator="equal">
      <formula>"Towel"</formula>
    </cfRule>
    <cfRule type="cellIs" dxfId="32222" priority="6863" stopIfTrue="1" operator="equal">
      <formula>"Napkin Hs"</formula>
    </cfRule>
    <cfRule type="cellIs" dxfId="32221" priority="6866" stopIfTrue="1" operator="equal">
      <formula>"Towel"</formula>
    </cfRule>
    <cfRule type="cellIs" dxfId="32220" priority="6867" stopIfTrue="1" operator="equal">
      <formula>"Napkin Hs"</formula>
    </cfRule>
    <cfRule type="cellIs" dxfId="32219" priority="6868" stopIfTrue="1" operator="equal">
      <formula>"Towel"</formula>
    </cfRule>
    <cfRule type="cellIs" dxfId="32218" priority="6869" stopIfTrue="1" operator="equal">
      <formula>"Napkin Hs"</formula>
    </cfRule>
    <cfRule type="cellIs" dxfId="32217" priority="6872" stopIfTrue="1" operator="equal">
      <formula>"Towel"</formula>
    </cfRule>
    <cfRule type="cellIs" dxfId="32216" priority="6873" stopIfTrue="1" operator="equal">
      <formula>"Napkin Hs"</formula>
    </cfRule>
    <cfRule type="cellIs" dxfId="32215" priority="6874" stopIfTrue="1" operator="equal">
      <formula>"Towel"</formula>
    </cfRule>
    <cfRule type="cellIs" dxfId="32214" priority="6875" stopIfTrue="1" operator="equal">
      <formula>"Napkin Hs"</formula>
    </cfRule>
    <cfRule type="cellIs" dxfId="32213" priority="6878" stopIfTrue="1" operator="equal">
      <formula>"Towel"</formula>
    </cfRule>
    <cfRule type="cellIs" dxfId="32212" priority="6879" stopIfTrue="1" operator="equal">
      <formula>"Napkin Hs"</formula>
    </cfRule>
    <cfRule type="cellIs" dxfId="32211" priority="6880" stopIfTrue="1" operator="equal">
      <formula>"Towel"</formula>
    </cfRule>
    <cfRule type="cellIs" dxfId="32210" priority="6881" stopIfTrue="1" operator="equal">
      <formula>"Napkin Hs"</formula>
    </cfRule>
    <cfRule type="cellIs" dxfId="32209" priority="6884" stopIfTrue="1" operator="equal">
      <formula>"Towel"</formula>
    </cfRule>
    <cfRule type="cellIs" dxfId="32208" priority="6885" stopIfTrue="1" operator="equal">
      <formula>"Napkin Hs"</formula>
    </cfRule>
    <cfRule type="cellIs" dxfId="32207" priority="6886" stopIfTrue="1" operator="equal">
      <formula>"Towel"</formula>
    </cfRule>
    <cfRule type="cellIs" dxfId="32206" priority="6887" stopIfTrue="1" operator="equal">
      <formula>"Napkin Hs"</formula>
    </cfRule>
    <cfRule type="cellIs" dxfId="32205" priority="6890" stopIfTrue="1" operator="equal">
      <formula>"Towel"</formula>
    </cfRule>
    <cfRule type="cellIs" dxfId="32204" priority="6891" stopIfTrue="1" operator="equal">
      <formula>"Napkin Hs"</formula>
    </cfRule>
  </conditionalFormatting>
  <conditionalFormatting sqref="C86:C87">
    <cfRule type="cellIs" dxfId="32203" priority="6892" stopIfTrue="1" operator="equal">
      <formula>"Towel"</formula>
    </cfRule>
    <cfRule type="cellIs" dxfId="32202" priority="6893" stopIfTrue="1" operator="equal">
      <formula>"Napkin Hs"</formula>
    </cfRule>
  </conditionalFormatting>
  <conditionalFormatting sqref="C87">
    <cfRule type="cellIs" dxfId="32201" priority="4906" stopIfTrue="1" operator="equal">
      <formula>"Towel"</formula>
    </cfRule>
    <cfRule type="cellIs" dxfId="32200" priority="4907" stopIfTrue="1" operator="equal">
      <formula>"Napkin Hs"</formula>
    </cfRule>
    <cfRule type="cellIs" dxfId="32199" priority="6896" stopIfTrue="1" operator="equal">
      <formula>"Towel"</formula>
    </cfRule>
    <cfRule type="cellIs" dxfId="32198" priority="6897" stopIfTrue="1" operator="equal">
      <formula>"Napkin Hs"</formula>
    </cfRule>
    <cfRule type="cellIs" dxfId="32197" priority="6900" stopIfTrue="1" operator="equal">
      <formula>"Towel"</formula>
    </cfRule>
    <cfRule type="cellIs" dxfId="32196" priority="6901" stopIfTrue="1" operator="equal">
      <formula>"Napkin Hs"</formula>
    </cfRule>
    <cfRule type="cellIs" dxfId="32195" priority="6902" stopIfTrue="1" operator="equal">
      <formula>"Towel"</formula>
    </cfRule>
    <cfRule type="cellIs" dxfId="32194" priority="6903" stopIfTrue="1" operator="equal">
      <formula>"Napkin Hs"</formula>
    </cfRule>
    <cfRule type="cellIs" dxfId="32193" priority="6906" stopIfTrue="1" operator="equal">
      <formula>"Towel"</formula>
    </cfRule>
    <cfRule type="cellIs" dxfId="32192" priority="6907" stopIfTrue="1" operator="equal">
      <formula>"Napkin Hs"</formula>
    </cfRule>
    <cfRule type="cellIs" dxfId="32191" priority="6908" stopIfTrue="1" operator="equal">
      <formula>"Towel"</formula>
    </cfRule>
    <cfRule type="cellIs" dxfId="32190" priority="6909" stopIfTrue="1" operator="equal">
      <formula>"Napkin Hs"</formula>
    </cfRule>
    <cfRule type="cellIs" dxfId="32189" priority="6912" stopIfTrue="1" operator="equal">
      <formula>"Towel"</formula>
    </cfRule>
    <cfRule type="cellIs" dxfId="32188" priority="6913" stopIfTrue="1" operator="equal">
      <formula>"Napkin Hs"</formula>
    </cfRule>
    <cfRule type="cellIs" dxfId="32187" priority="6914" stopIfTrue="1" operator="equal">
      <formula>"Towel"</formula>
    </cfRule>
    <cfRule type="cellIs" dxfId="32186" priority="6915" stopIfTrue="1" operator="equal">
      <formula>"Napkin Hs"</formula>
    </cfRule>
    <cfRule type="cellIs" dxfId="32185" priority="6918" stopIfTrue="1" operator="equal">
      <formula>"Towel"</formula>
    </cfRule>
    <cfRule type="cellIs" dxfId="32184" priority="6919" stopIfTrue="1" operator="equal">
      <formula>"Napkin Hs"</formula>
    </cfRule>
    <cfRule type="cellIs" dxfId="32183" priority="6920" stopIfTrue="1" operator="equal">
      <formula>"Towel"</formula>
    </cfRule>
    <cfRule type="cellIs" dxfId="32182" priority="6921" stopIfTrue="1" operator="equal">
      <formula>"Napkin Hs"</formula>
    </cfRule>
    <cfRule type="cellIs" dxfId="32181" priority="6924" stopIfTrue="1" operator="equal">
      <formula>"Towel"</formula>
    </cfRule>
    <cfRule type="cellIs" dxfId="32180" priority="6925" stopIfTrue="1" operator="equal">
      <formula>"Napkin Hs"</formula>
    </cfRule>
  </conditionalFormatting>
  <conditionalFormatting sqref="C87:C88">
    <cfRule type="cellIs" dxfId="32179" priority="4904" stopIfTrue="1" operator="equal">
      <formula>"Towel"</formula>
    </cfRule>
    <cfRule type="cellIs" dxfId="32178" priority="4905" stopIfTrue="1" operator="equal">
      <formula>"Napkin Hs"</formula>
    </cfRule>
    <cfRule type="cellIs" dxfId="32177" priority="6926" stopIfTrue="1" operator="equal">
      <formula>"Towel"</formula>
    </cfRule>
    <cfRule type="cellIs" dxfId="32176" priority="6927" stopIfTrue="1" operator="equal">
      <formula>"Napkin Hs"</formula>
    </cfRule>
  </conditionalFormatting>
  <conditionalFormatting sqref="C88">
    <cfRule type="cellIs" dxfId="32175" priority="6930" stopIfTrue="1" operator="equal">
      <formula>"Towel"</formula>
    </cfRule>
    <cfRule type="cellIs" dxfId="32174" priority="6931" stopIfTrue="1" operator="equal">
      <formula>"Napkin Hs"</formula>
    </cfRule>
  </conditionalFormatting>
  <conditionalFormatting sqref="C88:C89">
    <cfRule type="cellIs" dxfId="32173" priority="4468" stopIfTrue="1" operator="equal">
      <formula>"Towel"</formula>
    </cfRule>
    <cfRule type="cellIs" dxfId="32172" priority="4469" stopIfTrue="1" operator="equal">
      <formula>"Napkin Hs"</formula>
    </cfRule>
  </conditionalFormatting>
  <conditionalFormatting sqref="C89">
    <cfRule type="cellIs" dxfId="32171" priority="4390" stopIfTrue="1" operator="equal">
      <formula>"Towel"</formula>
    </cfRule>
    <cfRule type="cellIs" dxfId="32170" priority="4391" stopIfTrue="1" operator="equal">
      <formula>"Napkin Hs"</formula>
    </cfRule>
    <cfRule type="cellIs" dxfId="32169" priority="4394" stopIfTrue="1" operator="equal">
      <formula>"Towel"</formula>
    </cfRule>
    <cfRule type="cellIs" dxfId="32168" priority="4395" stopIfTrue="1" operator="equal">
      <formula>"Napkin Hs"</formula>
    </cfRule>
    <cfRule type="cellIs" dxfId="32167" priority="4396" stopIfTrue="1" operator="equal">
      <formula>"Towel"</formula>
    </cfRule>
    <cfRule type="cellIs" dxfId="32166" priority="4397" stopIfTrue="1" operator="equal">
      <formula>"Napkin Hs"</formula>
    </cfRule>
    <cfRule type="cellIs" dxfId="32165" priority="4400" stopIfTrue="1" operator="equal">
      <formula>"Towel"</formula>
    </cfRule>
    <cfRule type="cellIs" dxfId="32164" priority="4401" stopIfTrue="1" operator="equal">
      <formula>"Napkin Hs"</formula>
    </cfRule>
    <cfRule type="cellIs" dxfId="32163" priority="4402" stopIfTrue="1" operator="equal">
      <formula>"Towel"</formula>
    </cfRule>
    <cfRule type="cellIs" dxfId="32162" priority="4403" stopIfTrue="1" operator="equal">
      <formula>"Napkin Hs"</formula>
    </cfRule>
    <cfRule type="cellIs" dxfId="32161" priority="4406" stopIfTrue="1" operator="equal">
      <formula>"Towel"</formula>
    </cfRule>
    <cfRule type="cellIs" dxfId="32160" priority="4407" stopIfTrue="1" operator="equal">
      <formula>"Napkin Hs"</formula>
    </cfRule>
    <cfRule type="cellIs" dxfId="32159" priority="4408" stopIfTrue="1" operator="equal">
      <formula>"Towel"</formula>
    </cfRule>
    <cfRule type="cellIs" dxfId="32158" priority="4409" stopIfTrue="1" operator="equal">
      <formula>"Napkin Hs"</formula>
    </cfRule>
    <cfRule type="cellIs" dxfId="32157" priority="4412" stopIfTrue="1" operator="equal">
      <formula>"Towel"</formula>
    </cfRule>
    <cfRule type="cellIs" dxfId="32156" priority="4413" stopIfTrue="1" operator="equal">
      <formula>"Napkin Hs"</formula>
    </cfRule>
    <cfRule type="cellIs" dxfId="32155" priority="4414" stopIfTrue="1" operator="equal">
      <formula>"Towel"</formula>
    </cfRule>
    <cfRule type="cellIs" dxfId="32154" priority="4415" stopIfTrue="1" operator="equal">
      <formula>"Napkin Hs"</formula>
    </cfRule>
    <cfRule type="cellIs" dxfId="32153" priority="4418" stopIfTrue="1" operator="equal">
      <formula>"Towel"</formula>
    </cfRule>
    <cfRule type="cellIs" dxfId="32152" priority="4419" stopIfTrue="1" operator="equal">
      <formula>"Napkin Hs"</formula>
    </cfRule>
    <cfRule type="cellIs" dxfId="32151" priority="4420" stopIfTrue="1" operator="equal">
      <formula>"Towel"</formula>
    </cfRule>
    <cfRule type="cellIs" dxfId="32150" priority="4421" stopIfTrue="1" operator="equal">
      <formula>"Napkin Hs"</formula>
    </cfRule>
    <cfRule type="cellIs" dxfId="32149" priority="4424" stopIfTrue="1" operator="equal">
      <formula>"Towel"</formula>
    </cfRule>
    <cfRule type="cellIs" dxfId="32148" priority="4425" stopIfTrue="1" operator="equal">
      <formula>"Napkin Hs"</formula>
    </cfRule>
    <cfRule type="cellIs" dxfId="32147" priority="4428" stopIfTrue="1" operator="equal">
      <formula>"Towel"</formula>
    </cfRule>
    <cfRule type="cellIs" dxfId="32146" priority="4429" stopIfTrue="1" operator="equal">
      <formula>"Napkin Hs"</formula>
    </cfRule>
    <cfRule type="cellIs" dxfId="32145" priority="4430" stopIfTrue="1" operator="equal">
      <formula>"Towel"</formula>
    </cfRule>
    <cfRule type="cellIs" dxfId="32144" priority="4431" stopIfTrue="1" operator="equal">
      <formula>"Napkin Hs"</formula>
    </cfRule>
    <cfRule type="cellIs" dxfId="32143" priority="4434" stopIfTrue="1" operator="equal">
      <formula>"Towel"</formula>
    </cfRule>
    <cfRule type="cellIs" dxfId="32142" priority="4435" stopIfTrue="1" operator="equal">
      <formula>"Napkin Hs"</formula>
    </cfRule>
    <cfRule type="cellIs" dxfId="32141" priority="4436" stopIfTrue="1" operator="equal">
      <formula>"Towel"</formula>
    </cfRule>
    <cfRule type="cellIs" dxfId="32140" priority="4437" stopIfTrue="1" operator="equal">
      <formula>"Napkin Hs"</formula>
    </cfRule>
    <cfRule type="cellIs" dxfId="32139" priority="4440" stopIfTrue="1" operator="equal">
      <formula>"Towel"</formula>
    </cfRule>
    <cfRule type="cellIs" dxfId="32138" priority="4441" stopIfTrue="1" operator="equal">
      <formula>"Napkin Hs"</formula>
    </cfRule>
    <cfRule type="cellIs" dxfId="32137" priority="4442" stopIfTrue="1" operator="equal">
      <formula>"Towel"</formula>
    </cfRule>
    <cfRule type="cellIs" dxfId="32136" priority="4443" stopIfTrue="1" operator="equal">
      <formula>"Napkin Hs"</formula>
    </cfRule>
    <cfRule type="cellIs" dxfId="32135" priority="4446" stopIfTrue="1" operator="equal">
      <formula>"Towel"</formula>
    </cfRule>
    <cfRule type="cellIs" dxfId="32134" priority="4447" stopIfTrue="1" operator="equal">
      <formula>"Napkin Hs"</formula>
    </cfRule>
    <cfRule type="cellIs" dxfId="32133" priority="4448" stopIfTrue="1" operator="equal">
      <formula>"Towel"</formula>
    </cfRule>
    <cfRule type="cellIs" dxfId="32132" priority="4449" stopIfTrue="1" operator="equal">
      <formula>"Napkin Hs"</formula>
    </cfRule>
    <cfRule type="cellIs" dxfId="32131" priority="4452" stopIfTrue="1" operator="equal">
      <formula>"Towel"</formula>
    </cfRule>
    <cfRule type="cellIs" dxfId="32130" priority="4453" stopIfTrue="1" operator="equal">
      <formula>"Napkin Hs"</formula>
    </cfRule>
    <cfRule type="cellIs" dxfId="32129" priority="4454" stopIfTrue="1" operator="equal">
      <formula>"Towel"</formula>
    </cfRule>
    <cfRule type="cellIs" dxfId="32128" priority="4455" stopIfTrue="1" operator="equal">
      <formula>"Napkin Hs"</formula>
    </cfRule>
    <cfRule type="cellIs" dxfId="32127" priority="4458" stopIfTrue="1" operator="equal">
      <formula>"Towel"</formula>
    </cfRule>
    <cfRule type="cellIs" dxfId="32126" priority="4459" stopIfTrue="1" operator="equal">
      <formula>"Napkin Hs"</formula>
    </cfRule>
    <cfRule type="cellIs" dxfId="32125" priority="4460" stopIfTrue="1" operator="equal">
      <formula>"Towel"</formula>
    </cfRule>
    <cfRule type="cellIs" dxfId="32124" priority="4461" stopIfTrue="1" operator="equal">
      <formula>"Napkin Hs"</formula>
    </cfRule>
    <cfRule type="cellIs" dxfId="32123" priority="4464" stopIfTrue="1" operator="equal">
      <formula>"Towel"</formula>
    </cfRule>
    <cfRule type="cellIs" dxfId="32122" priority="4465" stopIfTrue="1" operator="equal">
      <formula>"Napkin Hs"</formula>
    </cfRule>
  </conditionalFormatting>
  <conditionalFormatting sqref="C89:C90">
    <cfRule type="cellIs" dxfId="32121" priority="4386" stopIfTrue="1" operator="equal">
      <formula>"Towel"</formula>
    </cfRule>
    <cfRule type="cellIs" dxfId="32120" priority="4387" stopIfTrue="1" operator="equal">
      <formula>"Napkin Hs"</formula>
    </cfRule>
  </conditionalFormatting>
  <conditionalFormatting sqref="C90">
    <cfRule type="cellIs" dxfId="32119" priority="4306" stopIfTrue="1" operator="equal">
      <formula>"Towel"</formula>
    </cfRule>
    <cfRule type="cellIs" dxfId="32118" priority="4307" stopIfTrue="1" operator="equal">
      <formula>"Napkin Hs"</formula>
    </cfRule>
    <cfRule type="cellIs" dxfId="32117" priority="4308" stopIfTrue="1" operator="equal">
      <formula>"Towel"</formula>
    </cfRule>
    <cfRule type="cellIs" dxfId="32116" priority="4309" stopIfTrue="1" operator="equal">
      <formula>"Napkin Hs"</formula>
    </cfRule>
    <cfRule type="cellIs" dxfId="32115" priority="4312" stopIfTrue="1" operator="equal">
      <formula>"Towel"</formula>
    </cfRule>
    <cfRule type="cellIs" dxfId="32114" priority="4313" stopIfTrue="1" operator="equal">
      <formula>"Napkin Hs"</formula>
    </cfRule>
    <cfRule type="cellIs" dxfId="32113" priority="4314" stopIfTrue="1" operator="equal">
      <formula>"Towel"</formula>
    </cfRule>
    <cfRule type="cellIs" dxfId="32112" priority="4315" stopIfTrue="1" operator="equal">
      <formula>"Napkin Hs"</formula>
    </cfRule>
    <cfRule type="cellIs" dxfId="32111" priority="4318" stopIfTrue="1" operator="equal">
      <formula>"Towel"</formula>
    </cfRule>
    <cfRule type="cellIs" dxfId="32110" priority="4319" stopIfTrue="1" operator="equal">
      <formula>"Napkin Hs"</formula>
    </cfRule>
    <cfRule type="cellIs" dxfId="32109" priority="4320" stopIfTrue="1" operator="equal">
      <formula>"Towel"</formula>
    </cfRule>
    <cfRule type="cellIs" dxfId="32108" priority="4321" stopIfTrue="1" operator="equal">
      <formula>"Napkin Hs"</formula>
    </cfRule>
    <cfRule type="cellIs" dxfId="32107" priority="4324" stopIfTrue="1" operator="equal">
      <formula>"Towel"</formula>
    </cfRule>
    <cfRule type="cellIs" dxfId="32106" priority="4325" stopIfTrue="1" operator="equal">
      <formula>"Napkin Hs"</formula>
    </cfRule>
    <cfRule type="cellIs" dxfId="32105" priority="4326" stopIfTrue="1" operator="equal">
      <formula>"Towel"</formula>
    </cfRule>
    <cfRule type="cellIs" dxfId="32104" priority="4327" stopIfTrue="1" operator="equal">
      <formula>"Napkin Hs"</formula>
    </cfRule>
    <cfRule type="cellIs" dxfId="32103" priority="4330" stopIfTrue="1" operator="equal">
      <formula>"Towel"</formula>
    </cfRule>
    <cfRule type="cellIs" dxfId="32102" priority="4331" stopIfTrue="1" operator="equal">
      <formula>"Napkin Hs"</formula>
    </cfRule>
    <cfRule type="cellIs" dxfId="32101" priority="4332" stopIfTrue="1" operator="equal">
      <formula>"Towel"</formula>
    </cfRule>
    <cfRule type="cellIs" dxfId="32100" priority="4333" stopIfTrue="1" operator="equal">
      <formula>"Napkin Hs"</formula>
    </cfRule>
    <cfRule type="cellIs" dxfId="32099" priority="4336" stopIfTrue="1" operator="equal">
      <formula>"Towel"</formula>
    </cfRule>
    <cfRule type="cellIs" dxfId="32098" priority="4337" stopIfTrue="1" operator="equal">
      <formula>"Napkin Hs"</formula>
    </cfRule>
    <cfRule type="cellIs" dxfId="32097" priority="4338" stopIfTrue="1" operator="equal">
      <formula>"Towel"</formula>
    </cfRule>
    <cfRule type="cellIs" dxfId="32096" priority="4339" stopIfTrue="1" operator="equal">
      <formula>"Napkin Hs"</formula>
    </cfRule>
    <cfRule type="cellIs" dxfId="32095" priority="4342" stopIfTrue="1" operator="equal">
      <formula>"Towel"</formula>
    </cfRule>
    <cfRule type="cellIs" dxfId="32094" priority="4343" stopIfTrue="1" operator="equal">
      <formula>"Napkin Hs"</formula>
    </cfRule>
    <cfRule type="cellIs" dxfId="32093" priority="4346" stopIfTrue="1" operator="equal">
      <formula>"Towel"</formula>
    </cfRule>
    <cfRule type="cellIs" dxfId="32092" priority="4347" stopIfTrue="1" operator="equal">
      <formula>"Napkin Hs"</formula>
    </cfRule>
    <cfRule type="cellIs" dxfId="32091" priority="4348" stopIfTrue="1" operator="equal">
      <formula>"Towel"</formula>
    </cfRule>
    <cfRule type="cellIs" dxfId="32090" priority="4349" stopIfTrue="1" operator="equal">
      <formula>"Napkin Hs"</formula>
    </cfRule>
    <cfRule type="cellIs" dxfId="32089" priority="4350" stopIfTrue="1" operator="equal">
      <formula>"Towel"</formula>
    </cfRule>
    <cfRule type="cellIs" dxfId="32088" priority="4351" stopIfTrue="1" operator="equal">
      <formula>"Napkin Hs"</formula>
    </cfRule>
    <cfRule type="cellIs" dxfId="32087" priority="4354" stopIfTrue="1" operator="equal">
      <formula>"Towel"</formula>
    </cfRule>
    <cfRule type="cellIs" dxfId="32086" priority="4355" stopIfTrue="1" operator="equal">
      <formula>"Napkin Hs"</formula>
    </cfRule>
    <cfRule type="cellIs" dxfId="32085" priority="4356" stopIfTrue="1" operator="equal">
      <formula>"Towel"</formula>
    </cfRule>
    <cfRule type="cellIs" dxfId="32084" priority="4357" stopIfTrue="1" operator="equal">
      <formula>"Napkin Hs"</formula>
    </cfRule>
    <cfRule type="cellIs" dxfId="32083" priority="4360" stopIfTrue="1" operator="equal">
      <formula>"Towel"</formula>
    </cfRule>
    <cfRule type="cellIs" dxfId="32082" priority="4361" stopIfTrue="1" operator="equal">
      <formula>"Napkin Hs"</formula>
    </cfRule>
    <cfRule type="cellIs" dxfId="32081" priority="4362" stopIfTrue="1" operator="equal">
      <formula>"Towel"</formula>
    </cfRule>
    <cfRule type="cellIs" dxfId="32080" priority="4363" stopIfTrue="1" operator="equal">
      <formula>"Napkin Hs"</formula>
    </cfRule>
    <cfRule type="cellIs" dxfId="32079" priority="4366" stopIfTrue="1" operator="equal">
      <formula>"Towel"</formula>
    </cfRule>
    <cfRule type="cellIs" dxfId="32078" priority="4367" stopIfTrue="1" operator="equal">
      <formula>"Napkin Hs"</formula>
    </cfRule>
    <cfRule type="cellIs" dxfId="32077" priority="4368" stopIfTrue="1" operator="equal">
      <formula>"Towel"</formula>
    </cfRule>
    <cfRule type="cellIs" dxfId="32076" priority="4369" stopIfTrue="1" operator="equal">
      <formula>"Napkin Hs"</formula>
    </cfRule>
    <cfRule type="cellIs" dxfId="32075" priority="4372" stopIfTrue="1" operator="equal">
      <formula>"Towel"</formula>
    </cfRule>
    <cfRule type="cellIs" dxfId="32074" priority="4373" stopIfTrue="1" operator="equal">
      <formula>"Napkin Hs"</formula>
    </cfRule>
    <cfRule type="cellIs" dxfId="32073" priority="4374" stopIfTrue="1" operator="equal">
      <formula>"Towel"</formula>
    </cfRule>
    <cfRule type="cellIs" dxfId="32072" priority="4375" stopIfTrue="1" operator="equal">
      <formula>"Napkin Hs"</formula>
    </cfRule>
    <cfRule type="cellIs" dxfId="32071" priority="4378" stopIfTrue="1" operator="equal">
      <formula>"Towel"</formula>
    </cfRule>
    <cfRule type="cellIs" dxfId="32070" priority="4379" stopIfTrue="1" operator="equal">
      <formula>"Napkin Hs"</formula>
    </cfRule>
    <cfRule type="cellIs" dxfId="32069" priority="4380" stopIfTrue="1" operator="equal">
      <formula>"Towel"</formula>
    </cfRule>
    <cfRule type="cellIs" dxfId="32068" priority="4381" stopIfTrue="1" operator="equal">
      <formula>"Napkin Hs"</formula>
    </cfRule>
    <cfRule type="cellIs" dxfId="32067" priority="4384" stopIfTrue="1" operator="equal">
      <formula>"Towel"</formula>
    </cfRule>
    <cfRule type="cellIs" dxfId="32066" priority="4385" stopIfTrue="1" operator="equal">
      <formula>"Napkin Hs"</formula>
    </cfRule>
  </conditionalFormatting>
  <conditionalFormatting sqref="C91">
    <cfRule type="cellIs" dxfId="32065" priority="4530" stopIfTrue="1" operator="equal">
      <formula>"Towel"</formula>
    </cfRule>
    <cfRule type="cellIs" dxfId="32064" priority="4531" stopIfTrue="1" operator="equal">
      <formula>"Napkin Hs"</formula>
    </cfRule>
    <cfRule type="cellIs" dxfId="32063" priority="4532" stopIfTrue="1" operator="equal">
      <formula>"Towel"</formula>
    </cfRule>
    <cfRule type="cellIs" dxfId="32062" priority="4533" stopIfTrue="1" operator="equal">
      <formula>"Napkin Hs"</formula>
    </cfRule>
    <cfRule type="cellIs" dxfId="32061" priority="4536" stopIfTrue="1" operator="equal">
      <formula>"Towel"</formula>
    </cfRule>
    <cfRule type="cellIs" dxfId="32060" priority="4537" stopIfTrue="1" operator="equal">
      <formula>"Napkin Hs"</formula>
    </cfRule>
    <cfRule type="cellIs" dxfId="32059" priority="4538" stopIfTrue="1" operator="equal">
      <formula>"Towel"</formula>
    </cfRule>
    <cfRule type="cellIs" dxfId="32058" priority="4539" stopIfTrue="1" operator="equal">
      <formula>"Napkin Hs"</formula>
    </cfRule>
    <cfRule type="cellIs" dxfId="32057" priority="4542" stopIfTrue="1" operator="equal">
      <formula>"Towel"</formula>
    </cfRule>
    <cfRule type="cellIs" dxfId="32056" priority="4543" stopIfTrue="1" operator="equal">
      <formula>"Napkin Hs"</formula>
    </cfRule>
    <cfRule type="cellIs" dxfId="32055" priority="4544" stopIfTrue="1" operator="equal">
      <formula>"Towel"</formula>
    </cfRule>
    <cfRule type="cellIs" dxfId="32054" priority="4545" stopIfTrue="1" operator="equal">
      <formula>"Napkin Hs"</formula>
    </cfRule>
    <cfRule type="cellIs" dxfId="32053" priority="4548" stopIfTrue="1" operator="equal">
      <formula>"Towel"</formula>
    </cfRule>
    <cfRule type="cellIs" dxfId="32052" priority="4549" stopIfTrue="1" operator="equal">
      <formula>"Napkin Hs"</formula>
    </cfRule>
    <cfRule type="cellIs" dxfId="32051" priority="4550" stopIfTrue="1" operator="equal">
      <formula>"Towel"</formula>
    </cfRule>
    <cfRule type="cellIs" dxfId="32050" priority="4551" stopIfTrue="1" operator="equal">
      <formula>"Napkin Hs"</formula>
    </cfRule>
    <cfRule type="cellIs" dxfId="32049" priority="4554" stopIfTrue="1" operator="equal">
      <formula>"Towel"</formula>
    </cfRule>
    <cfRule type="cellIs" dxfId="32048" priority="4555" stopIfTrue="1" operator="equal">
      <formula>"Napkin Hs"</formula>
    </cfRule>
    <cfRule type="cellIs" dxfId="32047" priority="4556" stopIfTrue="1" operator="equal">
      <formula>"Towel"</formula>
    </cfRule>
    <cfRule type="cellIs" dxfId="32046" priority="4557" stopIfTrue="1" operator="equal">
      <formula>"Napkin Hs"</formula>
    </cfRule>
    <cfRule type="cellIs" dxfId="32045" priority="4560" stopIfTrue="1" operator="equal">
      <formula>"Towel"</formula>
    </cfRule>
    <cfRule type="cellIs" dxfId="32044" priority="4561" stopIfTrue="1" operator="equal">
      <formula>"Napkin Hs"</formula>
    </cfRule>
    <cfRule type="cellIs" dxfId="32043" priority="4562" stopIfTrue="1" operator="equal">
      <formula>"Towel"</formula>
    </cfRule>
    <cfRule type="cellIs" dxfId="32042" priority="4563" stopIfTrue="1" operator="equal">
      <formula>"Napkin Hs"</formula>
    </cfRule>
    <cfRule type="cellIs" dxfId="32041" priority="4566" stopIfTrue="1" operator="equal">
      <formula>"Towel"</formula>
    </cfRule>
    <cfRule type="cellIs" dxfId="32040" priority="4567" stopIfTrue="1" operator="equal">
      <formula>"Napkin Hs"</formula>
    </cfRule>
    <cfRule type="cellIs" dxfId="32039" priority="4568" stopIfTrue="1" operator="equal">
      <formula>"Towel"</formula>
    </cfRule>
    <cfRule type="cellIs" dxfId="32038" priority="4569" stopIfTrue="1" operator="equal">
      <formula>"Napkin Hs"</formula>
    </cfRule>
    <cfRule type="cellIs" dxfId="32037" priority="4572" stopIfTrue="1" operator="equal">
      <formula>"Towel"</formula>
    </cfRule>
    <cfRule type="cellIs" dxfId="32036" priority="4573" stopIfTrue="1" operator="equal">
      <formula>"Napkin Hs"</formula>
    </cfRule>
  </conditionalFormatting>
  <conditionalFormatting sqref="C91:C92">
    <cfRule type="cellIs" dxfId="32035" priority="4474" stopIfTrue="1" operator="equal">
      <formula>"Towel"</formula>
    </cfRule>
    <cfRule type="cellIs" dxfId="32034" priority="4475" stopIfTrue="1" operator="equal">
      <formula>"Napkin Hs"</formula>
    </cfRule>
    <cfRule type="cellIs" dxfId="32033" priority="4476" stopIfTrue="1" operator="equal">
      <formula>"Towel"</formula>
    </cfRule>
    <cfRule type="cellIs" dxfId="32032" priority="4477" stopIfTrue="1" operator="equal">
      <formula>"Napkin Hs"</formula>
    </cfRule>
    <cfRule type="cellIs" dxfId="32031" priority="4478" stopIfTrue="1" operator="equal">
      <formula>"Towel"</formula>
    </cfRule>
    <cfRule type="cellIs" dxfId="32030" priority="4479" stopIfTrue="1" operator="equal">
      <formula>"Napkin Hs"</formula>
    </cfRule>
    <cfRule type="cellIs" dxfId="32029" priority="4480" stopIfTrue="1" operator="equal">
      <formula>"Towel"</formula>
    </cfRule>
    <cfRule type="cellIs" dxfId="32028" priority="4481" stopIfTrue="1" operator="equal">
      <formula>"Napkin Hs"</formula>
    </cfRule>
    <cfRule type="cellIs" dxfId="32027" priority="4482" stopIfTrue="1" operator="equal">
      <formula>"Towel"</formula>
    </cfRule>
    <cfRule type="cellIs" dxfId="32026" priority="4483" stopIfTrue="1" operator="equal">
      <formula>"Napkin Hs"</formula>
    </cfRule>
    <cfRule type="cellIs" dxfId="32025" priority="4484" stopIfTrue="1" operator="equal">
      <formula>"Towel"</formula>
    </cfRule>
    <cfRule type="cellIs" dxfId="32024" priority="4485" stopIfTrue="1" operator="equal">
      <formula>"Napkin Hs"</formula>
    </cfRule>
    <cfRule type="cellIs" dxfId="32023" priority="4486" stopIfTrue="1" operator="equal">
      <formula>"Towel"</formula>
    </cfRule>
    <cfRule type="cellIs" dxfId="32022" priority="4487" stopIfTrue="1" operator="equal">
      <formula>"Napkin Hs"</formula>
    </cfRule>
    <cfRule type="cellIs" dxfId="32021" priority="4490" stopIfTrue="1" operator="equal">
      <formula>"Towel"</formula>
    </cfRule>
    <cfRule type="cellIs" dxfId="32020" priority="4491" stopIfTrue="1" operator="equal">
      <formula>"Napkin Hs"</formula>
    </cfRule>
    <cfRule type="cellIs" dxfId="32019" priority="4492" stopIfTrue="1" operator="equal">
      <formula>"Towel"</formula>
    </cfRule>
    <cfRule type="cellIs" dxfId="32018" priority="4493" stopIfTrue="1" operator="equal">
      <formula>"Napkin Hs"</formula>
    </cfRule>
    <cfRule type="cellIs" dxfId="32017" priority="4496" stopIfTrue="1" operator="equal">
      <formula>"Towel"</formula>
    </cfRule>
    <cfRule type="cellIs" dxfId="32016" priority="4497" stopIfTrue="1" operator="equal">
      <formula>"Napkin Hs"</formula>
    </cfRule>
    <cfRule type="cellIs" dxfId="32015" priority="4498" stopIfTrue="1" operator="equal">
      <formula>"Towel"</formula>
    </cfRule>
    <cfRule type="cellIs" dxfId="32014" priority="4499" stopIfTrue="1" operator="equal">
      <formula>"Napkin Hs"</formula>
    </cfRule>
    <cfRule type="cellIs" dxfId="32013" priority="4502" stopIfTrue="1" operator="equal">
      <formula>"Towel"</formula>
    </cfRule>
    <cfRule type="cellIs" dxfId="32012" priority="4503" stopIfTrue="1" operator="equal">
      <formula>"Napkin Hs"</formula>
    </cfRule>
    <cfRule type="cellIs" dxfId="32011" priority="4504" stopIfTrue="1" operator="equal">
      <formula>"Towel"</formula>
    </cfRule>
    <cfRule type="cellIs" dxfId="32010" priority="4505" stopIfTrue="1" operator="equal">
      <formula>"Napkin Hs"</formula>
    </cfRule>
    <cfRule type="cellIs" dxfId="32009" priority="4508" stopIfTrue="1" operator="equal">
      <formula>"Towel"</formula>
    </cfRule>
    <cfRule type="cellIs" dxfId="32008" priority="4509" stopIfTrue="1" operator="equal">
      <formula>"Napkin Hs"</formula>
    </cfRule>
    <cfRule type="cellIs" dxfId="32007" priority="4510" stopIfTrue="1" operator="equal">
      <formula>"Towel"</formula>
    </cfRule>
    <cfRule type="cellIs" dxfId="32006" priority="4511" stopIfTrue="1" operator="equal">
      <formula>"Napkin Hs"</formula>
    </cfRule>
    <cfRule type="cellIs" dxfId="32005" priority="4514" stopIfTrue="1" operator="equal">
      <formula>"Towel"</formula>
    </cfRule>
    <cfRule type="cellIs" dxfId="32004" priority="4515" stopIfTrue="1" operator="equal">
      <formula>"Napkin Hs"</formula>
    </cfRule>
    <cfRule type="cellIs" dxfId="32003" priority="4516" stopIfTrue="1" operator="equal">
      <formula>"Towel"</formula>
    </cfRule>
    <cfRule type="cellIs" dxfId="32002" priority="4517" stopIfTrue="1" operator="equal">
      <formula>"Napkin Hs"</formula>
    </cfRule>
    <cfRule type="cellIs" dxfId="32001" priority="4520" stopIfTrue="1" operator="equal">
      <formula>"Towel"</formula>
    </cfRule>
    <cfRule type="cellIs" dxfId="32000" priority="4521" stopIfTrue="1" operator="equal">
      <formula>"Napkin Hs"</formula>
    </cfRule>
    <cfRule type="cellIs" dxfId="31999" priority="4574" stopIfTrue="1" operator="equal">
      <formula>"Towel"</formula>
    </cfRule>
    <cfRule type="cellIs" dxfId="31998" priority="4575" stopIfTrue="1" operator="equal">
      <formula>"Napkin Hs"</formula>
    </cfRule>
  </conditionalFormatting>
  <conditionalFormatting sqref="C91:C93">
    <cfRule type="cellIs" dxfId="31997" priority="4522" stopIfTrue="1" operator="equal">
      <formula>"Towel"</formula>
    </cfRule>
    <cfRule type="cellIs" dxfId="31996" priority="4523" stopIfTrue="1" operator="equal">
      <formula>"Napkin Hs"</formula>
    </cfRule>
  </conditionalFormatting>
  <conditionalFormatting sqref="C92">
    <cfRule type="cellIs" dxfId="31995" priority="4578" stopIfTrue="1" operator="equal">
      <formula>"Towel"</formula>
    </cfRule>
    <cfRule type="cellIs" dxfId="31994" priority="4579" stopIfTrue="1" operator="equal">
      <formula>"Napkin Hs"</formula>
    </cfRule>
    <cfRule type="cellIs" dxfId="31993" priority="4582" stopIfTrue="1" operator="equal">
      <formula>"Towel"</formula>
    </cfRule>
    <cfRule type="cellIs" dxfId="31992" priority="4583" stopIfTrue="1" operator="equal">
      <formula>"Napkin Hs"</formula>
    </cfRule>
    <cfRule type="cellIs" dxfId="31991" priority="4584" stopIfTrue="1" operator="equal">
      <formula>"Towel"</formula>
    </cfRule>
    <cfRule type="cellIs" dxfId="31990" priority="4585" stopIfTrue="1" operator="equal">
      <formula>"Napkin Hs"</formula>
    </cfRule>
    <cfRule type="cellIs" dxfId="31989" priority="4588" stopIfTrue="1" operator="equal">
      <formula>"Towel"</formula>
    </cfRule>
    <cfRule type="cellIs" dxfId="31988" priority="4589" stopIfTrue="1" operator="equal">
      <formula>"Napkin Hs"</formula>
    </cfRule>
    <cfRule type="cellIs" dxfId="31987" priority="4590" stopIfTrue="1" operator="equal">
      <formula>"Towel"</formula>
    </cfRule>
    <cfRule type="cellIs" dxfId="31986" priority="4591" stopIfTrue="1" operator="equal">
      <formula>"Napkin Hs"</formula>
    </cfRule>
    <cfRule type="cellIs" dxfId="31985" priority="4594" stopIfTrue="1" operator="equal">
      <formula>"Towel"</formula>
    </cfRule>
    <cfRule type="cellIs" dxfId="31984" priority="4595" stopIfTrue="1" operator="equal">
      <formula>"Napkin Hs"</formula>
    </cfRule>
    <cfRule type="cellIs" dxfId="31983" priority="4596" stopIfTrue="1" operator="equal">
      <formula>"Towel"</formula>
    </cfRule>
    <cfRule type="cellIs" dxfId="31982" priority="4597" stopIfTrue="1" operator="equal">
      <formula>"Napkin Hs"</formula>
    </cfRule>
    <cfRule type="cellIs" dxfId="31981" priority="4600" stopIfTrue="1" operator="equal">
      <formula>"Towel"</formula>
    </cfRule>
    <cfRule type="cellIs" dxfId="31980" priority="4601" stopIfTrue="1" operator="equal">
      <formula>"Napkin Hs"</formula>
    </cfRule>
    <cfRule type="cellIs" dxfId="31979" priority="4602" stopIfTrue="1" operator="equal">
      <formula>"Towel"</formula>
    </cfRule>
    <cfRule type="cellIs" dxfId="31978" priority="4603" stopIfTrue="1" operator="equal">
      <formula>"Napkin Hs"</formula>
    </cfRule>
    <cfRule type="cellIs" dxfId="31977" priority="4606" stopIfTrue="1" operator="equal">
      <formula>"Towel"</formula>
    </cfRule>
    <cfRule type="cellIs" dxfId="31976" priority="4607" stopIfTrue="1" operator="equal">
      <formula>"Napkin Hs"</formula>
    </cfRule>
    <cfRule type="cellIs" dxfId="31975" priority="4608" stopIfTrue="1" operator="equal">
      <formula>"Towel"</formula>
    </cfRule>
    <cfRule type="cellIs" dxfId="31974" priority="4609" stopIfTrue="1" operator="equal">
      <formula>"Napkin Hs"</formula>
    </cfRule>
    <cfRule type="cellIs" dxfId="31973" priority="4612" stopIfTrue="1" operator="equal">
      <formula>"Towel"</formula>
    </cfRule>
    <cfRule type="cellIs" dxfId="31972" priority="4613" stopIfTrue="1" operator="equal">
      <formula>"Napkin Hs"</formula>
    </cfRule>
    <cfRule type="cellIs" dxfId="31971" priority="4614" stopIfTrue="1" operator="equal">
      <formula>"Towel"</formula>
    </cfRule>
    <cfRule type="cellIs" dxfId="31970" priority="4615" stopIfTrue="1" operator="equal">
      <formula>"Napkin Hs"</formula>
    </cfRule>
    <cfRule type="cellIs" dxfId="31969" priority="4618" stopIfTrue="1" operator="equal">
      <formula>"Towel"</formula>
    </cfRule>
    <cfRule type="cellIs" dxfId="31968" priority="4619" stopIfTrue="1" operator="equal">
      <formula>"Napkin Hs"</formula>
    </cfRule>
  </conditionalFormatting>
  <conditionalFormatting sqref="C92:C93">
    <cfRule type="cellIs" dxfId="31967" priority="4620" stopIfTrue="1" operator="equal">
      <formula>"Towel"</formula>
    </cfRule>
    <cfRule type="cellIs" dxfId="31966" priority="4621" stopIfTrue="1" operator="equal">
      <formula>"Napkin Hs"</formula>
    </cfRule>
  </conditionalFormatting>
  <conditionalFormatting sqref="C93">
    <cfRule type="cellIs" dxfId="31965" priority="4526" stopIfTrue="1" operator="equal">
      <formula>"Towel"</formula>
    </cfRule>
    <cfRule type="cellIs" dxfId="31964" priority="4527" stopIfTrue="1" operator="equal">
      <formula>"Napkin Hs"</formula>
    </cfRule>
    <cfRule type="cellIs" dxfId="31963" priority="4624" stopIfTrue="1" operator="equal">
      <formula>"Towel"</formula>
    </cfRule>
    <cfRule type="cellIs" dxfId="31962" priority="4625" stopIfTrue="1" operator="equal">
      <formula>"Napkin Hs"</formula>
    </cfRule>
    <cfRule type="cellIs" dxfId="31961" priority="4628" stopIfTrue="1" operator="equal">
      <formula>"Towel"</formula>
    </cfRule>
    <cfRule type="cellIs" dxfId="31960" priority="4629" stopIfTrue="1" operator="equal">
      <formula>"Napkin Hs"</formula>
    </cfRule>
    <cfRule type="cellIs" dxfId="31959" priority="4630" stopIfTrue="1" operator="equal">
      <formula>"Towel"</formula>
    </cfRule>
    <cfRule type="cellIs" dxfId="31958" priority="4631" stopIfTrue="1" operator="equal">
      <formula>"Napkin Hs"</formula>
    </cfRule>
    <cfRule type="cellIs" dxfId="31957" priority="4634" stopIfTrue="1" operator="equal">
      <formula>"Towel"</formula>
    </cfRule>
    <cfRule type="cellIs" dxfId="31956" priority="4635" stopIfTrue="1" operator="equal">
      <formula>"Napkin Hs"</formula>
    </cfRule>
    <cfRule type="cellIs" dxfId="31955" priority="4636" stopIfTrue="1" operator="equal">
      <formula>"Towel"</formula>
    </cfRule>
    <cfRule type="cellIs" dxfId="31954" priority="4637" stopIfTrue="1" operator="equal">
      <formula>"Napkin Hs"</formula>
    </cfRule>
    <cfRule type="cellIs" dxfId="31953" priority="4640" stopIfTrue="1" operator="equal">
      <formula>"Towel"</formula>
    </cfRule>
    <cfRule type="cellIs" dxfId="31952" priority="4641" stopIfTrue="1" operator="equal">
      <formula>"Napkin Hs"</formula>
    </cfRule>
    <cfRule type="cellIs" dxfId="31951" priority="4642" stopIfTrue="1" operator="equal">
      <formula>"Towel"</formula>
    </cfRule>
    <cfRule type="cellIs" dxfId="31950" priority="4643" stopIfTrue="1" operator="equal">
      <formula>"Napkin Hs"</formula>
    </cfRule>
    <cfRule type="cellIs" dxfId="31949" priority="4646" stopIfTrue="1" operator="equal">
      <formula>"Towel"</formula>
    </cfRule>
    <cfRule type="cellIs" dxfId="31948" priority="4647" stopIfTrue="1" operator="equal">
      <formula>"Napkin Hs"</formula>
    </cfRule>
    <cfRule type="cellIs" dxfId="31947" priority="4648" stopIfTrue="1" operator="equal">
      <formula>"Towel"</formula>
    </cfRule>
    <cfRule type="cellIs" dxfId="31946" priority="4649" stopIfTrue="1" operator="equal">
      <formula>"Napkin Hs"</formula>
    </cfRule>
    <cfRule type="cellIs" dxfId="31945" priority="4652" stopIfTrue="1" operator="equal">
      <formula>"Towel"</formula>
    </cfRule>
    <cfRule type="cellIs" dxfId="31944" priority="4653" stopIfTrue="1" operator="equal">
      <formula>"Napkin Hs"</formula>
    </cfRule>
  </conditionalFormatting>
  <conditionalFormatting sqref="C93:C94">
    <cfRule type="cellIs" dxfId="31943" priority="4654" stopIfTrue="1" operator="equal">
      <formula>"Towel"</formula>
    </cfRule>
    <cfRule type="cellIs" dxfId="31942" priority="4655" stopIfTrue="1" operator="equal">
      <formula>"Napkin Hs"</formula>
    </cfRule>
  </conditionalFormatting>
  <conditionalFormatting sqref="C94">
    <cfRule type="cellIs" dxfId="31941" priority="6710" stopIfTrue="1" operator="equal">
      <formula>"Towel"</formula>
    </cfRule>
    <cfRule type="cellIs" dxfId="31940" priority="6711" stopIfTrue="1" operator="equal">
      <formula>"Napkin Hs"</formula>
    </cfRule>
    <cfRule type="cellIs" dxfId="31939" priority="6714" stopIfTrue="1" operator="equal">
      <formula>"Towel"</formula>
    </cfRule>
    <cfRule type="cellIs" dxfId="31938" priority="6715" stopIfTrue="1" operator="equal">
      <formula>"Napkin Hs"</formula>
    </cfRule>
    <cfRule type="cellIs" dxfId="31937" priority="6716" stopIfTrue="1" operator="equal">
      <formula>"Towel"</formula>
    </cfRule>
    <cfRule type="cellIs" dxfId="31936" priority="6717" stopIfTrue="1" operator="equal">
      <formula>"Napkin Hs"</formula>
    </cfRule>
    <cfRule type="cellIs" dxfId="31935" priority="6720" stopIfTrue="1" operator="equal">
      <formula>"Towel"</formula>
    </cfRule>
    <cfRule type="cellIs" dxfId="31934" priority="6721" stopIfTrue="1" operator="equal">
      <formula>"Napkin Hs"</formula>
    </cfRule>
    <cfRule type="cellIs" dxfId="31933" priority="6722" stopIfTrue="1" operator="equal">
      <formula>"Towel"</formula>
    </cfRule>
    <cfRule type="cellIs" dxfId="31932" priority="6723" stopIfTrue="1" operator="equal">
      <formula>"Napkin Hs"</formula>
    </cfRule>
    <cfRule type="cellIs" dxfId="31931" priority="6726" stopIfTrue="1" operator="equal">
      <formula>"Towel"</formula>
    </cfRule>
    <cfRule type="cellIs" dxfId="31930" priority="6727" stopIfTrue="1" operator="equal">
      <formula>"Napkin Hs"</formula>
    </cfRule>
    <cfRule type="cellIs" dxfId="31929" priority="6728" stopIfTrue="1" operator="equal">
      <formula>"Towel"</formula>
    </cfRule>
    <cfRule type="cellIs" dxfId="31928" priority="6729" stopIfTrue="1" operator="equal">
      <formula>"Napkin Hs"</formula>
    </cfRule>
    <cfRule type="cellIs" dxfId="31927" priority="6732" stopIfTrue="1" operator="equal">
      <formula>"Towel"</formula>
    </cfRule>
    <cfRule type="cellIs" dxfId="31926" priority="6733" stopIfTrue="1" operator="equal">
      <formula>"Napkin Hs"</formula>
    </cfRule>
    <cfRule type="cellIs" dxfId="31925" priority="6734" stopIfTrue="1" operator="equal">
      <formula>"Towel"</formula>
    </cfRule>
    <cfRule type="cellIs" dxfId="31924" priority="6735" stopIfTrue="1" operator="equal">
      <formula>"Napkin Hs"</formula>
    </cfRule>
    <cfRule type="cellIs" dxfId="31923" priority="6738" stopIfTrue="1" operator="equal">
      <formula>"Towel"</formula>
    </cfRule>
    <cfRule type="cellIs" dxfId="31922" priority="6739" stopIfTrue="1" operator="equal">
      <formula>"Napkin Hs"</formula>
    </cfRule>
    <cfRule type="cellIs" dxfId="31921" priority="6740" stopIfTrue="1" operator="equal">
      <formula>"Towel"</formula>
    </cfRule>
    <cfRule type="cellIs" dxfId="31920" priority="6741" stopIfTrue="1" operator="equal">
      <formula>"Napkin Hs"</formula>
    </cfRule>
    <cfRule type="cellIs" dxfId="31919" priority="6744" stopIfTrue="1" operator="equal">
      <formula>"Towel"</formula>
    </cfRule>
    <cfRule type="cellIs" dxfId="31918" priority="6745" stopIfTrue="1" operator="equal">
      <formula>"Napkin Hs"</formula>
    </cfRule>
    <cfRule type="cellIs" dxfId="31917" priority="6746" stopIfTrue="1" operator="equal">
      <formula>"Towel"</formula>
    </cfRule>
    <cfRule type="cellIs" dxfId="31916" priority="6747" stopIfTrue="1" operator="equal">
      <formula>"Napkin Hs"</formula>
    </cfRule>
    <cfRule type="cellIs" dxfId="31915" priority="6750" stopIfTrue="1" operator="equal">
      <formula>"Towel"</formula>
    </cfRule>
    <cfRule type="cellIs" dxfId="31914" priority="6751" stopIfTrue="1" operator="equal">
      <formula>"Napkin Hs"</formula>
    </cfRule>
  </conditionalFormatting>
  <conditionalFormatting sqref="C94:C95">
    <cfRule type="cellIs" dxfId="31913" priority="6752" stopIfTrue="1" operator="equal">
      <formula>"Towel"</formula>
    </cfRule>
    <cfRule type="cellIs" dxfId="31912" priority="6753" stopIfTrue="1" operator="equal">
      <formula>"Napkin Hs"</formula>
    </cfRule>
  </conditionalFormatting>
  <conditionalFormatting sqref="C95">
    <cfRule type="cellIs" dxfId="31911" priority="6756" stopIfTrue="1" operator="equal">
      <formula>"Towel"</formula>
    </cfRule>
    <cfRule type="cellIs" dxfId="31910" priority="6757" stopIfTrue="1" operator="equal">
      <formula>"Napkin Hs"</formula>
    </cfRule>
    <cfRule type="cellIs" dxfId="31909" priority="6760" stopIfTrue="1" operator="equal">
      <formula>"Towel"</formula>
    </cfRule>
    <cfRule type="cellIs" dxfId="31908" priority="6761" stopIfTrue="1" operator="equal">
      <formula>"Napkin Hs"</formula>
    </cfRule>
    <cfRule type="cellIs" dxfId="31907" priority="6762" stopIfTrue="1" operator="equal">
      <formula>"Towel"</formula>
    </cfRule>
    <cfRule type="cellIs" dxfId="31906" priority="6763" stopIfTrue="1" operator="equal">
      <formula>"Napkin Hs"</formula>
    </cfRule>
    <cfRule type="cellIs" dxfId="31905" priority="6766" stopIfTrue="1" operator="equal">
      <formula>"Towel"</formula>
    </cfRule>
    <cfRule type="cellIs" dxfId="31904" priority="6767" stopIfTrue="1" operator="equal">
      <formula>"Napkin Hs"</formula>
    </cfRule>
    <cfRule type="cellIs" dxfId="31903" priority="6768" stopIfTrue="1" operator="equal">
      <formula>"Towel"</formula>
    </cfRule>
    <cfRule type="cellIs" dxfId="31902" priority="6769" stopIfTrue="1" operator="equal">
      <formula>"Napkin Hs"</formula>
    </cfRule>
    <cfRule type="cellIs" dxfId="31901" priority="6772" stopIfTrue="1" operator="equal">
      <formula>"Towel"</formula>
    </cfRule>
    <cfRule type="cellIs" dxfId="31900" priority="6773" stopIfTrue="1" operator="equal">
      <formula>"Napkin Hs"</formula>
    </cfRule>
    <cfRule type="cellIs" dxfId="31899" priority="6774" stopIfTrue="1" operator="equal">
      <formula>"Towel"</formula>
    </cfRule>
    <cfRule type="cellIs" dxfId="31898" priority="6775" stopIfTrue="1" operator="equal">
      <formula>"Napkin Hs"</formula>
    </cfRule>
    <cfRule type="cellIs" dxfId="31897" priority="6778" stopIfTrue="1" operator="equal">
      <formula>"Towel"</formula>
    </cfRule>
    <cfRule type="cellIs" dxfId="31896" priority="6779" stopIfTrue="1" operator="equal">
      <formula>"Napkin Hs"</formula>
    </cfRule>
    <cfRule type="cellIs" dxfId="31895" priority="6780" stopIfTrue="1" operator="equal">
      <formula>"Towel"</formula>
    </cfRule>
    <cfRule type="cellIs" dxfId="31894" priority="6781" stopIfTrue="1" operator="equal">
      <formula>"Napkin Hs"</formula>
    </cfRule>
    <cfRule type="cellIs" dxfId="31893" priority="6784" stopIfTrue="1" operator="equal">
      <formula>"Towel"</formula>
    </cfRule>
    <cfRule type="cellIs" dxfId="31892" priority="6785" stopIfTrue="1" operator="equal">
      <formula>"Napkin Hs"</formula>
    </cfRule>
    <cfRule type="cellIs" dxfId="31891" priority="6786" stopIfTrue="1" operator="equal">
      <formula>"Towel"</formula>
    </cfRule>
    <cfRule type="cellIs" dxfId="31890" priority="6787" stopIfTrue="1" operator="equal">
      <formula>"Napkin Hs"</formula>
    </cfRule>
    <cfRule type="cellIs" dxfId="31889" priority="6790" stopIfTrue="1" operator="equal">
      <formula>"Towel"</formula>
    </cfRule>
    <cfRule type="cellIs" dxfId="31888" priority="6791" stopIfTrue="1" operator="equal">
      <formula>"Napkin Hs"</formula>
    </cfRule>
    <cfRule type="cellIs" dxfId="31887" priority="6792" stopIfTrue="1" operator="equal">
      <formula>"Towel"</formula>
    </cfRule>
    <cfRule type="cellIs" dxfId="31886" priority="6793" stopIfTrue="1" operator="equal">
      <formula>"Napkin Hs"</formula>
    </cfRule>
    <cfRule type="cellIs" dxfId="31885" priority="6796" stopIfTrue="1" operator="equal">
      <formula>"Towel"</formula>
    </cfRule>
    <cfRule type="cellIs" dxfId="31884" priority="6797" stopIfTrue="1" operator="equal">
      <formula>"Napkin Hs"</formula>
    </cfRule>
    <cfRule type="cellIs" dxfId="31883" priority="6798" stopIfTrue="1" operator="equal">
      <formula>"Towel"</formula>
    </cfRule>
    <cfRule type="cellIs" dxfId="31882" priority="6799" stopIfTrue="1" operator="equal">
      <formula>"Napkin Hs"</formula>
    </cfRule>
  </conditionalFormatting>
  <conditionalFormatting sqref="C96">
    <cfRule type="cellIs" dxfId="31881" priority="3990" stopIfTrue="1" operator="equal">
      <formula>"Towel"</formula>
    </cfRule>
    <cfRule type="cellIs" dxfId="31880" priority="3991" stopIfTrue="1" operator="equal">
      <formula>"Napkin Hs"</formula>
    </cfRule>
    <cfRule type="cellIs" dxfId="31879" priority="3992" stopIfTrue="1" operator="equal">
      <formula>"Towel"</formula>
    </cfRule>
    <cfRule type="cellIs" dxfId="31878" priority="3993" stopIfTrue="1" operator="equal">
      <formula>"Napkin Hs"</formula>
    </cfRule>
    <cfRule type="cellIs" dxfId="31877" priority="3996" stopIfTrue="1" operator="equal">
      <formula>"Towel"</formula>
    </cfRule>
    <cfRule type="cellIs" dxfId="31876" priority="3997" stopIfTrue="1" operator="equal">
      <formula>"Napkin Hs"</formula>
    </cfRule>
    <cfRule type="cellIs" dxfId="31875" priority="3998" stopIfTrue="1" operator="equal">
      <formula>"Towel"</formula>
    </cfRule>
    <cfRule type="cellIs" dxfId="31874" priority="3999" stopIfTrue="1" operator="equal">
      <formula>"Napkin Hs"</formula>
    </cfRule>
    <cfRule type="cellIs" dxfId="31873" priority="4002" stopIfTrue="1" operator="equal">
      <formula>"Towel"</formula>
    </cfRule>
    <cfRule type="cellIs" dxfId="31872" priority="4003" stopIfTrue="1" operator="equal">
      <formula>"Napkin Hs"</formula>
    </cfRule>
    <cfRule type="cellIs" dxfId="31871" priority="4004" stopIfTrue="1" operator="equal">
      <formula>"Towel"</formula>
    </cfRule>
    <cfRule type="cellIs" dxfId="31870" priority="4005" stopIfTrue="1" operator="equal">
      <formula>"Napkin Hs"</formula>
    </cfRule>
    <cfRule type="cellIs" dxfId="31869" priority="4008" stopIfTrue="1" operator="equal">
      <formula>"Towel"</formula>
    </cfRule>
    <cfRule type="cellIs" dxfId="31868" priority="4009" stopIfTrue="1" operator="equal">
      <formula>"Napkin Hs"</formula>
    </cfRule>
    <cfRule type="cellIs" dxfId="31867" priority="4010" stopIfTrue="1" operator="equal">
      <formula>"Towel"</formula>
    </cfRule>
    <cfRule type="cellIs" dxfId="31866" priority="4011" stopIfTrue="1" operator="equal">
      <formula>"Napkin Hs"</formula>
    </cfRule>
    <cfRule type="cellIs" dxfId="31865" priority="4014" stopIfTrue="1" operator="equal">
      <formula>"Towel"</formula>
    </cfRule>
    <cfRule type="cellIs" dxfId="31864" priority="4015" stopIfTrue="1" operator="equal">
      <formula>"Napkin Hs"</formula>
    </cfRule>
    <cfRule type="cellIs" dxfId="31863" priority="4016" stopIfTrue="1" operator="equal">
      <formula>"Towel"</formula>
    </cfRule>
    <cfRule type="cellIs" dxfId="31862" priority="4017" stopIfTrue="1" operator="equal">
      <formula>"Napkin Hs"</formula>
    </cfRule>
    <cfRule type="cellIs" dxfId="31861" priority="4020" stopIfTrue="1" operator="equal">
      <formula>"Towel"</formula>
    </cfRule>
    <cfRule type="cellIs" dxfId="31860" priority="4021" stopIfTrue="1" operator="equal">
      <formula>"Napkin Hs"</formula>
    </cfRule>
    <cfRule type="cellIs" dxfId="31859" priority="4022" stopIfTrue="1" operator="equal">
      <formula>"Towel"</formula>
    </cfRule>
    <cfRule type="cellIs" dxfId="31858" priority="4023" stopIfTrue="1" operator="equal">
      <formula>"Napkin Hs"</formula>
    </cfRule>
    <cfRule type="cellIs" dxfId="31857" priority="4026" stopIfTrue="1" operator="equal">
      <formula>"Towel"</formula>
    </cfRule>
    <cfRule type="cellIs" dxfId="31856" priority="4027" stopIfTrue="1" operator="equal">
      <formula>"Napkin Hs"</formula>
    </cfRule>
    <cfRule type="cellIs" dxfId="31855" priority="4030" stopIfTrue="1" operator="equal">
      <formula>"Towel"</formula>
    </cfRule>
    <cfRule type="cellIs" dxfId="31854" priority="4031" stopIfTrue="1" operator="equal">
      <formula>"Napkin Hs"</formula>
    </cfRule>
    <cfRule type="cellIs" dxfId="31853" priority="4032" stopIfTrue="1" operator="equal">
      <formula>"Towel"</formula>
    </cfRule>
    <cfRule type="cellIs" dxfId="31852" priority="4033" stopIfTrue="1" operator="equal">
      <formula>"Napkin Hs"</formula>
    </cfRule>
    <cfRule type="cellIs" dxfId="31851" priority="4034" stopIfTrue="1" operator="equal">
      <formula>"Towel"</formula>
    </cfRule>
    <cfRule type="cellIs" dxfId="31850" priority="4035" stopIfTrue="1" operator="equal">
      <formula>"Napkin Hs"</formula>
    </cfRule>
    <cfRule type="cellIs" dxfId="31849" priority="4038" stopIfTrue="1" operator="equal">
      <formula>"Towel"</formula>
    </cfRule>
    <cfRule type="cellIs" dxfId="31848" priority="4039" stopIfTrue="1" operator="equal">
      <formula>"Napkin Hs"</formula>
    </cfRule>
    <cfRule type="cellIs" dxfId="31847" priority="4040" stopIfTrue="1" operator="equal">
      <formula>"Towel"</formula>
    </cfRule>
    <cfRule type="cellIs" dxfId="31846" priority="4041" stopIfTrue="1" operator="equal">
      <formula>"Napkin Hs"</formula>
    </cfRule>
    <cfRule type="cellIs" dxfId="31845" priority="4044" stopIfTrue="1" operator="equal">
      <formula>"Towel"</formula>
    </cfRule>
    <cfRule type="cellIs" dxfId="31844" priority="4045" stopIfTrue="1" operator="equal">
      <formula>"Napkin Hs"</formula>
    </cfRule>
    <cfRule type="cellIs" dxfId="31843" priority="4046" stopIfTrue="1" operator="equal">
      <formula>"Towel"</formula>
    </cfRule>
    <cfRule type="cellIs" dxfId="31842" priority="4047" stopIfTrue="1" operator="equal">
      <formula>"Napkin Hs"</formula>
    </cfRule>
    <cfRule type="cellIs" dxfId="31841" priority="4050" stopIfTrue="1" operator="equal">
      <formula>"Towel"</formula>
    </cfRule>
    <cfRule type="cellIs" dxfId="31840" priority="4051" stopIfTrue="1" operator="equal">
      <formula>"Napkin Hs"</formula>
    </cfRule>
    <cfRule type="cellIs" dxfId="31839" priority="4052" stopIfTrue="1" operator="equal">
      <formula>"Towel"</formula>
    </cfRule>
    <cfRule type="cellIs" dxfId="31838" priority="4053" stopIfTrue="1" operator="equal">
      <formula>"Napkin Hs"</formula>
    </cfRule>
    <cfRule type="cellIs" dxfId="31837" priority="4056" stopIfTrue="1" operator="equal">
      <formula>"Towel"</formula>
    </cfRule>
    <cfRule type="cellIs" dxfId="31836" priority="4057" stopIfTrue="1" operator="equal">
      <formula>"Napkin Hs"</formula>
    </cfRule>
    <cfRule type="cellIs" dxfId="31835" priority="4058" stopIfTrue="1" operator="equal">
      <formula>"Towel"</formula>
    </cfRule>
    <cfRule type="cellIs" dxfId="31834" priority="4059" stopIfTrue="1" operator="equal">
      <formula>"Napkin Hs"</formula>
    </cfRule>
    <cfRule type="cellIs" dxfId="31833" priority="4062" stopIfTrue="1" operator="equal">
      <formula>"Towel"</formula>
    </cfRule>
    <cfRule type="cellIs" dxfId="31832" priority="4063" stopIfTrue="1" operator="equal">
      <formula>"Napkin Hs"</formula>
    </cfRule>
    <cfRule type="cellIs" dxfId="31831" priority="4064" stopIfTrue="1" operator="equal">
      <formula>"Towel"</formula>
    </cfRule>
    <cfRule type="cellIs" dxfId="31830" priority="4065" stopIfTrue="1" operator="equal">
      <formula>"Napkin Hs"</formula>
    </cfRule>
    <cfRule type="cellIs" dxfId="31829" priority="4068" stopIfTrue="1" operator="equal">
      <formula>"Towel"</formula>
    </cfRule>
    <cfRule type="cellIs" dxfId="31828" priority="4069" stopIfTrue="1" operator="equal">
      <formula>"Napkin Hs"</formula>
    </cfRule>
  </conditionalFormatting>
  <conditionalFormatting sqref="C96:C97">
    <cfRule type="cellIs" dxfId="31827" priority="4070" stopIfTrue="1" operator="equal">
      <formula>"Towel"</formula>
    </cfRule>
    <cfRule type="cellIs" dxfId="31826" priority="4071" stopIfTrue="1" operator="equal">
      <formula>"Napkin Hs"</formula>
    </cfRule>
  </conditionalFormatting>
  <conditionalFormatting sqref="C97">
    <cfRule type="cellIs" dxfId="31825" priority="4074" stopIfTrue="1" operator="equal">
      <formula>"Towel"</formula>
    </cfRule>
    <cfRule type="cellIs" dxfId="31824" priority="4075" stopIfTrue="1" operator="equal">
      <formula>"Napkin Hs"</formula>
    </cfRule>
    <cfRule type="cellIs" dxfId="31823" priority="4078" stopIfTrue="1" operator="equal">
      <formula>"Towel"</formula>
    </cfRule>
    <cfRule type="cellIs" dxfId="31822" priority="4079" stopIfTrue="1" operator="equal">
      <formula>"Napkin Hs"</formula>
    </cfRule>
    <cfRule type="cellIs" dxfId="31821" priority="4080" stopIfTrue="1" operator="equal">
      <formula>"Towel"</formula>
    </cfRule>
    <cfRule type="cellIs" dxfId="31820" priority="4081" stopIfTrue="1" operator="equal">
      <formula>"Napkin Hs"</formula>
    </cfRule>
    <cfRule type="cellIs" dxfId="31819" priority="4084" stopIfTrue="1" operator="equal">
      <formula>"Towel"</formula>
    </cfRule>
    <cfRule type="cellIs" dxfId="31818" priority="4085" stopIfTrue="1" operator="equal">
      <formula>"Napkin Hs"</formula>
    </cfRule>
    <cfRule type="cellIs" dxfId="31817" priority="4086" stopIfTrue="1" operator="equal">
      <formula>"Towel"</formula>
    </cfRule>
    <cfRule type="cellIs" dxfId="31816" priority="4087" stopIfTrue="1" operator="equal">
      <formula>"Napkin Hs"</formula>
    </cfRule>
    <cfRule type="cellIs" dxfId="31815" priority="4090" stopIfTrue="1" operator="equal">
      <formula>"Towel"</formula>
    </cfRule>
    <cfRule type="cellIs" dxfId="31814" priority="4091" stopIfTrue="1" operator="equal">
      <formula>"Napkin Hs"</formula>
    </cfRule>
    <cfRule type="cellIs" dxfId="31813" priority="4092" stopIfTrue="1" operator="equal">
      <formula>"Towel"</formula>
    </cfRule>
    <cfRule type="cellIs" dxfId="31812" priority="4093" stopIfTrue="1" operator="equal">
      <formula>"Napkin Hs"</formula>
    </cfRule>
    <cfRule type="cellIs" dxfId="31811" priority="4096" stopIfTrue="1" operator="equal">
      <formula>"Towel"</formula>
    </cfRule>
    <cfRule type="cellIs" dxfId="31810" priority="4097" stopIfTrue="1" operator="equal">
      <formula>"Napkin Hs"</formula>
    </cfRule>
    <cfRule type="cellIs" dxfId="31809" priority="4098" stopIfTrue="1" operator="equal">
      <formula>"Towel"</formula>
    </cfRule>
    <cfRule type="cellIs" dxfId="31808" priority="4099" stopIfTrue="1" operator="equal">
      <formula>"Napkin Hs"</formula>
    </cfRule>
    <cfRule type="cellIs" dxfId="31807" priority="4102" stopIfTrue="1" operator="equal">
      <formula>"Towel"</formula>
    </cfRule>
    <cfRule type="cellIs" dxfId="31806" priority="4103" stopIfTrue="1" operator="equal">
      <formula>"Napkin Hs"</formula>
    </cfRule>
    <cfRule type="cellIs" dxfId="31805" priority="4104" stopIfTrue="1" operator="equal">
      <formula>"Towel"</formula>
    </cfRule>
    <cfRule type="cellIs" dxfId="31804" priority="4105" stopIfTrue="1" operator="equal">
      <formula>"Napkin Hs"</formula>
    </cfRule>
    <cfRule type="cellIs" dxfId="31803" priority="4108" stopIfTrue="1" operator="equal">
      <formula>"Towel"</formula>
    </cfRule>
    <cfRule type="cellIs" dxfId="31802" priority="4109" stopIfTrue="1" operator="equal">
      <formula>"Napkin Hs"</formula>
    </cfRule>
    <cfRule type="cellIs" dxfId="31801" priority="4112" stopIfTrue="1" operator="equal">
      <formula>"Towel"</formula>
    </cfRule>
    <cfRule type="cellIs" dxfId="31800" priority="4113" stopIfTrue="1" operator="equal">
      <formula>"Napkin Hs"</formula>
    </cfRule>
    <cfRule type="cellIs" dxfId="31799" priority="4114" stopIfTrue="1" operator="equal">
      <formula>"Towel"</formula>
    </cfRule>
    <cfRule type="cellIs" dxfId="31798" priority="4115" stopIfTrue="1" operator="equal">
      <formula>"Napkin Hs"</formula>
    </cfRule>
    <cfRule type="cellIs" dxfId="31797" priority="4116" stopIfTrue="1" operator="equal">
      <formula>"Towel"</formula>
    </cfRule>
    <cfRule type="cellIs" dxfId="31796" priority="4117" stopIfTrue="1" operator="equal">
      <formula>"Napkin Hs"</formula>
    </cfRule>
    <cfRule type="cellIs" dxfId="31795" priority="4120" stopIfTrue="1" operator="equal">
      <formula>"Towel"</formula>
    </cfRule>
    <cfRule type="cellIs" dxfId="31794" priority="4121" stopIfTrue="1" operator="equal">
      <formula>"Napkin Hs"</formula>
    </cfRule>
    <cfRule type="cellIs" dxfId="31793" priority="4122" stopIfTrue="1" operator="equal">
      <formula>"Towel"</formula>
    </cfRule>
    <cfRule type="cellIs" dxfId="31792" priority="4123" stopIfTrue="1" operator="equal">
      <formula>"Napkin Hs"</formula>
    </cfRule>
    <cfRule type="cellIs" dxfId="31791" priority="4126" stopIfTrue="1" operator="equal">
      <formula>"Towel"</formula>
    </cfRule>
    <cfRule type="cellIs" dxfId="31790" priority="4127" stopIfTrue="1" operator="equal">
      <formula>"Napkin Hs"</formula>
    </cfRule>
    <cfRule type="cellIs" dxfId="31789" priority="4128" stopIfTrue="1" operator="equal">
      <formula>"Towel"</formula>
    </cfRule>
    <cfRule type="cellIs" dxfId="31788" priority="4129" stopIfTrue="1" operator="equal">
      <formula>"Napkin Hs"</formula>
    </cfRule>
    <cfRule type="cellIs" dxfId="31787" priority="4132" stopIfTrue="1" operator="equal">
      <formula>"Towel"</formula>
    </cfRule>
    <cfRule type="cellIs" dxfId="31786" priority="4133" stopIfTrue="1" operator="equal">
      <formula>"Napkin Hs"</formula>
    </cfRule>
    <cfRule type="cellIs" dxfId="31785" priority="4134" stopIfTrue="1" operator="equal">
      <formula>"Towel"</formula>
    </cfRule>
    <cfRule type="cellIs" dxfId="31784" priority="4135" stopIfTrue="1" operator="equal">
      <formula>"Napkin Hs"</formula>
    </cfRule>
    <cfRule type="cellIs" dxfId="31783" priority="4138" stopIfTrue="1" operator="equal">
      <formula>"Towel"</formula>
    </cfRule>
    <cfRule type="cellIs" dxfId="31782" priority="4139" stopIfTrue="1" operator="equal">
      <formula>"Napkin Hs"</formula>
    </cfRule>
    <cfRule type="cellIs" dxfId="31781" priority="4140" stopIfTrue="1" operator="equal">
      <formula>"Towel"</formula>
    </cfRule>
    <cfRule type="cellIs" dxfId="31780" priority="4141" stopIfTrue="1" operator="equal">
      <formula>"Napkin Hs"</formula>
    </cfRule>
    <cfRule type="cellIs" dxfId="31779" priority="4144" stopIfTrue="1" operator="equal">
      <formula>"Towel"</formula>
    </cfRule>
    <cfRule type="cellIs" dxfId="31778" priority="4145" stopIfTrue="1" operator="equal">
      <formula>"Napkin Hs"</formula>
    </cfRule>
    <cfRule type="cellIs" dxfId="31777" priority="4146" stopIfTrue="1" operator="equal">
      <formula>"Towel"</formula>
    </cfRule>
    <cfRule type="cellIs" dxfId="31776" priority="4147" stopIfTrue="1" operator="equal">
      <formula>"Napkin Hs"</formula>
    </cfRule>
    <cfRule type="cellIs" dxfId="31775" priority="4150" stopIfTrue="1" operator="equal">
      <formula>"Towel"</formula>
    </cfRule>
    <cfRule type="cellIs" dxfId="31774" priority="4151" stopIfTrue="1" operator="equal">
      <formula>"Napkin Hs"</formula>
    </cfRule>
    <cfRule type="cellIs" dxfId="31773" priority="4152" stopIfTrue="1" operator="equal">
      <formula>"Towel"</formula>
    </cfRule>
    <cfRule type="cellIs" dxfId="31772" priority="4153" stopIfTrue="1" operator="equal">
      <formula>"Napkin Hs"</formula>
    </cfRule>
  </conditionalFormatting>
  <conditionalFormatting sqref="C98">
    <cfRule type="cellIs" dxfId="31771" priority="4212" stopIfTrue="1" operator="equal">
      <formula>"Towel"</formula>
    </cfRule>
    <cfRule type="cellIs" dxfId="31770" priority="4213" stopIfTrue="1" operator="equal">
      <formula>"Napkin Hs"</formula>
    </cfRule>
    <cfRule type="cellIs" dxfId="31769" priority="4214" stopIfTrue="1" operator="equal">
      <formula>"Towel"</formula>
    </cfRule>
    <cfRule type="cellIs" dxfId="31768" priority="4215" stopIfTrue="1" operator="equal">
      <formula>"Napkin Hs"</formula>
    </cfRule>
    <cfRule type="cellIs" dxfId="31767" priority="4218" stopIfTrue="1" operator="equal">
      <formula>"Towel"</formula>
    </cfRule>
    <cfRule type="cellIs" dxfId="31766" priority="4219" stopIfTrue="1" operator="equal">
      <formula>"Napkin Hs"</formula>
    </cfRule>
    <cfRule type="cellIs" dxfId="31765" priority="4220" stopIfTrue="1" operator="equal">
      <formula>"Towel"</formula>
    </cfRule>
    <cfRule type="cellIs" dxfId="31764" priority="4221" stopIfTrue="1" operator="equal">
      <formula>"Napkin Hs"</formula>
    </cfRule>
    <cfRule type="cellIs" dxfId="31763" priority="4224" stopIfTrue="1" operator="equal">
      <formula>"Towel"</formula>
    </cfRule>
    <cfRule type="cellIs" dxfId="31762" priority="4225" stopIfTrue="1" operator="equal">
      <formula>"Napkin Hs"</formula>
    </cfRule>
    <cfRule type="cellIs" dxfId="31761" priority="4226" stopIfTrue="1" operator="equal">
      <formula>"Towel"</formula>
    </cfRule>
    <cfRule type="cellIs" dxfId="31760" priority="4227" stopIfTrue="1" operator="equal">
      <formula>"Napkin Hs"</formula>
    </cfRule>
    <cfRule type="cellIs" dxfId="31759" priority="4230" stopIfTrue="1" operator="equal">
      <formula>"Towel"</formula>
    </cfRule>
    <cfRule type="cellIs" dxfId="31758" priority="4231" stopIfTrue="1" operator="equal">
      <formula>"Napkin Hs"</formula>
    </cfRule>
    <cfRule type="cellIs" dxfId="31757" priority="4232" stopIfTrue="1" operator="equal">
      <formula>"Towel"</formula>
    </cfRule>
    <cfRule type="cellIs" dxfId="31756" priority="4233" stopIfTrue="1" operator="equal">
      <formula>"Napkin Hs"</formula>
    </cfRule>
    <cfRule type="cellIs" dxfId="31755" priority="4236" stopIfTrue="1" operator="equal">
      <formula>"Towel"</formula>
    </cfRule>
    <cfRule type="cellIs" dxfId="31754" priority="4237" stopIfTrue="1" operator="equal">
      <formula>"Napkin Hs"</formula>
    </cfRule>
    <cfRule type="cellIs" dxfId="31753" priority="4238" stopIfTrue="1" operator="equal">
      <formula>"Towel"</formula>
    </cfRule>
    <cfRule type="cellIs" dxfId="31752" priority="4239" stopIfTrue="1" operator="equal">
      <formula>"Napkin Hs"</formula>
    </cfRule>
    <cfRule type="cellIs" dxfId="31751" priority="4242" stopIfTrue="1" operator="equal">
      <formula>"Towel"</formula>
    </cfRule>
    <cfRule type="cellIs" dxfId="31750" priority="4243" stopIfTrue="1" operator="equal">
      <formula>"Napkin Hs"</formula>
    </cfRule>
    <cfRule type="cellIs" dxfId="31749" priority="4244" stopIfTrue="1" operator="equal">
      <formula>"Towel"</formula>
    </cfRule>
    <cfRule type="cellIs" dxfId="31748" priority="4245" stopIfTrue="1" operator="equal">
      <formula>"Napkin Hs"</formula>
    </cfRule>
    <cfRule type="cellIs" dxfId="31747" priority="4248" stopIfTrue="1" operator="equal">
      <formula>"Towel"</formula>
    </cfRule>
    <cfRule type="cellIs" dxfId="31746" priority="4249" stopIfTrue="1" operator="equal">
      <formula>"Napkin Hs"</formula>
    </cfRule>
    <cfRule type="cellIs" dxfId="31745" priority="4250" stopIfTrue="1" operator="equal">
      <formula>"Towel"</formula>
    </cfRule>
    <cfRule type="cellIs" dxfId="31744" priority="4251" stopIfTrue="1" operator="equal">
      <formula>"Napkin Hs"</formula>
    </cfRule>
    <cfRule type="cellIs" dxfId="31743" priority="4254" stopIfTrue="1" operator="equal">
      <formula>"Towel"</formula>
    </cfRule>
    <cfRule type="cellIs" dxfId="31742" priority="4255" stopIfTrue="1" operator="equal">
      <formula>"Napkin Hs"</formula>
    </cfRule>
  </conditionalFormatting>
  <conditionalFormatting sqref="C98:C99">
    <cfRule type="cellIs" dxfId="31741" priority="4160" stopIfTrue="1" operator="equal">
      <formula>"Towel"</formula>
    </cfRule>
    <cfRule type="cellIs" dxfId="31740" priority="4161" stopIfTrue="1" operator="equal">
      <formula>"Napkin Hs"</formula>
    </cfRule>
    <cfRule type="cellIs" dxfId="31739" priority="4162" stopIfTrue="1" operator="equal">
      <formula>"Towel"</formula>
    </cfRule>
    <cfRule type="cellIs" dxfId="31738" priority="4163" stopIfTrue="1" operator="equal">
      <formula>"Napkin Hs"</formula>
    </cfRule>
    <cfRule type="cellIs" dxfId="31737" priority="4164" stopIfTrue="1" operator="equal">
      <formula>"Towel"</formula>
    </cfRule>
    <cfRule type="cellIs" dxfId="31736" priority="4165" stopIfTrue="1" operator="equal">
      <formula>"Napkin Hs"</formula>
    </cfRule>
    <cfRule type="cellIs" dxfId="31735" priority="4166" stopIfTrue="1" operator="equal">
      <formula>"Towel"</formula>
    </cfRule>
    <cfRule type="cellIs" dxfId="31734" priority="4167" stopIfTrue="1" operator="equal">
      <formula>"Napkin Hs"</formula>
    </cfRule>
    <cfRule type="cellIs" dxfId="31733" priority="4168" stopIfTrue="1" operator="equal">
      <formula>"Towel"</formula>
    </cfRule>
    <cfRule type="cellIs" dxfId="31732" priority="4169" stopIfTrue="1" operator="equal">
      <formula>"Napkin Hs"</formula>
    </cfRule>
    <cfRule type="cellIs" dxfId="31731" priority="4170" stopIfTrue="1" operator="equal">
      <formula>"Towel"</formula>
    </cfRule>
    <cfRule type="cellIs" dxfId="31730" priority="4171" stopIfTrue="1" operator="equal">
      <formula>"Napkin Hs"</formula>
    </cfRule>
    <cfRule type="cellIs" dxfId="31729" priority="4172" stopIfTrue="1" operator="equal">
      <formula>"Towel"</formula>
    </cfRule>
    <cfRule type="cellIs" dxfId="31728" priority="4173" stopIfTrue="1" operator="equal">
      <formula>"Napkin Hs"</formula>
    </cfRule>
    <cfRule type="cellIs" dxfId="31727" priority="4176" stopIfTrue="1" operator="equal">
      <formula>"Towel"</formula>
    </cfRule>
    <cfRule type="cellIs" dxfId="31726" priority="4177" stopIfTrue="1" operator="equal">
      <formula>"Napkin Hs"</formula>
    </cfRule>
    <cfRule type="cellIs" dxfId="31725" priority="4178" stopIfTrue="1" operator="equal">
      <formula>"Towel"</formula>
    </cfRule>
    <cfRule type="cellIs" dxfId="31724" priority="4179" stopIfTrue="1" operator="equal">
      <formula>"Napkin Hs"</formula>
    </cfRule>
    <cfRule type="cellIs" dxfId="31723" priority="4182" stopIfTrue="1" operator="equal">
      <formula>"Towel"</formula>
    </cfRule>
    <cfRule type="cellIs" dxfId="31722" priority="4183" stopIfTrue="1" operator="equal">
      <formula>"Napkin Hs"</formula>
    </cfRule>
    <cfRule type="cellIs" dxfId="31721" priority="4184" stopIfTrue="1" operator="equal">
      <formula>"Towel"</formula>
    </cfRule>
    <cfRule type="cellIs" dxfId="31720" priority="4185" stopIfTrue="1" operator="equal">
      <formula>"Napkin Hs"</formula>
    </cfRule>
    <cfRule type="cellIs" dxfId="31719" priority="4188" stopIfTrue="1" operator="equal">
      <formula>"Towel"</formula>
    </cfRule>
    <cfRule type="cellIs" dxfId="31718" priority="4189" stopIfTrue="1" operator="equal">
      <formula>"Napkin Hs"</formula>
    </cfRule>
    <cfRule type="cellIs" dxfId="31717" priority="4190" stopIfTrue="1" operator="equal">
      <formula>"Towel"</formula>
    </cfRule>
    <cfRule type="cellIs" dxfId="31716" priority="4191" stopIfTrue="1" operator="equal">
      <formula>"Napkin Hs"</formula>
    </cfRule>
    <cfRule type="cellIs" dxfId="31715" priority="4194" stopIfTrue="1" operator="equal">
      <formula>"Towel"</formula>
    </cfRule>
    <cfRule type="cellIs" dxfId="31714" priority="4195" stopIfTrue="1" operator="equal">
      <formula>"Napkin Hs"</formula>
    </cfRule>
    <cfRule type="cellIs" dxfId="31713" priority="4196" stopIfTrue="1" operator="equal">
      <formula>"Towel"</formula>
    </cfRule>
    <cfRule type="cellIs" dxfId="31712" priority="4197" stopIfTrue="1" operator="equal">
      <formula>"Napkin Hs"</formula>
    </cfRule>
    <cfRule type="cellIs" dxfId="31711" priority="4200" stopIfTrue="1" operator="equal">
      <formula>"Towel"</formula>
    </cfRule>
    <cfRule type="cellIs" dxfId="31710" priority="4201" stopIfTrue="1" operator="equal">
      <formula>"Napkin Hs"</formula>
    </cfRule>
    <cfRule type="cellIs" dxfId="31709" priority="4202" stopIfTrue="1" operator="equal">
      <formula>"Towel"</formula>
    </cfRule>
    <cfRule type="cellIs" dxfId="31708" priority="4203" stopIfTrue="1" operator="equal">
      <formula>"Napkin Hs"</formula>
    </cfRule>
    <cfRule type="cellIs" dxfId="31707" priority="4206" stopIfTrue="1" operator="equal">
      <formula>"Towel"</formula>
    </cfRule>
    <cfRule type="cellIs" dxfId="31706" priority="4207" stopIfTrue="1" operator="equal">
      <formula>"Napkin Hs"</formula>
    </cfRule>
    <cfRule type="cellIs" dxfId="31705" priority="4208" stopIfTrue="1" operator="equal">
      <formula>"Towel"</formula>
    </cfRule>
    <cfRule type="cellIs" dxfId="31704" priority="4209" stopIfTrue="1" operator="equal">
      <formula>"Napkin Hs"</formula>
    </cfRule>
    <cfRule type="cellIs" dxfId="31703" priority="4256" stopIfTrue="1" operator="equal">
      <formula>"Towel"</formula>
    </cfRule>
    <cfRule type="cellIs" dxfId="31702" priority="4257" stopIfTrue="1" operator="equal">
      <formula>"Napkin Hs"</formula>
    </cfRule>
  </conditionalFormatting>
  <conditionalFormatting sqref="C99">
    <cfRule type="cellIs" dxfId="31701" priority="4260" stopIfTrue="1" operator="equal">
      <formula>"Towel"</formula>
    </cfRule>
    <cfRule type="cellIs" dxfId="31700" priority="4261" stopIfTrue="1" operator="equal">
      <formula>"Napkin Hs"</formula>
    </cfRule>
    <cfRule type="cellIs" dxfId="31699" priority="4264" stopIfTrue="1" operator="equal">
      <formula>"Towel"</formula>
    </cfRule>
    <cfRule type="cellIs" dxfId="31698" priority="4265" stopIfTrue="1" operator="equal">
      <formula>"Napkin Hs"</formula>
    </cfRule>
    <cfRule type="cellIs" dxfId="31697" priority="4266" stopIfTrue="1" operator="equal">
      <formula>"Towel"</formula>
    </cfRule>
    <cfRule type="cellIs" dxfId="31696" priority="4267" stopIfTrue="1" operator="equal">
      <formula>"Napkin Hs"</formula>
    </cfRule>
    <cfRule type="cellIs" dxfId="31695" priority="4270" stopIfTrue="1" operator="equal">
      <formula>"Towel"</formula>
    </cfRule>
    <cfRule type="cellIs" dxfId="31694" priority="4271" stopIfTrue="1" operator="equal">
      <formula>"Napkin Hs"</formula>
    </cfRule>
    <cfRule type="cellIs" dxfId="31693" priority="4272" stopIfTrue="1" operator="equal">
      <formula>"Towel"</formula>
    </cfRule>
    <cfRule type="cellIs" dxfId="31692" priority="4273" stopIfTrue="1" operator="equal">
      <formula>"Napkin Hs"</formula>
    </cfRule>
    <cfRule type="cellIs" dxfId="31691" priority="4276" stopIfTrue="1" operator="equal">
      <formula>"Towel"</formula>
    </cfRule>
    <cfRule type="cellIs" dxfId="31690" priority="4277" stopIfTrue="1" operator="equal">
      <formula>"Napkin Hs"</formula>
    </cfRule>
    <cfRule type="cellIs" dxfId="31689" priority="4278" stopIfTrue="1" operator="equal">
      <formula>"Towel"</formula>
    </cfRule>
    <cfRule type="cellIs" dxfId="31688" priority="4279" stopIfTrue="1" operator="equal">
      <formula>"Napkin Hs"</formula>
    </cfRule>
    <cfRule type="cellIs" dxfId="31687" priority="4282" stopIfTrue="1" operator="equal">
      <formula>"Towel"</formula>
    </cfRule>
    <cfRule type="cellIs" dxfId="31686" priority="4283" stopIfTrue="1" operator="equal">
      <formula>"Napkin Hs"</formula>
    </cfRule>
    <cfRule type="cellIs" dxfId="31685" priority="4284" stopIfTrue="1" operator="equal">
      <formula>"Towel"</formula>
    </cfRule>
    <cfRule type="cellIs" dxfId="31684" priority="4285" stopIfTrue="1" operator="equal">
      <formula>"Napkin Hs"</formula>
    </cfRule>
    <cfRule type="cellIs" dxfId="31683" priority="4288" stopIfTrue="1" operator="equal">
      <formula>"Towel"</formula>
    </cfRule>
    <cfRule type="cellIs" dxfId="31682" priority="4289" stopIfTrue="1" operator="equal">
      <formula>"Napkin Hs"</formula>
    </cfRule>
    <cfRule type="cellIs" dxfId="31681" priority="4290" stopIfTrue="1" operator="equal">
      <formula>"Towel"</formula>
    </cfRule>
    <cfRule type="cellIs" dxfId="31680" priority="4291" stopIfTrue="1" operator="equal">
      <formula>"Napkin Hs"</formula>
    </cfRule>
    <cfRule type="cellIs" dxfId="31679" priority="4294" stopIfTrue="1" operator="equal">
      <formula>"Towel"</formula>
    </cfRule>
    <cfRule type="cellIs" dxfId="31678" priority="4295" stopIfTrue="1" operator="equal">
      <formula>"Napkin Hs"</formula>
    </cfRule>
    <cfRule type="cellIs" dxfId="31677" priority="4296" stopIfTrue="1" operator="equal">
      <formula>"Towel"</formula>
    </cfRule>
    <cfRule type="cellIs" dxfId="31676" priority="4297" stopIfTrue="1" operator="equal">
      <formula>"Napkin Hs"</formula>
    </cfRule>
    <cfRule type="cellIs" dxfId="31675" priority="4300" stopIfTrue="1" operator="equal">
      <formula>"Towel"</formula>
    </cfRule>
    <cfRule type="cellIs" dxfId="31674" priority="4301" stopIfTrue="1" operator="equal">
      <formula>"Napkin Hs"</formula>
    </cfRule>
  </conditionalFormatting>
  <conditionalFormatting sqref="C99:C100">
    <cfRule type="cellIs" dxfId="31673" priority="4302" stopIfTrue="1" operator="equal">
      <formula>"Towel"</formula>
    </cfRule>
    <cfRule type="cellIs" dxfId="31672" priority="4303" stopIfTrue="1" operator="equal">
      <formula>"Napkin Hs"</formula>
    </cfRule>
  </conditionalFormatting>
  <conditionalFormatting sqref="C100">
    <cfRule type="cellIs" dxfId="31671" priority="6658" stopIfTrue="1" operator="equal">
      <formula>"Towel"</formula>
    </cfRule>
    <cfRule type="cellIs" dxfId="31670" priority="6659" stopIfTrue="1" operator="equal">
      <formula>"Napkin Hs"</formula>
    </cfRule>
    <cfRule type="cellIs" dxfId="31669" priority="6662" stopIfTrue="1" operator="equal">
      <formula>"Towel"</formula>
    </cfRule>
    <cfRule type="cellIs" dxfId="31668" priority="6663" stopIfTrue="1" operator="equal">
      <formula>"Napkin Hs"</formula>
    </cfRule>
    <cfRule type="cellIs" dxfId="31667" priority="6664" stopIfTrue="1" operator="equal">
      <formula>"Towel"</formula>
    </cfRule>
    <cfRule type="cellIs" dxfId="31666" priority="6665" stopIfTrue="1" operator="equal">
      <formula>"Napkin Hs"</formula>
    </cfRule>
    <cfRule type="cellIs" dxfId="31665" priority="6668" stopIfTrue="1" operator="equal">
      <formula>"Towel"</formula>
    </cfRule>
    <cfRule type="cellIs" dxfId="31664" priority="6669" stopIfTrue="1" operator="equal">
      <formula>"Napkin Hs"</formula>
    </cfRule>
    <cfRule type="cellIs" dxfId="31663" priority="6670" stopIfTrue="1" operator="equal">
      <formula>"Towel"</formula>
    </cfRule>
    <cfRule type="cellIs" dxfId="31662" priority="6671" stopIfTrue="1" operator="equal">
      <formula>"Napkin Hs"</formula>
    </cfRule>
    <cfRule type="cellIs" dxfId="31661" priority="6674" stopIfTrue="1" operator="equal">
      <formula>"Towel"</formula>
    </cfRule>
    <cfRule type="cellIs" dxfId="31660" priority="6675" stopIfTrue="1" operator="equal">
      <formula>"Napkin Hs"</formula>
    </cfRule>
    <cfRule type="cellIs" dxfId="31659" priority="6676" stopIfTrue="1" operator="equal">
      <formula>"Towel"</formula>
    </cfRule>
    <cfRule type="cellIs" dxfId="31658" priority="6677" stopIfTrue="1" operator="equal">
      <formula>"Napkin Hs"</formula>
    </cfRule>
    <cfRule type="cellIs" dxfId="31657" priority="6680" stopIfTrue="1" operator="equal">
      <formula>"Towel"</formula>
    </cfRule>
    <cfRule type="cellIs" dxfId="31656" priority="6681" stopIfTrue="1" operator="equal">
      <formula>"Napkin Hs"</formula>
    </cfRule>
    <cfRule type="cellIs" dxfId="31655" priority="6682" stopIfTrue="1" operator="equal">
      <formula>"Towel"</formula>
    </cfRule>
    <cfRule type="cellIs" dxfId="31654" priority="6683" stopIfTrue="1" operator="equal">
      <formula>"Napkin Hs"</formula>
    </cfRule>
    <cfRule type="cellIs" dxfId="31653" priority="6686" stopIfTrue="1" operator="equal">
      <formula>"Towel"</formula>
    </cfRule>
    <cfRule type="cellIs" dxfId="31652" priority="6687" stopIfTrue="1" operator="equal">
      <formula>"Napkin Hs"</formula>
    </cfRule>
    <cfRule type="cellIs" dxfId="31651" priority="6688" stopIfTrue="1" operator="equal">
      <formula>"Towel"</formula>
    </cfRule>
    <cfRule type="cellIs" dxfId="31650" priority="6689" stopIfTrue="1" operator="equal">
      <formula>"Napkin Hs"</formula>
    </cfRule>
    <cfRule type="cellIs" dxfId="31649" priority="6692" stopIfTrue="1" operator="equal">
      <formula>"Towel"</formula>
    </cfRule>
    <cfRule type="cellIs" dxfId="31648" priority="6693" stopIfTrue="1" operator="equal">
      <formula>"Napkin Hs"</formula>
    </cfRule>
    <cfRule type="cellIs" dxfId="31647" priority="6694" stopIfTrue="1" operator="equal">
      <formula>"Towel"</formula>
    </cfRule>
    <cfRule type="cellIs" dxfId="31646" priority="6695" stopIfTrue="1" operator="equal">
      <formula>"Napkin Hs"</formula>
    </cfRule>
    <cfRule type="cellIs" dxfId="31645" priority="6698" stopIfTrue="1" operator="equal">
      <formula>"Towel"</formula>
    </cfRule>
    <cfRule type="cellIs" dxfId="31644" priority="6699" stopIfTrue="1" operator="equal">
      <formula>"Napkin Hs"</formula>
    </cfRule>
    <cfRule type="cellIs" dxfId="31643" priority="6700" stopIfTrue="1" operator="equal">
      <formula>"Towel"</formula>
    </cfRule>
    <cfRule type="cellIs" dxfId="31642" priority="6701" stopIfTrue="1" operator="equal">
      <formula>"Napkin Hs"</formula>
    </cfRule>
    <cfRule type="cellIs" dxfId="31641" priority="6704" stopIfTrue="1" operator="equal">
      <formula>"Towel"</formula>
    </cfRule>
    <cfRule type="cellIs" dxfId="31640" priority="6705" stopIfTrue="1" operator="equal">
      <formula>"Napkin Hs"</formula>
    </cfRule>
  </conditionalFormatting>
  <conditionalFormatting sqref="C100">
    <cfRule type="cellIs" dxfId="31639" priority="6706" stopIfTrue="1" operator="equal">
      <formula>"Towel"</formula>
    </cfRule>
    <cfRule type="cellIs" dxfId="31638" priority="6707" stopIfTrue="1" operator="equal">
      <formula>"Napkin Hs"</formula>
    </cfRule>
  </conditionalFormatting>
  <conditionalFormatting sqref="C105 B106:C106">
    <cfRule type="cellIs" dxfId="31637" priority="6641" stopIfTrue="1" operator="equal">
      <formula>"Napkin Hs"</formula>
    </cfRule>
  </conditionalFormatting>
  <conditionalFormatting sqref="C105 B106:C107">
    <cfRule type="cellIs" dxfId="31636" priority="6640" stopIfTrue="1" operator="equal">
      <formula>"Towel"</formula>
    </cfRule>
  </conditionalFormatting>
  <conditionalFormatting sqref="C105 B106:C106">
    <cfRule type="cellIs" dxfId="31635" priority="6592" stopIfTrue="1" operator="equal">
      <formula>"Towel"</formula>
    </cfRule>
    <cfRule type="cellIs" dxfId="31634" priority="6593" stopIfTrue="1" operator="equal">
      <formula>"Napkin Hs"</formula>
    </cfRule>
    <cfRule type="cellIs" dxfId="31633" priority="6598" stopIfTrue="1" operator="equal">
      <formula>"Towel"</formula>
    </cfRule>
    <cfRule type="cellIs" dxfId="31632" priority="6599" stopIfTrue="1" operator="equal">
      <formula>"Napkin Hs"</formula>
    </cfRule>
    <cfRule type="cellIs" dxfId="31631" priority="6604" stopIfTrue="1" operator="equal">
      <formula>"Towel"</formula>
    </cfRule>
    <cfRule type="cellIs" dxfId="31630" priority="6605" stopIfTrue="1" operator="equal">
      <formula>"Napkin Hs"</formula>
    </cfRule>
    <cfRule type="cellIs" dxfId="31629" priority="6610" stopIfTrue="1" operator="equal">
      <formula>"Towel"</formula>
    </cfRule>
    <cfRule type="cellIs" dxfId="31628" priority="6611" stopIfTrue="1" operator="equal">
      <formula>"Napkin Hs"</formula>
    </cfRule>
    <cfRule type="cellIs" dxfId="31627" priority="6616" stopIfTrue="1" operator="equal">
      <formula>"Towel"</formula>
    </cfRule>
    <cfRule type="cellIs" dxfId="31626" priority="6617" stopIfTrue="1" operator="equal">
      <formula>"Napkin Hs"</formula>
    </cfRule>
    <cfRule type="cellIs" dxfId="31625" priority="6622" stopIfTrue="1" operator="equal">
      <formula>"Towel"</formula>
    </cfRule>
    <cfRule type="cellIs" dxfId="31624" priority="6623" stopIfTrue="1" operator="equal">
      <formula>"Napkin Hs"</formula>
    </cfRule>
    <cfRule type="cellIs" dxfId="31623" priority="6628" stopIfTrue="1" operator="equal">
      <formula>"Towel"</formula>
    </cfRule>
    <cfRule type="cellIs" dxfId="31622" priority="6629" stopIfTrue="1" operator="equal">
      <formula>"Napkin Hs"</formula>
    </cfRule>
  </conditionalFormatting>
  <conditionalFormatting sqref="C105:C106 C115">
    <cfRule type="cellIs" dxfId="31621" priority="6588" stopIfTrue="1" operator="equal">
      <formula>"Towel"</formula>
    </cfRule>
    <cfRule type="cellIs" dxfId="31620" priority="6589" stopIfTrue="1" operator="equal">
      <formula>"Napkin Hs"</formula>
    </cfRule>
    <cfRule type="cellIs" dxfId="31619" priority="6590" stopIfTrue="1" operator="equal">
      <formula>"Towel"</formula>
    </cfRule>
    <cfRule type="cellIs" dxfId="31618" priority="6591" stopIfTrue="1" operator="equal">
      <formula>"Napkin Hs"</formula>
    </cfRule>
    <cfRule type="cellIs" dxfId="31617" priority="6594" stopIfTrue="1" operator="equal">
      <formula>"Towel"</formula>
    </cfRule>
    <cfRule type="cellIs" dxfId="31616" priority="6595" stopIfTrue="1" operator="equal">
      <formula>"Napkin Hs"</formula>
    </cfRule>
    <cfRule type="cellIs" dxfId="31615" priority="6596" stopIfTrue="1" operator="equal">
      <formula>"Towel"</formula>
    </cfRule>
    <cfRule type="cellIs" dxfId="31614" priority="6597" stopIfTrue="1" operator="equal">
      <formula>"Napkin Hs"</formula>
    </cfRule>
    <cfRule type="cellIs" dxfId="31613" priority="6600" stopIfTrue="1" operator="equal">
      <formula>"Towel"</formula>
    </cfRule>
    <cfRule type="cellIs" dxfId="31612" priority="6601" stopIfTrue="1" operator="equal">
      <formula>"Napkin Hs"</formula>
    </cfRule>
    <cfRule type="cellIs" dxfId="31611" priority="6602" stopIfTrue="1" operator="equal">
      <formula>"Towel"</formula>
    </cfRule>
    <cfRule type="cellIs" dxfId="31610" priority="6603" stopIfTrue="1" operator="equal">
      <formula>"Napkin Hs"</formula>
    </cfRule>
    <cfRule type="cellIs" dxfId="31609" priority="6606" stopIfTrue="1" operator="equal">
      <formula>"Towel"</formula>
    </cfRule>
    <cfRule type="cellIs" dxfId="31608" priority="6607" stopIfTrue="1" operator="equal">
      <formula>"Napkin Hs"</formula>
    </cfRule>
    <cfRule type="cellIs" dxfId="31607" priority="6608" stopIfTrue="1" operator="equal">
      <formula>"Towel"</formula>
    </cfRule>
    <cfRule type="cellIs" dxfId="31606" priority="6609" stopIfTrue="1" operator="equal">
      <formula>"Napkin Hs"</formula>
    </cfRule>
    <cfRule type="cellIs" dxfId="31605" priority="6612" stopIfTrue="1" operator="equal">
      <formula>"Towel"</formula>
    </cfRule>
    <cfRule type="cellIs" dxfId="31604" priority="6613" stopIfTrue="1" operator="equal">
      <formula>"Napkin Hs"</formula>
    </cfRule>
    <cfRule type="cellIs" dxfId="31603" priority="6614" stopIfTrue="1" operator="equal">
      <formula>"Towel"</formula>
    </cfRule>
    <cfRule type="cellIs" dxfId="31602" priority="6615" stopIfTrue="1" operator="equal">
      <formula>"Napkin Hs"</formula>
    </cfRule>
    <cfRule type="cellIs" dxfId="31601" priority="6618" stopIfTrue="1" operator="equal">
      <formula>"Towel"</formula>
    </cfRule>
    <cfRule type="cellIs" dxfId="31600" priority="6619" stopIfTrue="1" operator="equal">
      <formula>"Napkin Hs"</formula>
    </cfRule>
    <cfRule type="cellIs" dxfId="31599" priority="6620" stopIfTrue="1" operator="equal">
      <formula>"Towel"</formula>
    </cfRule>
    <cfRule type="cellIs" dxfId="31598" priority="6621" stopIfTrue="1" operator="equal">
      <formula>"Napkin Hs"</formula>
    </cfRule>
    <cfRule type="cellIs" dxfId="31597" priority="6624" stopIfTrue="1" operator="equal">
      <formula>"Towel"</formula>
    </cfRule>
    <cfRule type="cellIs" dxfId="31596" priority="6625" stopIfTrue="1" operator="equal">
      <formula>"Napkin Hs"</formula>
    </cfRule>
    <cfRule type="cellIs" dxfId="31595" priority="6626" stopIfTrue="1" operator="equal">
      <formula>"Towel"</formula>
    </cfRule>
    <cfRule type="cellIs" dxfId="31594" priority="6627" stopIfTrue="1" operator="equal">
      <formula>"Napkin Hs"</formula>
    </cfRule>
    <cfRule type="cellIs" dxfId="31593" priority="6630" stopIfTrue="1" operator="equal">
      <formula>"Towel"</formula>
    </cfRule>
    <cfRule type="cellIs" dxfId="31592" priority="6631" stopIfTrue="1" operator="equal">
      <formula>"Napkin Hs"</formula>
    </cfRule>
    <cfRule type="cellIs" dxfId="31591" priority="6632" stopIfTrue="1" operator="equal">
      <formula>"Towel"</formula>
    </cfRule>
    <cfRule type="cellIs" dxfId="31590" priority="6633" stopIfTrue="1" operator="equal">
      <formula>"Napkin Hs"</formula>
    </cfRule>
    <cfRule type="cellIs" dxfId="31589" priority="6636" stopIfTrue="1" operator="equal">
      <formula>"Towel"</formula>
    </cfRule>
    <cfRule type="cellIs" dxfId="31588" priority="6637" stopIfTrue="1" operator="equal">
      <formula>"Napkin Hs"</formula>
    </cfRule>
  </conditionalFormatting>
  <conditionalFormatting sqref="C105:C107">
    <cfRule type="cellIs" dxfId="31587" priority="6638" stopIfTrue="1" operator="equal">
      <formula>"Towel"</formula>
    </cfRule>
    <cfRule type="cellIs" dxfId="31586" priority="6639" stopIfTrue="1" operator="equal">
      <formula>"Napkin Hs"</formula>
    </cfRule>
  </conditionalFormatting>
  <conditionalFormatting sqref="C107">
    <cfRule type="cellIs" dxfId="31585" priority="7207" stopIfTrue="1" operator="equal">
      <formula>"Towel"</formula>
    </cfRule>
    <cfRule type="cellIs" dxfId="31584" priority="7208" stopIfTrue="1" operator="equal">
      <formula>"Napkin Hs"</formula>
    </cfRule>
  </conditionalFormatting>
  <conditionalFormatting sqref="C108">
    <cfRule type="cellIs" dxfId="31583" priority="6536" stopIfTrue="1" operator="equal">
      <formula>"Towel"</formula>
    </cfRule>
    <cfRule type="cellIs" dxfId="31582" priority="6537" stopIfTrue="1" operator="equal">
      <formula>"Napkin Hs"</formula>
    </cfRule>
    <cfRule type="cellIs" dxfId="31581" priority="6540" stopIfTrue="1" operator="equal">
      <formula>"Towel"</formula>
    </cfRule>
    <cfRule type="cellIs" dxfId="31580" priority="6541" stopIfTrue="1" operator="equal">
      <formula>"Napkin Hs"</formula>
    </cfRule>
    <cfRule type="cellIs" dxfId="31579" priority="6542" stopIfTrue="1" operator="equal">
      <formula>"Towel"</formula>
    </cfRule>
    <cfRule type="cellIs" dxfId="31578" priority="6543" stopIfTrue="1" operator="equal">
      <formula>"Napkin Hs"</formula>
    </cfRule>
    <cfRule type="cellIs" dxfId="31577" priority="6546" stopIfTrue="1" operator="equal">
      <formula>"Towel"</formula>
    </cfRule>
    <cfRule type="cellIs" dxfId="31576" priority="6547" stopIfTrue="1" operator="equal">
      <formula>"Napkin Hs"</formula>
    </cfRule>
    <cfRule type="cellIs" dxfId="31575" priority="6548" stopIfTrue="1" operator="equal">
      <formula>"Towel"</formula>
    </cfRule>
    <cfRule type="cellIs" dxfId="31574" priority="6549" stopIfTrue="1" operator="equal">
      <formula>"Napkin Hs"</formula>
    </cfRule>
    <cfRule type="cellIs" dxfId="31573" priority="6552" stopIfTrue="1" operator="equal">
      <formula>"Towel"</formula>
    </cfRule>
    <cfRule type="cellIs" dxfId="31572" priority="6553" stopIfTrue="1" operator="equal">
      <formula>"Napkin Hs"</formula>
    </cfRule>
    <cfRule type="cellIs" dxfId="31571" priority="6554" stopIfTrue="1" operator="equal">
      <formula>"Towel"</formula>
    </cfRule>
    <cfRule type="cellIs" dxfId="31570" priority="6555" stopIfTrue="1" operator="equal">
      <formula>"Napkin Hs"</formula>
    </cfRule>
    <cfRule type="cellIs" dxfId="31569" priority="6558" stopIfTrue="1" operator="equal">
      <formula>"Towel"</formula>
    </cfRule>
    <cfRule type="cellIs" dxfId="31568" priority="6559" stopIfTrue="1" operator="equal">
      <formula>"Napkin Hs"</formula>
    </cfRule>
    <cfRule type="cellIs" dxfId="31567" priority="6560" stopIfTrue="1" operator="equal">
      <formula>"Towel"</formula>
    </cfRule>
    <cfRule type="cellIs" dxfId="31566" priority="6561" stopIfTrue="1" operator="equal">
      <formula>"Napkin Hs"</formula>
    </cfRule>
    <cfRule type="cellIs" dxfId="31565" priority="6564" stopIfTrue="1" operator="equal">
      <formula>"Towel"</formula>
    </cfRule>
    <cfRule type="cellIs" dxfId="31564" priority="6565" stopIfTrue="1" operator="equal">
      <formula>"Napkin Hs"</formula>
    </cfRule>
    <cfRule type="cellIs" dxfId="31563" priority="6566" stopIfTrue="1" operator="equal">
      <formula>"Towel"</formula>
    </cfRule>
    <cfRule type="cellIs" dxfId="31562" priority="6567" stopIfTrue="1" operator="equal">
      <formula>"Napkin Hs"</formula>
    </cfRule>
    <cfRule type="cellIs" dxfId="31561" priority="6570" stopIfTrue="1" operator="equal">
      <formula>"Towel"</formula>
    </cfRule>
    <cfRule type="cellIs" dxfId="31560" priority="6571" stopIfTrue="1" operator="equal">
      <formula>"Napkin Hs"</formula>
    </cfRule>
    <cfRule type="cellIs" dxfId="31559" priority="6572" stopIfTrue="1" operator="equal">
      <formula>"Towel"</formula>
    </cfRule>
    <cfRule type="cellIs" dxfId="31558" priority="6573" stopIfTrue="1" operator="equal">
      <formula>"Napkin Hs"</formula>
    </cfRule>
    <cfRule type="cellIs" dxfId="31557" priority="6576" stopIfTrue="1" operator="equal">
      <formula>"Towel"</formula>
    </cfRule>
    <cfRule type="cellIs" dxfId="31556" priority="6577" stopIfTrue="1" operator="equal">
      <formula>"Napkin Hs"</formula>
    </cfRule>
    <cfRule type="cellIs" dxfId="31555" priority="6578" stopIfTrue="1" operator="equal">
      <formula>"Towel"</formula>
    </cfRule>
    <cfRule type="cellIs" dxfId="31554" priority="6579" stopIfTrue="1" operator="equal">
      <formula>"Napkin Hs"</formula>
    </cfRule>
    <cfRule type="cellIs" dxfId="31553" priority="6582" stopIfTrue="1" operator="equal">
      <formula>"Towel"</formula>
    </cfRule>
    <cfRule type="cellIs" dxfId="31552" priority="6583" stopIfTrue="1" operator="equal">
      <formula>"Napkin Hs"</formula>
    </cfRule>
    <cfRule type="cellIs" dxfId="31551" priority="6584" stopIfTrue="1" operator="equal">
      <formula>"Towel"</formula>
    </cfRule>
    <cfRule type="cellIs" dxfId="31550" priority="6585" stopIfTrue="1" operator="equal">
      <formula>"Napkin Hs"</formula>
    </cfRule>
  </conditionalFormatting>
  <conditionalFormatting sqref="C108:C110">
    <cfRule type="cellIs" dxfId="31549" priority="6532" stopIfTrue="1" operator="equal">
      <formula>"Towel"</formula>
    </cfRule>
    <cfRule type="cellIs" dxfId="31548" priority="6533" stopIfTrue="1" operator="equal">
      <formula>"Napkin Hs"</formula>
    </cfRule>
  </conditionalFormatting>
  <conditionalFormatting sqref="C109:C110">
    <cfRule type="cellIs" dxfId="31547" priority="6482" stopIfTrue="1" operator="equal">
      <formula>"Towel"</formula>
    </cfRule>
    <cfRule type="cellIs" dxfId="31546" priority="6483" stopIfTrue="1" operator="equal">
      <formula>"Napkin Hs"</formula>
    </cfRule>
    <cfRule type="cellIs" dxfId="31545" priority="6484" stopIfTrue="1" operator="equal">
      <formula>"Towel"</formula>
    </cfRule>
    <cfRule type="cellIs" dxfId="31544" priority="6485" stopIfTrue="1" operator="equal">
      <formula>"Napkin Hs"</formula>
    </cfRule>
    <cfRule type="cellIs" dxfId="31543" priority="6488" stopIfTrue="1" operator="equal">
      <formula>"Towel"</formula>
    </cfRule>
    <cfRule type="cellIs" dxfId="31542" priority="6489" stopIfTrue="1" operator="equal">
      <formula>"Napkin Hs"</formula>
    </cfRule>
    <cfRule type="cellIs" dxfId="31541" priority="6490" stopIfTrue="1" operator="equal">
      <formula>"Towel"</formula>
    </cfRule>
    <cfRule type="cellIs" dxfId="31540" priority="6491" stopIfTrue="1" operator="equal">
      <formula>"Napkin Hs"</formula>
    </cfRule>
    <cfRule type="cellIs" dxfId="31539" priority="6494" stopIfTrue="1" operator="equal">
      <formula>"Towel"</formula>
    </cfRule>
    <cfRule type="cellIs" dxfId="31538" priority="6495" stopIfTrue="1" operator="equal">
      <formula>"Napkin Hs"</formula>
    </cfRule>
    <cfRule type="cellIs" dxfId="31537" priority="6496" stopIfTrue="1" operator="equal">
      <formula>"Towel"</formula>
    </cfRule>
    <cfRule type="cellIs" dxfId="31536" priority="6497" stopIfTrue="1" operator="equal">
      <formula>"Napkin Hs"</formula>
    </cfRule>
    <cfRule type="cellIs" dxfId="31535" priority="6500" stopIfTrue="1" operator="equal">
      <formula>"Towel"</formula>
    </cfRule>
    <cfRule type="cellIs" dxfId="31534" priority="6501" stopIfTrue="1" operator="equal">
      <formula>"Napkin Hs"</formula>
    </cfRule>
    <cfRule type="cellIs" dxfId="31533" priority="6502" stopIfTrue="1" operator="equal">
      <formula>"Towel"</formula>
    </cfRule>
    <cfRule type="cellIs" dxfId="31532" priority="6503" stopIfTrue="1" operator="equal">
      <formula>"Napkin Hs"</formula>
    </cfRule>
    <cfRule type="cellIs" dxfId="31531" priority="6506" stopIfTrue="1" operator="equal">
      <formula>"Towel"</formula>
    </cfRule>
    <cfRule type="cellIs" dxfId="31530" priority="6507" stopIfTrue="1" operator="equal">
      <formula>"Napkin Hs"</formula>
    </cfRule>
    <cfRule type="cellIs" dxfId="31529" priority="6508" stopIfTrue="1" operator="equal">
      <formula>"Towel"</formula>
    </cfRule>
    <cfRule type="cellIs" dxfId="31528" priority="6509" stopIfTrue="1" operator="equal">
      <formula>"Napkin Hs"</formula>
    </cfRule>
    <cfRule type="cellIs" dxfId="31527" priority="6512" stopIfTrue="1" operator="equal">
      <formula>"Towel"</formula>
    </cfRule>
    <cfRule type="cellIs" dxfId="31526" priority="6513" stopIfTrue="1" operator="equal">
      <formula>"Napkin Hs"</formula>
    </cfRule>
    <cfRule type="cellIs" dxfId="31525" priority="6514" stopIfTrue="1" operator="equal">
      <formula>"Towel"</formula>
    </cfRule>
    <cfRule type="cellIs" dxfId="31524" priority="6515" stopIfTrue="1" operator="equal">
      <formula>"Napkin Hs"</formula>
    </cfRule>
    <cfRule type="cellIs" dxfId="31523" priority="6518" stopIfTrue="1" operator="equal">
      <formula>"Towel"</formula>
    </cfRule>
    <cfRule type="cellIs" dxfId="31522" priority="6519" stopIfTrue="1" operator="equal">
      <formula>"Napkin Hs"</formula>
    </cfRule>
    <cfRule type="cellIs" dxfId="31521" priority="6520" stopIfTrue="1" operator="equal">
      <formula>"Towel"</formula>
    </cfRule>
    <cfRule type="cellIs" dxfId="31520" priority="6521" stopIfTrue="1" operator="equal">
      <formula>"Napkin Hs"</formula>
    </cfRule>
    <cfRule type="cellIs" dxfId="31519" priority="6524" stopIfTrue="1" operator="equal">
      <formula>"Towel"</formula>
    </cfRule>
    <cfRule type="cellIs" dxfId="31518" priority="6525" stopIfTrue="1" operator="equal">
      <formula>"Napkin Hs"</formula>
    </cfRule>
    <cfRule type="cellIs" dxfId="31517" priority="6526" stopIfTrue="1" operator="equal">
      <formula>"Towel"</formula>
    </cfRule>
    <cfRule type="cellIs" dxfId="31516" priority="6527" stopIfTrue="1" operator="equal">
      <formula>"Napkin Hs"</formula>
    </cfRule>
    <cfRule type="cellIs" dxfId="31515" priority="6530" stopIfTrue="1" operator="equal">
      <formula>"Towel"</formula>
    </cfRule>
    <cfRule type="cellIs" dxfId="31514" priority="6531" stopIfTrue="1" operator="equal">
      <formula>"Napkin Hs"</formula>
    </cfRule>
  </conditionalFormatting>
  <conditionalFormatting sqref="C8:C9 C25:C26 C130 C134 C139 C6 C143 C147 C151">
    <cfRule type="cellIs" dxfId="31513" priority="7234" stopIfTrue="1" operator="equal">
      <formula>"Towel"</formula>
    </cfRule>
  </conditionalFormatting>
  <conditionalFormatting sqref="C125">
    <cfRule type="cellIs" dxfId="31512" priority="6422" stopIfTrue="1" operator="equal">
      <formula>"Towel"</formula>
    </cfRule>
    <cfRule type="cellIs" dxfId="31511" priority="6423" stopIfTrue="1" operator="equal">
      <formula>"Napkin Hs"</formula>
    </cfRule>
    <cfRule type="cellIs" dxfId="31510" priority="6426" stopIfTrue="1" operator="equal">
      <formula>"Towel"</formula>
    </cfRule>
    <cfRule type="cellIs" dxfId="31509" priority="6427" stopIfTrue="1" operator="equal">
      <formula>"Napkin Hs"</formula>
    </cfRule>
    <cfRule type="cellIs" dxfId="31508" priority="6428" stopIfTrue="1" operator="equal">
      <formula>"Towel"</formula>
    </cfRule>
    <cfRule type="cellIs" dxfId="31507" priority="6429" stopIfTrue="1" operator="equal">
      <formula>"Napkin Hs"</formula>
    </cfRule>
    <cfRule type="cellIs" dxfId="31506" priority="6432" stopIfTrue="1" operator="equal">
      <formula>"Towel"</formula>
    </cfRule>
    <cfRule type="cellIs" dxfId="31505" priority="6433" stopIfTrue="1" operator="equal">
      <formula>"Napkin Hs"</formula>
    </cfRule>
    <cfRule type="cellIs" dxfId="31504" priority="6434" stopIfTrue="1" operator="equal">
      <formula>"Towel"</formula>
    </cfRule>
    <cfRule type="cellIs" dxfId="31503" priority="6435" stopIfTrue="1" operator="equal">
      <formula>"Napkin Hs"</formula>
    </cfRule>
    <cfRule type="cellIs" dxfId="31502" priority="6438" stopIfTrue="1" operator="equal">
      <formula>"Towel"</formula>
    </cfRule>
    <cfRule type="cellIs" dxfId="31501" priority="6439" stopIfTrue="1" operator="equal">
      <formula>"Napkin Hs"</formula>
    </cfRule>
    <cfRule type="cellIs" dxfId="31500" priority="6440" stopIfTrue="1" operator="equal">
      <formula>"Towel"</formula>
    </cfRule>
    <cfRule type="cellIs" dxfId="31499" priority="6441" stopIfTrue="1" operator="equal">
      <formula>"Napkin Hs"</formula>
    </cfRule>
    <cfRule type="cellIs" dxfId="31498" priority="6444" stopIfTrue="1" operator="equal">
      <formula>"Towel"</formula>
    </cfRule>
    <cfRule type="cellIs" dxfId="31497" priority="6445" stopIfTrue="1" operator="equal">
      <formula>"Napkin Hs"</formula>
    </cfRule>
    <cfRule type="cellIs" dxfId="31496" priority="6446" stopIfTrue="1" operator="equal">
      <formula>"Towel"</formula>
    </cfRule>
    <cfRule type="cellIs" dxfId="31495" priority="6447" stopIfTrue="1" operator="equal">
      <formula>"Napkin Hs"</formula>
    </cfRule>
    <cfRule type="cellIs" dxfId="31494" priority="6450" stopIfTrue="1" operator="equal">
      <formula>"Towel"</formula>
    </cfRule>
    <cfRule type="cellIs" dxfId="31493" priority="6451" stopIfTrue="1" operator="equal">
      <formula>"Napkin Hs"</formula>
    </cfRule>
    <cfRule type="cellIs" dxfId="31492" priority="6452" stopIfTrue="1" operator="equal">
      <formula>"Towel"</formula>
    </cfRule>
    <cfRule type="cellIs" dxfId="31491" priority="6453" stopIfTrue="1" operator="equal">
      <formula>"Napkin Hs"</formula>
    </cfRule>
    <cfRule type="cellIs" dxfId="31490" priority="6456" stopIfTrue="1" operator="equal">
      <formula>"Towel"</formula>
    </cfRule>
    <cfRule type="cellIs" dxfId="31489" priority="6457" stopIfTrue="1" operator="equal">
      <formula>"Napkin Hs"</formula>
    </cfRule>
    <cfRule type="cellIs" dxfId="31488" priority="6458" stopIfTrue="1" operator="equal">
      <formula>"Towel"</formula>
    </cfRule>
    <cfRule type="cellIs" dxfId="31487" priority="6459" stopIfTrue="1" operator="equal">
      <formula>"Napkin Hs"</formula>
    </cfRule>
    <cfRule type="cellIs" dxfId="31486" priority="6462" stopIfTrue="1" operator="equal">
      <formula>"Towel"</formula>
    </cfRule>
    <cfRule type="cellIs" dxfId="31485" priority="6463" stopIfTrue="1" operator="equal">
      <formula>"Napkin Hs"</formula>
    </cfRule>
    <cfRule type="cellIs" dxfId="31484" priority="6464" stopIfTrue="1" operator="equal">
      <formula>"Towel"</formula>
    </cfRule>
    <cfRule type="cellIs" dxfId="31483" priority="6465" stopIfTrue="1" operator="equal">
      <formula>"Napkin Hs"</formula>
    </cfRule>
    <cfRule type="cellIs" dxfId="31482" priority="6468" stopIfTrue="1" operator="equal">
      <formula>"Towel"</formula>
    </cfRule>
    <cfRule type="cellIs" dxfId="31481" priority="6469" stopIfTrue="1" operator="equal">
      <formula>"Napkin Hs"</formula>
    </cfRule>
    <cfRule type="cellIs" dxfId="31480" priority="6470" stopIfTrue="1" operator="equal">
      <formula>"Towel"</formula>
    </cfRule>
    <cfRule type="cellIs" dxfId="31479" priority="6471" stopIfTrue="1" operator="equal">
      <formula>"Napkin Hs"</formula>
    </cfRule>
    <cfRule type="cellIs" dxfId="31478" priority="6474" stopIfTrue="1" operator="equal">
      <formula>"Towel"</formula>
    </cfRule>
    <cfRule type="cellIs" dxfId="31477" priority="6475" stopIfTrue="1" operator="equal">
      <formula>"Napkin Hs"</formula>
    </cfRule>
    <cfRule type="cellIs" dxfId="31476" priority="6476" stopIfTrue="1" operator="equal">
      <formula>"Towel"</formula>
    </cfRule>
    <cfRule type="cellIs" dxfId="31475" priority="6477" stopIfTrue="1" operator="equal">
      <formula>"Napkin Hs"</formula>
    </cfRule>
  </conditionalFormatting>
  <conditionalFormatting sqref="C125:C126">
    <cfRule type="cellIs" dxfId="31474" priority="6418" stopIfTrue="1" operator="equal">
      <formula>"Towel"</formula>
    </cfRule>
    <cfRule type="cellIs" dxfId="31473" priority="6419" stopIfTrue="1" operator="equal">
      <formula>"Napkin Hs"</formula>
    </cfRule>
  </conditionalFormatting>
  <conditionalFormatting sqref="C126">
    <cfRule type="cellIs" dxfId="31472" priority="6416" stopIfTrue="1" operator="equal">
      <formula>"Towel"</formula>
    </cfRule>
    <cfRule type="cellIs" dxfId="31471" priority="6417" stopIfTrue="1" operator="equal">
      <formula>"Napkin Hs"</formula>
    </cfRule>
  </conditionalFormatting>
  <conditionalFormatting sqref="C130">
    <cfRule type="cellIs" dxfId="31470" priority="6480" stopIfTrue="1" operator="equal">
      <formula>"Towel"</formula>
    </cfRule>
    <cfRule type="cellIs" dxfId="31469" priority="6481" stopIfTrue="1" operator="equal">
      <formula>"Napkin Hs"</formula>
    </cfRule>
  </conditionalFormatting>
  <conditionalFormatting sqref="C134">
    <cfRule type="cellIs" dxfId="31468" priority="6414" stopIfTrue="1" operator="equal">
      <formula>"Towel"</formula>
    </cfRule>
    <cfRule type="cellIs" dxfId="31467" priority="6415" stopIfTrue="1" operator="equal">
      <formula>"Napkin Hs"</formula>
    </cfRule>
  </conditionalFormatting>
  <conditionalFormatting sqref="C139 C143 C147 C151">
    <cfRule type="cellIs" dxfId="31466" priority="6412" stopIfTrue="1" operator="equal">
      <formula>"Towel"</formula>
    </cfRule>
    <cfRule type="cellIs" dxfId="31465" priority="6413" stopIfTrue="1" operator="equal">
      <formula>"Napkin Hs"</formula>
    </cfRule>
  </conditionalFormatting>
  <conditionalFormatting sqref="B103:B104">
    <cfRule type="cellIs" dxfId="31464" priority="3840" stopIfTrue="1" operator="equal">
      <formula>"Towel"</formula>
    </cfRule>
    <cfRule type="cellIs" dxfId="31463" priority="3841" stopIfTrue="1" operator="equal">
      <formula>"Napkin Hs"</formula>
    </cfRule>
  </conditionalFormatting>
  <conditionalFormatting sqref="B101:C101">
    <cfRule type="cellIs" dxfId="31462" priority="3678" stopIfTrue="1" operator="equal">
      <formula>"Towel"</formula>
    </cfRule>
    <cfRule type="cellIs" dxfId="31461" priority="3679" stopIfTrue="1" operator="equal">
      <formula>"Napkin Hs"</formula>
    </cfRule>
    <cfRule type="cellIs" dxfId="31460" priority="3684" stopIfTrue="1" operator="equal">
      <formula>"Towel"</formula>
    </cfRule>
    <cfRule type="cellIs" dxfId="31459" priority="3685" stopIfTrue="1" operator="equal">
      <formula>"Napkin Hs"</formula>
    </cfRule>
    <cfRule type="cellIs" dxfId="31458" priority="3690" stopIfTrue="1" operator="equal">
      <formula>"Towel"</formula>
    </cfRule>
    <cfRule type="cellIs" dxfId="31457" priority="3691" stopIfTrue="1" operator="equal">
      <formula>"Napkin Hs"</formula>
    </cfRule>
    <cfRule type="cellIs" dxfId="31456" priority="3696" stopIfTrue="1" operator="equal">
      <formula>"Towel"</formula>
    </cfRule>
    <cfRule type="cellIs" dxfId="31455" priority="3697" stopIfTrue="1" operator="equal">
      <formula>"Napkin Hs"</formula>
    </cfRule>
    <cfRule type="cellIs" dxfId="31454" priority="3702" stopIfTrue="1" operator="equal">
      <formula>"Towel"</formula>
    </cfRule>
    <cfRule type="cellIs" dxfId="31453" priority="3703" stopIfTrue="1" operator="equal">
      <formula>"Napkin Hs"</formula>
    </cfRule>
    <cfRule type="cellIs" dxfId="31452" priority="3708" stopIfTrue="1" operator="equal">
      <formula>"Towel"</formula>
    </cfRule>
    <cfRule type="cellIs" dxfId="31451" priority="3709" stopIfTrue="1" operator="equal">
      <formula>"Napkin Hs"</formula>
    </cfRule>
    <cfRule type="cellIs" dxfId="31450" priority="3712" stopIfTrue="1" operator="equal">
      <formula>"Towel"</formula>
    </cfRule>
    <cfRule type="cellIs" dxfId="31449" priority="3713" stopIfTrue="1" operator="equal">
      <formula>"Napkin Hs"</formula>
    </cfRule>
    <cfRule type="cellIs" dxfId="31448" priority="3720" stopIfTrue="1" operator="equal">
      <formula>"Towel"</formula>
    </cfRule>
    <cfRule type="cellIs" dxfId="31447" priority="3721" stopIfTrue="1" operator="equal">
      <formula>"Napkin Hs"</formula>
    </cfRule>
    <cfRule type="cellIs" dxfId="31446" priority="3726" stopIfTrue="1" operator="equal">
      <formula>"Towel"</formula>
    </cfRule>
    <cfRule type="cellIs" dxfId="31445" priority="3727" stopIfTrue="1" operator="equal">
      <formula>"Napkin Hs"</formula>
    </cfRule>
    <cfRule type="cellIs" dxfId="31444" priority="3732" stopIfTrue="1" operator="equal">
      <formula>"Towel"</formula>
    </cfRule>
    <cfRule type="cellIs" dxfId="31443" priority="3733" stopIfTrue="1" operator="equal">
      <formula>"Napkin Hs"</formula>
    </cfRule>
    <cfRule type="cellIs" dxfId="31442" priority="3738" stopIfTrue="1" operator="equal">
      <formula>"Towel"</formula>
    </cfRule>
    <cfRule type="cellIs" dxfId="31441" priority="3739" stopIfTrue="1" operator="equal">
      <formula>"Napkin Hs"</formula>
    </cfRule>
    <cfRule type="cellIs" dxfId="31440" priority="3744" stopIfTrue="1" operator="equal">
      <formula>"Towel"</formula>
    </cfRule>
    <cfRule type="cellIs" dxfId="31439" priority="3745" stopIfTrue="1" operator="equal">
      <formula>"Napkin Hs"</formula>
    </cfRule>
    <cfRule type="cellIs" dxfId="31438" priority="3750" stopIfTrue="1" operator="equal">
      <formula>"Towel"</formula>
    </cfRule>
    <cfRule type="cellIs" dxfId="31437" priority="3751" stopIfTrue="1" operator="equal">
      <formula>"Napkin Hs"</formula>
    </cfRule>
    <cfRule type="cellIs" dxfId="31436" priority="3756" stopIfTrue="1" operator="equal">
      <formula>"Towel"</formula>
    </cfRule>
    <cfRule type="cellIs" dxfId="31435" priority="3757" stopIfTrue="1" operator="equal">
      <formula>"Napkin Hs"</formula>
    </cfRule>
  </conditionalFormatting>
  <conditionalFormatting sqref="B102:C102">
    <cfRule type="cellIs" dxfId="31434" priority="3760" stopIfTrue="1" operator="equal">
      <formula>"Towel"</formula>
    </cfRule>
    <cfRule type="cellIs" dxfId="31433" priority="3761" stopIfTrue="1" operator="equal">
      <formula>"Napkin Hs"</formula>
    </cfRule>
    <cfRule type="cellIs" dxfId="31432" priority="3766" stopIfTrue="1" operator="equal">
      <formula>"Towel"</formula>
    </cfRule>
    <cfRule type="cellIs" dxfId="31431" priority="3767" stopIfTrue="1" operator="equal">
      <formula>"Napkin Hs"</formula>
    </cfRule>
    <cfRule type="cellIs" dxfId="31430" priority="3772" stopIfTrue="1" operator="equal">
      <formula>"Towel"</formula>
    </cfRule>
    <cfRule type="cellIs" dxfId="31429" priority="3773" stopIfTrue="1" operator="equal">
      <formula>"Napkin Hs"</formula>
    </cfRule>
    <cfRule type="cellIs" dxfId="31428" priority="3778" stopIfTrue="1" operator="equal">
      <formula>"Towel"</formula>
    </cfRule>
    <cfRule type="cellIs" dxfId="31427" priority="3779" stopIfTrue="1" operator="equal">
      <formula>"Napkin Hs"</formula>
    </cfRule>
    <cfRule type="cellIs" dxfId="31426" priority="3784" stopIfTrue="1" operator="equal">
      <formula>"Towel"</formula>
    </cfRule>
    <cfRule type="cellIs" dxfId="31425" priority="3785" stopIfTrue="1" operator="equal">
      <formula>"Napkin Hs"</formula>
    </cfRule>
    <cfRule type="cellIs" dxfId="31424" priority="3790" stopIfTrue="1" operator="equal">
      <formula>"Towel"</formula>
    </cfRule>
    <cfRule type="cellIs" dxfId="31423" priority="3791" stopIfTrue="1" operator="equal">
      <formula>"Napkin Hs"</formula>
    </cfRule>
    <cfRule type="cellIs" dxfId="31422" priority="3794" stopIfTrue="1" operator="equal">
      <formula>"Towel"</formula>
    </cfRule>
    <cfRule type="cellIs" dxfId="31421" priority="3795" stopIfTrue="1" operator="equal">
      <formula>"Napkin Hs"</formula>
    </cfRule>
    <cfRule type="cellIs" dxfId="31420" priority="3802" stopIfTrue="1" operator="equal">
      <formula>"Towel"</formula>
    </cfRule>
    <cfRule type="cellIs" dxfId="31419" priority="3803" stopIfTrue="1" operator="equal">
      <formula>"Napkin Hs"</formula>
    </cfRule>
    <cfRule type="cellIs" dxfId="31418" priority="3808" stopIfTrue="1" operator="equal">
      <formula>"Towel"</formula>
    </cfRule>
    <cfRule type="cellIs" dxfId="31417" priority="3809" stopIfTrue="1" operator="equal">
      <formula>"Napkin Hs"</formula>
    </cfRule>
    <cfRule type="cellIs" dxfId="31416" priority="3814" stopIfTrue="1" operator="equal">
      <formula>"Towel"</formula>
    </cfRule>
    <cfRule type="cellIs" dxfId="31415" priority="3815" stopIfTrue="1" operator="equal">
      <formula>"Napkin Hs"</formula>
    </cfRule>
    <cfRule type="cellIs" dxfId="31414" priority="3820" stopIfTrue="1" operator="equal">
      <formula>"Towel"</formula>
    </cfRule>
    <cfRule type="cellIs" dxfId="31413" priority="3821" stopIfTrue="1" operator="equal">
      <formula>"Napkin Hs"</formula>
    </cfRule>
    <cfRule type="cellIs" dxfId="31412" priority="3826" stopIfTrue="1" operator="equal">
      <formula>"Towel"</formula>
    </cfRule>
    <cfRule type="cellIs" dxfId="31411" priority="3827" stopIfTrue="1" operator="equal">
      <formula>"Napkin Hs"</formula>
    </cfRule>
    <cfRule type="cellIs" dxfId="31410" priority="3832" stopIfTrue="1" operator="equal">
      <formula>"Towel"</formula>
    </cfRule>
    <cfRule type="cellIs" dxfId="31409" priority="3833" stopIfTrue="1" operator="equal">
      <formula>"Napkin Hs"</formula>
    </cfRule>
    <cfRule type="cellIs" dxfId="31408" priority="3838" stopIfTrue="1" operator="equal">
      <formula>"Towel"</formula>
    </cfRule>
    <cfRule type="cellIs" dxfId="31407" priority="3839" stopIfTrue="1" operator="equal">
      <formula>"Napkin Hs"</formula>
    </cfRule>
  </conditionalFormatting>
  <conditionalFormatting sqref="B103:C103">
    <cfRule type="cellIs" dxfId="31406" priority="3900" stopIfTrue="1" operator="equal">
      <formula>"Towel"</formula>
    </cfRule>
    <cfRule type="cellIs" dxfId="31405" priority="3901" stopIfTrue="1" operator="equal">
      <formula>"Napkin Hs"</formula>
    </cfRule>
    <cfRule type="cellIs" dxfId="31404" priority="3906" stopIfTrue="1" operator="equal">
      <formula>"Towel"</formula>
    </cfRule>
    <cfRule type="cellIs" dxfId="31403" priority="3907" stopIfTrue="1" operator="equal">
      <formula>"Napkin Hs"</formula>
    </cfRule>
    <cfRule type="cellIs" dxfId="31402" priority="3912" stopIfTrue="1" operator="equal">
      <formula>"Towel"</formula>
    </cfRule>
    <cfRule type="cellIs" dxfId="31401" priority="3913" stopIfTrue="1" operator="equal">
      <formula>"Napkin Hs"</formula>
    </cfRule>
    <cfRule type="cellIs" dxfId="31400" priority="3918" stopIfTrue="1" operator="equal">
      <formula>"Towel"</formula>
    </cfRule>
    <cfRule type="cellIs" dxfId="31399" priority="3919" stopIfTrue="1" operator="equal">
      <formula>"Napkin Hs"</formula>
    </cfRule>
    <cfRule type="cellIs" dxfId="31398" priority="3924" stopIfTrue="1" operator="equal">
      <formula>"Towel"</formula>
    </cfRule>
    <cfRule type="cellIs" dxfId="31397" priority="3925" stopIfTrue="1" operator="equal">
      <formula>"Napkin Hs"</formula>
    </cfRule>
    <cfRule type="cellIs" dxfId="31396" priority="3930" stopIfTrue="1" operator="equal">
      <formula>"Towel"</formula>
    </cfRule>
    <cfRule type="cellIs" dxfId="31395" priority="3931" stopIfTrue="1" operator="equal">
      <formula>"Napkin Hs"</formula>
    </cfRule>
    <cfRule type="cellIs" dxfId="31394" priority="3936" stopIfTrue="1" operator="equal">
      <formula>"Towel"</formula>
    </cfRule>
    <cfRule type="cellIs" dxfId="31393" priority="3937" stopIfTrue="1" operator="equal">
      <formula>"Napkin Hs"</formula>
    </cfRule>
    <cfRule type="cellIs" dxfId="31392" priority="3942" stopIfTrue="1" operator="equal">
      <formula>"Towel"</formula>
    </cfRule>
    <cfRule type="cellIs" dxfId="31391" priority="3943" stopIfTrue="1" operator="equal">
      <formula>"Napkin Hs"</formula>
    </cfRule>
  </conditionalFormatting>
  <conditionalFormatting sqref="B103:C104">
    <cfRule type="cellIs" dxfId="31390" priority="3842" stopIfTrue="1" operator="equal">
      <formula>"Towel"</formula>
    </cfRule>
    <cfRule type="cellIs" dxfId="31389" priority="3843" stopIfTrue="1" operator="equal">
      <formula>"Napkin Hs"</formula>
    </cfRule>
    <cfRule type="cellIs" dxfId="31388" priority="3858" stopIfTrue="1" operator="equal">
      <formula>"Towel"</formula>
    </cfRule>
    <cfRule type="cellIs" dxfId="31387" priority="3859" stopIfTrue="1" operator="equal">
      <formula>"Napkin Hs"</formula>
    </cfRule>
    <cfRule type="cellIs" dxfId="31386" priority="3864" stopIfTrue="1" operator="equal">
      <formula>"Towel"</formula>
    </cfRule>
    <cfRule type="cellIs" dxfId="31385" priority="3865" stopIfTrue="1" operator="equal">
      <formula>"Napkin Hs"</formula>
    </cfRule>
    <cfRule type="cellIs" dxfId="31384" priority="3870" stopIfTrue="1" operator="equal">
      <formula>"Towel"</formula>
    </cfRule>
    <cfRule type="cellIs" dxfId="31383" priority="3871" stopIfTrue="1" operator="equal">
      <formula>"Napkin Hs"</formula>
    </cfRule>
    <cfRule type="cellIs" dxfId="31382" priority="3876" stopIfTrue="1" operator="equal">
      <formula>"Towel"</formula>
    </cfRule>
    <cfRule type="cellIs" dxfId="31381" priority="3877" stopIfTrue="1" operator="equal">
      <formula>"Napkin Hs"</formula>
    </cfRule>
    <cfRule type="cellIs" dxfId="31380" priority="3882" stopIfTrue="1" operator="equal">
      <formula>"Towel"</formula>
    </cfRule>
    <cfRule type="cellIs" dxfId="31379" priority="3883" stopIfTrue="1" operator="equal">
      <formula>"Napkin Hs"</formula>
    </cfRule>
    <cfRule type="cellIs" dxfId="31378" priority="3888" stopIfTrue="1" operator="equal">
      <formula>"Towel"</formula>
    </cfRule>
    <cfRule type="cellIs" dxfId="31377" priority="3889" stopIfTrue="1" operator="equal">
      <formula>"Napkin Hs"</formula>
    </cfRule>
    <cfRule type="cellIs" dxfId="31376" priority="3894" stopIfTrue="1" operator="equal">
      <formula>"Towel"</formula>
    </cfRule>
    <cfRule type="cellIs" dxfId="31375" priority="3895" stopIfTrue="1" operator="equal">
      <formula>"Napkin Hs"</formula>
    </cfRule>
  </conditionalFormatting>
  <conditionalFormatting sqref="B104:C104">
    <cfRule type="cellIs" dxfId="31374" priority="3946" stopIfTrue="1" operator="equal">
      <formula>"Towel"</formula>
    </cfRule>
    <cfRule type="cellIs" dxfId="31373" priority="3947" stopIfTrue="1" operator="equal">
      <formula>"Napkin Hs"</formula>
    </cfRule>
    <cfRule type="cellIs" dxfId="31372" priority="3952" stopIfTrue="1" operator="equal">
      <formula>"Towel"</formula>
    </cfRule>
    <cfRule type="cellIs" dxfId="31371" priority="3953" stopIfTrue="1" operator="equal">
      <formula>"Napkin Hs"</formula>
    </cfRule>
    <cfRule type="cellIs" dxfId="31370" priority="3958" stopIfTrue="1" operator="equal">
      <formula>"Towel"</formula>
    </cfRule>
    <cfRule type="cellIs" dxfId="31369" priority="3959" stopIfTrue="1" operator="equal">
      <formula>"Napkin Hs"</formula>
    </cfRule>
    <cfRule type="cellIs" dxfId="31368" priority="3964" stopIfTrue="1" operator="equal">
      <formula>"Towel"</formula>
    </cfRule>
    <cfRule type="cellIs" dxfId="31367" priority="3965" stopIfTrue="1" operator="equal">
      <formula>"Napkin Hs"</formula>
    </cfRule>
    <cfRule type="cellIs" dxfId="31366" priority="3970" stopIfTrue="1" operator="equal">
      <formula>"Towel"</formula>
    </cfRule>
    <cfRule type="cellIs" dxfId="31365" priority="3971" stopIfTrue="1" operator="equal">
      <formula>"Napkin Hs"</formula>
    </cfRule>
    <cfRule type="cellIs" dxfId="31364" priority="3976" stopIfTrue="1" operator="equal">
      <formula>"Towel"</formula>
    </cfRule>
    <cfRule type="cellIs" dxfId="31363" priority="3977" stopIfTrue="1" operator="equal">
      <formula>"Napkin Hs"</formula>
    </cfRule>
    <cfRule type="cellIs" dxfId="31362" priority="3982" stopIfTrue="1" operator="equal">
      <formula>"Towel"</formula>
    </cfRule>
    <cfRule type="cellIs" dxfId="31361" priority="3983" stopIfTrue="1" operator="equal">
      <formula>"Napkin Hs"</formula>
    </cfRule>
    <cfRule type="cellIs" dxfId="31360" priority="3988" stopIfTrue="1" operator="equal">
      <formula>"Towel"</formula>
    </cfRule>
    <cfRule type="cellIs" dxfId="31359" priority="3989" stopIfTrue="1" operator="equal">
      <formula>"Napkin Hs"</formula>
    </cfRule>
  </conditionalFormatting>
  <conditionalFormatting sqref="C101">
    <cfRule type="cellIs" dxfId="31358" priority="3674" stopIfTrue="1" operator="equal">
      <formula>"Towel"</formula>
    </cfRule>
    <cfRule type="cellIs" dxfId="31357" priority="3675" stopIfTrue="1" operator="equal">
      <formula>"Napkin Hs"</formula>
    </cfRule>
    <cfRule type="cellIs" dxfId="31356" priority="3676" stopIfTrue="1" operator="equal">
      <formula>"Towel"</formula>
    </cfRule>
    <cfRule type="cellIs" dxfId="31355" priority="3677" stopIfTrue="1" operator="equal">
      <formula>"Napkin Hs"</formula>
    </cfRule>
    <cfRule type="cellIs" dxfId="31354" priority="3680" stopIfTrue="1" operator="equal">
      <formula>"Towel"</formula>
    </cfRule>
    <cfRule type="cellIs" dxfId="31353" priority="3681" stopIfTrue="1" operator="equal">
      <formula>"Napkin Hs"</formula>
    </cfRule>
    <cfRule type="cellIs" dxfId="31352" priority="3682" stopIfTrue="1" operator="equal">
      <formula>"Towel"</formula>
    </cfRule>
    <cfRule type="cellIs" dxfId="31351" priority="3683" stopIfTrue="1" operator="equal">
      <formula>"Napkin Hs"</formula>
    </cfRule>
    <cfRule type="cellIs" dxfId="31350" priority="3686" stopIfTrue="1" operator="equal">
      <formula>"Towel"</formula>
    </cfRule>
    <cfRule type="cellIs" dxfId="31349" priority="3687" stopIfTrue="1" operator="equal">
      <formula>"Napkin Hs"</formula>
    </cfRule>
    <cfRule type="cellIs" dxfId="31348" priority="3688" stopIfTrue="1" operator="equal">
      <formula>"Towel"</formula>
    </cfRule>
    <cfRule type="cellIs" dxfId="31347" priority="3689" stopIfTrue="1" operator="equal">
      <formula>"Napkin Hs"</formula>
    </cfRule>
    <cfRule type="cellIs" dxfId="31346" priority="3692" stopIfTrue="1" operator="equal">
      <formula>"Towel"</formula>
    </cfRule>
    <cfRule type="cellIs" dxfId="31345" priority="3693" stopIfTrue="1" operator="equal">
      <formula>"Napkin Hs"</formula>
    </cfRule>
    <cfRule type="cellIs" dxfId="31344" priority="3694" stopIfTrue="1" operator="equal">
      <formula>"Towel"</formula>
    </cfRule>
    <cfRule type="cellIs" dxfId="31343" priority="3695" stopIfTrue="1" operator="equal">
      <formula>"Napkin Hs"</formula>
    </cfRule>
    <cfRule type="cellIs" dxfId="31342" priority="3698" stopIfTrue="1" operator="equal">
      <formula>"Towel"</formula>
    </cfRule>
    <cfRule type="cellIs" dxfId="31341" priority="3699" stopIfTrue="1" operator="equal">
      <formula>"Napkin Hs"</formula>
    </cfRule>
    <cfRule type="cellIs" dxfId="31340" priority="3700" stopIfTrue="1" operator="equal">
      <formula>"Towel"</formula>
    </cfRule>
    <cfRule type="cellIs" dxfId="31339" priority="3701" stopIfTrue="1" operator="equal">
      <formula>"Napkin Hs"</formula>
    </cfRule>
    <cfRule type="cellIs" dxfId="31338" priority="3704" stopIfTrue="1" operator="equal">
      <formula>"Towel"</formula>
    </cfRule>
    <cfRule type="cellIs" dxfId="31337" priority="3705" stopIfTrue="1" operator="equal">
      <formula>"Napkin Hs"</formula>
    </cfRule>
    <cfRule type="cellIs" dxfId="31336" priority="3706" stopIfTrue="1" operator="equal">
      <formula>"Towel"</formula>
    </cfRule>
    <cfRule type="cellIs" dxfId="31335" priority="3707" stopIfTrue="1" operator="equal">
      <formula>"Napkin Hs"</formula>
    </cfRule>
    <cfRule type="cellIs" dxfId="31334" priority="3710" stopIfTrue="1" operator="equal">
      <formula>"Towel"</formula>
    </cfRule>
    <cfRule type="cellIs" dxfId="31333" priority="3711" stopIfTrue="1" operator="equal">
      <formula>"Napkin Hs"</formula>
    </cfRule>
    <cfRule type="cellIs" dxfId="31332" priority="3714" stopIfTrue="1" operator="equal">
      <formula>"Towel"</formula>
    </cfRule>
    <cfRule type="cellIs" dxfId="31331" priority="3715" stopIfTrue="1" operator="equal">
      <formula>"Napkin Hs"</formula>
    </cfRule>
    <cfRule type="cellIs" dxfId="31330" priority="3716" stopIfTrue="1" operator="equal">
      <formula>"Towel"</formula>
    </cfRule>
    <cfRule type="cellIs" dxfId="31329" priority="3717" stopIfTrue="1" operator="equal">
      <formula>"Napkin Hs"</formula>
    </cfRule>
    <cfRule type="cellIs" dxfId="31328" priority="3718" stopIfTrue="1" operator="equal">
      <formula>"Towel"</formula>
    </cfRule>
    <cfRule type="cellIs" dxfId="31327" priority="3719" stopIfTrue="1" operator="equal">
      <formula>"Napkin Hs"</formula>
    </cfRule>
    <cfRule type="cellIs" dxfId="31326" priority="3722" stopIfTrue="1" operator="equal">
      <formula>"Towel"</formula>
    </cfRule>
    <cfRule type="cellIs" dxfId="31325" priority="3723" stopIfTrue="1" operator="equal">
      <formula>"Napkin Hs"</formula>
    </cfRule>
    <cfRule type="cellIs" dxfId="31324" priority="3724" stopIfTrue="1" operator="equal">
      <formula>"Towel"</formula>
    </cfRule>
    <cfRule type="cellIs" dxfId="31323" priority="3725" stopIfTrue="1" operator="equal">
      <formula>"Napkin Hs"</formula>
    </cfRule>
    <cfRule type="cellIs" dxfId="31322" priority="3728" stopIfTrue="1" operator="equal">
      <formula>"Towel"</formula>
    </cfRule>
    <cfRule type="cellIs" dxfId="31321" priority="3729" stopIfTrue="1" operator="equal">
      <formula>"Napkin Hs"</formula>
    </cfRule>
    <cfRule type="cellIs" dxfId="31320" priority="3730" stopIfTrue="1" operator="equal">
      <formula>"Towel"</formula>
    </cfRule>
    <cfRule type="cellIs" dxfId="31319" priority="3731" stopIfTrue="1" operator="equal">
      <formula>"Napkin Hs"</formula>
    </cfRule>
    <cfRule type="cellIs" dxfId="31318" priority="3734" stopIfTrue="1" operator="equal">
      <formula>"Towel"</formula>
    </cfRule>
    <cfRule type="cellIs" dxfId="31317" priority="3735" stopIfTrue="1" operator="equal">
      <formula>"Napkin Hs"</formula>
    </cfRule>
    <cfRule type="cellIs" dxfId="31316" priority="3736" stopIfTrue="1" operator="equal">
      <formula>"Towel"</formula>
    </cfRule>
    <cfRule type="cellIs" dxfId="31315" priority="3737" stopIfTrue="1" operator="equal">
      <formula>"Napkin Hs"</formula>
    </cfRule>
    <cfRule type="cellIs" dxfId="31314" priority="3740" stopIfTrue="1" operator="equal">
      <formula>"Towel"</formula>
    </cfRule>
    <cfRule type="cellIs" dxfId="31313" priority="3741" stopIfTrue="1" operator="equal">
      <formula>"Napkin Hs"</formula>
    </cfRule>
    <cfRule type="cellIs" dxfId="31312" priority="3742" stopIfTrue="1" operator="equal">
      <formula>"Towel"</formula>
    </cfRule>
    <cfRule type="cellIs" dxfId="31311" priority="3743" stopIfTrue="1" operator="equal">
      <formula>"Napkin Hs"</formula>
    </cfRule>
    <cfRule type="cellIs" dxfId="31310" priority="3746" stopIfTrue="1" operator="equal">
      <formula>"Towel"</formula>
    </cfRule>
    <cfRule type="cellIs" dxfId="31309" priority="3747" stopIfTrue="1" operator="equal">
      <formula>"Napkin Hs"</formula>
    </cfRule>
    <cfRule type="cellIs" dxfId="31308" priority="3748" stopIfTrue="1" operator="equal">
      <formula>"Towel"</formula>
    </cfRule>
    <cfRule type="cellIs" dxfId="31307" priority="3749" stopIfTrue="1" operator="equal">
      <formula>"Napkin Hs"</formula>
    </cfRule>
    <cfRule type="cellIs" dxfId="31306" priority="3752" stopIfTrue="1" operator="equal">
      <formula>"Towel"</formula>
    </cfRule>
    <cfRule type="cellIs" dxfId="31305" priority="3753" stopIfTrue="1" operator="equal">
      <formula>"Napkin Hs"</formula>
    </cfRule>
  </conditionalFormatting>
  <conditionalFormatting sqref="C101:C102">
    <cfRule type="cellIs" dxfId="31304" priority="3754" stopIfTrue="1" operator="equal">
      <formula>"Towel"</formula>
    </cfRule>
    <cfRule type="cellIs" dxfId="31303" priority="3755" stopIfTrue="1" operator="equal">
      <formula>"Napkin Hs"</formula>
    </cfRule>
  </conditionalFormatting>
  <conditionalFormatting sqref="C102">
    <cfRule type="cellIs" dxfId="31302" priority="3758" stopIfTrue="1" operator="equal">
      <formula>"Towel"</formula>
    </cfRule>
    <cfRule type="cellIs" dxfId="31301" priority="3759" stopIfTrue="1" operator="equal">
      <formula>"Napkin Hs"</formula>
    </cfRule>
    <cfRule type="cellIs" dxfId="31300" priority="3762" stopIfTrue="1" operator="equal">
      <formula>"Towel"</formula>
    </cfRule>
    <cfRule type="cellIs" dxfId="31299" priority="3763" stopIfTrue="1" operator="equal">
      <formula>"Napkin Hs"</formula>
    </cfRule>
    <cfRule type="cellIs" dxfId="31298" priority="3764" stopIfTrue="1" operator="equal">
      <formula>"Towel"</formula>
    </cfRule>
    <cfRule type="cellIs" dxfId="31297" priority="3765" stopIfTrue="1" operator="equal">
      <formula>"Napkin Hs"</formula>
    </cfRule>
    <cfRule type="cellIs" dxfId="31296" priority="3768" stopIfTrue="1" operator="equal">
      <formula>"Towel"</formula>
    </cfRule>
    <cfRule type="cellIs" dxfId="31295" priority="3769" stopIfTrue="1" operator="equal">
      <formula>"Napkin Hs"</formula>
    </cfRule>
    <cfRule type="cellIs" dxfId="31294" priority="3770" stopIfTrue="1" operator="equal">
      <formula>"Towel"</formula>
    </cfRule>
    <cfRule type="cellIs" dxfId="31293" priority="3771" stopIfTrue="1" operator="equal">
      <formula>"Napkin Hs"</formula>
    </cfRule>
    <cfRule type="cellIs" dxfId="31292" priority="3774" stopIfTrue="1" operator="equal">
      <formula>"Towel"</formula>
    </cfRule>
    <cfRule type="cellIs" dxfId="31291" priority="3775" stopIfTrue="1" operator="equal">
      <formula>"Napkin Hs"</formula>
    </cfRule>
    <cfRule type="cellIs" dxfId="31290" priority="3776" stopIfTrue="1" operator="equal">
      <formula>"Towel"</formula>
    </cfRule>
    <cfRule type="cellIs" dxfId="31289" priority="3777" stopIfTrue="1" operator="equal">
      <formula>"Napkin Hs"</formula>
    </cfRule>
    <cfRule type="cellIs" dxfId="31288" priority="3780" stopIfTrue="1" operator="equal">
      <formula>"Towel"</formula>
    </cfRule>
    <cfRule type="cellIs" dxfId="31287" priority="3781" stopIfTrue="1" operator="equal">
      <formula>"Napkin Hs"</formula>
    </cfRule>
    <cfRule type="cellIs" dxfId="31286" priority="3782" stopIfTrue="1" operator="equal">
      <formula>"Towel"</formula>
    </cfRule>
    <cfRule type="cellIs" dxfId="31285" priority="3783" stopIfTrue="1" operator="equal">
      <formula>"Napkin Hs"</formula>
    </cfRule>
    <cfRule type="cellIs" dxfId="31284" priority="3786" stopIfTrue="1" operator="equal">
      <formula>"Towel"</formula>
    </cfRule>
    <cfRule type="cellIs" dxfId="31283" priority="3787" stopIfTrue="1" operator="equal">
      <formula>"Napkin Hs"</formula>
    </cfRule>
    <cfRule type="cellIs" dxfId="31282" priority="3788" stopIfTrue="1" operator="equal">
      <formula>"Towel"</formula>
    </cfRule>
    <cfRule type="cellIs" dxfId="31281" priority="3789" stopIfTrue="1" operator="equal">
      <formula>"Napkin Hs"</formula>
    </cfRule>
    <cfRule type="cellIs" dxfId="31280" priority="3792" stopIfTrue="1" operator="equal">
      <formula>"Towel"</formula>
    </cfRule>
    <cfRule type="cellIs" dxfId="31279" priority="3793" stopIfTrue="1" operator="equal">
      <formula>"Napkin Hs"</formula>
    </cfRule>
    <cfRule type="cellIs" dxfId="31278" priority="3796" stopIfTrue="1" operator="equal">
      <formula>"Towel"</formula>
    </cfRule>
    <cfRule type="cellIs" dxfId="31277" priority="3797" stopIfTrue="1" operator="equal">
      <formula>"Napkin Hs"</formula>
    </cfRule>
    <cfRule type="cellIs" dxfId="31276" priority="3798" stopIfTrue="1" operator="equal">
      <formula>"Towel"</formula>
    </cfRule>
    <cfRule type="cellIs" dxfId="31275" priority="3799" stopIfTrue="1" operator="equal">
      <formula>"Napkin Hs"</formula>
    </cfRule>
    <cfRule type="cellIs" dxfId="31274" priority="3800" stopIfTrue="1" operator="equal">
      <formula>"Towel"</formula>
    </cfRule>
    <cfRule type="cellIs" dxfId="31273" priority="3801" stopIfTrue="1" operator="equal">
      <formula>"Napkin Hs"</formula>
    </cfRule>
    <cfRule type="cellIs" dxfId="31272" priority="3804" stopIfTrue="1" operator="equal">
      <formula>"Towel"</formula>
    </cfRule>
    <cfRule type="cellIs" dxfId="31271" priority="3805" stopIfTrue="1" operator="equal">
      <formula>"Napkin Hs"</formula>
    </cfRule>
    <cfRule type="cellIs" dxfId="31270" priority="3806" stopIfTrue="1" operator="equal">
      <formula>"Towel"</formula>
    </cfRule>
    <cfRule type="cellIs" dxfId="31269" priority="3807" stopIfTrue="1" operator="equal">
      <formula>"Napkin Hs"</formula>
    </cfRule>
    <cfRule type="cellIs" dxfId="31268" priority="3810" stopIfTrue="1" operator="equal">
      <formula>"Towel"</formula>
    </cfRule>
    <cfRule type="cellIs" dxfId="31267" priority="3811" stopIfTrue="1" operator="equal">
      <formula>"Napkin Hs"</formula>
    </cfRule>
    <cfRule type="cellIs" dxfId="31266" priority="3812" stopIfTrue="1" operator="equal">
      <formula>"Towel"</formula>
    </cfRule>
    <cfRule type="cellIs" dxfId="31265" priority="3813" stopIfTrue="1" operator="equal">
      <formula>"Napkin Hs"</formula>
    </cfRule>
    <cfRule type="cellIs" dxfId="31264" priority="3816" stopIfTrue="1" operator="equal">
      <formula>"Towel"</formula>
    </cfRule>
    <cfRule type="cellIs" dxfId="31263" priority="3817" stopIfTrue="1" operator="equal">
      <formula>"Napkin Hs"</formula>
    </cfRule>
    <cfRule type="cellIs" dxfId="31262" priority="3818" stopIfTrue="1" operator="equal">
      <formula>"Towel"</formula>
    </cfRule>
    <cfRule type="cellIs" dxfId="31261" priority="3819" stopIfTrue="1" operator="equal">
      <formula>"Napkin Hs"</formula>
    </cfRule>
    <cfRule type="cellIs" dxfId="31260" priority="3822" stopIfTrue="1" operator="equal">
      <formula>"Towel"</formula>
    </cfRule>
    <cfRule type="cellIs" dxfId="31259" priority="3823" stopIfTrue="1" operator="equal">
      <formula>"Napkin Hs"</formula>
    </cfRule>
    <cfRule type="cellIs" dxfId="31258" priority="3824" stopIfTrue="1" operator="equal">
      <formula>"Towel"</formula>
    </cfRule>
    <cfRule type="cellIs" dxfId="31257" priority="3825" stopIfTrue="1" operator="equal">
      <formula>"Napkin Hs"</formula>
    </cfRule>
    <cfRule type="cellIs" dxfId="31256" priority="3828" stopIfTrue="1" operator="equal">
      <formula>"Towel"</formula>
    </cfRule>
    <cfRule type="cellIs" dxfId="31255" priority="3829" stopIfTrue="1" operator="equal">
      <formula>"Napkin Hs"</formula>
    </cfRule>
    <cfRule type="cellIs" dxfId="31254" priority="3830" stopIfTrue="1" operator="equal">
      <formula>"Towel"</formula>
    </cfRule>
    <cfRule type="cellIs" dxfId="31253" priority="3831" stopIfTrue="1" operator="equal">
      <formula>"Napkin Hs"</formula>
    </cfRule>
    <cfRule type="cellIs" dxfId="31252" priority="3834" stopIfTrue="1" operator="equal">
      <formula>"Towel"</formula>
    </cfRule>
    <cfRule type="cellIs" dxfId="31251" priority="3835" stopIfTrue="1" operator="equal">
      <formula>"Napkin Hs"</formula>
    </cfRule>
    <cfRule type="cellIs" dxfId="31250" priority="3836" stopIfTrue="1" operator="equal">
      <formula>"Towel"</formula>
    </cfRule>
    <cfRule type="cellIs" dxfId="31249" priority="3837" stopIfTrue="1" operator="equal">
      <formula>"Napkin Hs"</formula>
    </cfRule>
  </conditionalFormatting>
  <conditionalFormatting sqref="C103">
    <cfRule type="cellIs" dxfId="31248" priority="3896" stopIfTrue="1" operator="equal">
      <formula>"Towel"</formula>
    </cfRule>
    <cfRule type="cellIs" dxfId="31247" priority="3897" stopIfTrue="1" operator="equal">
      <formula>"Napkin Hs"</formula>
    </cfRule>
    <cfRule type="cellIs" dxfId="31246" priority="3898" stopIfTrue="1" operator="equal">
      <formula>"Towel"</formula>
    </cfRule>
    <cfRule type="cellIs" dxfId="31245" priority="3899" stopIfTrue="1" operator="equal">
      <formula>"Napkin Hs"</formula>
    </cfRule>
    <cfRule type="cellIs" dxfId="31244" priority="3902" stopIfTrue="1" operator="equal">
      <formula>"Towel"</formula>
    </cfRule>
    <cfRule type="cellIs" dxfId="31243" priority="3903" stopIfTrue="1" operator="equal">
      <formula>"Napkin Hs"</formula>
    </cfRule>
    <cfRule type="cellIs" dxfId="31242" priority="3904" stopIfTrue="1" operator="equal">
      <formula>"Towel"</formula>
    </cfRule>
    <cfRule type="cellIs" dxfId="31241" priority="3905" stopIfTrue="1" operator="equal">
      <formula>"Napkin Hs"</formula>
    </cfRule>
    <cfRule type="cellIs" dxfId="31240" priority="3908" stopIfTrue="1" operator="equal">
      <formula>"Towel"</formula>
    </cfRule>
    <cfRule type="cellIs" dxfId="31239" priority="3909" stopIfTrue="1" operator="equal">
      <formula>"Napkin Hs"</formula>
    </cfRule>
    <cfRule type="cellIs" dxfId="31238" priority="3910" stopIfTrue="1" operator="equal">
      <formula>"Towel"</formula>
    </cfRule>
    <cfRule type="cellIs" dxfId="31237" priority="3911" stopIfTrue="1" operator="equal">
      <formula>"Napkin Hs"</formula>
    </cfRule>
    <cfRule type="cellIs" dxfId="31236" priority="3914" stopIfTrue="1" operator="equal">
      <formula>"Towel"</formula>
    </cfRule>
    <cfRule type="cellIs" dxfId="31235" priority="3915" stopIfTrue="1" operator="equal">
      <formula>"Napkin Hs"</formula>
    </cfRule>
    <cfRule type="cellIs" dxfId="31234" priority="3916" stopIfTrue="1" operator="equal">
      <formula>"Towel"</formula>
    </cfRule>
    <cfRule type="cellIs" dxfId="31233" priority="3917" stopIfTrue="1" operator="equal">
      <formula>"Napkin Hs"</formula>
    </cfRule>
    <cfRule type="cellIs" dxfId="31232" priority="3920" stopIfTrue="1" operator="equal">
      <formula>"Towel"</formula>
    </cfRule>
    <cfRule type="cellIs" dxfId="31231" priority="3921" stopIfTrue="1" operator="equal">
      <formula>"Napkin Hs"</formula>
    </cfRule>
    <cfRule type="cellIs" dxfId="31230" priority="3922" stopIfTrue="1" operator="equal">
      <formula>"Towel"</formula>
    </cfRule>
    <cfRule type="cellIs" dxfId="31229" priority="3923" stopIfTrue="1" operator="equal">
      <formula>"Napkin Hs"</formula>
    </cfRule>
    <cfRule type="cellIs" dxfId="31228" priority="3926" stopIfTrue="1" operator="equal">
      <formula>"Towel"</formula>
    </cfRule>
    <cfRule type="cellIs" dxfId="31227" priority="3927" stopIfTrue="1" operator="equal">
      <formula>"Napkin Hs"</formula>
    </cfRule>
    <cfRule type="cellIs" dxfId="31226" priority="3928" stopIfTrue="1" operator="equal">
      <formula>"Towel"</formula>
    </cfRule>
    <cfRule type="cellIs" dxfId="31225" priority="3929" stopIfTrue="1" operator="equal">
      <formula>"Napkin Hs"</formula>
    </cfRule>
    <cfRule type="cellIs" dxfId="31224" priority="3932" stopIfTrue="1" operator="equal">
      <formula>"Towel"</formula>
    </cfRule>
    <cfRule type="cellIs" dxfId="31223" priority="3933" stopIfTrue="1" operator="equal">
      <formula>"Napkin Hs"</formula>
    </cfRule>
    <cfRule type="cellIs" dxfId="31222" priority="3934" stopIfTrue="1" operator="equal">
      <formula>"Towel"</formula>
    </cfRule>
    <cfRule type="cellIs" dxfId="31221" priority="3935" stopIfTrue="1" operator="equal">
      <formula>"Napkin Hs"</formula>
    </cfRule>
    <cfRule type="cellIs" dxfId="31220" priority="3938" stopIfTrue="1" operator="equal">
      <formula>"Towel"</formula>
    </cfRule>
    <cfRule type="cellIs" dxfId="31219" priority="3939" stopIfTrue="1" operator="equal">
      <formula>"Napkin Hs"</formula>
    </cfRule>
  </conditionalFormatting>
  <conditionalFormatting sqref="C103:C104">
    <cfRule type="cellIs" dxfId="31218" priority="3844" stopIfTrue="1" operator="equal">
      <formula>"Towel"</formula>
    </cfRule>
    <cfRule type="cellIs" dxfId="31217" priority="3845" stopIfTrue="1" operator="equal">
      <formula>"Napkin Hs"</formula>
    </cfRule>
    <cfRule type="cellIs" dxfId="31216" priority="3846" stopIfTrue="1" operator="equal">
      <formula>"Towel"</formula>
    </cfRule>
    <cfRule type="cellIs" dxfId="31215" priority="3847" stopIfTrue="1" operator="equal">
      <formula>"Napkin Hs"</formula>
    </cfRule>
    <cfRule type="cellIs" dxfId="31214" priority="3848" stopIfTrue="1" operator="equal">
      <formula>"Towel"</formula>
    </cfRule>
    <cfRule type="cellIs" dxfId="31213" priority="3849" stopIfTrue="1" operator="equal">
      <formula>"Napkin Hs"</formula>
    </cfRule>
    <cfRule type="cellIs" dxfId="31212" priority="3850" stopIfTrue="1" operator="equal">
      <formula>"Towel"</formula>
    </cfRule>
    <cfRule type="cellIs" dxfId="31211" priority="3851" stopIfTrue="1" operator="equal">
      <formula>"Napkin Hs"</formula>
    </cfRule>
    <cfRule type="cellIs" dxfId="31210" priority="3852" stopIfTrue="1" operator="equal">
      <formula>"Towel"</formula>
    </cfRule>
    <cfRule type="cellIs" dxfId="31209" priority="3853" stopIfTrue="1" operator="equal">
      <formula>"Napkin Hs"</formula>
    </cfRule>
    <cfRule type="cellIs" dxfId="31208" priority="3854" stopIfTrue="1" operator="equal">
      <formula>"Towel"</formula>
    </cfRule>
    <cfRule type="cellIs" dxfId="31207" priority="3855" stopIfTrue="1" operator="equal">
      <formula>"Napkin Hs"</formula>
    </cfRule>
    <cfRule type="cellIs" dxfId="31206" priority="3856" stopIfTrue="1" operator="equal">
      <formula>"Towel"</formula>
    </cfRule>
    <cfRule type="cellIs" dxfId="31205" priority="3857" stopIfTrue="1" operator="equal">
      <formula>"Napkin Hs"</formula>
    </cfRule>
    <cfRule type="cellIs" dxfId="31204" priority="3860" stopIfTrue="1" operator="equal">
      <formula>"Towel"</formula>
    </cfRule>
    <cfRule type="cellIs" dxfId="31203" priority="3861" stopIfTrue="1" operator="equal">
      <formula>"Napkin Hs"</formula>
    </cfRule>
    <cfRule type="cellIs" dxfId="31202" priority="3862" stopIfTrue="1" operator="equal">
      <formula>"Towel"</formula>
    </cfRule>
    <cfRule type="cellIs" dxfId="31201" priority="3863" stopIfTrue="1" operator="equal">
      <formula>"Napkin Hs"</formula>
    </cfRule>
    <cfRule type="cellIs" dxfId="31200" priority="3866" stopIfTrue="1" operator="equal">
      <formula>"Towel"</formula>
    </cfRule>
    <cfRule type="cellIs" dxfId="31199" priority="3867" stopIfTrue="1" operator="equal">
      <formula>"Napkin Hs"</formula>
    </cfRule>
    <cfRule type="cellIs" dxfId="31198" priority="3868" stopIfTrue="1" operator="equal">
      <formula>"Towel"</formula>
    </cfRule>
    <cfRule type="cellIs" dxfId="31197" priority="3869" stopIfTrue="1" operator="equal">
      <formula>"Napkin Hs"</formula>
    </cfRule>
    <cfRule type="cellIs" dxfId="31196" priority="3872" stopIfTrue="1" operator="equal">
      <formula>"Towel"</formula>
    </cfRule>
    <cfRule type="cellIs" dxfId="31195" priority="3873" stopIfTrue="1" operator="equal">
      <formula>"Napkin Hs"</formula>
    </cfRule>
    <cfRule type="cellIs" dxfId="31194" priority="3874" stopIfTrue="1" operator="equal">
      <formula>"Towel"</formula>
    </cfRule>
    <cfRule type="cellIs" dxfId="31193" priority="3875" stopIfTrue="1" operator="equal">
      <formula>"Napkin Hs"</formula>
    </cfRule>
    <cfRule type="cellIs" dxfId="31192" priority="3878" stopIfTrue="1" operator="equal">
      <formula>"Towel"</formula>
    </cfRule>
    <cfRule type="cellIs" dxfId="31191" priority="3879" stopIfTrue="1" operator="equal">
      <formula>"Napkin Hs"</formula>
    </cfRule>
    <cfRule type="cellIs" dxfId="31190" priority="3880" stopIfTrue="1" operator="equal">
      <formula>"Towel"</formula>
    </cfRule>
    <cfRule type="cellIs" dxfId="31189" priority="3881" stopIfTrue="1" operator="equal">
      <formula>"Napkin Hs"</formula>
    </cfRule>
    <cfRule type="cellIs" dxfId="31188" priority="3884" stopIfTrue="1" operator="equal">
      <formula>"Towel"</formula>
    </cfRule>
    <cfRule type="cellIs" dxfId="31187" priority="3885" stopIfTrue="1" operator="equal">
      <formula>"Napkin Hs"</formula>
    </cfRule>
    <cfRule type="cellIs" dxfId="31186" priority="3886" stopIfTrue="1" operator="equal">
      <formula>"Towel"</formula>
    </cfRule>
    <cfRule type="cellIs" dxfId="31185" priority="3887" stopIfTrue="1" operator="equal">
      <formula>"Napkin Hs"</formula>
    </cfRule>
    <cfRule type="cellIs" dxfId="31184" priority="3890" stopIfTrue="1" operator="equal">
      <formula>"Towel"</formula>
    </cfRule>
    <cfRule type="cellIs" dxfId="31183" priority="3891" stopIfTrue="1" operator="equal">
      <formula>"Napkin Hs"</formula>
    </cfRule>
    <cfRule type="cellIs" dxfId="31182" priority="3892" stopIfTrue="1" operator="equal">
      <formula>"Towel"</formula>
    </cfRule>
    <cfRule type="cellIs" dxfId="31181" priority="3893" stopIfTrue="1" operator="equal">
      <formula>"Napkin Hs"</formula>
    </cfRule>
    <cfRule type="cellIs" dxfId="31180" priority="3940" stopIfTrue="1" operator="equal">
      <formula>"Towel"</formula>
    </cfRule>
    <cfRule type="cellIs" dxfId="31179" priority="3941" stopIfTrue="1" operator="equal">
      <formula>"Napkin Hs"</formula>
    </cfRule>
  </conditionalFormatting>
  <conditionalFormatting sqref="C104">
    <cfRule type="cellIs" dxfId="31178" priority="3944" stopIfTrue="1" operator="equal">
      <formula>"Towel"</formula>
    </cfRule>
    <cfRule type="cellIs" dxfId="31177" priority="3945" stopIfTrue="1" operator="equal">
      <formula>"Napkin Hs"</formula>
    </cfRule>
    <cfRule type="cellIs" dxfId="31176" priority="3948" stopIfTrue="1" operator="equal">
      <formula>"Towel"</formula>
    </cfRule>
    <cfRule type="cellIs" dxfId="31175" priority="3949" stopIfTrue="1" operator="equal">
      <formula>"Napkin Hs"</formula>
    </cfRule>
    <cfRule type="cellIs" dxfId="31174" priority="3950" stopIfTrue="1" operator="equal">
      <formula>"Towel"</formula>
    </cfRule>
    <cfRule type="cellIs" dxfId="31173" priority="3951" stopIfTrue="1" operator="equal">
      <formula>"Napkin Hs"</formula>
    </cfRule>
    <cfRule type="cellIs" dxfId="31172" priority="3954" stopIfTrue="1" operator="equal">
      <formula>"Towel"</formula>
    </cfRule>
    <cfRule type="cellIs" dxfId="31171" priority="3955" stopIfTrue="1" operator="equal">
      <formula>"Napkin Hs"</formula>
    </cfRule>
    <cfRule type="cellIs" dxfId="31170" priority="3956" stopIfTrue="1" operator="equal">
      <formula>"Towel"</formula>
    </cfRule>
    <cfRule type="cellIs" dxfId="31169" priority="3957" stopIfTrue="1" operator="equal">
      <formula>"Napkin Hs"</formula>
    </cfRule>
    <cfRule type="cellIs" dxfId="31168" priority="3960" stopIfTrue="1" operator="equal">
      <formula>"Towel"</formula>
    </cfRule>
    <cfRule type="cellIs" dxfId="31167" priority="3961" stopIfTrue="1" operator="equal">
      <formula>"Napkin Hs"</formula>
    </cfRule>
    <cfRule type="cellIs" dxfId="31166" priority="3962" stopIfTrue="1" operator="equal">
      <formula>"Towel"</formula>
    </cfRule>
    <cfRule type="cellIs" dxfId="31165" priority="3963" stopIfTrue="1" operator="equal">
      <formula>"Napkin Hs"</formula>
    </cfRule>
    <cfRule type="cellIs" dxfId="31164" priority="3966" stopIfTrue="1" operator="equal">
      <formula>"Towel"</formula>
    </cfRule>
    <cfRule type="cellIs" dxfId="31163" priority="3967" stopIfTrue="1" operator="equal">
      <formula>"Napkin Hs"</formula>
    </cfRule>
    <cfRule type="cellIs" dxfId="31162" priority="3968" stopIfTrue="1" operator="equal">
      <formula>"Towel"</formula>
    </cfRule>
    <cfRule type="cellIs" dxfId="31161" priority="3969" stopIfTrue="1" operator="equal">
      <formula>"Napkin Hs"</formula>
    </cfRule>
    <cfRule type="cellIs" dxfId="31160" priority="3972" stopIfTrue="1" operator="equal">
      <formula>"Towel"</formula>
    </cfRule>
    <cfRule type="cellIs" dxfId="31159" priority="3973" stopIfTrue="1" operator="equal">
      <formula>"Napkin Hs"</formula>
    </cfRule>
    <cfRule type="cellIs" dxfId="31158" priority="3974" stopIfTrue="1" operator="equal">
      <formula>"Towel"</formula>
    </cfRule>
    <cfRule type="cellIs" dxfId="31157" priority="3975" stopIfTrue="1" operator="equal">
      <formula>"Napkin Hs"</formula>
    </cfRule>
    <cfRule type="cellIs" dxfId="31156" priority="3978" stopIfTrue="1" operator="equal">
      <formula>"Towel"</formula>
    </cfRule>
    <cfRule type="cellIs" dxfId="31155" priority="3979" stopIfTrue="1" operator="equal">
      <formula>"Napkin Hs"</formula>
    </cfRule>
    <cfRule type="cellIs" dxfId="31154" priority="3980" stopIfTrue="1" operator="equal">
      <formula>"Towel"</formula>
    </cfRule>
    <cfRule type="cellIs" dxfId="31153" priority="3981" stopIfTrue="1" operator="equal">
      <formula>"Napkin Hs"</formula>
    </cfRule>
    <cfRule type="cellIs" dxfId="31152" priority="3984" stopIfTrue="1" operator="equal">
      <formula>"Towel"</formula>
    </cfRule>
    <cfRule type="cellIs" dxfId="31151" priority="3985" stopIfTrue="1" operator="equal">
      <formula>"Napkin Hs"</formula>
    </cfRule>
  </conditionalFormatting>
  <conditionalFormatting sqref="C104">
    <cfRule type="cellIs" dxfId="31150" priority="3986" stopIfTrue="1" operator="equal">
      <formula>"Towel"</formula>
    </cfRule>
    <cfRule type="cellIs" dxfId="31149" priority="3987" stopIfTrue="1" operator="equal">
      <formula>"Napkin Hs"</formula>
    </cfRule>
  </conditionalFormatting>
  <conditionalFormatting sqref="B109">
    <cfRule type="cellIs" dxfId="31148" priority="3658" stopIfTrue="1" operator="equal">
      <formula>"Towel"</formula>
    </cfRule>
    <cfRule type="cellIs" dxfId="31147" priority="3659" stopIfTrue="1" operator="equal">
      <formula>"Napkin Hs"</formula>
    </cfRule>
    <cfRule type="cellIs" dxfId="31146" priority="3660" stopIfTrue="1" operator="equal">
      <formula>"Towel"</formula>
    </cfRule>
    <cfRule type="cellIs" dxfId="31145" priority="3661" stopIfTrue="1" operator="equal">
      <formula>"Napkin Hs"</formula>
    </cfRule>
    <cfRule type="cellIs" dxfId="31144" priority="3662" stopIfTrue="1" operator="equal">
      <formula>"Towel"</formula>
    </cfRule>
    <cfRule type="cellIs" dxfId="31143" priority="3663" stopIfTrue="1" operator="equal">
      <formula>"Napkin Hs"</formula>
    </cfRule>
    <cfRule type="cellIs" dxfId="31142" priority="3664" stopIfTrue="1" operator="equal">
      <formula>"Towel"</formula>
    </cfRule>
    <cfRule type="cellIs" dxfId="31141" priority="3665" stopIfTrue="1" operator="equal">
      <formula>"Napkin Hs"</formula>
    </cfRule>
    <cfRule type="cellIs" dxfId="31140" priority="3666" stopIfTrue="1" operator="equal">
      <formula>"Towel"</formula>
    </cfRule>
    <cfRule type="cellIs" dxfId="31139" priority="3667" stopIfTrue="1" operator="equal">
      <formula>"Napkin Hs"</formula>
    </cfRule>
    <cfRule type="cellIs" dxfId="31138" priority="3668" stopIfTrue="1" operator="equal">
      <formula>"Towel"</formula>
    </cfRule>
    <cfRule type="cellIs" dxfId="31137" priority="3669" stopIfTrue="1" operator="equal">
      <formula>"Napkin Hs"</formula>
    </cfRule>
    <cfRule type="cellIs" dxfId="31136" priority="3670" stopIfTrue="1" operator="equal">
      <formula>"Towel"</formula>
    </cfRule>
    <cfRule type="cellIs" dxfId="31135" priority="3671" stopIfTrue="1" operator="equal">
      <formula>"Napkin Hs"</formula>
    </cfRule>
    <cfRule type="cellIs" dxfId="31134" priority="3672" stopIfTrue="1" operator="equal">
      <formula>"Towel"</formula>
    </cfRule>
    <cfRule type="cellIs" dxfId="31133" priority="3673" stopIfTrue="1" operator="equal">
      <formula>"Napkin Hs"</formula>
    </cfRule>
  </conditionalFormatting>
  <conditionalFormatting sqref="B109:C110">
    <cfRule type="cellIs" dxfId="31132" priority="3650" stopIfTrue="1" operator="equal">
      <formula>"Towel"</formula>
    </cfRule>
    <cfRule type="cellIs" dxfId="31131" priority="3651" stopIfTrue="1" operator="equal">
      <formula>"Napkin Hs"</formula>
    </cfRule>
  </conditionalFormatting>
  <conditionalFormatting sqref="C109 B110:C110">
    <cfRule type="cellIs" dxfId="31130" priority="3657" stopIfTrue="1" operator="equal">
      <formula>"Napkin Hs"</formula>
    </cfRule>
  </conditionalFormatting>
  <conditionalFormatting sqref="C109 B110:C110">
    <cfRule type="cellIs" dxfId="31129" priority="3656" stopIfTrue="1" operator="equal">
      <formula>"Towel"</formula>
    </cfRule>
  </conditionalFormatting>
  <conditionalFormatting sqref="C109 B110:C110">
    <cfRule type="cellIs" dxfId="31128" priority="3608" stopIfTrue="1" operator="equal">
      <formula>"Towel"</formula>
    </cfRule>
    <cfRule type="cellIs" dxfId="31127" priority="3609" stopIfTrue="1" operator="equal">
      <formula>"Napkin Hs"</formula>
    </cfRule>
    <cfRule type="cellIs" dxfId="31126" priority="3614" stopIfTrue="1" operator="equal">
      <formula>"Towel"</formula>
    </cfRule>
    <cfRule type="cellIs" dxfId="31125" priority="3615" stopIfTrue="1" operator="equal">
      <formula>"Napkin Hs"</formula>
    </cfRule>
    <cfRule type="cellIs" dxfId="31124" priority="3620" stopIfTrue="1" operator="equal">
      <formula>"Towel"</formula>
    </cfRule>
    <cfRule type="cellIs" dxfId="31123" priority="3621" stopIfTrue="1" operator="equal">
      <formula>"Napkin Hs"</formula>
    </cfRule>
    <cfRule type="cellIs" dxfId="31122" priority="3626" stopIfTrue="1" operator="equal">
      <formula>"Towel"</formula>
    </cfRule>
    <cfRule type="cellIs" dxfId="31121" priority="3627" stopIfTrue="1" operator="equal">
      <formula>"Napkin Hs"</formula>
    </cfRule>
    <cfRule type="cellIs" dxfId="31120" priority="3632" stopIfTrue="1" operator="equal">
      <formula>"Towel"</formula>
    </cfRule>
    <cfRule type="cellIs" dxfId="31119" priority="3633" stopIfTrue="1" operator="equal">
      <formula>"Napkin Hs"</formula>
    </cfRule>
    <cfRule type="cellIs" dxfId="31118" priority="3638" stopIfTrue="1" operator="equal">
      <formula>"Towel"</formula>
    </cfRule>
    <cfRule type="cellIs" dxfId="31117" priority="3639" stopIfTrue="1" operator="equal">
      <formula>"Napkin Hs"</formula>
    </cfRule>
    <cfRule type="cellIs" dxfId="31116" priority="3644" stopIfTrue="1" operator="equal">
      <formula>"Towel"</formula>
    </cfRule>
    <cfRule type="cellIs" dxfId="31115" priority="3645" stopIfTrue="1" operator="equal">
      <formula>"Napkin Hs"</formula>
    </cfRule>
  </conditionalFormatting>
  <conditionalFormatting sqref="C109:C110">
    <cfRule type="cellIs" dxfId="31114" priority="3604" stopIfTrue="1" operator="equal">
      <formula>"Towel"</formula>
    </cfRule>
    <cfRule type="cellIs" dxfId="31113" priority="3605" stopIfTrue="1" operator="equal">
      <formula>"Napkin Hs"</formula>
    </cfRule>
    <cfRule type="cellIs" dxfId="31112" priority="3606" stopIfTrue="1" operator="equal">
      <formula>"Towel"</formula>
    </cfRule>
    <cfRule type="cellIs" dxfId="31111" priority="3607" stopIfTrue="1" operator="equal">
      <formula>"Napkin Hs"</formula>
    </cfRule>
    <cfRule type="cellIs" dxfId="31110" priority="3610" stopIfTrue="1" operator="equal">
      <formula>"Towel"</formula>
    </cfRule>
    <cfRule type="cellIs" dxfId="31109" priority="3611" stopIfTrue="1" operator="equal">
      <formula>"Napkin Hs"</formula>
    </cfRule>
    <cfRule type="cellIs" dxfId="31108" priority="3612" stopIfTrue="1" operator="equal">
      <formula>"Towel"</formula>
    </cfRule>
    <cfRule type="cellIs" dxfId="31107" priority="3613" stopIfTrue="1" operator="equal">
      <formula>"Napkin Hs"</formula>
    </cfRule>
    <cfRule type="cellIs" dxfId="31106" priority="3616" stopIfTrue="1" operator="equal">
      <formula>"Towel"</formula>
    </cfRule>
    <cfRule type="cellIs" dxfId="31105" priority="3617" stopIfTrue="1" operator="equal">
      <formula>"Napkin Hs"</formula>
    </cfRule>
    <cfRule type="cellIs" dxfId="31104" priority="3618" stopIfTrue="1" operator="equal">
      <formula>"Towel"</formula>
    </cfRule>
    <cfRule type="cellIs" dxfId="31103" priority="3619" stopIfTrue="1" operator="equal">
      <formula>"Napkin Hs"</formula>
    </cfRule>
    <cfRule type="cellIs" dxfId="31102" priority="3622" stopIfTrue="1" operator="equal">
      <formula>"Towel"</formula>
    </cfRule>
    <cfRule type="cellIs" dxfId="31101" priority="3623" stopIfTrue="1" operator="equal">
      <formula>"Napkin Hs"</formula>
    </cfRule>
    <cfRule type="cellIs" dxfId="31100" priority="3624" stopIfTrue="1" operator="equal">
      <formula>"Towel"</formula>
    </cfRule>
    <cfRule type="cellIs" dxfId="31099" priority="3625" stopIfTrue="1" operator="equal">
      <formula>"Napkin Hs"</formula>
    </cfRule>
    <cfRule type="cellIs" dxfId="31098" priority="3628" stopIfTrue="1" operator="equal">
      <formula>"Towel"</formula>
    </cfRule>
    <cfRule type="cellIs" dxfId="31097" priority="3629" stopIfTrue="1" operator="equal">
      <formula>"Napkin Hs"</formula>
    </cfRule>
    <cfRule type="cellIs" dxfId="31096" priority="3630" stopIfTrue="1" operator="equal">
      <formula>"Towel"</formula>
    </cfRule>
    <cfRule type="cellIs" dxfId="31095" priority="3631" stopIfTrue="1" operator="equal">
      <formula>"Napkin Hs"</formula>
    </cfRule>
    <cfRule type="cellIs" dxfId="31094" priority="3634" stopIfTrue="1" operator="equal">
      <formula>"Towel"</formula>
    </cfRule>
    <cfRule type="cellIs" dxfId="31093" priority="3635" stopIfTrue="1" operator="equal">
      <formula>"Napkin Hs"</formula>
    </cfRule>
    <cfRule type="cellIs" dxfId="31092" priority="3636" stopIfTrue="1" operator="equal">
      <formula>"Towel"</formula>
    </cfRule>
    <cfRule type="cellIs" dxfId="31091" priority="3637" stopIfTrue="1" operator="equal">
      <formula>"Napkin Hs"</formula>
    </cfRule>
    <cfRule type="cellIs" dxfId="31090" priority="3640" stopIfTrue="1" operator="equal">
      <formula>"Towel"</formula>
    </cfRule>
    <cfRule type="cellIs" dxfId="31089" priority="3641" stopIfTrue="1" operator="equal">
      <formula>"Napkin Hs"</formula>
    </cfRule>
    <cfRule type="cellIs" dxfId="31088" priority="3642" stopIfTrue="1" operator="equal">
      <formula>"Towel"</formula>
    </cfRule>
    <cfRule type="cellIs" dxfId="31087" priority="3643" stopIfTrue="1" operator="equal">
      <formula>"Napkin Hs"</formula>
    </cfRule>
    <cfRule type="cellIs" dxfId="31086" priority="3646" stopIfTrue="1" operator="equal">
      <formula>"Towel"</formula>
    </cfRule>
    <cfRule type="cellIs" dxfId="31085" priority="3647" stopIfTrue="1" operator="equal">
      <formula>"Napkin Hs"</formula>
    </cfRule>
    <cfRule type="cellIs" dxfId="31084" priority="3648" stopIfTrue="1" operator="equal">
      <formula>"Towel"</formula>
    </cfRule>
    <cfRule type="cellIs" dxfId="31083" priority="3649" stopIfTrue="1" operator="equal">
      <formula>"Napkin Hs"</formula>
    </cfRule>
    <cfRule type="cellIs" dxfId="31082" priority="3652" stopIfTrue="1" operator="equal">
      <formula>"Towel"</formula>
    </cfRule>
    <cfRule type="cellIs" dxfId="31081" priority="3653" stopIfTrue="1" operator="equal">
      <formula>"Napkin Hs"</formula>
    </cfRule>
  </conditionalFormatting>
  <conditionalFormatting sqref="C109:C110">
    <cfRule type="cellIs" dxfId="31080" priority="3654" stopIfTrue="1" operator="equal">
      <formula>"Towel"</formula>
    </cfRule>
    <cfRule type="cellIs" dxfId="31079" priority="3655" stopIfTrue="1" operator="equal">
      <formula>"Napkin Hs"</formula>
    </cfRule>
  </conditionalFormatting>
  <conditionalFormatting sqref="B107:B108">
    <cfRule type="cellIs" dxfId="31078" priority="3454" stopIfTrue="1" operator="equal">
      <formula>"Towel"</formula>
    </cfRule>
    <cfRule type="cellIs" dxfId="31077" priority="3455" stopIfTrue="1" operator="equal">
      <formula>"Napkin Hs"</formula>
    </cfRule>
  </conditionalFormatting>
  <conditionalFormatting sqref="B105:C105">
    <cfRule type="cellIs" dxfId="31076" priority="3292" stopIfTrue="1" operator="equal">
      <formula>"Towel"</formula>
    </cfRule>
    <cfRule type="cellIs" dxfId="31075" priority="3293" stopIfTrue="1" operator="equal">
      <formula>"Napkin Hs"</formula>
    </cfRule>
    <cfRule type="cellIs" dxfId="31074" priority="3298" stopIfTrue="1" operator="equal">
      <formula>"Towel"</formula>
    </cfRule>
    <cfRule type="cellIs" dxfId="31073" priority="3299" stopIfTrue="1" operator="equal">
      <formula>"Napkin Hs"</formula>
    </cfRule>
    <cfRule type="cellIs" dxfId="31072" priority="3304" stopIfTrue="1" operator="equal">
      <formula>"Towel"</formula>
    </cfRule>
    <cfRule type="cellIs" dxfId="31071" priority="3305" stopIfTrue="1" operator="equal">
      <formula>"Napkin Hs"</formula>
    </cfRule>
    <cfRule type="cellIs" dxfId="31070" priority="3310" stopIfTrue="1" operator="equal">
      <formula>"Towel"</formula>
    </cfRule>
    <cfRule type="cellIs" dxfId="31069" priority="3311" stopIfTrue="1" operator="equal">
      <formula>"Napkin Hs"</formula>
    </cfRule>
    <cfRule type="cellIs" dxfId="31068" priority="3316" stopIfTrue="1" operator="equal">
      <formula>"Towel"</formula>
    </cfRule>
    <cfRule type="cellIs" dxfId="31067" priority="3317" stopIfTrue="1" operator="equal">
      <formula>"Napkin Hs"</formula>
    </cfRule>
    <cfRule type="cellIs" dxfId="31066" priority="3322" stopIfTrue="1" operator="equal">
      <formula>"Towel"</formula>
    </cfRule>
    <cfRule type="cellIs" dxfId="31065" priority="3323" stopIfTrue="1" operator="equal">
      <formula>"Napkin Hs"</formula>
    </cfRule>
    <cfRule type="cellIs" dxfId="31064" priority="3326" stopIfTrue="1" operator="equal">
      <formula>"Towel"</formula>
    </cfRule>
    <cfRule type="cellIs" dxfId="31063" priority="3327" stopIfTrue="1" operator="equal">
      <formula>"Napkin Hs"</formula>
    </cfRule>
    <cfRule type="cellIs" dxfId="31062" priority="3334" stopIfTrue="1" operator="equal">
      <formula>"Towel"</formula>
    </cfRule>
    <cfRule type="cellIs" dxfId="31061" priority="3335" stopIfTrue="1" operator="equal">
      <formula>"Napkin Hs"</formula>
    </cfRule>
    <cfRule type="cellIs" dxfId="31060" priority="3340" stopIfTrue="1" operator="equal">
      <formula>"Towel"</formula>
    </cfRule>
    <cfRule type="cellIs" dxfId="31059" priority="3341" stopIfTrue="1" operator="equal">
      <formula>"Napkin Hs"</formula>
    </cfRule>
    <cfRule type="cellIs" dxfId="31058" priority="3346" stopIfTrue="1" operator="equal">
      <formula>"Towel"</formula>
    </cfRule>
    <cfRule type="cellIs" dxfId="31057" priority="3347" stopIfTrue="1" operator="equal">
      <formula>"Napkin Hs"</formula>
    </cfRule>
    <cfRule type="cellIs" dxfId="31056" priority="3352" stopIfTrue="1" operator="equal">
      <formula>"Towel"</formula>
    </cfRule>
    <cfRule type="cellIs" dxfId="31055" priority="3353" stopIfTrue="1" operator="equal">
      <formula>"Napkin Hs"</formula>
    </cfRule>
    <cfRule type="cellIs" dxfId="31054" priority="3358" stopIfTrue="1" operator="equal">
      <formula>"Towel"</formula>
    </cfRule>
    <cfRule type="cellIs" dxfId="31053" priority="3359" stopIfTrue="1" operator="equal">
      <formula>"Napkin Hs"</formula>
    </cfRule>
    <cfRule type="cellIs" dxfId="31052" priority="3364" stopIfTrue="1" operator="equal">
      <formula>"Towel"</formula>
    </cfRule>
    <cfRule type="cellIs" dxfId="31051" priority="3365" stopIfTrue="1" operator="equal">
      <formula>"Napkin Hs"</formula>
    </cfRule>
    <cfRule type="cellIs" dxfId="31050" priority="3370" stopIfTrue="1" operator="equal">
      <formula>"Towel"</formula>
    </cfRule>
    <cfRule type="cellIs" dxfId="31049" priority="3371" stopIfTrue="1" operator="equal">
      <formula>"Napkin Hs"</formula>
    </cfRule>
  </conditionalFormatting>
  <conditionalFormatting sqref="B106:C106">
    <cfRule type="cellIs" dxfId="31048" priority="3374" stopIfTrue="1" operator="equal">
      <formula>"Towel"</formula>
    </cfRule>
    <cfRule type="cellIs" dxfId="31047" priority="3375" stopIfTrue="1" operator="equal">
      <formula>"Napkin Hs"</formula>
    </cfRule>
    <cfRule type="cellIs" dxfId="31046" priority="3380" stopIfTrue="1" operator="equal">
      <formula>"Towel"</formula>
    </cfRule>
    <cfRule type="cellIs" dxfId="31045" priority="3381" stopIfTrue="1" operator="equal">
      <formula>"Napkin Hs"</formula>
    </cfRule>
    <cfRule type="cellIs" dxfId="31044" priority="3386" stopIfTrue="1" operator="equal">
      <formula>"Towel"</formula>
    </cfRule>
    <cfRule type="cellIs" dxfId="31043" priority="3387" stopIfTrue="1" operator="equal">
      <formula>"Napkin Hs"</formula>
    </cfRule>
    <cfRule type="cellIs" dxfId="31042" priority="3392" stopIfTrue="1" operator="equal">
      <formula>"Towel"</formula>
    </cfRule>
    <cfRule type="cellIs" dxfId="31041" priority="3393" stopIfTrue="1" operator="equal">
      <formula>"Napkin Hs"</formula>
    </cfRule>
    <cfRule type="cellIs" dxfId="31040" priority="3398" stopIfTrue="1" operator="equal">
      <formula>"Towel"</formula>
    </cfRule>
    <cfRule type="cellIs" dxfId="31039" priority="3399" stopIfTrue="1" operator="equal">
      <formula>"Napkin Hs"</formula>
    </cfRule>
    <cfRule type="cellIs" dxfId="31038" priority="3404" stopIfTrue="1" operator="equal">
      <formula>"Towel"</formula>
    </cfRule>
    <cfRule type="cellIs" dxfId="31037" priority="3405" stopIfTrue="1" operator="equal">
      <formula>"Napkin Hs"</formula>
    </cfRule>
    <cfRule type="cellIs" dxfId="31036" priority="3408" stopIfTrue="1" operator="equal">
      <formula>"Towel"</formula>
    </cfRule>
    <cfRule type="cellIs" dxfId="31035" priority="3409" stopIfTrue="1" operator="equal">
      <formula>"Napkin Hs"</formula>
    </cfRule>
    <cfRule type="cellIs" dxfId="31034" priority="3416" stopIfTrue="1" operator="equal">
      <formula>"Towel"</formula>
    </cfRule>
    <cfRule type="cellIs" dxfId="31033" priority="3417" stopIfTrue="1" operator="equal">
      <formula>"Napkin Hs"</formula>
    </cfRule>
    <cfRule type="cellIs" dxfId="31032" priority="3422" stopIfTrue="1" operator="equal">
      <formula>"Towel"</formula>
    </cfRule>
    <cfRule type="cellIs" dxfId="31031" priority="3423" stopIfTrue="1" operator="equal">
      <formula>"Napkin Hs"</formula>
    </cfRule>
    <cfRule type="cellIs" dxfId="31030" priority="3428" stopIfTrue="1" operator="equal">
      <formula>"Towel"</formula>
    </cfRule>
    <cfRule type="cellIs" dxfId="31029" priority="3429" stopIfTrue="1" operator="equal">
      <formula>"Napkin Hs"</formula>
    </cfRule>
    <cfRule type="cellIs" dxfId="31028" priority="3434" stopIfTrue="1" operator="equal">
      <formula>"Towel"</formula>
    </cfRule>
    <cfRule type="cellIs" dxfId="31027" priority="3435" stopIfTrue="1" operator="equal">
      <formula>"Napkin Hs"</formula>
    </cfRule>
    <cfRule type="cellIs" dxfId="31026" priority="3440" stopIfTrue="1" operator="equal">
      <formula>"Towel"</formula>
    </cfRule>
    <cfRule type="cellIs" dxfId="31025" priority="3441" stopIfTrue="1" operator="equal">
      <formula>"Napkin Hs"</formula>
    </cfRule>
    <cfRule type="cellIs" dxfId="31024" priority="3446" stopIfTrue="1" operator="equal">
      <formula>"Towel"</formula>
    </cfRule>
    <cfRule type="cellIs" dxfId="31023" priority="3447" stopIfTrue="1" operator="equal">
      <formula>"Napkin Hs"</formula>
    </cfRule>
    <cfRule type="cellIs" dxfId="31022" priority="3452" stopIfTrue="1" operator="equal">
      <formula>"Towel"</formula>
    </cfRule>
    <cfRule type="cellIs" dxfId="31021" priority="3453" stopIfTrue="1" operator="equal">
      <formula>"Napkin Hs"</formula>
    </cfRule>
  </conditionalFormatting>
  <conditionalFormatting sqref="B107:C107">
    <cfRule type="cellIs" dxfId="31020" priority="3514" stopIfTrue="1" operator="equal">
      <formula>"Towel"</formula>
    </cfRule>
    <cfRule type="cellIs" dxfId="31019" priority="3515" stopIfTrue="1" operator="equal">
      <formula>"Napkin Hs"</formula>
    </cfRule>
    <cfRule type="cellIs" dxfId="31018" priority="3520" stopIfTrue="1" operator="equal">
      <formula>"Towel"</formula>
    </cfRule>
    <cfRule type="cellIs" dxfId="31017" priority="3521" stopIfTrue="1" operator="equal">
      <formula>"Napkin Hs"</formula>
    </cfRule>
    <cfRule type="cellIs" dxfId="31016" priority="3526" stopIfTrue="1" operator="equal">
      <formula>"Towel"</formula>
    </cfRule>
    <cfRule type="cellIs" dxfId="31015" priority="3527" stopIfTrue="1" operator="equal">
      <formula>"Napkin Hs"</formula>
    </cfRule>
    <cfRule type="cellIs" dxfId="31014" priority="3532" stopIfTrue="1" operator="equal">
      <formula>"Towel"</formula>
    </cfRule>
    <cfRule type="cellIs" dxfId="31013" priority="3533" stopIfTrue="1" operator="equal">
      <formula>"Napkin Hs"</formula>
    </cfRule>
    <cfRule type="cellIs" dxfId="31012" priority="3538" stopIfTrue="1" operator="equal">
      <formula>"Towel"</formula>
    </cfRule>
    <cfRule type="cellIs" dxfId="31011" priority="3539" stopIfTrue="1" operator="equal">
      <formula>"Napkin Hs"</formula>
    </cfRule>
    <cfRule type="cellIs" dxfId="31010" priority="3544" stopIfTrue="1" operator="equal">
      <formula>"Towel"</formula>
    </cfRule>
    <cfRule type="cellIs" dxfId="31009" priority="3545" stopIfTrue="1" operator="equal">
      <formula>"Napkin Hs"</formula>
    </cfRule>
    <cfRule type="cellIs" dxfId="31008" priority="3550" stopIfTrue="1" operator="equal">
      <formula>"Towel"</formula>
    </cfRule>
    <cfRule type="cellIs" dxfId="31007" priority="3551" stopIfTrue="1" operator="equal">
      <formula>"Napkin Hs"</formula>
    </cfRule>
    <cfRule type="cellIs" dxfId="31006" priority="3556" stopIfTrue="1" operator="equal">
      <formula>"Towel"</formula>
    </cfRule>
    <cfRule type="cellIs" dxfId="31005" priority="3557" stopIfTrue="1" operator="equal">
      <formula>"Napkin Hs"</formula>
    </cfRule>
  </conditionalFormatting>
  <conditionalFormatting sqref="B107:C108">
    <cfRule type="cellIs" dxfId="31004" priority="3456" stopIfTrue="1" operator="equal">
      <formula>"Towel"</formula>
    </cfRule>
    <cfRule type="cellIs" dxfId="31003" priority="3457" stopIfTrue="1" operator="equal">
      <formula>"Napkin Hs"</formula>
    </cfRule>
    <cfRule type="cellIs" dxfId="31002" priority="3472" stopIfTrue="1" operator="equal">
      <formula>"Towel"</formula>
    </cfRule>
    <cfRule type="cellIs" dxfId="31001" priority="3473" stopIfTrue="1" operator="equal">
      <formula>"Napkin Hs"</formula>
    </cfRule>
    <cfRule type="cellIs" dxfId="31000" priority="3478" stopIfTrue="1" operator="equal">
      <formula>"Towel"</formula>
    </cfRule>
    <cfRule type="cellIs" dxfId="30999" priority="3479" stopIfTrue="1" operator="equal">
      <formula>"Napkin Hs"</formula>
    </cfRule>
    <cfRule type="cellIs" dxfId="30998" priority="3484" stopIfTrue="1" operator="equal">
      <formula>"Towel"</formula>
    </cfRule>
    <cfRule type="cellIs" dxfId="30997" priority="3485" stopIfTrue="1" operator="equal">
      <formula>"Napkin Hs"</formula>
    </cfRule>
    <cfRule type="cellIs" dxfId="30996" priority="3490" stopIfTrue="1" operator="equal">
      <formula>"Towel"</formula>
    </cfRule>
    <cfRule type="cellIs" dxfId="30995" priority="3491" stopIfTrue="1" operator="equal">
      <formula>"Napkin Hs"</formula>
    </cfRule>
    <cfRule type="cellIs" dxfId="30994" priority="3496" stopIfTrue="1" operator="equal">
      <formula>"Towel"</formula>
    </cfRule>
    <cfRule type="cellIs" dxfId="30993" priority="3497" stopIfTrue="1" operator="equal">
      <formula>"Napkin Hs"</formula>
    </cfRule>
    <cfRule type="cellIs" dxfId="30992" priority="3502" stopIfTrue="1" operator="equal">
      <formula>"Towel"</formula>
    </cfRule>
    <cfRule type="cellIs" dxfId="30991" priority="3503" stopIfTrue="1" operator="equal">
      <formula>"Napkin Hs"</formula>
    </cfRule>
    <cfRule type="cellIs" dxfId="30990" priority="3508" stopIfTrue="1" operator="equal">
      <formula>"Towel"</formula>
    </cfRule>
    <cfRule type="cellIs" dxfId="30989" priority="3509" stopIfTrue="1" operator="equal">
      <formula>"Napkin Hs"</formula>
    </cfRule>
  </conditionalFormatting>
  <conditionalFormatting sqref="B108:C108">
    <cfRule type="cellIs" dxfId="30988" priority="3560" stopIfTrue="1" operator="equal">
      <formula>"Towel"</formula>
    </cfRule>
    <cfRule type="cellIs" dxfId="30987" priority="3561" stopIfTrue="1" operator="equal">
      <formula>"Napkin Hs"</formula>
    </cfRule>
    <cfRule type="cellIs" dxfId="30986" priority="3566" stopIfTrue="1" operator="equal">
      <formula>"Towel"</formula>
    </cfRule>
    <cfRule type="cellIs" dxfId="30985" priority="3567" stopIfTrue="1" operator="equal">
      <formula>"Napkin Hs"</formula>
    </cfRule>
    <cfRule type="cellIs" dxfId="30984" priority="3572" stopIfTrue="1" operator="equal">
      <formula>"Towel"</formula>
    </cfRule>
    <cfRule type="cellIs" dxfId="30983" priority="3573" stopIfTrue="1" operator="equal">
      <formula>"Napkin Hs"</formula>
    </cfRule>
    <cfRule type="cellIs" dxfId="30982" priority="3578" stopIfTrue="1" operator="equal">
      <formula>"Towel"</formula>
    </cfRule>
    <cfRule type="cellIs" dxfId="30981" priority="3579" stopIfTrue="1" operator="equal">
      <formula>"Napkin Hs"</formula>
    </cfRule>
    <cfRule type="cellIs" dxfId="30980" priority="3584" stopIfTrue="1" operator="equal">
      <formula>"Towel"</formula>
    </cfRule>
    <cfRule type="cellIs" dxfId="30979" priority="3585" stopIfTrue="1" operator="equal">
      <formula>"Napkin Hs"</formula>
    </cfRule>
    <cfRule type="cellIs" dxfId="30978" priority="3590" stopIfTrue="1" operator="equal">
      <formula>"Towel"</formula>
    </cfRule>
    <cfRule type="cellIs" dxfId="30977" priority="3591" stopIfTrue="1" operator="equal">
      <formula>"Napkin Hs"</formula>
    </cfRule>
    <cfRule type="cellIs" dxfId="30976" priority="3596" stopIfTrue="1" operator="equal">
      <formula>"Towel"</formula>
    </cfRule>
    <cfRule type="cellIs" dxfId="30975" priority="3597" stopIfTrue="1" operator="equal">
      <formula>"Napkin Hs"</formula>
    </cfRule>
    <cfRule type="cellIs" dxfId="30974" priority="3602" stopIfTrue="1" operator="equal">
      <formula>"Towel"</formula>
    </cfRule>
    <cfRule type="cellIs" dxfId="30973" priority="3603" stopIfTrue="1" operator="equal">
      <formula>"Napkin Hs"</formula>
    </cfRule>
  </conditionalFormatting>
  <conditionalFormatting sqref="C105">
    <cfRule type="cellIs" dxfId="30972" priority="3288" stopIfTrue="1" operator="equal">
      <formula>"Towel"</formula>
    </cfRule>
    <cfRule type="cellIs" dxfId="30971" priority="3289" stopIfTrue="1" operator="equal">
      <formula>"Napkin Hs"</formula>
    </cfRule>
    <cfRule type="cellIs" dxfId="30970" priority="3290" stopIfTrue="1" operator="equal">
      <formula>"Towel"</formula>
    </cfRule>
    <cfRule type="cellIs" dxfId="30969" priority="3291" stopIfTrue="1" operator="equal">
      <formula>"Napkin Hs"</formula>
    </cfRule>
    <cfRule type="cellIs" dxfId="30968" priority="3294" stopIfTrue="1" operator="equal">
      <formula>"Towel"</formula>
    </cfRule>
    <cfRule type="cellIs" dxfId="30967" priority="3295" stopIfTrue="1" operator="equal">
      <formula>"Napkin Hs"</formula>
    </cfRule>
    <cfRule type="cellIs" dxfId="30966" priority="3296" stopIfTrue="1" operator="equal">
      <formula>"Towel"</formula>
    </cfRule>
    <cfRule type="cellIs" dxfId="30965" priority="3297" stopIfTrue="1" operator="equal">
      <formula>"Napkin Hs"</formula>
    </cfRule>
    <cfRule type="cellIs" dxfId="30964" priority="3300" stopIfTrue="1" operator="equal">
      <formula>"Towel"</formula>
    </cfRule>
    <cfRule type="cellIs" dxfId="30963" priority="3301" stopIfTrue="1" operator="equal">
      <formula>"Napkin Hs"</formula>
    </cfRule>
    <cfRule type="cellIs" dxfId="30962" priority="3302" stopIfTrue="1" operator="equal">
      <formula>"Towel"</formula>
    </cfRule>
    <cfRule type="cellIs" dxfId="30961" priority="3303" stopIfTrue="1" operator="equal">
      <formula>"Napkin Hs"</formula>
    </cfRule>
    <cfRule type="cellIs" dxfId="30960" priority="3306" stopIfTrue="1" operator="equal">
      <formula>"Towel"</formula>
    </cfRule>
    <cfRule type="cellIs" dxfId="30959" priority="3307" stopIfTrue="1" operator="equal">
      <formula>"Napkin Hs"</formula>
    </cfRule>
    <cfRule type="cellIs" dxfId="30958" priority="3308" stopIfTrue="1" operator="equal">
      <formula>"Towel"</formula>
    </cfRule>
    <cfRule type="cellIs" dxfId="30957" priority="3309" stopIfTrue="1" operator="equal">
      <formula>"Napkin Hs"</formula>
    </cfRule>
    <cfRule type="cellIs" dxfId="30956" priority="3312" stopIfTrue="1" operator="equal">
      <formula>"Towel"</formula>
    </cfRule>
    <cfRule type="cellIs" dxfId="30955" priority="3313" stopIfTrue="1" operator="equal">
      <formula>"Napkin Hs"</formula>
    </cfRule>
    <cfRule type="cellIs" dxfId="30954" priority="3314" stopIfTrue="1" operator="equal">
      <formula>"Towel"</formula>
    </cfRule>
    <cfRule type="cellIs" dxfId="30953" priority="3315" stopIfTrue="1" operator="equal">
      <formula>"Napkin Hs"</formula>
    </cfRule>
    <cfRule type="cellIs" dxfId="30952" priority="3318" stopIfTrue="1" operator="equal">
      <formula>"Towel"</formula>
    </cfRule>
    <cfRule type="cellIs" dxfId="30951" priority="3319" stopIfTrue="1" operator="equal">
      <formula>"Napkin Hs"</formula>
    </cfRule>
    <cfRule type="cellIs" dxfId="30950" priority="3320" stopIfTrue="1" operator="equal">
      <formula>"Towel"</formula>
    </cfRule>
    <cfRule type="cellIs" dxfId="30949" priority="3321" stopIfTrue="1" operator="equal">
      <formula>"Napkin Hs"</formula>
    </cfRule>
    <cfRule type="cellIs" dxfId="30948" priority="3324" stopIfTrue="1" operator="equal">
      <formula>"Towel"</formula>
    </cfRule>
    <cfRule type="cellIs" dxfId="30947" priority="3325" stopIfTrue="1" operator="equal">
      <formula>"Napkin Hs"</formula>
    </cfRule>
    <cfRule type="cellIs" dxfId="30946" priority="3328" stopIfTrue="1" operator="equal">
      <formula>"Towel"</formula>
    </cfRule>
    <cfRule type="cellIs" dxfId="30945" priority="3329" stopIfTrue="1" operator="equal">
      <formula>"Napkin Hs"</formula>
    </cfRule>
    <cfRule type="cellIs" dxfId="30944" priority="3330" stopIfTrue="1" operator="equal">
      <formula>"Towel"</formula>
    </cfRule>
    <cfRule type="cellIs" dxfId="30943" priority="3331" stopIfTrue="1" operator="equal">
      <formula>"Napkin Hs"</formula>
    </cfRule>
    <cfRule type="cellIs" dxfId="30942" priority="3332" stopIfTrue="1" operator="equal">
      <formula>"Towel"</formula>
    </cfRule>
    <cfRule type="cellIs" dxfId="30941" priority="3333" stopIfTrue="1" operator="equal">
      <formula>"Napkin Hs"</formula>
    </cfRule>
    <cfRule type="cellIs" dxfId="30940" priority="3336" stopIfTrue="1" operator="equal">
      <formula>"Towel"</formula>
    </cfRule>
    <cfRule type="cellIs" dxfId="30939" priority="3337" stopIfTrue="1" operator="equal">
      <formula>"Napkin Hs"</formula>
    </cfRule>
    <cfRule type="cellIs" dxfId="30938" priority="3338" stopIfTrue="1" operator="equal">
      <formula>"Towel"</formula>
    </cfRule>
    <cfRule type="cellIs" dxfId="30937" priority="3339" stopIfTrue="1" operator="equal">
      <formula>"Napkin Hs"</formula>
    </cfRule>
    <cfRule type="cellIs" dxfId="30936" priority="3342" stopIfTrue="1" operator="equal">
      <formula>"Towel"</formula>
    </cfRule>
    <cfRule type="cellIs" dxfId="30935" priority="3343" stopIfTrue="1" operator="equal">
      <formula>"Napkin Hs"</formula>
    </cfRule>
    <cfRule type="cellIs" dxfId="30934" priority="3344" stopIfTrue="1" operator="equal">
      <formula>"Towel"</formula>
    </cfRule>
    <cfRule type="cellIs" dxfId="30933" priority="3345" stopIfTrue="1" operator="equal">
      <formula>"Napkin Hs"</formula>
    </cfRule>
    <cfRule type="cellIs" dxfId="30932" priority="3348" stopIfTrue="1" operator="equal">
      <formula>"Towel"</formula>
    </cfRule>
    <cfRule type="cellIs" dxfId="30931" priority="3349" stopIfTrue="1" operator="equal">
      <formula>"Napkin Hs"</formula>
    </cfRule>
    <cfRule type="cellIs" dxfId="30930" priority="3350" stopIfTrue="1" operator="equal">
      <formula>"Towel"</formula>
    </cfRule>
    <cfRule type="cellIs" dxfId="30929" priority="3351" stopIfTrue="1" operator="equal">
      <formula>"Napkin Hs"</formula>
    </cfRule>
    <cfRule type="cellIs" dxfId="30928" priority="3354" stopIfTrue="1" operator="equal">
      <formula>"Towel"</formula>
    </cfRule>
    <cfRule type="cellIs" dxfId="30927" priority="3355" stopIfTrue="1" operator="equal">
      <formula>"Napkin Hs"</formula>
    </cfRule>
    <cfRule type="cellIs" dxfId="30926" priority="3356" stopIfTrue="1" operator="equal">
      <formula>"Towel"</formula>
    </cfRule>
    <cfRule type="cellIs" dxfId="30925" priority="3357" stopIfTrue="1" operator="equal">
      <formula>"Napkin Hs"</formula>
    </cfRule>
    <cfRule type="cellIs" dxfId="30924" priority="3360" stopIfTrue="1" operator="equal">
      <formula>"Towel"</formula>
    </cfRule>
    <cfRule type="cellIs" dxfId="30923" priority="3361" stopIfTrue="1" operator="equal">
      <formula>"Napkin Hs"</formula>
    </cfRule>
    <cfRule type="cellIs" dxfId="30922" priority="3362" stopIfTrue="1" operator="equal">
      <formula>"Towel"</formula>
    </cfRule>
    <cfRule type="cellIs" dxfId="30921" priority="3363" stopIfTrue="1" operator="equal">
      <formula>"Napkin Hs"</formula>
    </cfRule>
    <cfRule type="cellIs" dxfId="30920" priority="3366" stopIfTrue="1" operator="equal">
      <formula>"Towel"</formula>
    </cfRule>
    <cfRule type="cellIs" dxfId="30919" priority="3367" stopIfTrue="1" operator="equal">
      <formula>"Napkin Hs"</formula>
    </cfRule>
  </conditionalFormatting>
  <conditionalFormatting sqref="C105:C106">
    <cfRule type="cellIs" dxfId="30918" priority="3368" stopIfTrue="1" operator="equal">
      <formula>"Towel"</formula>
    </cfRule>
    <cfRule type="cellIs" dxfId="30917" priority="3369" stopIfTrue="1" operator="equal">
      <formula>"Napkin Hs"</formula>
    </cfRule>
  </conditionalFormatting>
  <conditionalFormatting sqref="C106">
    <cfRule type="cellIs" dxfId="30916" priority="3372" stopIfTrue="1" operator="equal">
      <formula>"Towel"</formula>
    </cfRule>
    <cfRule type="cellIs" dxfId="30915" priority="3373" stopIfTrue="1" operator="equal">
      <formula>"Napkin Hs"</formula>
    </cfRule>
    <cfRule type="cellIs" dxfId="30914" priority="3376" stopIfTrue="1" operator="equal">
      <formula>"Towel"</formula>
    </cfRule>
    <cfRule type="cellIs" dxfId="30913" priority="3377" stopIfTrue="1" operator="equal">
      <formula>"Napkin Hs"</formula>
    </cfRule>
    <cfRule type="cellIs" dxfId="30912" priority="3378" stopIfTrue="1" operator="equal">
      <formula>"Towel"</formula>
    </cfRule>
    <cfRule type="cellIs" dxfId="30911" priority="3379" stopIfTrue="1" operator="equal">
      <formula>"Napkin Hs"</formula>
    </cfRule>
    <cfRule type="cellIs" dxfId="30910" priority="3382" stopIfTrue="1" operator="equal">
      <formula>"Towel"</formula>
    </cfRule>
    <cfRule type="cellIs" dxfId="30909" priority="3383" stopIfTrue="1" operator="equal">
      <formula>"Napkin Hs"</formula>
    </cfRule>
    <cfRule type="cellIs" dxfId="30908" priority="3384" stopIfTrue="1" operator="equal">
      <formula>"Towel"</formula>
    </cfRule>
    <cfRule type="cellIs" dxfId="30907" priority="3385" stopIfTrue="1" operator="equal">
      <formula>"Napkin Hs"</formula>
    </cfRule>
    <cfRule type="cellIs" dxfId="30906" priority="3388" stopIfTrue="1" operator="equal">
      <formula>"Towel"</formula>
    </cfRule>
    <cfRule type="cellIs" dxfId="30905" priority="3389" stopIfTrue="1" operator="equal">
      <formula>"Napkin Hs"</formula>
    </cfRule>
    <cfRule type="cellIs" dxfId="30904" priority="3390" stopIfTrue="1" operator="equal">
      <formula>"Towel"</formula>
    </cfRule>
    <cfRule type="cellIs" dxfId="30903" priority="3391" stopIfTrue="1" operator="equal">
      <formula>"Napkin Hs"</formula>
    </cfRule>
    <cfRule type="cellIs" dxfId="30902" priority="3394" stopIfTrue="1" operator="equal">
      <formula>"Towel"</formula>
    </cfRule>
    <cfRule type="cellIs" dxfId="30901" priority="3395" stopIfTrue="1" operator="equal">
      <formula>"Napkin Hs"</formula>
    </cfRule>
    <cfRule type="cellIs" dxfId="30900" priority="3396" stopIfTrue="1" operator="equal">
      <formula>"Towel"</formula>
    </cfRule>
    <cfRule type="cellIs" dxfId="30899" priority="3397" stopIfTrue="1" operator="equal">
      <formula>"Napkin Hs"</formula>
    </cfRule>
    <cfRule type="cellIs" dxfId="30898" priority="3400" stopIfTrue="1" operator="equal">
      <formula>"Towel"</formula>
    </cfRule>
    <cfRule type="cellIs" dxfId="30897" priority="3401" stopIfTrue="1" operator="equal">
      <formula>"Napkin Hs"</formula>
    </cfRule>
    <cfRule type="cellIs" dxfId="30896" priority="3402" stopIfTrue="1" operator="equal">
      <formula>"Towel"</formula>
    </cfRule>
    <cfRule type="cellIs" dxfId="30895" priority="3403" stopIfTrue="1" operator="equal">
      <formula>"Napkin Hs"</formula>
    </cfRule>
    <cfRule type="cellIs" dxfId="30894" priority="3406" stopIfTrue="1" operator="equal">
      <formula>"Towel"</formula>
    </cfRule>
    <cfRule type="cellIs" dxfId="30893" priority="3407" stopIfTrue="1" operator="equal">
      <formula>"Napkin Hs"</formula>
    </cfRule>
    <cfRule type="cellIs" dxfId="30892" priority="3410" stopIfTrue="1" operator="equal">
      <formula>"Towel"</formula>
    </cfRule>
    <cfRule type="cellIs" dxfId="30891" priority="3411" stopIfTrue="1" operator="equal">
      <formula>"Napkin Hs"</formula>
    </cfRule>
    <cfRule type="cellIs" dxfId="30890" priority="3412" stopIfTrue="1" operator="equal">
      <formula>"Towel"</formula>
    </cfRule>
    <cfRule type="cellIs" dxfId="30889" priority="3413" stopIfTrue="1" operator="equal">
      <formula>"Napkin Hs"</formula>
    </cfRule>
    <cfRule type="cellIs" dxfId="30888" priority="3414" stopIfTrue="1" operator="equal">
      <formula>"Towel"</formula>
    </cfRule>
    <cfRule type="cellIs" dxfId="30887" priority="3415" stopIfTrue="1" operator="equal">
      <formula>"Napkin Hs"</formula>
    </cfRule>
    <cfRule type="cellIs" dxfId="30886" priority="3418" stopIfTrue="1" operator="equal">
      <formula>"Towel"</formula>
    </cfRule>
    <cfRule type="cellIs" dxfId="30885" priority="3419" stopIfTrue="1" operator="equal">
      <formula>"Napkin Hs"</formula>
    </cfRule>
    <cfRule type="cellIs" dxfId="30884" priority="3420" stopIfTrue="1" operator="equal">
      <formula>"Towel"</formula>
    </cfRule>
    <cfRule type="cellIs" dxfId="30883" priority="3421" stopIfTrue="1" operator="equal">
      <formula>"Napkin Hs"</formula>
    </cfRule>
    <cfRule type="cellIs" dxfId="30882" priority="3424" stopIfTrue="1" operator="equal">
      <formula>"Towel"</formula>
    </cfRule>
    <cfRule type="cellIs" dxfId="30881" priority="3425" stopIfTrue="1" operator="equal">
      <formula>"Napkin Hs"</formula>
    </cfRule>
    <cfRule type="cellIs" dxfId="30880" priority="3426" stopIfTrue="1" operator="equal">
      <formula>"Towel"</formula>
    </cfRule>
    <cfRule type="cellIs" dxfId="30879" priority="3427" stopIfTrue="1" operator="equal">
      <formula>"Napkin Hs"</formula>
    </cfRule>
    <cfRule type="cellIs" dxfId="30878" priority="3430" stopIfTrue="1" operator="equal">
      <formula>"Towel"</formula>
    </cfRule>
    <cfRule type="cellIs" dxfId="30877" priority="3431" stopIfTrue="1" operator="equal">
      <formula>"Napkin Hs"</formula>
    </cfRule>
    <cfRule type="cellIs" dxfId="30876" priority="3432" stopIfTrue="1" operator="equal">
      <formula>"Towel"</formula>
    </cfRule>
    <cfRule type="cellIs" dxfId="30875" priority="3433" stopIfTrue="1" operator="equal">
      <formula>"Napkin Hs"</formula>
    </cfRule>
    <cfRule type="cellIs" dxfId="30874" priority="3436" stopIfTrue="1" operator="equal">
      <formula>"Towel"</formula>
    </cfRule>
    <cfRule type="cellIs" dxfId="30873" priority="3437" stopIfTrue="1" operator="equal">
      <formula>"Napkin Hs"</formula>
    </cfRule>
    <cfRule type="cellIs" dxfId="30872" priority="3438" stopIfTrue="1" operator="equal">
      <formula>"Towel"</formula>
    </cfRule>
    <cfRule type="cellIs" dxfId="30871" priority="3439" stopIfTrue="1" operator="equal">
      <formula>"Napkin Hs"</formula>
    </cfRule>
    <cfRule type="cellIs" dxfId="30870" priority="3442" stopIfTrue="1" operator="equal">
      <formula>"Towel"</formula>
    </cfRule>
    <cfRule type="cellIs" dxfId="30869" priority="3443" stopIfTrue="1" operator="equal">
      <formula>"Napkin Hs"</formula>
    </cfRule>
    <cfRule type="cellIs" dxfId="30868" priority="3444" stopIfTrue="1" operator="equal">
      <formula>"Towel"</formula>
    </cfRule>
    <cfRule type="cellIs" dxfId="30867" priority="3445" stopIfTrue="1" operator="equal">
      <formula>"Napkin Hs"</formula>
    </cfRule>
    <cfRule type="cellIs" dxfId="30866" priority="3448" stopIfTrue="1" operator="equal">
      <formula>"Towel"</formula>
    </cfRule>
    <cfRule type="cellIs" dxfId="30865" priority="3449" stopIfTrue="1" operator="equal">
      <formula>"Napkin Hs"</formula>
    </cfRule>
    <cfRule type="cellIs" dxfId="30864" priority="3450" stopIfTrue="1" operator="equal">
      <formula>"Towel"</formula>
    </cfRule>
    <cfRule type="cellIs" dxfId="30863" priority="3451" stopIfTrue="1" operator="equal">
      <formula>"Napkin Hs"</formula>
    </cfRule>
  </conditionalFormatting>
  <conditionalFormatting sqref="C107">
    <cfRule type="cellIs" dxfId="30862" priority="3510" stopIfTrue="1" operator="equal">
      <formula>"Towel"</formula>
    </cfRule>
    <cfRule type="cellIs" dxfId="30861" priority="3511" stopIfTrue="1" operator="equal">
      <formula>"Napkin Hs"</formula>
    </cfRule>
    <cfRule type="cellIs" dxfId="30860" priority="3512" stopIfTrue="1" operator="equal">
      <formula>"Towel"</formula>
    </cfRule>
    <cfRule type="cellIs" dxfId="30859" priority="3513" stopIfTrue="1" operator="equal">
      <formula>"Napkin Hs"</formula>
    </cfRule>
    <cfRule type="cellIs" dxfId="30858" priority="3516" stopIfTrue="1" operator="equal">
      <formula>"Towel"</formula>
    </cfRule>
    <cfRule type="cellIs" dxfId="30857" priority="3517" stopIfTrue="1" operator="equal">
      <formula>"Napkin Hs"</formula>
    </cfRule>
    <cfRule type="cellIs" dxfId="30856" priority="3518" stopIfTrue="1" operator="equal">
      <formula>"Towel"</formula>
    </cfRule>
    <cfRule type="cellIs" dxfId="30855" priority="3519" stopIfTrue="1" operator="equal">
      <formula>"Napkin Hs"</formula>
    </cfRule>
    <cfRule type="cellIs" dxfId="30854" priority="3522" stopIfTrue="1" operator="equal">
      <formula>"Towel"</formula>
    </cfRule>
    <cfRule type="cellIs" dxfId="30853" priority="3523" stopIfTrue="1" operator="equal">
      <formula>"Napkin Hs"</formula>
    </cfRule>
    <cfRule type="cellIs" dxfId="30852" priority="3524" stopIfTrue="1" operator="equal">
      <formula>"Towel"</formula>
    </cfRule>
    <cfRule type="cellIs" dxfId="30851" priority="3525" stopIfTrue="1" operator="equal">
      <formula>"Napkin Hs"</formula>
    </cfRule>
    <cfRule type="cellIs" dxfId="30850" priority="3528" stopIfTrue="1" operator="equal">
      <formula>"Towel"</formula>
    </cfRule>
    <cfRule type="cellIs" dxfId="30849" priority="3529" stopIfTrue="1" operator="equal">
      <formula>"Napkin Hs"</formula>
    </cfRule>
    <cfRule type="cellIs" dxfId="30848" priority="3530" stopIfTrue="1" operator="equal">
      <formula>"Towel"</formula>
    </cfRule>
    <cfRule type="cellIs" dxfId="30847" priority="3531" stopIfTrue="1" operator="equal">
      <formula>"Napkin Hs"</formula>
    </cfRule>
    <cfRule type="cellIs" dxfId="30846" priority="3534" stopIfTrue="1" operator="equal">
      <formula>"Towel"</formula>
    </cfRule>
    <cfRule type="cellIs" dxfId="30845" priority="3535" stopIfTrue="1" operator="equal">
      <formula>"Napkin Hs"</formula>
    </cfRule>
    <cfRule type="cellIs" dxfId="30844" priority="3536" stopIfTrue="1" operator="equal">
      <formula>"Towel"</formula>
    </cfRule>
    <cfRule type="cellIs" dxfId="30843" priority="3537" stopIfTrue="1" operator="equal">
      <formula>"Napkin Hs"</formula>
    </cfRule>
    <cfRule type="cellIs" dxfId="30842" priority="3540" stopIfTrue="1" operator="equal">
      <formula>"Towel"</formula>
    </cfRule>
    <cfRule type="cellIs" dxfId="30841" priority="3541" stopIfTrue="1" operator="equal">
      <formula>"Napkin Hs"</formula>
    </cfRule>
    <cfRule type="cellIs" dxfId="30840" priority="3542" stopIfTrue="1" operator="equal">
      <formula>"Towel"</formula>
    </cfRule>
    <cfRule type="cellIs" dxfId="30839" priority="3543" stopIfTrue="1" operator="equal">
      <formula>"Napkin Hs"</formula>
    </cfRule>
    <cfRule type="cellIs" dxfId="30838" priority="3546" stopIfTrue="1" operator="equal">
      <formula>"Towel"</formula>
    </cfRule>
    <cfRule type="cellIs" dxfId="30837" priority="3547" stopIfTrue="1" operator="equal">
      <formula>"Napkin Hs"</formula>
    </cfRule>
    <cfRule type="cellIs" dxfId="30836" priority="3548" stopIfTrue="1" operator="equal">
      <formula>"Towel"</formula>
    </cfRule>
    <cfRule type="cellIs" dxfId="30835" priority="3549" stopIfTrue="1" operator="equal">
      <formula>"Napkin Hs"</formula>
    </cfRule>
    <cfRule type="cellIs" dxfId="30834" priority="3552" stopIfTrue="1" operator="equal">
      <formula>"Towel"</formula>
    </cfRule>
    <cfRule type="cellIs" dxfId="30833" priority="3553" stopIfTrue="1" operator="equal">
      <formula>"Napkin Hs"</formula>
    </cfRule>
  </conditionalFormatting>
  <conditionalFormatting sqref="C107:C108">
    <cfRule type="cellIs" dxfId="30832" priority="3458" stopIfTrue="1" operator="equal">
      <formula>"Towel"</formula>
    </cfRule>
    <cfRule type="cellIs" dxfId="30831" priority="3459" stopIfTrue="1" operator="equal">
      <formula>"Napkin Hs"</formula>
    </cfRule>
    <cfRule type="cellIs" dxfId="30830" priority="3460" stopIfTrue="1" operator="equal">
      <formula>"Towel"</formula>
    </cfRule>
    <cfRule type="cellIs" dxfId="30829" priority="3461" stopIfTrue="1" operator="equal">
      <formula>"Napkin Hs"</formula>
    </cfRule>
    <cfRule type="cellIs" dxfId="30828" priority="3462" stopIfTrue="1" operator="equal">
      <formula>"Towel"</formula>
    </cfRule>
    <cfRule type="cellIs" dxfId="30827" priority="3463" stopIfTrue="1" operator="equal">
      <formula>"Napkin Hs"</formula>
    </cfRule>
    <cfRule type="cellIs" dxfId="30826" priority="3464" stopIfTrue="1" operator="equal">
      <formula>"Towel"</formula>
    </cfRule>
    <cfRule type="cellIs" dxfId="30825" priority="3465" stopIfTrue="1" operator="equal">
      <formula>"Napkin Hs"</formula>
    </cfRule>
    <cfRule type="cellIs" dxfId="30824" priority="3466" stopIfTrue="1" operator="equal">
      <formula>"Towel"</formula>
    </cfRule>
    <cfRule type="cellIs" dxfId="30823" priority="3467" stopIfTrue="1" operator="equal">
      <formula>"Napkin Hs"</formula>
    </cfRule>
    <cfRule type="cellIs" dxfId="30822" priority="3468" stopIfTrue="1" operator="equal">
      <formula>"Towel"</formula>
    </cfRule>
    <cfRule type="cellIs" dxfId="30821" priority="3469" stopIfTrue="1" operator="equal">
      <formula>"Napkin Hs"</formula>
    </cfRule>
    <cfRule type="cellIs" dxfId="30820" priority="3470" stopIfTrue="1" operator="equal">
      <formula>"Towel"</formula>
    </cfRule>
    <cfRule type="cellIs" dxfId="30819" priority="3471" stopIfTrue="1" operator="equal">
      <formula>"Napkin Hs"</formula>
    </cfRule>
    <cfRule type="cellIs" dxfId="30818" priority="3474" stopIfTrue="1" operator="equal">
      <formula>"Towel"</formula>
    </cfRule>
    <cfRule type="cellIs" dxfId="30817" priority="3475" stopIfTrue="1" operator="equal">
      <formula>"Napkin Hs"</formula>
    </cfRule>
    <cfRule type="cellIs" dxfId="30816" priority="3476" stopIfTrue="1" operator="equal">
      <formula>"Towel"</formula>
    </cfRule>
    <cfRule type="cellIs" dxfId="30815" priority="3477" stopIfTrue="1" operator="equal">
      <formula>"Napkin Hs"</formula>
    </cfRule>
    <cfRule type="cellIs" dxfId="30814" priority="3480" stopIfTrue="1" operator="equal">
      <formula>"Towel"</formula>
    </cfRule>
    <cfRule type="cellIs" dxfId="30813" priority="3481" stopIfTrue="1" operator="equal">
      <formula>"Napkin Hs"</formula>
    </cfRule>
    <cfRule type="cellIs" dxfId="30812" priority="3482" stopIfTrue="1" operator="equal">
      <formula>"Towel"</formula>
    </cfRule>
    <cfRule type="cellIs" dxfId="30811" priority="3483" stopIfTrue="1" operator="equal">
      <formula>"Napkin Hs"</formula>
    </cfRule>
    <cfRule type="cellIs" dxfId="30810" priority="3486" stopIfTrue="1" operator="equal">
      <formula>"Towel"</formula>
    </cfRule>
    <cfRule type="cellIs" dxfId="30809" priority="3487" stopIfTrue="1" operator="equal">
      <formula>"Napkin Hs"</formula>
    </cfRule>
    <cfRule type="cellIs" dxfId="30808" priority="3488" stopIfTrue="1" operator="equal">
      <formula>"Towel"</formula>
    </cfRule>
    <cfRule type="cellIs" dxfId="30807" priority="3489" stopIfTrue="1" operator="equal">
      <formula>"Napkin Hs"</formula>
    </cfRule>
    <cfRule type="cellIs" dxfId="30806" priority="3492" stopIfTrue="1" operator="equal">
      <formula>"Towel"</formula>
    </cfRule>
    <cfRule type="cellIs" dxfId="30805" priority="3493" stopIfTrue="1" operator="equal">
      <formula>"Napkin Hs"</formula>
    </cfRule>
    <cfRule type="cellIs" dxfId="30804" priority="3494" stopIfTrue="1" operator="equal">
      <formula>"Towel"</formula>
    </cfRule>
    <cfRule type="cellIs" dxfId="30803" priority="3495" stopIfTrue="1" operator="equal">
      <formula>"Napkin Hs"</formula>
    </cfRule>
    <cfRule type="cellIs" dxfId="30802" priority="3498" stopIfTrue="1" operator="equal">
      <formula>"Towel"</formula>
    </cfRule>
    <cfRule type="cellIs" dxfId="30801" priority="3499" stopIfTrue="1" operator="equal">
      <formula>"Napkin Hs"</formula>
    </cfRule>
    <cfRule type="cellIs" dxfId="30800" priority="3500" stopIfTrue="1" operator="equal">
      <formula>"Towel"</formula>
    </cfRule>
    <cfRule type="cellIs" dxfId="30799" priority="3501" stopIfTrue="1" operator="equal">
      <formula>"Napkin Hs"</formula>
    </cfRule>
    <cfRule type="cellIs" dxfId="30798" priority="3504" stopIfTrue="1" operator="equal">
      <formula>"Towel"</formula>
    </cfRule>
    <cfRule type="cellIs" dxfId="30797" priority="3505" stopIfTrue="1" operator="equal">
      <formula>"Napkin Hs"</formula>
    </cfRule>
    <cfRule type="cellIs" dxfId="30796" priority="3506" stopIfTrue="1" operator="equal">
      <formula>"Towel"</formula>
    </cfRule>
    <cfRule type="cellIs" dxfId="30795" priority="3507" stopIfTrue="1" operator="equal">
      <formula>"Napkin Hs"</formula>
    </cfRule>
    <cfRule type="cellIs" dxfId="30794" priority="3554" stopIfTrue="1" operator="equal">
      <formula>"Towel"</formula>
    </cfRule>
    <cfRule type="cellIs" dxfId="30793" priority="3555" stopIfTrue="1" operator="equal">
      <formula>"Napkin Hs"</formula>
    </cfRule>
  </conditionalFormatting>
  <conditionalFormatting sqref="C108">
    <cfRule type="cellIs" dxfId="30792" priority="3558" stopIfTrue="1" operator="equal">
      <formula>"Towel"</formula>
    </cfRule>
    <cfRule type="cellIs" dxfId="30791" priority="3559" stopIfTrue="1" operator="equal">
      <formula>"Napkin Hs"</formula>
    </cfRule>
    <cfRule type="cellIs" dxfId="30790" priority="3562" stopIfTrue="1" operator="equal">
      <formula>"Towel"</formula>
    </cfRule>
    <cfRule type="cellIs" dxfId="30789" priority="3563" stopIfTrue="1" operator="equal">
      <formula>"Napkin Hs"</formula>
    </cfRule>
    <cfRule type="cellIs" dxfId="30788" priority="3564" stopIfTrue="1" operator="equal">
      <formula>"Towel"</formula>
    </cfRule>
    <cfRule type="cellIs" dxfId="30787" priority="3565" stopIfTrue="1" operator="equal">
      <formula>"Napkin Hs"</formula>
    </cfRule>
    <cfRule type="cellIs" dxfId="30786" priority="3568" stopIfTrue="1" operator="equal">
      <formula>"Towel"</formula>
    </cfRule>
    <cfRule type="cellIs" dxfId="30785" priority="3569" stopIfTrue="1" operator="equal">
      <formula>"Napkin Hs"</formula>
    </cfRule>
    <cfRule type="cellIs" dxfId="30784" priority="3570" stopIfTrue="1" operator="equal">
      <formula>"Towel"</formula>
    </cfRule>
    <cfRule type="cellIs" dxfId="30783" priority="3571" stopIfTrue="1" operator="equal">
      <formula>"Napkin Hs"</formula>
    </cfRule>
    <cfRule type="cellIs" dxfId="30782" priority="3574" stopIfTrue="1" operator="equal">
      <formula>"Towel"</formula>
    </cfRule>
    <cfRule type="cellIs" dxfId="30781" priority="3575" stopIfTrue="1" operator="equal">
      <formula>"Napkin Hs"</formula>
    </cfRule>
    <cfRule type="cellIs" dxfId="30780" priority="3576" stopIfTrue="1" operator="equal">
      <formula>"Towel"</formula>
    </cfRule>
    <cfRule type="cellIs" dxfId="30779" priority="3577" stopIfTrue="1" operator="equal">
      <formula>"Napkin Hs"</formula>
    </cfRule>
    <cfRule type="cellIs" dxfId="30778" priority="3580" stopIfTrue="1" operator="equal">
      <formula>"Towel"</formula>
    </cfRule>
    <cfRule type="cellIs" dxfId="30777" priority="3581" stopIfTrue="1" operator="equal">
      <formula>"Napkin Hs"</formula>
    </cfRule>
    <cfRule type="cellIs" dxfId="30776" priority="3582" stopIfTrue="1" operator="equal">
      <formula>"Towel"</formula>
    </cfRule>
    <cfRule type="cellIs" dxfId="30775" priority="3583" stopIfTrue="1" operator="equal">
      <formula>"Napkin Hs"</formula>
    </cfRule>
    <cfRule type="cellIs" dxfId="30774" priority="3586" stopIfTrue="1" operator="equal">
      <formula>"Towel"</formula>
    </cfRule>
    <cfRule type="cellIs" dxfId="30773" priority="3587" stopIfTrue="1" operator="equal">
      <formula>"Napkin Hs"</formula>
    </cfRule>
    <cfRule type="cellIs" dxfId="30772" priority="3588" stopIfTrue="1" operator="equal">
      <formula>"Towel"</formula>
    </cfRule>
    <cfRule type="cellIs" dxfId="30771" priority="3589" stopIfTrue="1" operator="equal">
      <formula>"Napkin Hs"</formula>
    </cfRule>
    <cfRule type="cellIs" dxfId="30770" priority="3592" stopIfTrue="1" operator="equal">
      <formula>"Towel"</formula>
    </cfRule>
    <cfRule type="cellIs" dxfId="30769" priority="3593" stopIfTrue="1" operator="equal">
      <formula>"Napkin Hs"</formula>
    </cfRule>
    <cfRule type="cellIs" dxfId="30768" priority="3594" stopIfTrue="1" operator="equal">
      <formula>"Towel"</formula>
    </cfRule>
    <cfRule type="cellIs" dxfId="30767" priority="3595" stopIfTrue="1" operator="equal">
      <formula>"Napkin Hs"</formula>
    </cfRule>
    <cfRule type="cellIs" dxfId="30766" priority="3598" stopIfTrue="1" operator="equal">
      <formula>"Towel"</formula>
    </cfRule>
    <cfRule type="cellIs" dxfId="30765" priority="3599" stopIfTrue="1" operator="equal">
      <formula>"Napkin Hs"</formula>
    </cfRule>
  </conditionalFormatting>
  <conditionalFormatting sqref="C108">
    <cfRule type="cellIs" dxfId="30764" priority="3600" stopIfTrue="1" operator="equal">
      <formula>"Towel"</formula>
    </cfRule>
    <cfRule type="cellIs" dxfId="30763" priority="3601" stopIfTrue="1" operator="equal">
      <formula>"Napkin Hs"</formula>
    </cfRule>
  </conditionalFormatting>
  <conditionalFormatting sqref="B111">
    <cfRule type="cellIs" dxfId="30762" priority="3269" stopIfTrue="1" operator="equal">
      <formula>"Towel"</formula>
    </cfRule>
    <cfRule type="cellIs" dxfId="30761" priority="3270" stopIfTrue="1" operator="equal">
      <formula>"Napkin Hs"</formula>
    </cfRule>
    <cfRule type="cellIs" dxfId="30760" priority="3271" stopIfTrue="1" operator="equal">
      <formula>"Towel"</formula>
    </cfRule>
    <cfRule type="cellIs" dxfId="30759" priority="3272" stopIfTrue="1" operator="equal">
      <formula>"Napkin Hs"</formula>
    </cfRule>
    <cfRule type="cellIs" dxfId="30758" priority="3273" stopIfTrue="1" operator="equal">
      <formula>"Towel"</formula>
    </cfRule>
    <cfRule type="cellIs" dxfId="30757" priority="3274" stopIfTrue="1" operator="equal">
      <formula>"Napkin Hs"</formula>
    </cfRule>
    <cfRule type="cellIs" dxfId="30756" priority="3275" stopIfTrue="1" operator="equal">
      <formula>"Towel"</formula>
    </cfRule>
    <cfRule type="cellIs" dxfId="30755" priority="3276" stopIfTrue="1" operator="equal">
      <formula>"Napkin Hs"</formula>
    </cfRule>
    <cfRule type="cellIs" dxfId="30754" priority="3277" stopIfTrue="1" operator="equal">
      <formula>"Towel"</formula>
    </cfRule>
    <cfRule type="cellIs" dxfId="30753" priority="3278" stopIfTrue="1" operator="equal">
      <formula>"Napkin Hs"</formula>
    </cfRule>
    <cfRule type="cellIs" dxfId="30752" priority="3279" stopIfTrue="1" operator="equal">
      <formula>"Towel"</formula>
    </cfRule>
    <cfRule type="cellIs" dxfId="30751" priority="3280" stopIfTrue="1" operator="equal">
      <formula>"Napkin Hs"</formula>
    </cfRule>
    <cfRule type="cellIs" dxfId="30750" priority="3281" stopIfTrue="1" operator="equal">
      <formula>"Towel"</formula>
    </cfRule>
    <cfRule type="cellIs" dxfId="30749" priority="3282" stopIfTrue="1" operator="equal">
      <formula>"Napkin Hs"</formula>
    </cfRule>
    <cfRule type="cellIs" dxfId="30748" priority="3283" stopIfTrue="1" operator="equal">
      <formula>"Towel"</formula>
    </cfRule>
    <cfRule type="cellIs" dxfId="30747" priority="3284" stopIfTrue="1" operator="equal">
      <formula>"Napkin Hs"</formula>
    </cfRule>
  </conditionalFormatting>
  <conditionalFormatting sqref="B111:C112">
    <cfRule type="cellIs" dxfId="30746" priority="3261" stopIfTrue="1" operator="equal">
      <formula>"Towel"</formula>
    </cfRule>
    <cfRule type="cellIs" dxfId="30745" priority="3262" stopIfTrue="1" operator="equal">
      <formula>"Napkin Hs"</formula>
    </cfRule>
  </conditionalFormatting>
  <conditionalFormatting sqref="B113:C113">
    <cfRule type="cellIs" dxfId="30744" priority="3285" stopIfTrue="1" operator="equal">
      <formula>"Napkin Hs"</formula>
    </cfRule>
  </conditionalFormatting>
  <conditionalFormatting sqref="B114:C114">
    <cfRule type="cellIs" dxfId="30743" priority="3165" stopIfTrue="1" operator="equal">
      <formula>"Towel"</formula>
    </cfRule>
    <cfRule type="cellIs" dxfId="30742" priority="3166" stopIfTrue="1" operator="equal">
      <formula>"Napkin Hs"</formula>
    </cfRule>
    <cfRule type="cellIs" dxfId="30741" priority="3171" stopIfTrue="1" operator="equal">
      <formula>"Towel"</formula>
    </cfRule>
    <cfRule type="cellIs" dxfId="30740" priority="3172" stopIfTrue="1" operator="equal">
      <formula>"Napkin Hs"</formula>
    </cfRule>
    <cfRule type="cellIs" dxfId="30739" priority="3177" stopIfTrue="1" operator="equal">
      <formula>"Towel"</formula>
    </cfRule>
    <cfRule type="cellIs" dxfId="30738" priority="3178" stopIfTrue="1" operator="equal">
      <formula>"Napkin Hs"</formula>
    </cfRule>
    <cfRule type="cellIs" dxfId="30737" priority="3183" stopIfTrue="1" operator="equal">
      <formula>"Towel"</formula>
    </cfRule>
    <cfRule type="cellIs" dxfId="30736" priority="3184" stopIfTrue="1" operator="equal">
      <formula>"Napkin Hs"</formula>
    </cfRule>
    <cfRule type="cellIs" dxfId="30735" priority="3189" stopIfTrue="1" operator="equal">
      <formula>"Towel"</formula>
    </cfRule>
    <cfRule type="cellIs" dxfId="30734" priority="3190" stopIfTrue="1" operator="equal">
      <formula>"Napkin Hs"</formula>
    </cfRule>
    <cfRule type="cellIs" dxfId="30733" priority="3195" stopIfTrue="1" operator="equal">
      <formula>"Towel"</formula>
    </cfRule>
    <cfRule type="cellIs" dxfId="30732" priority="3196" stopIfTrue="1" operator="equal">
      <formula>"Napkin Hs"</formula>
    </cfRule>
    <cfRule type="cellIs" dxfId="30731" priority="3201" stopIfTrue="1" operator="equal">
      <formula>"Towel"</formula>
    </cfRule>
    <cfRule type="cellIs" dxfId="30730" priority="3202" stopIfTrue="1" operator="equal">
      <formula>"Napkin Hs"</formula>
    </cfRule>
    <cfRule type="cellIs" dxfId="30729" priority="3207" stopIfTrue="1" operator="equal">
      <formula>"Towel"</formula>
    </cfRule>
    <cfRule type="cellIs" dxfId="30728" priority="3208" stopIfTrue="1" operator="equal">
      <formula>"Napkin Hs"</formula>
    </cfRule>
    <cfRule type="cellIs" dxfId="30727" priority="3213" stopIfTrue="1" operator="equal">
      <formula>"Towel"</formula>
    </cfRule>
    <cfRule type="cellIs" dxfId="30726" priority="3214" stopIfTrue="1" operator="equal">
      <formula>"Napkin Hs"</formula>
    </cfRule>
  </conditionalFormatting>
  <conditionalFormatting sqref="C111 B112:C112">
    <cfRule type="cellIs" dxfId="30725" priority="3268" stopIfTrue="1" operator="equal">
      <formula>"Napkin Hs"</formula>
    </cfRule>
  </conditionalFormatting>
  <conditionalFormatting sqref="C111 B112:C113">
    <cfRule type="cellIs" dxfId="30724" priority="3267" stopIfTrue="1" operator="equal">
      <formula>"Towel"</formula>
    </cfRule>
  </conditionalFormatting>
  <conditionalFormatting sqref="C111 B112:C112">
    <cfRule type="cellIs" dxfId="30723" priority="3219" stopIfTrue="1" operator="equal">
      <formula>"Towel"</formula>
    </cfRule>
    <cfRule type="cellIs" dxfId="30722" priority="3220" stopIfTrue="1" operator="equal">
      <formula>"Napkin Hs"</formula>
    </cfRule>
    <cfRule type="cellIs" dxfId="30721" priority="3225" stopIfTrue="1" operator="equal">
      <formula>"Towel"</formula>
    </cfRule>
    <cfRule type="cellIs" dxfId="30720" priority="3226" stopIfTrue="1" operator="equal">
      <formula>"Napkin Hs"</formula>
    </cfRule>
    <cfRule type="cellIs" dxfId="30719" priority="3231" stopIfTrue="1" operator="equal">
      <formula>"Towel"</formula>
    </cfRule>
    <cfRule type="cellIs" dxfId="30718" priority="3232" stopIfTrue="1" operator="equal">
      <formula>"Napkin Hs"</formula>
    </cfRule>
    <cfRule type="cellIs" dxfId="30717" priority="3237" stopIfTrue="1" operator="equal">
      <formula>"Towel"</formula>
    </cfRule>
    <cfRule type="cellIs" dxfId="30716" priority="3238" stopIfTrue="1" operator="equal">
      <formula>"Napkin Hs"</formula>
    </cfRule>
    <cfRule type="cellIs" dxfId="30715" priority="3243" stopIfTrue="1" operator="equal">
      <formula>"Towel"</formula>
    </cfRule>
    <cfRule type="cellIs" dxfId="30714" priority="3244" stopIfTrue="1" operator="equal">
      <formula>"Napkin Hs"</formula>
    </cfRule>
    <cfRule type="cellIs" dxfId="30713" priority="3249" stopIfTrue="1" operator="equal">
      <formula>"Towel"</formula>
    </cfRule>
    <cfRule type="cellIs" dxfId="30712" priority="3250" stopIfTrue="1" operator="equal">
      <formula>"Napkin Hs"</formula>
    </cfRule>
    <cfRule type="cellIs" dxfId="30711" priority="3255" stopIfTrue="1" operator="equal">
      <formula>"Towel"</formula>
    </cfRule>
    <cfRule type="cellIs" dxfId="30710" priority="3256" stopIfTrue="1" operator="equal">
      <formula>"Napkin Hs"</formula>
    </cfRule>
  </conditionalFormatting>
  <conditionalFormatting sqref="C111:C112">
    <cfRule type="cellIs" dxfId="30709" priority="3215" stopIfTrue="1" operator="equal">
      <formula>"Towel"</formula>
    </cfRule>
    <cfRule type="cellIs" dxfId="30708" priority="3216" stopIfTrue="1" operator="equal">
      <formula>"Napkin Hs"</formula>
    </cfRule>
    <cfRule type="cellIs" dxfId="30707" priority="3217" stopIfTrue="1" operator="equal">
      <formula>"Towel"</formula>
    </cfRule>
    <cfRule type="cellIs" dxfId="30706" priority="3218" stopIfTrue="1" operator="equal">
      <formula>"Napkin Hs"</formula>
    </cfRule>
    <cfRule type="cellIs" dxfId="30705" priority="3221" stopIfTrue="1" operator="equal">
      <formula>"Towel"</formula>
    </cfRule>
    <cfRule type="cellIs" dxfId="30704" priority="3222" stopIfTrue="1" operator="equal">
      <formula>"Napkin Hs"</formula>
    </cfRule>
    <cfRule type="cellIs" dxfId="30703" priority="3223" stopIfTrue="1" operator="equal">
      <formula>"Towel"</formula>
    </cfRule>
    <cfRule type="cellIs" dxfId="30702" priority="3224" stopIfTrue="1" operator="equal">
      <formula>"Napkin Hs"</formula>
    </cfRule>
    <cfRule type="cellIs" dxfId="30701" priority="3227" stopIfTrue="1" operator="equal">
      <formula>"Towel"</formula>
    </cfRule>
    <cfRule type="cellIs" dxfId="30700" priority="3228" stopIfTrue="1" operator="equal">
      <formula>"Napkin Hs"</formula>
    </cfRule>
    <cfRule type="cellIs" dxfId="30699" priority="3229" stopIfTrue="1" operator="equal">
      <formula>"Towel"</formula>
    </cfRule>
    <cfRule type="cellIs" dxfId="30698" priority="3230" stopIfTrue="1" operator="equal">
      <formula>"Napkin Hs"</formula>
    </cfRule>
    <cfRule type="cellIs" dxfId="30697" priority="3233" stopIfTrue="1" operator="equal">
      <formula>"Towel"</formula>
    </cfRule>
    <cfRule type="cellIs" dxfId="30696" priority="3234" stopIfTrue="1" operator="equal">
      <formula>"Napkin Hs"</formula>
    </cfRule>
    <cfRule type="cellIs" dxfId="30695" priority="3235" stopIfTrue="1" operator="equal">
      <formula>"Towel"</formula>
    </cfRule>
    <cfRule type="cellIs" dxfId="30694" priority="3236" stopIfTrue="1" operator="equal">
      <formula>"Napkin Hs"</formula>
    </cfRule>
    <cfRule type="cellIs" dxfId="30693" priority="3239" stopIfTrue="1" operator="equal">
      <formula>"Towel"</formula>
    </cfRule>
    <cfRule type="cellIs" dxfId="30692" priority="3240" stopIfTrue="1" operator="equal">
      <formula>"Napkin Hs"</formula>
    </cfRule>
    <cfRule type="cellIs" dxfId="30691" priority="3241" stopIfTrue="1" operator="equal">
      <formula>"Towel"</formula>
    </cfRule>
    <cfRule type="cellIs" dxfId="30690" priority="3242" stopIfTrue="1" operator="equal">
      <formula>"Napkin Hs"</formula>
    </cfRule>
    <cfRule type="cellIs" dxfId="30689" priority="3245" stopIfTrue="1" operator="equal">
      <formula>"Towel"</formula>
    </cfRule>
    <cfRule type="cellIs" dxfId="30688" priority="3246" stopIfTrue="1" operator="equal">
      <formula>"Napkin Hs"</formula>
    </cfRule>
    <cfRule type="cellIs" dxfId="30687" priority="3247" stopIfTrue="1" operator="equal">
      <formula>"Towel"</formula>
    </cfRule>
    <cfRule type="cellIs" dxfId="30686" priority="3248" stopIfTrue="1" operator="equal">
      <formula>"Napkin Hs"</formula>
    </cfRule>
    <cfRule type="cellIs" dxfId="30685" priority="3251" stopIfTrue="1" operator="equal">
      <formula>"Towel"</formula>
    </cfRule>
    <cfRule type="cellIs" dxfId="30684" priority="3252" stopIfTrue="1" operator="equal">
      <formula>"Napkin Hs"</formula>
    </cfRule>
    <cfRule type="cellIs" dxfId="30683" priority="3253" stopIfTrue="1" operator="equal">
      <formula>"Towel"</formula>
    </cfRule>
    <cfRule type="cellIs" dxfId="30682" priority="3254" stopIfTrue="1" operator="equal">
      <formula>"Napkin Hs"</formula>
    </cfRule>
    <cfRule type="cellIs" dxfId="30681" priority="3257" stopIfTrue="1" operator="equal">
      <formula>"Towel"</formula>
    </cfRule>
    <cfRule type="cellIs" dxfId="30680" priority="3258" stopIfTrue="1" operator="equal">
      <formula>"Napkin Hs"</formula>
    </cfRule>
    <cfRule type="cellIs" dxfId="30679" priority="3259" stopIfTrue="1" operator="equal">
      <formula>"Towel"</formula>
    </cfRule>
    <cfRule type="cellIs" dxfId="30678" priority="3260" stopIfTrue="1" operator="equal">
      <formula>"Napkin Hs"</formula>
    </cfRule>
    <cfRule type="cellIs" dxfId="30677" priority="3263" stopIfTrue="1" operator="equal">
      <formula>"Towel"</formula>
    </cfRule>
    <cfRule type="cellIs" dxfId="30676" priority="3264" stopIfTrue="1" operator="equal">
      <formula>"Napkin Hs"</formula>
    </cfRule>
  </conditionalFormatting>
  <conditionalFormatting sqref="C111:C113">
    <cfRule type="cellIs" dxfId="30675" priority="3265" stopIfTrue="1" operator="equal">
      <formula>"Towel"</formula>
    </cfRule>
    <cfRule type="cellIs" dxfId="30674" priority="3266" stopIfTrue="1" operator="equal">
      <formula>"Napkin Hs"</formula>
    </cfRule>
  </conditionalFormatting>
  <conditionalFormatting sqref="C113">
    <cfRule type="cellIs" dxfId="30673" priority="3286" stopIfTrue="1" operator="equal">
      <formula>"Towel"</formula>
    </cfRule>
    <cfRule type="cellIs" dxfId="30672" priority="3287" stopIfTrue="1" operator="equal">
      <formula>"Napkin Hs"</formula>
    </cfRule>
  </conditionalFormatting>
  <conditionalFormatting sqref="C114">
    <cfRule type="cellIs" dxfId="30671" priority="3163" stopIfTrue="1" operator="equal">
      <formula>"Towel"</formula>
    </cfRule>
    <cfRule type="cellIs" dxfId="30670" priority="3164" stopIfTrue="1" operator="equal">
      <formula>"Napkin Hs"</formula>
    </cfRule>
    <cfRule type="cellIs" dxfId="30669" priority="3167" stopIfTrue="1" operator="equal">
      <formula>"Towel"</formula>
    </cfRule>
    <cfRule type="cellIs" dxfId="30668" priority="3168" stopIfTrue="1" operator="equal">
      <formula>"Napkin Hs"</formula>
    </cfRule>
    <cfRule type="cellIs" dxfId="30667" priority="3169" stopIfTrue="1" operator="equal">
      <formula>"Towel"</formula>
    </cfRule>
    <cfRule type="cellIs" dxfId="30666" priority="3170" stopIfTrue="1" operator="equal">
      <formula>"Napkin Hs"</formula>
    </cfRule>
    <cfRule type="cellIs" dxfId="30665" priority="3173" stopIfTrue="1" operator="equal">
      <formula>"Towel"</formula>
    </cfRule>
    <cfRule type="cellIs" dxfId="30664" priority="3174" stopIfTrue="1" operator="equal">
      <formula>"Napkin Hs"</formula>
    </cfRule>
    <cfRule type="cellIs" dxfId="30663" priority="3175" stopIfTrue="1" operator="equal">
      <formula>"Towel"</formula>
    </cfRule>
    <cfRule type="cellIs" dxfId="30662" priority="3176" stopIfTrue="1" operator="equal">
      <formula>"Napkin Hs"</formula>
    </cfRule>
    <cfRule type="cellIs" dxfId="30661" priority="3179" stopIfTrue="1" operator="equal">
      <formula>"Towel"</formula>
    </cfRule>
    <cfRule type="cellIs" dxfId="30660" priority="3180" stopIfTrue="1" operator="equal">
      <formula>"Napkin Hs"</formula>
    </cfRule>
    <cfRule type="cellIs" dxfId="30659" priority="3181" stopIfTrue="1" operator="equal">
      <formula>"Towel"</formula>
    </cfRule>
    <cfRule type="cellIs" dxfId="30658" priority="3182" stopIfTrue="1" operator="equal">
      <formula>"Napkin Hs"</formula>
    </cfRule>
    <cfRule type="cellIs" dxfId="30657" priority="3185" stopIfTrue="1" operator="equal">
      <formula>"Towel"</formula>
    </cfRule>
    <cfRule type="cellIs" dxfId="30656" priority="3186" stopIfTrue="1" operator="equal">
      <formula>"Napkin Hs"</formula>
    </cfRule>
    <cfRule type="cellIs" dxfId="30655" priority="3187" stopIfTrue="1" operator="equal">
      <formula>"Towel"</formula>
    </cfRule>
    <cfRule type="cellIs" dxfId="30654" priority="3188" stopIfTrue="1" operator="equal">
      <formula>"Napkin Hs"</formula>
    </cfRule>
    <cfRule type="cellIs" dxfId="30653" priority="3191" stopIfTrue="1" operator="equal">
      <formula>"Towel"</formula>
    </cfRule>
    <cfRule type="cellIs" dxfId="30652" priority="3192" stopIfTrue="1" operator="equal">
      <formula>"Napkin Hs"</formula>
    </cfRule>
    <cfRule type="cellIs" dxfId="30651" priority="3193" stopIfTrue="1" operator="equal">
      <formula>"Towel"</formula>
    </cfRule>
    <cfRule type="cellIs" dxfId="30650" priority="3194" stopIfTrue="1" operator="equal">
      <formula>"Napkin Hs"</formula>
    </cfRule>
    <cfRule type="cellIs" dxfId="30649" priority="3197" stopIfTrue="1" operator="equal">
      <formula>"Towel"</formula>
    </cfRule>
    <cfRule type="cellIs" dxfId="30648" priority="3198" stopIfTrue="1" operator="equal">
      <formula>"Napkin Hs"</formula>
    </cfRule>
    <cfRule type="cellIs" dxfId="30647" priority="3199" stopIfTrue="1" operator="equal">
      <formula>"Towel"</formula>
    </cfRule>
    <cfRule type="cellIs" dxfId="30646" priority="3200" stopIfTrue="1" operator="equal">
      <formula>"Napkin Hs"</formula>
    </cfRule>
    <cfRule type="cellIs" dxfId="30645" priority="3203" stopIfTrue="1" operator="equal">
      <formula>"Towel"</formula>
    </cfRule>
    <cfRule type="cellIs" dxfId="30644" priority="3204" stopIfTrue="1" operator="equal">
      <formula>"Napkin Hs"</formula>
    </cfRule>
    <cfRule type="cellIs" dxfId="30643" priority="3205" stopIfTrue="1" operator="equal">
      <formula>"Towel"</formula>
    </cfRule>
    <cfRule type="cellIs" dxfId="30642" priority="3206" stopIfTrue="1" operator="equal">
      <formula>"Napkin Hs"</formula>
    </cfRule>
    <cfRule type="cellIs" dxfId="30641" priority="3209" stopIfTrue="1" operator="equal">
      <formula>"Towel"</formula>
    </cfRule>
    <cfRule type="cellIs" dxfId="30640" priority="3210" stopIfTrue="1" operator="equal">
      <formula>"Napkin Hs"</formula>
    </cfRule>
    <cfRule type="cellIs" dxfId="30639" priority="3211" stopIfTrue="1" operator="equal">
      <formula>"Towel"</formula>
    </cfRule>
    <cfRule type="cellIs" dxfId="30638" priority="3212" stopIfTrue="1" operator="equal">
      <formula>"Napkin Hs"</formula>
    </cfRule>
  </conditionalFormatting>
  <conditionalFormatting sqref="B115:C115">
    <cfRule type="cellIs" dxfId="30637" priority="3162" stopIfTrue="1" operator="equal">
      <formula>"Napkin Hs"</formula>
    </cfRule>
  </conditionalFormatting>
  <conditionalFormatting sqref="B115:C115">
    <cfRule type="cellIs" dxfId="30636" priority="3161" stopIfTrue="1" operator="equal">
      <formula>"Towel"</formula>
    </cfRule>
  </conditionalFormatting>
  <conditionalFormatting sqref="B115:C115">
    <cfRule type="cellIs" dxfId="30635" priority="3147" stopIfTrue="1" operator="equal">
      <formula>"Towel"</formula>
    </cfRule>
    <cfRule type="cellIs" dxfId="30634" priority="3148" stopIfTrue="1" operator="equal">
      <formula>"Napkin Hs"</formula>
    </cfRule>
    <cfRule type="cellIs" dxfId="30633" priority="3149" stopIfTrue="1" operator="equal">
      <formula>"Towel"</formula>
    </cfRule>
    <cfRule type="cellIs" dxfId="30632" priority="3150" stopIfTrue="1" operator="equal">
      <formula>"Napkin Hs"</formula>
    </cfRule>
    <cfRule type="cellIs" dxfId="30631" priority="3151" stopIfTrue="1" operator="equal">
      <formula>"Towel"</formula>
    </cfRule>
    <cfRule type="cellIs" dxfId="30630" priority="3152" stopIfTrue="1" operator="equal">
      <formula>"Napkin Hs"</formula>
    </cfRule>
    <cfRule type="cellIs" dxfId="30629" priority="3153" stopIfTrue="1" operator="equal">
      <formula>"Towel"</formula>
    </cfRule>
    <cfRule type="cellIs" dxfId="30628" priority="3154" stopIfTrue="1" operator="equal">
      <formula>"Napkin Hs"</formula>
    </cfRule>
    <cfRule type="cellIs" dxfId="30627" priority="3155" stopIfTrue="1" operator="equal">
      <formula>"Towel"</formula>
    </cfRule>
    <cfRule type="cellIs" dxfId="30626" priority="3156" stopIfTrue="1" operator="equal">
      <formula>"Napkin Hs"</formula>
    </cfRule>
    <cfRule type="cellIs" dxfId="30625" priority="3157" stopIfTrue="1" operator="equal">
      <formula>"Towel"</formula>
    </cfRule>
    <cfRule type="cellIs" dxfId="30624" priority="3158" stopIfTrue="1" operator="equal">
      <formula>"Napkin Hs"</formula>
    </cfRule>
    <cfRule type="cellIs" dxfId="30623" priority="3159" stopIfTrue="1" operator="equal">
      <formula>"Towel"</formula>
    </cfRule>
    <cfRule type="cellIs" dxfId="30622" priority="3160" stopIfTrue="1" operator="equal">
      <formula>"Napkin Hs"</formula>
    </cfRule>
  </conditionalFormatting>
  <conditionalFormatting sqref="B113:B114">
    <cfRule type="cellIs" dxfId="30621" priority="2997" stopIfTrue="1" operator="equal">
      <formula>"Towel"</formula>
    </cfRule>
    <cfRule type="cellIs" dxfId="30620" priority="2998" stopIfTrue="1" operator="equal">
      <formula>"Napkin Hs"</formula>
    </cfRule>
  </conditionalFormatting>
  <conditionalFormatting sqref="B111:C111">
    <cfRule type="cellIs" dxfId="30619" priority="2835" stopIfTrue="1" operator="equal">
      <formula>"Towel"</formula>
    </cfRule>
    <cfRule type="cellIs" dxfId="30618" priority="2836" stopIfTrue="1" operator="equal">
      <formula>"Napkin Hs"</formula>
    </cfRule>
    <cfRule type="cellIs" dxfId="30617" priority="2841" stopIfTrue="1" operator="equal">
      <formula>"Towel"</formula>
    </cfRule>
    <cfRule type="cellIs" dxfId="30616" priority="2842" stopIfTrue="1" operator="equal">
      <formula>"Napkin Hs"</formula>
    </cfRule>
    <cfRule type="cellIs" dxfId="30615" priority="2847" stopIfTrue="1" operator="equal">
      <formula>"Towel"</formula>
    </cfRule>
    <cfRule type="cellIs" dxfId="30614" priority="2848" stopIfTrue="1" operator="equal">
      <formula>"Napkin Hs"</formula>
    </cfRule>
    <cfRule type="cellIs" dxfId="30613" priority="2853" stopIfTrue="1" operator="equal">
      <formula>"Towel"</formula>
    </cfRule>
    <cfRule type="cellIs" dxfId="30612" priority="2854" stopIfTrue="1" operator="equal">
      <formula>"Napkin Hs"</formula>
    </cfRule>
    <cfRule type="cellIs" dxfId="30611" priority="2859" stopIfTrue="1" operator="equal">
      <formula>"Towel"</formula>
    </cfRule>
    <cfRule type="cellIs" dxfId="30610" priority="2860" stopIfTrue="1" operator="equal">
      <formula>"Napkin Hs"</formula>
    </cfRule>
    <cfRule type="cellIs" dxfId="30609" priority="2865" stopIfTrue="1" operator="equal">
      <formula>"Towel"</formula>
    </cfRule>
    <cfRule type="cellIs" dxfId="30608" priority="2866" stopIfTrue="1" operator="equal">
      <formula>"Napkin Hs"</formula>
    </cfRule>
    <cfRule type="cellIs" dxfId="30607" priority="2869" stopIfTrue="1" operator="equal">
      <formula>"Towel"</formula>
    </cfRule>
    <cfRule type="cellIs" dxfId="30606" priority="2870" stopIfTrue="1" operator="equal">
      <formula>"Napkin Hs"</formula>
    </cfRule>
    <cfRule type="cellIs" dxfId="30605" priority="2877" stopIfTrue="1" operator="equal">
      <formula>"Towel"</formula>
    </cfRule>
    <cfRule type="cellIs" dxfId="30604" priority="2878" stopIfTrue="1" operator="equal">
      <formula>"Napkin Hs"</formula>
    </cfRule>
    <cfRule type="cellIs" dxfId="30603" priority="2883" stopIfTrue="1" operator="equal">
      <formula>"Towel"</formula>
    </cfRule>
    <cfRule type="cellIs" dxfId="30602" priority="2884" stopIfTrue="1" operator="equal">
      <formula>"Napkin Hs"</formula>
    </cfRule>
    <cfRule type="cellIs" dxfId="30601" priority="2889" stopIfTrue="1" operator="equal">
      <formula>"Towel"</formula>
    </cfRule>
    <cfRule type="cellIs" dxfId="30600" priority="2890" stopIfTrue="1" operator="equal">
      <formula>"Napkin Hs"</formula>
    </cfRule>
    <cfRule type="cellIs" dxfId="30599" priority="2895" stopIfTrue="1" operator="equal">
      <formula>"Towel"</formula>
    </cfRule>
    <cfRule type="cellIs" dxfId="30598" priority="2896" stopIfTrue="1" operator="equal">
      <formula>"Napkin Hs"</formula>
    </cfRule>
    <cfRule type="cellIs" dxfId="30597" priority="2901" stopIfTrue="1" operator="equal">
      <formula>"Towel"</formula>
    </cfRule>
    <cfRule type="cellIs" dxfId="30596" priority="2902" stopIfTrue="1" operator="equal">
      <formula>"Napkin Hs"</formula>
    </cfRule>
    <cfRule type="cellIs" dxfId="30595" priority="2907" stopIfTrue="1" operator="equal">
      <formula>"Towel"</formula>
    </cfRule>
    <cfRule type="cellIs" dxfId="30594" priority="2908" stopIfTrue="1" operator="equal">
      <formula>"Napkin Hs"</formula>
    </cfRule>
    <cfRule type="cellIs" dxfId="30593" priority="2913" stopIfTrue="1" operator="equal">
      <formula>"Towel"</formula>
    </cfRule>
    <cfRule type="cellIs" dxfId="30592" priority="2914" stopIfTrue="1" operator="equal">
      <formula>"Napkin Hs"</formula>
    </cfRule>
  </conditionalFormatting>
  <conditionalFormatting sqref="B112:C112">
    <cfRule type="cellIs" dxfId="30591" priority="2917" stopIfTrue="1" operator="equal">
      <formula>"Towel"</formula>
    </cfRule>
    <cfRule type="cellIs" dxfId="30590" priority="2918" stopIfTrue="1" operator="equal">
      <formula>"Napkin Hs"</formula>
    </cfRule>
    <cfRule type="cellIs" dxfId="30589" priority="2923" stopIfTrue="1" operator="equal">
      <formula>"Towel"</formula>
    </cfRule>
    <cfRule type="cellIs" dxfId="30588" priority="2924" stopIfTrue="1" operator="equal">
      <formula>"Napkin Hs"</formula>
    </cfRule>
    <cfRule type="cellIs" dxfId="30587" priority="2929" stopIfTrue="1" operator="equal">
      <formula>"Towel"</formula>
    </cfRule>
    <cfRule type="cellIs" dxfId="30586" priority="2930" stopIfTrue="1" operator="equal">
      <formula>"Napkin Hs"</formula>
    </cfRule>
    <cfRule type="cellIs" dxfId="30585" priority="2935" stopIfTrue="1" operator="equal">
      <formula>"Towel"</formula>
    </cfRule>
    <cfRule type="cellIs" dxfId="30584" priority="2936" stopIfTrue="1" operator="equal">
      <formula>"Napkin Hs"</formula>
    </cfRule>
    <cfRule type="cellIs" dxfId="30583" priority="2941" stopIfTrue="1" operator="equal">
      <formula>"Towel"</formula>
    </cfRule>
    <cfRule type="cellIs" dxfId="30582" priority="2942" stopIfTrue="1" operator="equal">
      <formula>"Napkin Hs"</formula>
    </cfRule>
    <cfRule type="cellIs" dxfId="30581" priority="2947" stopIfTrue="1" operator="equal">
      <formula>"Towel"</formula>
    </cfRule>
    <cfRule type="cellIs" dxfId="30580" priority="2948" stopIfTrue="1" operator="equal">
      <formula>"Napkin Hs"</formula>
    </cfRule>
    <cfRule type="cellIs" dxfId="30579" priority="2951" stopIfTrue="1" operator="equal">
      <formula>"Towel"</formula>
    </cfRule>
    <cfRule type="cellIs" dxfId="30578" priority="2952" stopIfTrue="1" operator="equal">
      <formula>"Napkin Hs"</formula>
    </cfRule>
    <cfRule type="cellIs" dxfId="30577" priority="2959" stopIfTrue="1" operator="equal">
      <formula>"Towel"</formula>
    </cfRule>
    <cfRule type="cellIs" dxfId="30576" priority="2960" stopIfTrue="1" operator="equal">
      <formula>"Napkin Hs"</formula>
    </cfRule>
    <cfRule type="cellIs" dxfId="30575" priority="2965" stopIfTrue="1" operator="equal">
      <formula>"Towel"</formula>
    </cfRule>
    <cfRule type="cellIs" dxfId="30574" priority="2966" stopIfTrue="1" operator="equal">
      <formula>"Napkin Hs"</formula>
    </cfRule>
    <cfRule type="cellIs" dxfId="30573" priority="2971" stopIfTrue="1" operator="equal">
      <formula>"Towel"</formula>
    </cfRule>
    <cfRule type="cellIs" dxfId="30572" priority="2972" stopIfTrue="1" operator="equal">
      <formula>"Napkin Hs"</formula>
    </cfRule>
    <cfRule type="cellIs" dxfId="30571" priority="2977" stopIfTrue="1" operator="equal">
      <formula>"Towel"</formula>
    </cfRule>
    <cfRule type="cellIs" dxfId="30570" priority="2978" stopIfTrue="1" operator="equal">
      <formula>"Napkin Hs"</formula>
    </cfRule>
    <cfRule type="cellIs" dxfId="30569" priority="2983" stopIfTrue="1" operator="equal">
      <formula>"Towel"</formula>
    </cfRule>
    <cfRule type="cellIs" dxfId="30568" priority="2984" stopIfTrue="1" operator="equal">
      <formula>"Napkin Hs"</formula>
    </cfRule>
    <cfRule type="cellIs" dxfId="30567" priority="2989" stopIfTrue="1" operator="equal">
      <formula>"Towel"</formula>
    </cfRule>
    <cfRule type="cellIs" dxfId="30566" priority="2990" stopIfTrue="1" operator="equal">
      <formula>"Napkin Hs"</formula>
    </cfRule>
    <cfRule type="cellIs" dxfId="30565" priority="2995" stopIfTrue="1" operator="equal">
      <formula>"Towel"</formula>
    </cfRule>
    <cfRule type="cellIs" dxfId="30564" priority="2996" stopIfTrue="1" operator="equal">
      <formula>"Napkin Hs"</formula>
    </cfRule>
  </conditionalFormatting>
  <conditionalFormatting sqref="B113:C113">
    <cfRule type="cellIs" dxfId="30563" priority="3057" stopIfTrue="1" operator="equal">
      <formula>"Towel"</formula>
    </cfRule>
    <cfRule type="cellIs" dxfId="30562" priority="3058" stopIfTrue="1" operator="equal">
      <formula>"Napkin Hs"</formula>
    </cfRule>
    <cfRule type="cellIs" dxfId="30561" priority="3063" stopIfTrue="1" operator="equal">
      <formula>"Towel"</formula>
    </cfRule>
    <cfRule type="cellIs" dxfId="30560" priority="3064" stopIfTrue="1" operator="equal">
      <formula>"Napkin Hs"</formula>
    </cfRule>
    <cfRule type="cellIs" dxfId="30559" priority="3069" stopIfTrue="1" operator="equal">
      <formula>"Towel"</formula>
    </cfRule>
    <cfRule type="cellIs" dxfId="30558" priority="3070" stopIfTrue="1" operator="equal">
      <formula>"Napkin Hs"</formula>
    </cfRule>
    <cfRule type="cellIs" dxfId="30557" priority="3075" stopIfTrue="1" operator="equal">
      <formula>"Towel"</formula>
    </cfRule>
    <cfRule type="cellIs" dxfId="30556" priority="3076" stopIfTrue="1" operator="equal">
      <formula>"Napkin Hs"</formula>
    </cfRule>
    <cfRule type="cellIs" dxfId="30555" priority="3081" stopIfTrue="1" operator="equal">
      <formula>"Towel"</formula>
    </cfRule>
    <cfRule type="cellIs" dxfId="30554" priority="3082" stopIfTrue="1" operator="equal">
      <formula>"Napkin Hs"</formula>
    </cfRule>
    <cfRule type="cellIs" dxfId="30553" priority="3087" stopIfTrue="1" operator="equal">
      <formula>"Towel"</formula>
    </cfRule>
    <cfRule type="cellIs" dxfId="30552" priority="3088" stopIfTrue="1" operator="equal">
      <formula>"Napkin Hs"</formula>
    </cfRule>
    <cfRule type="cellIs" dxfId="30551" priority="3093" stopIfTrue="1" operator="equal">
      <formula>"Towel"</formula>
    </cfRule>
    <cfRule type="cellIs" dxfId="30550" priority="3094" stopIfTrue="1" operator="equal">
      <formula>"Napkin Hs"</formula>
    </cfRule>
    <cfRule type="cellIs" dxfId="30549" priority="3099" stopIfTrue="1" operator="equal">
      <formula>"Towel"</formula>
    </cfRule>
    <cfRule type="cellIs" dxfId="30548" priority="3100" stopIfTrue="1" operator="equal">
      <formula>"Napkin Hs"</formula>
    </cfRule>
  </conditionalFormatting>
  <conditionalFormatting sqref="B113:C114">
    <cfRule type="cellIs" dxfId="30547" priority="2999" stopIfTrue="1" operator="equal">
      <formula>"Towel"</formula>
    </cfRule>
    <cfRule type="cellIs" dxfId="30546" priority="3000" stopIfTrue="1" operator="equal">
      <formula>"Napkin Hs"</formula>
    </cfRule>
    <cfRule type="cellIs" dxfId="30545" priority="3015" stopIfTrue="1" operator="equal">
      <formula>"Towel"</formula>
    </cfRule>
    <cfRule type="cellIs" dxfId="30544" priority="3016" stopIfTrue="1" operator="equal">
      <formula>"Napkin Hs"</formula>
    </cfRule>
    <cfRule type="cellIs" dxfId="30543" priority="3021" stopIfTrue="1" operator="equal">
      <formula>"Towel"</formula>
    </cfRule>
    <cfRule type="cellIs" dxfId="30542" priority="3022" stopIfTrue="1" operator="equal">
      <formula>"Napkin Hs"</formula>
    </cfRule>
    <cfRule type="cellIs" dxfId="30541" priority="3027" stopIfTrue="1" operator="equal">
      <formula>"Towel"</formula>
    </cfRule>
    <cfRule type="cellIs" dxfId="30540" priority="3028" stopIfTrue="1" operator="equal">
      <formula>"Napkin Hs"</formula>
    </cfRule>
    <cfRule type="cellIs" dxfId="30539" priority="3033" stopIfTrue="1" operator="equal">
      <formula>"Towel"</formula>
    </cfRule>
    <cfRule type="cellIs" dxfId="30538" priority="3034" stopIfTrue="1" operator="equal">
      <formula>"Napkin Hs"</formula>
    </cfRule>
    <cfRule type="cellIs" dxfId="30537" priority="3039" stopIfTrue="1" operator="equal">
      <formula>"Towel"</formula>
    </cfRule>
    <cfRule type="cellIs" dxfId="30536" priority="3040" stopIfTrue="1" operator="equal">
      <formula>"Napkin Hs"</formula>
    </cfRule>
    <cfRule type="cellIs" dxfId="30535" priority="3045" stopIfTrue="1" operator="equal">
      <formula>"Towel"</formula>
    </cfRule>
    <cfRule type="cellIs" dxfId="30534" priority="3046" stopIfTrue="1" operator="equal">
      <formula>"Napkin Hs"</formula>
    </cfRule>
    <cfRule type="cellIs" dxfId="30533" priority="3051" stopIfTrue="1" operator="equal">
      <formula>"Towel"</formula>
    </cfRule>
    <cfRule type="cellIs" dxfId="30532" priority="3052" stopIfTrue="1" operator="equal">
      <formula>"Napkin Hs"</formula>
    </cfRule>
  </conditionalFormatting>
  <conditionalFormatting sqref="B114:C114">
    <cfRule type="cellIs" dxfId="30531" priority="3103" stopIfTrue="1" operator="equal">
      <formula>"Towel"</formula>
    </cfRule>
    <cfRule type="cellIs" dxfId="30530" priority="3104" stopIfTrue="1" operator="equal">
      <formula>"Napkin Hs"</formula>
    </cfRule>
    <cfRule type="cellIs" dxfId="30529" priority="3109" stopIfTrue="1" operator="equal">
      <formula>"Towel"</formula>
    </cfRule>
    <cfRule type="cellIs" dxfId="30528" priority="3110" stopIfTrue="1" operator="equal">
      <formula>"Napkin Hs"</formula>
    </cfRule>
    <cfRule type="cellIs" dxfId="30527" priority="3115" stopIfTrue="1" operator="equal">
      <formula>"Towel"</formula>
    </cfRule>
    <cfRule type="cellIs" dxfId="30526" priority="3116" stopIfTrue="1" operator="equal">
      <formula>"Napkin Hs"</formula>
    </cfRule>
    <cfRule type="cellIs" dxfId="30525" priority="3121" stopIfTrue="1" operator="equal">
      <formula>"Towel"</formula>
    </cfRule>
    <cfRule type="cellIs" dxfId="30524" priority="3122" stopIfTrue="1" operator="equal">
      <formula>"Napkin Hs"</formula>
    </cfRule>
    <cfRule type="cellIs" dxfId="30523" priority="3127" stopIfTrue="1" operator="equal">
      <formula>"Towel"</formula>
    </cfRule>
    <cfRule type="cellIs" dxfId="30522" priority="3128" stopIfTrue="1" operator="equal">
      <formula>"Napkin Hs"</formula>
    </cfRule>
    <cfRule type="cellIs" dxfId="30521" priority="3133" stopIfTrue="1" operator="equal">
      <formula>"Towel"</formula>
    </cfRule>
    <cfRule type="cellIs" dxfId="30520" priority="3134" stopIfTrue="1" operator="equal">
      <formula>"Napkin Hs"</formula>
    </cfRule>
    <cfRule type="cellIs" dxfId="30519" priority="3139" stopIfTrue="1" operator="equal">
      <formula>"Towel"</formula>
    </cfRule>
    <cfRule type="cellIs" dxfId="30518" priority="3140" stopIfTrue="1" operator="equal">
      <formula>"Napkin Hs"</formula>
    </cfRule>
    <cfRule type="cellIs" dxfId="30517" priority="3145" stopIfTrue="1" operator="equal">
      <formula>"Towel"</formula>
    </cfRule>
    <cfRule type="cellIs" dxfId="30516" priority="3146" stopIfTrue="1" operator="equal">
      <formula>"Napkin Hs"</formula>
    </cfRule>
  </conditionalFormatting>
  <conditionalFormatting sqref="C111">
    <cfRule type="cellIs" dxfId="30515" priority="2831" stopIfTrue="1" operator="equal">
      <formula>"Towel"</formula>
    </cfRule>
    <cfRule type="cellIs" dxfId="30514" priority="2832" stopIfTrue="1" operator="equal">
      <formula>"Napkin Hs"</formula>
    </cfRule>
    <cfRule type="cellIs" dxfId="30513" priority="2833" stopIfTrue="1" operator="equal">
      <formula>"Towel"</formula>
    </cfRule>
    <cfRule type="cellIs" dxfId="30512" priority="2834" stopIfTrue="1" operator="equal">
      <formula>"Napkin Hs"</formula>
    </cfRule>
    <cfRule type="cellIs" dxfId="30511" priority="2837" stopIfTrue="1" operator="equal">
      <formula>"Towel"</formula>
    </cfRule>
    <cfRule type="cellIs" dxfId="30510" priority="2838" stopIfTrue="1" operator="equal">
      <formula>"Napkin Hs"</formula>
    </cfRule>
    <cfRule type="cellIs" dxfId="30509" priority="2839" stopIfTrue="1" operator="equal">
      <formula>"Towel"</formula>
    </cfRule>
    <cfRule type="cellIs" dxfId="30508" priority="2840" stopIfTrue="1" operator="equal">
      <formula>"Napkin Hs"</formula>
    </cfRule>
    <cfRule type="cellIs" dxfId="30507" priority="2843" stopIfTrue="1" operator="equal">
      <formula>"Towel"</formula>
    </cfRule>
    <cfRule type="cellIs" dxfId="30506" priority="2844" stopIfTrue="1" operator="equal">
      <formula>"Napkin Hs"</formula>
    </cfRule>
    <cfRule type="cellIs" dxfId="30505" priority="2845" stopIfTrue="1" operator="equal">
      <formula>"Towel"</formula>
    </cfRule>
    <cfRule type="cellIs" dxfId="30504" priority="2846" stopIfTrue="1" operator="equal">
      <formula>"Napkin Hs"</formula>
    </cfRule>
    <cfRule type="cellIs" dxfId="30503" priority="2849" stopIfTrue="1" operator="equal">
      <formula>"Towel"</formula>
    </cfRule>
    <cfRule type="cellIs" dxfId="30502" priority="2850" stopIfTrue="1" operator="equal">
      <formula>"Napkin Hs"</formula>
    </cfRule>
    <cfRule type="cellIs" dxfId="30501" priority="2851" stopIfTrue="1" operator="equal">
      <formula>"Towel"</formula>
    </cfRule>
    <cfRule type="cellIs" dxfId="30500" priority="2852" stopIfTrue="1" operator="equal">
      <formula>"Napkin Hs"</formula>
    </cfRule>
    <cfRule type="cellIs" dxfId="30499" priority="2855" stopIfTrue="1" operator="equal">
      <formula>"Towel"</formula>
    </cfRule>
    <cfRule type="cellIs" dxfId="30498" priority="2856" stopIfTrue="1" operator="equal">
      <formula>"Napkin Hs"</formula>
    </cfRule>
    <cfRule type="cellIs" dxfId="30497" priority="2857" stopIfTrue="1" operator="equal">
      <formula>"Towel"</formula>
    </cfRule>
    <cfRule type="cellIs" dxfId="30496" priority="2858" stopIfTrue="1" operator="equal">
      <formula>"Napkin Hs"</formula>
    </cfRule>
    <cfRule type="cellIs" dxfId="30495" priority="2861" stopIfTrue="1" operator="equal">
      <formula>"Towel"</formula>
    </cfRule>
    <cfRule type="cellIs" dxfId="30494" priority="2862" stopIfTrue="1" operator="equal">
      <formula>"Napkin Hs"</formula>
    </cfRule>
    <cfRule type="cellIs" dxfId="30493" priority="2863" stopIfTrue="1" operator="equal">
      <formula>"Towel"</formula>
    </cfRule>
    <cfRule type="cellIs" dxfId="30492" priority="2864" stopIfTrue="1" operator="equal">
      <formula>"Napkin Hs"</formula>
    </cfRule>
    <cfRule type="cellIs" dxfId="30491" priority="2867" stopIfTrue="1" operator="equal">
      <formula>"Towel"</formula>
    </cfRule>
    <cfRule type="cellIs" dxfId="30490" priority="2868" stopIfTrue="1" operator="equal">
      <formula>"Napkin Hs"</formula>
    </cfRule>
    <cfRule type="cellIs" dxfId="30489" priority="2871" stopIfTrue="1" operator="equal">
      <formula>"Towel"</formula>
    </cfRule>
    <cfRule type="cellIs" dxfId="30488" priority="2872" stopIfTrue="1" operator="equal">
      <formula>"Napkin Hs"</formula>
    </cfRule>
    <cfRule type="cellIs" dxfId="30487" priority="2873" stopIfTrue="1" operator="equal">
      <formula>"Towel"</formula>
    </cfRule>
    <cfRule type="cellIs" dxfId="30486" priority="2874" stopIfTrue="1" operator="equal">
      <formula>"Napkin Hs"</formula>
    </cfRule>
    <cfRule type="cellIs" dxfId="30485" priority="2875" stopIfTrue="1" operator="equal">
      <formula>"Towel"</formula>
    </cfRule>
    <cfRule type="cellIs" dxfId="30484" priority="2876" stopIfTrue="1" operator="equal">
      <formula>"Napkin Hs"</formula>
    </cfRule>
    <cfRule type="cellIs" dxfId="30483" priority="2879" stopIfTrue="1" operator="equal">
      <formula>"Towel"</formula>
    </cfRule>
    <cfRule type="cellIs" dxfId="30482" priority="2880" stopIfTrue="1" operator="equal">
      <formula>"Napkin Hs"</formula>
    </cfRule>
    <cfRule type="cellIs" dxfId="30481" priority="2881" stopIfTrue="1" operator="equal">
      <formula>"Towel"</formula>
    </cfRule>
    <cfRule type="cellIs" dxfId="30480" priority="2882" stopIfTrue="1" operator="equal">
      <formula>"Napkin Hs"</formula>
    </cfRule>
    <cfRule type="cellIs" dxfId="30479" priority="2885" stopIfTrue="1" operator="equal">
      <formula>"Towel"</formula>
    </cfRule>
    <cfRule type="cellIs" dxfId="30478" priority="2886" stopIfTrue="1" operator="equal">
      <formula>"Napkin Hs"</formula>
    </cfRule>
    <cfRule type="cellIs" dxfId="30477" priority="2887" stopIfTrue="1" operator="equal">
      <formula>"Towel"</formula>
    </cfRule>
    <cfRule type="cellIs" dxfId="30476" priority="2888" stopIfTrue="1" operator="equal">
      <formula>"Napkin Hs"</formula>
    </cfRule>
    <cfRule type="cellIs" dxfId="30475" priority="2891" stopIfTrue="1" operator="equal">
      <formula>"Towel"</formula>
    </cfRule>
    <cfRule type="cellIs" dxfId="30474" priority="2892" stopIfTrue="1" operator="equal">
      <formula>"Napkin Hs"</formula>
    </cfRule>
    <cfRule type="cellIs" dxfId="30473" priority="2893" stopIfTrue="1" operator="equal">
      <formula>"Towel"</formula>
    </cfRule>
    <cfRule type="cellIs" dxfId="30472" priority="2894" stopIfTrue="1" operator="equal">
      <formula>"Napkin Hs"</formula>
    </cfRule>
    <cfRule type="cellIs" dxfId="30471" priority="2897" stopIfTrue="1" operator="equal">
      <formula>"Towel"</formula>
    </cfRule>
    <cfRule type="cellIs" dxfId="30470" priority="2898" stopIfTrue="1" operator="equal">
      <formula>"Napkin Hs"</formula>
    </cfRule>
    <cfRule type="cellIs" dxfId="30469" priority="2899" stopIfTrue="1" operator="equal">
      <formula>"Towel"</formula>
    </cfRule>
    <cfRule type="cellIs" dxfId="30468" priority="2900" stopIfTrue="1" operator="equal">
      <formula>"Napkin Hs"</formula>
    </cfRule>
    <cfRule type="cellIs" dxfId="30467" priority="2903" stopIfTrue="1" operator="equal">
      <formula>"Towel"</formula>
    </cfRule>
    <cfRule type="cellIs" dxfId="30466" priority="2904" stopIfTrue="1" operator="equal">
      <formula>"Napkin Hs"</formula>
    </cfRule>
    <cfRule type="cellIs" dxfId="30465" priority="2905" stopIfTrue="1" operator="equal">
      <formula>"Towel"</formula>
    </cfRule>
    <cfRule type="cellIs" dxfId="30464" priority="2906" stopIfTrue="1" operator="equal">
      <formula>"Napkin Hs"</formula>
    </cfRule>
    <cfRule type="cellIs" dxfId="30463" priority="2909" stopIfTrue="1" operator="equal">
      <formula>"Towel"</formula>
    </cfRule>
    <cfRule type="cellIs" dxfId="30462" priority="2910" stopIfTrue="1" operator="equal">
      <formula>"Napkin Hs"</formula>
    </cfRule>
  </conditionalFormatting>
  <conditionalFormatting sqref="C111:C112">
    <cfRule type="cellIs" dxfId="30461" priority="2911" stopIfTrue="1" operator="equal">
      <formula>"Towel"</formula>
    </cfRule>
    <cfRule type="cellIs" dxfId="30460" priority="2912" stopIfTrue="1" operator="equal">
      <formula>"Napkin Hs"</formula>
    </cfRule>
  </conditionalFormatting>
  <conditionalFormatting sqref="C112">
    <cfRule type="cellIs" dxfId="30459" priority="2915" stopIfTrue="1" operator="equal">
      <formula>"Towel"</formula>
    </cfRule>
    <cfRule type="cellIs" dxfId="30458" priority="2916" stopIfTrue="1" operator="equal">
      <formula>"Napkin Hs"</formula>
    </cfRule>
    <cfRule type="cellIs" dxfId="30457" priority="2919" stopIfTrue="1" operator="equal">
      <formula>"Towel"</formula>
    </cfRule>
    <cfRule type="cellIs" dxfId="30456" priority="2920" stopIfTrue="1" operator="equal">
      <formula>"Napkin Hs"</formula>
    </cfRule>
    <cfRule type="cellIs" dxfId="30455" priority="2921" stopIfTrue="1" operator="equal">
      <formula>"Towel"</formula>
    </cfRule>
    <cfRule type="cellIs" dxfId="30454" priority="2922" stopIfTrue="1" operator="equal">
      <formula>"Napkin Hs"</formula>
    </cfRule>
    <cfRule type="cellIs" dxfId="30453" priority="2925" stopIfTrue="1" operator="equal">
      <formula>"Towel"</formula>
    </cfRule>
    <cfRule type="cellIs" dxfId="30452" priority="2926" stopIfTrue="1" operator="equal">
      <formula>"Napkin Hs"</formula>
    </cfRule>
    <cfRule type="cellIs" dxfId="30451" priority="2927" stopIfTrue="1" operator="equal">
      <formula>"Towel"</formula>
    </cfRule>
    <cfRule type="cellIs" dxfId="30450" priority="2928" stopIfTrue="1" operator="equal">
      <formula>"Napkin Hs"</formula>
    </cfRule>
    <cfRule type="cellIs" dxfId="30449" priority="2931" stopIfTrue="1" operator="equal">
      <formula>"Towel"</formula>
    </cfRule>
    <cfRule type="cellIs" dxfId="30448" priority="2932" stopIfTrue="1" operator="equal">
      <formula>"Napkin Hs"</formula>
    </cfRule>
    <cfRule type="cellIs" dxfId="30447" priority="2933" stopIfTrue="1" operator="equal">
      <formula>"Towel"</formula>
    </cfRule>
    <cfRule type="cellIs" dxfId="30446" priority="2934" stopIfTrue="1" operator="equal">
      <formula>"Napkin Hs"</formula>
    </cfRule>
    <cfRule type="cellIs" dxfId="30445" priority="2937" stopIfTrue="1" operator="equal">
      <formula>"Towel"</formula>
    </cfRule>
    <cfRule type="cellIs" dxfId="30444" priority="2938" stopIfTrue="1" operator="equal">
      <formula>"Napkin Hs"</formula>
    </cfRule>
    <cfRule type="cellIs" dxfId="30443" priority="2939" stopIfTrue="1" operator="equal">
      <formula>"Towel"</formula>
    </cfRule>
    <cfRule type="cellIs" dxfId="30442" priority="2940" stopIfTrue="1" operator="equal">
      <formula>"Napkin Hs"</formula>
    </cfRule>
    <cfRule type="cellIs" dxfId="30441" priority="2943" stopIfTrue="1" operator="equal">
      <formula>"Towel"</formula>
    </cfRule>
    <cfRule type="cellIs" dxfId="30440" priority="2944" stopIfTrue="1" operator="equal">
      <formula>"Napkin Hs"</formula>
    </cfRule>
    <cfRule type="cellIs" dxfId="30439" priority="2945" stopIfTrue="1" operator="equal">
      <formula>"Towel"</formula>
    </cfRule>
    <cfRule type="cellIs" dxfId="30438" priority="2946" stopIfTrue="1" operator="equal">
      <formula>"Napkin Hs"</formula>
    </cfRule>
    <cfRule type="cellIs" dxfId="30437" priority="2949" stopIfTrue="1" operator="equal">
      <formula>"Towel"</formula>
    </cfRule>
    <cfRule type="cellIs" dxfId="30436" priority="2950" stopIfTrue="1" operator="equal">
      <formula>"Napkin Hs"</formula>
    </cfRule>
    <cfRule type="cellIs" dxfId="30435" priority="2953" stopIfTrue="1" operator="equal">
      <formula>"Towel"</formula>
    </cfRule>
    <cfRule type="cellIs" dxfId="30434" priority="2954" stopIfTrue="1" operator="equal">
      <formula>"Napkin Hs"</formula>
    </cfRule>
    <cfRule type="cellIs" dxfId="30433" priority="2955" stopIfTrue="1" operator="equal">
      <formula>"Towel"</formula>
    </cfRule>
    <cfRule type="cellIs" dxfId="30432" priority="2956" stopIfTrue="1" operator="equal">
      <formula>"Napkin Hs"</formula>
    </cfRule>
    <cfRule type="cellIs" dxfId="30431" priority="2957" stopIfTrue="1" operator="equal">
      <formula>"Towel"</formula>
    </cfRule>
    <cfRule type="cellIs" dxfId="30430" priority="2958" stopIfTrue="1" operator="equal">
      <formula>"Napkin Hs"</formula>
    </cfRule>
    <cfRule type="cellIs" dxfId="30429" priority="2961" stopIfTrue="1" operator="equal">
      <formula>"Towel"</formula>
    </cfRule>
    <cfRule type="cellIs" dxfId="30428" priority="2962" stopIfTrue="1" operator="equal">
      <formula>"Napkin Hs"</formula>
    </cfRule>
    <cfRule type="cellIs" dxfId="30427" priority="2963" stopIfTrue="1" operator="equal">
      <formula>"Towel"</formula>
    </cfRule>
    <cfRule type="cellIs" dxfId="30426" priority="2964" stopIfTrue="1" operator="equal">
      <formula>"Napkin Hs"</formula>
    </cfRule>
    <cfRule type="cellIs" dxfId="30425" priority="2967" stopIfTrue="1" operator="equal">
      <formula>"Towel"</formula>
    </cfRule>
    <cfRule type="cellIs" dxfId="30424" priority="2968" stopIfTrue="1" operator="equal">
      <formula>"Napkin Hs"</formula>
    </cfRule>
    <cfRule type="cellIs" dxfId="30423" priority="2969" stopIfTrue="1" operator="equal">
      <formula>"Towel"</formula>
    </cfRule>
    <cfRule type="cellIs" dxfId="30422" priority="2970" stopIfTrue="1" operator="equal">
      <formula>"Napkin Hs"</formula>
    </cfRule>
    <cfRule type="cellIs" dxfId="30421" priority="2973" stopIfTrue="1" operator="equal">
      <formula>"Towel"</formula>
    </cfRule>
    <cfRule type="cellIs" dxfId="30420" priority="2974" stopIfTrue="1" operator="equal">
      <formula>"Napkin Hs"</formula>
    </cfRule>
    <cfRule type="cellIs" dxfId="30419" priority="2975" stopIfTrue="1" operator="equal">
      <formula>"Towel"</formula>
    </cfRule>
    <cfRule type="cellIs" dxfId="30418" priority="2976" stopIfTrue="1" operator="equal">
      <formula>"Napkin Hs"</formula>
    </cfRule>
    <cfRule type="cellIs" dxfId="30417" priority="2979" stopIfTrue="1" operator="equal">
      <formula>"Towel"</formula>
    </cfRule>
    <cfRule type="cellIs" dxfId="30416" priority="2980" stopIfTrue="1" operator="equal">
      <formula>"Napkin Hs"</formula>
    </cfRule>
    <cfRule type="cellIs" dxfId="30415" priority="2981" stopIfTrue="1" operator="equal">
      <formula>"Towel"</formula>
    </cfRule>
    <cfRule type="cellIs" dxfId="30414" priority="2982" stopIfTrue="1" operator="equal">
      <formula>"Napkin Hs"</formula>
    </cfRule>
    <cfRule type="cellIs" dxfId="30413" priority="2985" stopIfTrue="1" operator="equal">
      <formula>"Towel"</formula>
    </cfRule>
    <cfRule type="cellIs" dxfId="30412" priority="2986" stopIfTrue="1" operator="equal">
      <formula>"Napkin Hs"</formula>
    </cfRule>
    <cfRule type="cellIs" dxfId="30411" priority="2987" stopIfTrue="1" operator="equal">
      <formula>"Towel"</formula>
    </cfRule>
    <cfRule type="cellIs" dxfId="30410" priority="2988" stopIfTrue="1" operator="equal">
      <formula>"Napkin Hs"</formula>
    </cfRule>
    <cfRule type="cellIs" dxfId="30409" priority="2991" stopIfTrue="1" operator="equal">
      <formula>"Towel"</formula>
    </cfRule>
    <cfRule type="cellIs" dxfId="30408" priority="2992" stopIfTrue="1" operator="equal">
      <formula>"Napkin Hs"</formula>
    </cfRule>
    <cfRule type="cellIs" dxfId="30407" priority="2993" stopIfTrue="1" operator="equal">
      <formula>"Towel"</formula>
    </cfRule>
    <cfRule type="cellIs" dxfId="30406" priority="2994" stopIfTrue="1" operator="equal">
      <formula>"Napkin Hs"</formula>
    </cfRule>
  </conditionalFormatting>
  <conditionalFormatting sqref="C113">
    <cfRule type="cellIs" dxfId="30405" priority="3053" stopIfTrue="1" operator="equal">
      <formula>"Towel"</formula>
    </cfRule>
    <cfRule type="cellIs" dxfId="30404" priority="3054" stopIfTrue="1" operator="equal">
      <formula>"Napkin Hs"</formula>
    </cfRule>
    <cfRule type="cellIs" dxfId="30403" priority="3055" stopIfTrue="1" operator="equal">
      <formula>"Towel"</formula>
    </cfRule>
    <cfRule type="cellIs" dxfId="30402" priority="3056" stopIfTrue="1" operator="equal">
      <formula>"Napkin Hs"</formula>
    </cfRule>
    <cfRule type="cellIs" dxfId="30401" priority="3059" stopIfTrue="1" operator="equal">
      <formula>"Towel"</formula>
    </cfRule>
    <cfRule type="cellIs" dxfId="30400" priority="3060" stopIfTrue="1" operator="equal">
      <formula>"Napkin Hs"</formula>
    </cfRule>
    <cfRule type="cellIs" dxfId="30399" priority="3061" stopIfTrue="1" operator="equal">
      <formula>"Towel"</formula>
    </cfRule>
    <cfRule type="cellIs" dxfId="30398" priority="3062" stopIfTrue="1" operator="equal">
      <formula>"Napkin Hs"</formula>
    </cfRule>
    <cfRule type="cellIs" dxfId="30397" priority="3065" stopIfTrue="1" operator="equal">
      <formula>"Towel"</formula>
    </cfRule>
    <cfRule type="cellIs" dxfId="30396" priority="3066" stopIfTrue="1" operator="equal">
      <formula>"Napkin Hs"</formula>
    </cfRule>
    <cfRule type="cellIs" dxfId="30395" priority="3067" stopIfTrue="1" operator="equal">
      <formula>"Towel"</formula>
    </cfRule>
    <cfRule type="cellIs" dxfId="30394" priority="3068" stopIfTrue="1" operator="equal">
      <formula>"Napkin Hs"</formula>
    </cfRule>
    <cfRule type="cellIs" dxfId="30393" priority="3071" stopIfTrue="1" operator="equal">
      <formula>"Towel"</formula>
    </cfRule>
    <cfRule type="cellIs" dxfId="30392" priority="3072" stopIfTrue="1" operator="equal">
      <formula>"Napkin Hs"</formula>
    </cfRule>
    <cfRule type="cellIs" dxfId="30391" priority="3073" stopIfTrue="1" operator="equal">
      <formula>"Towel"</formula>
    </cfRule>
    <cfRule type="cellIs" dxfId="30390" priority="3074" stopIfTrue="1" operator="equal">
      <formula>"Napkin Hs"</formula>
    </cfRule>
    <cfRule type="cellIs" dxfId="30389" priority="3077" stopIfTrue="1" operator="equal">
      <formula>"Towel"</formula>
    </cfRule>
    <cfRule type="cellIs" dxfId="30388" priority="3078" stopIfTrue="1" operator="equal">
      <formula>"Napkin Hs"</formula>
    </cfRule>
    <cfRule type="cellIs" dxfId="30387" priority="3079" stopIfTrue="1" operator="equal">
      <formula>"Towel"</formula>
    </cfRule>
    <cfRule type="cellIs" dxfId="30386" priority="3080" stopIfTrue="1" operator="equal">
      <formula>"Napkin Hs"</formula>
    </cfRule>
    <cfRule type="cellIs" dxfId="30385" priority="3083" stopIfTrue="1" operator="equal">
      <formula>"Towel"</formula>
    </cfRule>
    <cfRule type="cellIs" dxfId="30384" priority="3084" stopIfTrue="1" operator="equal">
      <formula>"Napkin Hs"</formula>
    </cfRule>
    <cfRule type="cellIs" dxfId="30383" priority="3085" stopIfTrue="1" operator="equal">
      <formula>"Towel"</formula>
    </cfRule>
    <cfRule type="cellIs" dxfId="30382" priority="3086" stopIfTrue="1" operator="equal">
      <formula>"Napkin Hs"</formula>
    </cfRule>
    <cfRule type="cellIs" dxfId="30381" priority="3089" stopIfTrue="1" operator="equal">
      <formula>"Towel"</formula>
    </cfRule>
    <cfRule type="cellIs" dxfId="30380" priority="3090" stopIfTrue="1" operator="equal">
      <formula>"Napkin Hs"</formula>
    </cfRule>
    <cfRule type="cellIs" dxfId="30379" priority="3091" stopIfTrue="1" operator="equal">
      <formula>"Towel"</formula>
    </cfRule>
    <cfRule type="cellIs" dxfId="30378" priority="3092" stopIfTrue="1" operator="equal">
      <formula>"Napkin Hs"</formula>
    </cfRule>
    <cfRule type="cellIs" dxfId="30377" priority="3095" stopIfTrue="1" operator="equal">
      <formula>"Towel"</formula>
    </cfRule>
    <cfRule type="cellIs" dxfId="30376" priority="3096" stopIfTrue="1" operator="equal">
      <formula>"Napkin Hs"</formula>
    </cfRule>
  </conditionalFormatting>
  <conditionalFormatting sqref="C113:C114">
    <cfRule type="cellIs" dxfId="30375" priority="3001" stopIfTrue="1" operator="equal">
      <formula>"Towel"</formula>
    </cfRule>
    <cfRule type="cellIs" dxfId="30374" priority="3002" stopIfTrue="1" operator="equal">
      <formula>"Napkin Hs"</formula>
    </cfRule>
    <cfRule type="cellIs" dxfId="30373" priority="3003" stopIfTrue="1" operator="equal">
      <formula>"Towel"</formula>
    </cfRule>
    <cfRule type="cellIs" dxfId="30372" priority="3004" stopIfTrue="1" operator="equal">
      <formula>"Napkin Hs"</formula>
    </cfRule>
    <cfRule type="cellIs" dxfId="30371" priority="3005" stopIfTrue="1" operator="equal">
      <formula>"Towel"</formula>
    </cfRule>
    <cfRule type="cellIs" dxfId="30370" priority="3006" stopIfTrue="1" operator="equal">
      <formula>"Napkin Hs"</formula>
    </cfRule>
    <cfRule type="cellIs" dxfId="30369" priority="3007" stopIfTrue="1" operator="equal">
      <formula>"Towel"</formula>
    </cfRule>
    <cfRule type="cellIs" dxfId="30368" priority="3008" stopIfTrue="1" operator="equal">
      <formula>"Napkin Hs"</formula>
    </cfRule>
    <cfRule type="cellIs" dxfId="30367" priority="3009" stopIfTrue="1" operator="equal">
      <formula>"Towel"</formula>
    </cfRule>
    <cfRule type="cellIs" dxfId="30366" priority="3010" stopIfTrue="1" operator="equal">
      <formula>"Napkin Hs"</formula>
    </cfRule>
    <cfRule type="cellIs" dxfId="30365" priority="3011" stopIfTrue="1" operator="equal">
      <formula>"Towel"</formula>
    </cfRule>
    <cfRule type="cellIs" dxfId="30364" priority="3012" stopIfTrue="1" operator="equal">
      <formula>"Napkin Hs"</formula>
    </cfRule>
    <cfRule type="cellIs" dxfId="30363" priority="3013" stopIfTrue="1" operator="equal">
      <formula>"Towel"</formula>
    </cfRule>
    <cfRule type="cellIs" dxfId="30362" priority="3014" stopIfTrue="1" operator="equal">
      <formula>"Napkin Hs"</formula>
    </cfRule>
    <cfRule type="cellIs" dxfId="30361" priority="3017" stopIfTrue="1" operator="equal">
      <formula>"Towel"</formula>
    </cfRule>
    <cfRule type="cellIs" dxfId="30360" priority="3018" stopIfTrue="1" operator="equal">
      <formula>"Napkin Hs"</formula>
    </cfRule>
    <cfRule type="cellIs" dxfId="30359" priority="3019" stopIfTrue="1" operator="equal">
      <formula>"Towel"</formula>
    </cfRule>
    <cfRule type="cellIs" dxfId="30358" priority="3020" stopIfTrue="1" operator="equal">
      <formula>"Napkin Hs"</formula>
    </cfRule>
    <cfRule type="cellIs" dxfId="30357" priority="3023" stopIfTrue="1" operator="equal">
      <formula>"Towel"</formula>
    </cfRule>
    <cfRule type="cellIs" dxfId="30356" priority="3024" stopIfTrue="1" operator="equal">
      <formula>"Napkin Hs"</formula>
    </cfRule>
    <cfRule type="cellIs" dxfId="30355" priority="3025" stopIfTrue="1" operator="equal">
      <formula>"Towel"</formula>
    </cfRule>
    <cfRule type="cellIs" dxfId="30354" priority="3026" stopIfTrue="1" operator="equal">
      <formula>"Napkin Hs"</formula>
    </cfRule>
    <cfRule type="cellIs" dxfId="30353" priority="3029" stopIfTrue="1" operator="equal">
      <formula>"Towel"</formula>
    </cfRule>
    <cfRule type="cellIs" dxfId="30352" priority="3030" stopIfTrue="1" operator="equal">
      <formula>"Napkin Hs"</formula>
    </cfRule>
    <cfRule type="cellIs" dxfId="30351" priority="3031" stopIfTrue="1" operator="equal">
      <formula>"Towel"</formula>
    </cfRule>
    <cfRule type="cellIs" dxfId="30350" priority="3032" stopIfTrue="1" operator="equal">
      <formula>"Napkin Hs"</formula>
    </cfRule>
    <cfRule type="cellIs" dxfId="30349" priority="3035" stopIfTrue="1" operator="equal">
      <formula>"Towel"</formula>
    </cfRule>
    <cfRule type="cellIs" dxfId="30348" priority="3036" stopIfTrue="1" operator="equal">
      <formula>"Napkin Hs"</formula>
    </cfRule>
    <cfRule type="cellIs" dxfId="30347" priority="3037" stopIfTrue="1" operator="equal">
      <formula>"Towel"</formula>
    </cfRule>
    <cfRule type="cellIs" dxfId="30346" priority="3038" stopIfTrue="1" operator="equal">
      <formula>"Napkin Hs"</formula>
    </cfRule>
    <cfRule type="cellIs" dxfId="30345" priority="3041" stopIfTrue="1" operator="equal">
      <formula>"Towel"</formula>
    </cfRule>
    <cfRule type="cellIs" dxfId="30344" priority="3042" stopIfTrue="1" operator="equal">
      <formula>"Napkin Hs"</formula>
    </cfRule>
    <cfRule type="cellIs" dxfId="30343" priority="3043" stopIfTrue="1" operator="equal">
      <formula>"Towel"</formula>
    </cfRule>
    <cfRule type="cellIs" dxfId="30342" priority="3044" stopIfTrue="1" operator="equal">
      <formula>"Napkin Hs"</formula>
    </cfRule>
    <cfRule type="cellIs" dxfId="30341" priority="3047" stopIfTrue="1" operator="equal">
      <formula>"Towel"</formula>
    </cfRule>
    <cfRule type="cellIs" dxfId="30340" priority="3048" stopIfTrue="1" operator="equal">
      <formula>"Napkin Hs"</formula>
    </cfRule>
    <cfRule type="cellIs" dxfId="30339" priority="3049" stopIfTrue="1" operator="equal">
      <formula>"Towel"</formula>
    </cfRule>
    <cfRule type="cellIs" dxfId="30338" priority="3050" stopIfTrue="1" operator="equal">
      <formula>"Napkin Hs"</formula>
    </cfRule>
    <cfRule type="cellIs" dxfId="30337" priority="3097" stopIfTrue="1" operator="equal">
      <formula>"Towel"</formula>
    </cfRule>
    <cfRule type="cellIs" dxfId="30336" priority="3098" stopIfTrue="1" operator="equal">
      <formula>"Napkin Hs"</formula>
    </cfRule>
  </conditionalFormatting>
  <conditionalFormatting sqref="C114">
    <cfRule type="cellIs" dxfId="30335" priority="3101" stopIfTrue="1" operator="equal">
      <formula>"Towel"</formula>
    </cfRule>
    <cfRule type="cellIs" dxfId="30334" priority="3102" stopIfTrue="1" operator="equal">
      <formula>"Napkin Hs"</formula>
    </cfRule>
    <cfRule type="cellIs" dxfId="30333" priority="3105" stopIfTrue="1" operator="equal">
      <formula>"Towel"</formula>
    </cfRule>
    <cfRule type="cellIs" dxfId="30332" priority="3106" stopIfTrue="1" operator="equal">
      <formula>"Napkin Hs"</formula>
    </cfRule>
    <cfRule type="cellIs" dxfId="30331" priority="3107" stopIfTrue="1" operator="equal">
      <formula>"Towel"</formula>
    </cfRule>
    <cfRule type="cellIs" dxfId="30330" priority="3108" stopIfTrue="1" operator="equal">
      <formula>"Napkin Hs"</formula>
    </cfRule>
    <cfRule type="cellIs" dxfId="30329" priority="3111" stopIfTrue="1" operator="equal">
      <formula>"Towel"</formula>
    </cfRule>
    <cfRule type="cellIs" dxfId="30328" priority="3112" stopIfTrue="1" operator="equal">
      <formula>"Napkin Hs"</formula>
    </cfRule>
    <cfRule type="cellIs" dxfId="30327" priority="3113" stopIfTrue="1" operator="equal">
      <formula>"Towel"</formula>
    </cfRule>
    <cfRule type="cellIs" dxfId="30326" priority="3114" stopIfTrue="1" operator="equal">
      <formula>"Napkin Hs"</formula>
    </cfRule>
    <cfRule type="cellIs" dxfId="30325" priority="3117" stopIfTrue="1" operator="equal">
      <formula>"Towel"</formula>
    </cfRule>
    <cfRule type="cellIs" dxfId="30324" priority="3118" stopIfTrue="1" operator="equal">
      <formula>"Napkin Hs"</formula>
    </cfRule>
    <cfRule type="cellIs" dxfId="30323" priority="3119" stopIfTrue="1" operator="equal">
      <formula>"Towel"</formula>
    </cfRule>
    <cfRule type="cellIs" dxfId="30322" priority="3120" stopIfTrue="1" operator="equal">
      <formula>"Napkin Hs"</formula>
    </cfRule>
    <cfRule type="cellIs" dxfId="30321" priority="3123" stopIfTrue="1" operator="equal">
      <formula>"Towel"</formula>
    </cfRule>
    <cfRule type="cellIs" dxfId="30320" priority="3124" stopIfTrue="1" operator="equal">
      <formula>"Napkin Hs"</formula>
    </cfRule>
    <cfRule type="cellIs" dxfId="30319" priority="3125" stopIfTrue="1" operator="equal">
      <formula>"Towel"</formula>
    </cfRule>
    <cfRule type="cellIs" dxfId="30318" priority="3126" stopIfTrue="1" operator="equal">
      <formula>"Napkin Hs"</formula>
    </cfRule>
    <cfRule type="cellIs" dxfId="30317" priority="3129" stopIfTrue="1" operator="equal">
      <formula>"Towel"</formula>
    </cfRule>
    <cfRule type="cellIs" dxfId="30316" priority="3130" stopIfTrue="1" operator="equal">
      <formula>"Napkin Hs"</formula>
    </cfRule>
    <cfRule type="cellIs" dxfId="30315" priority="3131" stopIfTrue="1" operator="equal">
      <formula>"Towel"</formula>
    </cfRule>
    <cfRule type="cellIs" dxfId="30314" priority="3132" stopIfTrue="1" operator="equal">
      <formula>"Napkin Hs"</formula>
    </cfRule>
    <cfRule type="cellIs" dxfId="30313" priority="3135" stopIfTrue="1" operator="equal">
      <formula>"Towel"</formula>
    </cfRule>
    <cfRule type="cellIs" dxfId="30312" priority="3136" stopIfTrue="1" operator="equal">
      <formula>"Napkin Hs"</formula>
    </cfRule>
    <cfRule type="cellIs" dxfId="30311" priority="3137" stopIfTrue="1" operator="equal">
      <formula>"Towel"</formula>
    </cfRule>
    <cfRule type="cellIs" dxfId="30310" priority="3138" stopIfTrue="1" operator="equal">
      <formula>"Napkin Hs"</formula>
    </cfRule>
    <cfRule type="cellIs" dxfId="30309" priority="3141" stopIfTrue="1" operator="equal">
      <formula>"Towel"</formula>
    </cfRule>
    <cfRule type="cellIs" dxfId="30308" priority="3142" stopIfTrue="1" operator="equal">
      <formula>"Napkin Hs"</formula>
    </cfRule>
  </conditionalFormatting>
  <conditionalFormatting sqref="C114">
    <cfRule type="cellIs" dxfId="30307" priority="3143" stopIfTrue="1" operator="equal">
      <formula>"Towel"</formula>
    </cfRule>
    <cfRule type="cellIs" dxfId="30306" priority="3144" stopIfTrue="1" operator="equal">
      <formula>"Napkin Hs"</formula>
    </cfRule>
  </conditionalFormatting>
  <conditionalFormatting sqref="B116">
    <cfRule type="cellIs" dxfId="30305" priority="2812" stopIfTrue="1" operator="equal">
      <formula>"Towel"</formula>
    </cfRule>
    <cfRule type="cellIs" dxfId="30304" priority="2813" stopIfTrue="1" operator="equal">
      <formula>"Napkin Hs"</formula>
    </cfRule>
    <cfRule type="cellIs" dxfId="30303" priority="2814" stopIfTrue="1" operator="equal">
      <formula>"Towel"</formula>
    </cfRule>
    <cfRule type="cellIs" dxfId="30302" priority="2815" stopIfTrue="1" operator="equal">
      <formula>"Napkin Hs"</formula>
    </cfRule>
    <cfRule type="cellIs" dxfId="30301" priority="2816" stopIfTrue="1" operator="equal">
      <formula>"Towel"</formula>
    </cfRule>
    <cfRule type="cellIs" dxfId="30300" priority="2817" stopIfTrue="1" operator="equal">
      <formula>"Napkin Hs"</formula>
    </cfRule>
    <cfRule type="cellIs" dxfId="30299" priority="2818" stopIfTrue="1" operator="equal">
      <formula>"Towel"</formula>
    </cfRule>
    <cfRule type="cellIs" dxfId="30298" priority="2819" stopIfTrue="1" operator="equal">
      <formula>"Napkin Hs"</formula>
    </cfRule>
    <cfRule type="cellIs" dxfId="30297" priority="2820" stopIfTrue="1" operator="equal">
      <formula>"Towel"</formula>
    </cfRule>
    <cfRule type="cellIs" dxfId="30296" priority="2821" stopIfTrue="1" operator="equal">
      <formula>"Napkin Hs"</formula>
    </cfRule>
    <cfRule type="cellIs" dxfId="30295" priority="2822" stopIfTrue="1" operator="equal">
      <formula>"Towel"</formula>
    </cfRule>
    <cfRule type="cellIs" dxfId="30294" priority="2823" stopIfTrue="1" operator="equal">
      <formula>"Napkin Hs"</formula>
    </cfRule>
    <cfRule type="cellIs" dxfId="30293" priority="2824" stopIfTrue="1" operator="equal">
      <formula>"Towel"</formula>
    </cfRule>
    <cfRule type="cellIs" dxfId="30292" priority="2825" stopIfTrue="1" operator="equal">
      <formula>"Napkin Hs"</formula>
    </cfRule>
    <cfRule type="cellIs" dxfId="30291" priority="2826" stopIfTrue="1" operator="equal">
      <formula>"Towel"</formula>
    </cfRule>
    <cfRule type="cellIs" dxfId="30290" priority="2827" stopIfTrue="1" operator="equal">
      <formula>"Napkin Hs"</formula>
    </cfRule>
  </conditionalFormatting>
  <conditionalFormatting sqref="B116:C117">
    <cfRule type="cellIs" dxfId="30289" priority="2804" stopIfTrue="1" operator="equal">
      <formula>"Towel"</formula>
    </cfRule>
    <cfRule type="cellIs" dxfId="30288" priority="2805" stopIfTrue="1" operator="equal">
      <formula>"Napkin Hs"</formula>
    </cfRule>
  </conditionalFormatting>
  <conditionalFormatting sqref="B118:C118">
    <cfRule type="cellIs" dxfId="30287" priority="2828" stopIfTrue="1" operator="equal">
      <formula>"Napkin Hs"</formula>
    </cfRule>
  </conditionalFormatting>
  <conditionalFormatting sqref="B119:C119">
    <cfRule type="cellIs" dxfId="30286" priority="2708" stopIfTrue="1" operator="equal">
      <formula>"Towel"</formula>
    </cfRule>
    <cfRule type="cellIs" dxfId="30285" priority="2709" stopIfTrue="1" operator="equal">
      <formula>"Napkin Hs"</formula>
    </cfRule>
    <cfRule type="cellIs" dxfId="30284" priority="2714" stopIfTrue="1" operator="equal">
      <formula>"Towel"</formula>
    </cfRule>
    <cfRule type="cellIs" dxfId="30283" priority="2715" stopIfTrue="1" operator="equal">
      <formula>"Napkin Hs"</formula>
    </cfRule>
    <cfRule type="cellIs" dxfId="30282" priority="2720" stopIfTrue="1" operator="equal">
      <formula>"Towel"</formula>
    </cfRule>
    <cfRule type="cellIs" dxfId="30281" priority="2721" stopIfTrue="1" operator="equal">
      <formula>"Napkin Hs"</formula>
    </cfRule>
    <cfRule type="cellIs" dxfId="30280" priority="2726" stopIfTrue="1" operator="equal">
      <formula>"Towel"</formula>
    </cfRule>
    <cfRule type="cellIs" dxfId="30279" priority="2727" stopIfTrue="1" operator="equal">
      <formula>"Napkin Hs"</formula>
    </cfRule>
    <cfRule type="cellIs" dxfId="30278" priority="2732" stopIfTrue="1" operator="equal">
      <formula>"Towel"</formula>
    </cfRule>
    <cfRule type="cellIs" dxfId="30277" priority="2733" stopIfTrue="1" operator="equal">
      <formula>"Napkin Hs"</formula>
    </cfRule>
    <cfRule type="cellIs" dxfId="30276" priority="2738" stopIfTrue="1" operator="equal">
      <formula>"Towel"</formula>
    </cfRule>
    <cfRule type="cellIs" dxfId="30275" priority="2739" stopIfTrue="1" operator="equal">
      <formula>"Napkin Hs"</formula>
    </cfRule>
    <cfRule type="cellIs" dxfId="30274" priority="2744" stopIfTrue="1" operator="equal">
      <formula>"Towel"</formula>
    </cfRule>
    <cfRule type="cellIs" dxfId="30273" priority="2745" stopIfTrue="1" operator="equal">
      <formula>"Napkin Hs"</formula>
    </cfRule>
    <cfRule type="cellIs" dxfId="30272" priority="2750" stopIfTrue="1" operator="equal">
      <formula>"Towel"</formula>
    </cfRule>
    <cfRule type="cellIs" dxfId="30271" priority="2751" stopIfTrue="1" operator="equal">
      <formula>"Napkin Hs"</formula>
    </cfRule>
    <cfRule type="cellIs" dxfId="30270" priority="2756" stopIfTrue="1" operator="equal">
      <formula>"Towel"</formula>
    </cfRule>
    <cfRule type="cellIs" dxfId="30269" priority="2757" stopIfTrue="1" operator="equal">
      <formula>"Napkin Hs"</formula>
    </cfRule>
  </conditionalFormatting>
  <conditionalFormatting sqref="B120:C121">
    <cfRule type="cellIs" dxfId="30268" priority="2656" stopIfTrue="1" operator="equal">
      <formula>"Towel"</formula>
    </cfRule>
    <cfRule type="cellIs" dxfId="30267" priority="2657" stopIfTrue="1" operator="equal">
      <formula>"Napkin Hs"</formula>
    </cfRule>
    <cfRule type="cellIs" dxfId="30266" priority="2662" stopIfTrue="1" operator="equal">
      <formula>"Towel"</formula>
    </cfRule>
    <cfRule type="cellIs" dxfId="30265" priority="2663" stopIfTrue="1" operator="equal">
      <formula>"Napkin Hs"</formula>
    </cfRule>
    <cfRule type="cellIs" dxfId="30264" priority="2668" stopIfTrue="1" operator="equal">
      <formula>"Towel"</formula>
    </cfRule>
    <cfRule type="cellIs" dxfId="30263" priority="2669" stopIfTrue="1" operator="equal">
      <formula>"Napkin Hs"</formula>
    </cfRule>
    <cfRule type="cellIs" dxfId="30262" priority="2674" stopIfTrue="1" operator="equal">
      <formula>"Towel"</formula>
    </cfRule>
    <cfRule type="cellIs" dxfId="30261" priority="2675" stopIfTrue="1" operator="equal">
      <formula>"Napkin Hs"</formula>
    </cfRule>
    <cfRule type="cellIs" dxfId="30260" priority="2680" stopIfTrue="1" operator="equal">
      <formula>"Towel"</formula>
    </cfRule>
    <cfRule type="cellIs" dxfId="30259" priority="2681" stopIfTrue="1" operator="equal">
      <formula>"Napkin Hs"</formula>
    </cfRule>
    <cfRule type="cellIs" dxfId="30258" priority="2686" stopIfTrue="1" operator="equal">
      <formula>"Towel"</formula>
    </cfRule>
    <cfRule type="cellIs" dxfId="30257" priority="2687" stopIfTrue="1" operator="equal">
      <formula>"Napkin Hs"</formula>
    </cfRule>
    <cfRule type="cellIs" dxfId="30256" priority="2692" stopIfTrue="1" operator="equal">
      <formula>"Towel"</formula>
    </cfRule>
    <cfRule type="cellIs" dxfId="30255" priority="2693" stopIfTrue="1" operator="equal">
      <formula>"Napkin Hs"</formula>
    </cfRule>
    <cfRule type="cellIs" dxfId="30254" priority="2698" stopIfTrue="1" operator="equal">
      <formula>"Towel"</formula>
    </cfRule>
    <cfRule type="cellIs" dxfId="30253" priority="2699" stopIfTrue="1" operator="equal">
      <formula>"Napkin Hs"</formula>
    </cfRule>
    <cfRule type="cellIs" dxfId="30252" priority="2704" stopIfTrue="1" operator="equal">
      <formula>"Towel"</formula>
    </cfRule>
    <cfRule type="cellIs" dxfId="30251" priority="2705" stopIfTrue="1" operator="equal">
      <formula>"Napkin Hs"</formula>
    </cfRule>
  </conditionalFormatting>
  <conditionalFormatting sqref="C116 B117:C117">
    <cfRule type="cellIs" dxfId="30250" priority="2811" stopIfTrue="1" operator="equal">
      <formula>"Napkin Hs"</formula>
    </cfRule>
  </conditionalFormatting>
  <conditionalFormatting sqref="C116 B117:C118">
    <cfRule type="cellIs" dxfId="30249" priority="2810" stopIfTrue="1" operator="equal">
      <formula>"Towel"</formula>
    </cfRule>
  </conditionalFormatting>
  <conditionalFormatting sqref="C116 B117:C117">
    <cfRule type="cellIs" dxfId="30248" priority="2762" stopIfTrue="1" operator="equal">
      <formula>"Towel"</formula>
    </cfRule>
    <cfRule type="cellIs" dxfId="30247" priority="2763" stopIfTrue="1" operator="equal">
      <formula>"Napkin Hs"</formula>
    </cfRule>
    <cfRule type="cellIs" dxfId="30246" priority="2768" stopIfTrue="1" operator="equal">
      <formula>"Towel"</formula>
    </cfRule>
    <cfRule type="cellIs" dxfId="30245" priority="2769" stopIfTrue="1" operator="equal">
      <formula>"Napkin Hs"</formula>
    </cfRule>
    <cfRule type="cellIs" dxfId="30244" priority="2774" stopIfTrue="1" operator="equal">
      <formula>"Towel"</formula>
    </cfRule>
    <cfRule type="cellIs" dxfId="30243" priority="2775" stopIfTrue="1" operator="equal">
      <formula>"Napkin Hs"</formula>
    </cfRule>
    <cfRule type="cellIs" dxfId="30242" priority="2780" stopIfTrue="1" operator="equal">
      <formula>"Towel"</formula>
    </cfRule>
    <cfRule type="cellIs" dxfId="30241" priority="2781" stopIfTrue="1" operator="equal">
      <formula>"Napkin Hs"</formula>
    </cfRule>
    <cfRule type="cellIs" dxfId="30240" priority="2786" stopIfTrue="1" operator="equal">
      <formula>"Towel"</formula>
    </cfRule>
    <cfRule type="cellIs" dxfId="30239" priority="2787" stopIfTrue="1" operator="equal">
      <formula>"Napkin Hs"</formula>
    </cfRule>
    <cfRule type="cellIs" dxfId="30238" priority="2792" stopIfTrue="1" operator="equal">
      <formula>"Towel"</formula>
    </cfRule>
    <cfRule type="cellIs" dxfId="30237" priority="2793" stopIfTrue="1" operator="equal">
      <formula>"Napkin Hs"</formula>
    </cfRule>
    <cfRule type="cellIs" dxfId="30236" priority="2798" stopIfTrue="1" operator="equal">
      <formula>"Towel"</formula>
    </cfRule>
    <cfRule type="cellIs" dxfId="30235" priority="2799" stopIfTrue="1" operator="equal">
      <formula>"Napkin Hs"</formula>
    </cfRule>
  </conditionalFormatting>
  <conditionalFormatting sqref="C116:C117">
    <cfRule type="cellIs" dxfId="30234" priority="2758" stopIfTrue="1" operator="equal">
      <formula>"Towel"</formula>
    </cfRule>
    <cfRule type="cellIs" dxfId="30233" priority="2759" stopIfTrue="1" operator="equal">
      <formula>"Napkin Hs"</formula>
    </cfRule>
    <cfRule type="cellIs" dxfId="30232" priority="2760" stopIfTrue="1" operator="equal">
      <formula>"Towel"</formula>
    </cfRule>
    <cfRule type="cellIs" dxfId="30231" priority="2761" stopIfTrue="1" operator="equal">
      <formula>"Napkin Hs"</formula>
    </cfRule>
    <cfRule type="cellIs" dxfId="30230" priority="2764" stopIfTrue="1" operator="equal">
      <formula>"Towel"</formula>
    </cfRule>
    <cfRule type="cellIs" dxfId="30229" priority="2765" stopIfTrue="1" operator="equal">
      <formula>"Napkin Hs"</formula>
    </cfRule>
    <cfRule type="cellIs" dxfId="30228" priority="2766" stopIfTrue="1" operator="equal">
      <formula>"Towel"</formula>
    </cfRule>
    <cfRule type="cellIs" dxfId="30227" priority="2767" stopIfTrue="1" operator="equal">
      <formula>"Napkin Hs"</formula>
    </cfRule>
    <cfRule type="cellIs" dxfId="30226" priority="2770" stopIfTrue="1" operator="equal">
      <formula>"Towel"</formula>
    </cfRule>
    <cfRule type="cellIs" dxfId="30225" priority="2771" stopIfTrue="1" operator="equal">
      <formula>"Napkin Hs"</formula>
    </cfRule>
    <cfRule type="cellIs" dxfId="30224" priority="2772" stopIfTrue="1" operator="equal">
      <formula>"Towel"</formula>
    </cfRule>
    <cfRule type="cellIs" dxfId="30223" priority="2773" stopIfTrue="1" operator="equal">
      <formula>"Napkin Hs"</formula>
    </cfRule>
    <cfRule type="cellIs" dxfId="30222" priority="2776" stopIfTrue="1" operator="equal">
      <formula>"Towel"</formula>
    </cfRule>
    <cfRule type="cellIs" dxfId="30221" priority="2777" stopIfTrue="1" operator="equal">
      <formula>"Napkin Hs"</formula>
    </cfRule>
    <cfRule type="cellIs" dxfId="30220" priority="2778" stopIfTrue="1" operator="equal">
      <formula>"Towel"</formula>
    </cfRule>
    <cfRule type="cellIs" dxfId="30219" priority="2779" stopIfTrue="1" operator="equal">
      <formula>"Napkin Hs"</formula>
    </cfRule>
    <cfRule type="cellIs" dxfId="30218" priority="2782" stopIfTrue="1" operator="equal">
      <formula>"Towel"</formula>
    </cfRule>
    <cfRule type="cellIs" dxfId="30217" priority="2783" stopIfTrue="1" operator="equal">
      <formula>"Napkin Hs"</formula>
    </cfRule>
    <cfRule type="cellIs" dxfId="30216" priority="2784" stopIfTrue="1" operator="equal">
      <formula>"Towel"</formula>
    </cfRule>
    <cfRule type="cellIs" dxfId="30215" priority="2785" stopIfTrue="1" operator="equal">
      <formula>"Napkin Hs"</formula>
    </cfRule>
    <cfRule type="cellIs" dxfId="30214" priority="2788" stopIfTrue="1" operator="equal">
      <formula>"Towel"</formula>
    </cfRule>
    <cfRule type="cellIs" dxfId="30213" priority="2789" stopIfTrue="1" operator="equal">
      <formula>"Napkin Hs"</formula>
    </cfRule>
    <cfRule type="cellIs" dxfId="30212" priority="2790" stopIfTrue="1" operator="equal">
      <formula>"Towel"</formula>
    </cfRule>
    <cfRule type="cellIs" dxfId="30211" priority="2791" stopIfTrue="1" operator="equal">
      <formula>"Napkin Hs"</formula>
    </cfRule>
    <cfRule type="cellIs" dxfId="30210" priority="2794" stopIfTrue="1" operator="equal">
      <formula>"Towel"</formula>
    </cfRule>
    <cfRule type="cellIs" dxfId="30209" priority="2795" stopIfTrue="1" operator="equal">
      <formula>"Napkin Hs"</formula>
    </cfRule>
    <cfRule type="cellIs" dxfId="30208" priority="2796" stopIfTrue="1" operator="equal">
      <formula>"Towel"</formula>
    </cfRule>
    <cfRule type="cellIs" dxfId="30207" priority="2797" stopIfTrue="1" operator="equal">
      <formula>"Napkin Hs"</formula>
    </cfRule>
    <cfRule type="cellIs" dxfId="30206" priority="2800" stopIfTrue="1" operator="equal">
      <formula>"Towel"</formula>
    </cfRule>
    <cfRule type="cellIs" dxfId="30205" priority="2801" stopIfTrue="1" operator="equal">
      <formula>"Napkin Hs"</formula>
    </cfRule>
    <cfRule type="cellIs" dxfId="30204" priority="2802" stopIfTrue="1" operator="equal">
      <formula>"Towel"</formula>
    </cfRule>
    <cfRule type="cellIs" dxfId="30203" priority="2803" stopIfTrue="1" operator="equal">
      <formula>"Napkin Hs"</formula>
    </cfRule>
    <cfRule type="cellIs" dxfId="30202" priority="2806" stopIfTrue="1" operator="equal">
      <formula>"Towel"</formula>
    </cfRule>
    <cfRule type="cellIs" dxfId="30201" priority="2807" stopIfTrue="1" operator="equal">
      <formula>"Napkin Hs"</formula>
    </cfRule>
  </conditionalFormatting>
  <conditionalFormatting sqref="C116:C118">
    <cfRule type="cellIs" dxfId="30200" priority="2808" stopIfTrue="1" operator="equal">
      <formula>"Towel"</formula>
    </cfRule>
    <cfRule type="cellIs" dxfId="30199" priority="2809" stopIfTrue="1" operator="equal">
      <formula>"Napkin Hs"</formula>
    </cfRule>
  </conditionalFormatting>
  <conditionalFormatting sqref="C118">
    <cfRule type="cellIs" dxfId="30198" priority="2829" stopIfTrue="1" operator="equal">
      <formula>"Towel"</formula>
    </cfRule>
    <cfRule type="cellIs" dxfId="30197" priority="2830" stopIfTrue="1" operator="equal">
      <formula>"Napkin Hs"</formula>
    </cfRule>
  </conditionalFormatting>
  <conditionalFormatting sqref="C119">
    <cfRule type="cellIs" dxfId="30196" priority="2706" stopIfTrue="1" operator="equal">
      <formula>"Towel"</formula>
    </cfRule>
    <cfRule type="cellIs" dxfId="30195" priority="2707" stopIfTrue="1" operator="equal">
      <formula>"Napkin Hs"</formula>
    </cfRule>
    <cfRule type="cellIs" dxfId="30194" priority="2710" stopIfTrue="1" operator="equal">
      <formula>"Towel"</formula>
    </cfRule>
    <cfRule type="cellIs" dxfId="30193" priority="2711" stopIfTrue="1" operator="equal">
      <formula>"Napkin Hs"</formula>
    </cfRule>
    <cfRule type="cellIs" dxfId="30192" priority="2712" stopIfTrue="1" operator="equal">
      <formula>"Towel"</formula>
    </cfRule>
    <cfRule type="cellIs" dxfId="30191" priority="2713" stopIfTrue="1" operator="equal">
      <formula>"Napkin Hs"</formula>
    </cfRule>
    <cfRule type="cellIs" dxfId="30190" priority="2716" stopIfTrue="1" operator="equal">
      <formula>"Towel"</formula>
    </cfRule>
    <cfRule type="cellIs" dxfId="30189" priority="2717" stopIfTrue="1" operator="equal">
      <formula>"Napkin Hs"</formula>
    </cfRule>
    <cfRule type="cellIs" dxfId="30188" priority="2718" stopIfTrue="1" operator="equal">
      <formula>"Towel"</formula>
    </cfRule>
    <cfRule type="cellIs" dxfId="30187" priority="2719" stopIfTrue="1" operator="equal">
      <formula>"Napkin Hs"</formula>
    </cfRule>
    <cfRule type="cellIs" dxfId="30186" priority="2722" stopIfTrue="1" operator="equal">
      <formula>"Towel"</formula>
    </cfRule>
    <cfRule type="cellIs" dxfId="30185" priority="2723" stopIfTrue="1" operator="equal">
      <formula>"Napkin Hs"</formula>
    </cfRule>
    <cfRule type="cellIs" dxfId="30184" priority="2724" stopIfTrue="1" operator="equal">
      <formula>"Towel"</formula>
    </cfRule>
    <cfRule type="cellIs" dxfId="30183" priority="2725" stopIfTrue="1" operator="equal">
      <formula>"Napkin Hs"</formula>
    </cfRule>
    <cfRule type="cellIs" dxfId="30182" priority="2728" stopIfTrue="1" operator="equal">
      <formula>"Towel"</formula>
    </cfRule>
    <cfRule type="cellIs" dxfId="30181" priority="2729" stopIfTrue="1" operator="equal">
      <formula>"Napkin Hs"</formula>
    </cfRule>
    <cfRule type="cellIs" dxfId="30180" priority="2730" stopIfTrue="1" operator="equal">
      <formula>"Towel"</formula>
    </cfRule>
    <cfRule type="cellIs" dxfId="30179" priority="2731" stopIfTrue="1" operator="equal">
      <formula>"Napkin Hs"</formula>
    </cfRule>
    <cfRule type="cellIs" dxfId="30178" priority="2734" stopIfTrue="1" operator="equal">
      <formula>"Towel"</formula>
    </cfRule>
    <cfRule type="cellIs" dxfId="30177" priority="2735" stopIfTrue="1" operator="equal">
      <formula>"Napkin Hs"</formula>
    </cfRule>
    <cfRule type="cellIs" dxfId="30176" priority="2736" stopIfTrue="1" operator="equal">
      <formula>"Towel"</formula>
    </cfRule>
    <cfRule type="cellIs" dxfId="30175" priority="2737" stopIfTrue="1" operator="equal">
      <formula>"Napkin Hs"</formula>
    </cfRule>
    <cfRule type="cellIs" dxfId="30174" priority="2740" stopIfTrue="1" operator="equal">
      <formula>"Towel"</formula>
    </cfRule>
    <cfRule type="cellIs" dxfId="30173" priority="2741" stopIfTrue="1" operator="equal">
      <formula>"Napkin Hs"</formula>
    </cfRule>
    <cfRule type="cellIs" dxfId="30172" priority="2742" stopIfTrue="1" operator="equal">
      <formula>"Towel"</formula>
    </cfRule>
    <cfRule type="cellIs" dxfId="30171" priority="2743" stopIfTrue="1" operator="equal">
      <formula>"Napkin Hs"</formula>
    </cfRule>
    <cfRule type="cellIs" dxfId="30170" priority="2746" stopIfTrue="1" operator="equal">
      <formula>"Towel"</formula>
    </cfRule>
    <cfRule type="cellIs" dxfId="30169" priority="2747" stopIfTrue="1" operator="equal">
      <formula>"Napkin Hs"</formula>
    </cfRule>
    <cfRule type="cellIs" dxfId="30168" priority="2748" stopIfTrue="1" operator="equal">
      <formula>"Towel"</formula>
    </cfRule>
    <cfRule type="cellIs" dxfId="30167" priority="2749" stopIfTrue="1" operator="equal">
      <formula>"Napkin Hs"</formula>
    </cfRule>
    <cfRule type="cellIs" dxfId="30166" priority="2752" stopIfTrue="1" operator="equal">
      <formula>"Towel"</formula>
    </cfRule>
    <cfRule type="cellIs" dxfId="30165" priority="2753" stopIfTrue="1" operator="equal">
      <formula>"Napkin Hs"</formula>
    </cfRule>
    <cfRule type="cellIs" dxfId="30164" priority="2754" stopIfTrue="1" operator="equal">
      <formula>"Towel"</formula>
    </cfRule>
    <cfRule type="cellIs" dxfId="30163" priority="2755" stopIfTrue="1" operator="equal">
      <formula>"Napkin Hs"</formula>
    </cfRule>
  </conditionalFormatting>
  <conditionalFormatting sqref="C119:C121">
    <cfRule type="cellIs" dxfId="30162" priority="2702" stopIfTrue="1" operator="equal">
      <formula>"Towel"</formula>
    </cfRule>
    <cfRule type="cellIs" dxfId="30161" priority="2703" stopIfTrue="1" operator="equal">
      <formula>"Napkin Hs"</formula>
    </cfRule>
  </conditionalFormatting>
  <conditionalFormatting sqref="C120:C121">
    <cfRule type="cellIs" dxfId="30160" priority="2652" stopIfTrue="1" operator="equal">
      <formula>"Towel"</formula>
    </cfRule>
    <cfRule type="cellIs" dxfId="30159" priority="2653" stopIfTrue="1" operator="equal">
      <formula>"Napkin Hs"</formula>
    </cfRule>
    <cfRule type="cellIs" dxfId="30158" priority="2654" stopIfTrue="1" operator="equal">
      <formula>"Towel"</formula>
    </cfRule>
    <cfRule type="cellIs" dxfId="30157" priority="2655" stopIfTrue="1" operator="equal">
      <formula>"Napkin Hs"</formula>
    </cfRule>
    <cfRule type="cellIs" dxfId="30156" priority="2658" stopIfTrue="1" operator="equal">
      <formula>"Towel"</formula>
    </cfRule>
    <cfRule type="cellIs" dxfId="30155" priority="2659" stopIfTrue="1" operator="equal">
      <formula>"Napkin Hs"</formula>
    </cfRule>
    <cfRule type="cellIs" dxfId="30154" priority="2660" stopIfTrue="1" operator="equal">
      <formula>"Towel"</formula>
    </cfRule>
    <cfRule type="cellIs" dxfId="30153" priority="2661" stopIfTrue="1" operator="equal">
      <formula>"Napkin Hs"</formula>
    </cfRule>
    <cfRule type="cellIs" dxfId="30152" priority="2664" stopIfTrue="1" operator="equal">
      <formula>"Towel"</formula>
    </cfRule>
    <cfRule type="cellIs" dxfId="30151" priority="2665" stopIfTrue="1" operator="equal">
      <formula>"Napkin Hs"</formula>
    </cfRule>
    <cfRule type="cellIs" dxfId="30150" priority="2666" stopIfTrue="1" operator="equal">
      <formula>"Towel"</formula>
    </cfRule>
    <cfRule type="cellIs" dxfId="30149" priority="2667" stopIfTrue="1" operator="equal">
      <formula>"Napkin Hs"</formula>
    </cfRule>
    <cfRule type="cellIs" dxfId="30148" priority="2670" stopIfTrue="1" operator="equal">
      <formula>"Towel"</formula>
    </cfRule>
    <cfRule type="cellIs" dxfId="30147" priority="2671" stopIfTrue="1" operator="equal">
      <formula>"Napkin Hs"</formula>
    </cfRule>
    <cfRule type="cellIs" dxfId="30146" priority="2672" stopIfTrue="1" operator="equal">
      <formula>"Towel"</formula>
    </cfRule>
    <cfRule type="cellIs" dxfId="30145" priority="2673" stopIfTrue="1" operator="equal">
      <formula>"Napkin Hs"</formula>
    </cfRule>
    <cfRule type="cellIs" dxfId="30144" priority="2676" stopIfTrue="1" operator="equal">
      <formula>"Towel"</formula>
    </cfRule>
    <cfRule type="cellIs" dxfId="30143" priority="2677" stopIfTrue="1" operator="equal">
      <formula>"Napkin Hs"</formula>
    </cfRule>
    <cfRule type="cellIs" dxfId="30142" priority="2678" stopIfTrue="1" operator="equal">
      <formula>"Towel"</formula>
    </cfRule>
    <cfRule type="cellIs" dxfId="30141" priority="2679" stopIfTrue="1" operator="equal">
      <formula>"Napkin Hs"</formula>
    </cfRule>
    <cfRule type="cellIs" dxfId="30140" priority="2682" stopIfTrue="1" operator="equal">
      <formula>"Towel"</formula>
    </cfRule>
    <cfRule type="cellIs" dxfId="30139" priority="2683" stopIfTrue="1" operator="equal">
      <formula>"Napkin Hs"</formula>
    </cfRule>
    <cfRule type="cellIs" dxfId="30138" priority="2684" stopIfTrue="1" operator="equal">
      <formula>"Towel"</formula>
    </cfRule>
    <cfRule type="cellIs" dxfId="30137" priority="2685" stopIfTrue="1" operator="equal">
      <formula>"Napkin Hs"</formula>
    </cfRule>
    <cfRule type="cellIs" dxfId="30136" priority="2688" stopIfTrue="1" operator="equal">
      <formula>"Towel"</formula>
    </cfRule>
    <cfRule type="cellIs" dxfId="30135" priority="2689" stopIfTrue="1" operator="equal">
      <formula>"Napkin Hs"</formula>
    </cfRule>
    <cfRule type="cellIs" dxfId="30134" priority="2690" stopIfTrue="1" operator="equal">
      <formula>"Towel"</formula>
    </cfRule>
    <cfRule type="cellIs" dxfId="30133" priority="2691" stopIfTrue="1" operator="equal">
      <formula>"Napkin Hs"</formula>
    </cfRule>
    <cfRule type="cellIs" dxfId="30132" priority="2694" stopIfTrue="1" operator="equal">
      <formula>"Towel"</formula>
    </cfRule>
    <cfRule type="cellIs" dxfId="30131" priority="2695" stopIfTrue="1" operator="equal">
      <formula>"Napkin Hs"</formula>
    </cfRule>
    <cfRule type="cellIs" dxfId="30130" priority="2696" stopIfTrue="1" operator="equal">
      <formula>"Towel"</formula>
    </cfRule>
    <cfRule type="cellIs" dxfId="30129" priority="2697" stopIfTrue="1" operator="equal">
      <formula>"Napkin Hs"</formula>
    </cfRule>
    <cfRule type="cellIs" dxfId="30128" priority="2700" stopIfTrue="1" operator="equal">
      <formula>"Towel"</formula>
    </cfRule>
    <cfRule type="cellIs" dxfId="30127" priority="2701" stopIfTrue="1" operator="equal">
      <formula>"Napkin Hs"</formula>
    </cfRule>
  </conditionalFormatting>
  <conditionalFormatting sqref="B120">
    <cfRule type="cellIs" dxfId="30126" priority="2636" stopIfTrue="1" operator="equal">
      <formula>"Towel"</formula>
    </cfRule>
    <cfRule type="cellIs" dxfId="30125" priority="2637" stopIfTrue="1" operator="equal">
      <formula>"Napkin Hs"</formula>
    </cfRule>
    <cfRule type="cellIs" dxfId="30124" priority="2638" stopIfTrue="1" operator="equal">
      <formula>"Towel"</formula>
    </cfRule>
    <cfRule type="cellIs" dxfId="30123" priority="2639" stopIfTrue="1" operator="equal">
      <formula>"Napkin Hs"</formula>
    </cfRule>
    <cfRule type="cellIs" dxfId="30122" priority="2640" stopIfTrue="1" operator="equal">
      <formula>"Towel"</formula>
    </cfRule>
    <cfRule type="cellIs" dxfId="30121" priority="2641" stopIfTrue="1" operator="equal">
      <formula>"Napkin Hs"</formula>
    </cfRule>
    <cfRule type="cellIs" dxfId="30120" priority="2642" stopIfTrue="1" operator="equal">
      <formula>"Towel"</formula>
    </cfRule>
    <cfRule type="cellIs" dxfId="30119" priority="2643" stopIfTrue="1" operator="equal">
      <formula>"Napkin Hs"</formula>
    </cfRule>
    <cfRule type="cellIs" dxfId="30118" priority="2644" stopIfTrue="1" operator="equal">
      <formula>"Towel"</formula>
    </cfRule>
    <cfRule type="cellIs" dxfId="30117" priority="2645" stopIfTrue="1" operator="equal">
      <formula>"Napkin Hs"</formula>
    </cfRule>
    <cfRule type="cellIs" dxfId="30116" priority="2646" stopIfTrue="1" operator="equal">
      <formula>"Towel"</formula>
    </cfRule>
    <cfRule type="cellIs" dxfId="30115" priority="2647" stopIfTrue="1" operator="equal">
      <formula>"Napkin Hs"</formula>
    </cfRule>
    <cfRule type="cellIs" dxfId="30114" priority="2648" stopIfTrue="1" operator="equal">
      <formula>"Towel"</formula>
    </cfRule>
    <cfRule type="cellIs" dxfId="30113" priority="2649" stopIfTrue="1" operator="equal">
      <formula>"Napkin Hs"</formula>
    </cfRule>
    <cfRule type="cellIs" dxfId="30112" priority="2650" stopIfTrue="1" operator="equal">
      <formula>"Towel"</formula>
    </cfRule>
    <cfRule type="cellIs" dxfId="30111" priority="2651" stopIfTrue="1" operator="equal">
      <formula>"Napkin Hs"</formula>
    </cfRule>
  </conditionalFormatting>
  <conditionalFormatting sqref="B120:C121">
    <cfRule type="cellIs" dxfId="30110" priority="2628" stopIfTrue="1" operator="equal">
      <formula>"Towel"</formula>
    </cfRule>
    <cfRule type="cellIs" dxfId="30109" priority="2629" stopIfTrue="1" operator="equal">
      <formula>"Napkin Hs"</formula>
    </cfRule>
  </conditionalFormatting>
  <conditionalFormatting sqref="C120 B121:C121">
    <cfRule type="cellIs" dxfId="30108" priority="2635" stopIfTrue="1" operator="equal">
      <formula>"Napkin Hs"</formula>
    </cfRule>
  </conditionalFormatting>
  <conditionalFormatting sqref="C120 B121:C121">
    <cfRule type="cellIs" dxfId="30107" priority="2634" stopIfTrue="1" operator="equal">
      <formula>"Towel"</formula>
    </cfRule>
  </conditionalFormatting>
  <conditionalFormatting sqref="C120 B121:C121">
    <cfRule type="cellIs" dxfId="30106" priority="2586" stopIfTrue="1" operator="equal">
      <formula>"Towel"</formula>
    </cfRule>
    <cfRule type="cellIs" dxfId="30105" priority="2587" stopIfTrue="1" operator="equal">
      <formula>"Napkin Hs"</formula>
    </cfRule>
    <cfRule type="cellIs" dxfId="30104" priority="2592" stopIfTrue="1" operator="equal">
      <formula>"Towel"</formula>
    </cfRule>
    <cfRule type="cellIs" dxfId="30103" priority="2593" stopIfTrue="1" operator="equal">
      <formula>"Napkin Hs"</formula>
    </cfRule>
    <cfRule type="cellIs" dxfId="30102" priority="2598" stopIfTrue="1" operator="equal">
      <formula>"Towel"</formula>
    </cfRule>
    <cfRule type="cellIs" dxfId="30101" priority="2599" stopIfTrue="1" operator="equal">
      <formula>"Napkin Hs"</formula>
    </cfRule>
    <cfRule type="cellIs" dxfId="30100" priority="2604" stopIfTrue="1" operator="equal">
      <formula>"Towel"</formula>
    </cfRule>
    <cfRule type="cellIs" dxfId="30099" priority="2605" stopIfTrue="1" operator="equal">
      <formula>"Napkin Hs"</formula>
    </cfRule>
    <cfRule type="cellIs" dxfId="30098" priority="2610" stopIfTrue="1" operator="equal">
      <formula>"Towel"</formula>
    </cfRule>
    <cfRule type="cellIs" dxfId="30097" priority="2611" stopIfTrue="1" operator="equal">
      <formula>"Napkin Hs"</formula>
    </cfRule>
    <cfRule type="cellIs" dxfId="30096" priority="2616" stopIfTrue="1" operator="equal">
      <formula>"Towel"</formula>
    </cfRule>
    <cfRule type="cellIs" dxfId="30095" priority="2617" stopIfTrue="1" operator="equal">
      <formula>"Napkin Hs"</formula>
    </cfRule>
    <cfRule type="cellIs" dxfId="30094" priority="2622" stopIfTrue="1" operator="equal">
      <formula>"Towel"</formula>
    </cfRule>
    <cfRule type="cellIs" dxfId="30093" priority="2623" stopIfTrue="1" operator="equal">
      <formula>"Napkin Hs"</formula>
    </cfRule>
  </conditionalFormatting>
  <conditionalFormatting sqref="C120:C121">
    <cfRule type="cellIs" dxfId="30092" priority="2582" stopIfTrue="1" operator="equal">
      <formula>"Towel"</formula>
    </cfRule>
    <cfRule type="cellIs" dxfId="30091" priority="2583" stopIfTrue="1" operator="equal">
      <formula>"Napkin Hs"</formula>
    </cfRule>
    <cfRule type="cellIs" dxfId="30090" priority="2584" stopIfTrue="1" operator="equal">
      <formula>"Towel"</formula>
    </cfRule>
    <cfRule type="cellIs" dxfId="30089" priority="2585" stopIfTrue="1" operator="equal">
      <formula>"Napkin Hs"</formula>
    </cfRule>
    <cfRule type="cellIs" dxfId="30088" priority="2588" stopIfTrue="1" operator="equal">
      <formula>"Towel"</formula>
    </cfRule>
    <cfRule type="cellIs" dxfId="30087" priority="2589" stopIfTrue="1" operator="equal">
      <formula>"Napkin Hs"</formula>
    </cfRule>
    <cfRule type="cellIs" dxfId="30086" priority="2590" stopIfTrue="1" operator="equal">
      <formula>"Towel"</formula>
    </cfRule>
    <cfRule type="cellIs" dxfId="30085" priority="2591" stopIfTrue="1" operator="equal">
      <formula>"Napkin Hs"</formula>
    </cfRule>
    <cfRule type="cellIs" dxfId="30084" priority="2594" stopIfTrue="1" operator="equal">
      <formula>"Towel"</formula>
    </cfRule>
    <cfRule type="cellIs" dxfId="30083" priority="2595" stopIfTrue="1" operator="equal">
      <formula>"Napkin Hs"</formula>
    </cfRule>
    <cfRule type="cellIs" dxfId="30082" priority="2596" stopIfTrue="1" operator="equal">
      <formula>"Towel"</formula>
    </cfRule>
    <cfRule type="cellIs" dxfId="30081" priority="2597" stopIfTrue="1" operator="equal">
      <formula>"Napkin Hs"</formula>
    </cfRule>
    <cfRule type="cellIs" dxfId="30080" priority="2600" stopIfTrue="1" operator="equal">
      <formula>"Towel"</formula>
    </cfRule>
    <cfRule type="cellIs" dxfId="30079" priority="2601" stopIfTrue="1" operator="equal">
      <formula>"Napkin Hs"</formula>
    </cfRule>
    <cfRule type="cellIs" dxfId="30078" priority="2602" stopIfTrue="1" operator="equal">
      <formula>"Towel"</formula>
    </cfRule>
    <cfRule type="cellIs" dxfId="30077" priority="2603" stopIfTrue="1" operator="equal">
      <formula>"Napkin Hs"</formula>
    </cfRule>
    <cfRule type="cellIs" dxfId="30076" priority="2606" stopIfTrue="1" operator="equal">
      <formula>"Towel"</formula>
    </cfRule>
    <cfRule type="cellIs" dxfId="30075" priority="2607" stopIfTrue="1" operator="equal">
      <formula>"Napkin Hs"</formula>
    </cfRule>
    <cfRule type="cellIs" dxfId="30074" priority="2608" stopIfTrue="1" operator="equal">
      <formula>"Towel"</formula>
    </cfRule>
    <cfRule type="cellIs" dxfId="30073" priority="2609" stopIfTrue="1" operator="equal">
      <formula>"Napkin Hs"</formula>
    </cfRule>
    <cfRule type="cellIs" dxfId="30072" priority="2612" stopIfTrue="1" operator="equal">
      <formula>"Towel"</formula>
    </cfRule>
    <cfRule type="cellIs" dxfId="30071" priority="2613" stopIfTrue="1" operator="equal">
      <formula>"Napkin Hs"</formula>
    </cfRule>
    <cfRule type="cellIs" dxfId="30070" priority="2614" stopIfTrue="1" operator="equal">
      <formula>"Towel"</formula>
    </cfRule>
    <cfRule type="cellIs" dxfId="30069" priority="2615" stopIfTrue="1" operator="equal">
      <formula>"Napkin Hs"</formula>
    </cfRule>
    <cfRule type="cellIs" dxfId="30068" priority="2618" stopIfTrue="1" operator="equal">
      <formula>"Towel"</formula>
    </cfRule>
    <cfRule type="cellIs" dxfId="30067" priority="2619" stopIfTrue="1" operator="equal">
      <formula>"Napkin Hs"</formula>
    </cfRule>
    <cfRule type="cellIs" dxfId="30066" priority="2620" stopIfTrue="1" operator="equal">
      <formula>"Towel"</formula>
    </cfRule>
    <cfRule type="cellIs" dxfId="30065" priority="2621" stopIfTrue="1" operator="equal">
      <formula>"Napkin Hs"</formula>
    </cfRule>
    <cfRule type="cellIs" dxfId="30064" priority="2624" stopIfTrue="1" operator="equal">
      <formula>"Towel"</formula>
    </cfRule>
    <cfRule type="cellIs" dxfId="30063" priority="2625" stopIfTrue="1" operator="equal">
      <formula>"Napkin Hs"</formula>
    </cfRule>
    <cfRule type="cellIs" dxfId="30062" priority="2626" stopIfTrue="1" operator="equal">
      <formula>"Towel"</formula>
    </cfRule>
    <cfRule type="cellIs" dxfId="30061" priority="2627" stopIfTrue="1" operator="equal">
      <formula>"Napkin Hs"</formula>
    </cfRule>
    <cfRule type="cellIs" dxfId="30060" priority="2630" stopIfTrue="1" operator="equal">
      <formula>"Towel"</formula>
    </cfRule>
    <cfRule type="cellIs" dxfId="30059" priority="2631" stopIfTrue="1" operator="equal">
      <formula>"Napkin Hs"</formula>
    </cfRule>
  </conditionalFormatting>
  <conditionalFormatting sqref="C120:C121">
    <cfRule type="cellIs" dxfId="30058" priority="2632" stopIfTrue="1" operator="equal">
      <formula>"Towel"</formula>
    </cfRule>
    <cfRule type="cellIs" dxfId="30057" priority="2633" stopIfTrue="1" operator="equal">
      <formula>"Napkin Hs"</formula>
    </cfRule>
  </conditionalFormatting>
  <conditionalFormatting sqref="B118:B119">
    <cfRule type="cellIs" dxfId="30056" priority="2432" stopIfTrue="1" operator="equal">
      <formula>"Towel"</formula>
    </cfRule>
    <cfRule type="cellIs" dxfId="30055" priority="2433" stopIfTrue="1" operator="equal">
      <formula>"Napkin Hs"</formula>
    </cfRule>
  </conditionalFormatting>
  <conditionalFormatting sqref="B116:C116">
    <cfRule type="cellIs" dxfId="30054" priority="2270" stopIfTrue="1" operator="equal">
      <formula>"Towel"</formula>
    </cfRule>
    <cfRule type="cellIs" dxfId="30053" priority="2271" stopIfTrue="1" operator="equal">
      <formula>"Napkin Hs"</formula>
    </cfRule>
    <cfRule type="cellIs" dxfId="30052" priority="2276" stopIfTrue="1" operator="equal">
      <formula>"Towel"</formula>
    </cfRule>
    <cfRule type="cellIs" dxfId="30051" priority="2277" stopIfTrue="1" operator="equal">
      <formula>"Napkin Hs"</formula>
    </cfRule>
    <cfRule type="cellIs" dxfId="30050" priority="2282" stopIfTrue="1" operator="equal">
      <formula>"Towel"</formula>
    </cfRule>
    <cfRule type="cellIs" dxfId="30049" priority="2283" stopIfTrue="1" operator="equal">
      <formula>"Napkin Hs"</formula>
    </cfRule>
    <cfRule type="cellIs" dxfId="30048" priority="2288" stopIfTrue="1" operator="equal">
      <formula>"Towel"</formula>
    </cfRule>
    <cfRule type="cellIs" dxfId="30047" priority="2289" stopIfTrue="1" operator="equal">
      <formula>"Napkin Hs"</formula>
    </cfRule>
    <cfRule type="cellIs" dxfId="30046" priority="2294" stopIfTrue="1" operator="equal">
      <formula>"Towel"</formula>
    </cfRule>
    <cfRule type="cellIs" dxfId="30045" priority="2295" stopIfTrue="1" operator="equal">
      <formula>"Napkin Hs"</formula>
    </cfRule>
    <cfRule type="cellIs" dxfId="30044" priority="2300" stopIfTrue="1" operator="equal">
      <formula>"Towel"</formula>
    </cfRule>
    <cfRule type="cellIs" dxfId="30043" priority="2301" stopIfTrue="1" operator="equal">
      <formula>"Napkin Hs"</formula>
    </cfRule>
    <cfRule type="cellIs" dxfId="30042" priority="2304" stopIfTrue="1" operator="equal">
      <formula>"Towel"</formula>
    </cfRule>
    <cfRule type="cellIs" dxfId="30041" priority="2305" stopIfTrue="1" operator="equal">
      <formula>"Napkin Hs"</formula>
    </cfRule>
    <cfRule type="cellIs" dxfId="30040" priority="2312" stopIfTrue="1" operator="equal">
      <formula>"Towel"</formula>
    </cfRule>
    <cfRule type="cellIs" dxfId="30039" priority="2313" stopIfTrue="1" operator="equal">
      <formula>"Napkin Hs"</formula>
    </cfRule>
    <cfRule type="cellIs" dxfId="30038" priority="2318" stopIfTrue="1" operator="equal">
      <formula>"Towel"</formula>
    </cfRule>
    <cfRule type="cellIs" dxfId="30037" priority="2319" stopIfTrue="1" operator="equal">
      <formula>"Napkin Hs"</formula>
    </cfRule>
    <cfRule type="cellIs" dxfId="30036" priority="2324" stopIfTrue="1" operator="equal">
      <formula>"Towel"</formula>
    </cfRule>
    <cfRule type="cellIs" dxfId="30035" priority="2325" stopIfTrue="1" operator="equal">
      <formula>"Napkin Hs"</formula>
    </cfRule>
    <cfRule type="cellIs" dxfId="30034" priority="2330" stopIfTrue="1" operator="equal">
      <formula>"Towel"</formula>
    </cfRule>
    <cfRule type="cellIs" dxfId="30033" priority="2331" stopIfTrue="1" operator="equal">
      <formula>"Napkin Hs"</formula>
    </cfRule>
    <cfRule type="cellIs" dxfId="30032" priority="2336" stopIfTrue="1" operator="equal">
      <formula>"Towel"</formula>
    </cfRule>
    <cfRule type="cellIs" dxfId="30031" priority="2337" stopIfTrue="1" operator="equal">
      <formula>"Napkin Hs"</formula>
    </cfRule>
    <cfRule type="cellIs" dxfId="30030" priority="2342" stopIfTrue="1" operator="equal">
      <formula>"Towel"</formula>
    </cfRule>
    <cfRule type="cellIs" dxfId="30029" priority="2343" stopIfTrue="1" operator="equal">
      <formula>"Napkin Hs"</formula>
    </cfRule>
    <cfRule type="cellIs" dxfId="30028" priority="2348" stopIfTrue="1" operator="equal">
      <formula>"Towel"</formula>
    </cfRule>
    <cfRule type="cellIs" dxfId="30027" priority="2349" stopIfTrue="1" operator="equal">
      <formula>"Napkin Hs"</formula>
    </cfRule>
  </conditionalFormatting>
  <conditionalFormatting sqref="B117:C117">
    <cfRule type="cellIs" dxfId="30026" priority="2352" stopIfTrue="1" operator="equal">
      <formula>"Towel"</formula>
    </cfRule>
    <cfRule type="cellIs" dxfId="30025" priority="2353" stopIfTrue="1" operator="equal">
      <formula>"Napkin Hs"</formula>
    </cfRule>
    <cfRule type="cellIs" dxfId="30024" priority="2358" stopIfTrue="1" operator="equal">
      <formula>"Towel"</formula>
    </cfRule>
    <cfRule type="cellIs" dxfId="30023" priority="2359" stopIfTrue="1" operator="equal">
      <formula>"Napkin Hs"</formula>
    </cfRule>
    <cfRule type="cellIs" dxfId="30022" priority="2364" stopIfTrue="1" operator="equal">
      <formula>"Towel"</formula>
    </cfRule>
    <cfRule type="cellIs" dxfId="30021" priority="2365" stopIfTrue="1" operator="equal">
      <formula>"Napkin Hs"</formula>
    </cfRule>
    <cfRule type="cellIs" dxfId="30020" priority="2370" stopIfTrue="1" operator="equal">
      <formula>"Towel"</formula>
    </cfRule>
    <cfRule type="cellIs" dxfId="30019" priority="2371" stopIfTrue="1" operator="equal">
      <formula>"Napkin Hs"</formula>
    </cfRule>
    <cfRule type="cellIs" dxfId="30018" priority="2376" stopIfTrue="1" operator="equal">
      <formula>"Towel"</formula>
    </cfRule>
    <cfRule type="cellIs" dxfId="30017" priority="2377" stopIfTrue="1" operator="equal">
      <formula>"Napkin Hs"</formula>
    </cfRule>
    <cfRule type="cellIs" dxfId="30016" priority="2382" stopIfTrue="1" operator="equal">
      <formula>"Towel"</formula>
    </cfRule>
    <cfRule type="cellIs" dxfId="30015" priority="2383" stopIfTrue="1" operator="equal">
      <formula>"Napkin Hs"</formula>
    </cfRule>
    <cfRule type="cellIs" dxfId="30014" priority="2386" stopIfTrue="1" operator="equal">
      <formula>"Towel"</formula>
    </cfRule>
    <cfRule type="cellIs" dxfId="30013" priority="2387" stopIfTrue="1" operator="equal">
      <formula>"Napkin Hs"</formula>
    </cfRule>
    <cfRule type="cellIs" dxfId="30012" priority="2394" stopIfTrue="1" operator="equal">
      <formula>"Towel"</formula>
    </cfRule>
    <cfRule type="cellIs" dxfId="30011" priority="2395" stopIfTrue="1" operator="equal">
      <formula>"Napkin Hs"</formula>
    </cfRule>
    <cfRule type="cellIs" dxfId="30010" priority="2400" stopIfTrue="1" operator="equal">
      <formula>"Towel"</formula>
    </cfRule>
    <cfRule type="cellIs" dxfId="30009" priority="2401" stopIfTrue="1" operator="equal">
      <formula>"Napkin Hs"</formula>
    </cfRule>
    <cfRule type="cellIs" dxfId="30008" priority="2406" stopIfTrue="1" operator="equal">
      <formula>"Towel"</formula>
    </cfRule>
    <cfRule type="cellIs" dxfId="30007" priority="2407" stopIfTrue="1" operator="equal">
      <formula>"Napkin Hs"</formula>
    </cfRule>
    <cfRule type="cellIs" dxfId="30006" priority="2412" stopIfTrue="1" operator="equal">
      <formula>"Towel"</formula>
    </cfRule>
    <cfRule type="cellIs" dxfId="30005" priority="2413" stopIfTrue="1" operator="equal">
      <formula>"Napkin Hs"</formula>
    </cfRule>
    <cfRule type="cellIs" dxfId="30004" priority="2418" stopIfTrue="1" operator="equal">
      <formula>"Towel"</formula>
    </cfRule>
    <cfRule type="cellIs" dxfId="30003" priority="2419" stopIfTrue="1" operator="equal">
      <formula>"Napkin Hs"</formula>
    </cfRule>
    <cfRule type="cellIs" dxfId="30002" priority="2424" stopIfTrue="1" operator="equal">
      <formula>"Towel"</formula>
    </cfRule>
    <cfRule type="cellIs" dxfId="30001" priority="2425" stopIfTrue="1" operator="equal">
      <formula>"Napkin Hs"</formula>
    </cfRule>
    <cfRule type="cellIs" dxfId="30000" priority="2430" stopIfTrue="1" operator="equal">
      <formula>"Towel"</formula>
    </cfRule>
    <cfRule type="cellIs" dxfId="29999" priority="2431" stopIfTrue="1" operator="equal">
      <formula>"Napkin Hs"</formula>
    </cfRule>
  </conditionalFormatting>
  <conditionalFormatting sqref="B118:C118">
    <cfRule type="cellIs" dxfId="29998" priority="2492" stopIfTrue="1" operator="equal">
      <formula>"Towel"</formula>
    </cfRule>
    <cfRule type="cellIs" dxfId="29997" priority="2493" stopIfTrue="1" operator="equal">
      <formula>"Napkin Hs"</formula>
    </cfRule>
    <cfRule type="cellIs" dxfId="29996" priority="2498" stopIfTrue="1" operator="equal">
      <formula>"Towel"</formula>
    </cfRule>
    <cfRule type="cellIs" dxfId="29995" priority="2499" stopIfTrue="1" operator="equal">
      <formula>"Napkin Hs"</formula>
    </cfRule>
    <cfRule type="cellIs" dxfId="29994" priority="2504" stopIfTrue="1" operator="equal">
      <formula>"Towel"</formula>
    </cfRule>
    <cfRule type="cellIs" dxfId="29993" priority="2505" stopIfTrue="1" operator="equal">
      <formula>"Napkin Hs"</formula>
    </cfRule>
    <cfRule type="cellIs" dxfId="29992" priority="2510" stopIfTrue="1" operator="equal">
      <formula>"Towel"</formula>
    </cfRule>
    <cfRule type="cellIs" dxfId="29991" priority="2511" stopIfTrue="1" operator="equal">
      <formula>"Napkin Hs"</formula>
    </cfRule>
    <cfRule type="cellIs" dxfId="29990" priority="2516" stopIfTrue="1" operator="equal">
      <formula>"Towel"</formula>
    </cfRule>
    <cfRule type="cellIs" dxfId="29989" priority="2517" stopIfTrue="1" operator="equal">
      <formula>"Napkin Hs"</formula>
    </cfRule>
    <cfRule type="cellIs" dxfId="29988" priority="2522" stopIfTrue="1" operator="equal">
      <formula>"Towel"</formula>
    </cfRule>
    <cfRule type="cellIs" dxfId="29987" priority="2523" stopIfTrue="1" operator="equal">
      <formula>"Napkin Hs"</formula>
    </cfRule>
    <cfRule type="cellIs" dxfId="29986" priority="2528" stopIfTrue="1" operator="equal">
      <formula>"Towel"</formula>
    </cfRule>
    <cfRule type="cellIs" dxfId="29985" priority="2529" stopIfTrue="1" operator="equal">
      <formula>"Napkin Hs"</formula>
    </cfRule>
    <cfRule type="cellIs" dxfId="29984" priority="2534" stopIfTrue="1" operator="equal">
      <formula>"Towel"</formula>
    </cfRule>
    <cfRule type="cellIs" dxfId="29983" priority="2535" stopIfTrue="1" operator="equal">
      <formula>"Napkin Hs"</formula>
    </cfRule>
  </conditionalFormatting>
  <conditionalFormatting sqref="B118:C119">
    <cfRule type="cellIs" dxfId="29982" priority="2434" stopIfTrue="1" operator="equal">
      <formula>"Towel"</formula>
    </cfRule>
    <cfRule type="cellIs" dxfId="29981" priority="2435" stopIfTrue="1" operator="equal">
      <formula>"Napkin Hs"</formula>
    </cfRule>
    <cfRule type="cellIs" dxfId="29980" priority="2450" stopIfTrue="1" operator="equal">
      <formula>"Towel"</formula>
    </cfRule>
    <cfRule type="cellIs" dxfId="29979" priority="2451" stopIfTrue="1" operator="equal">
      <formula>"Napkin Hs"</formula>
    </cfRule>
    <cfRule type="cellIs" dxfId="29978" priority="2456" stopIfTrue="1" operator="equal">
      <formula>"Towel"</formula>
    </cfRule>
    <cfRule type="cellIs" dxfId="29977" priority="2457" stopIfTrue="1" operator="equal">
      <formula>"Napkin Hs"</formula>
    </cfRule>
    <cfRule type="cellIs" dxfId="29976" priority="2462" stopIfTrue="1" operator="equal">
      <formula>"Towel"</formula>
    </cfRule>
    <cfRule type="cellIs" dxfId="29975" priority="2463" stopIfTrue="1" operator="equal">
      <formula>"Napkin Hs"</formula>
    </cfRule>
    <cfRule type="cellIs" dxfId="29974" priority="2468" stopIfTrue="1" operator="equal">
      <formula>"Towel"</formula>
    </cfRule>
    <cfRule type="cellIs" dxfId="29973" priority="2469" stopIfTrue="1" operator="equal">
      <formula>"Napkin Hs"</formula>
    </cfRule>
    <cfRule type="cellIs" dxfId="29972" priority="2474" stopIfTrue="1" operator="equal">
      <formula>"Towel"</formula>
    </cfRule>
    <cfRule type="cellIs" dxfId="29971" priority="2475" stopIfTrue="1" operator="equal">
      <formula>"Napkin Hs"</formula>
    </cfRule>
    <cfRule type="cellIs" dxfId="29970" priority="2480" stopIfTrue="1" operator="equal">
      <formula>"Towel"</formula>
    </cfRule>
    <cfRule type="cellIs" dxfId="29969" priority="2481" stopIfTrue="1" operator="equal">
      <formula>"Napkin Hs"</formula>
    </cfRule>
    <cfRule type="cellIs" dxfId="29968" priority="2486" stopIfTrue="1" operator="equal">
      <formula>"Towel"</formula>
    </cfRule>
    <cfRule type="cellIs" dxfId="29967" priority="2487" stopIfTrue="1" operator="equal">
      <formula>"Napkin Hs"</formula>
    </cfRule>
  </conditionalFormatting>
  <conditionalFormatting sqref="B119:C119">
    <cfRule type="cellIs" dxfId="29966" priority="2538" stopIfTrue="1" operator="equal">
      <formula>"Towel"</formula>
    </cfRule>
    <cfRule type="cellIs" dxfId="29965" priority="2539" stopIfTrue="1" operator="equal">
      <formula>"Napkin Hs"</formula>
    </cfRule>
    <cfRule type="cellIs" dxfId="29964" priority="2544" stopIfTrue="1" operator="equal">
      <formula>"Towel"</formula>
    </cfRule>
    <cfRule type="cellIs" dxfId="29963" priority="2545" stopIfTrue="1" operator="equal">
      <formula>"Napkin Hs"</formula>
    </cfRule>
    <cfRule type="cellIs" dxfId="29962" priority="2550" stopIfTrue="1" operator="equal">
      <formula>"Towel"</formula>
    </cfRule>
    <cfRule type="cellIs" dxfId="29961" priority="2551" stopIfTrue="1" operator="equal">
      <formula>"Napkin Hs"</formula>
    </cfRule>
    <cfRule type="cellIs" dxfId="29960" priority="2556" stopIfTrue="1" operator="equal">
      <formula>"Towel"</formula>
    </cfRule>
    <cfRule type="cellIs" dxfId="29959" priority="2557" stopIfTrue="1" operator="equal">
      <formula>"Napkin Hs"</formula>
    </cfRule>
    <cfRule type="cellIs" dxfId="29958" priority="2562" stopIfTrue="1" operator="equal">
      <formula>"Towel"</formula>
    </cfRule>
    <cfRule type="cellIs" dxfId="29957" priority="2563" stopIfTrue="1" operator="equal">
      <formula>"Napkin Hs"</formula>
    </cfRule>
    <cfRule type="cellIs" dxfId="29956" priority="2568" stopIfTrue="1" operator="equal">
      <formula>"Towel"</formula>
    </cfRule>
    <cfRule type="cellIs" dxfId="29955" priority="2569" stopIfTrue="1" operator="equal">
      <formula>"Napkin Hs"</formula>
    </cfRule>
    <cfRule type="cellIs" dxfId="29954" priority="2574" stopIfTrue="1" operator="equal">
      <formula>"Towel"</formula>
    </cfRule>
    <cfRule type="cellIs" dxfId="29953" priority="2575" stopIfTrue="1" operator="equal">
      <formula>"Napkin Hs"</formula>
    </cfRule>
    <cfRule type="cellIs" dxfId="29952" priority="2580" stopIfTrue="1" operator="equal">
      <formula>"Towel"</formula>
    </cfRule>
    <cfRule type="cellIs" dxfId="29951" priority="2581" stopIfTrue="1" operator="equal">
      <formula>"Napkin Hs"</formula>
    </cfRule>
  </conditionalFormatting>
  <conditionalFormatting sqref="C116">
    <cfRule type="cellIs" dxfId="29950" priority="2266" stopIfTrue="1" operator="equal">
      <formula>"Towel"</formula>
    </cfRule>
    <cfRule type="cellIs" dxfId="29949" priority="2267" stopIfTrue="1" operator="equal">
      <formula>"Napkin Hs"</formula>
    </cfRule>
    <cfRule type="cellIs" dxfId="29948" priority="2268" stopIfTrue="1" operator="equal">
      <formula>"Towel"</formula>
    </cfRule>
    <cfRule type="cellIs" dxfId="29947" priority="2269" stopIfTrue="1" operator="equal">
      <formula>"Napkin Hs"</formula>
    </cfRule>
    <cfRule type="cellIs" dxfId="29946" priority="2272" stopIfTrue="1" operator="equal">
      <formula>"Towel"</formula>
    </cfRule>
    <cfRule type="cellIs" dxfId="29945" priority="2273" stopIfTrue="1" operator="equal">
      <formula>"Napkin Hs"</formula>
    </cfRule>
    <cfRule type="cellIs" dxfId="29944" priority="2274" stopIfTrue="1" operator="equal">
      <formula>"Towel"</formula>
    </cfRule>
    <cfRule type="cellIs" dxfId="29943" priority="2275" stopIfTrue="1" operator="equal">
      <formula>"Napkin Hs"</formula>
    </cfRule>
    <cfRule type="cellIs" dxfId="29942" priority="2278" stopIfTrue="1" operator="equal">
      <formula>"Towel"</formula>
    </cfRule>
    <cfRule type="cellIs" dxfId="29941" priority="2279" stopIfTrue="1" operator="equal">
      <formula>"Napkin Hs"</formula>
    </cfRule>
    <cfRule type="cellIs" dxfId="29940" priority="2280" stopIfTrue="1" operator="equal">
      <formula>"Towel"</formula>
    </cfRule>
    <cfRule type="cellIs" dxfId="29939" priority="2281" stopIfTrue="1" operator="equal">
      <formula>"Napkin Hs"</formula>
    </cfRule>
    <cfRule type="cellIs" dxfId="29938" priority="2284" stopIfTrue="1" operator="equal">
      <formula>"Towel"</formula>
    </cfRule>
    <cfRule type="cellIs" dxfId="29937" priority="2285" stopIfTrue="1" operator="equal">
      <formula>"Napkin Hs"</formula>
    </cfRule>
    <cfRule type="cellIs" dxfId="29936" priority="2286" stopIfTrue="1" operator="equal">
      <formula>"Towel"</formula>
    </cfRule>
    <cfRule type="cellIs" dxfId="29935" priority="2287" stopIfTrue="1" operator="equal">
      <formula>"Napkin Hs"</formula>
    </cfRule>
    <cfRule type="cellIs" dxfId="29934" priority="2290" stopIfTrue="1" operator="equal">
      <formula>"Towel"</formula>
    </cfRule>
    <cfRule type="cellIs" dxfId="29933" priority="2291" stopIfTrue="1" operator="equal">
      <formula>"Napkin Hs"</formula>
    </cfRule>
    <cfRule type="cellIs" dxfId="29932" priority="2292" stopIfTrue="1" operator="equal">
      <formula>"Towel"</formula>
    </cfRule>
    <cfRule type="cellIs" dxfId="29931" priority="2293" stopIfTrue="1" operator="equal">
      <formula>"Napkin Hs"</formula>
    </cfRule>
    <cfRule type="cellIs" dxfId="29930" priority="2296" stopIfTrue="1" operator="equal">
      <formula>"Towel"</formula>
    </cfRule>
    <cfRule type="cellIs" dxfId="29929" priority="2297" stopIfTrue="1" operator="equal">
      <formula>"Napkin Hs"</formula>
    </cfRule>
    <cfRule type="cellIs" dxfId="29928" priority="2298" stopIfTrue="1" operator="equal">
      <formula>"Towel"</formula>
    </cfRule>
    <cfRule type="cellIs" dxfId="29927" priority="2299" stopIfTrue="1" operator="equal">
      <formula>"Napkin Hs"</formula>
    </cfRule>
    <cfRule type="cellIs" dxfId="29926" priority="2302" stopIfTrue="1" operator="equal">
      <formula>"Towel"</formula>
    </cfRule>
    <cfRule type="cellIs" dxfId="29925" priority="2303" stopIfTrue="1" operator="equal">
      <formula>"Napkin Hs"</formula>
    </cfRule>
    <cfRule type="cellIs" dxfId="29924" priority="2306" stopIfTrue="1" operator="equal">
      <formula>"Towel"</formula>
    </cfRule>
    <cfRule type="cellIs" dxfId="29923" priority="2307" stopIfTrue="1" operator="equal">
      <formula>"Napkin Hs"</formula>
    </cfRule>
    <cfRule type="cellIs" dxfId="29922" priority="2308" stopIfTrue="1" operator="equal">
      <formula>"Towel"</formula>
    </cfRule>
    <cfRule type="cellIs" dxfId="29921" priority="2309" stopIfTrue="1" operator="equal">
      <formula>"Napkin Hs"</formula>
    </cfRule>
    <cfRule type="cellIs" dxfId="29920" priority="2310" stopIfTrue="1" operator="equal">
      <formula>"Towel"</formula>
    </cfRule>
    <cfRule type="cellIs" dxfId="29919" priority="2311" stopIfTrue="1" operator="equal">
      <formula>"Napkin Hs"</formula>
    </cfRule>
    <cfRule type="cellIs" dxfId="29918" priority="2314" stopIfTrue="1" operator="equal">
      <formula>"Towel"</formula>
    </cfRule>
    <cfRule type="cellIs" dxfId="29917" priority="2315" stopIfTrue="1" operator="equal">
      <formula>"Napkin Hs"</formula>
    </cfRule>
    <cfRule type="cellIs" dxfId="29916" priority="2316" stopIfTrue="1" operator="equal">
      <formula>"Towel"</formula>
    </cfRule>
    <cfRule type="cellIs" dxfId="29915" priority="2317" stopIfTrue="1" operator="equal">
      <formula>"Napkin Hs"</formula>
    </cfRule>
    <cfRule type="cellIs" dxfId="29914" priority="2320" stopIfTrue="1" operator="equal">
      <formula>"Towel"</formula>
    </cfRule>
    <cfRule type="cellIs" dxfId="29913" priority="2321" stopIfTrue="1" operator="equal">
      <formula>"Napkin Hs"</formula>
    </cfRule>
    <cfRule type="cellIs" dxfId="29912" priority="2322" stopIfTrue="1" operator="equal">
      <formula>"Towel"</formula>
    </cfRule>
    <cfRule type="cellIs" dxfId="29911" priority="2323" stopIfTrue="1" operator="equal">
      <formula>"Napkin Hs"</formula>
    </cfRule>
    <cfRule type="cellIs" dxfId="29910" priority="2326" stopIfTrue="1" operator="equal">
      <formula>"Towel"</formula>
    </cfRule>
    <cfRule type="cellIs" dxfId="29909" priority="2327" stopIfTrue="1" operator="equal">
      <formula>"Napkin Hs"</formula>
    </cfRule>
    <cfRule type="cellIs" dxfId="29908" priority="2328" stopIfTrue="1" operator="equal">
      <formula>"Towel"</formula>
    </cfRule>
    <cfRule type="cellIs" dxfId="29907" priority="2329" stopIfTrue="1" operator="equal">
      <formula>"Napkin Hs"</formula>
    </cfRule>
    <cfRule type="cellIs" dxfId="29906" priority="2332" stopIfTrue="1" operator="equal">
      <formula>"Towel"</formula>
    </cfRule>
    <cfRule type="cellIs" dxfId="29905" priority="2333" stopIfTrue="1" operator="equal">
      <formula>"Napkin Hs"</formula>
    </cfRule>
    <cfRule type="cellIs" dxfId="29904" priority="2334" stopIfTrue="1" operator="equal">
      <formula>"Towel"</formula>
    </cfRule>
    <cfRule type="cellIs" dxfId="29903" priority="2335" stopIfTrue="1" operator="equal">
      <formula>"Napkin Hs"</formula>
    </cfRule>
    <cfRule type="cellIs" dxfId="29902" priority="2338" stopIfTrue="1" operator="equal">
      <formula>"Towel"</formula>
    </cfRule>
    <cfRule type="cellIs" dxfId="29901" priority="2339" stopIfTrue="1" operator="equal">
      <formula>"Napkin Hs"</formula>
    </cfRule>
    <cfRule type="cellIs" dxfId="29900" priority="2340" stopIfTrue="1" operator="equal">
      <formula>"Towel"</formula>
    </cfRule>
    <cfRule type="cellIs" dxfId="29899" priority="2341" stopIfTrue="1" operator="equal">
      <formula>"Napkin Hs"</formula>
    </cfRule>
    <cfRule type="cellIs" dxfId="29898" priority="2344" stopIfTrue="1" operator="equal">
      <formula>"Towel"</formula>
    </cfRule>
    <cfRule type="cellIs" dxfId="29897" priority="2345" stopIfTrue="1" operator="equal">
      <formula>"Napkin Hs"</formula>
    </cfRule>
  </conditionalFormatting>
  <conditionalFormatting sqref="C116:C117">
    <cfRule type="cellIs" dxfId="29896" priority="2346" stopIfTrue="1" operator="equal">
      <formula>"Towel"</formula>
    </cfRule>
    <cfRule type="cellIs" dxfId="29895" priority="2347" stopIfTrue="1" operator="equal">
      <formula>"Napkin Hs"</formula>
    </cfRule>
  </conditionalFormatting>
  <conditionalFormatting sqref="C117">
    <cfRule type="cellIs" dxfId="29894" priority="2350" stopIfTrue="1" operator="equal">
      <formula>"Towel"</formula>
    </cfRule>
    <cfRule type="cellIs" dxfId="29893" priority="2351" stopIfTrue="1" operator="equal">
      <formula>"Napkin Hs"</formula>
    </cfRule>
    <cfRule type="cellIs" dxfId="29892" priority="2354" stopIfTrue="1" operator="equal">
      <formula>"Towel"</formula>
    </cfRule>
    <cfRule type="cellIs" dxfId="29891" priority="2355" stopIfTrue="1" operator="equal">
      <formula>"Napkin Hs"</formula>
    </cfRule>
    <cfRule type="cellIs" dxfId="29890" priority="2356" stopIfTrue="1" operator="equal">
      <formula>"Towel"</formula>
    </cfRule>
    <cfRule type="cellIs" dxfId="29889" priority="2357" stopIfTrue="1" operator="equal">
      <formula>"Napkin Hs"</formula>
    </cfRule>
    <cfRule type="cellIs" dxfId="29888" priority="2360" stopIfTrue="1" operator="equal">
      <formula>"Towel"</formula>
    </cfRule>
    <cfRule type="cellIs" dxfId="29887" priority="2361" stopIfTrue="1" operator="equal">
      <formula>"Napkin Hs"</formula>
    </cfRule>
    <cfRule type="cellIs" dxfId="29886" priority="2362" stopIfTrue="1" operator="equal">
      <formula>"Towel"</formula>
    </cfRule>
    <cfRule type="cellIs" dxfId="29885" priority="2363" stopIfTrue="1" operator="equal">
      <formula>"Napkin Hs"</formula>
    </cfRule>
    <cfRule type="cellIs" dxfId="29884" priority="2366" stopIfTrue="1" operator="equal">
      <formula>"Towel"</formula>
    </cfRule>
    <cfRule type="cellIs" dxfId="29883" priority="2367" stopIfTrue="1" operator="equal">
      <formula>"Napkin Hs"</formula>
    </cfRule>
    <cfRule type="cellIs" dxfId="29882" priority="2368" stopIfTrue="1" operator="equal">
      <formula>"Towel"</formula>
    </cfRule>
    <cfRule type="cellIs" dxfId="29881" priority="2369" stopIfTrue="1" operator="equal">
      <formula>"Napkin Hs"</formula>
    </cfRule>
    <cfRule type="cellIs" dxfId="29880" priority="2372" stopIfTrue="1" operator="equal">
      <formula>"Towel"</formula>
    </cfRule>
    <cfRule type="cellIs" dxfId="29879" priority="2373" stopIfTrue="1" operator="equal">
      <formula>"Napkin Hs"</formula>
    </cfRule>
    <cfRule type="cellIs" dxfId="29878" priority="2374" stopIfTrue="1" operator="equal">
      <formula>"Towel"</formula>
    </cfRule>
    <cfRule type="cellIs" dxfId="29877" priority="2375" stopIfTrue="1" operator="equal">
      <formula>"Napkin Hs"</formula>
    </cfRule>
    <cfRule type="cellIs" dxfId="29876" priority="2378" stopIfTrue="1" operator="equal">
      <formula>"Towel"</formula>
    </cfRule>
    <cfRule type="cellIs" dxfId="29875" priority="2379" stopIfTrue="1" operator="equal">
      <formula>"Napkin Hs"</formula>
    </cfRule>
    <cfRule type="cellIs" dxfId="29874" priority="2380" stopIfTrue="1" operator="equal">
      <formula>"Towel"</formula>
    </cfRule>
    <cfRule type="cellIs" dxfId="29873" priority="2381" stopIfTrue="1" operator="equal">
      <formula>"Napkin Hs"</formula>
    </cfRule>
    <cfRule type="cellIs" dxfId="29872" priority="2384" stopIfTrue="1" operator="equal">
      <formula>"Towel"</formula>
    </cfRule>
    <cfRule type="cellIs" dxfId="29871" priority="2385" stopIfTrue="1" operator="equal">
      <formula>"Napkin Hs"</formula>
    </cfRule>
    <cfRule type="cellIs" dxfId="29870" priority="2388" stopIfTrue="1" operator="equal">
      <formula>"Towel"</formula>
    </cfRule>
    <cfRule type="cellIs" dxfId="29869" priority="2389" stopIfTrue="1" operator="equal">
      <formula>"Napkin Hs"</formula>
    </cfRule>
    <cfRule type="cellIs" dxfId="29868" priority="2390" stopIfTrue="1" operator="equal">
      <formula>"Towel"</formula>
    </cfRule>
    <cfRule type="cellIs" dxfId="29867" priority="2391" stopIfTrue="1" operator="equal">
      <formula>"Napkin Hs"</formula>
    </cfRule>
    <cfRule type="cellIs" dxfId="29866" priority="2392" stopIfTrue="1" operator="equal">
      <formula>"Towel"</formula>
    </cfRule>
    <cfRule type="cellIs" dxfId="29865" priority="2393" stopIfTrue="1" operator="equal">
      <formula>"Napkin Hs"</formula>
    </cfRule>
    <cfRule type="cellIs" dxfId="29864" priority="2396" stopIfTrue="1" operator="equal">
      <formula>"Towel"</formula>
    </cfRule>
    <cfRule type="cellIs" dxfId="29863" priority="2397" stopIfTrue="1" operator="equal">
      <formula>"Napkin Hs"</formula>
    </cfRule>
    <cfRule type="cellIs" dxfId="29862" priority="2398" stopIfTrue="1" operator="equal">
      <formula>"Towel"</formula>
    </cfRule>
    <cfRule type="cellIs" dxfId="29861" priority="2399" stopIfTrue="1" operator="equal">
      <formula>"Napkin Hs"</formula>
    </cfRule>
    <cfRule type="cellIs" dxfId="29860" priority="2402" stopIfTrue="1" operator="equal">
      <formula>"Towel"</formula>
    </cfRule>
    <cfRule type="cellIs" dxfId="29859" priority="2403" stopIfTrue="1" operator="equal">
      <formula>"Napkin Hs"</formula>
    </cfRule>
    <cfRule type="cellIs" dxfId="29858" priority="2404" stopIfTrue="1" operator="equal">
      <formula>"Towel"</formula>
    </cfRule>
    <cfRule type="cellIs" dxfId="29857" priority="2405" stopIfTrue="1" operator="equal">
      <formula>"Napkin Hs"</formula>
    </cfRule>
    <cfRule type="cellIs" dxfId="29856" priority="2408" stopIfTrue="1" operator="equal">
      <formula>"Towel"</formula>
    </cfRule>
    <cfRule type="cellIs" dxfId="29855" priority="2409" stopIfTrue="1" operator="equal">
      <formula>"Napkin Hs"</formula>
    </cfRule>
    <cfRule type="cellIs" dxfId="29854" priority="2410" stopIfTrue="1" operator="equal">
      <formula>"Towel"</formula>
    </cfRule>
    <cfRule type="cellIs" dxfId="29853" priority="2411" stopIfTrue="1" operator="equal">
      <formula>"Napkin Hs"</formula>
    </cfRule>
    <cfRule type="cellIs" dxfId="29852" priority="2414" stopIfTrue="1" operator="equal">
      <formula>"Towel"</formula>
    </cfRule>
    <cfRule type="cellIs" dxfId="29851" priority="2415" stopIfTrue="1" operator="equal">
      <formula>"Napkin Hs"</formula>
    </cfRule>
    <cfRule type="cellIs" dxfId="29850" priority="2416" stopIfTrue="1" operator="equal">
      <formula>"Towel"</formula>
    </cfRule>
    <cfRule type="cellIs" dxfId="29849" priority="2417" stopIfTrue="1" operator="equal">
      <formula>"Napkin Hs"</formula>
    </cfRule>
    <cfRule type="cellIs" dxfId="29848" priority="2420" stopIfTrue="1" operator="equal">
      <formula>"Towel"</formula>
    </cfRule>
    <cfRule type="cellIs" dxfId="29847" priority="2421" stopIfTrue="1" operator="equal">
      <formula>"Napkin Hs"</formula>
    </cfRule>
    <cfRule type="cellIs" dxfId="29846" priority="2422" stopIfTrue="1" operator="equal">
      <formula>"Towel"</formula>
    </cfRule>
    <cfRule type="cellIs" dxfId="29845" priority="2423" stopIfTrue="1" operator="equal">
      <formula>"Napkin Hs"</formula>
    </cfRule>
    <cfRule type="cellIs" dxfId="29844" priority="2426" stopIfTrue="1" operator="equal">
      <formula>"Towel"</formula>
    </cfRule>
    <cfRule type="cellIs" dxfId="29843" priority="2427" stopIfTrue="1" operator="equal">
      <formula>"Napkin Hs"</formula>
    </cfRule>
    <cfRule type="cellIs" dxfId="29842" priority="2428" stopIfTrue="1" operator="equal">
      <formula>"Towel"</formula>
    </cfRule>
    <cfRule type="cellIs" dxfId="29841" priority="2429" stopIfTrue="1" operator="equal">
      <formula>"Napkin Hs"</formula>
    </cfRule>
  </conditionalFormatting>
  <conditionalFormatting sqref="C118">
    <cfRule type="cellIs" dxfId="29840" priority="2488" stopIfTrue="1" operator="equal">
      <formula>"Towel"</formula>
    </cfRule>
    <cfRule type="cellIs" dxfId="29839" priority="2489" stopIfTrue="1" operator="equal">
      <formula>"Napkin Hs"</formula>
    </cfRule>
    <cfRule type="cellIs" dxfId="29838" priority="2490" stopIfTrue="1" operator="equal">
      <formula>"Towel"</formula>
    </cfRule>
    <cfRule type="cellIs" dxfId="29837" priority="2491" stopIfTrue="1" operator="equal">
      <formula>"Napkin Hs"</formula>
    </cfRule>
    <cfRule type="cellIs" dxfId="29836" priority="2494" stopIfTrue="1" operator="equal">
      <formula>"Towel"</formula>
    </cfRule>
    <cfRule type="cellIs" dxfId="29835" priority="2495" stopIfTrue="1" operator="equal">
      <formula>"Napkin Hs"</formula>
    </cfRule>
    <cfRule type="cellIs" dxfId="29834" priority="2496" stopIfTrue="1" operator="equal">
      <formula>"Towel"</formula>
    </cfRule>
    <cfRule type="cellIs" dxfId="29833" priority="2497" stopIfTrue="1" operator="equal">
      <formula>"Napkin Hs"</formula>
    </cfRule>
    <cfRule type="cellIs" dxfId="29832" priority="2500" stopIfTrue="1" operator="equal">
      <formula>"Towel"</formula>
    </cfRule>
    <cfRule type="cellIs" dxfId="29831" priority="2501" stopIfTrue="1" operator="equal">
      <formula>"Napkin Hs"</formula>
    </cfRule>
    <cfRule type="cellIs" dxfId="29830" priority="2502" stopIfTrue="1" operator="equal">
      <formula>"Towel"</formula>
    </cfRule>
    <cfRule type="cellIs" dxfId="29829" priority="2503" stopIfTrue="1" operator="equal">
      <formula>"Napkin Hs"</formula>
    </cfRule>
    <cfRule type="cellIs" dxfId="29828" priority="2506" stopIfTrue="1" operator="equal">
      <formula>"Towel"</formula>
    </cfRule>
    <cfRule type="cellIs" dxfId="29827" priority="2507" stopIfTrue="1" operator="equal">
      <formula>"Napkin Hs"</formula>
    </cfRule>
    <cfRule type="cellIs" dxfId="29826" priority="2508" stopIfTrue="1" operator="equal">
      <formula>"Towel"</formula>
    </cfRule>
    <cfRule type="cellIs" dxfId="29825" priority="2509" stopIfTrue="1" operator="equal">
      <formula>"Napkin Hs"</formula>
    </cfRule>
    <cfRule type="cellIs" dxfId="29824" priority="2512" stopIfTrue="1" operator="equal">
      <formula>"Towel"</formula>
    </cfRule>
    <cfRule type="cellIs" dxfId="29823" priority="2513" stopIfTrue="1" operator="equal">
      <formula>"Napkin Hs"</formula>
    </cfRule>
    <cfRule type="cellIs" dxfId="29822" priority="2514" stopIfTrue="1" operator="equal">
      <formula>"Towel"</formula>
    </cfRule>
    <cfRule type="cellIs" dxfId="29821" priority="2515" stopIfTrue="1" operator="equal">
      <formula>"Napkin Hs"</formula>
    </cfRule>
    <cfRule type="cellIs" dxfId="29820" priority="2518" stopIfTrue="1" operator="equal">
      <formula>"Towel"</formula>
    </cfRule>
    <cfRule type="cellIs" dxfId="29819" priority="2519" stopIfTrue="1" operator="equal">
      <formula>"Napkin Hs"</formula>
    </cfRule>
    <cfRule type="cellIs" dxfId="29818" priority="2520" stopIfTrue="1" operator="equal">
      <formula>"Towel"</formula>
    </cfRule>
    <cfRule type="cellIs" dxfId="29817" priority="2521" stopIfTrue="1" operator="equal">
      <formula>"Napkin Hs"</formula>
    </cfRule>
    <cfRule type="cellIs" dxfId="29816" priority="2524" stopIfTrue="1" operator="equal">
      <formula>"Towel"</formula>
    </cfRule>
    <cfRule type="cellIs" dxfId="29815" priority="2525" stopIfTrue="1" operator="equal">
      <formula>"Napkin Hs"</formula>
    </cfRule>
    <cfRule type="cellIs" dxfId="29814" priority="2526" stopIfTrue="1" operator="equal">
      <formula>"Towel"</formula>
    </cfRule>
    <cfRule type="cellIs" dxfId="29813" priority="2527" stopIfTrue="1" operator="equal">
      <formula>"Napkin Hs"</formula>
    </cfRule>
    <cfRule type="cellIs" dxfId="29812" priority="2530" stopIfTrue="1" operator="equal">
      <formula>"Towel"</formula>
    </cfRule>
    <cfRule type="cellIs" dxfId="29811" priority="2531" stopIfTrue="1" operator="equal">
      <formula>"Napkin Hs"</formula>
    </cfRule>
  </conditionalFormatting>
  <conditionalFormatting sqref="C118:C119">
    <cfRule type="cellIs" dxfId="29810" priority="2436" stopIfTrue="1" operator="equal">
      <formula>"Towel"</formula>
    </cfRule>
    <cfRule type="cellIs" dxfId="29809" priority="2437" stopIfTrue="1" operator="equal">
      <formula>"Napkin Hs"</formula>
    </cfRule>
    <cfRule type="cellIs" dxfId="29808" priority="2438" stopIfTrue="1" operator="equal">
      <formula>"Towel"</formula>
    </cfRule>
    <cfRule type="cellIs" dxfId="29807" priority="2439" stopIfTrue="1" operator="equal">
      <formula>"Napkin Hs"</formula>
    </cfRule>
    <cfRule type="cellIs" dxfId="29806" priority="2440" stopIfTrue="1" operator="equal">
      <formula>"Towel"</formula>
    </cfRule>
    <cfRule type="cellIs" dxfId="29805" priority="2441" stopIfTrue="1" operator="equal">
      <formula>"Napkin Hs"</formula>
    </cfRule>
    <cfRule type="cellIs" dxfId="29804" priority="2442" stopIfTrue="1" operator="equal">
      <formula>"Towel"</formula>
    </cfRule>
    <cfRule type="cellIs" dxfId="29803" priority="2443" stopIfTrue="1" operator="equal">
      <formula>"Napkin Hs"</formula>
    </cfRule>
    <cfRule type="cellIs" dxfId="29802" priority="2444" stopIfTrue="1" operator="equal">
      <formula>"Towel"</formula>
    </cfRule>
    <cfRule type="cellIs" dxfId="29801" priority="2445" stopIfTrue="1" operator="equal">
      <formula>"Napkin Hs"</formula>
    </cfRule>
    <cfRule type="cellIs" dxfId="29800" priority="2446" stopIfTrue="1" operator="equal">
      <formula>"Towel"</formula>
    </cfRule>
    <cfRule type="cellIs" dxfId="29799" priority="2447" stopIfTrue="1" operator="equal">
      <formula>"Napkin Hs"</formula>
    </cfRule>
    <cfRule type="cellIs" dxfId="29798" priority="2448" stopIfTrue="1" operator="equal">
      <formula>"Towel"</formula>
    </cfRule>
    <cfRule type="cellIs" dxfId="29797" priority="2449" stopIfTrue="1" operator="equal">
      <formula>"Napkin Hs"</formula>
    </cfRule>
    <cfRule type="cellIs" dxfId="29796" priority="2452" stopIfTrue="1" operator="equal">
      <formula>"Towel"</formula>
    </cfRule>
    <cfRule type="cellIs" dxfId="29795" priority="2453" stopIfTrue="1" operator="equal">
      <formula>"Napkin Hs"</formula>
    </cfRule>
    <cfRule type="cellIs" dxfId="29794" priority="2454" stopIfTrue="1" operator="equal">
      <formula>"Towel"</formula>
    </cfRule>
    <cfRule type="cellIs" dxfId="29793" priority="2455" stopIfTrue="1" operator="equal">
      <formula>"Napkin Hs"</formula>
    </cfRule>
    <cfRule type="cellIs" dxfId="29792" priority="2458" stopIfTrue="1" operator="equal">
      <formula>"Towel"</formula>
    </cfRule>
    <cfRule type="cellIs" dxfId="29791" priority="2459" stopIfTrue="1" operator="equal">
      <formula>"Napkin Hs"</formula>
    </cfRule>
    <cfRule type="cellIs" dxfId="29790" priority="2460" stopIfTrue="1" operator="equal">
      <formula>"Towel"</formula>
    </cfRule>
    <cfRule type="cellIs" dxfId="29789" priority="2461" stopIfTrue="1" operator="equal">
      <formula>"Napkin Hs"</formula>
    </cfRule>
    <cfRule type="cellIs" dxfId="29788" priority="2464" stopIfTrue="1" operator="equal">
      <formula>"Towel"</formula>
    </cfRule>
    <cfRule type="cellIs" dxfId="29787" priority="2465" stopIfTrue="1" operator="equal">
      <formula>"Napkin Hs"</formula>
    </cfRule>
    <cfRule type="cellIs" dxfId="29786" priority="2466" stopIfTrue="1" operator="equal">
      <formula>"Towel"</formula>
    </cfRule>
    <cfRule type="cellIs" dxfId="29785" priority="2467" stopIfTrue="1" operator="equal">
      <formula>"Napkin Hs"</formula>
    </cfRule>
    <cfRule type="cellIs" dxfId="29784" priority="2470" stopIfTrue="1" operator="equal">
      <formula>"Towel"</formula>
    </cfRule>
    <cfRule type="cellIs" dxfId="29783" priority="2471" stopIfTrue="1" operator="equal">
      <formula>"Napkin Hs"</formula>
    </cfRule>
    <cfRule type="cellIs" dxfId="29782" priority="2472" stopIfTrue="1" operator="equal">
      <formula>"Towel"</formula>
    </cfRule>
    <cfRule type="cellIs" dxfId="29781" priority="2473" stopIfTrue="1" operator="equal">
      <formula>"Napkin Hs"</formula>
    </cfRule>
    <cfRule type="cellIs" dxfId="29780" priority="2476" stopIfTrue="1" operator="equal">
      <formula>"Towel"</formula>
    </cfRule>
    <cfRule type="cellIs" dxfId="29779" priority="2477" stopIfTrue="1" operator="equal">
      <formula>"Napkin Hs"</formula>
    </cfRule>
    <cfRule type="cellIs" dxfId="29778" priority="2478" stopIfTrue="1" operator="equal">
      <formula>"Towel"</formula>
    </cfRule>
    <cfRule type="cellIs" dxfId="29777" priority="2479" stopIfTrue="1" operator="equal">
      <formula>"Napkin Hs"</formula>
    </cfRule>
    <cfRule type="cellIs" dxfId="29776" priority="2482" stopIfTrue="1" operator="equal">
      <formula>"Towel"</formula>
    </cfRule>
    <cfRule type="cellIs" dxfId="29775" priority="2483" stopIfTrue="1" operator="equal">
      <formula>"Napkin Hs"</formula>
    </cfRule>
    <cfRule type="cellIs" dxfId="29774" priority="2484" stopIfTrue="1" operator="equal">
      <formula>"Towel"</formula>
    </cfRule>
    <cfRule type="cellIs" dxfId="29773" priority="2485" stopIfTrue="1" operator="equal">
      <formula>"Napkin Hs"</formula>
    </cfRule>
    <cfRule type="cellIs" dxfId="29772" priority="2532" stopIfTrue="1" operator="equal">
      <formula>"Towel"</formula>
    </cfRule>
    <cfRule type="cellIs" dxfId="29771" priority="2533" stopIfTrue="1" operator="equal">
      <formula>"Napkin Hs"</formula>
    </cfRule>
  </conditionalFormatting>
  <conditionalFormatting sqref="C119">
    <cfRule type="cellIs" dxfId="29770" priority="2536" stopIfTrue="1" operator="equal">
      <formula>"Towel"</formula>
    </cfRule>
    <cfRule type="cellIs" dxfId="29769" priority="2537" stopIfTrue="1" operator="equal">
      <formula>"Napkin Hs"</formula>
    </cfRule>
    <cfRule type="cellIs" dxfId="29768" priority="2540" stopIfTrue="1" operator="equal">
      <formula>"Towel"</formula>
    </cfRule>
    <cfRule type="cellIs" dxfId="29767" priority="2541" stopIfTrue="1" operator="equal">
      <formula>"Napkin Hs"</formula>
    </cfRule>
    <cfRule type="cellIs" dxfId="29766" priority="2542" stopIfTrue="1" operator="equal">
      <formula>"Towel"</formula>
    </cfRule>
    <cfRule type="cellIs" dxfId="29765" priority="2543" stopIfTrue="1" operator="equal">
      <formula>"Napkin Hs"</formula>
    </cfRule>
    <cfRule type="cellIs" dxfId="29764" priority="2546" stopIfTrue="1" operator="equal">
      <formula>"Towel"</formula>
    </cfRule>
    <cfRule type="cellIs" dxfId="29763" priority="2547" stopIfTrue="1" operator="equal">
      <formula>"Napkin Hs"</formula>
    </cfRule>
    <cfRule type="cellIs" dxfId="29762" priority="2548" stopIfTrue="1" operator="equal">
      <formula>"Towel"</formula>
    </cfRule>
    <cfRule type="cellIs" dxfId="29761" priority="2549" stopIfTrue="1" operator="equal">
      <formula>"Napkin Hs"</formula>
    </cfRule>
    <cfRule type="cellIs" dxfId="29760" priority="2552" stopIfTrue="1" operator="equal">
      <formula>"Towel"</formula>
    </cfRule>
    <cfRule type="cellIs" dxfId="29759" priority="2553" stopIfTrue="1" operator="equal">
      <formula>"Napkin Hs"</formula>
    </cfRule>
    <cfRule type="cellIs" dxfId="29758" priority="2554" stopIfTrue="1" operator="equal">
      <formula>"Towel"</formula>
    </cfRule>
    <cfRule type="cellIs" dxfId="29757" priority="2555" stopIfTrue="1" operator="equal">
      <formula>"Napkin Hs"</formula>
    </cfRule>
    <cfRule type="cellIs" dxfId="29756" priority="2558" stopIfTrue="1" operator="equal">
      <formula>"Towel"</formula>
    </cfRule>
    <cfRule type="cellIs" dxfId="29755" priority="2559" stopIfTrue="1" operator="equal">
      <formula>"Napkin Hs"</formula>
    </cfRule>
    <cfRule type="cellIs" dxfId="29754" priority="2560" stopIfTrue="1" operator="equal">
      <formula>"Towel"</formula>
    </cfRule>
    <cfRule type="cellIs" dxfId="29753" priority="2561" stopIfTrue="1" operator="equal">
      <formula>"Napkin Hs"</formula>
    </cfRule>
    <cfRule type="cellIs" dxfId="29752" priority="2564" stopIfTrue="1" operator="equal">
      <formula>"Towel"</formula>
    </cfRule>
    <cfRule type="cellIs" dxfId="29751" priority="2565" stopIfTrue="1" operator="equal">
      <formula>"Napkin Hs"</formula>
    </cfRule>
    <cfRule type="cellIs" dxfId="29750" priority="2566" stopIfTrue="1" operator="equal">
      <formula>"Towel"</formula>
    </cfRule>
    <cfRule type="cellIs" dxfId="29749" priority="2567" stopIfTrue="1" operator="equal">
      <formula>"Napkin Hs"</formula>
    </cfRule>
    <cfRule type="cellIs" dxfId="29748" priority="2570" stopIfTrue="1" operator="equal">
      <formula>"Towel"</formula>
    </cfRule>
    <cfRule type="cellIs" dxfId="29747" priority="2571" stopIfTrue="1" operator="equal">
      <formula>"Napkin Hs"</formula>
    </cfRule>
    <cfRule type="cellIs" dxfId="29746" priority="2572" stopIfTrue="1" operator="equal">
      <formula>"Towel"</formula>
    </cfRule>
    <cfRule type="cellIs" dxfId="29745" priority="2573" stopIfTrue="1" operator="equal">
      <formula>"Napkin Hs"</formula>
    </cfRule>
    <cfRule type="cellIs" dxfId="29744" priority="2576" stopIfTrue="1" operator="equal">
      <formula>"Towel"</formula>
    </cfRule>
    <cfRule type="cellIs" dxfId="29743" priority="2577" stopIfTrue="1" operator="equal">
      <formula>"Napkin Hs"</formula>
    </cfRule>
  </conditionalFormatting>
  <conditionalFormatting sqref="C119">
    <cfRule type="cellIs" dxfId="29742" priority="2578" stopIfTrue="1" operator="equal">
      <formula>"Towel"</formula>
    </cfRule>
    <cfRule type="cellIs" dxfId="29741" priority="2579" stopIfTrue="1" operator="equal">
      <formula>"Napkin Hs"</formula>
    </cfRule>
  </conditionalFormatting>
  <conditionalFormatting sqref="B122:B123">
    <cfRule type="cellIs" dxfId="29740" priority="2247" stopIfTrue="1" operator="equal">
      <formula>"Towel"</formula>
    </cfRule>
    <cfRule type="cellIs" dxfId="29739" priority="2248" stopIfTrue="1" operator="equal">
      <formula>"Napkin Hs"</formula>
    </cfRule>
    <cfRule type="cellIs" dxfId="29738" priority="2249" stopIfTrue="1" operator="equal">
      <formula>"Towel"</formula>
    </cfRule>
    <cfRule type="cellIs" dxfId="29737" priority="2250" stopIfTrue="1" operator="equal">
      <formula>"Napkin Hs"</formula>
    </cfRule>
    <cfRule type="cellIs" dxfId="29736" priority="2251" stopIfTrue="1" operator="equal">
      <formula>"Towel"</formula>
    </cfRule>
    <cfRule type="cellIs" dxfId="29735" priority="2252" stopIfTrue="1" operator="equal">
      <formula>"Napkin Hs"</formula>
    </cfRule>
    <cfRule type="cellIs" dxfId="29734" priority="2253" stopIfTrue="1" operator="equal">
      <formula>"Towel"</formula>
    </cfRule>
    <cfRule type="cellIs" dxfId="29733" priority="2254" stopIfTrue="1" operator="equal">
      <formula>"Napkin Hs"</formula>
    </cfRule>
    <cfRule type="cellIs" dxfId="29732" priority="2255" stopIfTrue="1" operator="equal">
      <formula>"Towel"</formula>
    </cfRule>
    <cfRule type="cellIs" dxfId="29731" priority="2256" stopIfTrue="1" operator="equal">
      <formula>"Napkin Hs"</formula>
    </cfRule>
    <cfRule type="cellIs" dxfId="29730" priority="2257" stopIfTrue="1" operator="equal">
      <formula>"Towel"</formula>
    </cfRule>
    <cfRule type="cellIs" dxfId="29729" priority="2258" stopIfTrue="1" operator="equal">
      <formula>"Napkin Hs"</formula>
    </cfRule>
    <cfRule type="cellIs" dxfId="29728" priority="2259" stopIfTrue="1" operator="equal">
      <formula>"Towel"</formula>
    </cfRule>
    <cfRule type="cellIs" dxfId="29727" priority="2260" stopIfTrue="1" operator="equal">
      <formula>"Napkin Hs"</formula>
    </cfRule>
    <cfRule type="cellIs" dxfId="29726" priority="2261" stopIfTrue="1" operator="equal">
      <formula>"Towel"</formula>
    </cfRule>
    <cfRule type="cellIs" dxfId="29725" priority="2262" stopIfTrue="1" operator="equal">
      <formula>"Napkin Hs"</formula>
    </cfRule>
  </conditionalFormatting>
  <conditionalFormatting sqref="B122:C123">
    <cfRule type="cellIs" dxfId="29724" priority="2239" stopIfTrue="1" operator="equal">
      <formula>"Towel"</formula>
    </cfRule>
    <cfRule type="cellIs" dxfId="29723" priority="2240" stopIfTrue="1" operator="equal">
      <formula>"Napkin Hs"</formula>
    </cfRule>
  </conditionalFormatting>
  <conditionalFormatting sqref="B124:C124">
    <cfRule type="cellIs" dxfId="29722" priority="2263" stopIfTrue="1" operator="equal">
      <formula>"Napkin Hs"</formula>
    </cfRule>
  </conditionalFormatting>
  <conditionalFormatting sqref="C122:C123">
    <cfRule type="cellIs" dxfId="29721" priority="2246" stopIfTrue="1" operator="equal">
      <formula>"Napkin Hs"</formula>
    </cfRule>
  </conditionalFormatting>
  <conditionalFormatting sqref="B124:C124 C122:C123">
    <cfRule type="cellIs" dxfId="29720" priority="2245" stopIfTrue="1" operator="equal">
      <formula>"Towel"</formula>
    </cfRule>
  </conditionalFormatting>
  <conditionalFormatting sqref="C122:C123">
    <cfRule type="cellIs" dxfId="29719" priority="2197" stopIfTrue="1" operator="equal">
      <formula>"Towel"</formula>
    </cfRule>
    <cfRule type="cellIs" dxfId="29718" priority="2198" stopIfTrue="1" operator="equal">
      <formula>"Napkin Hs"</formula>
    </cfRule>
    <cfRule type="cellIs" dxfId="29717" priority="2203" stopIfTrue="1" operator="equal">
      <formula>"Towel"</formula>
    </cfRule>
    <cfRule type="cellIs" dxfId="29716" priority="2204" stopIfTrue="1" operator="equal">
      <formula>"Napkin Hs"</formula>
    </cfRule>
    <cfRule type="cellIs" dxfId="29715" priority="2209" stopIfTrue="1" operator="equal">
      <formula>"Towel"</formula>
    </cfRule>
    <cfRule type="cellIs" dxfId="29714" priority="2210" stopIfTrue="1" operator="equal">
      <formula>"Napkin Hs"</formula>
    </cfRule>
    <cfRule type="cellIs" dxfId="29713" priority="2215" stopIfTrue="1" operator="equal">
      <formula>"Towel"</formula>
    </cfRule>
    <cfRule type="cellIs" dxfId="29712" priority="2216" stopIfTrue="1" operator="equal">
      <formula>"Napkin Hs"</formula>
    </cfRule>
    <cfRule type="cellIs" dxfId="29711" priority="2221" stopIfTrue="1" operator="equal">
      <formula>"Towel"</formula>
    </cfRule>
    <cfRule type="cellIs" dxfId="29710" priority="2222" stopIfTrue="1" operator="equal">
      <formula>"Napkin Hs"</formula>
    </cfRule>
    <cfRule type="cellIs" dxfId="29709" priority="2227" stopIfTrue="1" operator="equal">
      <formula>"Towel"</formula>
    </cfRule>
    <cfRule type="cellIs" dxfId="29708" priority="2228" stopIfTrue="1" operator="equal">
      <formula>"Napkin Hs"</formula>
    </cfRule>
    <cfRule type="cellIs" dxfId="29707" priority="2233" stopIfTrue="1" operator="equal">
      <formula>"Towel"</formula>
    </cfRule>
    <cfRule type="cellIs" dxfId="29706" priority="2234" stopIfTrue="1" operator="equal">
      <formula>"Napkin Hs"</formula>
    </cfRule>
  </conditionalFormatting>
  <conditionalFormatting sqref="C122:C123">
    <cfRule type="cellIs" dxfId="29705" priority="2193" stopIfTrue="1" operator="equal">
      <formula>"Towel"</formula>
    </cfRule>
    <cfRule type="cellIs" dxfId="29704" priority="2194" stopIfTrue="1" operator="equal">
      <formula>"Napkin Hs"</formula>
    </cfRule>
    <cfRule type="cellIs" dxfId="29703" priority="2195" stopIfTrue="1" operator="equal">
      <formula>"Towel"</formula>
    </cfRule>
    <cfRule type="cellIs" dxfId="29702" priority="2196" stopIfTrue="1" operator="equal">
      <formula>"Napkin Hs"</formula>
    </cfRule>
    <cfRule type="cellIs" dxfId="29701" priority="2199" stopIfTrue="1" operator="equal">
      <formula>"Towel"</formula>
    </cfRule>
    <cfRule type="cellIs" dxfId="29700" priority="2200" stopIfTrue="1" operator="equal">
      <formula>"Napkin Hs"</formula>
    </cfRule>
    <cfRule type="cellIs" dxfId="29699" priority="2201" stopIfTrue="1" operator="equal">
      <formula>"Towel"</formula>
    </cfRule>
    <cfRule type="cellIs" dxfId="29698" priority="2202" stopIfTrue="1" operator="equal">
      <formula>"Napkin Hs"</formula>
    </cfRule>
    <cfRule type="cellIs" dxfId="29697" priority="2205" stopIfTrue="1" operator="equal">
      <formula>"Towel"</formula>
    </cfRule>
    <cfRule type="cellIs" dxfId="29696" priority="2206" stopIfTrue="1" operator="equal">
      <formula>"Napkin Hs"</formula>
    </cfRule>
    <cfRule type="cellIs" dxfId="29695" priority="2207" stopIfTrue="1" operator="equal">
      <formula>"Towel"</formula>
    </cfRule>
    <cfRule type="cellIs" dxfId="29694" priority="2208" stopIfTrue="1" operator="equal">
      <formula>"Napkin Hs"</formula>
    </cfRule>
    <cfRule type="cellIs" dxfId="29693" priority="2211" stopIfTrue="1" operator="equal">
      <formula>"Towel"</formula>
    </cfRule>
    <cfRule type="cellIs" dxfId="29692" priority="2212" stopIfTrue="1" operator="equal">
      <formula>"Napkin Hs"</formula>
    </cfRule>
    <cfRule type="cellIs" dxfId="29691" priority="2213" stopIfTrue="1" operator="equal">
      <formula>"Towel"</formula>
    </cfRule>
    <cfRule type="cellIs" dxfId="29690" priority="2214" stopIfTrue="1" operator="equal">
      <formula>"Napkin Hs"</formula>
    </cfRule>
    <cfRule type="cellIs" dxfId="29689" priority="2217" stopIfTrue="1" operator="equal">
      <formula>"Towel"</formula>
    </cfRule>
    <cfRule type="cellIs" dxfId="29688" priority="2218" stopIfTrue="1" operator="equal">
      <formula>"Napkin Hs"</formula>
    </cfRule>
    <cfRule type="cellIs" dxfId="29687" priority="2219" stopIfTrue="1" operator="equal">
      <formula>"Towel"</formula>
    </cfRule>
    <cfRule type="cellIs" dxfId="29686" priority="2220" stopIfTrue="1" operator="equal">
      <formula>"Napkin Hs"</formula>
    </cfRule>
    <cfRule type="cellIs" dxfId="29685" priority="2223" stopIfTrue="1" operator="equal">
      <formula>"Towel"</formula>
    </cfRule>
    <cfRule type="cellIs" dxfId="29684" priority="2224" stopIfTrue="1" operator="equal">
      <formula>"Napkin Hs"</formula>
    </cfRule>
    <cfRule type="cellIs" dxfId="29683" priority="2225" stopIfTrue="1" operator="equal">
      <formula>"Towel"</formula>
    </cfRule>
    <cfRule type="cellIs" dxfId="29682" priority="2226" stopIfTrue="1" operator="equal">
      <formula>"Napkin Hs"</formula>
    </cfRule>
    <cfRule type="cellIs" dxfId="29681" priority="2229" stopIfTrue="1" operator="equal">
      <formula>"Towel"</formula>
    </cfRule>
    <cfRule type="cellIs" dxfId="29680" priority="2230" stopIfTrue="1" operator="equal">
      <formula>"Napkin Hs"</formula>
    </cfRule>
    <cfRule type="cellIs" dxfId="29679" priority="2231" stopIfTrue="1" operator="equal">
      <formula>"Towel"</formula>
    </cfRule>
    <cfRule type="cellIs" dxfId="29678" priority="2232" stopIfTrue="1" operator="equal">
      <formula>"Napkin Hs"</formula>
    </cfRule>
    <cfRule type="cellIs" dxfId="29677" priority="2235" stopIfTrue="1" operator="equal">
      <formula>"Towel"</formula>
    </cfRule>
    <cfRule type="cellIs" dxfId="29676" priority="2236" stopIfTrue="1" operator="equal">
      <formula>"Napkin Hs"</formula>
    </cfRule>
    <cfRule type="cellIs" dxfId="29675" priority="2237" stopIfTrue="1" operator="equal">
      <formula>"Towel"</formula>
    </cfRule>
    <cfRule type="cellIs" dxfId="29674" priority="2238" stopIfTrue="1" operator="equal">
      <formula>"Napkin Hs"</formula>
    </cfRule>
    <cfRule type="cellIs" dxfId="29673" priority="2241" stopIfTrue="1" operator="equal">
      <formula>"Towel"</formula>
    </cfRule>
    <cfRule type="cellIs" dxfId="29672" priority="2242" stopIfTrue="1" operator="equal">
      <formula>"Napkin Hs"</formula>
    </cfRule>
  </conditionalFormatting>
  <conditionalFormatting sqref="C122:C124">
    <cfRule type="cellIs" dxfId="29671" priority="2243" stopIfTrue="1" operator="equal">
      <formula>"Towel"</formula>
    </cfRule>
    <cfRule type="cellIs" dxfId="29670" priority="2244" stopIfTrue="1" operator="equal">
      <formula>"Napkin Hs"</formula>
    </cfRule>
  </conditionalFormatting>
  <conditionalFormatting sqref="C124">
    <cfRule type="cellIs" dxfId="29669" priority="2264" stopIfTrue="1" operator="equal">
      <formula>"Towel"</formula>
    </cfRule>
    <cfRule type="cellIs" dxfId="29668" priority="2265" stopIfTrue="1" operator="equal">
      <formula>"Napkin Hs"</formula>
    </cfRule>
  </conditionalFormatting>
  <conditionalFormatting sqref="B124">
    <cfRule type="cellIs" dxfId="29667" priority="2089" stopIfTrue="1" operator="equal">
      <formula>"Towel"</formula>
    </cfRule>
    <cfRule type="cellIs" dxfId="29666" priority="2090" stopIfTrue="1" operator="equal">
      <formula>"Napkin Hs"</formula>
    </cfRule>
  </conditionalFormatting>
  <conditionalFormatting sqref="B122:C123">
    <cfRule type="cellIs" dxfId="29665" priority="2009" stopIfTrue="1" operator="equal">
      <formula>"Towel"</formula>
    </cfRule>
    <cfRule type="cellIs" dxfId="29664" priority="2010" stopIfTrue="1" operator="equal">
      <formula>"Napkin Hs"</formula>
    </cfRule>
    <cfRule type="cellIs" dxfId="29663" priority="2015" stopIfTrue="1" operator="equal">
      <formula>"Towel"</formula>
    </cfRule>
    <cfRule type="cellIs" dxfId="29662" priority="2016" stopIfTrue="1" operator="equal">
      <formula>"Napkin Hs"</formula>
    </cfRule>
    <cfRule type="cellIs" dxfId="29661" priority="2021" stopIfTrue="1" operator="equal">
      <formula>"Towel"</formula>
    </cfRule>
    <cfRule type="cellIs" dxfId="29660" priority="2022" stopIfTrue="1" operator="equal">
      <formula>"Napkin Hs"</formula>
    </cfRule>
    <cfRule type="cellIs" dxfId="29659" priority="2027" stopIfTrue="1" operator="equal">
      <formula>"Towel"</formula>
    </cfRule>
    <cfRule type="cellIs" dxfId="29658" priority="2028" stopIfTrue="1" operator="equal">
      <formula>"Napkin Hs"</formula>
    </cfRule>
    <cfRule type="cellIs" dxfId="29657" priority="2033" stopIfTrue="1" operator="equal">
      <formula>"Towel"</formula>
    </cfRule>
    <cfRule type="cellIs" dxfId="29656" priority="2034" stopIfTrue="1" operator="equal">
      <formula>"Napkin Hs"</formula>
    </cfRule>
    <cfRule type="cellIs" dxfId="29655" priority="2039" stopIfTrue="1" operator="equal">
      <formula>"Towel"</formula>
    </cfRule>
    <cfRule type="cellIs" dxfId="29654" priority="2040" stopIfTrue="1" operator="equal">
      <formula>"Napkin Hs"</formula>
    </cfRule>
    <cfRule type="cellIs" dxfId="29653" priority="2043" stopIfTrue="1" operator="equal">
      <formula>"Towel"</formula>
    </cfRule>
    <cfRule type="cellIs" dxfId="29652" priority="2044" stopIfTrue="1" operator="equal">
      <formula>"Napkin Hs"</formula>
    </cfRule>
    <cfRule type="cellIs" dxfId="29651" priority="2051" stopIfTrue="1" operator="equal">
      <formula>"Towel"</formula>
    </cfRule>
    <cfRule type="cellIs" dxfId="29650" priority="2052" stopIfTrue="1" operator="equal">
      <formula>"Napkin Hs"</formula>
    </cfRule>
    <cfRule type="cellIs" dxfId="29649" priority="2057" stopIfTrue="1" operator="equal">
      <formula>"Towel"</formula>
    </cfRule>
    <cfRule type="cellIs" dxfId="29648" priority="2058" stopIfTrue="1" operator="equal">
      <formula>"Napkin Hs"</formula>
    </cfRule>
    <cfRule type="cellIs" dxfId="29647" priority="2063" stopIfTrue="1" operator="equal">
      <formula>"Towel"</formula>
    </cfRule>
    <cfRule type="cellIs" dxfId="29646" priority="2064" stopIfTrue="1" operator="equal">
      <formula>"Napkin Hs"</formula>
    </cfRule>
    <cfRule type="cellIs" dxfId="29645" priority="2069" stopIfTrue="1" operator="equal">
      <formula>"Towel"</formula>
    </cfRule>
    <cfRule type="cellIs" dxfId="29644" priority="2070" stopIfTrue="1" operator="equal">
      <formula>"Napkin Hs"</formula>
    </cfRule>
    <cfRule type="cellIs" dxfId="29643" priority="2075" stopIfTrue="1" operator="equal">
      <formula>"Towel"</formula>
    </cfRule>
    <cfRule type="cellIs" dxfId="29642" priority="2076" stopIfTrue="1" operator="equal">
      <formula>"Napkin Hs"</formula>
    </cfRule>
    <cfRule type="cellIs" dxfId="29641" priority="2081" stopIfTrue="1" operator="equal">
      <formula>"Towel"</formula>
    </cfRule>
    <cfRule type="cellIs" dxfId="29640" priority="2082" stopIfTrue="1" operator="equal">
      <formula>"Napkin Hs"</formula>
    </cfRule>
    <cfRule type="cellIs" dxfId="29639" priority="2087" stopIfTrue="1" operator="equal">
      <formula>"Towel"</formula>
    </cfRule>
    <cfRule type="cellIs" dxfId="29638" priority="2088" stopIfTrue="1" operator="equal">
      <formula>"Napkin Hs"</formula>
    </cfRule>
  </conditionalFormatting>
  <conditionalFormatting sqref="B124:C124">
    <cfRule type="cellIs" dxfId="29637" priority="2149" stopIfTrue="1" operator="equal">
      <formula>"Towel"</formula>
    </cfRule>
    <cfRule type="cellIs" dxfId="29636" priority="2150" stopIfTrue="1" operator="equal">
      <formula>"Napkin Hs"</formula>
    </cfRule>
    <cfRule type="cellIs" dxfId="29635" priority="2155" stopIfTrue="1" operator="equal">
      <formula>"Towel"</formula>
    </cfRule>
    <cfRule type="cellIs" dxfId="29634" priority="2156" stopIfTrue="1" operator="equal">
      <formula>"Napkin Hs"</formula>
    </cfRule>
    <cfRule type="cellIs" dxfId="29633" priority="2161" stopIfTrue="1" operator="equal">
      <formula>"Towel"</formula>
    </cfRule>
    <cfRule type="cellIs" dxfId="29632" priority="2162" stopIfTrue="1" operator="equal">
      <formula>"Napkin Hs"</formula>
    </cfRule>
    <cfRule type="cellIs" dxfId="29631" priority="2167" stopIfTrue="1" operator="equal">
      <formula>"Towel"</formula>
    </cfRule>
    <cfRule type="cellIs" dxfId="29630" priority="2168" stopIfTrue="1" operator="equal">
      <formula>"Napkin Hs"</formula>
    </cfRule>
    <cfRule type="cellIs" dxfId="29629" priority="2173" stopIfTrue="1" operator="equal">
      <formula>"Towel"</formula>
    </cfRule>
    <cfRule type="cellIs" dxfId="29628" priority="2174" stopIfTrue="1" operator="equal">
      <formula>"Napkin Hs"</formula>
    </cfRule>
    <cfRule type="cellIs" dxfId="29627" priority="2179" stopIfTrue="1" operator="equal">
      <formula>"Towel"</formula>
    </cfRule>
    <cfRule type="cellIs" dxfId="29626" priority="2180" stopIfTrue="1" operator="equal">
      <formula>"Napkin Hs"</formula>
    </cfRule>
    <cfRule type="cellIs" dxfId="29625" priority="2185" stopIfTrue="1" operator="equal">
      <formula>"Towel"</formula>
    </cfRule>
    <cfRule type="cellIs" dxfId="29624" priority="2186" stopIfTrue="1" operator="equal">
      <formula>"Napkin Hs"</formula>
    </cfRule>
    <cfRule type="cellIs" dxfId="29623" priority="2191" stopIfTrue="1" operator="equal">
      <formula>"Towel"</formula>
    </cfRule>
    <cfRule type="cellIs" dxfId="29622" priority="2192" stopIfTrue="1" operator="equal">
      <formula>"Napkin Hs"</formula>
    </cfRule>
  </conditionalFormatting>
  <conditionalFormatting sqref="B124:C124">
    <cfRule type="cellIs" dxfId="29621" priority="2091" stopIfTrue="1" operator="equal">
      <formula>"Towel"</formula>
    </cfRule>
    <cfRule type="cellIs" dxfId="29620" priority="2092" stopIfTrue="1" operator="equal">
      <formula>"Napkin Hs"</formula>
    </cfRule>
    <cfRule type="cellIs" dxfId="29619" priority="2107" stopIfTrue="1" operator="equal">
      <formula>"Towel"</formula>
    </cfRule>
    <cfRule type="cellIs" dxfId="29618" priority="2108" stopIfTrue="1" operator="equal">
      <formula>"Napkin Hs"</formula>
    </cfRule>
    <cfRule type="cellIs" dxfId="29617" priority="2113" stopIfTrue="1" operator="equal">
      <formula>"Towel"</formula>
    </cfRule>
    <cfRule type="cellIs" dxfId="29616" priority="2114" stopIfTrue="1" operator="equal">
      <formula>"Napkin Hs"</formula>
    </cfRule>
    <cfRule type="cellIs" dxfId="29615" priority="2119" stopIfTrue="1" operator="equal">
      <formula>"Towel"</formula>
    </cfRule>
    <cfRule type="cellIs" dxfId="29614" priority="2120" stopIfTrue="1" operator="equal">
      <formula>"Napkin Hs"</formula>
    </cfRule>
    <cfRule type="cellIs" dxfId="29613" priority="2125" stopIfTrue="1" operator="equal">
      <formula>"Towel"</formula>
    </cfRule>
    <cfRule type="cellIs" dxfId="29612" priority="2126" stopIfTrue="1" operator="equal">
      <formula>"Napkin Hs"</formula>
    </cfRule>
    <cfRule type="cellIs" dxfId="29611" priority="2131" stopIfTrue="1" operator="equal">
      <formula>"Towel"</formula>
    </cfRule>
    <cfRule type="cellIs" dxfId="29610" priority="2132" stopIfTrue="1" operator="equal">
      <formula>"Napkin Hs"</formula>
    </cfRule>
    <cfRule type="cellIs" dxfId="29609" priority="2137" stopIfTrue="1" operator="equal">
      <formula>"Towel"</formula>
    </cfRule>
    <cfRule type="cellIs" dxfId="29608" priority="2138" stopIfTrue="1" operator="equal">
      <formula>"Napkin Hs"</formula>
    </cfRule>
    <cfRule type="cellIs" dxfId="29607" priority="2143" stopIfTrue="1" operator="equal">
      <formula>"Towel"</formula>
    </cfRule>
    <cfRule type="cellIs" dxfId="29606" priority="2144" stopIfTrue="1" operator="equal">
      <formula>"Napkin Hs"</formula>
    </cfRule>
  </conditionalFormatting>
  <conditionalFormatting sqref="C122:C123">
    <cfRule type="cellIs" dxfId="29605" priority="2005" stopIfTrue="1" operator="equal">
      <formula>"Towel"</formula>
    </cfRule>
    <cfRule type="cellIs" dxfId="29604" priority="2006" stopIfTrue="1" operator="equal">
      <formula>"Napkin Hs"</formula>
    </cfRule>
    <cfRule type="cellIs" dxfId="29603" priority="2007" stopIfTrue="1" operator="equal">
      <formula>"Towel"</formula>
    </cfRule>
    <cfRule type="cellIs" dxfId="29602" priority="2008" stopIfTrue="1" operator="equal">
      <formula>"Napkin Hs"</formula>
    </cfRule>
    <cfRule type="cellIs" dxfId="29601" priority="2011" stopIfTrue="1" operator="equal">
      <formula>"Towel"</formula>
    </cfRule>
    <cfRule type="cellIs" dxfId="29600" priority="2012" stopIfTrue="1" operator="equal">
      <formula>"Napkin Hs"</formula>
    </cfRule>
    <cfRule type="cellIs" dxfId="29599" priority="2013" stopIfTrue="1" operator="equal">
      <formula>"Towel"</formula>
    </cfRule>
    <cfRule type="cellIs" dxfId="29598" priority="2014" stopIfTrue="1" operator="equal">
      <formula>"Napkin Hs"</formula>
    </cfRule>
    <cfRule type="cellIs" dxfId="29597" priority="2017" stopIfTrue="1" operator="equal">
      <formula>"Towel"</formula>
    </cfRule>
    <cfRule type="cellIs" dxfId="29596" priority="2018" stopIfTrue="1" operator="equal">
      <formula>"Napkin Hs"</formula>
    </cfRule>
    <cfRule type="cellIs" dxfId="29595" priority="2019" stopIfTrue="1" operator="equal">
      <formula>"Towel"</formula>
    </cfRule>
    <cfRule type="cellIs" dxfId="29594" priority="2020" stopIfTrue="1" operator="equal">
      <formula>"Napkin Hs"</formula>
    </cfRule>
    <cfRule type="cellIs" dxfId="29593" priority="2023" stopIfTrue="1" operator="equal">
      <formula>"Towel"</formula>
    </cfRule>
    <cfRule type="cellIs" dxfId="29592" priority="2024" stopIfTrue="1" operator="equal">
      <formula>"Napkin Hs"</formula>
    </cfRule>
    <cfRule type="cellIs" dxfId="29591" priority="2025" stopIfTrue="1" operator="equal">
      <formula>"Towel"</formula>
    </cfRule>
    <cfRule type="cellIs" dxfId="29590" priority="2026" stopIfTrue="1" operator="equal">
      <formula>"Napkin Hs"</formula>
    </cfRule>
    <cfRule type="cellIs" dxfId="29589" priority="2029" stopIfTrue="1" operator="equal">
      <formula>"Towel"</formula>
    </cfRule>
    <cfRule type="cellIs" dxfId="29588" priority="2030" stopIfTrue="1" operator="equal">
      <formula>"Napkin Hs"</formula>
    </cfRule>
    <cfRule type="cellIs" dxfId="29587" priority="2031" stopIfTrue="1" operator="equal">
      <formula>"Towel"</formula>
    </cfRule>
    <cfRule type="cellIs" dxfId="29586" priority="2032" stopIfTrue="1" operator="equal">
      <formula>"Napkin Hs"</formula>
    </cfRule>
    <cfRule type="cellIs" dxfId="29585" priority="2035" stopIfTrue="1" operator="equal">
      <formula>"Towel"</formula>
    </cfRule>
    <cfRule type="cellIs" dxfId="29584" priority="2036" stopIfTrue="1" operator="equal">
      <formula>"Napkin Hs"</formula>
    </cfRule>
    <cfRule type="cellIs" dxfId="29583" priority="2037" stopIfTrue="1" operator="equal">
      <formula>"Towel"</formula>
    </cfRule>
    <cfRule type="cellIs" dxfId="29582" priority="2038" stopIfTrue="1" operator="equal">
      <formula>"Napkin Hs"</formula>
    </cfRule>
    <cfRule type="cellIs" dxfId="29581" priority="2041" stopIfTrue="1" operator="equal">
      <formula>"Towel"</formula>
    </cfRule>
    <cfRule type="cellIs" dxfId="29580" priority="2042" stopIfTrue="1" operator="equal">
      <formula>"Napkin Hs"</formula>
    </cfRule>
    <cfRule type="cellIs" dxfId="29579" priority="2045" stopIfTrue="1" operator="equal">
      <formula>"Towel"</formula>
    </cfRule>
    <cfRule type="cellIs" dxfId="29578" priority="2046" stopIfTrue="1" operator="equal">
      <formula>"Napkin Hs"</formula>
    </cfRule>
    <cfRule type="cellIs" dxfId="29577" priority="2047" stopIfTrue="1" operator="equal">
      <formula>"Towel"</formula>
    </cfRule>
    <cfRule type="cellIs" dxfId="29576" priority="2048" stopIfTrue="1" operator="equal">
      <formula>"Napkin Hs"</formula>
    </cfRule>
    <cfRule type="cellIs" dxfId="29575" priority="2049" stopIfTrue="1" operator="equal">
      <formula>"Towel"</formula>
    </cfRule>
    <cfRule type="cellIs" dxfId="29574" priority="2050" stopIfTrue="1" operator="equal">
      <formula>"Napkin Hs"</formula>
    </cfRule>
    <cfRule type="cellIs" dxfId="29573" priority="2053" stopIfTrue="1" operator="equal">
      <formula>"Towel"</formula>
    </cfRule>
    <cfRule type="cellIs" dxfId="29572" priority="2054" stopIfTrue="1" operator="equal">
      <formula>"Napkin Hs"</formula>
    </cfRule>
    <cfRule type="cellIs" dxfId="29571" priority="2055" stopIfTrue="1" operator="equal">
      <formula>"Towel"</formula>
    </cfRule>
    <cfRule type="cellIs" dxfId="29570" priority="2056" stopIfTrue="1" operator="equal">
      <formula>"Napkin Hs"</formula>
    </cfRule>
    <cfRule type="cellIs" dxfId="29569" priority="2059" stopIfTrue="1" operator="equal">
      <formula>"Towel"</formula>
    </cfRule>
    <cfRule type="cellIs" dxfId="29568" priority="2060" stopIfTrue="1" operator="equal">
      <formula>"Napkin Hs"</formula>
    </cfRule>
    <cfRule type="cellIs" dxfId="29567" priority="2061" stopIfTrue="1" operator="equal">
      <formula>"Towel"</formula>
    </cfRule>
    <cfRule type="cellIs" dxfId="29566" priority="2062" stopIfTrue="1" operator="equal">
      <formula>"Napkin Hs"</formula>
    </cfRule>
    <cfRule type="cellIs" dxfId="29565" priority="2065" stopIfTrue="1" operator="equal">
      <formula>"Towel"</formula>
    </cfRule>
    <cfRule type="cellIs" dxfId="29564" priority="2066" stopIfTrue="1" operator="equal">
      <formula>"Napkin Hs"</formula>
    </cfRule>
    <cfRule type="cellIs" dxfId="29563" priority="2067" stopIfTrue="1" operator="equal">
      <formula>"Towel"</formula>
    </cfRule>
    <cfRule type="cellIs" dxfId="29562" priority="2068" stopIfTrue="1" operator="equal">
      <formula>"Napkin Hs"</formula>
    </cfRule>
    <cfRule type="cellIs" dxfId="29561" priority="2071" stopIfTrue="1" operator="equal">
      <formula>"Towel"</formula>
    </cfRule>
    <cfRule type="cellIs" dxfId="29560" priority="2072" stopIfTrue="1" operator="equal">
      <formula>"Napkin Hs"</formula>
    </cfRule>
    <cfRule type="cellIs" dxfId="29559" priority="2073" stopIfTrue="1" operator="equal">
      <formula>"Towel"</formula>
    </cfRule>
    <cfRule type="cellIs" dxfId="29558" priority="2074" stopIfTrue="1" operator="equal">
      <formula>"Napkin Hs"</formula>
    </cfRule>
    <cfRule type="cellIs" dxfId="29557" priority="2077" stopIfTrue="1" operator="equal">
      <formula>"Towel"</formula>
    </cfRule>
    <cfRule type="cellIs" dxfId="29556" priority="2078" stopIfTrue="1" operator="equal">
      <formula>"Napkin Hs"</formula>
    </cfRule>
    <cfRule type="cellIs" dxfId="29555" priority="2079" stopIfTrue="1" operator="equal">
      <formula>"Towel"</formula>
    </cfRule>
    <cfRule type="cellIs" dxfId="29554" priority="2080" stopIfTrue="1" operator="equal">
      <formula>"Napkin Hs"</formula>
    </cfRule>
    <cfRule type="cellIs" dxfId="29553" priority="2083" stopIfTrue="1" operator="equal">
      <formula>"Towel"</formula>
    </cfRule>
    <cfRule type="cellIs" dxfId="29552" priority="2084" stopIfTrue="1" operator="equal">
      <formula>"Napkin Hs"</formula>
    </cfRule>
  </conditionalFormatting>
  <conditionalFormatting sqref="C122:C123">
    <cfRule type="cellIs" dxfId="29551" priority="2085" stopIfTrue="1" operator="equal">
      <formula>"Towel"</formula>
    </cfRule>
    <cfRule type="cellIs" dxfId="29550" priority="2086" stopIfTrue="1" operator="equal">
      <formula>"Napkin Hs"</formula>
    </cfRule>
  </conditionalFormatting>
  <conditionalFormatting sqref="C124">
    <cfRule type="cellIs" dxfId="29549" priority="2145" stopIfTrue="1" operator="equal">
      <formula>"Towel"</formula>
    </cfRule>
    <cfRule type="cellIs" dxfId="29548" priority="2146" stopIfTrue="1" operator="equal">
      <formula>"Napkin Hs"</formula>
    </cfRule>
    <cfRule type="cellIs" dxfId="29547" priority="2147" stopIfTrue="1" operator="equal">
      <formula>"Towel"</formula>
    </cfRule>
    <cfRule type="cellIs" dxfId="29546" priority="2148" stopIfTrue="1" operator="equal">
      <formula>"Napkin Hs"</formula>
    </cfRule>
    <cfRule type="cellIs" dxfId="29545" priority="2151" stopIfTrue="1" operator="equal">
      <formula>"Towel"</formula>
    </cfRule>
    <cfRule type="cellIs" dxfId="29544" priority="2152" stopIfTrue="1" operator="equal">
      <formula>"Napkin Hs"</formula>
    </cfRule>
    <cfRule type="cellIs" dxfId="29543" priority="2153" stopIfTrue="1" operator="equal">
      <formula>"Towel"</formula>
    </cfRule>
    <cfRule type="cellIs" dxfId="29542" priority="2154" stopIfTrue="1" operator="equal">
      <formula>"Napkin Hs"</formula>
    </cfRule>
    <cfRule type="cellIs" dxfId="29541" priority="2157" stopIfTrue="1" operator="equal">
      <formula>"Towel"</formula>
    </cfRule>
    <cfRule type="cellIs" dxfId="29540" priority="2158" stopIfTrue="1" operator="equal">
      <formula>"Napkin Hs"</formula>
    </cfRule>
    <cfRule type="cellIs" dxfId="29539" priority="2159" stopIfTrue="1" operator="equal">
      <formula>"Towel"</formula>
    </cfRule>
    <cfRule type="cellIs" dxfId="29538" priority="2160" stopIfTrue="1" operator="equal">
      <formula>"Napkin Hs"</formula>
    </cfRule>
    <cfRule type="cellIs" dxfId="29537" priority="2163" stopIfTrue="1" operator="equal">
      <formula>"Towel"</formula>
    </cfRule>
    <cfRule type="cellIs" dxfId="29536" priority="2164" stopIfTrue="1" operator="equal">
      <formula>"Napkin Hs"</formula>
    </cfRule>
    <cfRule type="cellIs" dxfId="29535" priority="2165" stopIfTrue="1" operator="equal">
      <formula>"Towel"</formula>
    </cfRule>
    <cfRule type="cellIs" dxfId="29534" priority="2166" stopIfTrue="1" operator="equal">
      <formula>"Napkin Hs"</formula>
    </cfRule>
    <cfRule type="cellIs" dxfId="29533" priority="2169" stopIfTrue="1" operator="equal">
      <formula>"Towel"</formula>
    </cfRule>
    <cfRule type="cellIs" dxfId="29532" priority="2170" stopIfTrue="1" operator="equal">
      <formula>"Napkin Hs"</formula>
    </cfRule>
    <cfRule type="cellIs" dxfId="29531" priority="2171" stopIfTrue="1" operator="equal">
      <formula>"Towel"</formula>
    </cfRule>
    <cfRule type="cellIs" dxfId="29530" priority="2172" stopIfTrue="1" operator="equal">
      <formula>"Napkin Hs"</formula>
    </cfRule>
    <cfRule type="cellIs" dxfId="29529" priority="2175" stopIfTrue="1" operator="equal">
      <formula>"Towel"</formula>
    </cfRule>
    <cfRule type="cellIs" dxfId="29528" priority="2176" stopIfTrue="1" operator="equal">
      <formula>"Napkin Hs"</formula>
    </cfRule>
    <cfRule type="cellIs" dxfId="29527" priority="2177" stopIfTrue="1" operator="equal">
      <formula>"Towel"</formula>
    </cfRule>
    <cfRule type="cellIs" dxfId="29526" priority="2178" stopIfTrue="1" operator="equal">
      <formula>"Napkin Hs"</formula>
    </cfRule>
    <cfRule type="cellIs" dxfId="29525" priority="2181" stopIfTrue="1" operator="equal">
      <formula>"Towel"</formula>
    </cfRule>
    <cfRule type="cellIs" dxfId="29524" priority="2182" stopIfTrue="1" operator="equal">
      <formula>"Napkin Hs"</formula>
    </cfRule>
    <cfRule type="cellIs" dxfId="29523" priority="2183" stopIfTrue="1" operator="equal">
      <formula>"Towel"</formula>
    </cfRule>
    <cfRule type="cellIs" dxfId="29522" priority="2184" stopIfTrue="1" operator="equal">
      <formula>"Napkin Hs"</formula>
    </cfRule>
    <cfRule type="cellIs" dxfId="29521" priority="2187" stopIfTrue="1" operator="equal">
      <formula>"Towel"</formula>
    </cfRule>
    <cfRule type="cellIs" dxfId="29520" priority="2188" stopIfTrue="1" operator="equal">
      <formula>"Napkin Hs"</formula>
    </cfRule>
  </conditionalFormatting>
  <conditionalFormatting sqref="C124">
    <cfRule type="cellIs" dxfId="29519" priority="2093" stopIfTrue="1" operator="equal">
      <formula>"Towel"</formula>
    </cfRule>
    <cfRule type="cellIs" dxfId="29518" priority="2094" stopIfTrue="1" operator="equal">
      <formula>"Napkin Hs"</formula>
    </cfRule>
    <cfRule type="cellIs" dxfId="29517" priority="2095" stopIfTrue="1" operator="equal">
      <formula>"Towel"</formula>
    </cfRule>
    <cfRule type="cellIs" dxfId="29516" priority="2096" stopIfTrue="1" operator="equal">
      <formula>"Napkin Hs"</formula>
    </cfRule>
    <cfRule type="cellIs" dxfId="29515" priority="2097" stopIfTrue="1" operator="equal">
      <formula>"Towel"</formula>
    </cfRule>
    <cfRule type="cellIs" dxfId="29514" priority="2098" stopIfTrue="1" operator="equal">
      <formula>"Napkin Hs"</formula>
    </cfRule>
    <cfRule type="cellIs" dxfId="29513" priority="2099" stopIfTrue="1" operator="equal">
      <formula>"Towel"</formula>
    </cfRule>
    <cfRule type="cellIs" dxfId="29512" priority="2100" stopIfTrue="1" operator="equal">
      <formula>"Napkin Hs"</formula>
    </cfRule>
    <cfRule type="cellIs" dxfId="29511" priority="2101" stopIfTrue="1" operator="equal">
      <formula>"Towel"</formula>
    </cfRule>
    <cfRule type="cellIs" dxfId="29510" priority="2102" stopIfTrue="1" operator="equal">
      <formula>"Napkin Hs"</formula>
    </cfRule>
    <cfRule type="cellIs" dxfId="29509" priority="2103" stopIfTrue="1" operator="equal">
      <formula>"Towel"</formula>
    </cfRule>
    <cfRule type="cellIs" dxfId="29508" priority="2104" stopIfTrue="1" operator="equal">
      <formula>"Napkin Hs"</formula>
    </cfRule>
    <cfRule type="cellIs" dxfId="29507" priority="2105" stopIfTrue="1" operator="equal">
      <formula>"Towel"</formula>
    </cfRule>
    <cfRule type="cellIs" dxfId="29506" priority="2106" stopIfTrue="1" operator="equal">
      <formula>"Napkin Hs"</formula>
    </cfRule>
    <cfRule type="cellIs" dxfId="29505" priority="2109" stopIfTrue="1" operator="equal">
      <formula>"Towel"</formula>
    </cfRule>
    <cfRule type="cellIs" dxfId="29504" priority="2110" stopIfTrue="1" operator="equal">
      <formula>"Napkin Hs"</formula>
    </cfRule>
    <cfRule type="cellIs" dxfId="29503" priority="2111" stopIfTrue="1" operator="equal">
      <formula>"Towel"</formula>
    </cfRule>
    <cfRule type="cellIs" dxfId="29502" priority="2112" stopIfTrue="1" operator="equal">
      <formula>"Napkin Hs"</formula>
    </cfRule>
    <cfRule type="cellIs" dxfId="29501" priority="2115" stopIfTrue="1" operator="equal">
      <formula>"Towel"</formula>
    </cfRule>
    <cfRule type="cellIs" dxfId="29500" priority="2116" stopIfTrue="1" operator="equal">
      <formula>"Napkin Hs"</formula>
    </cfRule>
    <cfRule type="cellIs" dxfId="29499" priority="2117" stopIfTrue="1" operator="equal">
      <formula>"Towel"</formula>
    </cfRule>
    <cfRule type="cellIs" dxfId="29498" priority="2118" stopIfTrue="1" operator="equal">
      <formula>"Napkin Hs"</formula>
    </cfRule>
    <cfRule type="cellIs" dxfId="29497" priority="2121" stopIfTrue="1" operator="equal">
      <formula>"Towel"</formula>
    </cfRule>
    <cfRule type="cellIs" dxfId="29496" priority="2122" stopIfTrue="1" operator="equal">
      <formula>"Napkin Hs"</formula>
    </cfRule>
    <cfRule type="cellIs" dxfId="29495" priority="2123" stopIfTrue="1" operator="equal">
      <formula>"Towel"</formula>
    </cfRule>
    <cfRule type="cellIs" dxfId="29494" priority="2124" stopIfTrue="1" operator="equal">
      <formula>"Napkin Hs"</formula>
    </cfRule>
    <cfRule type="cellIs" dxfId="29493" priority="2127" stopIfTrue="1" operator="equal">
      <formula>"Towel"</formula>
    </cfRule>
    <cfRule type="cellIs" dxfId="29492" priority="2128" stopIfTrue="1" operator="equal">
      <formula>"Napkin Hs"</formula>
    </cfRule>
    <cfRule type="cellIs" dxfId="29491" priority="2129" stopIfTrue="1" operator="equal">
      <formula>"Towel"</formula>
    </cfRule>
    <cfRule type="cellIs" dxfId="29490" priority="2130" stopIfTrue="1" operator="equal">
      <formula>"Napkin Hs"</formula>
    </cfRule>
    <cfRule type="cellIs" dxfId="29489" priority="2133" stopIfTrue="1" operator="equal">
      <formula>"Towel"</formula>
    </cfRule>
    <cfRule type="cellIs" dxfId="29488" priority="2134" stopIfTrue="1" operator="equal">
      <formula>"Napkin Hs"</formula>
    </cfRule>
    <cfRule type="cellIs" dxfId="29487" priority="2135" stopIfTrue="1" operator="equal">
      <formula>"Towel"</formula>
    </cfRule>
    <cfRule type="cellIs" dxfId="29486" priority="2136" stopIfTrue="1" operator="equal">
      <formula>"Napkin Hs"</formula>
    </cfRule>
    <cfRule type="cellIs" dxfId="29485" priority="2139" stopIfTrue="1" operator="equal">
      <formula>"Towel"</formula>
    </cfRule>
    <cfRule type="cellIs" dxfId="29484" priority="2140" stopIfTrue="1" operator="equal">
      <formula>"Napkin Hs"</formula>
    </cfRule>
    <cfRule type="cellIs" dxfId="29483" priority="2141" stopIfTrue="1" operator="equal">
      <formula>"Towel"</formula>
    </cfRule>
    <cfRule type="cellIs" dxfId="29482" priority="2142" stopIfTrue="1" operator="equal">
      <formula>"Napkin Hs"</formula>
    </cfRule>
    <cfRule type="cellIs" dxfId="29481" priority="2189" stopIfTrue="1" operator="equal">
      <formula>"Towel"</formula>
    </cfRule>
    <cfRule type="cellIs" dxfId="29480" priority="2190" stopIfTrue="1" operator="equal">
      <formula>"Napkin Hs"</formula>
    </cfRule>
  </conditionalFormatting>
  <conditionalFormatting sqref="B128">
    <cfRule type="cellIs" dxfId="29479" priority="1986" stopIfTrue="1" operator="equal">
      <formula>"Towel"</formula>
    </cfRule>
    <cfRule type="cellIs" dxfId="29478" priority="1987" stopIfTrue="1" operator="equal">
      <formula>"Napkin Hs"</formula>
    </cfRule>
    <cfRule type="cellIs" dxfId="29477" priority="1988" stopIfTrue="1" operator="equal">
      <formula>"Towel"</formula>
    </cfRule>
    <cfRule type="cellIs" dxfId="29476" priority="1989" stopIfTrue="1" operator="equal">
      <formula>"Napkin Hs"</formula>
    </cfRule>
    <cfRule type="cellIs" dxfId="29475" priority="1990" stopIfTrue="1" operator="equal">
      <formula>"Towel"</formula>
    </cfRule>
    <cfRule type="cellIs" dxfId="29474" priority="1991" stopIfTrue="1" operator="equal">
      <formula>"Napkin Hs"</formula>
    </cfRule>
    <cfRule type="cellIs" dxfId="29473" priority="1992" stopIfTrue="1" operator="equal">
      <formula>"Towel"</formula>
    </cfRule>
    <cfRule type="cellIs" dxfId="29472" priority="1993" stopIfTrue="1" operator="equal">
      <formula>"Napkin Hs"</formula>
    </cfRule>
    <cfRule type="cellIs" dxfId="29471" priority="1994" stopIfTrue="1" operator="equal">
      <formula>"Towel"</formula>
    </cfRule>
    <cfRule type="cellIs" dxfId="29470" priority="1995" stopIfTrue="1" operator="equal">
      <formula>"Napkin Hs"</formula>
    </cfRule>
    <cfRule type="cellIs" dxfId="29469" priority="1996" stopIfTrue="1" operator="equal">
      <formula>"Towel"</formula>
    </cfRule>
    <cfRule type="cellIs" dxfId="29468" priority="1997" stopIfTrue="1" operator="equal">
      <formula>"Napkin Hs"</formula>
    </cfRule>
    <cfRule type="cellIs" dxfId="29467" priority="1998" stopIfTrue="1" operator="equal">
      <formula>"Towel"</formula>
    </cfRule>
    <cfRule type="cellIs" dxfId="29466" priority="1999" stopIfTrue="1" operator="equal">
      <formula>"Napkin Hs"</formula>
    </cfRule>
    <cfRule type="cellIs" dxfId="29465" priority="2000" stopIfTrue="1" operator="equal">
      <formula>"Towel"</formula>
    </cfRule>
    <cfRule type="cellIs" dxfId="29464" priority="2001" stopIfTrue="1" operator="equal">
      <formula>"Napkin Hs"</formula>
    </cfRule>
  </conditionalFormatting>
  <conditionalFormatting sqref="B128:C128">
    <cfRule type="cellIs" dxfId="29463" priority="1978" stopIfTrue="1" operator="equal">
      <formula>"Towel"</formula>
    </cfRule>
    <cfRule type="cellIs" dxfId="29462" priority="1979" stopIfTrue="1" operator="equal">
      <formula>"Napkin Hs"</formula>
    </cfRule>
  </conditionalFormatting>
  <conditionalFormatting sqref="B129:C129">
    <cfRule type="cellIs" dxfId="29461" priority="2002" stopIfTrue="1" operator="equal">
      <formula>"Napkin Hs"</formula>
    </cfRule>
  </conditionalFormatting>
  <conditionalFormatting sqref="C128">
    <cfRule type="cellIs" dxfId="29460" priority="1985" stopIfTrue="1" operator="equal">
      <formula>"Napkin Hs"</formula>
    </cfRule>
  </conditionalFormatting>
  <conditionalFormatting sqref="B129:C129 C128">
    <cfRule type="cellIs" dxfId="29459" priority="1984" stopIfTrue="1" operator="equal">
      <formula>"Towel"</formula>
    </cfRule>
  </conditionalFormatting>
  <conditionalFormatting sqref="C128">
    <cfRule type="cellIs" dxfId="29458" priority="1936" stopIfTrue="1" operator="equal">
      <formula>"Towel"</formula>
    </cfRule>
    <cfRule type="cellIs" dxfId="29457" priority="1937" stopIfTrue="1" operator="equal">
      <formula>"Napkin Hs"</formula>
    </cfRule>
    <cfRule type="cellIs" dxfId="29456" priority="1942" stopIfTrue="1" operator="equal">
      <formula>"Towel"</formula>
    </cfRule>
    <cfRule type="cellIs" dxfId="29455" priority="1943" stopIfTrue="1" operator="equal">
      <formula>"Napkin Hs"</formula>
    </cfRule>
    <cfRule type="cellIs" dxfId="29454" priority="1948" stopIfTrue="1" operator="equal">
      <formula>"Towel"</formula>
    </cfRule>
    <cfRule type="cellIs" dxfId="29453" priority="1949" stopIfTrue="1" operator="equal">
      <formula>"Napkin Hs"</formula>
    </cfRule>
    <cfRule type="cellIs" dxfId="29452" priority="1954" stopIfTrue="1" operator="equal">
      <formula>"Towel"</formula>
    </cfRule>
    <cfRule type="cellIs" dxfId="29451" priority="1955" stopIfTrue="1" operator="equal">
      <formula>"Napkin Hs"</formula>
    </cfRule>
    <cfRule type="cellIs" dxfId="29450" priority="1960" stopIfTrue="1" operator="equal">
      <formula>"Towel"</formula>
    </cfRule>
    <cfRule type="cellIs" dxfId="29449" priority="1961" stopIfTrue="1" operator="equal">
      <formula>"Napkin Hs"</formula>
    </cfRule>
    <cfRule type="cellIs" dxfId="29448" priority="1966" stopIfTrue="1" operator="equal">
      <formula>"Towel"</formula>
    </cfRule>
    <cfRule type="cellIs" dxfId="29447" priority="1967" stopIfTrue="1" operator="equal">
      <formula>"Napkin Hs"</formula>
    </cfRule>
    <cfRule type="cellIs" dxfId="29446" priority="1972" stopIfTrue="1" operator="equal">
      <formula>"Towel"</formula>
    </cfRule>
    <cfRule type="cellIs" dxfId="29445" priority="1973" stopIfTrue="1" operator="equal">
      <formula>"Napkin Hs"</formula>
    </cfRule>
  </conditionalFormatting>
  <conditionalFormatting sqref="C128">
    <cfRule type="cellIs" dxfId="29444" priority="1932" stopIfTrue="1" operator="equal">
      <formula>"Towel"</formula>
    </cfRule>
    <cfRule type="cellIs" dxfId="29443" priority="1933" stopIfTrue="1" operator="equal">
      <formula>"Napkin Hs"</formula>
    </cfRule>
    <cfRule type="cellIs" dxfId="29442" priority="1934" stopIfTrue="1" operator="equal">
      <formula>"Towel"</formula>
    </cfRule>
    <cfRule type="cellIs" dxfId="29441" priority="1935" stopIfTrue="1" operator="equal">
      <formula>"Napkin Hs"</formula>
    </cfRule>
    <cfRule type="cellIs" dxfId="29440" priority="1938" stopIfTrue="1" operator="equal">
      <formula>"Towel"</formula>
    </cfRule>
    <cfRule type="cellIs" dxfId="29439" priority="1939" stopIfTrue="1" operator="equal">
      <formula>"Napkin Hs"</formula>
    </cfRule>
    <cfRule type="cellIs" dxfId="29438" priority="1940" stopIfTrue="1" operator="equal">
      <formula>"Towel"</formula>
    </cfRule>
    <cfRule type="cellIs" dxfId="29437" priority="1941" stopIfTrue="1" operator="equal">
      <formula>"Napkin Hs"</formula>
    </cfRule>
    <cfRule type="cellIs" dxfId="29436" priority="1944" stopIfTrue="1" operator="equal">
      <formula>"Towel"</formula>
    </cfRule>
    <cfRule type="cellIs" dxfId="29435" priority="1945" stopIfTrue="1" operator="equal">
      <formula>"Napkin Hs"</formula>
    </cfRule>
    <cfRule type="cellIs" dxfId="29434" priority="1946" stopIfTrue="1" operator="equal">
      <formula>"Towel"</formula>
    </cfRule>
    <cfRule type="cellIs" dxfId="29433" priority="1947" stopIfTrue="1" operator="equal">
      <formula>"Napkin Hs"</formula>
    </cfRule>
    <cfRule type="cellIs" dxfId="29432" priority="1950" stopIfTrue="1" operator="equal">
      <formula>"Towel"</formula>
    </cfRule>
    <cfRule type="cellIs" dxfId="29431" priority="1951" stopIfTrue="1" operator="equal">
      <formula>"Napkin Hs"</formula>
    </cfRule>
    <cfRule type="cellIs" dxfId="29430" priority="1952" stopIfTrue="1" operator="equal">
      <formula>"Towel"</formula>
    </cfRule>
    <cfRule type="cellIs" dxfId="29429" priority="1953" stopIfTrue="1" operator="equal">
      <formula>"Napkin Hs"</formula>
    </cfRule>
    <cfRule type="cellIs" dxfId="29428" priority="1956" stopIfTrue="1" operator="equal">
      <formula>"Towel"</formula>
    </cfRule>
    <cfRule type="cellIs" dxfId="29427" priority="1957" stopIfTrue="1" operator="equal">
      <formula>"Napkin Hs"</formula>
    </cfRule>
    <cfRule type="cellIs" dxfId="29426" priority="1958" stopIfTrue="1" operator="equal">
      <formula>"Towel"</formula>
    </cfRule>
    <cfRule type="cellIs" dxfId="29425" priority="1959" stopIfTrue="1" operator="equal">
      <formula>"Napkin Hs"</formula>
    </cfRule>
    <cfRule type="cellIs" dxfId="29424" priority="1962" stopIfTrue="1" operator="equal">
      <formula>"Towel"</formula>
    </cfRule>
    <cfRule type="cellIs" dxfId="29423" priority="1963" stopIfTrue="1" operator="equal">
      <formula>"Napkin Hs"</formula>
    </cfRule>
    <cfRule type="cellIs" dxfId="29422" priority="1964" stopIfTrue="1" operator="equal">
      <formula>"Towel"</formula>
    </cfRule>
    <cfRule type="cellIs" dxfId="29421" priority="1965" stopIfTrue="1" operator="equal">
      <formula>"Napkin Hs"</formula>
    </cfRule>
    <cfRule type="cellIs" dxfId="29420" priority="1968" stopIfTrue="1" operator="equal">
      <formula>"Towel"</formula>
    </cfRule>
    <cfRule type="cellIs" dxfId="29419" priority="1969" stopIfTrue="1" operator="equal">
      <formula>"Napkin Hs"</formula>
    </cfRule>
    <cfRule type="cellIs" dxfId="29418" priority="1970" stopIfTrue="1" operator="equal">
      <formula>"Towel"</formula>
    </cfRule>
    <cfRule type="cellIs" dxfId="29417" priority="1971" stopIfTrue="1" operator="equal">
      <formula>"Napkin Hs"</formula>
    </cfRule>
    <cfRule type="cellIs" dxfId="29416" priority="1974" stopIfTrue="1" operator="equal">
      <formula>"Towel"</formula>
    </cfRule>
    <cfRule type="cellIs" dxfId="29415" priority="1975" stopIfTrue="1" operator="equal">
      <formula>"Napkin Hs"</formula>
    </cfRule>
    <cfRule type="cellIs" dxfId="29414" priority="1976" stopIfTrue="1" operator="equal">
      <formula>"Towel"</formula>
    </cfRule>
    <cfRule type="cellIs" dxfId="29413" priority="1977" stopIfTrue="1" operator="equal">
      <formula>"Napkin Hs"</formula>
    </cfRule>
    <cfRule type="cellIs" dxfId="29412" priority="1980" stopIfTrue="1" operator="equal">
      <formula>"Towel"</formula>
    </cfRule>
    <cfRule type="cellIs" dxfId="29411" priority="1981" stopIfTrue="1" operator="equal">
      <formula>"Napkin Hs"</formula>
    </cfRule>
  </conditionalFormatting>
  <conditionalFormatting sqref="C128:C129">
    <cfRule type="cellIs" dxfId="29410" priority="1982" stopIfTrue="1" operator="equal">
      <formula>"Towel"</formula>
    </cfRule>
    <cfRule type="cellIs" dxfId="29409" priority="1983" stopIfTrue="1" operator="equal">
      <formula>"Napkin Hs"</formula>
    </cfRule>
  </conditionalFormatting>
  <conditionalFormatting sqref="C129">
    <cfRule type="cellIs" dxfId="29408" priority="2003" stopIfTrue="1" operator="equal">
      <formula>"Towel"</formula>
    </cfRule>
    <cfRule type="cellIs" dxfId="29407" priority="2004" stopIfTrue="1" operator="equal">
      <formula>"Napkin Hs"</formula>
    </cfRule>
  </conditionalFormatting>
  <conditionalFormatting sqref="B129">
    <cfRule type="cellIs" dxfId="29406" priority="1828" stopIfTrue="1" operator="equal">
      <formula>"Towel"</formula>
    </cfRule>
    <cfRule type="cellIs" dxfId="29405" priority="1829" stopIfTrue="1" operator="equal">
      <formula>"Napkin Hs"</formula>
    </cfRule>
  </conditionalFormatting>
  <conditionalFormatting sqref="B128:C128">
    <cfRule type="cellIs" dxfId="29404" priority="1748" stopIfTrue="1" operator="equal">
      <formula>"Towel"</formula>
    </cfRule>
    <cfRule type="cellIs" dxfId="29403" priority="1749" stopIfTrue="1" operator="equal">
      <formula>"Napkin Hs"</formula>
    </cfRule>
    <cfRule type="cellIs" dxfId="29402" priority="1754" stopIfTrue="1" operator="equal">
      <formula>"Towel"</formula>
    </cfRule>
    <cfRule type="cellIs" dxfId="29401" priority="1755" stopIfTrue="1" operator="equal">
      <formula>"Napkin Hs"</formula>
    </cfRule>
    <cfRule type="cellIs" dxfId="29400" priority="1760" stopIfTrue="1" operator="equal">
      <formula>"Towel"</formula>
    </cfRule>
    <cfRule type="cellIs" dxfId="29399" priority="1761" stopIfTrue="1" operator="equal">
      <formula>"Napkin Hs"</formula>
    </cfRule>
    <cfRule type="cellIs" dxfId="29398" priority="1766" stopIfTrue="1" operator="equal">
      <formula>"Towel"</formula>
    </cfRule>
    <cfRule type="cellIs" dxfId="29397" priority="1767" stopIfTrue="1" operator="equal">
      <formula>"Napkin Hs"</formula>
    </cfRule>
    <cfRule type="cellIs" dxfId="29396" priority="1772" stopIfTrue="1" operator="equal">
      <formula>"Towel"</formula>
    </cfRule>
    <cfRule type="cellIs" dxfId="29395" priority="1773" stopIfTrue="1" operator="equal">
      <formula>"Napkin Hs"</formula>
    </cfRule>
    <cfRule type="cellIs" dxfId="29394" priority="1778" stopIfTrue="1" operator="equal">
      <formula>"Towel"</formula>
    </cfRule>
    <cfRule type="cellIs" dxfId="29393" priority="1779" stopIfTrue="1" operator="equal">
      <formula>"Napkin Hs"</formula>
    </cfRule>
    <cfRule type="cellIs" dxfId="29392" priority="1782" stopIfTrue="1" operator="equal">
      <formula>"Towel"</formula>
    </cfRule>
    <cfRule type="cellIs" dxfId="29391" priority="1783" stopIfTrue="1" operator="equal">
      <formula>"Napkin Hs"</formula>
    </cfRule>
    <cfRule type="cellIs" dxfId="29390" priority="1790" stopIfTrue="1" operator="equal">
      <formula>"Towel"</formula>
    </cfRule>
    <cfRule type="cellIs" dxfId="29389" priority="1791" stopIfTrue="1" operator="equal">
      <formula>"Napkin Hs"</formula>
    </cfRule>
    <cfRule type="cellIs" dxfId="29388" priority="1796" stopIfTrue="1" operator="equal">
      <formula>"Towel"</formula>
    </cfRule>
    <cfRule type="cellIs" dxfId="29387" priority="1797" stopIfTrue="1" operator="equal">
      <formula>"Napkin Hs"</formula>
    </cfRule>
    <cfRule type="cellIs" dxfId="29386" priority="1802" stopIfTrue="1" operator="equal">
      <formula>"Towel"</formula>
    </cfRule>
    <cfRule type="cellIs" dxfId="29385" priority="1803" stopIfTrue="1" operator="equal">
      <formula>"Napkin Hs"</formula>
    </cfRule>
    <cfRule type="cellIs" dxfId="29384" priority="1808" stopIfTrue="1" operator="equal">
      <formula>"Towel"</formula>
    </cfRule>
    <cfRule type="cellIs" dxfId="29383" priority="1809" stopIfTrue="1" operator="equal">
      <formula>"Napkin Hs"</formula>
    </cfRule>
    <cfRule type="cellIs" dxfId="29382" priority="1814" stopIfTrue="1" operator="equal">
      <formula>"Towel"</formula>
    </cfRule>
    <cfRule type="cellIs" dxfId="29381" priority="1815" stopIfTrue="1" operator="equal">
      <formula>"Napkin Hs"</formula>
    </cfRule>
    <cfRule type="cellIs" dxfId="29380" priority="1820" stopIfTrue="1" operator="equal">
      <formula>"Towel"</formula>
    </cfRule>
    <cfRule type="cellIs" dxfId="29379" priority="1821" stopIfTrue="1" operator="equal">
      <formula>"Napkin Hs"</formula>
    </cfRule>
    <cfRule type="cellIs" dxfId="29378" priority="1826" stopIfTrue="1" operator="equal">
      <formula>"Towel"</formula>
    </cfRule>
    <cfRule type="cellIs" dxfId="29377" priority="1827" stopIfTrue="1" operator="equal">
      <formula>"Napkin Hs"</formula>
    </cfRule>
  </conditionalFormatting>
  <conditionalFormatting sqref="B129:C129">
    <cfRule type="cellIs" dxfId="29376" priority="1888" stopIfTrue="1" operator="equal">
      <formula>"Towel"</formula>
    </cfRule>
    <cfRule type="cellIs" dxfId="29375" priority="1889" stopIfTrue="1" operator="equal">
      <formula>"Napkin Hs"</formula>
    </cfRule>
    <cfRule type="cellIs" dxfId="29374" priority="1894" stopIfTrue="1" operator="equal">
      <formula>"Towel"</formula>
    </cfRule>
    <cfRule type="cellIs" dxfId="29373" priority="1895" stopIfTrue="1" operator="equal">
      <formula>"Napkin Hs"</formula>
    </cfRule>
    <cfRule type="cellIs" dxfId="29372" priority="1900" stopIfTrue="1" operator="equal">
      <formula>"Towel"</formula>
    </cfRule>
    <cfRule type="cellIs" dxfId="29371" priority="1901" stopIfTrue="1" operator="equal">
      <formula>"Napkin Hs"</formula>
    </cfRule>
    <cfRule type="cellIs" dxfId="29370" priority="1906" stopIfTrue="1" operator="equal">
      <formula>"Towel"</formula>
    </cfRule>
    <cfRule type="cellIs" dxfId="29369" priority="1907" stopIfTrue="1" operator="equal">
      <formula>"Napkin Hs"</formula>
    </cfRule>
    <cfRule type="cellIs" dxfId="29368" priority="1912" stopIfTrue="1" operator="equal">
      <formula>"Towel"</formula>
    </cfRule>
    <cfRule type="cellIs" dxfId="29367" priority="1913" stopIfTrue="1" operator="equal">
      <formula>"Napkin Hs"</formula>
    </cfRule>
    <cfRule type="cellIs" dxfId="29366" priority="1918" stopIfTrue="1" operator="equal">
      <formula>"Towel"</formula>
    </cfRule>
    <cfRule type="cellIs" dxfId="29365" priority="1919" stopIfTrue="1" operator="equal">
      <formula>"Napkin Hs"</formula>
    </cfRule>
    <cfRule type="cellIs" dxfId="29364" priority="1924" stopIfTrue="1" operator="equal">
      <formula>"Towel"</formula>
    </cfRule>
    <cfRule type="cellIs" dxfId="29363" priority="1925" stopIfTrue="1" operator="equal">
      <formula>"Napkin Hs"</formula>
    </cfRule>
    <cfRule type="cellIs" dxfId="29362" priority="1930" stopIfTrue="1" operator="equal">
      <formula>"Towel"</formula>
    </cfRule>
    <cfRule type="cellIs" dxfId="29361" priority="1931" stopIfTrue="1" operator="equal">
      <formula>"Napkin Hs"</formula>
    </cfRule>
  </conditionalFormatting>
  <conditionalFormatting sqref="B129:C129">
    <cfRule type="cellIs" dxfId="29360" priority="1830" stopIfTrue="1" operator="equal">
      <formula>"Towel"</formula>
    </cfRule>
    <cfRule type="cellIs" dxfId="29359" priority="1831" stopIfTrue="1" operator="equal">
      <formula>"Napkin Hs"</formula>
    </cfRule>
    <cfRule type="cellIs" dxfId="29358" priority="1846" stopIfTrue="1" operator="equal">
      <formula>"Towel"</formula>
    </cfRule>
    <cfRule type="cellIs" dxfId="29357" priority="1847" stopIfTrue="1" operator="equal">
      <formula>"Napkin Hs"</formula>
    </cfRule>
    <cfRule type="cellIs" dxfId="29356" priority="1852" stopIfTrue="1" operator="equal">
      <formula>"Towel"</formula>
    </cfRule>
    <cfRule type="cellIs" dxfId="29355" priority="1853" stopIfTrue="1" operator="equal">
      <formula>"Napkin Hs"</formula>
    </cfRule>
    <cfRule type="cellIs" dxfId="29354" priority="1858" stopIfTrue="1" operator="equal">
      <formula>"Towel"</formula>
    </cfRule>
    <cfRule type="cellIs" dxfId="29353" priority="1859" stopIfTrue="1" operator="equal">
      <formula>"Napkin Hs"</formula>
    </cfRule>
    <cfRule type="cellIs" dxfId="29352" priority="1864" stopIfTrue="1" operator="equal">
      <formula>"Towel"</formula>
    </cfRule>
    <cfRule type="cellIs" dxfId="29351" priority="1865" stopIfTrue="1" operator="equal">
      <formula>"Napkin Hs"</formula>
    </cfRule>
    <cfRule type="cellIs" dxfId="29350" priority="1870" stopIfTrue="1" operator="equal">
      <formula>"Towel"</formula>
    </cfRule>
    <cfRule type="cellIs" dxfId="29349" priority="1871" stopIfTrue="1" operator="equal">
      <formula>"Napkin Hs"</formula>
    </cfRule>
    <cfRule type="cellIs" dxfId="29348" priority="1876" stopIfTrue="1" operator="equal">
      <formula>"Towel"</formula>
    </cfRule>
    <cfRule type="cellIs" dxfId="29347" priority="1877" stopIfTrue="1" operator="equal">
      <formula>"Napkin Hs"</formula>
    </cfRule>
    <cfRule type="cellIs" dxfId="29346" priority="1882" stopIfTrue="1" operator="equal">
      <formula>"Towel"</formula>
    </cfRule>
    <cfRule type="cellIs" dxfId="29345" priority="1883" stopIfTrue="1" operator="equal">
      <formula>"Napkin Hs"</formula>
    </cfRule>
  </conditionalFormatting>
  <conditionalFormatting sqref="C128">
    <cfRule type="cellIs" dxfId="29344" priority="1744" stopIfTrue="1" operator="equal">
      <formula>"Towel"</formula>
    </cfRule>
    <cfRule type="cellIs" dxfId="29343" priority="1745" stopIfTrue="1" operator="equal">
      <formula>"Napkin Hs"</formula>
    </cfRule>
    <cfRule type="cellIs" dxfId="29342" priority="1746" stopIfTrue="1" operator="equal">
      <formula>"Towel"</formula>
    </cfRule>
    <cfRule type="cellIs" dxfId="29341" priority="1747" stopIfTrue="1" operator="equal">
      <formula>"Napkin Hs"</formula>
    </cfRule>
    <cfRule type="cellIs" dxfId="29340" priority="1750" stopIfTrue="1" operator="equal">
      <formula>"Towel"</formula>
    </cfRule>
    <cfRule type="cellIs" dxfId="29339" priority="1751" stopIfTrue="1" operator="equal">
      <formula>"Napkin Hs"</formula>
    </cfRule>
    <cfRule type="cellIs" dxfId="29338" priority="1752" stopIfTrue="1" operator="equal">
      <formula>"Towel"</formula>
    </cfRule>
    <cfRule type="cellIs" dxfId="29337" priority="1753" stopIfTrue="1" operator="equal">
      <formula>"Napkin Hs"</formula>
    </cfRule>
    <cfRule type="cellIs" dxfId="29336" priority="1756" stopIfTrue="1" operator="equal">
      <formula>"Towel"</formula>
    </cfRule>
    <cfRule type="cellIs" dxfId="29335" priority="1757" stopIfTrue="1" operator="equal">
      <formula>"Napkin Hs"</formula>
    </cfRule>
    <cfRule type="cellIs" dxfId="29334" priority="1758" stopIfTrue="1" operator="equal">
      <formula>"Towel"</formula>
    </cfRule>
    <cfRule type="cellIs" dxfId="29333" priority="1759" stopIfTrue="1" operator="equal">
      <formula>"Napkin Hs"</formula>
    </cfRule>
    <cfRule type="cellIs" dxfId="29332" priority="1762" stopIfTrue="1" operator="equal">
      <formula>"Towel"</formula>
    </cfRule>
    <cfRule type="cellIs" dxfId="29331" priority="1763" stopIfTrue="1" operator="equal">
      <formula>"Napkin Hs"</formula>
    </cfRule>
    <cfRule type="cellIs" dxfId="29330" priority="1764" stopIfTrue="1" operator="equal">
      <formula>"Towel"</formula>
    </cfRule>
    <cfRule type="cellIs" dxfId="29329" priority="1765" stopIfTrue="1" operator="equal">
      <formula>"Napkin Hs"</formula>
    </cfRule>
    <cfRule type="cellIs" dxfId="29328" priority="1768" stopIfTrue="1" operator="equal">
      <formula>"Towel"</formula>
    </cfRule>
    <cfRule type="cellIs" dxfId="29327" priority="1769" stopIfTrue="1" operator="equal">
      <formula>"Napkin Hs"</formula>
    </cfRule>
    <cfRule type="cellIs" dxfId="29326" priority="1770" stopIfTrue="1" operator="equal">
      <formula>"Towel"</formula>
    </cfRule>
    <cfRule type="cellIs" dxfId="29325" priority="1771" stopIfTrue="1" operator="equal">
      <formula>"Napkin Hs"</formula>
    </cfRule>
    <cfRule type="cellIs" dxfId="29324" priority="1774" stopIfTrue="1" operator="equal">
      <formula>"Towel"</formula>
    </cfRule>
    <cfRule type="cellIs" dxfId="29323" priority="1775" stopIfTrue="1" operator="equal">
      <formula>"Napkin Hs"</formula>
    </cfRule>
    <cfRule type="cellIs" dxfId="29322" priority="1776" stopIfTrue="1" operator="equal">
      <formula>"Towel"</formula>
    </cfRule>
    <cfRule type="cellIs" dxfId="29321" priority="1777" stopIfTrue="1" operator="equal">
      <formula>"Napkin Hs"</formula>
    </cfRule>
    <cfRule type="cellIs" dxfId="29320" priority="1780" stopIfTrue="1" operator="equal">
      <formula>"Towel"</formula>
    </cfRule>
    <cfRule type="cellIs" dxfId="29319" priority="1781" stopIfTrue="1" operator="equal">
      <formula>"Napkin Hs"</formula>
    </cfRule>
    <cfRule type="cellIs" dxfId="29318" priority="1784" stopIfTrue="1" operator="equal">
      <formula>"Towel"</formula>
    </cfRule>
    <cfRule type="cellIs" dxfId="29317" priority="1785" stopIfTrue="1" operator="equal">
      <formula>"Napkin Hs"</formula>
    </cfRule>
    <cfRule type="cellIs" dxfId="29316" priority="1786" stopIfTrue="1" operator="equal">
      <formula>"Towel"</formula>
    </cfRule>
    <cfRule type="cellIs" dxfId="29315" priority="1787" stopIfTrue="1" operator="equal">
      <formula>"Napkin Hs"</formula>
    </cfRule>
    <cfRule type="cellIs" dxfId="29314" priority="1788" stopIfTrue="1" operator="equal">
      <formula>"Towel"</formula>
    </cfRule>
    <cfRule type="cellIs" dxfId="29313" priority="1789" stopIfTrue="1" operator="equal">
      <formula>"Napkin Hs"</formula>
    </cfRule>
    <cfRule type="cellIs" dxfId="29312" priority="1792" stopIfTrue="1" operator="equal">
      <formula>"Towel"</formula>
    </cfRule>
    <cfRule type="cellIs" dxfId="29311" priority="1793" stopIfTrue="1" operator="equal">
      <formula>"Napkin Hs"</formula>
    </cfRule>
    <cfRule type="cellIs" dxfId="29310" priority="1794" stopIfTrue="1" operator="equal">
      <formula>"Towel"</formula>
    </cfRule>
    <cfRule type="cellIs" dxfId="29309" priority="1795" stopIfTrue="1" operator="equal">
      <formula>"Napkin Hs"</formula>
    </cfRule>
    <cfRule type="cellIs" dxfId="29308" priority="1798" stopIfTrue="1" operator="equal">
      <formula>"Towel"</formula>
    </cfRule>
    <cfRule type="cellIs" dxfId="29307" priority="1799" stopIfTrue="1" operator="equal">
      <formula>"Napkin Hs"</formula>
    </cfRule>
    <cfRule type="cellIs" dxfId="29306" priority="1800" stopIfTrue="1" operator="equal">
      <formula>"Towel"</formula>
    </cfRule>
    <cfRule type="cellIs" dxfId="29305" priority="1801" stopIfTrue="1" operator="equal">
      <formula>"Napkin Hs"</formula>
    </cfRule>
    <cfRule type="cellIs" dxfId="29304" priority="1804" stopIfTrue="1" operator="equal">
      <formula>"Towel"</formula>
    </cfRule>
    <cfRule type="cellIs" dxfId="29303" priority="1805" stopIfTrue="1" operator="equal">
      <formula>"Napkin Hs"</formula>
    </cfRule>
    <cfRule type="cellIs" dxfId="29302" priority="1806" stopIfTrue="1" operator="equal">
      <formula>"Towel"</formula>
    </cfRule>
    <cfRule type="cellIs" dxfId="29301" priority="1807" stopIfTrue="1" operator="equal">
      <formula>"Napkin Hs"</formula>
    </cfRule>
    <cfRule type="cellIs" dxfId="29300" priority="1810" stopIfTrue="1" operator="equal">
      <formula>"Towel"</formula>
    </cfRule>
    <cfRule type="cellIs" dxfId="29299" priority="1811" stopIfTrue="1" operator="equal">
      <formula>"Napkin Hs"</formula>
    </cfRule>
    <cfRule type="cellIs" dxfId="29298" priority="1812" stopIfTrue="1" operator="equal">
      <formula>"Towel"</formula>
    </cfRule>
    <cfRule type="cellIs" dxfId="29297" priority="1813" stopIfTrue="1" operator="equal">
      <formula>"Napkin Hs"</formula>
    </cfRule>
    <cfRule type="cellIs" dxfId="29296" priority="1816" stopIfTrue="1" operator="equal">
      <formula>"Towel"</formula>
    </cfRule>
    <cfRule type="cellIs" dxfId="29295" priority="1817" stopIfTrue="1" operator="equal">
      <formula>"Napkin Hs"</formula>
    </cfRule>
    <cfRule type="cellIs" dxfId="29294" priority="1818" stopIfTrue="1" operator="equal">
      <formula>"Towel"</formula>
    </cfRule>
    <cfRule type="cellIs" dxfId="29293" priority="1819" stopIfTrue="1" operator="equal">
      <formula>"Napkin Hs"</formula>
    </cfRule>
    <cfRule type="cellIs" dxfId="29292" priority="1822" stopIfTrue="1" operator="equal">
      <formula>"Towel"</formula>
    </cfRule>
    <cfRule type="cellIs" dxfId="29291" priority="1823" stopIfTrue="1" operator="equal">
      <formula>"Napkin Hs"</formula>
    </cfRule>
  </conditionalFormatting>
  <conditionalFormatting sqref="C128">
    <cfRule type="cellIs" dxfId="29290" priority="1824" stopIfTrue="1" operator="equal">
      <formula>"Towel"</formula>
    </cfRule>
    <cfRule type="cellIs" dxfId="29289" priority="1825" stopIfTrue="1" operator="equal">
      <formula>"Napkin Hs"</formula>
    </cfRule>
  </conditionalFormatting>
  <conditionalFormatting sqref="C129">
    <cfRule type="cellIs" dxfId="29288" priority="1884" stopIfTrue="1" operator="equal">
      <formula>"Towel"</formula>
    </cfRule>
    <cfRule type="cellIs" dxfId="29287" priority="1885" stopIfTrue="1" operator="equal">
      <formula>"Napkin Hs"</formula>
    </cfRule>
    <cfRule type="cellIs" dxfId="29286" priority="1886" stopIfTrue="1" operator="equal">
      <formula>"Towel"</formula>
    </cfRule>
    <cfRule type="cellIs" dxfId="29285" priority="1887" stopIfTrue="1" operator="equal">
      <formula>"Napkin Hs"</formula>
    </cfRule>
    <cfRule type="cellIs" dxfId="29284" priority="1890" stopIfTrue="1" operator="equal">
      <formula>"Towel"</formula>
    </cfRule>
    <cfRule type="cellIs" dxfId="29283" priority="1891" stopIfTrue="1" operator="equal">
      <formula>"Napkin Hs"</formula>
    </cfRule>
    <cfRule type="cellIs" dxfId="29282" priority="1892" stopIfTrue="1" operator="equal">
      <formula>"Towel"</formula>
    </cfRule>
    <cfRule type="cellIs" dxfId="29281" priority="1893" stopIfTrue="1" operator="equal">
      <formula>"Napkin Hs"</formula>
    </cfRule>
    <cfRule type="cellIs" dxfId="29280" priority="1896" stopIfTrue="1" operator="equal">
      <formula>"Towel"</formula>
    </cfRule>
    <cfRule type="cellIs" dxfId="29279" priority="1897" stopIfTrue="1" operator="equal">
      <formula>"Napkin Hs"</formula>
    </cfRule>
    <cfRule type="cellIs" dxfId="29278" priority="1898" stopIfTrue="1" operator="equal">
      <formula>"Towel"</formula>
    </cfRule>
    <cfRule type="cellIs" dxfId="29277" priority="1899" stopIfTrue="1" operator="equal">
      <formula>"Napkin Hs"</formula>
    </cfRule>
    <cfRule type="cellIs" dxfId="29276" priority="1902" stopIfTrue="1" operator="equal">
      <formula>"Towel"</formula>
    </cfRule>
    <cfRule type="cellIs" dxfId="29275" priority="1903" stopIfTrue="1" operator="equal">
      <formula>"Napkin Hs"</formula>
    </cfRule>
    <cfRule type="cellIs" dxfId="29274" priority="1904" stopIfTrue="1" operator="equal">
      <formula>"Towel"</formula>
    </cfRule>
    <cfRule type="cellIs" dxfId="29273" priority="1905" stopIfTrue="1" operator="equal">
      <formula>"Napkin Hs"</formula>
    </cfRule>
    <cfRule type="cellIs" dxfId="29272" priority="1908" stopIfTrue="1" operator="equal">
      <formula>"Towel"</formula>
    </cfRule>
    <cfRule type="cellIs" dxfId="29271" priority="1909" stopIfTrue="1" operator="equal">
      <formula>"Napkin Hs"</formula>
    </cfRule>
    <cfRule type="cellIs" dxfId="29270" priority="1910" stopIfTrue="1" operator="equal">
      <formula>"Towel"</formula>
    </cfRule>
    <cfRule type="cellIs" dxfId="29269" priority="1911" stopIfTrue="1" operator="equal">
      <formula>"Napkin Hs"</formula>
    </cfRule>
    <cfRule type="cellIs" dxfId="29268" priority="1914" stopIfTrue="1" operator="equal">
      <formula>"Towel"</formula>
    </cfRule>
    <cfRule type="cellIs" dxfId="29267" priority="1915" stopIfTrue="1" operator="equal">
      <formula>"Napkin Hs"</formula>
    </cfRule>
    <cfRule type="cellIs" dxfId="29266" priority="1916" stopIfTrue="1" operator="equal">
      <formula>"Towel"</formula>
    </cfRule>
    <cfRule type="cellIs" dxfId="29265" priority="1917" stopIfTrue="1" operator="equal">
      <formula>"Napkin Hs"</formula>
    </cfRule>
    <cfRule type="cellIs" dxfId="29264" priority="1920" stopIfTrue="1" operator="equal">
      <formula>"Towel"</formula>
    </cfRule>
    <cfRule type="cellIs" dxfId="29263" priority="1921" stopIfTrue="1" operator="equal">
      <formula>"Napkin Hs"</formula>
    </cfRule>
    <cfRule type="cellIs" dxfId="29262" priority="1922" stopIfTrue="1" operator="equal">
      <formula>"Towel"</formula>
    </cfRule>
    <cfRule type="cellIs" dxfId="29261" priority="1923" stopIfTrue="1" operator="equal">
      <formula>"Napkin Hs"</formula>
    </cfRule>
    <cfRule type="cellIs" dxfId="29260" priority="1926" stopIfTrue="1" operator="equal">
      <formula>"Towel"</formula>
    </cfRule>
    <cfRule type="cellIs" dxfId="29259" priority="1927" stopIfTrue="1" operator="equal">
      <formula>"Napkin Hs"</formula>
    </cfRule>
  </conditionalFormatting>
  <conditionalFormatting sqref="C129">
    <cfRule type="cellIs" dxfId="29258" priority="1832" stopIfTrue="1" operator="equal">
      <formula>"Towel"</formula>
    </cfRule>
    <cfRule type="cellIs" dxfId="29257" priority="1833" stopIfTrue="1" operator="equal">
      <formula>"Napkin Hs"</formula>
    </cfRule>
    <cfRule type="cellIs" dxfId="29256" priority="1834" stopIfTrue="1" operator="equal">
      <formula>"Towel"</formula>
    </cfRule>
    <cfRule type="cellIs" dxfId="29255" priority="1835" stopIfTrue="1" operator="equal">
      <formula>"Napkin Hs"</formula>
    </cfRule>
    <cfRule type="cellIs" dxfId="29254" priority="1836" stopIfTrue="1" operator="equal">
      <formula>"Towel"</formula>
    </cfRule>
    <cfRule type="cellIs" dxfId="29253" priority="1837" stopIfTrue="1" operator="equal">
      <formula>"Napkin Hs"</formula>
    </cfRule>
    <cfRule type="cellIs" dxfId="29252" priority="1838" stopIfTrue="1" operator="equal">
      <formula>"Towel"</formula>
    </cfRule>
    <cfRule type="cellIs" dxfId="29251" priority="1839" stopIfTrue="1" operator="equal">
      <formula>"Napkin Hs"</formula>
    </cfRule>
    <cfRule type="cellIs" dxfId="29250" priority="1840" stopIfTrue="1" operator="equal">
      <formula>"Towel"</formula>
    </cfRule>
    <cfRule type="cellIs" dxfId="29249" priority="1841" stopIfTrue="1" operator="equal">
      <formula>"Napkin Hs"</formula>
    </cfRule>
    <cfRule type="cellIs" dxfId="29248" priority="1842" stopIfTrue="1" operator="equal">
      <formula>"Towel"</formula>
    </cfRule>
    <cfRule type="cellIs" dxfId="29247" priority="1843" stopIfTrue="1" operator="equal">
      <formula>"Napkin Hs"</formula>
    </cfRule>
    <cfRule type="cellIs" dxfId="29246" priority="1844" stopIfTrue="1" operator="equal">
      <formula>"Towel"</formula>
    </cfRule>
    <cfRule type="cellIs" dxfId="29245" priority="1845" stopIfTrue="1" operator="equal">
      <formula>"Napkin Hs"</formula>
    </cfRule>
    <cfRule type="cellIs" dxfId="29244" priority="1848" stopIfTrue="1" operator="equal">
      <formula>"Towel"</formula>
    </cfRule>
    <cfRule type="cellIs" dxfId="29243" priority="1849" stopIfTrue="1" operator="equal">
      <formula>"Napkin Hs"</formula>
    </cfRule>
    <cfRule type="cellIs" dxfId="29242" priority="1850" stopIfTrue="1" operator="equal">
      <formula>"Towel"</formula>
    </cfRule>
    <cfRule type="cellIs" dxfId="29241" priority="1851" stopIfTrue="1" operator="equal">
      <formula>"Napkin Hs"</formula>
    </cfRule>
    <cfRule type="cellIs" dxfId="29240" priority="1854" stopIfTrue="1" operator="equal">
      <formula>"Towel"</formula>
    </cfRule>
    <cfRule type="cellIs" dxfId="29239" priority="1855" stopIfTrue="1" operator="equal">
      <formula>"Napkin Hs"</formula>
    </cfRule>
    <cfRule type="cellIs" dxfId="29238" priority="1856" stopIfTrue="1" operator="equal">
      <formula>"Towel"</formula>
    </cfRule>
    <cfRule type="cellIs" dxfId="29237" priority="1857" stopIfTrue="1" operator="equal">
      <formula>"Napkin Hs"</formula>
    </cfRule>
    <cfRule type="cellIs" dxfId="29236" priority="1860" stopIfTrue="1" operator="equal">
      <formula>"Towel"</formula>
    </cfRule>
    <cfRule type="cellIs" dxfId="29235" priority="1861" stopIfTrue="1" operator="equal">
      <formula>"Napkin Hs"</formula>
    </cfRule>
    <cfRule type="cellIs" dxfId="29234" priority="1862" stopIfTrue="1" operator="equal">
      <formula>"Towel"</formula>
    </cfRule>
    <cfRule type="cellIs" dxfId="29233" priority="1863" stopIfTrue="1" operator="equal">
      <formula>"Napkin Hs"</formula>
    </cfRule>
    <cfRule type="cellIs" dxfId="29232" priority="1866" stopIfTrue="1" operator="equal">
      <formula>"Towel"</formula>
    </cfRule>
    <cfRule type="cellIs" dxfId="29231" priority="1867" stopIfTrue="1" operator="equal">
      <formula>"Napkin Hs"</formula>
    </cfRule>
    <cfRule type="cellIs" dxfId="29230" priority="1868" stopIfTrue="1" operator="equal">
      <formula>"Towel"</formula>
    </cfRule>
    <cfRule type="cellIs" dxfId="29229" priority="1869" stopIfTrue="1" operator="equal">
      <formula>"Napkin Hs"</formula>
    </cfRule>
    <cfRule type="cellIs" dxfId="29228" priority="1872" stopIfTrue="1" operator="equal">
      <formula>"Towel"</formula>
    </cfRule>
    <cfRule type="cellIs" dxfId="29227" priority="1873" stopIfTrue="1" operator="equal">
      <formula>"Napkin Hs"</formula>
    </cfRule>
    <cfRule type="cellIs" dxfId="29226" priority="1874" stopIfTrue="1" operator="equal">
      <formula>"Towel"</formula>
    </cfRule>
    <cfRule type="cellIs" dxfId="29225" priority="1875" stopIfTrue="1" operator="equal">
      <formula>"Napkin Hs"</formula>
    </cfRule>
    <cfRule type="cellIs" dxfId="29224" priority="1878" stopIfTrue="1" operator="equal">
      <formula>"Towel"</formula>
    </cfRule>
    <cfRule type="cellIs" dxfId="29223" priority="1879" stopIfTrue="1" operator="equal">
      <formula>"Napkin Hs"</formula>
    </cfRule>
    <cfRule type="cellIs" dxfId="29222" priority="1880" stopIfTrue="1" operator="equal">
      <formula>"Towel"</formula>
    </cfRule>
    <cfRule type="cellIs" dxfId="29221" priority="1881" stopIfTrue="1" operator="equal">
      <formula>"Napkin Hs"</formula>
    </cfRule>
    <cfRule type="cellIs" dxfId="29220" priority="1928" stopIfTrue="1" operator="equal">
      <formula>"Towel"</formula>
    </cfRule>
    <cfRule type="cellIs" dxfId="29219" priority="1929" stopIfTrue="1" operator="equal">
      <formula>"Napkin Hs"</formula>
    </cfRule>
  </conditionalFormatting>
  <conditionalFormatting sqref="B127">
    <cfRule type="cellIs" dxfId="29218" priority="1728" stopIfTrue="1" operator="equal">
      <formula>"Towel"</formula>
    </cfRule>
    <cfRule type="cellIs" dxfId="29217" priority="1729" stopIfTrue="1" operator="equal">
      <formula>"Napkin Hs"</formula>
    </cfRule>
    <cfRule type="cellIs" dxfId="29216" priority="1730" stopIfTrue="1" operator="equal">
      <formula>"Towel"</formula>
    </cfRule>
    <cfRule type="cellIs" dxfId="29215" priority="1731" stopIfTrue="1" operator="equal">
      <formula>"Napkin Hs"</formula>
    </cfRule>
    <cfRule type="cellIs" dxfId="29214" priority="1732" stopIfTrue="1" operator="equal">
      <formula>"Towel"</formula>
    </cfRule>
    <cfRule type="cellIs" dxfId="29213" priority="1733" stopIfTrue="1" operator="equal">
      <formula>"Napkin Hs"</formula>
    </cfRule>
    <cfRule type="cellIs" dxfId="29212" priority="1734" stopIfTrue="1" operator="equal">
      <formula>"Towel"</formula>
    </cfRule>
    <cfRule type="cellIs" dxfId="29211" priority="1735" stopIfTrue="1" operator="equal">
      <formula>"Napkin Hs"</formula>
    </cfRule>
    <cfRule type="cellIs" dxfId="29210" priority="1736" stopIfTrue="1" operator="equal">
      <formula>"Towel"</formula>
    </cfRule>
    <cfRule type="cellIs" dxfId="29209" priority="1737" stopIfTrue="1" operator="equal">
      <formula>"Napkin Hs"</formula>
    </cfRule>
    <cfRule type="cellIs" dxfId="29208" priority="1738" stopIfTrue="1" operator="equal">
      <formula>"Towel"</formula>
    </cfRule>
    <cfRule type="cellIs" dxfId="29207" priority="1739" stopIfTrue="1" operator="equal">
      <formula>"Napkin Hs"</formula>
    </cfRule>
    <cfRule type="cellIs" dxfId="29206" priority="1740" stopIfTrue="1" operator="equal">
      <formula>"Towel"</formula>
    </cfRule>
    <cfRule type="cellIs" dxfId="29205" priority="1741" stopIfTrue="1" operator="equal">
      <formula>"Napkin Hs"</formula>
    </cfRule>
    <cfRule type="cellIs" dxfId="29204" priority="1742" stopIfTrue="1" operator="equal">
      <formula>"Towel"</formula>
    </cfRule>
    <cfRule type="cellIs" dxfId="29203" priority="1743" stopIfTrue="1" operator="equal">
      <formula>"Napkin Hs"</formula>
    </cfRule>
  </conditionalFormatting>
  <conditionalFormatting sqref="B127:C127">
    <cfRule type="cellIs" dxfId="29202" priority="1720" stopIfTrue="1" operator="equal">
      <formula>"Towel"</formula>
    </cfRule>
    <cfRule type="cellIs" dxfId="29201" priority="1721" stopIfTrue="1" operator="equal">
      <formula>"Napkin Hs"</formula>
    </cfRule>
  </conditionalFormatting>
  <conditionalFormatting sqref="C127">
    <cfRule type="cellIs" dxfId="29200" priority="1727" stopIfTrue="1" operator="equal">
      <formula>"Napkin Hs"</formula>
    </cfRule>
  </conditionalFormatting>
  <conditionalFormatting sqref="C127">
    <cfRule type="cellIs" dxfId="29199" priority="1726" stopIfTrue="1" operator="equal">
      <formula>"Towel"</formula>
    </cfRule>
  </conditionalFormatting>
  <conditionalFormatting sqref="C127">
    <cfRule type="cellIs" dxfId="29198" priority="1678" stopIfTrue="1" operator="equal">
      <formula>"Towel"</formula>
    </cfRule>
    <cfRule type="cellIs" dxfId="29197" priority="1679" stopIfTrue="1" operator="equal">
      <formula>"Napkin Hs"</formula>
    </cfRule>
    <cfRule type="cellIs" dxfId="29196" priority="1684" stopIfTrue="1" operator="equal">
      <formula>"Towel"</formula>
    </cfRule>
    <cfRule type="cellIs" dxfId="29195" priority="1685" stopIfTrue="1" operator="equal">
      <formula>"Napkin Hs"</formula>
    </cfRule>
    <cfRule type="cellIs" dxfId="29194" priority="1690" stopIfTrue="1" operator="equal">
      <formula>"Towel"</formula>
    </cfRule>
    <cfRule type="cellIs" dxfId="29193" priority="1691" stopIfTrue="1" operator="equal">
      <formula>"Napkin Hs"</formula>
    </cfRule>
    <cfRule type="cellIs" dxfId="29192" priority="1696" stopIfTrue="1" operator="equal">
      <formula>"Towel"</formula>
    </cfRule>
    <cfRule type="cellIs" dxfId="29191" priority="1697" stopIfTrue="1" operator="equal">
      <formula>"Napkin Hs"</formula>
    </cfRule>
    <cfRule type="cellIs" dxfId="29190" priority="1702" stopIfTrue="1" operator="equal">
      <formula>"Towel"</formula>
    </cfRule>
    <cfRule type="cellIs" dxfId="29189" priority="1703" stopIfTrue="1" operator="equal">
      <formula>"Napkin Hs"</formula>
    </cfRule>
    <cfRule type="cellIs" dxfId="29188" priority="1708" stopIfTrue="1" operator="equal">
      <formula>"Towel"</formula>
    </cfRule>
    <cfRule type="cellIs" dxfId="29187" priority="1709" stopIfTrue="1" operator="equal">
      <formula>"Napkin Hs"</formula>
    </cfRule>
    <cfRule type="cellIs" dxfId="29186" priority="1714" stopIfTrue="1" operator="equal">
      <formula>"Towel"</formula>
    </cfRule>
    <cfRule type="cellIs" dxfId="29185" priority="1715" stopIfTrue="1" operator="equal">
      <formula>"Napkin Hs"</formula>
    </cfRule>
  </conditionalFormatting>
  <conditionalFormatting sqref="C127">
    <cfRule type="cellIs" dxfId="29184" priority="1674" stopIfTrue="1" operator="equal">
      <formula>"Towel"</formula>
    </cfRule>
    <cfRule type="cellIs" dxfId="29183" priority="1675" stopIfTrue="1" operator="equal">
      <formula>"Napkin Hs"</formula>
    </cfRule>
    <cfRule type="cellIs" dxfId="29182" priority="1676" stopIfTrue="1" operator="equal">
      <formula>"Towel"</formula>
    </cfRule>
    <cfRule type="cellIs" dxfId="29181" priority="1677" stopIfTrue="1" operator="equal">
      <formula>"Napkin Hs"</formula>
    </cfRule>
    <cfRule type="cellIs" dxfId="29180" priority="1680" stopIfTrue="1" operator="equal">
      <formula>"Towel"</formula>
    </cfRule>
    <cfRule type="cellIs" dxfId="29179" priority="1681" stopIfTrue="1" operator="equal">
      <formula>"Napkin Hs"</formula>
    </cfRule>
    <cfRule type="cellIs" dxfId="29178" priority="1682" stopIfTrue="1" operator="equal">
      <formula>"Towel"</formula>
    </cfRule>
    <cfRule type="cellIs" dxfId="29177" priority="1683" stopIfTrue="1" operator="equal">
      <formula>"Napkin Hs"</formula>
    </cfRule>
    <cfRule type="cellIs" dxfId="29176" priority="1686" stopIfTrue="1" operator="equal">
      <formula>"Towel"</formula>
    </cfRule>
    <cfRule type="cellIs" dxfId="29175" priority="1687" stopIfTrue="1" operator="equal">
      <formula>"Napkin Hs"</formula>
    </cfRule>
    <cfRule type="cellIs" dxfId="29174" priority="1688" stopIfTrue="1" operator="equal">
      <formula>"Towel"</formula>
    </cfRule>
    <cfRule type="cellIs" dxfId="29173" priority="1689" stopIfTrue="1" operator="equal">
      <formula>"Napkin Hs"</formula>
    </cfRule>
    <cfRule type="cellIs" dxfId="29172" priority="1692" stopIfTrue="1" operator="equal">
      <formula>"Towel"</formula>
    </cfRule>
    <cfRule type="cellIs" dxfId="29171" priority="1693" stopIfTrue="1" operator="equal">
      <formula>"Napkin Hs"</formula>
    </cfRule>
    <cfRule type="cellIs" dxfId="29170" priority="1694" stopIfTrue="1" operator="equal">
      <formula>"Towel"</formula>
    </cfRule>
    <cfRule type="cellIs" dxfId="29169" priority="1695" stopIfTrue="1" operator="equal">
      <formula>"Napkin Hs"</formula>
    </cfRule>
    <cfRule type="cellIs" dxfId="29168" priority="1698" stopIfTrue="1" operator="equal">
      <formula>"Towel"</formula>
    </cfRule>
    <cfRule type="cellIs" dxfId="29167" priority="1699" stopIfTrue="1" operator="equal">
      <formula>"Napkin Hs"</formula>
    </cfRule>
    <cfRule type="cellIs" dxfId="29166" priority="1700" stopIfTrue="1" operator="equal">
      <formula>"Towel"</formula>
    </cfRule>
    <cfRule type="cellIs" dxfId="29165" priority="1701" stopIfTrue="1" operator="equal">
      <formula>"Napkin Hs"</formula>
    </cfRule>
    <cfRule type="cellIs" dxfId="29164" priority="1704" stopIfTrue="1" operator="equal">
      <formula>"Towel"</formula>
    </cfRule>
    <cfRule type="cellIs" dxfId="29163" priority="1705" stopIfTrue="1" operator="equal">
      <formula>"Napkin Hs"</formula>
    </cfRule>
    <cfRule type="cellIs" dxfId="29162" priority="1706" stopIfTrue="1" operator="equal">
      <formula>"Towel"</formula>
    </cfRule>
    <cfRule type="cellIs" dxfId="29161" priority="1707" stopIfTrue="1" operator="equal">
      <formula>"Napkin Hs"</formula>
    </cfRule>
    <cfRule type="cellIs" dxfId="29160" priority="1710" stopIfTrue="1" operator="equal">
      <formula>"Towel"</formula>
    </cfRule>
    <cfRule type="cellIs" dxfId="29159" priority="1711" stopIfTrue="1" operator="equal">
      <formula>"Napkin Hs"</formula>
    </cfRule>
    <cfRule type="cellIs" dxfId="29158" priority="1712" stopIfTrue="1" operator="equal">
      <formula>"Towel"</formula>
    </cfRule>
    <cfRule type="cellIs" dxfId="29157" priority="1713" stopIfTrue="1" operator="equal">
      <formula>"Napkin Hs"</formula>
    </cfRule>
    <cfRule type="cellIs" dxfId="29156" priority="1716" stopIfTrue="1" operator="equal">
      <formula>"Towel"</formula>
    </cfRule>
    <cfRule type="cellIs" dxfId="29155" priority="1717" stopIfTrue="1" operator="equal">
      <formula>"Napkin Hs"</formula>
    </cfRule>
    <cfRule type="cellIs" dxfId="29154" priority="1718" stopIfTrue="1" operator="equal">
      <formula>"Towel"</formula>
    </cfRule>
    <cfRule type="cellIs" dxfId="29153" priority="1719" stopIfTrue="1" operator="equal">
      <formula>"Napkin Hs"</formula>
    </cfRule>
    <cfRule type="cellIs" dxfId="29152" priority="1722" stopIfTrue="1" operator="equal">
      <formula>"Towel"</formula>
    </cfRule>
    <cfRule type="cellIs" dxfId="29151" priority="1723" stopIfTrue="1" operator="equal">
      <formula>"Napkin Hs"</formula>
    </cfRule>
  </conditionalFormatting>
  <conditionalFormatting sqref="C127">
    <cfRule type="cellIs" dxfId="29150" priority="1724" stopIfTrue="1" operator="equal">
      <formula>"Towel"</formula>
    </cfRule>
    <cfRule type="cellIs" dxfId="29149" priority="1725" stopIfTrue="1" operator="equal">
      <formula>"Napkin Hs"</formula>
    </cfRule>
  </conditionalFormatting>
  <conditionalFormatting sqref="B127:C127">
    <cfRule type="cellIs" dxfId="29148" priority="1594" stopIfTrue="1" operator="equal">
      <formula>"Towel"</formula>
    </cfRule>
    <cfRule type="cellIs" dxfId="29147" priority="1595" stopIfTrue="1" operator="equal">
      <formula>"Napkin Hs"</formula>
    </cfRule>
    <cfRule type="cellIs" dxfId="29146" priority="1600" stopIfTrue="1" operator="equal">
      <formula>"Towel"</formula>
    </cfRule>
    <cfRule type="cellIs" dxfId="29145" priority="1601" stopIfTrue="1" operator="equal">
      <formula>"Napkin Hs"</formula>
    </cfRule>
    <cfRule type="cellIs" dxfId="29144" priority="1606" stopIfTrue="1" operator="equal">
      <formula>"Towel"</formula>
    </cfRule>
    <cfRule type="cellIs" dxfId="29143" priority="1607" stopIfTrue="1" operator="equal">
      <formula>"Napkin Hs"</formula>
    </cfRule>
    <cfRule type="cellIs" dxfId="29142" priority="1612" stopIfTrue="1" operator="equal">
      <formula>"Towel"</formula>
    </cfRule>
    <cfRule type="cellIs" dxfId="29141" priority="1613" stopIfTrue="1" operator="equal">
      <formula>"Napkin Hs"</formula>
    </cfRule>
    <cfRule type="cellIs" dxfId="29140" priority="1618" stopIfTrue="1" operator="equal">
      <formula>"Towel"</formula>
    </cfRule>
    <cfRule type="cellIs" dxfId="29139" priority="1619" stopIfTrue="1" operator="equal">
      <formula>"Napkin Hs"</formula>
    </cfRule>
    <cfRule type="cellIs" dxfId="29138" priority="1624" stopIfTrue="1" operator="equal">
      <formula>"Towel"</formula>
    </cfRule>
    <cfRule type="cellIs" dxfId="29137" priority="1625" stopIfTrue="1" operator="equal">
      <formula>"Napkin Hs"</formula>
    </cfRule>
    <cfRule type="cellIs" dxfId="29136" priority="1628" stopIfTrue="1" operator="equal">
      <formula>"Towel"</formula>
    </cfRule>
    <cfRule type="cellIs" dxfId="29135" priority="1629" stopIfTrue="1" operator="equal">
      <formula>"Napkin Hs"</formula>
    </cfRule>
    <cfRule type="cellIs" dxfId="29134" priority="1636" stopIfTrue="1" operator="equal">
      <formula>"Towel"</formula>
    </cfRule>
    <cfRule type="cellIs" dxfId="29133" priority="1637" stopIfTrue="1" operator="equal">
      <formula>"Napkin Hs"</formula>
    </cfRule>
    <cfRule type="cellIs" dxfId="29132" priority="1642" stopIfTrue="1" operator="equal">
      <formula>"Towel"</formula>
    </cfRule>
    <cfRule type="cellIs" dxfId="29131" priority="1643" stopIfTrue="1" operator="equal">
      <formula>"Napkin Hs"</formula>
    </cfRule>
    <cfRule type="cellIs" dxfId="29130" priority="1648" stopIfTrue="1" operator="equal">
      <formula>"Towel"</formula>
    </cfRule>
    <cfRule type="cellIs" dxfId="29129" priority="1649" stopIfTrue="1" operator="equal">
      <formula>"Napkin Hs"</formula>
    </cfRule>
    <cfRule type="cellIs" dxfId="29128" priority="1654" stopIfTrue="1" operator="equal">
      <formula>"Towel"</formula>
    </cfRule>
    <cfRule type="cellIs" dxfId="29127" priority="1655" stopIfTrue="1" operator="equal">
      <formula>"Napkin Hs"</formula>
    </cfRule>
    <cfRule type="cellIs" dxfId="29126" priority="1660" stopIfTrue="1" operator="equal">
      <formula>"Towel"</formula>
    </cfRule>
    <cfRule type="cellIs" dxfId="29125" priority="1661" stopIfTrue="1" operator="equal">
      <formula>"Napkin Hs"</formula>
    </cfRule>
    <cfRule type="cellIs" dxfId="29124" priority="1666" stopIfTrue="1" operator="equal">
      <formula>"Towel"</formula>
    </cfRule>
    <cfRule type="cellIs" dxfId="29123" priority="1667" stopIfTrue="1" operator="equal">
      <formula>"Napkin Hs"</formula>
    </cfRule>
    <cfRule type="cellIs" dxfId="29122" priority="1672" stopIfTrue="1" operator="equal">
      <formula>"Towel"</formula>
    </cfRule>
    <cfRule type="cellIs" dxfId="29121" priority="1673" stopIfTrue="1" operator="equal">
      <formula>"Napkin Hs"</formula>
    </cfRule>
  </conditionalFormatting>
  <conditionalFormatting sqref="C127">
    <cfRule type="cellIs" dxfId="29120" priority="1590" stopIfTrue="1" operator="equal">
      <formula>"Towel"</formula>
    </cfRule>
    <cfRule type="cellIs" dxfId="29119" priority="1591" stopIfTrue="1" operator="equal">
      <formula>"Napkin Hs"</formula>
    </cfRule>
    <cfRule type="cellIs" dxfId="29118" priority="1592" stopIfTrue="1" operator="equal">
      <formula>"Towel"</formula>
    </cfRule>
    <cfRule type="cellIs" dxfId="29117" priority="1593" stopIfTrue="1" operator="equal">
      <formula>"Napkin Hs"</formula>
    </cfRule>
    <cfRule type="cellIs" dxfId="29116" priority="1596" stopIfTrue="1" operator="equal">
      <formula>"Towel"</formula>
    </cfRule>
    <cfRule type="cellIs" dxfId="29115" priority="1597" stopIfTrue="1" operator="equal">
      <formula>"Napkin Hs"</formula>
    </cfRule>
    <cfRule type="cellIs" dxfId="29114" priority="1598" stopIfTrue="1" operator="equal">
      <formula>"Towel"</formula>
    </cfRule>
    <cfRule type="cellIs" dxfId="29113" priority="1599" stopIfTrue="1" operator="equal">
      <formula>"Napkin Hs"</formula>
    </cfRule>
    <cfRule type="cellIs" dxfId="29112" priority="1602" stopIfTrue="1" operator="equal">
      <formula>"Towel"</formula>
    </cfRule>
    <cfRule type="cellIs" dxfId="29111" priority="1603" stopIfTrue="1" operator="equal">
      <formula>"Napkin Hs"</formula>
    </cfRule>
    <cfRule type="cellIs" dxfId="29110" priority="1604" stopIfTrue="1" operator="equal">
      <formula>"Towel"</formula>
    </cfRule>
    <cfRule type="cellIs" dxfId="29109" priority="1605" stopIfTrue="1" operator="equal">
      <formula>"Napkin Hs"</formula>
    </cfRule>
    <cfRule type="cellIs" dxfId="29108" priority="1608" stopIfTrue="1" operator="equal">
      <formula>"Towel"</formula>
    </cfRule>
    <cfRule type="cellIs" dxfId="29107" priority="1609" stopIfTrue="1" operator="equal">
      <formula>"Napkin Hs"</formula>
    </cfRule>
    <cfRule type="cellIs" dxfId="29106" priority="1610" stopIfTrue="1" operator="equal">
      <formula>"Towel"</formula>
    </cfRule>
    <cfRule type="cellIs" dxfId="29105" priority="1611" stopIfTrue="1" operator="equal">
      <formula>"Napkin Hs"</formula>
    </cfRule>
    <cfRule type="cellIs" dxfId="29104" priority="1614" stopIfTrue="1" operator="equal">
      <formula>"Towel"</formula>
    </cfRule>
    <cfRule type="cellIs" dxfId="29103" priority="1615" stopIfTrue="1" operator="equal">
      <formula>"Napkin Hs"</formula>
    </cfRule>
    <cfRule type="cellIs" dxfId="29102" priority="1616" stopIfTrue="1" operator="equal">
      <formula>"Towel"</formula>
    </cfRule>
    <cfRule type="cellIs" dxfId="29101" priority="1617" stopIfTrue="1" operator="equal">
      <formula>"Napkin Hs"</formula>
    </cfRule>
    <cfRule type="cellIs" dxfId="29100" priority="1620" stopIfTrue="1" operator="equal">
      <formula>"Towel"</formula>
    </cfRule>
    <cfRule type="cellIs" dxfId="29099" priority="1621" stopIfTrue="1" operator="equal">
      <formula>"Napkin Hs"</formula>
    </cfRule>
    <cfRule type="cellIs" dxfId="29098" priority="1622" stopIfTrue="1" operator="equal">
      <formula>"Towel"</formula>
    </cfRule>
    <cfRule type="cellIs" dxfId="29097" priority="1623" stopIfTrue="1" operator="equal">
      <formula>"Napkin Hs"</formula>
    </cfRule>
    <cfRule type="cellIs" dxfId="29096" priority="1626" stopIfTrue="1" operator="equal">
      <formula>"Towel"</formula>
    </cfRule>
    <cfRule type="cellIs" dxfId="29095" priority="1627" stopIfTrue="1" operator="equal">
      <formula>"Napkin Hs"</formula>
    </cfRule>
    <cfRule type="cellIs" dxfId="29094" priority="1630" stopIfTrue="1" operator="equal">
      <formula>"Towel"</formula>
    </cfRule>
    <cfRule type="cellIs" dxfId="29093" priority="1631" stopIfTrue="1" operator="equal">
      <formula>"Napkin Hs"</formula>
    </cfRule>
    <cfRule type="cellIs" dxfId="29092" priority="1632" stopIfTrue="1" operator="equal">
      <formula>"Towel"</formula>
    </cfRule>
    <cfRule type="cellIs" dxfId="29091" priority="1633" stopIfTrue="1" operator="equal">
      <formula>"Napkin Hs"</formula>
    </cfRule>
    <cfRule type="cellIs" dxfId="29090" priority="1634" stopIfTrue="1" operator="equal">
      <formula>"Towel"</formula>
    </cfRule>
    <cfRule type="cellIs" dxfId="29089" priority="1635" stopIfTrue="1" operator="equal">
      <formula>"Napkin Hs"</formula>
    </cfRule>
    <cfRule type="cellIs" dxfId="29088" priority="1638" stopIfTrue="1" operator="equal">
      <formula>"Towel"</formula>
    </cfRule>
    <cfRule type="cellIs" dxfId="29087" priority="1639" stopIfTrue="1" operator="equal">
      <formula>"Napkin Hs"</formula>
    </cfRule>
    <cfRule type="cellIs" dxfId="29086" priority="1640" stopIfTrue="1" operator="equal">
      <formula>"Towel"</formula>
    </cfRule>
    <cfRule type="cellIs" dxfId="29085" priority="1641" stopIfTrue="1" operator="equal">
      <formula>"Napkin Hs"</formula>
    </cfRule>
    <cfRule type="cellIs" dxfId="29084" priority="1644" stopIfTrue="1" operator="equal">
      <formula>"Towel"</formula>
    </cfRule>
    <cfRule type="cellIs" dxfId="29083" priority="1645" stopIfTrue="1" operator="equal">
      <formula>"Napkin Hs"</formula>
    </cfRule>
    <cfRule type="cellIs" dxfId="29082" priority="1646" stopIfTrue="1" operator="equal">
      <formula>"Towel"</formula>
    </cfRule>
    <cfRule type="cellIs" dxfId="29081" priority="1647" stopIfTrue="1" operator="equal">
      <formula>"Napkin Hs"</formula>
    </cfRule>
    <cfRule type="cellIs" dxfId="29080" priority="1650" stopIfTrue="1" operator="equal">
      <formula>"Towel"</formula>
    </cfRule>
    <cfRule type="cellIs" dxfId="29079" priority="1651" stopIfTrue="1" operator="equal">
      <formula>"Napkin Hs"</formula>
    </cfRule>
    <cfRule type="cellIs" dxfId="29078" priority="1652" stopIfTrue="1" operator="equal">
      <formula>"Towel"</formula>
    </cfRule>
    <cfRule type="cellIs" dxfId="29077" priority="1653" stopIfTrue="1" operator="equal">
      <formula>"Napkin Hs"</formula>
    </cfRule>
    <cfRule type="cellIs" dxfId="29076" priority="1656" stopIfTrue="1" operator="equal">
      <formula>"Towel"</formula>
    </cfRule>
    <cfRule type="cellIs" dxfId="29075" priority="1657" stopIfTrue="1" operator="equal">
      <formula>"Napkin Hs"</formula>
    </cfRule>
    <cfRule type="cellIs" dxfId="29074" priority="1658" stopIfTrue="1" operator="equal">
      <formula>"Towel"</formula>
    </cfRule>
    <cfRule type="cellIs" dxfId="29073" priority="1659" stopIfTrue="1" operator="equal">
      <formula>"Napkin Hs"</formula>
    </cfRule>
    <cfRule type="cellIs" dxfId="29072" priority="1662" stopIfTrue="1" operator="equal">
      <formula>"Towel"</formula>
    </cfRule>
    <cfRule type="cellIs" dxfId="29071" priority="1663" stopIfTrue="1" operator="equal">
      <formula>"Napkin Hs"</formula>
    </cfRule>
    <cfRule type="cellIs" dxfId="29070" priority="1664" stopIfTrue="1" operator="equal">
      <formula>"Towel"</formula>
    </cfRule>
    <cfRule type="cellIs" dxfId="29069" priority="1665" stopIfTrue="1" operator="equal">
      <formula>"Napkin Hs"</formula>
    </cfRule>
    <cfRule type="cellIs" dxfId="29068" priority="1668" stopIfTrue="1" operator="equal">
      <formula>"Towel"</formula>
    </cfRule>
    <cfRule type="cellIs" dxfId="29067" priority="1669" stopIfTrue="1" operator="equal">
      <formula>"Napkin Hs"</formula>
    </cfRule>
  </conditionalFormatting>
  <conditionalFormatting sqref="C127">
    <cfRule type="cellIs" dxfId="29066" priority="1670" stopIfTrue="1" operator="equal">
      <formula>"Towel"</formula>
    </cfRule>
    <cfRule type="cellIs" dxfId="29065" priority="1671" stopIfTrue="1" operator="equal">
      <formula>"Napkin Hs"</formula>
    </cfRule>
  </conditionalFormatting>
  <conditionalFormatting sqref="B132">
    <cfRule type="cellIs" dxfId="29064" priority="1571" stopIfTrue="1" operator="equal">
      <formula>"Towel"</formula>
    </cfRule>
    <cfRule type="cellIs" dxfId="29063" priority="1572" stopIfTrue="1" operator="equal">
      <formula>"Napkin Hs"</formula>
    </cfRule>
    <cfRule type="cellIs" dxfId="29062" priority="1573" stopIfTrue="1" operator="equal">
      <formula>"Towel"</formula>
    </cfRule>
    <cfRule type="cellIs" dxfId="29061" priority="1574" stopIfTrue="1" operator="equal">
      <formula>"Napkin Hs"</formula>
    </cfRule>
    <cfRule type="cellIs" dxfId="29060" priority="1575" stopIfTrue="1" operator="equal">
      <formula>"Towel"</formula>
    </cfRule>
    <cfRule type="cellIs" dxfId="29059" priority="1576" stopIfTrue="1" operator="equal">
      <formula>"Napkin Hs"</formula>
    </cfRule>
    <cfRule type="cellIs" dxfId="29058" priority="1577" stopIfTrue="1" operator="equal">
      <formula>"Towel"</formula>
    </cfRule>
    <cfRule type="cellIs" dxfId="29057" priority="1578" stopIfTrue="1" operator="equal">
      <formula>"Napkin Hs"</formula>
    </cfRule>
    <cfRule type="cellIs" dxfId="29056" priority="1579" stopIfTrue="1" operator="equal">
      <formula>"Towel"</formula>
    </cfRule>
    <cfRule type="cellIs" dxfId="29055" priority="1580" stopIfTrue="1" operator="equal">
      <formula>"Napkin Hs"</formula>
    </cfRule>
    <cfRule type="cellIs" dxfId="29054" priority="1581" stopIfTrue="1" operator="equal">
      <formula>"Towel"</formula>
    </cfRule>
    <cfRule type="cellIs" dxfId="29053" priority="1582" stopIfTrue="1" operator="equal">
      <formula>"Napkin Hs"</formula>
    </cfRule>
    <cfRule type="cellIs" dxfId="29052" priority="1583" stopIfTrue="1" operator="equal">
      <formula>"Towel"</formula>
    </cfRule>
    <cfRule type="cellIs" dxfId="29051" priority="1584" stopIfTrue="1" operator="equal">
      <formula>"Napkin Hs"</formula>
    </cfRule>
    <cfRule type="cellIs" dxfId="29050" priority="1585" stopIfTrue="1" operator="equal">
      <formula>"Towel"</formula>
    </cfRule>
    <cfRule type="cellIs" dxfId="29049" priority="1586" stopIfTrue="1" operator="equal">
      <formula>"Napkin Hs"</formula>
    </cfRule>
  </conditionalFormatting>
  <conditionalFormatting sqref="B132:C132">
    <cfRule type="cellIs" dxfId="29048" priority="1563" stopIfTrue="1" operator="equal">
      <formula>"Towel"</formula>
    </cfRule>
    <cfRule type="cellIs" dxfId="29047" priority="1564" stopIfTrue="1" operator="equal">
      <formula>"Napkin Hs"</formula>
    </cfRule>
  </conditionalFormatting>
  <conditionalFormatting sqref="B133:C133">
    <cfRule type="cellIs" dxfId="29046" priority="1587" stopIfTrue="1" operator="equal">
      <formula>"Napkin Hs"</formula>
    </cfRule>
  </conditionalFormatting>
  <conditionalFormatting sqref="C132">
    <cfRule type="cellIs" dxfId="29045" priority="1570" stopIfTrue="1" operator="equal">
      <formula>"Napkin Hs"</formula>
    </cfRule>
  </conditionalFormatting>
  <conditionalFormatting sqref="B133:C133 C132">
    <cfRule type="cellIs" dxfId="29044" priority="1569" stopIfTrue="1" operator="equal">
      <formula>"Towel"</formula>
    </cfRule>
  </conditionalFormatting>
  <conditionalFormatting sqref="C132">
    <cfRule type="cellIs" dxfId="29043" priority="1521" stopIfTrue="1" operator="equal">
      <formula>"Towel"</formula>
    </cfRule>
    <cfRule type="cellIs" dxfId="29042" priority="1522" stopIfTrue="1" operator="equal">
      <formula>"Napkin Hs"</formula>
    </cfRule>
    <cfRule type="cellIs" dxfId="29041" priority="1527" stopIfTrue="1" operator="equal">
      <formula>"Towel"</formula>
    </cfRule>
    <cfRule type="cellIs" dxfId="29040" priority="1528" stopIfTrue="1" operator="equal">
      <formula>"Napkin Hs"</formula>
    </cfRule>
    <cfRule type="cellIs" dxfId="29039" priority="1533" stopIfTrue="1" operator="equal">
      <formula>"Towel"</formula>
    </cfRule>
    <cfRule type="cellIs" dxfId="29038" priority="1534" stopIfTrue="1" operator="equal">
      <formula>"Napkin Hs"</formula>
    </cfRule>
    <cfRule type="cellIs" dxfId="29037" priority="1539" stopIfTrue="1" operator="equal">
      <formula>"Towel"</formula>
    </cfRule>
    <cfRule type="cellIs" dxfId="29036" priority="1540" stopIfTrue="1" operator="equal">
      <formula>"Napkin Hs"</formula>
    </cfRule>
    <cfRule type="cellIs" dxfId="29035" priority="1545" stopIfTrue="1" operator="equal">
      <formula>"Towel"</formula>
    </cfRule>
    <cfRule type="cellIs" dxfId="29034" priority="1546" stopIfTrue="1" operator="equal">
      <formula>"Napkin Hs"</formula>
    </cfRule>
    <cfRule type="cellIs" dxfId="29033" priority="1551" stopIfTrue="1" operator="equal">
      <formula>"Towel"</formula>
    </cfRule>
    <cfRule type="cellIs" dxfId="29032" priority="1552" stopIfTrue="1" operator="equal">
      <formula>"Napkin Hs"</formula>
    </cfRule>
    <cfRule type="cellIs" dxfId="29031" priority="1557" stopIfTrue="1" operator="equal">
      <formula>"Towel"</formula>
    </cfRule>
    <cfRule type="cellIs" dxfId="29030" priority="1558" stopIfTrue="1" operator="equal">
      <formula>"Napkin Hs"</formula>
    </cfRule>
  </conditionalFormatting>
  <conditionalFormatting sqref="C132">
    <cfRule type="cellIs" dxfId="29029" priority="1517" stopIfTrue="1" operator="equal">
      <formula>"Towel"</formula>
    </cfRule>
    <cfRule type="cellIs" dxfId="29028" priority="1518" stopIfTrue="1" operator="equal">
      <formula>"Napkin Hs"</formula>
    </cfRule>
    <cfRule type="cellIs" dxfId="29027" priority="1519" stopIfTrue="1" operator="equal">
      <formula>"Towel"</formula>
    </cfRule>
    <cfRule type="cellIs" dxfId="29026" priority="1520" stopIfTrue="1" operator="equal">
      <formula>"Napkin Hs"</formula>
    </cfRule>
    <cfRule type="cellIs" dxfId="29025" priority="1523" stopIfTrue="1" operator="equal">
      <formula>"Towel"</formula>
    </cfRule>
    <cfRule type="cellIs" dxfId="29024" priority="1524" stopIfTrue="1" operator="equal">
      <formula>"Napkin Hs"</formula>
    </cfRule>
    <cfRule type="cellIs" dxfId="29023" priority="1525" stopIfTrue="1" operator="equal">
      <formula>"Towel"</formula>
    </cfRule>
    <cfRule type="cellIs" dxfId="29022" priority="1526" stopIfTrue="1" operator="equal">
      <formula>"Napkin Hs"</formula>
    </cfRule>
    <cfRule type="cellIs" dxfId="29021" priority="1529" stopIfTrue="1" operator="equal">
      <formula>"Towel"</formula>
    </cfRule>
    <cfRule type="cellIs" dxfId="29020" priority="1530" stopIfTrue="1" operator="equal">
      <formula>"Napkin Hs"</formula>
    </cfRule>
    <cfRule type="cellIs" dxfId="29019" priority="1531" stopIfTrue="1" operator="equal">
      <formula>"Towel"</formula>
    </cfRule>
    <cfRule type="cellIs" dxfId="29018" priority="1532" stopIfTrue="1" operator="equal">
      <formula>"Napkin Hs"</formula>
    </cfRule>
    <cfRule type="cellIs" dxfId="29017" priority="1535" stopIfTrue="1" operator="equal">
      <formula>"Towel"</formula>
    </cfRule>
    <cfRule type="cellIs" dxfId="29016" priority="1536" stopIfTrue="1" operator="equal">
      <formula>"Napkin Hs"</formula>
    </cfRule>
    <cfRule type="cellIs" dxfId="29015" priority="1537" stopIfTrue="1" operator="equal">
      <formula>"Towel"</formula>
    </cfRule>
    <cfRule type="cellIs" dxfId="29014" priority="1538" stopIfTrue="1" operator="equal">
      <formula>"Napkin Hs"</formula>
    </cfRule>
    <cfRule type="cellIs" dxfId="29013" priority="1541" stopIfTrue="1" operator="equal">
      <formula>"Towel"</formula>
    </cfRule>
    <cfRule type="cellIs" dxfId="29012" priority="1542" stopIfTrue="1" operator="equal">
      <formula>"Napkin Hs"</formula>
    </cfRule>
    <cfRule type="cellIs" dxfId="29011" priority="1543" stopIfTrue="1" operator="equal">
      <formula>"Towel"</formula>
    </cfRule>
    <cfRule type="cellIs" dxfId="29010" priority="1544" stopIfTrue="1" operator="equal">
      <formula>"Napkin Hs"</formula>
    </cfRule>
    <cfRule type="cellIs" dxfId="29009" priority="1547" stopIfTrue="1" operator="equal">
      <formula>"Towel"</formula>
    </cfRule>
    <cfRule type="cellIs" dxfId="29008" priority="1548" stopIfTrue="1" operator="equal">
      <formula>"Napkin Hs"</formula>
    </cfRule>
    <cfRule type="cellIs" dxfId="29007" priority="1549" stopIfTrue="1" operator="equal">
      <formula>"Towel"</formula>
    </cfRule>
    <cfRule type="cellIs" dxfId="29006" priority="1550" stopIfTrue="1" operator="equal">
      <formula>"Napkin Hs"</formula>
    </cfRule>
    <cfRule type="cellIs" dxfId="29005" priority="1553" stopIfTrue="1" operator="equal">
      <formula>"Towel"</formula>
    </cfRule>
    <cfRule type="cellIs" dxfId="29004" priority="1554" stopIfTrue="1" operator="equal">
      <formula>"Napkin Hs"</formula>
    </cfRule>
    <cfRule type="cellIs" dxfId="29003" priority="1555" stopIfTrue="1" operator="equal">
      <formula>"Towel"</formula>
    </cfRule>
    <cfRule type="cellIs" dxfId="29002" priority="1556" stopIfTrue="1" operator="equal">
      <formula>"Napkin Hs"</formula>
    </cfRule>
    <cfRule type="cellIs" dxfId="29001" priority="1559" stopIfTrue="1" operator="equal">
      <formula>"Towel"</formula>
    </cfRule>
    <cfRule type="cellIs" dxfId="29000" priority="1560" stopIfTrue="1" operator="equal">
      <formula>"Napkin Hs"</formula>
    </cfRule>
    <cfRule type="cellIs" dxfId="28999" priority="1561" stopIfTrue="1" operator="equal">
      <formula>"Towel"</formula>
    </cfRule>
    <cfRule type="cellIs" dxfId="28998" priority="1562" stopIfTrue="1" operator="equal">
      <formula>"Napkin Hs"</formula>
    </cfRule>
    <cfRule type="cellIs" dxfId="28997" priority="1565" stopIfTrue="1" operator="equal">
      <formula>"Towel"</formula>
    </cfRule>
    <cfRule type="cellIs" dxfId="28996" priority="1566" stopIfTrue="1" operator="equal">
      <formula>"Napkin Hs"</formula>
    </cfRule>
  </conditionalFormatting>
  <conditionalFormatting sqref="C132:C133">
    <cfRule type="cellIs" dxfId="28995" priority="1567" stopIfTrue="1" operator="equal">
      <formula>"Towel"</formula>
    </cfRule>
    <cfRule type="cellIs" dxfId="28994" priority="1568" stopIfTrue="1" operator="equal">
      <formula>"Napkin Hs"</formula>
    </cfRule>
  </conditionalFormatting>
  <conditionalFormatting sqref="C133">
    <cfRule type="cellIs" dxfId="28993" priority="1588" stopIfTrue="1" operator="equal">
      <formula>"Towel"</formula>
    </cfRule>
    <cfRule type="cellIs" dxfId="28992" priority="1589" stopIfTrue="1" operator="equal">
      <formula>"Napkin Hs"</formula>
    </cfRule>
  </conditionalFormatting>
  <conditionalFormatting sqref="B133">
    <cfRule type="cellIs" dxfId="28991" priority="1413" stopIfTrue="1" operator="equal">
      <formula>"Towel"</formula>
    </cfRule>
    <cfRule type="cellIs" dxfId="28990" priority="1414" stopIfTrue="1" operator="equal">
      <formula>"Napkin Hs"</formula>
    </cfRule>
  </conditionalFormatting>
  <conditionalFormatting sqref="B132:C132">
    <cfRule type="cellIs" dxfId="28989" priority="1333" stopIfTrue="1" operator="equal">
      <formula>"Towel"</formula>
    </cfRule>
    <cfRule type="cellIs" dxfId="28988" priority="1334" stopIfTrue="1" operator="equal">
      <formula>"Napkin Hs"</formula>
    </cfRule>
    <cfRule type="cellIs" dxfId="28987" priority="1339" stopIfTrue="1" operator="equal">
      <formula>"Towel"</formula>
    </cfRule>
    <cfRule type="cellIs" dxfId="28986" priority="1340" stopIfTrue="1" operator="equal">
      <formula>"Napkin Hs"</formula>
    </cfRule>
    <cfRule type="cellIs" dxfId="28985" priority="1345" stopIfTrue="1" operator="equal">
      <formula>"Towel"</formula>
    </cfRule>
    <cfRule type="cellIs" dxfId="28984" priority="1346" stopIfTrue="1" operator="equal">
      <formula>"Napkin Hs"</formula>
    </cfRule>
    <cfRule type="cellIs" dxfId="28983" priority="1351" stopIfTrue="1" operator="equal">
      <formula>"Towel"</formula>
    </cfRule>
    <cfRule type="cellIs" dxfId="28982" priority="1352" stopIfTrue="1" operator="equal">
      <formula>"Napkin Hs"</formula>
    </cfRule>
    <cfRule type="cellIs" dxfId="28981" priority="1357" stopIfTrue="1" operator="equal">
      <formula>"Towel"</formula>
    </cfRule>
    <cfRule type="cellIs" dxfId="28980" priority="1358" stopIfTrue="1" operator="equal">
      <formula>"Napkin Hs"</formula>
    </cfRule>
    <cfRule type="cellIs" dxfId="28979" priority="1363" stopIfTrue="1" operator="equal">
      <formula>"Towel"</formula>
    </cfRule>
    <cfRule type="cellIs" dxfId="28978" priority="1364" stopIfTrue="1" operator="equal">
      <formula>"Napkin Hs"</formula>
    </cfRule>
    <cfRule type="cellIs" dxfId="28977" priority="1367" stopIfTrue="1" operator="equal">
      <formula>"Towel"</formula>
    </cfRule>
    <cfRule type="cellIs" dxfId="28976" priority="1368" stopIfTrue="1" operator="equal">
      <formula>"Napkin Hs"</formula>
    </cfRule>
    <cfRule type="cellIs" dxfId="28975" priority="1375" stopIfTrue="1" operator="equal">
      <formula>"Towel"</formula>
    </cfRule>
    <cfRule type="cellIs" dxfId="28974" priority="1376" stopIfTrue="1" operator="equal">
      <formula>"Napkin Hs"</formula>
    </cfRule>
    <cfRule type="cellIs" dxfId="28973" priority="1381" stopIfTrue="1" operator="equal">
      <formula>"Towel"</formula>
    </cfRule>
    <cfRule type="cellIs" dxfId="28972" priority="1382" stopIfTrue="1" operator="equal">
      <formula>"Napkin Hs"</formula>
    </cfRule>
    <cfRule type="cellIs" dxfId="28971" priority="1387" stopIfTrue="1" operator="equal">
      <formula>"Towel"</formula>
    </cfRule>
    <cfRule type="cellIs" dxfId="28970" priority="1388" stopIfTrue="1" operator="equal">
      <formula>"Napkin Hs"</formula>
    </cfRule>
    <cfRule type="cellIs" dxfId="28969" priority="1393" stopIfTrue="1" operator="equal">
      <formula>"Towel"</formula>
    </cfRule>
    <cfRule type="cellIs" dxfId="28968" priority="1394" stopIfTrue="1" operator="equal">
      <formula>"Napkin Hs"</formula>
    </cfRule>
    <cfRule type="cellIs" dxfId="28967" priority="1399" stopIfTrue="1" operator="equal">
      <formula>"Towel"</formula>
    </cfRule>
    <cfRule type="cellIs" dxfId="28966" priority="1400" stopIfTrue="1" operator="equal">
      <formula>"Napkin Hs"</formula>
    </cfRule>
    <cfRule type="cellIs" dxfId="28965" priority="1405" stopIfTrue="1" operator="equal">
      <formula>"Towel"</formula>
    </cfRule>
    <cfRule type="cellIs" dxfId="28964" priority="1406" stopIfTrue="1" operator="equal">
      <formula>"Napkin Hs"</formula>
    </cfRule>
    <cfRule type="cellIs" dxfId="28963" priority="1411" stopIfTrue="1" operator="equal">
      <formula>"Towel"</formula>
    </cfRule>
    <cfRule type="cellIs" dxfId="28962" priority="1412" stopIfTrue="1" operator="equal">
      <formula>"Napkin Hs"</formula>
    </cfRule>
  </conditionalFormatting>
  <conditionalFormatting sqref="B133:C133">
    <cfRule type="cellIs" dxfId="28961" priority="1473" stopIfTrue="1" operator="equal">
      <formula>"Towel"</formula>
    </cfRule>
    <cfRule type="cellIs" dxfId="28960" priority="1474" stopIfTrue="1" operator="equal">
      <formula>"Napkin Hs"</formula>
    </cfRule>
    <cfRule type="cellIs" dxfId="28959" priority="1479" stopIfTrue="1" operator="equal">
      <formula>"Towel"</formula>
    </cfRule>
    <cfRule type="cellIs" dxfId="28958" priority="1480" stopIfTrue="1" operator="equal">
      <formula>"Napkin Hs"</formula>
    </cfRule>
    <cfRule type="cellIs" dxfId="28957" priority="1485" stopIfTrue="1" operator="equal">
      <formula>"Towel"</formula>
    </cfRule>
    <cfRule type="cellIs" dxfId="28956" priority="1486" stopIfTrue="1" operator="equal">
      <formula>"Napkin Hs"</formula>
    </cfRule>
    <cfRule type="cellIs" dxfId="28955" priority="1491" stopIfTrue="1" operator="equal">
      <formula>"Towel"</formula>
    </cfRule>
    <cfRule type="cellIs" dxfId="28954" priority="1492" stopIfTrue="1" operator="equal">
      <formula>"Napkin Hs"</formula>
    </cfRule>
    <cfRule type="cellIs" dxfId="28953" priority="1497" stopIfTrue="1" operator="equal">
      <formula>"Towel"</formula>
    </cfRule>
    <cfRule type="cellIs" dxfId="28952" priority="1498" stopIfTrue="1" operator="equal">
      <formula>"Napkin Hs"</formula>
    </cfRule>
    <cfRule type="cellIs" dxfId="28951" priority="1503" stopIfTrue="1" operator="equal">
      <formula>"Towel"</formula>
    </cfRule>
    <cfRule type="cellIs" dxfId="28950" priority="1504" stopIfTrue="1" operator="equal">
      <formula>"Napkin Hs"</formula>
    </cfRule>
    <cfRule type="cellIs" dxfId="28949" priority="1509" stopIfTrue="1" operator="equal">
      <formula>"Towel"</formula>
    </cfRule>
    <cfRule type="cellIs" dxfId="28948" priority="1510" stopIfTrue="1" operator="equal">
      <formula>"Napkin Hs"</formula>
    </cfRule>
    <cfRule type="cellIs" dxfId="28947" priority="1515" stopIfTrue="1" operator="equal">
      <formula>"Towel"</formula>
    </cfRule>
    <cfRule type="cellIs" dxfId="28946" priority="1516" stopIfTrue="1" operator="equal">
      <formula>"Napkin Hs"</formula>
    </cfRule>
  </conditionalFormatting>
  <conditionalFormatting sqref="B133:C133">
    <cfRule type="cellIs" dxfId="28945" priority="1415" stopIfTrue="1" operator="equal">
      <formula>"Towel"</formula>
    </cfRule>
    <cfRule type="cellIs" dxfId="28944" priority="1416" stopIfTrue="1" operator="equal">
      <formula>"Napkin Hs"</formula>
    </cfRule>
    <cfRule type="cellIs" dxfId="28943" priority="1431" stopIfTrue="1" operator="equal">
      <formula>"Towel"</formula>
    </cfRule>
    <cfRule type="cellIs" dxfId="28942" priority="1432" stopIfTrue="1" operator="equal">
      <formula>"Napkin Hs"</formula>
    </cfRule>
    <cfRule type="cellIs" dxfId="28941" priority="1437" stopIfTrue="1" operator="equal">
      <formula>"Towel"</formula>
    </cfRule>
    <cfRule type="cellIs" dxfId="28940" priority="1438" stopIfTrue="1" operator="equal">
      <formula>"Napkin Hs"</formula>
    </cfRule>
    <cfRule type="cellIs" dxfId="28939" priority="1443" stopIfTrue="1" operator="equal">
      <formula>"Towel"</formula>
    </cfRule>
    <cfRule type="cellIs" dxfId="28938" priority="1444" stopIfTrue="1" operator="equal">
      <formula>"Napkin Hs"</formula>
    </cfRule>
    <cfRule type="cellIs" dxfId="28937" priority="1449" stopIfTrue="1" operator="equal">
      <formula>"Towel"</formula>
    </cfRule>
    <cfRule type="cellIs" dxfId="28936" priority="1450" stopIfTrue="1" operator="equal">
      <formula>"Napkin Hs"</formula>
    </cfRule>
    <cfRule type="cellIs" dxfId="28935" priority="1455" stopIfTrue="1" operator="equal">
      <formula>"Towel"</formula>
    </cfRule>
    <cfRule type="cellIs" dxfId="28934" priority="1456" stopIfTrue="1" operator="equal">
      <formula>"Napkin Hs"</formula>
    </cfRule>
    <cfRule type="cellIs" dxfId="28933" priority="1461" stopIfTrue="1" operator="equal">
      <formula>"Towel"</formula>
    </cfRule>
    <cfRule type="cellIs" dxfId="28932" priority="1462" stopIfTrue="1" operator="equal">
      <formula>"Napkin Hs"</formula>
    </cfRule>
    <cfRule type="cellIs" dxfId="28931" priority="1467" stopIfTrue="1" operator="equal">
      <formula>"Towel"</formula>
    </cfRule>
    <cfRule type="cellIs" dxfId="28930" priority="1468" stopIfTrue="1" operator="equal">
      <formula>"Napkin Hs"</formula>
    </cfRule>
  </conditionalFormatting>
  <conditionalFormatting sqref="C132">
    <cfRule type="cellIs" dxfId="28929" priority="1329" stopIfTrue="1" operator="equal">
      <formula>"Towel"</formula>
    </cfRule>
    <cfRule type="cellIs" dxfId="28928" priority="1330" stopIfTrue="1" operator="equal">
      <formula>"Napkin Hs"</formula>
    </cfRule>
    <cfRule type="cellIs" dxfId="28927" priority="1331" stopIfTrue="1" operator="equal">
      <formula>"Towel"</formula>
    </cfRule>
    <cfRule type="cellIs" dxfId="28926" priority="1332" stopIfTrue="1" operator="equal">
      <formula>"Napkin Hs"</formula>
    </cfRule>
    <cfRule type="cellIs" dxfId="28925" priority="1335" stopIfTrue="1" operator="equal">
      <formula>"Towel"</formula>
    </cfRule>
    <cfRule type="cellIs" dxfId="28924" priority="1336" stopIfTrue="1" operator="equal">
      <formula>"Napkin Hs"</formula>
    </cfRule>
    <cfRule type="cellIs" dxfId="28923" priority="1337" stopIfTrue="1" operator="equal">
      <formula>"Towel"</formula>
    </cfRule>
    <cfRule type="cellIs" dxfId="28922" priority="1338" stopIfTrue="1" operator="equal">
      <formula>"Napkin Hs"</formula>
    </cfRule>
    <cfRule type="cellIs" dxfId="28921" priority="1341" stopIfTrue="1" operator="equal">
      <formula>"Towel"</formula>
    </cfRule>
    <cfRule type="cellIs" dxfId="28920" priority="1342" stopIfTrue="1" operator="equal">
      <formula>"Napkin Hs"</formula>
    </cfRule>
    <cfRule type="cellIs" dxfId="28919" priority="1343" stopIfTrue="1" operator="equal">
      <formula>"Towel"</formula>
    </cfRule>
    <cfRule type="cellIs" dxfId="28918" priority="1344" stopIfTrue="1" operator="equal">
      <formula>"Napkin Hs"</formula>
    </cfRule>
    <cfRule type="cellIs" dxfId="28917" priority="1347" stopIfTrue="1" operator="equal">
      <formula>"Towel"</formula>
    </cfRule>
    <cfRule type="cellIs" dxfId="28916" priority="1348" stopIfTrue="1" operator="equal">
      <formula>"Napkin Hs"</formula>
    </cfRule>
    <cfRule type="cellIs" dxfId="28915" priority="1349" stopIfTrue="1" operator="equal">
      <formula>"Towel"</formula>
    </cfRule>
    <cfRule type="cellIs" dxfId="28914" priority="1350" stopIfTrue="1" operator="equal">
      <formula>"Napkin Hs"</formula>
    </cfRule>
    <cfRule type="cellIs" dxfId="28913" priority="1353" stopIfTrue="1" operator="equal">
      <formula>"Towel"</formula>
    </cfRule>
    <cfRule type="cellIs" dxfId="28912" priority="1354" stopIfTrue="1" operator="equal">
      <formula>"Napkin Hs"</formula>
    </cfRule>
    <cfRule type="cellIs" dxfId="28911" priority="1355" stopIfTrue="1" operator="equal">
      <formula>"Towel"</formula>
    </cfRule>
    <cfRule type="cellIs" dxfId="28910" priority="1356" stopIfTrue="1" operator="equal">
      <formula>"Napkin Hs"</formula>
    </cfRule>
    <cfRule type="cellIs" dxfId="28909" priority="1359" stopIfTrue="1" operator="equal">
      <formula>"Towel"</formula>
    </cfRule>
    <cfRule type="cellIs" dxfId="28908" priority="1360" stopIfTrue="1" operator="equal">
      <formula>"Napkin Hs"</formula>
    </cfRule>
    <cfRule type="cellIs" dxfId="28907" priority="1361" stopIfTrue="1" operator="equal">
      <formula>"Towel"</formula>
    </cfRule>
    <cfRule type="cellIs" dxfId="28906" priority="1362" stopIfTrue="1" operator="equal">
      <formula>"Napkin Hs"</formula>
    </cfRule>
    <cfRule type="cellIs" dxfId="28905" priority="1365" stopIfTrue="1" operator="equal">
      <formula>"Towel"</formula>
    </cfRule>
    <cfRule type="cellIs" dxfId="28904" priority="1366" stopIfTrue="1" operator="equal">
      <formula>"Napkin Hs"</formula>
    </cfRule>
    <cfRule type="cellIs" dxfId="28903" priority="1369" stopIfTrue="1" operator="equal">
      <formula>"Towel"</formula>
    </cfRule>
    <cfRule type="cellIs" dxfId="28902" priority="1370" stopIfTrue="1" operator="equal">
      <formula>"Napkin Hs"</formula>
    </cfRule>
    <cfRule type="cellIs" dxfId="28901" priority="1371" stopIfTrue="1" operator="equal">
      <formula>"Towel"</formula>
    </cfRule>
    <cfRule type="cellIs" dxfId="28900" priority="1372" stopIfTrue="1" operator="equal">
      <formula>"Napkin Hs"</formula>
    </cfRule>
    <cfRule type="cellIs" dxfId="28899" priority="1373" stopIfTrue="1" operator="equal">
      <formula>"Towel"</formula>
    </cfRule>
    <cfRule type="cellIs" dxfId="28898" priority="1374" stopIfTrue="1" operator="equal">
      <formula>"Napkin Hs"</formula>
    </cfRule>
    <cfRule type="cellIs" dxfId="28897" priority="1377" stopIfTrue="1" operator="equal">
      <formula>"Towel"</formula>
    </cfRule>
    <cfRule type="cellIs" dxfId="28896" priority="1378" stopIfTrue="1" operator="equal">
      <formula>"Napkin Hs"</formula>
    </cfRule>
    <cfRule type="cellIs" dxfId="28895" priority="1379" stopIfTrue="1" operator="equal">
      <formula>"Towel"</formula>
    </cfRule>
    <cfRule type="cellIs" dxfId="28894" priority="1380" stopIfTrue="1" operator="equal">
      <formula>"Napkin Hs"</formula>
    </cfRule>
    <cfRule type="cellIs" dxfId="28893" priority="1383" stopIfTrue="1" operator="equal">
      <formula>"Towel"</formula>
    </cfRule>
    <cfRule type="cellIs" dxfId="28892" priority="1384" stopIfTrue="1" operator="equal">
      <formula>"Napkin Hs"</formula>
    </cfRule>
    <cfRule type="cellIs" dxfId="28891" priority="1385" stopIfTrue="1" operator="equal">
      <formula>"Towel"</formula>
    </cfRule>
    <cfRule type="cellIs" dxfId="28890" priority="1386" stopIfTrue="1" operator="equal">
      <formula>"Napkin Hs"</formula>
    </cfRule>
    <cfRule type="cellIs" dxfId="28889" priority="1389" stopIfTrue="1" operator="equal">
      <formula>"Towel"</formula>
    </cfRule>
    <cfRule type="cellIs" dxfId="28888" priority="1390" stopIfTrue="1" operator="equal">
      <formula>"Napkin Hs"</formula>
    </cfRule>
    <cfRule type="cellIs" dxfId="28887" priority="1391" stopIfTrue="1" operator="equal">
      <formula>"Towel"</formula>
    </cfRule>
    <cfRule type="cellIs" dxfId="28886" priority="1392" stopIfTrue="1" operator="equal">
      <formula>"Napkin Hs"</formula>
    </cfRule>
    <cfRule type="cellIs" dxfId="28885" priority="1395" stopIfTrue="1" operator="equal">
      <formula>"Towel"</formula>
    </cfRule>
    <cfRule type="cellIs" dxfId="28884" priority="1396" stopIfTrue="1" operator="equal">
      <formula>"Napkin Hs"</formula>
    </cfRule>
    <cfRule type="cellIs" dxfId="28883" priority="1397" stopIfTrue="1" operator="equal">
      <formula>"Towel"</formula>
    </cfRule>
    <cfRule type="cellIs" dxfId="28882" priority="1398" stopIfTrue="1" operator="equal">
      <formula>"Napkin Hs"</formula>
    </cfRule>
    <cfRule type="cellIs" dxfId="28881" priority="1401" stopIfTrue="1" operator="equal">
      <formula>"Towel"</formula>
    </cfRule>
    <cfRule type="cellIs" dxfId="28880" priority="1402" stopIfTrue="1" operator="equal">
      <formula>"Napkin Hs"</formula>
    </cfRule>
    <cfRule type="cellIs" dxfId="28879" priority="1403" stopIfTrue="1" operator="equal">
      <formula>"Towel"</formula>
    </cfRule>
    <cfRule type="cellIs" dxfId="28878" priority="1404" stopIfTrue="1" operator="equal">
      <formula>"Napkin Hs"</formula>
    </cfRule>
    <cfRule type="cellIs" dxfId="28877" priority="1407" stopIfTrue="1" operator="equal">
      <formula>"Towel"</formula>
    </cfRule>
    <cfRule type="cellIs" dxfId="28876" priority="1408" stopIfTrue="1" operator="equal">
      <formula>"Napkin Hs"</formula>
    </cfRule>
  </conditionalFormatting>
  <conditionalFormatting sqref="C132">
    <cfRule type="cellIs" dxfId="28875" priority="1409" stopIfTrue="1" operator="equal">
      <formula>"Towel"</formula>
    </cfRule>
    <cfRule type="cellIs" dxfId="28874" priority="1410" stopIfTrue="1" operator="equal">
      <formula>"Napkin Hs"</formula>
    </cfRule>
  </conditionalFormatting>
  <conditionalFormatting sqref="C133">
    <cfRule type="cellIs" dxfId="28873" priority="1469" stopIfTrue="1" operator="equal">
      <formula>"Towel"</formula>
    </cfRule>
    <cfRule type="cellIs" dxfId="28872" priority="1470" stopIfTrue="1" operator="equal">
      <formula>"Napkin Hs"</formula>
    </cfRule>
    <cfRule type="cellIs" dxfId="28871" priority="1471" stopIfTrue="1" operator="equal">
      <formula>"Towel"</formula>
    </cfRule>
    <cfRule type="cellIs" dxfId="28870" priority="1472" stopIfTrue="1" operator="equal">
      <formula>"Napkin Hs"</formula>
    </cfRule>
    <cfRule type="cellIs" dxfId="28869" priority="1475" stopIfTrue="1" operator="equal">
      <formula>"Towel"</formula>
    </cfRule>
    <cfRule type="cellIs" dxfId="28868" priority="1476" stopIfTrue="1" operator="equal">
      <formula>"Napkin Hs"</formula>
    </cfRule>
    <cfRule type="cellIs" dxfId="28867" priority="1477" stopIfTrue="1" operator="equal">
      <formula>"Towel"</formula>
    </cfRule>
    <cfRule type="cellIs" dxfId="28866" priority="1478" stopIfTrue="1" operator="equal">
      <formula>"Napkin Hs"</formula>
    </cfRule>
    <cfRule type="cellIs" dxfId="28865" priority="1481" stopIfTrue="1" operator="equal">
      <formula>"Towel"</formula>
    </cfRule>
    <cfRule type="cellIs" dxfId="28864" priority="1482" stopIfTrue="1" operator="equal">
      <formula>"Napkin Hs"</formula>
    </cfRule>
    <cfRule type="cellIs" dxfId="28863" priority="1483" stopIfTrue="1" operator="equal">
      <formula>"Towel"</formula>
    </cfRule>
    <cfRule type="cellIs" dxfId="28862" priority="1484" stopIfTrue="1" operator="equal">
      <formula>"Napkin Hs"</formula>
    </cfRule>
    <cfRule type="cellIs" dxfId="28861" priority="1487" stopIfTrue="1" operator="equal">
      <formula>"Towel"</formula>
    </cfRule>
    <cfRule type="cellIs" dxfId="28860" priority="1488" stopIfTrue="1" operator="equal">
      <formula>"Napkin Hs"</formula>
    </cfRule>
    <cfRule type="cellIs" dxfId="28859" priority="1489" stopIfTrue="1" operator="equal">
      <formula>"Towel"</formula>
    </cfRule>
    <cfRule type="cellIs" dxfId="28858" priority="1490" stopIfTrue="1" operator="equal">
      <formula>"Napkin Hs"</formula>
    </cfRule>
    <cfRule type="cellIs" dxfId="28857" priority="1493" stopIfTrue="1" operator="equal">
      <formula>"Towel"</formula>
    </cfRule>
    <cfRule type="cellIs" dxfId="28856" priority="1494" stopIfTrue="1" operator="equal">
      <formula>"Napkin Hs"</formula>
    </cfRule>
    <cfRule type="cellIs" dxfId="28855" priority="1495" stopIfTrue="1" operator="equal">
      <formula>"Towel"</formula>
    </cfRule>
    <cfRule type="cellIs" dxfId="28854" priority="1496" stopIfTrue="1" operator="equal">
      <formula>"Napkin Hs"</formula>
    </cfRule>
    <cfRule type="cellIs" dxfId="28853" priority="1499" stopIfTrue="1" operator="equal">
      <formula>"Towel"</formula>
    </cfRule>
    <cfRule type="cellIs" dxfId="28852" priority="1500" stopIfTrue="1" operator="equal">
      <formula>"Napkin Hs"</formula>
    </cfRule>
    <cfRule type="cellIs" dxfId="28851" priority="1501" stopIfTrue="1" operator="equal">
      <formula>"Towel"</formula>
    </cfRule>
    <cfRule type="cellIs" dxfId="28850" priority="1502" stopIfTrue="1" operator="equal">
      <formula>"Napkin Hs"</formula>
    </cfRule>
    <cfRule type="cellIs" dxfId="28849" priority="1505" stopIfTrue="1" operator="equal">
      <formula>"Towel"</formula>
    </cfRule>
    <cfRule type="cellIs" dxfId="28848" priority="1506" stopIfTrue="1" operator="equal">
      <formula>"Napkin Hs"</formula>
    </cfRule>
    <cfRule type="cellIs" dxfId="28847" priority="1507" stopIfTrue="1" operator="equal">
      <formula>"Towel"</formula>
    </cfRule>
    <cfRule type="cellIs" dxfId="28846" priority="1508" stopIfTrue="1" operator="equal">
      <formula>"Napkin Hs"</formula>
    </cfRule>
    <cfRule type="cellIs" dxfId="28845" priority="1511" stopIfTrue="1" operator="equal">
      <formula>"Towel"</formula>
    </cfRule>
    <cfRule type="cellIs" dxfId="28844" priority="1512" stopIfTrue="1" operator="equal">
      <formula>"Napkin Hs"</formula>
    </cfRule>
  </conditionalFormatting>
  <conditionalFormatting sqref="C133">
    <cfRule type="cellIs" dxfId="28843" priority="1417" stopIfTrue="1" operator="equal">
      <formula>"Towel"</formula>
    </cfRule>
    <cfRule type="cellIs" dxfId="28842" priority="1418" stopIfTrue="1" operator="equal">
      <formula>"Napkin Hs"</formula>
    </cfRule>
    <cfRule type="cellIs" dxfId="28841" priority="1419" stopIfTrue="1" operator="equal">
      <formula>"Towel"</formula>
    </cfRule>
    <cfRule type="cellIs" dxfId="28840" priority="1420" stopIfTrue="1" operator="equal">
      <formula>"Napkin Hs"</formula>
    </cfRule>
    <cfRule type="cellIs" dxfId="28839" priority="1421" stopIfTrue="1" operator="equal">
      <formula>"Towel"</formula>
    </cfRule>
    <cfRule type="cellIs" dxfId="28838" priority="1422" stopIfTrue="1" operator="equal">
      <formula>"Napkin Hs"</formula>
    </cfRule>
    <cfRule type="cellIs" dxfId="28837" priority="1423" stopIfTrue="1" operator="equal">
      <formula>"Towel"</formula>
    </cfRule>
    <cfRule type="cellIs" dxfId="28836" priority="1424" stopIfTrue="1" operator="equal">
      <formula>"Napkin Hs"</formula>
    </cfRule>
    <cfRule type="cellIs" dxfId="28835" priority="1425" stopIfTrue="1" operator="equal">
      <formula>"Towel"</formula>
    </cfRule>
    <cfRule type="cellIs" dxfId="28834" priority="1426" stopIfTrue="1" operator="equal">
      <formula>"Napkin Hs"</formula>
    </cfRule>
    <cfRule type="cellIs" dxfId="28833" priority="1427" stopIfTrue="1" operator="equal">
      <formula>"Towel"</formula>
    </cfRule>
    <cfRule type="cellIs" dxfId="28832" priority="1428" stopIfTrue="1" operator="equal">
      <formula>"Napkin Hs"</formula>
    </cfRule>
    <cfRule type="cellIs" dxfId="28831" priority="1429" stopIfTrue="1" operator="equal">
      <formula>"Towel"</formula>
    </cfRule>
    <cfRule type="cellIs" dxfId="28830" priority="1430" stopIfTrue="1" operator="equal">
      <formula>"Napkin Hs"</formula>
    </cfRule>
    <cfRule type="cellIs" dxfId="28829" priority="1433" stopIfTrue="1" operator="equal">
      <formula>"Towel"</formula>
    </cfRule>
    <cfRule type="cellIs" dxfId="28828" priority="1434" stopIfTrue="1" operator="equal">
      <formula>"Napkin Hs"</formula>
    </cfRule>
    <cfRule type="cellIs" dxfId="28827" priority="1435" stopIfTrue="1" operator="equal">
      <formula>"Towel"</formula>
    </cfRule>
    <cfRule type="cellIs" dxfId="28826" priority="1436" stopIfTrue="1" operator="equal">
      <formula>"Napkin Hs"</formula>
    </cfRule>
    <cfRule type="cellIs" dxfId="28825" priority="1439" stopIfTrue="1" operator="equal">
      <formula>"Towel"</formula>
    </cfRule>
    <cfRule type="cellIs" dxfId="28824" priority="1440" stopIfTrue="1" operator="equal">
      <formula>"Napkin Hs"</formula>
    </cfRule>
    <cfRule type="cellIs" dxfId="28823" priority="1441" stopIfTrue="1" operator="equal">
      <formula>"Towel"</formula>
    </cfRule>
    <cfRule type="cellIs" dxfId="28822" priority="1442" stopIfTrue="1" operator="equal">
      <formula>"Napkin Hs"</formula>
    </cfRule>
    <cfRule type="cellIs" dxfId="28821" priority="1445" stopIfTrue="1" operator="equal">
      <formula>"Towel"</formula>
    </cfRule>
    <cfRule type="cellIs" dxfId="28820" priority="1446" stopIfTrue="1" operator="equal">
      <formula>"Napkin Hs"</formula>
    </cfRule>
    <cfRule type="cellIs" dxfId="28819" priority="1447" stopIfTrue="1" operator="equal">
      <formula>"Towel"</formula>
    </cfRule>
    <cfRule type="cellIs" dxfId="28818" priority="1448" stopIfTrue="1" operator="equal">
      <formula>"Napkin Hs"</formula>
    </cfRule>
    <cfRule type="cellIs" dxfId="28817" priority="1451" stopIfTrue="1" operator="equal">
      <formula>"Towel"</formula>
    </cfRule>
    <cfRule type="cellIs" dxfId="28816" priority="1452" stopIfTrue="1" operator="equal">
      <formula>"Napkin Hs"</formula>
    </cfRule>
    <cfRule type="cellIs" dxfId="28815" priority="1453" stopIfTrue="1" operator="equal">
      <formula>"Towel"</formula>
    </cfRule>
    <cfRule type="cellIs" dxfId="28814" priority="1454" stopIfTrue="1" operator="equal">
      <formula>"Napkin Hs"</formula>
    </cfRule>
    <cfRule type="cellIs" dxfId="28813" priority="1457" stopIfTrue="1" operator="equal">
      <formula>"Towel"</formula>
    </cfRule>
    <cfRule type="cellIs" dxfId="28812" priority="1458" stopIfTrue="1" operator="equal">
      <formula>"Napkin Hs"</formula>
    </cfRule>
    <cfRule type="cellIs" dxfId="28811" priority="1459" stopIfTrue="1" operator="equal">
      <formula>"Towel"</formula>
    </cfRule>
    <cfRule type="cellIs" dxfId="28810" priority="1460" stopIfTrue="1" operator="equal">
      <formula>"Napkin Hs"</formula>
    </cfRule>
    <cfRule type="cellIs" dxfId="28809" priority="1463" stopIfTrue="1" operator="equal">
      <formula>"Towel"</formula>
    </cfRule>
    <cfRule type="cellIs" dxfId="28808" priority="1464" stopIfTrue="1" operator="equal">
      <formula>"Napkin Hs"</formula>
    </cfRule>
    <cfRule type="cellIs" dxfId="28807" priority="1465" stopIfTrue="1" operator="equal">
      <formula>"Towel"</formula>
    </cfRule>
    <cfRule type="cellIs" dxfId="28806" priority="1466" stopIfTrue="1" operator="equal">
      <formula>"Napkin Hs"</formula>
    </cfRule>
    <cfRule type="cellIs" dxfId="28805" priority="1513" stopIfTrue="1" operator="equal">
      <formula>"Towel"</formula>
    </cfRule>
    <cfRule type="cellIs" dxfId="28804" priority="1514" stopIfTrue="1" operator="equal">
      <formula>"Napkin Hs"</formula>
    </cfRule>
  </conditionalFormatting>
  <conditionalFormatting sqref="B131">
    <cfRule type="cellIs" dxfId="28803" priority="1313" stopIfTrue="1" operator="equal">
      <formula>"Towel"</formula>
    </cfRule>
    <cfRule type="cellIs" dxfId="28802" priority="1314" stopIfTrue="1" operator="equal">
      <formula>"Napkin Hs"</formula>
    </cfRule>
    <cfRule type="cellIs" dxfId="28801" priority="1315" stopIfTrue="1" operator="equal">
      <formula>"Towel"</formula>
    </cfRule>
    <cfRule type="cellIs" dxfId="28800" priority="1316" stopIfTrue="1" operator="equal">
      <formula>"Napkin Hs"</formula>
    </cfRule>
    <cfRule type="cellIs" dxfId="28799" priority="1317" stopIfTrue="1" operator="equal">
      <formula>"Towel"</formula>
    </cfRule>
    <cfRule type="cellIs" dxfId="28798" priority="1318" stopIfTrue="1" operator="equal">
      <formula>"Napkin Hs"</formula>
    </cfRule>
    <cfRule type="cellIs" dxfId="28797" priority="1319" stopIfTrue="1" operator="equal">
      <formula>"Towel"</formula>
    </cfRule>
    <cfRule type="cellIs" dxfId="28796" priority="1320" stopIfTrue="1" operator="equal">
      <formula>"Napkin Hs"</formula>
    </cfRule>
    <cfRule type="cellIs" dxfId="28795" priority="1321" stopIfTrue="1" operator="equal">
      <formula>"Towel"</formula>
    </cfRule>
    <cfRule type="cellIs" dxfId="28794" priority="1322" stopIfTrue="1" operator="equal">
      <formula>"Napkin Hs"</formula>
    </cfRule>
    <cfRule type="cellIs" dxfId="28793" priority="1323" stopIfTrue="1" operator="equal">
      <formula>"Towel"</formula>
    </cfRule>
    <cfRule type="cellIs" dxfId="28792" priority="1324" stopIfTrue="1" operator="equal">
      <formula>"Napkin Hs"</formula>
    </cfRule>
    <cfRule type="cellIs" dxfId="28791" priority="1325" stopIfTrue="1" operator="equal">
      <formula>"Towel"</formula>
    </cfRule>
    <cfRule type="cellIs" dxfId="28790" priority="1326" stopIfTrue="1" operator="equal">
      <formula>"Napkin Hs"</formula>
    </cfRule>
    <cfRule type="cellIs" dxfId="28789" priority="1327" stopIfTrue="1" operator="equal">
      <formula>"Towel"</formula>
    </cfRule>
    <cfRule type="cellIs" dxfId="28788" priority="1328" stopIfTrue="1" operator="equal">
      <formula>"Napkin Hs"</formula>
    </cfRule>
  </conditionalFormatting>
  <conditionalFormatting sqref="B131:C131">
    <cfRule type="cellIs" dxfId="28787" priority="1305" stopIfTrue="1" operator="equal">
      <formula>"Towel"</formula>
    </cfRule>
    <cfRule type="cellIs" dxfId="28786" priority="1306" stopIfTrue="1" operator="equal">
      <formula>"Napkin Hs"</formula>
    </cfRule>
  </conditionalFormatting>
  <conditionalFormatting sqref="C131">
    <cfRule type="cellIs" dxfId="28785" priority="1312" stopIfTrue="1" operator="equal">
      <formula>"Napkin Hs"</formula>
    </cfRule>
  </conditionalFormatting>
  <conditionalFormatting sqref="C131">
    <cfRule type="cellIs" dxfId="28784" priority="1311" stopIfTrue="1" operator="equal">
      <formula>"Towel"</formula>
    </cfRule>
  </conditionalFormatting>
  <conditionalFormatting sqref="C131">
    <cfRule type="cellIs" dxfId="28783" priority="1263" stopIfTrue="1" operator="equal">
      <formula>"Towel"</formula>
    </cfRule>
    <cfRule type="cellIs" dxfId="28782" priority="1264" stopIfTrue="1" operator="equal">
      <formula>"Napkin Hs"</formula>
    </cfRule>
    <cfRule type="cellIs" dxfId="28781" priority="1269" stopIfTrue="1" operator="equal">
      <formula>"Towel"</formula>
    </cfRule>
    <cfRule type="cellIs" dxfId="28780" priority="1270" stopIfTrue="1" operator="equal">
      <formula>"Napkin Hs"</formula>
    </cfRule>
    <cfRule type="cellIs" dxfId="28779" priority="1275" stopIfTrue="1" operator="equal">
      <formula>"Towel"</formula>
    </cfRule>
    <cfRule type="cellIs" dxfId="28778" priority="1276" stopIfTrue="1" operator="equal">
      <formula>"Napkin Hs"</formula>
    </cfRule>
    <cfRule type="cellIs" dxfId="28777" priority="1281" stopIfTrue="1" operator="equal">
      <formula>"Towel"</formula>
    </cfRule>
    <cfRule type="cellIs" dxfId="28776" priority="1282" stopIfTrue="1" operator="equal">
      <formula>"Napkin Hs"</formula>
    </cfRule>
    <cfRule type="cellIs" dxfId="28775" priority="1287" stopIfTrue="1" operator="equal">
      <formula>"Towel"</formula>
    </cfRule>
    <cfRule type="cellIs" dxfId="28774" priority="1288" stopIfTrue="1" operator="equal">
      <formula>"Napkin Hs"</formula>
    </cfRule>
    <cfRule type="cellIs" dxfId="28773" priority="1293" stopIfTrue="1" operator="equal">
      <formula>"Towel"</formula>
    </cfRule>
    <cfRule type="cellIs" dxfId="28772" priority="1294" stopIfTrue="1" operator="equal">
      <formula>"Napkin Hs"</formula>
    </cfRule>
    <cfRule type="cellIs" dxfId="28771" priority="1299" stopIfTrue="1" operator="equal">
      <formula>"Towel"</formula>
    </cfRule>
    <cfRule type="cellIs" dxfId="28770" priority="1300" stopIfTrue="1" operator="equal">
      <formula>"Napkin Hs"</formula>
    </cfRule>
  </conditionalFormatting>
  <conditionalFormatting sqref="C131">
    <cfRule type="cellIs" dxfId="28769" priority="1259" stopIfTrue="1" operator="equal">
      <formula>"Towel"</formula>
    </cfRule>
    <cfRule type="cellIs" dxfId="28768" priority="1260" stopIfTrue="1" operator="equal">
      <formula>"Napkin Hs"</formula>
    </cfRule>
    <cfRule type="cellIs" dxfId="28767" priority="1261" stopIfTrue="1" operator="equal">
      <formula>"Towel"</formula>
    </cfRule>
    <cfRule type="cellIs" dxfId="28766" priority="1262" stopIfTrue="1" operator="equal">
      <formula>"Napkin Hs"</formula>
    </cfRule>
    <cfRule type="cellIs" dxfId="28765" priority="1265" stopIfTrue="1" operator="equal">
      <formula>"Towel"</formula>
    </cfRule>
    <cfRule type="cellIs" dxfId="28764" priority="1266" stopIfTrue="1" operator="equal">
      <formula>"Napkin Hs"</formula>
    </cfRule>
    <cfRule type="cellIs" dxfId="28763" priority="1267" stopIfTrue="1" operator="equal">
      <formula>"Towel"</formula>
    </cfRule>
    <cfRule type="cellIs" dxfId="28762" priority="1268" stopIfTrue="1" operator="equal">
      <formula>"Napkin Hs"</formula>
    </cfRule>
    <cfRule type="cellIs" dxfId="28761" priority="1271" stopIfTrue="1" operator="equal">
      <formula>"Towel"</formula>
    </cfRule>
    <cfRule type="cellIs" dxfId="28760" priority="1272" stopIfTrue="1" operator="equal">
      <formula>"Napkin Hs"</formula>
    </cfRule>
    <cfRule type="cellIs" dxfId="28759" priority="1273" stopIfTrue="1" operator="equal">
      <formula>"Towel"</formula>
    </cfRule>
    <cfRule type="cellIs" dxfId="28758" priority="1274" stopIfTrue="1" operator="equal">
      <formula>"Napkin Hs"</formula>
    </cfRule>
    <cfRule type="cellIs" dxfId="28757" priority="1277" stopIfTrue="1" operator="equal">
      <formula>"Towel"</formula>
    </cfRule>
    <cfRule type="cellIs" dxfId="28756" priority="1278" stopIfTrue="1" operator="equal">
      <formula>"Napkin Hs"</formula>
    </cfRule>
    <cfRule type="cellIs" dxfId="28755" priority="1279" stopIfTrue="1" operator="equal">
      <formula>"Towel"</formula>
    </cfRule>
    <cfRule type="cellIs" dxfId="28754" priority="1280" stopIfTrue="1" operator="equal">
      <formula>"Napkin Hs"</formula>
    </cfRule>
    <cfRule type="cellIs" dxfId="28753" priority="1283" stopIfTrue="1" operator="equal">
      <formula>"Towel"</formula>
    </cfRule>
    <cfRule type="cellIs" dxfId="28752" priority="1284" stopIfTrue="1" operator="equal">
      <formula>"Napkin Hs"</formula>
    </cfRule>
    <cfRule type="cellIs" dxfId="28751" priority="1285" stopIfTrue="1" operator="equal">
      <formula>"Towel"</formula>
    </cfRule>
    <cfRule type="cellIs" dxfId="28750" priority="1286" stopIfTrue="1" operator="equal">
      <formula>"Napkin Hs"</formula>
    </cfRule>
    <cfRule type="cellIs" dxfId="28749" priority="1289" stopIfTrue="1" operator="equal">
      <formula>"Towel"</formula>
    </cfRule>
    <cfRule type="cellIs" dxfId="28748" priority="1290" stopIfTrue="1" operator="equal">
      <formula>"Napkin Hs"</formula>
    </cfRule>
    <cfRule type="cellIs" dxfId="28747" priority="1291" stopIfTrue="1" operator="equal">
      <formula>"Towel"</formula>
    </cfRule>
    <cfRule type="cellIs" dxfId="28746" priority="1292" stopIfTrue="1" operator="equal">
      <formula>"Napkin Hs"</formula>
    </cfRule>
    <cfRule type="cellIs" dxfId="28745" priority="1295" stopIfTrue="1" operator="equal">
      <formula>"Towel"</formula>
    </cfRule>
    <cfRule type="cellIs" dxfId="28744" priority="1296" stopIfTrue="1" operator="equal">
      <formula>"Napkin Hs"</formula>
    </cfRule>
    <cfRule type="cellIs" dxfId="28743" priority="1297" stopIfTrue="1" operator="equal">
      <formula>"Towel"</formula>
    </cfRule>
    <cfRule type="cellIs" dxfId="28742" priority="1298" stopIfTrue="1" operator="equal">
      <formula>"Napkin Hs"</formula>
    </cfRule>
    <cfRule type="cellIs" dxfId="28741" priority="1301" stopIfTrue="1" operator="equal">
      <formula>"Towel"</formula>
    </cfRule>
    <cfRule type="cellIs" dxfId="28740" priority="1302" stopIfTrue="1" operator="equal">
      <formula>"Napkin Hs"</formula>
    </cfRule>
    <cfRule type="cellIs" dxfId="28739" priority="1303" stopIfTrue="1" operator="equal">
      <formula>"Towel"</formula>
    </cfRule>
    <cfRule type="cellIs" dxfId="28738" priority="1304" stopIfTrue="1" operator="equal">
      <formula>"Napkin Hs"</formula>
    </cfRule>
    <cfRule type="cellIs" dxfId="28737" priority="1307" stopIfTrue="1" operator="equal">
      <formula>"Towel"</formula>
    </cfRule>
    <cfRule type="cellIs" dxfId="28736" priority="1308" stopIfTrue="1" operator="equal">
      <formula>"Napkin Hs"</formula>
    </cfRule>
  </conditionalFormatting>
  <conditionalFormatting sqref="C131">
    <cfRule type="cellIs" dxfId="28735" priority="1309" stopIfTrue="1" operator="equal">
      <formula>"Towel"</formula>
    </cfRule>
    <cfRule type="cellIs" dxfId="28734" priority="1310" stopIfTrue="1" operator="equal">
      <formula>"Napkin Hs"</formula>
    </cfRule>
  </conditionalFormatting>
  <conditionalFormatting sqref="B131:C131">
    <cfRule type="cellIs" dxfId="28733" priority="1179" stopIfTrue="1" operator="equal">
      <formula>"Towel"</formula>
    </cfRule>
    <cfRule type="cellIs" dxfId="28732" priority="1180" stopIfTrue="1" operator="equal">
      <formula>"Napkin Hs"</formula>
    </cfRule>
    <cfRule type="cellIs" dxfId="28731" priority="1185" stopIfTrue="1" operator="equal">
      <formula>"Towel"</formula>
    </cfRule>
    <cfRule type="cellIs" dxfId="28730" priority="1186" stopIfTrue="1" operator="equal">
      <formula>"Napkin Hs"</formula>
    </cfRule>
    <cfRule type="cellIs" dxfId="28729" priority="1191" stopIfTrue="1" operator="equal">
      <formula>"Towel"</formula>
    </cfRule>
    <cfRule type="cellIs" dxfId="28728" priority="1192" stopIfTrue="1" operator="equal">
      <formula>"Napkin Hs"</formula>
    </cfRule>
    <cfRule type="cellIs" dxfId="28727" priority="1197" stopIfTrue="1" operator="equal">
      <formula>"Towel"</formula>
    </cfRule>
    <cfRule type="cellIs" dxfId="28726" priority="1198" stopIfTrue="1" operator="equal">
      <formula>"Napkin Hs"</formula>
    </cfRule>
    <cfRule type="cellIs" dxfId="28725" priority="1203" stopIfTrue="1" operator="equal">
      <formula>"Towel"</formula>
    </cfRule>
    <cfRule type="cellIs" dxfId="28724" priority="1204" stopIfTrue="1" operator="equal">
      <formula>"Napkin Hs"</formula>
    </cfRule>
    <cfRule type="cellIs" dxfId="28723" priority="1209" stopIfTrue="1" operator="equal">
      <formula>"Towel"</formula>
    </cfRule>
    <cfRule type="cellIs" dxfId="28722" priority="1210" stopIfTrue="1" operator="equal">
      <formula>"Napkin Hs"</formula>
    </cfRule>
    <cfRule type="cellIs" dxfId="28721" priority="1213" stopIfTrue="1" operator="equal">
      <formula>"Towel"</formula>
    </cfRule>
    <cfRule type="cellIs" dxfId="28720" priority="1214" stopIfTrue="1" operator="equal">
      <formula>"Napkin Hs"</formula>
    </cfRule>
    <cfRule type="cellIs" dxfId="28719" priority="1221" stopIfTrue="1" operator="equal">
      <formula>"Towel"</formula>
    </cfRule>
    <cfRule type="cellIs" dxfId="28718" priority="1222" stopIfTrue="1" operator="equal">
      <formula>"Napkin Hs"</formula>
    </cfRule>
    <cfRule type="cellIs" dxfId="28717" priority="1227" stopIfTrue="1" operator="equal">
      <formula>"Towel"</formula>
    </cfRule>
    <cfRule type="cellIs" dxfId="28716" priority="1228" stopIfTrue="1" operator="equal">
      <formula>"Napkin Hs"</formula>
    </cfRule>
    <cfRule type="cellIs" dxfId="28715" priority="1233" stopIfTrue="1" operator="equal">
      <formula>"Towel"</formula>
    </cfRule>
    <cfRule type="cellIs" dxfId="28714" priority="1234" stopIfTrue="1" operator="equal">
      <formula>"Napkin Hs"</formula>
    </cfRule>
    <cfRule type="cellIs" dxfId="28713" priority="1239" stopIfTrue="1" operator="equal">
      <formula>"Towel"</formula>
    </cfRule>
    <cfRule type="cellIs" dxfId="28712" priority="1240" stopIfTrue="1" operator="equal">
      <formula>"Napkin Hs"</formula>
    </cfRule>
    <cfRule type="cellIs" dxfId="28711" priority="1245" stopIfTrue="1" operator="equal">
      <formula>"Towel"</formula>
    </cfRule>
    <cfRule type="cellIs" dxfId="28710" priority="1246" stopIfTrue="1" operator="equal">
      <formula>"Napkin Hs"</formula>
    </cfRule>
    <cfRule type="cellIs" dxfId="28709" priority="1251" stopIfTrue="1" operator="equal">
      <formula>"Towel"</formula>
    </cfRule>
    <cfRule type="cellIs" dxfId="28708" priority="1252" stopIfTrue="1" operator="equal">
      <formula>"Napkin Hs"</formula>
    </cfRule>
    <cfRule type="cellIs" dxfId="28707" priority="1257" stopIfTrue="1" operator="equal">
      <formula>"Towel"</formula>
    </cfRule>
    <cfRule type="cellIs" dxfId="28706" priority="1258" stopIfTrue="1" operator="equal">
      <formula>"Napkin Hs"</formula>
    </cfRule>
  </conditionalFormatting>
  <conditionalFormatting sqref="C131">
    <cfRule type="cellIs" dxfId="28705" priority="1175" stopIfTrue="1" operator="equal">
      <formula>"Towel"</formula>
    </cfRule>
    <cfRule type="cellIs" dxfId="28704" priority="1176" stopIfTrue="1" operator="equal">
      <formula>"Napkin Hs"</formula>
    </cfRule>
    <cfRule type="cellIs" dxfId="28703" priority="1177" stopIfTrue="1" operator="equal">
      <formula>"Towel"</formula>
    </cfRule>
    <cfRule type="cellIs" dxfId="28702" priority="1178" stopIfTrue="1" operator="equal">
      <formula>"Napkin Hs"</formula>
    </cfRule>
    <cfRule type="cellIs" dxfId="28701" priority="1181" stopIfTrue="1" operator="equal">
      <formula>"Towel"</formula>
    </cfRule>
    <cfRule type="cellIs" dxfId="28700" priority="1182" stopIfTrue="1" operator="equal">
      <formula>"Napkin Hs"</formula>
    </cfRule>
    <cfRule type="cellIs" dxfId="28699" priority="1183" stopIfTrue="1" operator="equal">
      <formula>"Towel"</formula>
    </cfRule>
    <cfRule type="cellIs" dxfId="28698" priority="1184" stopIfTrue="1" operator="equal">
      <formula>"Napkin Hs"</formula>
    </cfRule>
    <cfRule type="cellIs" dxfId="28697" priority="1187" stopIfTrue="1" operator="equal">
      <formula>"Towel"</formula>
    </cfRule>
    <cfRule type="cellIs" dxfId="28696" priority="1188" stopIfTrue="1" operator="equal">
      <formula>"Napkin Hs"</formula>
    </cfRule>
    <cfRule type="cellIs" dxfId="28695" priority="1189" stopIfTrue="1" operator="equal">
      <formula>"Towel"</formula>
    </cfRule>
    <cfRule type="cellIs" dxfId="28694" priority="1190" stopIfTrue="1" operator="equal">
      <formula>"Napkin Hs"</formula>
    </cfRule>
    <cfRule type="cellIs" dxfId="28693" priority="1193" stopIfTrue="1" operator="equal">
      <formula>"Towel"</formula>
    </cfRule>
    <cfRule type="cellIs" dxfId="28692" priority="1194" stopIfTrue="1" operator="equal">
      <formula>"Napkin Hs"</formula>
    </cfRule>
    <cfRule type="cellIs" dxfId="28691" priority="1195" stopIfTrue="1" operator="equal">
      <formula>"Towel"</formula>
    </cfRule>
    <cfRule type="cellIs" dxfId="28690" priority="1196" stopIfTrue="1" operator="equal">
      <formula>"Napkin Hs"</formula>
    </cfRule>
    <cfRule type="cellIs" dxfId="28689" priority="1199" stopIfTrue="1" operator="equal">
      <formula>"Towel"</formula>
    </cfRule>
    <cfRule type="cellIs" dxfId="28688" priority="1200" stopIfTrue="1" operator="equal">
      <formula>"Napkin Hs"</formula>
    </cfRule>
    <cfRule type="cellIs" dxfId="28687" priority="1201" stopIfTrue="1" operator="equal">
      <formula>"Towel"</formula>
    </cfRule>
    <cfRule type="cellIs" dxfId="28686" priority="1202" stopIfTrue="1" operator="equal">
      <formula>"Napkin Hs"</formula>
    </cfRule>
    <cfRule type="cellIs" dxfId="28685" priority="1205" stopIfTrue="1" operator="equal">
      <formula>"Towel"</formula>
    </cfRule>
    <cfRule type="cellIs" dxfId="28684" priority="1206" stopIfTrue="1" operator="equal">
      <formula>"Napkin Hs"</formula>
    </cfRule>
    <cfRule type="cellIs" dxfId="28683" priority="1207" stopIfTrue="1" operator="equal">
      <formula>"Towel"</formula>
    </cfRule>
    <cfRule type="cellIs" dxfId="28682" priority="1208" stopIfTrue="1" operator="equal">
      <formula>"Napkin Hs"</formula>
    </cfRule>
    <cfRule type="cellIs" dxfId="28681" priority="1211" stopIfTrue="1" operator="equal">
      <formula>"Towel"</formula>
    </cfRule>
    <cfRule type="cellIs" dxfId="28680" priority="1212" stopIfTrue="1" operator="equal">
      <formula>"Napkin Hs"</formula>
    </cfRule>
    <cfRule type="cellIs" dxfId="28679" priority="1215" stopIfTrue="1" operator="equal">
      <formula>"Towel"</formula>
    </cfRule>
    <cfRule type="cellIs" dxfId="28678" priority="1216" stopIfTrue="1" operator="equal">
      <formula>"Napkin Hs"</formula>
    </cfRule>
    <cfRule type="cellIs" dxfId="28677" priority="1217" stopIfTrue="1" operator="equal">
      <formula>"Towel"</formula>
    </cfRule>
    <cfRule type="cellIs" dxfId="28676" priority="1218" stopIfTrue="1" operator="equal">
      <formula>"Napkin Hs"</formula>
    </cfRule>
    <cfRule type="cellIs" dxfId="28675" priority="1219" stopIfTrue="1" operator="equal">
      <formula>"Towel"</formula>
    </cfRule>
    <cfRule type="cellIs" dxfId="28674" priority="1220" stopIfTrue="1" operator="equal">
      <formula>"Napkin Hs"</formula>
    </cfRule>
    <cfRule type="cellIs" dxfId="28673" priority="1223" stopIfTrue="1" operator="equal">
      <formula>"Towel"</formula>
    </cfRule>
    <cfRule type="cellIs" dxfId="28672" priority="1224" stopIfTrue="1" operator="equal">
      <formula>"Napkin Hs"</formula>
    </cfRule>
    <cfRule type="cellIs" dxfId="28671" priority="1225" stopIfTrue="1" operator="equal">
      <formula>"Towel"</formula>
    </cfRule>
    <cfRule type="cellIs" dxfId="28670" priority="1226" stopIfTrue="1" operator="equal">
      <formula>"Napkin Hs"</formula>
    </cfRule>
    <cfRule type="cellIs" dxfId="28669" priority="1229" stopIfTrue="1" operator="equal">
      <formula>"Towel"</formula>
    </cfRule>
    <cfRule type="cellIs" dxfId="28668" priority="1230" stopIfTrue="1" operator="equal">
      <formula>"Napkin Hs"</formula>
    </cfRule>
    <cfRule type="cellIs" dxfId="28667" priority="1231" stopIfTrue="1" operator="equal">
      <formula>"Towel"</formula>
    </cfRule>
    <cfRule type="cellIs" dxfId="28666" priority="1232" stopIfTrue="1" operator="equal">
      <formula>"Napkin Hs"</formula>
    </cfRule>
    <cfRule type="cellIs" dxfId="28665" priority="1235" stopIfTrue="1" operator="equal">
      <formula>"Towel"</formula>
    </cfRule>
    <cfRule type="cellIs" dxfId="28664" priority="1236" stopIfTrue="1" operator="equal">
      <formula>"Napkin Hs"</formula>
    </cfRule>
    <cfRule type="cellIs" dxfId="28663" priority="1237" stopIfTrue="1" operator="equal">
      <formula>"Towel"</formula>
    </cfRule>
    <cfRule type="cellIs" dxfId="28662" priority="1238" stopIfTrue="1" operator="equal">
      <formula>"Napkin Hs"</formula>
    </cfRule>
    <cfRule type="cellIs" dxfId="28661" priority="1241" stopIfTrue="1" operator="equal">
      <formula>"Towel"</formula>
    </cfRule>
    <cfRule type="cellIs" dxfId="28660" priority="1242" stopIfTrue="1" operator="equal">
      <formula>"Napkin Hs"</formula>
    </cfRule>
    <cfRule type="cellIs" dxfId="28659" priority="1243" stopIfTrue="1" operator="equal">
      <formula>"Towel"</formula>
    </cfRule>
    <cfRule type="cellIs" dxfId="28658" priority="1244" stopIfTrue="1" operator="equal">
      <formula>"Napkin Hs"</formula>
    </cfRule>
    <cfRule type="cellIs" dxfId="28657" priority="1247" stopIfTrue="1" operator="equal">
      <formula>"Towel"</formula>
    </cfRule>
    <cfRule type="cellIs" dxfId="28656" priority="1248" stopIfTrue="1" operator="equal">
      <formula>"Napkin Hs"</formula>
    </cfRule>
    <cfRule type="cellIs" dxfId="28655" priority="1249" stopIfTrue="1" operator="equal">
      <formula>"Towel"</formula>
    </cfRule>
    <cfRule type="cellIs" dxfId="28654" priority="1250" stopIfTrue="1" operator="equal">
      <formula>"Napkin Hs"</formula>
    </cfRule>
    <cfRule type="cellIs" dxfId="28653" priority="1253" stopIfTrue="1" operator="equal">
      <formula>"Towel"</formula>
    </cfRule>
    <cfRule type="cellIs" dxfId="28652" priority="1254" stopIfTrue="1" operator="equal">
      <formula>"Napkin Hs"</formula>
    </cfRule>
  </conditionalFormatting>
  <conditionalFormatting sqref="C131">
    <cfRule type="cellIs" dxfId="28651" priority="1255" stopIfTrue="1" operator="equal">
      <formula>"Towel"</formula>
    </cfRule>
    <cfRule type="cellIs" dxfId="28650" priority="1256" stopIfTrue="1" operator="equal">
      <formula>"Napkin Hs"</formula>
    </cfRule>
  </conditionalFormatting>
  <conditionalFormatting sqref="B138:C138">
    <cfRule type="cellIs" dxfId="28649" priority="1173" stopIfTrue="1" operator="equal">
      <formula>"Towel"</formula>
    </cfRule>
    <cfRule type="cellIs" dxfId="28648" priority="1174" stopIfTrue="1" operator="equal">
      <formula>"Napkin Hs"</formula>
    </cfRule>
  </conditionalFormatting>
  <conditionalFormatting sqref="C138">
    <cfRule type="cellIs" dxfId="28647" priority="1172" stopIfTrue="1" operator="equal">
      <formula>"Napkin Hs"</formula>
    </cfRule>
  </conditionalFormatting>
  <conditionalFormatting sqref="C138">
    <cfRule type="cellIs" dxfId="28646" priority="1171" stopIfTrue="1" operator="equal">
      <formula>"Towel"</formula>
    </cfRule>
  </conditionalFormatting>
  <conditionalFormatting sqref="C138">
    <cfRule type="cellIs" dxfId="28645" priority="1169" stopIfTrue="1" operator="equal">
      <formula>"Towel"</formula>
    </cfRule>
    <cfRule type="cellIs" dxfId="28644" priority="1170" stopIfTrue="1" operator="equal">
      <formula>"Napkin Hs"</formula>
    </cfRule>
  </conditionalFormatting>
  <conditionalFormatting sqref="B137:C137">
    <cfRule type="cellIs" dxfId="28643" priority="1166" stopIfTrue="1" operator="equal">
      <formula>"Napkin Hs"</formula>
    </cfRule>
  </conditionalFormatting>
  <conditionalFormatting sqref="B137:C137">
    <cfRule type="cellIs" dxfId="28642" priority="1165" stopIfTrue="1" operator="equal">
      <formula>"Towel"</formula>
    </cfRule>
  </conditionalFormatting>
  <conditionalFormatting sqref="C137">
    <cfRule type="cellIs" dxfId="28641" priority="1163" stopIfTrue="1" operator="equal">
      <formula>"Towel"</formula>
    </cfRule>
    <cfRule type="cellIs" dxfId="28640" priority="1164" stopIfTrue="1" operator="equal">
      <formula>"Napkin Hs"</formula>
    </cfRule>
  </conditionalFormatting>
  <conditionalFormatting sqref="C137">
    <cfRule type="cellIs" dxfId="28639" priority="1167" stopIfTrue="1" operator="equal">
      <formula>"Towel"</formula>
    </cfRule>
    <cfRule type="cellIs" dxfId="28638" priority="1168" stopIfTrue="1" operator="equal">
      <formula>"Napkin Hs"</formula>
    </cfRule>
  </conditionalFormatting>
  <conditionalFormatting sqref="B137">
    <cfRule type="cellIs" dxfId="28637" priority="1059" stopIfTrue="1" operator="equal">
      <formula>"Towel"</formula>
    </cfRule>
    <cfRule type="cellIs" dxfId="28636" priority="1060" stopIfTrue="1" operator="equal">
      <formula>"Napkin Hs"</formula>
    </cfRule>
  </conditionalFormatting>
  <conditionalFormatting sqref="B137:C137">
    <cfRule type="cellIs" dxfId="28635" priority="1119" stopIfTrue="1" operator="equal">
      <formula>"Towel"</formula>
    </cfRule>
    <cfRule type="cellIs" dxfId="28634" priority="1120" stopIfTrue="1" operator="equal">
      <formula>"Napkin Hs"</formula>
    </cfRule>
    <cfRule type="cellIs" dxfId="28633" priority="1125" stopIfTrue="1" operator="equal">
      <formula>"Towel"</formula>
    </cfRule>
    <cfRule type="cellIs" dxfId="28632" priority="1126" stopIfTrue="1" operator="equal">
      <formula>"Napkin Hs"</formula>
    </cfRule>
    <cfRule type="cellIs" dxfId="28631" priority="1131" stopIfTrue="1" operator="equal">
      <formula>"Towel"</formula>
    </cfRule>
    <cfRule type="cellIs" dxfId="28630" priority="1132" stopIfTrue="1" operator="equal">
      <formula>"Napkin Hs"</formula>
    </cfRule>
    <cfRule type="cellIs" dxfId="28629" priority="1137" stopIfTrue="1" operator="equal">
      <formula>"Towel"</formula>
    </cfRule>
    <cfRule type="cellIs" dxfId="28628" priority="1138" stopIfTrue="1" operator="equal">
      <formula>"Napkin Hs"</formula>
    </cfRule>
    <cfRule type="cellIs" dxfId="28627" priority="1143" stopIfTrue="1" operator="equal">
      <formula>"Towel"</formula>
    </cfRule>
    <cfRule type="cellIs" dxfId="28626" priority="1144" stopIfTrue="1" operator="equal">
      <formula>"Napkin Hs"</formula>
    </cfRule>
    <cfRule type="cellIs" dxfId="28625" priority="1149" stopIfTrue="1" operator="equal">
      <formula>"Towel"</formula>
    </cfRule>
    <cfRule type="cellIs" dxfId="28624" priority="1150" stopIfTrue="1" operator="equal">
      <formula>"Napkin Hs"</formula>
    </cfRule>
    <cfRule type="cellIs" dxfId="28623" priority="1155" stopIfTrue="1" operator="equal">
      <formula>"Towel"</formula>
    </cfRule>
    <cfRule type="cellIs" dxfId="28622" priority="1156" stopIfTrue="1" operator="equal">
      <formula>"Napkin Hs"</formula>
    </cfRule>
    <cfRule type="cellIs" dxfId="28621" priority="1161" stopIfTrue="1" operator="equal">
      <formula>"Towel"</formula>
    </cfRule>
    <cfRule type="cellIs" dxfId="28620" priority="1162" stopIfTrue="1" operator="equal">
      <formula>"Napkin Hs"</formula>
    </cfRule>
  </conditionalFormatting>
  <conditionalFormatting sqref="B137:C137">
    <cfRule type="cellIs" dxfId="28619" priority="1061" stopIfTrue="1" operator="equal">
      <formula>"Towel"</formula>
    </cfRule>
    <cfRule type="cellIs" dxfId="28618" priority="1062" stopIfTrue="1" operator="equal">
      <formula>"Napkin Hs"</formula>
    </cfRule>
    <cfRule type="cellIs" dxfId="28617" priority="1077" stopIfTrue="1" operator="equal">
      <formula>"Towel"</formula>
    </cfRule>
    <cfRule type="cellIs" dxfId="28616" priority="1078" stopIfTrue="1" operator="equal">
      <formula>"Napkin Hs"</formula>
    </cfRule>
    <cfRule type="cellIs" dxfId="28615" priority="1083" stopIfTrue="1" operator="equal">
      <formula>"Towel"</formula>
    </cfRule>
    <cfRule type="cellIs" dxfId="28614" priority="1084" stopIfTrue="1" operator="equal">
      <formula>"Napkin Hs"</formula>
    </cfRule>
    <cfRule type="cellIs" dxfId="28613" priority="1089" stopIfTrue="1" operator="equal">
      <formula>"Towel"</formula>
    </cfRule>
    <cfRule type="cellIs" dxfId="28612" priority="1090" stopIfTrue="1" operator="equal">
      <formula>"Napkin Hs"</formula>
    </cfRule>
    <cfRule type="cellIs" dxfId="28611" priority="1095" stopIfTrue="1" operator="equal">
      <formula>"Towel"</formula>
    </cfRule>
    <cfRule type="cellIs" dxfId="28610" priority="1096" stopIfTrue="1" operator="equal">
      <formula>"Napkin Hs"</formula>
    </cfRule>
    <cfRule type="cellIs" dxfId="28609" priority="1101" stopIfTrue="1" operator="equal">
      <formula>"Towel"</formula>
    </cfRule>
    <cfRule type="cellIs" dxfId="28608" priority="1102" stopIfTrue="1" operator="equal">
      <formula>"Napkin Hs"</formula>
    </cfRule>
    <cfRule type="cellIs" dxfId="28607" priority="1107" stopIfTrue="1" operator="equal">
      <formula>"Towel"</formula>
    </cfRule>
    <cfRule type="cellIs" dxfId="28606" priority="1108" stopIfTrue="1" operator="equal">
      <formula>"Napkin Hs"</formula>
    </cfRule>
    <cfRule type="cellIs" dxfId="28605" priority="1113" stopIfTrue="1" operator="equal">
      <formula>"Towel"</formula>
    </cfRule>
    <cfRule type="cellIs" dxfId="28604" priority="1114" stopIfTrue="1" operator="equal">
      <formula>"Napkin Hs"</formula>
    </cfRule>
  </conditionalFormatting>
  <conditionalFormatting sqref="C137">
    <cfRule type="cellIs" dxfId="28603" priority="1115" stopIfTrue="1" operator="equal">
      <formula>"Towel"</formula>
    </cfRule>
    <cfRule type="cellIs" dxfId="28602" priority="1116" stopIfTrue="1" operator="equal">
      <formula>"Napkin Hs"</formula>
    </cfRule>
    <cfRule type="cellIs" dxfId="28601" priority="1117" stopIfTrue="1" operator="equal">
      <formula>"Towel"</formula>
    </cfRule>
    <cfRule type="cellIs" dxfId="28600" priority="1118" stopIfTrue="1" operator="equal">
      <formula>"Napkin Hs"</formula>
    </cfRule>
    <cfRule type="cellIs" dxfId="28599" priority="1121" stopIfTrue="1" operator="equal">
      <formula>"Towel"</formula>
    </cfRule>
    <cfRule type="cellIs" dxfId="28598" priority="1122" stopIfTrue="1" operator="equal">
      <formula>"Napkin Hs"</formula>
    </cfRule>
    <cfRule type="cellIs" dxfId="28597" priority="1123" stopIfTrue="1" operator="equal">
      <formula>"Towel"</formula>
    </cfRule>
    <cfRule type="cellIs" dxfId="28596" priority="1124" stopIfTrue="1" operator="equal">
      <formula>"Napkin Hs"</formula>
    </cfRule>
    <cfRule type="cellIs" dxfId="28595" priority="1127" stopIfTrue="1" operator="equal">
      <formula>"Towel"</formula>
    </cfRule>
    <cfRule type="cellIs" dxfId="28594" priority="1128" stopIfTrue="1" operator="equal">
      <formula>"Napkin Hs"</formula>
    </cfRule>
    <cfRule type="cellIs" dxfId="28593" priority="1129" stopIfTrue="1" operator="equal">
      <formula>"Towel"</formula>
    </cfRule>
    <cfRule type="cellIs" dxfId="28592" priority="1130" stopIfTrue="1" operator="equal">
      <formula>"Napkin Hs"</formula>
    </cfRule>
    <cfRule type="cellIs" dxfId="28591" priority="1133" stopIfTrue="1" operator="equal">
      <formula>"Towel"</formula>
    </cfRule>
    <cfRule type="cellIs" dxfId="28590" priority="1134" stopIfTrue="1" operator="equal">
      <formula>"Napkin Hs"</formula>
    </cfRule>
    <cfRule type="cellIs" dxfId="28589" priority="1135" stopIfTrue="1" operator="equal">
      <formula>"Towel"</formula>
    </cfRule>
    <cfRule type="cellIs" dxfId="28588" priority="1136" stopIfTrue="1" operator="equal">
      <formula>"Napkin Hs"</formula>
    </cfRule>
    <cfRule type="cellIs" dxfId="28587" priority="1139" stopIfTrue="1" operator="equal">
      <formula>"Towel"</formula>
    </cfRule>
    <cfRule type="cellIs" dxfId="28586" priority="1140" stopIfTrue="1" operator="equal">
      <formula>"Napkin Hs"</formula>
    </cfRule>
    <cfRule type="cellIs" dxfId="28585" priority="1141" stopIfTrue="1" operator="equal">
      <formula>"Towel"</formula>
    </cfRule>
    <cfRule type="cellIs" dxfId="28584" priority="1142" stopIfTrue="1" operator="equal">
      <formula>"Napkin Hs"</formula>
    </cfRule>
    <cfRule type="cellIs" dxfId="28583" priority="1145" stopIfTrue="1" operator="equal">
      <formula>"Towel"</formula>
    </cfRule>
    <cfRule type="cellIs" dxfId="28582" priority="1146" stopIfTrue="1" operator="equal">
      <formula>"Napkin Hs"</formula>
    </cfRule>
    <cfRule type="cellIs" dxfId="28581" priority="1147" stopIfTrue="1" operator="equal">
      <formula>"Towel"</formula>
    </cfRule>
    <cfRule type="cellIs" dxfId="28580" priority="1148" stopIfTrue="1" operator="equal">
      <formula>"Napkin Hs"</formula>
    </cfRule>
    <cfRule type="cellIs" dxfId="28579" priority="1151" stopIfTrue="1" operator="equal">
      <formula>"Towel"</formula>
    </cfRule>
    <cfRule type="cellIs" dxfId="28578" priority="1152" stopIfTrue="1" operator="equal">
      <formula>"Napkin Hs"</formula>
    </cfRule>
    <cfRule type="cellIs" dxfId="28577" priority="1153" stopIfTrue="1" operator="equal">
      <formula>"Towel"</formula>
    </cfRule>
    <cfRule type="cellIs" dxfId="28576" priority="1154" stopIfTrue="1" operator="equal">
      <formula>"Napkin Hs"</formula>
    </cfRule>
    <cfRule type="cellIs" dxfId="28575" priority="1157" stopIfTrue="1" operator="equal">
      <formula>"Towel"</formula>
    </cfRule>
    <cfRule type="cellIs" dxfId="28574" priority="1158" stopIfTrue="1" operator="equal">
      <formula>"Napkin Hs"</formula>
    </cfRule>
  </conditionalFormatting>
  <conditionalFormatting sqref="C137">
    <cfRule type="cellIs" dxfId="28573" priority="1063" stopIfTrue="1" operator="equal">
      <formula>"Towel"</formula>
    </cfRule>
    <cfRule type="cellIs" dxfId="28572" priority="1064" stopIfTrue="1" operator="equal">
      <formula>"Napkin Hs"</formula>
    </cfRule>
    <cfRule type="cellIs" dxfId="28571" priority="1065" stopIfTrue="1" operator="equal">
      <formula>"Towel"</formula>
    </cfRule>
    <cfRule type="cellIs" dxfId="28570" priority="1066" stopIfTrue="1" operator="equal">
      <formula>"Napkin Hs"</formula>
    </cfRule>
    <cfRule type="cellIs" dxfId="28569" priority="1067" stopIfTrue="1" operator="equal">
      <formula>"Towel"</formula>
    </cfRule>
    <cfRule type="cellIs" dxfId="28568" priority="1068" stopIfTrue="1" operator="equal">
      <formula>"Napkin Hs"</formula>
    </cfRule>
    <cfRule type="cellIs" dxfId="28567" priority="1069" stopIfTrue="1" operator="equal">
      <formula>"Towel"</formula>
    </cfRule>
    <cfRule type="cellIs" dxfId="28566" priority="1070" stopIfTrue="1" operator="equal">
      <formula>"Napkin Hs"</formula>
    </cfRule>
    <cfRule type="cellIs" dxfId="28565" priority="1071" stopIfTrue="1" operator="equal">
      <formula>"Towel"</formula>
    </cfRule>
    <cfRule type="cellIs" dxfId="28564" priority="1072" stopIfTrue="1" operator="equal">
      <formula>"Napkin Hs"</formula>
    </cfRule>
    <cfRule type="cellIs" dxfId="28563" priority="1073" stopIfTrue="1" operator="equal">
      <formula>"Towel"</formula>
    </cfRule>
    <cfRule type="cellIs" dxfId="28562" priority="1074" stopIfTrue="1" operator="equal">
      <formula>"Napkin Hs"</formula>
    </cfRule>
    <cfRule type="cellIs" dxfId="28561" priority="1075" stopIfTrue="1" operator="equal">
      <formula>"Towel"</formula>
    </cfRule>
    <cfRule type="cellIs" dxfId="28560" priority="1076" stopIfTrue="1" operator="equal">
      <formula>"Napkin Hs"</formula>
    </cfRule>
    <cfRule type="cellIs" dxfId="28559" priority="1079" stopIfTrue="1" operator="equal">
      <formula>"Towel"</formula>
    </cfRule>
    <cfRule type="cellIs" dxfId="28558" priority="1080" stopIfTrue="1" operator="equal">
      <formula>"Napkin Hs"</formula>
    </cfRule>
    <cfRule type="cellIs" dxfId="28557" priority="1081" stopIfTrue="1" operator="equal">
      <formula>"Towel"</formula>
    </cfRule>
    <cfRule type="cellIs" dxfId="28556" priority="1082" stopIfTrue="1" operator="equal">
      <formula>"Napkin Hs"</formula>
    </cfRule>
    <cfRule type="cellIs" dxfId="28555" priority="1085" stopIfTrue="1" operator="equal">
      <formula>"Towel"</formula>
    </cfRule>
    <cfRule type="cellIs" dxfId="28554" priority="1086" stopIfTrue="1" operator="equal">
      <formula>"Napkin Hs"</formula>
    </cfRule>
    <cfRule type="cellIs" dxfId="28553" priority="1087" stopIfTrue="1" operator="equal">
      <formula>"Towel"</formula>
    </cfRule>
    <cfRule type="cellIs" dxfId="28552" priority="1088" stopIfTrue="1" operator="equal">
      <formula>"Napkin Hs"</formula>
    </cfRule>
    <cfRule type="cellIs" dxfId="28551" priority="1091" stopIfTrue="1" operator="equal">
      <formula>"Towel"</formula>
    </cfRule>
    <cfRule type="cellIs" dxfId="28550" priority="1092" stopIfTrue="1" operator="equal">
      <formula>"Napkin Hs"</formula>
    </cfRule>
    <cfRule type="cellIs" dxfId="28549" priority="1093" stopIfTrue="1" operator="equal">
      <formula>"Towel"</formula>
    </cfRule>
    <cfRule type="cellIs" dxfId="28548" priority="1094" stopIfTrue="1" operator="equal">
      <formula>"Napkin Hs"</formula>
    </cfRule>
    <cfRule type="cellIs" dxfId="28547" priority="1097" stopIfTrue="1" operator="equal">
      <formula>"Towel"</formula>
    </cfRule>
    <cfRule type="cellIs" dxfId="28546" priority="1098" stopIfTrue="1" operator="equal">
      <formula>"Napkin Hs"</formula>
    </cfRule>
    <cfRule type="cellIs" dxfId="28545" priority="1099" stopIfTrue="1" operator="equal">
      <formula>"Towel"</formula>
    </cfRule>
    <cfRule type="cellIs" dxfId="28544" priority="1100" stopIfTrue="1" operator="equal">
      <formula>"Napkin Hs"</formula>
    </cfRule>
    <cfRule type="cellIs" dxfId="28543" priority="1103" stopIfTrue="1" operator="equal">
      <formula>"Towel"</formula>
    </cfRule>
    <cfRule type="cellIs" dxfId="28542" priority="1104" stopIfTrue="1" operator="equal">
      <formula>"Napkin Hs"</formula>
    </cfRule>
    <cfRule type="cellIs" dxfId="28541" priority="1105" stopIfTrue="1" operator="equal">
      <formula>"Towel"</formula>
    </cfRule>
    <cfRule type="cellIs" dxfId="28540" priority="1106" stopIfTrue="1" operator="equal">
      <formula>"Napkin Hs"</formula>
    </cfRule>
    <cfRule type="cellIs" dxfId="28539" priority="1109" stopIfTrue="1" operator="equal">
      <formula>"Towel"</formula>
    </cfRule>
    <cfRule type="cellIs" dxfId="28538" priority="1110" stopIfTrue="1" operator="equal">
      <formula>"Napkin Hs"</formula>
    </cfRule>
    <cfRule type="cellIs" dxfId="28537" priority="1111" stopIfTrue="1" operator="equal">
      <formula>"Towel"</formula>
    </cfRule>
    <cfRule type="cellIs" dxfId="28536" priority="1112" stopIfTrue="1" operator="equal">
      <formula>"Napkin Hs"</formula>
    </cfRule>
    <cfRule type="cellIs" dxfId="28535" priority="1159" stopIfTrue="1" operator="equal">
      <formula>"Towel"</formula>
    </cfRule>
    <cfRule type="cellIs" dxfId="28534" priority="1160" stopIfTrue="1" operator="equal">
      <formula>"Napkin Hs"</formula>
    </cfRule>
  </conditionalFormatting>
  <conditionalFormatting sqref="B135">
    <cfRule type="cellIs" dxfId="28533" priority="1043" stopIfTrue="1" operator="equal">
      <formula>"Towel"</formula>
    </cfRule>
    <cfRule type="cellIs" dxfId="28532" priority="1044" stopIfTrue="1" operator="equal">
      <formula>"Napkin Hs"</formula>
    </cfRule>
    <cfRule type="cellIs" dxfId="28531" priority="1045" stopIfTrue="1" operator="equal">
      <formula>"Towel"</formula>
    </cfRule>
    <cfRule type="cellIs" dxfId="28530" priority="1046" stopIfTrue="1" operator="equal">
      <formula>"Napkin Hs"</formula>
    </cfRule>
    <cfRule type="cellIs" dxfId="28529" priority="1047" stopIfTrue="1" operator="equal">
      <formula>"Towel"</formula>
    </cfRule>
    <cfRule type="cellIs" dxfId="28528" priority="1048" stopIfTrue="1" operator="equal">
      <formula>"Napkin Hs"</formula>
    </cfRule>
    <cfRule type="cellIs" dxfId="28527" priority="1049" stopIfTrue="1" operator="equal">
      <formula>"Towel"</formula>
    </cfRule>
    <cfRule type="cellIs" dxfId="28526" priority="1050" stopIfTrue="1" operator="equal">
      <formula>"Napkin Hs"</formula>
    </cfRule>
    <cfRule type="cellIs" dxfId="28525" priority="1051" stopIfTrue="1" operator="equal">
      <formula>"Towel"</formula>
    </cfRule>
    <cfRule type="cellIs" dxfId="28524" priority="1052" stopIfTrue="1" operator="equal">
      <formula>"Napkin Hs"</formula>
    </cfRule>
    <cfRule type="cellIs" dxfId="28523" priority="1053" stopIfTrue="1" operator="equal">
      <formula>"Towel"</formula>
    </cfRule>
    <cfRule type="cellIs" dxfId="28522" priority="1054" stopIfTrue="1" operator="equal">
      <formula>"Napkin Hs"</formula>
    </cfRule>
    <cfRule type="cellIs" dxfId="28521" priority="1055" stopIfTrue="1" operator="equal">
      <formula>"Towel"</formula>
    </cfRule>
    <cfRule type="cellIs" dxfId="28520" priority="1056" stopIfTrue="1" operator="equal">
      <formula>"Napkin Hs"</formula>
    </cfRule>
    <cfRule type="cellIs" dxfId="28519" priority="1057" stopIfTrue="1" operator="equal">
      <formula>"Towel"</formula>
    </cfRule>
    <cfRule type="cellIs" dxfId="28518" priority="1058" stopIfTrue="1" operator="equal">
      <formula>"Napkin Hs"</formula>
    </cfRule>
  </conditionalFormatting>
  <conditionalFormatting sqref="B135:C135">
    <cfRule type="cellIs" dxfId="28517" priority="1035" stopIfTrue="1" operator="equal">
      <formula>"Towel"</formula>
    </cfRule>
    <cfRule type="cellIs" dxfId="28516" priority="1036" stopIfTrue="1" operator="equal">
      <formula>"Napkin Hs"</formula>
    </cfRule>
  </conditionalFormatting>
  <conditionalFormatting sqref="C135">
    <cfRule type="cellIs" dxfId="28515" priority="1042" stopIfTrue="1" operator="equal">
      <formula>"Napkin Hs"</formula>
    </cfRule>
  </conditionalFormatting>
  <conditionalFormatting sqref="C135">
    <cfRule type="cellIs" dxfId="28514" priority="1041" stopIfTrue="1" operator="equal">
      <formula>"Towel"</formula>
    </cfRule>
  </conditionalFormatting>
  <conditionalFormatting sqref="C135">
    <cfRule type="cellIs" dxfId="28513" priority="993" stopIfTrue="1" operator="equal">
      <formula>"Towel"</formula>
    </cfRule>
    <cfRule type="cellIs" dxfId="28512" priority="994" stopIfTrue="1" operator="equal">
      <formula>"Napkin Hs"</formula>
    </cfRule>
    <cfRule type="cellIs" dxfId="28511" priority="999" stopIfTrue="1" operator="equal">
      <formula>"Towel"</formula>
    </cfRule>
    <cfRule type="cellIs" dxfId="28510" priority="1000" stopIfTrue="1" operator="equal">
      <formula>"Napkin Hs"</formula>
    </cfRule>
    <cfRule type="cellIs" dxfId="28509" priority="1005" stopIfTrue="1" operator="equal">
      <formula>"Towel"</formula>
    </cfRule>
    <cfRule type="cellIs" dxfId="28508" priority="1006" stopIfTrue="1" operator="equal">
      <formula>"Napkin Hs"</formula>
    </cfRule>
    <cfRule type="cellIs" dxfId="28507" priority="1011" stopIfTrue="1" operator="equal">
      <formula>"Towel"</formula>
    </cfRule>
    <cfRule type="cellIs" dxfId="28506" priority="1012" stopIfTrue="1" operator="equal">
      <formula>"Napkin Hs"</formula>
    </cfRule>
    <cfRule type="cellIs" dxfId="28505" priority="1017" stopIfTrue="1" operator="equal">
      <formula>"Towel"</formula>
    </cfRule>
    <cfRule type="cellIs" dxfId="28504" priority="1018" stopIfTrue="1" operator="equal">
      <formula>"Napkin Hs"</formula>
    </cfRule>
    <cfRule type="cellIs" dxfId="28503" priority="1023" stopIfTrue="1" operator="equal">
      <formula>"Towel"</formula>
    </cfRule>
    <cfRule type="cellIs" dxfId="28502" priority="1024" stopIfTrue="1" operator="equal">
      <formula>"Napkin Hs"</formula>
    </cfRule>
    <cfRule type="cellIs" dxfId="28501" priority="1029" stopIfTrue="1" operator="equal">
      <formula>"Towel"</formula>
    </cfRule>
    <cfRule type="cellIs" dxfId="28500" priority="1030" stopIfTrue="1" operator="equal">
      <formula>"Napkin Hs"</formula>
    </cfRule>
  </conditionalFormatting>
  <conditionalFormatting sqref="C135">
    <cfRule type="cellIs" dxfId="28499" priority="989" stopIfTrue="1" operator="equal">
      <formula>"Towel"</formula>
    </cfRule>
    <cfRule type="cellIs" dxfId="28498" priority="990" stopIfTrue="1" operator="equal">
      <formula>"Napkin Hs"</formula>
    </cfRule>
    <cfRule type="cellIs" dxfId="28497" priority="991" stopIfTrue="1" operator="equal">
      <formula>"Towel"</formula>
    </cfRule>
    <cfRule type="cellIs" dxfId="28496" priority="992" stopIfTrue="1" operator="equal">
      <formula>"Napkin Hs"</formula>
    </cfRule>
    <cfRule type="cellIs" dxfId="28495" priority="995" stopIfTrue="1" operator="equal">
      <formula>"Towel"</formula>
    </cfRule>
    <cfRule type="cellIs" dxfId="28494" priority="996" stopIfTrue="1" operator="equal">
      <formula>"Napkin Hs"</formula>
    </cfRule>
    <cfRule type="cellIs" dxfId="28493" priority="997" stopIfTrue="1" operator="equal">
      <formula>"Towel"</formula>
    </cfRule>
    <cfRule type="cellIs" dxfId="28492" priority="998" stopIfTrue="1" operator="equal">
      <formula>"Napkin Hs"</formula>
    </cfRule>
    <cfRule type="cellIs" dxfId="28491" priority="1001" stopIfTrue="1" operator="equal">
      <formula>"Towel"</formula>
    </cfRule>
    <cfRule type="cellIs" dxfId="28490" priority="1002" stopIfTrue="1" operator="equal">
      <formula>"Napkin Hs"</formula>
    </cfRule>
    <cfRule type="cellIs" dxfId="28489" priority="1003" stopIfTrue="1" operator="equal">
      <formula>"Towel"</formula>
    </cfRule>
    <cfRule type="cellIs" dxfId="28488" priority="1004" stopIfTrue="1" operator="equal">
      <formula>"Napkin Hs"</formula>
    </cfRule>
    <cfRule type="cellIs" dxfId="28487" priority="1007" stopIfTrue="1" operator="equal">
      <formula>"Towel"</formula>
    </cfRule>
    <cfRule type="cellIs" dxfId="28486" priority="1008" stopIfTrue="1" operator="equal">
      <formula>"Napkin Hs"</formula>
    </cfRule>
    <cfRule type="cellIs" dxfId="28485" priority="1009" stopIfTrue="1" operator="equal">
      <formula>"Towel"</formula>
    </cfRule>
    <cfRule type="cellIs" dxfId="28484" priority="1010" stopIfTrue="1" operator="equal">
      <formula>"Napkin Hs"</formula>
    </cfRule>
    <cfRule type="cellIs" dxfId="28483" priority="1013" stopIfTrue="1" operator="equal">
      <formula>"Towel"</formula>
    </cfRule>
    <cfRule type="cellIs" dxfId="28482" priority="1014" stopIfTrue="1" operator="equal">
      <formula>"Napkin Hs"</formula>
    </cfRule>
    <cfRule type="cellIs" dxfId="28481" priority="1015" stopIfTrue="1" operator="equal">
      <formula>"Towel"</formula>
    </cfRule>
    <cfRule type="cellIs" dxfId="28480" priority="1016" stopIfTrue="1" operator="equal">
      <formula>"Napkin Hs"</formula>
    </cfRule>
    <cfRule type="cellIs" dxfId="28479" priority="1019" stopIfTrue="1" operator="equal">
      <formula>"Towel"</formula>
    </cfRule>
    <cfRule type="cellIs" dxfId="28478" priority="1020" stopIfTrue="1" operator="equal">
      <formula>"Napkin Hs"</formula>
    </cfRule>
    <cfRule type="cellIs" dxfId="28477" priority="1021" stopIfTrue="1" operator="equal">
      <formula>"Towel"</formula>
    </cfRule>
    <cfRule type="cellIs" dxfId="28476" priority="1022" stopIfTrue="1" operator="equal">
      <formula>"Napkin Hs"</formula>
    </cfRule>
    <cfRule type="cellIs" dxfId="28475" priority="1025" stopIfTrue="1" operator="equal">
      <formula>"Towel"</formula>
    </cfRule>
    <cfRule type="cellIs" dxfId="28474" priority="1026" stopIfTrue="1" operator="equal">
      <formula>"Napkin Hs"</formula>
    </cfRule>
    <cfRule type="cellIs" dxfId="28473" priority="1027" stopIfTrue="1" operator="equal">
      <formula>"Towel"</formula>
    </cfRule>
    <cfRule type="cellIs" dxfId="28472" priority="1028" stopIfTrue="1" operator="equal">
      <formula>"Napkin Hs"</formula>
    </cfRule>
    <cfRule type="cellIs" dxfId="28471" priority="1031" stopIfTrue="1" operator="equal">
      <formula>"Towel"</formula>
    </cfRule>
    <cfRule type="cellIs" dxfId="28470" priority="1032" stopIfTrue="1" operator="equal">
      <formula>"Napkin Hs"</formula>
    </cfRule>
    <cfRule type="cellIs" dxfId="28469" priority="1033" stopIfTrue="1" operator="equal">
      <formula>"Towel"</formula>
    </cfRule>
    <cfRule type="cellIs" dxfId="28468" priority="1034" stopIfTrue="1" operator="equal">
      <formula>"Napkin Hs"</formula>
    </cfRule>
    <cfRule type="cellIs" dxfId="28467" priority="1037" stopIfTrue="1" operator="equal">
      <formula>"Towel"</formula>
    </cfRule>
    <cfRule type="cellIs" dxfId="28466" priority="1038" stopIfTrue="1" operator="equal">
      <formula>"Napkin Hs"</formula>
    </cfRule>
  </conditionalFormatting>
  <conditionalFormatting sqref="C135">
    <cfRule type="cellIs" dxfId="28465" priority="1039" stopIfTrue="1" operator="equal">
      <formula>"Towel"</formula>
    </cfRule>
    <cfRule type="cellIs" dxfId="28464" priority="1040" stopIfTrue="1" operator="equal">
      <formula>"Napkin Hs"</formula>
    </cfRule>
  </conditionalFormatting>
  <conditionalFormatting sqref="B135:C135">
    <cfRule type="cellIs" dxfId="28463" priority="909" stopIfTrue="1" operator="equal">
      <formula>"Towel"</formula>
    </cfRule>
    <cfRule type="cellIs" dxfId="28462" priority="910" stopIfTrue="1" operator="equal">
      <formula>"Napkin Hs"</formula>
    </cfRule>
    <cfRule type="cellIs" dxfId="28461" priority="915" stopIfTrue="1" operator="equal">
      <formula>"Towel"</formula>
    </cfRule>
    <cfRule type="cellIs" dxfId="28460" priority="916" stopIfTrue="1" operator="equal">
      <formula>"Napkin Hs"</formula>
    </cfRule>
    <cfRule type="cellIs" dxfId="28459" priority="921" stopIfTrue="1" operator="equal">
      <formula>"Towel"</formula>
    </cfRule>
    <cfRule type="cellIs" dxfId="28458" priority="922" stopIfTrue="1" operator="equal">
      <formula>"Napkin Hs"</formula>
    </cfRule>
    <cfRule type="cellIs" dxfId="28457" priority="927" stopIfTrue="1" operator="equal">
      <formula>"Towel"</formula>
    </cfRule>
    <cfRule type="cellIs" dxfId="28456" priority="928" stopIfTrue="1" operator="equal">
      <formula>"Napkin Hs"</formula>
    </cfRule>
    <cfRule type="cellIs" dxfId="28455" priority="933" stopIfTrue="1" operator="equal">
      <formula>"Towel"</formula>
    </cfRule>
    <cfRule type="cellIs" dxfId="28454" priority="934" stopIfTrue="1" operator="equal">
      <formula>"Napkin Hs"</formula>
    </cfRule>
    <cfRule type="cellIs" dxfId="28453" priority="939" stopIfTrue="1" operator="equal">
      <formula>"Towel"</formula>
    </cfRule>
    <cfRule type="cellIs" dxfId="28452" priority="940" stopIfTrue="1" operator="equal">
      <formula>"Napkin Hs"</formula>
    </cfRule>
    <cfRule type="cellIs" dxfId="28451" priority="943" stopIfTrue="1" operator="equal">
      <formula>"Towel"</formula>
    </cfRule>
    <cfRule type="cellIs" dxfId="28450" priority="944" stopIfTrue="1" operator="equal">
      <formula>"Napkin Hs"</formula>
    </cfRule>
    <cfRule type="cellIs" dxfId="28449" priority="951" stopIfTrue="1" operator="equal">
      <formula>"Towel"</formula>
    </cfRule>
    <cfRule type="cellIs" dxfId="28448" priority="952" stopIfTrue="1" operator="equal">
      <formula>"Napkin Hs"</formula>
    </cfRule>
    <cfRule type="cellIs" dxfId="28447" priority="957" stopIfTrue="1" operator="equal">
      <formula>"Towel"</formula>
    </cfRule>
    <cfRule type="cellIs" dxfId="28446" priority="958" stopIfTrue="1" operator="equal">
      <formula>"Napkin Hs"</formula>
    </cfRule>
    <cfRule type="cellIs" dxfId="28445" priority="963" stopIfTrue="1" operator="equal">
      <formula>"Towel"</formula>
    </cfRule>
    <cfRule type="cellIs" dxfId="28444" priority="964" stopIfTrue="1" operator="equal">
      <formula>"Napkin Hs"</formula>
    </cfRule>
    <cfRule type="cellIs" dxfId="28443" priority="969" stopIfTrue="1" operator="equal">
      <formula>"Towel"</formula>
    </cfRule>
    <cfRule type="cellIs" dxfId="28442" priority="970" stopIfTrue="1" operator="equal">
      <formula>"Napkin Hs"</formula>
    </cfRule>
    <cfRule type="cellIs" dxfId="28441" priority="975" stopIfTrue="1" operator="equal">
      <formula>"Towel"</formula>
    </cfRule>
    <cfRule type="cellIs" dxfId="28440" priority="976" stopIfTrue="1" operator="equal">
      <formula>"Napkin Hs"</formula>
    </cfRule>
    <cfRule type="cellIs" dxfId="28439" priority="981" stopIfTrue="1" operator="equal">
      <formula>"Towel"</formula>
    </cfRule>
    <cfRule type="cellIs" dxfId="28438" priority="982" stopIfTrue="1" operator="equal">
      <formula>"Napkin Hs"</formula>
    </cfRule>
    <cfRule type="cellIs" dxfId="28437" priority="987" stopIfTrue="1" operator="equal">
      <formula>"Towel"</formula>
    </cfRule>
    <cfRule type="cellIs" dxfId="28436" priority="988" stopIfTrue="1" operator="equal">
      <formula>"Napkin Hs"</formula>
    </cfRule>
  </conditionalFormatting>
  <conditionalFormatting sqref="C135">
    <cfRule type="cellIs" dxfId="28435" priority="905" stopIfTrue="1" operator="equal">
      <formula>"Towel"</formula>
    </cfRule>
    <cfRule type="cellIs" dxfId="28434" priority="906" stopIfTrue="1" operator="equal">
      <formula>"Napkin Hs"</formula>
    </cfRule>
    <cfRule type="cellIs" dxfId="28433" priority="907" stopIfTrue="1" operator="equal">
      <formula>"Towel"</formula>
    </cfRule>
    <cfRule type="cellIs" dxfId="28432" priority="908" stopIfTrue="1" operator="equal">
      <formula>"Napkin Hs"</formula>
    </cfRule>
    <cfRule type="cellIs" dxfId="28431" priority="911" stopIfTrue="1" operator="equal">
      <formula>"Towel"</formula>
    </cfRule>
    <cfRule type="cellIs" dxfId="28430" priority="912" stopIfTrue="1" operator="equal">
      <formula>"Napkin Hs"</formula>
    </cfRule>
    <cfRule type="cellIs" dxfId="28429" priority="913" stopIfTrue="1" operator="equal">
      <formula>"Towel"</formula>
    </cfRule>
    <cfRule type="cellIs" dxfId="28428" priority="914" stopIfTrue="1" operator="equal">
      <formula>"Napkin Hs"</formula>
    </cfRule>
    <cfRule type="cellIs" dxfId="28427" priority="917" stopIfTrue="1" operator="equal">
      <formula>"Towel"</formula>
    </cfRule>
    <cfRule type="cellIs" dxfId="28426" priority="918" stopIfTrue="1" operator="equal">
      <formula>"Napkin Hs"</formula>
    </cfRule>
    <cfRule type="cellIs" dxfId="28425" priority="919" stopIfTrue="1" operator="equal">
      <formula>"Towel"</formula>
    </cfRule>
    <cfRule type="cellIs" dxfId="28424" priority="920" stopIfTrue="1" operator="equal">
      <formula>"Napkin Hs"</formula>
    </cfRule>
    <cfRule type="cellIs" dxfId="28423" priority="923" stopIfTrue="1" operator="equal">
      <formula>"Towel"</formula>
    </cfRule>
    <cfRule type="cellIs" dxfId="28422" priority="924" stopIfTrue="1" operator="equal">
      <formula>"Napkin Hs"</formula>
    </cfRule>
    <cfRule type="cellIs" dxfId="28421" priority="925" stopIfTrue="1" operator="equal">
      <formula>"Towel"</formula>
    </cfRule>
    <cfRule type="cellIs" dxfId="28420" priority="926" stopIfTrue="1" operator="equal">
      <formula>"Napkin Hs"</formula>
    </cfRule>
    <cfRule type="cellIs" dxfId="28419" priority="929" stopIfTrue="1" operator="equal">
      <formula>"Towel"</formula>
    </cfRule>
    <cfRule type="cellIs" dxfId="28418" priority="930" stopIfTrue="1" operator="equal">
      <formula>"Napkin Hs"</formula>
    </cfRule>
    <cfRule type="cellIs" dxfId="28417" priority="931" stopIfTrue="1" operator="equal">
      <formula>"Towel"</formula>
    </cfRule>
    <cfRule type="cellIs" dxfId="28416" priority="932" stopIfTrue="1" operator="equal">
      <formula>"Napkin Hs"</formula>
    </cfRule>
    <cfRule type="cellIs" dxfId="28415" priority="935" stopIfTrue="1" operator="equal">
      <formula>"Towel"</formula>
    </cfRule>
    <cfRule type="cellIs" dxfId="28414" priority="936" stopIfTrue="1" operator="equal">
      <formula>"Napkin Hs"</formula>
    </cfRule>
    <cfRule type="cellIs" dxfId="28413" priority="937" stopIfTrue="1" operator="equal">
      <formula>"Towel"</formula>
    </cfRule>
    <cfRule type="cellIs" dxfId="28412" priority="938" stopIfTrue="1" operator="equal">
      <formula>"Napkin Hs"</formula>
    </cfRule>
    <cfRule type="cellIs" dxfId="28411" priority="941" stopIfTrue="1" operator="equal">
      <formula>"Towel"</formula>
    </cfRule>
    <cfRule type="cellIs" dxfId="28410" priority="942" stopIfTrue="1" operator="equal">
      <formula>"Napkin Hs"</formula>
    </cfRule>
    <cfRule type="cellIs" dxfId="28409" priority="945" stopIfTrue="1" operator="equal">
      <formula>"Towel"</formula>
    </cfRule>
    <cfRule type="cellIs" dxfId="28408" priority="946" stopIfTrue="1" operator="equal">
      <formula>"Napkin Hs"</formula>
    </cfRule>
    <cfRule type="cellIs" dxfId="28407" priority="947" stopIfTrue="1" operator="equal">
      <formula>"Towel"</formula>
    </cfRule>
    <cfRule type="cellIs" dxfId="28406" priority="948" stopIfTrue="1" operator="equal">
      <formula>"Napkin Hs"</formula>
    </cfRule>
    <cfRule type="cellIs" dxfId="28405" priority="949" stopIfTrue="1" operator="equal">
      <formula>"Towel"</formula>
    </cfRule>
    <cfRule type="cellIs" dxfId="28404" priority="950" stopIfTrue="1" operator="equal">
      <formula>"Napkin Hs"</formula>
    </cfRule>
    <cfRule type="cellIs" dxfId="28403" priority="953" stopIfTrue="1" operator="equal">
      <formula>"Towel"</formula>
    </cfRule>
    <cfRule type="cellIs" dxfId="28402" priority="954" stopIfTrue="1" operator="equal">
      <formula>"Napkin Hs"</formula>
    </cfRule>
    <cfRule type="cellIs" dxfId="28401" priority="955" stopIfTrue="1" operator="equal">
      <formula>"Towel"</formula>
    </cfRule>
    <cfRule type="cellIs" dxfId="28400" priority="956" stopIfTrue="1" operator="equal">
      <formula>"Napkin Hs"</formula>
    </cfRule>
    <cfRule type="cellIs" dxfId="28399" priority="959" stopIfTrue="1" operator="equal">
      <formula>"Towel"</formula>
    </cfRule>
    <cfRule type="cellIs" dxfId="28398" priority="960" stopIfTrue="1" operator="equal">
      <formula>"Napkin Hs"</formula>
    </cfRule>
    <cfRule type="cellIs" dxfId="28397" priority="961" stopIfTrue="1" operator="equal">
      <formula>"Towel"</formula>
    </cfRule>
    <cfRule type="cellIs" dxfId="28396" priority="962" stopIfTrue="1" operator="equal">
      <formula>"Napkin Hs"</formula>
    </cfRule>
    <cfRule type="cellIs" dxfId="28395" priority="965" stopIfTrue="1" operator="equal">
      <formula>"Towel"</formula>
    </cfRule>
    <cfRule type="cellIs" dxfId="28394" priority="966" stopIfTrue="1" operator="equal">
      <formula>"Napkin Hs"</formula>
    </cfRule>
    <cfRule type="cellIs" dxfId="28393" priority="967" stopIfTrue="1" operator="equal">
      <formula>"Towel"</formula>
    </cfRule>
    <cfRule type="cellIs" dxfId="28392" priority="968" stopIfTrue="1" operator="equal">
      <formula>"Napkin Hs"</formula>
    </cfRule>
    <cfRule type="cellIs" dxfId="28391" priority="971" stopIfTrue="1" operator="equal">
      <formula>"Towel"</formula>
    </cfRule>
    <cfRule type="cellIs" dxfId="28390" priority="972" stopIfTrue="1" operator="equal">
      <formula>"Napkin Hs"</formula>
    </cfRule>
    <cfRule type="cellIs" dxfId="28389" priority="973" stopIfTrue="1" operator="equal">
      <formula>"Towel"</formula>
    </cfRule>
    <cfRule type="cellIs" dxfId="28388" priority="974" stopIfTrue="1" operator="equal">
      <formula>"Napkin Hs"</formula>
    </cfRule>
    <cfRule type="cellIs" dxfId="28387" priority="977" stopIfTrue="1" operator="equal">
      <formula>"Towel"</formula>
    </cfRule>
    <cfRule type="cellIs" dxfId="28386" priority="978" stopIfTrue="1" operator="equal">
      <formula>"Napkin Hs"</formula>
    </cfRule>
    <cfRule type="cellIs" dxfId="28385" priority="979" stopIfTrue="1" operator="equal">
      <formula>"Towel"</formula>
    </cfRule>
    <cfRule type="cellIs" dxfId="28384" priority="980" stopIfTrue="1" operator="equal">
      <formula>"Napkin Hs"</formula>
    </cfRule>
    <cfRule type="cellIs" dxfId="28383" priority="983" stopIfTrue="1" operator="equal">
      <formula>"Towel"</formula>
    </cfRule>
    <cfRule type="cellIs" dxfId="28382" priority="984" stopIfTrue="1" operator="equal">
      <formula>"Napkin Hs"</formula>
    </cfRule>
  </conditionalFormatting>
  <conditionalFormatting sqref="C135">
    <cfRule type="cellIs" dxfId="28381" priority="985" stopIfTrue="1" operator="equal">
      <formula>"Towel"</formula>
    </cfRule>
    <cfRule type="cellIs" dxfId="28380" priority="986" stopIfTrue="1" operator="equal">
      <formula>"Napkin Hs"</formula>
    </cfRule>
  </conditionalFormatting>
  <conditionalFormatting sqref="B136:C136">
    <cfRule type="cellIs" dxfId="28379" priority="827" stopIfTrue="1" operator="equal">
      <formula>"Towel"</formula>
    </cfRule>
    <cfRule type="cellIs" dxfId="28378" priority="828" stopIfTrue="1" operator="equal">
      <formula>"Napkin Hs"</formula>
    </cfRule>
    <cfRule type="cellIs" dxfId="28377" priority="833" stopIfTrue="1" operator="equal">
      <formula>"Towel"</formula>
    </cfRule>
    <cfRule type="cellIs" dxfId="28376" priority="834" stopIfTrue="1" operator="equal">
      <formula>"Napkin Hs"</formula>
    </cfRule>
    <cfRule type="cellIs" dxfId="28375" priority="839" stopIfTrue="1" operator="equal">
      <formula>"Towel"</formula>
    </cfRule>
    <cfRule type="cellIs" dxfId="28374" priority="840" stopIfTrue="1" operator="equal">
      <formula>"Napkin Hs"</formula>
    </cfRule>
    <cfRule type="cellIs" dxfId="28373" priority="845" stopIfTrue="1" operator="equal">
      <formula>"Towel"</formula>
    </cfRule>
    <cfRule type="cellIs" dxfId="28372" priority="846" stopIfTrue="1" operator="equal">
      <formula>"Napkin Hs"</formula>
    </cfRule>
    <cfRule type="cellIs" dxfId="28371" priority="851" stopIfTrue="1" operator="equal">
      <formula>"Towel"</formula>
    </cfRule>
    <cfRule type="cellIs" dxfId="28370" priority="852" stopIfTrue="1" operator="equal">
      <formula>"Napkin Hs"</formula>
    </cfRule>
    <cfRule type="cellIs" dxfId="28369" priority="857" stopIfTrue="1" operator="equal">
      <formula>"Towel"</formula>
    </cfRule>
    <cfRule type="cellIs" dxfId="28368" priority="858" stopIfTrue="1" operator="equal">
      <formula>"Napkin Hs"</formula>
    </cfRule>
    <cfRule type="cellIs" dxfId="28367" priority="861" stopIfTrue="1" operator="equal">
      <formula>"Towel"</formula>
    </cfRule>
    <cfRule type="cellIs" dxfId="28366" priority="862" stopIfTrue="1" operator="equal">
      <formula>"Napkin Hs"</formula>
    </cfRule>
    <cfRule type="cellIs" dxfId="28365" priority="867" stopIfTrue="1" operator="equal">
      <formula>"Towel"</formula>
    </cfRule>
    <cfRule type="cellIs" dxfId="28364" priority="868" stopIfTrue="1" operator="equal">
      <formula>"Napkin Hs"</formula>
    </cfRule>
    <cfRule type="cellIs" dxfId="28363" priority="873" stopIfTrue="1" operator="equal">
      <formula>"Towel"</formula>
    </cfRule>
    <cfRule type="cellIs" dxfId="28362" priority="874" stopIfTrue="1" operator="equal">
      <formula>"Napkin Hs"</formula>
    </cfRule>
    <cfRule type="cellIs" dxfId="28361" priority="879" stopIfTrue="1" operator="equal">
      <formula>"Towel"</formula>
    </cfRule>
    <cfRule type="cellIs" dxfId="28360" priority="880" stopIfTrue="1" operator="equal">
      <formula>"Napkin Hs"</formula>
    </cfRule>
    <cfRule type="cellIs" dxfId="28359" priority="885" stopIfTrue="1" operator="equal">
      <formula>"Towel"</formula>
    </cfRule>
    <cfRule type="cellIs" dxfId="28358" priority="886" stopIfTrue="1" operator="equal">
      <formula>"Napkin Hs"</formula>
    </cfRule>
    <cfRule type="cellIs" dxfId="28357" priority="891" stopIfTrue="1" operator="equal">
      <formula>"Towel"</formula>
    </cfRule>
    <cfRule type="cellIs" dxfId="28356" priority="892" stopIfTrue="1" operator="equal">
      <formula>"Napkin Hs"</formula>
    </cfRule>
    <cfRule type="cellIs" dxfId="28355" priority="897" stopIfTrue="1" operator="equal">
      <formula>"Towel"</formula>
    </cfRule>
    <cfRule type="cellIs" dxfId="28354" priority="898" stopIfTrue="1" operator="equal">
      <formula>"Napkin Hs"</formula>
    </cfRule>
    <cfRule type="cellIs" dxfId="28353" priority="902" stopIfTrue="1" operator="equal">
      <formula>"Napkin Hs"</formula>
    </cfRule>
  </conditionalFormatting>
  <conditionalFormatting sqref="B136:C136">
    <cfRule type="cellIs" dxfId="28352" priority="901" stopIfTrue="1" operator="equal">
      <formula>"Towel"</formula>
    </cfRule>
  </conditionalFormatting>
  <conditionalFormatting sqref="C136">
    <cfRule type="cellIs" dxfId="28351" priority="823" stopIfTrue="1" operator="equal">
      <formula>"Towel"</formula>
    </cfRule>
    <cfRule type="cellIs" dxfId="28350" priority="824" stopIfTrue="1" operator="equal">
      <formula>"Napkin Hs"</formula>
    </cfRule>
  </conditionalFormatting>
  <conditionalFormatting sqref="C136">
    <cfRule type="cellIs" dxfId="28349" priority="863" stopIfTrue="1" operator="equal">
      <formula>"Towel"</formula>
    </cfRule>
    <cfRule type="cellIs" dxfId="28348" priority="864" stopIfTrue="1" operator="equal">
      <formula>"Napkin Hs"</formula>
    </cfRule>
    <cfRule type="cellIs" dxfId="28347" priority="903" stopIfTrue="1" operator="equal">
      <formula>"Towel"</formula>
    </cfRule>
    <cfRule type="cellIs" dxfId="28346" priority="904" stopIfTrue="1" operator="equal">
      <formula>"Napkin Hs"</formula>
    </cfRule>
  </conditionalFormatting>
  <conditionalFormatting sqref="C136">
    <cfRule type="cellIs" dxfId="28345" priority="825" stopIfTrue="1" operator="equal">
      <formula>"Towel"</formula>
    </cfRule>
    <cfRule type="cellIs" dxfId="28344" priority="826" stopIfTrue="1" operator="equal">
      <formula>"Napkin Hs"</formula>
    </cfRule>
    <cfRule type="cellIs" dxfId="28343" priority="829" stopIfTrue="1" operator="equal">
      <formula>"Towel"</formula>
    </cfRule>
    <cfRule type="cellIs" dxfId="28342" priority="830" stopIfTrue="1" operator="equal">
      <formula>"Napkin Hs"</formula>
    </cfRule>
    <cfRule type="cellIs" dxfId="28341" priority="831" stopIfTrue="1" operator="equal">
      <formula>"Towel"</formula>
    </cfRule>
    <cfRule type="cellIs" dxfId="28340" priority="832" stopIfTrue="1" operator="equal">
      <formula>"Napkin Hs"</formula>
    </cfRule>
    <cfRule type="cellIs" dxfId="28339" priority="835" stopIfTrue="1" operator="equal">
      <formula>"Towel"</formula>
    </cfRule>
    <cfRule type="cellIs" dxfId="28338" priority="836" stopIfTrue="1" operator="equal">
      <formula>"Napkin Hs"</formula>
    </cfRule>
    <cfRule type="cellIs" dxfId="28337" priority="837" stopIfTrue="1" operator="equal">
      <formula>"Towel"</formula>
    </cfRule>
    <cfRule type="cellIs" dxfId="28336" priority="838" stopIfTrue="1" operator="equal">
      <formula>"Napkin Hs"</formula>
    </cfRule>
    <cfRule type="cellIs" dxfId="28335" priority="841" stopIfTrue="1" operator="equal">
      <formula>"Towel"</formula>
    </cfRule>
    <cfRule type="cellIs" dxfId="28334" priority="842" stopIfTrue="1" operator="equal">
      <formula>"Napkin Hs"</formula>
    </cfRule>
    <cfRule type="cellIs" dxfId="28333" priority="843" stopIfTrue="1" operator="equal">
      <formula>"Towel"</formula>
    </cfRule>
    <cfRule type="cellIs" dxfId="28332" priority="844" stopIfTrue="1" operator="equal">
      <formula>"Napkin Hs"</formula>
    </cfRule>
    <cfRule type="cellIs" dxfId="28331" priority="847" stopIfTrue="1" operator="equal">
      <formula>"Towel"</formula>
    </cfRule>
    <cfRule type="cellIs" dxfId="28330" priority="848" stopIfTrue="1" operator="equal">
      <formula>"Napkin Hs"</formula>
    </cfRule>
    <cfRule type="cellIs" dxfId="28329" priority="849" stopIfTrue="1" operator="equal">
      <formula>"Towel"</formula>
    </cfRule>
    <cfRule type="cellIs" dxfId="28328" priority="850" stopIfTrue="1" operator="equal">
      <formula>"Napkin Hs"</formula>
    </cfRule>
    <cfRule type="cellIs" dxfId="28327" priority="853" stopIfTrue="1" operator="equal">
      <formula>"Towel"</formula>
    </cfRule>
    <cfRule type="cellIs" dxfId="28326" priority="854" stopIfTrue="1" operator="equal">
      <formula>"Napkin Hs"</formula>
    </cfRule>
    <cfRule type="cellIs" dxfId="28325" priority="855" stopIfTrue="1" operator="equal">
      <formula>"Towel"</formula>
    </cfRule>
    <cfRule type="cellIs" dxfId="28324" priority="856" stopIfTrue="1" operator="equal">
      <formula>"Napkin Hs"</formula>
    </cfRule>
    <cfRule type="cellIs" dxfId="28323" priority="859" stopIfTrue="1" operator="equal">
      <formula>"Towel"</formula>
    </cfRule>
    <cfRule type="cellIs" dxfId="28322" priority="860" stopIfTrue="1" operator="equal">
      <formula>"Napkin Hs"</formula>
    </cfRule>
    <cfRule type="cellIs" dxfId="28321" priority="865" stopIfTrue="1" operator="equal">
      <formula>"Towel"</formula>
    </cfRule>
    <cfRule type="cellIs" dxfId="28320" priority="866" stopIfTrue="1" operator="equal">
      <formula>"Napkin Hs"</formula>
    </cfRule>
    <cfRule type="cellIs" dxfId="28319" priority="869" stopIfTrue="1" operator="equal">
      <formula>"Towel"</formula>
    </cfRule>
    <cfRule type="cellIs" dxfId="28318" priority="870" stopIfTrue="1" operator="equal">
      <formula>"Napkin Hs"</formula>
    </cfRule>
    <cfRule type="cellIs" dxfId="28317" priority="871" stopIfTrue="1" operator="equal">
      <formula>"Towel"</formula>
    </cfRule>
    <cfRule type="cellIs" dxfId="28316" priority="872" stopIfTrue="1" operator="equal">
      <formula>"Napkin Hs"</formula>
    </cfRule>
    <cfRule type="cellIs" dxfId="28315" priority="875" stopIfTrue="1" operator="equal">
      <formula>"Towel"</formula>
    </cfRule>
    <cfRule type="cellIs" dxfId="28314" priority="876" stopIfTrue="1" operator="equal">
      <formula>"Napkin Hs"</formula>
    </cfRule>
    <cfRule type="cellIs" dxfId="28313" priority="877" stopIfTrue="1" operator="equal">
      <formula>"Towel"</formula>
    </cfRule>
    <cfRule type="cellIs" dxfId="28312" priority="878" stopIfTrue="1" operator="equal">
      <formula>"Napkin Hs"</formula>
    </cfRule>
    <cfRule type="cellIs" dxfId="28311" priority="881" stopIfTrue="1" operator="equal">
      <formula>"Towel"</formula>
    </cfRule>
    <cfRule type="cellIs" dxfId="28310" priority="882" stopIfTrue="1" operator="equal">
      <formula>"Napkin Hs"</formula>
    </cfRule>
    <cfRule type="cellIs" dxfId="28309" priority="883" stopIfTrue="1" operator="equal">
      <formula>"Towel"</formula>
    </cfRule>
    <cfRule type="cellIs" dxfId="28308" priority="884" stopIfTrue="1" operator="equal">
      <formula>"Napkin Hs"</formula>
    </cfRule>
    <cfRule type="cellIs" dxfId="28307" priority="887" stopIfTrue="1" operator="equal">
      <formula>"Towel"</formula>
    </cfRule>
    <cfRule type="cellIs" dxfId="28306" priority="888" stopIfTrue="1" operator="equal">
      <formula>"Napkin Hs"</formula>
    </cfRule>
    <cfRule type="cellIs" dxfId="28305" priority="889" stopIfTrue="1" operator="equal">
      <formula>"Towel"</formula>
    </cfRule>
    <cfRule type="cellIs" dxfId="28304" priority="890" stopIfTrue="1" operator="equal">
      <formula>"Napkin Hs"</formula>
    </cfRule>
    <cfRule type="cellIs" dxfId="28303" priority="893" stopIfTrue="1" operator="equal">
      <formula>"Towel"</formula>
    </cfRule>
    <cfRule type="cellIs" dxfId="28302" priority="894" stopIfTrue="1" operator="equal">
      <formula>"Napkin Hs"</formula>
    </cfRule>
    <cfRule type="cellIs" dxfId="28301" priority="895" stopIfTrue="1" operator="equal">
      <formula>"Towel"</formula>
    </cfRule>
    <cfRule type="cellIs" dxfId="28300" priority="896" stopIfTrue="1" operator="equal">
      <formula>"Napkin Hs"</formula>
    </cfRule>
  </conditionalFormatting>
  <conditionalFormatting sqref="C136">
    <cfRule type="cellIs" dxfId="28299" priority="899" stopIfTrue="1" operator="equal">
      <formula>"Towel"</formula>
    </cfRule>
    <cfRule type="cellIs" dxfId="28298" priority="900" stopIfTrue="1" operator="equal">
      <formula>"Napkin Hs"</formula>
    </cfRule>
  </conditionalFormatting>
  <conditionalFormatting sqref="B142:C142">
    <cfRule type="cellIs" dxfId="28297" priority="820" stopIfTrue="1" operator="equal">
      <formula>"Napkin Hs"</formula>
    </cfRule>
  </conditionalFormatting>
  <conditionalFormatting sqref="B142:C142">
    <cfRule type="cellIs" dxfId="28296" priority="819" stopIfTrue="1" operator="equal">
      <formula>"Towel"</formula>
    </cfRule>
  </conditionalFormatting>
  <conditionalFormatting sqref="C142">
    <cfRule type="cellIs" dxfId="28295" priority="817" stopIfTrue="1" operator="equal">
      <formula>"Towel"</formula>
    </cfRule>
    <cfRule type="cellIs" dxfId="28294" priority="818" stopIfTrue="1" operator="equal">
      <formula>"Napkin Hs"</formula>
    </cfRule>
  </conditionalFormatting>
  <conditionalFormatting sqref="C142">
    <cfRule type="cellIs" dxfId="28293" priority="821" stopIfTrue="1" operator="equal">
      <formula>"Towel"</formula>
    </cfRule>
    <cfRule type="cellIs" dxfId="28292" priority="822" stopIfTrue="1" operator="equal">
      <formula>"Napkin Hs"</formula>
    </cfRule>
  </conditionalFormatting>
  <conditionalFormatting sqref="B142">
    <cfRule type="cellIs" dxfId="28291" priority="713" stopIfTrue="1" operator="equal">
      <formula>"Towel"</formula>
    </cfRule>
    <cfRule type="cellIs" dxfId="28290" priority="714" stopIfTrue="1" operator="equal">
      <formula>"Napkin Hs"</formula>
    </cfRule>
  </conditionalFormatting>
  <conditionalFormatting sqref="B142:C142">
    <cfRule type="cellIs" dxfId="28289" priority="773" stopIfTrue="1" operator="equal">
      <formula>"Towel"</formula>
    </cfRule>
    <cfRule type="cellIs" dxfId="28288" priority="774" stopIfTrue="1" operator="equal">
      <formula>"Napkin Hs"</formula>
    </cfRule>
    <cfRule type="cellIs" dxfId="28287" priority="779" stopIfTrue="1" operator="equal">
      <formula>"Towel"</formula>
    </cfRule>
    <cfRule type="cellIs" dxfId="28286" priority="780" stopIfTrue="1" operator="equal">
      <formula>"Napkin Hs"</formula>
    </cfRule>
    <cfRule type="cellIs" dxfId="28285" priority="785" stopIfTrue="1" operator="equal">
      <formula>"Towel"</formula>
    </cfRule>
    <cfRule type="cellIs" dxfId="28284" priority="786" stopIfTrue="1" operator="equal">
      <formula>"Napkin Hs"</formula>
    </cfRule>
    <cfRule type="cellIs" dxfId="28283" priority="791" stopIfTrue="1" operator="equal">
      <formula>"Towel"</formula>
    </cfRule>
    <cfRule type="cellIs" dxfId="28282" priority="792" stopIfTrue="1" operator="equal">
      <formula>"Napkin Hs"</formula>
    </cfRule>
    <cfRule type="cellIs" dxfId="28281" priority="797" stopIfTrue="1" operator="equal">
      <formula>"Towel"</formula>
    </cfRule>
    <cfRule type="cellIs" dxfId="28280" priority="798" stopIfTrue="1" operator="equal">
      <formula>"Napkin Hs"</formula>
    </cfRule>
    <cfRule type="cellIs" dxfId="28279" priority="803" stopIfTrue="1" operator="equal">
      <formula>"Towel"</formula>
    </cfRule>
    <cfRule type="cellIs" dxfId="28278" priority="804" stopIfTrue="1" operator="equal">
      <formula>"Napkin Hs"</formula>
    </cfRule>
    <cfRule type="cellIs" dxfId="28277" priority="809" stopIfTrue="1" operator="equal">
      <formula>"Towel"</formula>
    </cfRule>
    <cfRule type="cellIs" dxfId="28276" priority="810" stopIfTrue="1" operator="equal">
      <formula>"Napkin Hs"</formula>
    </cfRule>
    <cfRule type="cellIs" dxfId="28275" priority="815" stopIfTrue="1" operator="equal">
      <formula>"Towel"</formula>
    </cfRule>
    <cfRule type="cellIs" dxfId="28274" priority="816" stopIfTrue="1" operator="equal">
      <formula>"Napkin Hs"</formula>
    </cfRule>
  </conditionalFormatting>
  <conditionalFormatting sqref="B142:C142">
    <cfRule type="cellIs" dxfId="28273" priority="715" stopIfTrue="1" operator="equal">
      <formula>"Towel"</formula>
    </cfRule>
    <cfRule type="cellIs" dxfId="28272" priority="716" stopIfTrue="1" operator="equal">
      <formula>"Napkin Hs"</formula>
    </cfRule>
    <cfRule type="cellIs" dxfId="28271" priority="731" stopIfTrue="1" operator="equal">
      <formula>"Towel"</formula>
    </cfRule>
    <cfRule type="cellIs" dxfId="28270" priority="732" stopIfTrue="1" operator="equal">
      <formula>"Napkin Hs"</formula>
    </cfRule>
    <cfRule type="cellIs" dxfId="28269" priority="737" stopIfTrue="1" operator="equal">
      <formula>"Towel"</formula>
    </cfRule>
    <cfRule type="cellIs" dxfId="28268" priority="738" stopIfTrue="1" operator="equal">
      <formula>"Napkin Hs"</formula>
    </cfRule>
    <cfRule type="cellIs" dxfId="28267" priority="743" stopIfTrue="1" operator="equal">
      <formula>"Towel"</formula>
    </cfRule>
    <cfRule type="cellIs" dxfId="28266" priority="744" stopIfTrue="1" operator="equal">
      <formula>"Napkin Hs"</formula>
    </cfRule>
    <cfRule type="cellIs" dxfId="28265" priority="749" stopIfTrue="1" operator="equal">
      <formula>"Towel"</formula>
    </cfRule>
    <cfRule type="cellIs" dxfId="28264" priority="750" stopIfTrue="1" operator="equal">
      <formula>"Napkin Hs"</formula>
    </cfRule>
    <cfRule type="cellIs" dxfId="28263" priority="755" stopIfTrue="1" operator="equal">
      <formula>"Towel"</formula>
    </cfRule>
    <cfRule type="cellIs" dxfId="28262" priority="756" stopIfTrue="1" operator="equal">
      <formula>"Napkin Hs"</formula>
    </cfRule>
    <cfRule type="cellIs" dxfId="28261" priority="761" stopIfTrue="1" operator="equal">
      <formula>"Towel"</formula>
    </cfRule>
    <cfRule type="cellIs" dxfId="28260" priority="762" stopIfTrue="1" operator="equal">
      <formula>"Napkin Hs"</formula>
    </cfRule>
    <cfRule type="cellIs" dxfId="28259" priority="767" stopIfTrue="1" operator="equal">
      <formula>"Towel"</formula>
    </cfRule>
    <cfRule type="cellIs" dxfId="28258" priority="768" stopIfTrue="1" operator="equal">
      <formula>"Napkin Hs"</formula>
    </cfRule>
  </conditionalFormatting>
  <conditionalFormatting sqref="C142">
    <cfRule type="cellIs" dxfId="28257" priority="769" stopIfTrue="1" operator="equal">
      <formula>"Towel"</formula>
    </cfRule>
    <cfRule type="cellIs" dxfId="28256" priority="770" stopIfTrue="1" operator="equal">
      <formula>"Napkin Hs"</formula>
    </cfRule>
    <cfRule type="cellIs" dxfId="28255" priority="771" stopIfTrue="1" operator="equal">
      <formula>"Towel"</formula>
    </cfRule>
    <cfRule type="cellIs" dxfId="28254" priority="772" stopIfTrue="1" operator="equal">
      <formula>"Napkin Hs"</formula>
    </cfRule>
    <cfRule type="cellIs" dxfId="28253" priority="775" stopIfTrue="1" operator="equal">
      <formula>"Towel"</formula>
    </cfRule>
    <cfRule type="cellIs" dxfId="28252" priority="776" stopIfTrue="1" operator="equal">
      <formula>"Napkin Hs"</formula>
    </cfRule>
    <cfRule type="cellIs" dxfId="28251" priority="777" stopIfTrue="1" operator="equal">
      <formula>"Towel"</formula>
    </cfRule>
    <cfRule type="cellIs" dxfId="28250" priority="778" stopIfTrue="1" operator="equal">
      <formula>"Napkin Hs"</formula>
    </cfRule>
    <cfRule type="cellIs" dxfId="28249" priority="781" stopIfTrue="1" operator="equal">
      <formula>"Towel"</formula>
    </cfRule>
    <cfRule type="cellIs" dxfId="28248" priority="782" stopIfTrue="1" operator="equal">
      <formula>"Napkin Hs"</formula>
    </cfRule>
    <cfRule type="cellIs" dxfId="28247" priority="783" stopIfTrue="1" operator="equal">
      <formula>"Towel"</formula>
    </cfRule>
    <cfRule type="cellIs" dxfId="28246" priority="784" stopIfTrue="1" operator="equal">
      <formula>"Napkin Hs"</formula>
    </cfRule>
    <cfRule type="cellIs" dxfId="28245" priority="787" stopIfTrue="1" operator="equal">
      <formula>"Towel"</formula>
    </cfRule>
    <cfRule type="cellIs" dxfId="28244" priority="788" stopIfTrue="1" operator="equal">
      <formula>"Napkin Hs"</formula>
    </cfRule>
    <cfRule type="cellIs" dxfId="28243" priority="789" stopIfTrue="1" operator="equal">
      <formula>"Towel"</formula>
    </cfRule>
    <cfRule type="cellIs" dxfId="28242" priority="790" stopIfTrue="1" operator="equal">
      <formula>"Napkin Hs"</formula>
    </cfRule>
    <cfRule type="cellIs" dxfId="28241" priority="793" stopIfTrue="1" operator="equal">
      <formula>"Towel"</formula>
    </cfRule>
    <cfRule type="cellIs" dxfId="28240" priority="794" stopIfTrue="1" operator="equal">
      <formula>"Napkin Hs"</formula>
    </cfRule>
    <cfRule type="cellIs" dxfId="28239" priority="795" stopIfTrue="1" operator="equal">
      <formula>"Towel"</formula>
    </cfRule>
    <cfRule type="cellIs" dxfId="28238" priority="796" stopIfTrue="1" operator="equal">
      <formula>"Napkin Hs"</formula>
    </cfRule>
    <cfRule type="cellIs" dxfId="28237" priority="799" stopIfTrue="1" operator="equal">
      <formula>"Towel"</formula>
    </cfRule>
    <cfRule type="cellIs" dxfId="28236" priority="800" stopIfTrue="1" operator="equal">
      <formula>"Napkin Hs"</formula>
    </cfRule>
    <cfRule type="cellIs" dxfId="28235" priority="801" stopIfTrue="1" operator="equal">
      <formula>"Towel"</formula>
    </cfRule>
    <cfRule type="cellIs" dxfId="28234" priority="802" stopIfTrue="1" operator="equal">
      <formula>"Napkin Hs"</formula>
    </cfRule>
    <cfRule type="cellIs" dxfId="28233" priority="805" stopIfTrue="1" operator="equal">
      <formula>"Towel"</formula>
    </cfRule>
    <cfRule type="cellIs" dxfId="28232" priority="806" stopIfTrue="1" operator="equal">
      <formula>"Napkin Hs"</formula>
    </cfRule>
    <cfRule type="cellIs" dxfId="28231" priority="807" stopIfTrue="1" operator="equal">
      <formula>"Towel"</formula>
    </cfRule>
    <cfRule type="cellIs" dxfId="28230" priority="808" stopIfTrue="1" operator="equal">
      <formula>"Napkin Hs"</formula>
    </cfRule>
    <cfRule type="cellIs" dxfId="28229" priority="811" stopIfTrue="1" operator="equal">
      <formula>"Towel"</formula>
    </cfRule>
    <cfRule type="cellIs" dxfId="28228" priority="812" stopIfTrue="1" operator="equal">
      <formula>"Napkin Hs"</formula>
    </cfRule>
  </conditionalFormatting>
  <conditionalFormatting sqref="C142">
    <cfRule type="cellIs" dxfId="28227" priority="717" stopIfTrue="1" operator="equal">
      <formula>"Towel"</formula>
    </cfRule>
    <cfRule type="cellIs" dxfId="28226" priority="718" stopIfTrue="1" operator="equal">
      <formula>"Napkin Hs"</formula>
    </cfRule>
    <cfRule type="cellIs" dxfId="28225" priority="719" stopIfTrue="1" operator="equal">
      <formula>"Towel"</formula>
    </cfRule>
    <cfRule type="cellIs" dxfId="28224" priority="720" stopIfTrue="1" operator="equal">
      <formula>"Napkin Hs"</formula>
    </cfRule>
    <cfRule type="cellIs" dxfId="28223" priority="721" stopIfTrue="1" operator="equal">
      <formula>"Towel"</formula>
    </cfRule>
    <cfRule type="cellIs" dxfId="28222" priority="722" stopIfTrue="1" operator="equal">
      <formula>"Napkin Hs"</formula>
    </cfRule>
    <cfRule type="cellIs" dxfId="28221" priority="723" stopIfTrue="1" operator="equal">
      <formula>"Towel"</formula>
    </cfRule>
    <cfRule type="cellIs" dxfId="28220" priority="724" stopIfTrue="1" operator="equal">
      <formula>"Napkin Hs"</formula>
    </cfRule>
    <cfRule type="cellIs" dxfId="28219" priority="725" stopIfTrue="1" operator="equal">
      <formula>"Towel"</formula>
    </cfRule>
    <cfRule type="cellIs" dxfId="28218" priority="726" stopIfTrue="1" operator="equal">
      <formula>"Napkin Hs"</formula>
    </cfRule>
    <cfRule type="cellIs" dxfId="28217" priority="727" stopIfTrue="1" operator="equal">
      <formula>"Towel"</formula>
    </cfRule>
    <cfRule type="cellIs" dxfId="28216" priority="728" stopIfTrue="1" operator="equal">
      <formula>"Napkin Hs"</formula>
    </cfRule>
    <cfRule type="cellIs" dxfId="28215" priority="729" stopIfTrue="1" operator="equal">
      <formula>"Towel"</formula>
    </cfRule>
    <cfRule type="cellIs" dxfId="28214" priority="730" stopIfTrue="1" operator="equal">
      <formula>"Napkin Hs"</formula>
    </cfRule>
    <cfRule type="cellIs" dxfId="28213" priority="733" stopIfTrue="1" operator="equal">
      <formula>"Towel"</formula>
    </cfRule>
    <cfRule type="cellIs" dxfId="28212" priority="734" stopIfTrue="1" operator="equal">
      <formula>"Napkin Hs"</formula>
    </cfRule>
    <cfRule type="cellIs" dxfId="28211" priority="735" stopIfTrue="1" operator="equal">
      <formula>"Towel"</formula>
    </cfRule>
    <cfRule type="cellIs" dxfId="28210" priority="736" stopIfTrue="1" operator="equal">
      <formula>"Napkin Hs"</formula>
    </cfRule>
    <cfRule type="cellIs" dxfId="28209" priority="739" stopIfTrue="1" operator="equal">
      <formula>"Towel"</formula>
    </cfRule>
    <cfRule type="cellIs" dxfId="28208" priority="740" stopIfTrue="1" operator="equal">
      <formula>"Napkin Hs"</formula>
    </cfRule>
    <cfRule type="cellIs" dxfId="28207" priority="741" stopIfTrue="1" operator="equal">
      <formula>"Towel"</formula>
    </cfRule>
    <cfRule type="cellIs" dxfId="28206" priority="742" stopIfTrue="1" operator="equal">
      <formula>"Napkin Hs"</formula>
    </cfRule>
    <cfRule type="cellIs" dxfId="28205" priority="745" stopIfTrue="1" operator="equal">
      <formula>"Towel"</formula>
    </cfRule>
    <cfRule type="cellIs" dxfId="28204" priority="746" stopIfTrue="1" operator="equal">
      <formula>"Napkin Hs"</formula>
    </cfRule>
    <cfRule type="cellIs" dxfId="28203" priority="747" stopIfTrue="1" operator="equal">
      <formula>"Towel"</formula>
    </cfRule>
    <cfRule type="cellIs" dxfId="28202" priority="748" stopIfTrue="1" operator="equal">
      <formula>"Napkin Hs"</formula>
    </cfRule>
    <cfRule type="cellIs" dxfId="28201" priority="751" stopIfTrue="1" operator="equal">
      <formula>"Towel"</formula>
    </cfRule>
    <cfRule type="cellIs" dxfId="28200" priority="752" stopIfTrue="1" operator="equal">
      <formula>"Napkin Hs"</formula>
    </cfRule>
    <cfRule type="cellIs" dxfId="28199" priority="753" stopIfTrue="1" operator="equal">
      <formula>"Towel"</formula>
    </cfRule>
    <cfRule type="cellIs" dxfId="28198" priority="754" stopIfTrue="1" operator="equal">
      <formula>"Napkin Hs"</formula>
    </cfRule>
    <cfRule type="cellIs" dxfId="28197" priority="757" stopIfTrue="1" operator="equal">
      <formula>"Towel"</formula>
    </cfRule>
    <cfRule type="cellIs" dxfId="28196" priority="758" stopIfTrue="1" operator="equal">
      <formula>"Napkin Hs"</formula>
    </cfRule>
    <cfRule type="cellIs" dxfId="28195" priority="759" stopIfTrue="1" operator="equal">
      <formula>"Towel"</formula>
    </cfRule>
    <cfRule type="cellIs" dxfId="28194" priority="760" stopIfTrue="1" operator="equal">
      <formula>"Napkin Hs"</formula>
    </cfRule>
    <cfRule type="cellIs" dxfId="28193" priority="763" stopIfTrue="1" operator="equal">
      <formula>"Towel"</formula>
    </cfRule>
    <cfRule type="cellIs" dxfId="28192" priority="764" stopIfTrue="1" operator="equal">
      <formula>"Napkin Hs"</formula>
    </cfRule>
    <cfRule type="cellIs" dxfId="28191" priority="765" stopIfTrue="1" operator="equal">
      <formula>"Towel"</formula>
    </cfRule>
    <cfRule type="cellIs" dxfId="28190" priority="766" stopIfTrue="1" operator="equal">
      <formula>"Napkin Hs"</formula>
    </cfRule>
    <cfRule type="cellIs" dxfId="28189" priority="813" stopIfTrue="1" operator="equal">
      <formula>"Towel"</formula>
    </cfRule>
    <cfRule type="cellIs" dxfId="28188" priority="814" stopIfTrue="1" operator="equal">
      <formula>"Napkin Hs"</formula>
    </cfRule>
  </conditionalFormatting>
  <conditionalFormatting sqref="B141:C141">
    <cfRule type="cellIs" dxfId="28187" priority="635" stopIfTrue="1" operator="equal">
      <formula>"Towel"</formula>
    </cfRule>
    <cfRule type="cellIs" dxfId="28186" priority="636" stopIfTrue="1" operator="equal">
      <formula>"Napkin Hs"</formula>
    </cfRule>
    <cfRule type="cellIs" dxfId="28185" priority="641" stopIfTrue="1" operator="equal">
      <formula>"Towel"</formula>
    </cfRule>
    <cfRule type="cellIs" dxfId="28184" priority="642" stopIfTrue="1" operator="equal">
      <formula>"Napkin Hs"</formula>
    </cfRule>
    <cfRule type="cellIs" dxfId="28183" priority="647" stopIfTrue="1" operator="equal">
      <formula>"Towel"</formula>
    </cfRule>
    <cfRule type="cellIs" dxfId="28182" priority="648" stopIfTrue="1" operator="equal">
      <formula>"Napkin Hs"</formula>
    </cfRule>
    <cfRule type="cellIs" dxfId="28181" priority="653" stopIfTrue="1" operator="equal">
      <formula>"Towel"</formula>
    </cfRule>
    <cfRule type="cellIs" dxfId="28180" priority="654" stopIfTrue="1" operator="equal">
      <formula>"Napkin Hs"</formula>
    </cfRule>
    <cfRule type="cellIs" dxfId="28179" priority="659" stopIfTrue="1" operator="equal">
      <formula>"Towel"</formula>
    </cfRule>
    <cfRule type="cellIs" dxfId="28178" priority="660" stopIfTrue="1" operator="equal">
      <formula>"Napkin Hs"</formula>
    </cfRule>
    <cfRule type="cellIs" dxfId="28177" priority="665" stopIfTrue="1" operator="equal">
      <formula>"Towel"</formula>
    </cfRule>
    <cfRule type="cellIs" dxfId="28176" priority="666" stopIfTrue="1" operator="equal">
      <formula>"Napkin Hs"</formula>
    </cfRule>
    <cfRule type="cellIs" dxfId="28175" priority="669" stopIfTrue="1" operator="equal">
      <formula>"Towel"</formula>
    </cfRule>
    <cfRule type="cellIs" dxfId="28174" priority="670" stopIfTrue="1" operator="equal">
      <formula>"Napkin Hs"</formula>
    </cfRule>
    <cfRule type="cellIs" dxfId="28173" priority="675" stopIfTrue="1" operator="equal">
      <formula>"Towel"</formula>
    </cfRule>
    <cfRule type="cellIs" dxfId="28172" priority="676" stopIfTrue="1" operator="equal">
      <formula>"Napkin Hs"</formula>
    </cfRule>
    <cfRule type="cellIs" dxfId="28171" priority="681" stopIfTrue="1" operator="equal">
      <formula>"Towel"</formula>
    </cfRule>
    <cfRule type="cellIs" dxfId="28170" priority="682" stopIfTrue="1" operator="equal">
      <formula>"Napkin Hs"</formula>
    </cfRule>
    <cfRule type="cellIs" dxfId="28169" priority="687" stopIfTrue="1" operator="equal">
      <formula>"Towel"</formula>
    </cfRule>
    <cfRule type="cellIs" dxfId="28168" priority="688" stopIfTrue="1" operator="equal">
      <formula>"Napkin Hs"</formula>
    </cfRule>
    <cfRule type="cellIs" dxfId="28167" priority="693" stopIfTrue="1" operator="equal">
      <formula>"Towel"</formula>
    </cfRule>
    <cfRule type="cellIs" dxfId="28166" priority="694" stopIfTrue="1" operator="equal">
      <formula>"Napkin Hs"</formula>
    </cfRule>
    <cfRule type="cellIs" dxfId="28165" priority="699" stopIfTrue="1" operator="equal">
      <formula>"Towel"</formula>
    </cfRule>
    <cfRule type="cellIs" dxfId="28164" priority="700" stopIfTrue="1" operator="equal">
      <formula>"Napkin Hs"</formula>
    </cfRule>
    <cfRule type="cellIs" dxfId="28163" priority="705" stopIfTrue="1" operator="equal">
      <formula>"Towel"</formula>
    </cfRule>
    <cfRule type="cellIs" dxfId="28162" priority="706" stopIfTrue="1" operator="equal">
      <formula>"Napkin Hs"</formula>
    </cfRule>
    <cfRule type="cellIs" dxfId="28161" priority="710" stopIfTrue="1" operator="equal">
      <formula>"Napkin Hs"</formula>
    </cfRule>
  </conditionalFormatting>
  <conditionalFormatting sqref="B141:C141">
    <cfRule type="cellIs" dxfId="28160" priority="709" stopIfTrue="1" operator="equal">
      <formula>"Towel"</formula>
    </cfRule>
  </conditionalFormatting>
  <conditionalFormatting sqref="C141">
    <cfRule type="cellIs" dxfId="28159" priority="631" stopIfTrue="1" operator="equal">
      <formula>"Towel"</formula>
    </cfRule>
    <cfRule type="cellIs" dxfId="28158" priority="632" stopIfTrue="1" operator="equal">
      <formula>"Napkin Hs"</formula>
    </cfRule>
  </conditionalFormatting>
  <conditionalFormatting sqref="C141">
    <cfRule type="cellIs" dxfId="28157" priority="671" stopIfTrue="1" operator="equal">
      <formula>"Towel"</formula>
    </cfRule>
    <cfRule type="cellIs" dxfId="28156" priority="672" stopIfTrue="1" operator="equal">
      <formula>"Napkin Hs"</formula>
    </cfRule>
    <cfRule type="cellIs" dxfId="28155" priority="711" stopIfTrue="1" operator="equal">
      <formula>"Towel"</formula>
    </cfRule>
    <cfRule type="cellIs" dxfId="28154" priority="712" stopIfTrue="1" operator="equal">
      <formula>"Napkin Hs"</formula>
    </cfRule>
  </conditionalFormatting>
  <conditionalFormatting sqref="C141">
    <cfRule type="cellIs" dxfId="28153" priority="633" stopIfTrue="1" operator="equal">
      <formula>"Towel"</formula>
    </cfRule>
    <cfRule type="cellIs" dxfId="28152" priority="634" stopIfTrue="1" operator="equal">
      <formula>"Napkin Hs"</formula>
    </cfRule>
    <cfRule type="cellIs" dxfId="28151" priority="637" stopIfTrue="1" operator="equal">
      <formula>"Towel"</formula>
    </cfRule>
    <cfRule type="cellIs" dxfId="28150" priority="638" stopIfTrue="1" operator="equal">
      <formula>"Napkin Hs"</formula>
    </cfRule>
    <cfRule type="cellIs" dxfId="28149" priority="639" stopIfTrue="1" operator="equal">
      <formula>"Towel"</formula>
    </cfRule>
    <cfRule type="cellIs" dxfId="28148" priority="640" stopIfTrue="1" operator="equal">
      <formula>"Napkin Hs"</formula>
    </cfRule>
    <cfRule type="cellIs" dxfId="28147" priority="643" stopIfTrue="1" operator="equal">
      <formula>"Towel"</formula>
    </cfRule>
    <cfRule type="cellIs" dxfId="28146" priority="644" stopIfTrue="1" operator="equal">
      <formula>"Napkin Hs"</formula>
    </cfRule>
    <cfRule type="cellIs" dxfId="28145" priority="645" stopIfTrue="1" operator="equal">
      <formula>"Towel"</formula>
    </cfRule>
    <cfRule type="cellIs" dxfId="28144" priority="646" stopIfTrue="1" operator="equal">
      <formula>"Napkin Hs"</formula>
    </cfRule>
    <cfRule type="cellIs" dxfId="28143" priority="649" stopIfTrue="1" operator="equal">
      <formula>"Towel"</formula>
    </cfRule>
    <cfRule type="cellIs" dxfId="28142" priority="650" stopIfTrue="1" operator="equal">
      <formula>"Napkin Hs"</formula>
    </cfRule>
    <cfRule type="cellIs" dxfId="28141" priority="651" stopIfTrue="1" operator="equal">
      <formula>"Towel"</formula>
    </cfRule>
    <cfRule type="cellIs" dxfId="28140" priority="652" stopIfTrue="1" operator="equal">
      <formula>"Napkin Hs"</formula>
    </cfRule>
    <cfRule type="cellIs" dxfId="28139" priority="655" stopIfTrue="1" operator="equal">
      <formula>"Towel"</formula>
    </cfRule>
    <cfRule type="cellIs" dxfId="28138" priority="656" stopIfTrue="1" operator="equal">
      <formula>"Napkin Hs"</formula>
    </cfRule>
    <cfRule type="cellIs" dxfId="28137" priority="657" stopIfTrue="1" operator="equal">
      <formula>"Towel"</formula>
    </cfRule>
    <cfRule type="cellIs" dxfId="28136" priority="658" stopIfTrue="1" operator="equal">
      <formula>"Napkin Hs"</formula>
    </cfRule>
    <cfRule type="cellIs" dxfId="28135" priority="661" stopIfTrue="1" operator="equal">
      <formula>"Towel"</formula>
    </cfRule>
    <cfRule type="cellIs" dxfId="28134" priority="662" stopIfTrue="1" operator="equal">
      <formula>"Napkin Hs"</formula>
    </cfRule>
    <cfRule type="cellIs" dxfId="28133" priority="663" stopIfTrue="1" operator="equal">
      <formula>"Towel"</formula>
    </cfRule>
    <cfRule type="cellIs" dxfId="28132" priority="664" stopIfTrue="1" operator="equal">
      <formula>"Napkin Hs"</formula>
    </cfRule>
    <cfRule type="cellIs" dxfId="28131" priority="667" stopIfTrue="1" operator="equal">
      <formula>"Towel"</formula>
    </cfRule>
    <cfRule type="cellIs" dxfId="28130" priority="668" stopIfTrue="1" operator="equal">
      <formula>"Napkin Hs"</formula>
    </cfRule>
    <cfRule type="cellIs" dxfId="28129" priority="673" stopIfTrue="1" operator="equal">
      <formula>"Towel"</formula>
    </cfRule>
    <cfRule type="cellIs" dxfId="28128" priority="674" stopIfTrue="1" operator="equal">
      <formula>"Napkin Hs"</formula>
    </cfRule>
    <cfRule type="cellIs" dxfId="28127" priority="677" stopIfTrue="1" operator="equal">
      <formula>"Towel"</formula>
    </cfRule>
    <cfRule type="cellIs" dxfId="28126" priority="678" stopIfTrue="1" operator="equal">
      <formula>"Napkin Hs"</formula>
    </cfRule>
    <cfRule type="cellIs" dxfId="28125" priority="679" stopIfTrue="1" operator="equal">
      <formula>"Towel"</formula>
    </cfRule>
    <cfRule type="cellIs" dxfId="28124" priority="680" stopIfTrue="1" operator="equal">
      <formula>"Napkin Hs"</formula>
    </cfRule>
    <cfRule type="cellIs" dxfId="28123" priority="683" stopIfTrue="1" operator="equal">
      <formula>"Towel"</formula>
    </cfRule>
    <cfRule type="cellIs" dxfId="28122" priority="684" stopIfTrue="1" operator="equal">
      <formula>"Napkin Hs"</formula>
    </cfRule>
    <cfRule type="cellIs" dxfId="28121" priority="685" stopIfTrue="1" operator="equal">
      <formula>"Towel"</formula>
    </cfRule>
    <cfRule type="cellIs" dxfId="28120" priority="686" stopIfTrue="1" operator="equal">
      <formula>"Napkin Hs"</formula>
    </cfRule>
    <cfRule type="cellIs" dxfId="28119" priority="689" stopIfTrue="1" operator="equal">
      <formula>"Towel"</formula>
    </cfRule>
    <cfRule type="cellIs" dxfId="28118" priority="690" stopIfTrue="1" operator="equal">
      <formula>"Napkin Hs"</formula>
    </cfRule>
    <cfRule type="cellIs" dxfId="28117" priority="691" stopIfTrue="1" operator="equal">
      <formula>"Towel"</formula>
    </cfRule>
    <cfRule type="cellIs" dxfId="28116" priority="692" stopIfTrue="1" operator="equal">
      <formula>"Napkin Hs"</formula>
    </cfRule>
    <cfRule type="cellIs" dxfId="28115" priority="695" stopIfTrue="1" operator="equal">
      <formula>"Towel"</formula>
    </cfRule>
    <cfRule type="cellIs" dxfId="28114" priority="696" stopIfTrue="1" operator="equal">
      <formula>"Napkin Hs"</formula>
    </cfRule>
    <cfRule type="cellIs" dxfId="28113" priority="697" stopIfTrue="1" operator="equal">
      <formula>"Towel"</formula>
    </cfRule>
    <cfRule type="cellIs" dxfId="28112" priority="698" stopIfTrue="1" operator="equal">
      <formula>"Napkin Hs"</formula>
    </cfRule>
    <cfRule type="cellIs" dxfId="28111" priority="701" stopIfTrue="1" operator="equal">
      <formula>"Towel"</formula>
    </cfRule>
    <cfRule type="cellIs" dxfId="28110" priority="702" stopIfTrue="1" operator="equal">
      <formula>"Napkin Hs"</formula>
    </cfRule>
    <cfRule type="cellIs" dxfId="28109" priority="703" stopIfTrue="1" operator="equal">
      <formula>"Towel"</formula>
    </cfRule>
    <cfRule type="cellIs" dxfId="28108" priority="704" stopIfTrue="1" operator="equal">
      <formula>"Napkin Hs"</formula>
    </cfRule>
  </conditionalFormatting>
  <conditionalFormatting sqref="C141">
    <cfRule type="cellIs" dxfId="28107" priority="707" stopIfTrue="1" operator="equal">
      <formula>"Towel"</formula>
    </cfRule>
    <cfRule type="cellIs" dxfId="28106" priority="708" stopIfTrue="1" operator="equal">
      <formula>"Napkin Hs"</formula>
    </cfRule>
  </conditionalFormatting>
  <conditionalFormatting sqref="B140:C140">
    <cfRule type="cellIs" dxfId="28105" priority="553" stopIfTrue="1" operator="equal">
      <formula>"Towel"</formula>
    </cfRule>
    <cfRule type="cellIs" dxfId="28104" priority="554" stopIfTrue="1" operator="equal">
      <formula>"Napkin Hs"</formula>
    </cfRule>
    <cfRule type="cellIs" dxfId="28103" priority="559" stopIfTrue="1" operator="equal">
      <formula>"Towel"</formula>
    </cfRule>
    <cfRule type="cellIs" dxfId="28102" priority="560" stopIfTrue="1" operator="equal">
      <formula>"Napkin Hs"</formula>
    </cfRule>
    <cfRule type="cellIs" dxfId="28101" priority="565" stopIfTrue="1" operator="equal">
      <formula>"Towel"</formula>
    </cfRule>
    <cfRule type="cellIs" dxfId="28100" priority="566" stopIfTrue="1" operator="equal">
      <formula>"Napkin Hs"</formula>
    </cfRule>
    <cfRule type="cellIs" dxfId="28099" priority="571" stopIfTrue="1" operator="equal">
      <formula>"Towel"</formula>
    </cfRule>
    <cfRule type="cellIs" dxfId="28098" priority="572" stopIfTrue="1" operator="equal">
      <formula>"Napkin Hs"</formula>
    </cfRule>
    <cfRule type="cellIs" dxfId="28097" priority="577" stopIfTrue="1" operator="equal">
      <formula>"Towel"</formula>
    </cfRule>
    <cfRule type="cellIs" dxfId="28096" priority="578" stopIfTrue="1" operator="equal">
      <formula>"Napkin Hs"</formula>
    </cfRule>
    <cfRule type="cellIs" dxfId="28095" priority="583" stopIfTrue="1" operator="equal">
      <formula>"Towel"</formula>
    </cfRule>
    <cfRule type="cellIs" dxfId="28094" priority="584" stopIfTrue="1" operator="equal">
      <formula>"Napkin Hs"</formula>
    </cfRule>
    <cfRule type="cellIs" dxfId="28093" priority="587" stopIfTrue="1" operator="equal">
      <formula>"Towel"</formula>
    </cfRule>
    <cfRule type="cellIs" dxfId="28092" priority="588" stopIfTrue="1" operator="equal">
      <formula>"Napkin Hs"</formula>
    </cfRule>
    <cfRule type="cellIs" dxfId="28091" priority="593" stopIfTrue="1" operator="equal">
      <formula>"Towel"</formula>
    </cfRule>
    <cfRule type="cellIs" dxfId="28090" priority="594" stopIfTrue="1" operator="equal">
      <formula>"Napkin Hs"</formula>
    </cfRule>
    <cfRule type="cellIs" dxfId="28089" priority="599" stopIfTrue="1" operator="equal">
      <formula>"Towel"</formula>
    </cfRule>
    <cfRule type="cellIs" dxfId="28088" priority="600" stopIfTrue="1" operator="equal">
      <formula>"Napkin Hs"</formula>
    </cfRule>
    <cfRule type="cellIs" dxfId="28087" priority="605" stopIfTrue="1" operator="equal">
      <formula>"Towel"</formula>
    </cfRule>
    <cfRule type="cellIs" dxfId="28086" priority="606" stopIfTrue="1" operator="equal">
      <formula>"Napkin Hs"</formula>
    </cfRule>
    <cfRule type="cellIs" dxfId="28085" priority="611" stopIfTrue="1" operator="equal">
      <formula>"Towel"</formula>
    </cfRule>
    <cfRule type="cellIs" dxfId="28084" priority="612" stopIfTrue="1" operator="equal">
      <formula>"Napkin Hs"</formula>
    </cfRule>
    <cfRule type="cellIs" dxfId="28083" priority="617" stopIfTrue="1" operator="equal">
      <formula>"Towel"</formula>
    </cfRule>
    <cfRule type="cellIs" dxfId="28082" priority="618" stopIfTrue="1" operator="equal">
      <formula>"Napkin Hs"</formula>
    </cfRule>
    <cfRule type="cellIs" dxfId="28081" priority="623" stopIfTrue="1" operator="equal">
      <formula>"Towel"</formula>
    </cfRule>
    <cfRule type="cellIs" dxfId="28080" priority="624" stopIfTrue="1" operator="equal">
      <formula>"Napkin Hs"</formula>
    </cfRule>
    <cfRule type="cellIs" dxfId="28079" priority="628" stopIfTrue="1" operator="equal">
      <formula>"Napkin Hs"</formula>
    </cfRule>
  </conditionalFormatting>
  <conditionalFormatting sqref="B140:C140">
    <cfRule type="cellIs" dxfId="28078" priority="627" stopIfTrue="1" operator="equal">
      <formula>"Towel"</formula>
    </cfRule>
  </conditionalFormatting>
  <conditionalFormatting sqref="C140">
    <cfRule type="cellIs" dxfId="28077" priority="549" stopIfTrue="1" operator="equal">
      <formula>"Towel"</formula>
    </cfRule>
    <cfRule type="cellIs" dxfId="28076" priority="550" stopIfTrue="1" operator="equal">
      <formula>"Napkin Hs"</formula>
    </cfRule>
  </conditionalFormatting>
  <conditionalFormatting sqref="C140">
    <cfRule type="cellIs" dxfId="28075" priority="589" stopIfTrue="1" operator="equal">
      <formula>"Towel"</formula>
    </cfRule>
    <cfRule type="cellIs" dxfId="28074" priority="590" stopIfTrue="1" operator="equal">
      <formula>"Napkin Hs"</formula>
    </cfRule>
    <cfRule type="cellIs" dxfId="28073" priority="629" stopIfTrue="1" operator="equal">
      <formula>"Towel"</formula>
    </cfRule>
    <cfRule type="cellIs" dxfId="28072" priority="630" stopIfTrue="1" operator="equal">
      <formula>"Napkin Hs"</formula>
    </cfRule>
  </conditionalFormatting>
  <conditionalFormatting sqref="C140">
    <cfRule type="cellIs" dxfId="28071" priority="551" stopIfTrue="1" operator="equal">
      <formula>"Towel"</formula>
    </cfRule>
    <cfRule type="cellIs" dxfId="28070" priority="552" stopIfTrue="1" operator="equal">
      <formula>"Napkin Hs"</formula>
    </cfRule>
    <cfRule type="cellIs" dxfId="28069" priority="555" stopIfTrue="1" operator="equal">
      <formula>"Towel"</formula>
    </cfRule>
    <cfRule type="cellIs" dxfId="28068" priority="556" stopIfTrue="1" operator="equal">
      <formula>"Napkin Hs"</formula>
    </cfRule>
    <cfRule type="cellIs" dxfId="28067" priority="557" stopIfTrue="1" operator="equal">
      <formula>"Towel"</formula>
    </cfRule>
    <cfRule type="cellIs" dxfId="28066" priority="558" stopIfTrue="1" operator="equal">
      <formula>"Napkin Hs"</formula>
    </cfRule>
    <cfRule type="cellIs" dxfId="28065" priority="561" stopIfTrue="1" operator="equal">
      <formula>"Towel"</formula>
    </cfRule>
    <cfRule type="cellIs" dxfId="28064" priority="562" stopIfTrue="1" operator="equal">
      <formula>"Napkin Hs"</formula>
    </cfRule>
    <cfRule type="cellIs" dxfId="28063" priority="563" stopIfTrue="1" operator="equal">
      <formula>"Towel"</formula>
    </cfRule>
    <cfRule type="cellIs" dxfId="28062" priority="564" stopIfTrue="1" operator="equal">
      <formula>"Napkin Hs"</formula>
    </cfRule>
    <cfRule type="cellIs" dxfId="28061" priority="567" stopIfTrue="1" operator="equal">
      <formula>"Towel"</formula>
    </cfRule>
    <cfRule type="cellIs" dxfId="28060" priority="568" stopIfTrue="1" operator="equal">
      <formula>"Napkin Hs"</formula>
    </cfRule>
    <cfRule type="cellIs" dxfId="28059" priority="569" stopIfTrue="1" operator="equal">
      <formula>"Towel"</formula>
    </cfRule>
    <cfRule type="cellIs" dxfId="28058" priority="570" stopIfTrue="1" operator="equal">
      <formula>"Napkin Hs"</formula>
    </cfRule>
    <cfRule type="cellIs" dxfId="28057" priority="573" stopIfTrue="1" operator="equal">
      <formula>"Towel"</formula>
    </cfRule>
    <cfRule type="cellIs" dxfId="28056" priority="574" stopIfTrue="1" operator="equal">
      <formula>"Napkin Hs"</formula>
    </cfRule>
    <cfRule type="cellIs" dxfId="28055" priority="575" stopIfTrue="1" operator="equal">
      <formula>"Towel"</formula>
    </cfRule>
    <cfRule type="cellIs" dxfId="28054" priority="576" stopIfTrue="1" operator="equal">
      <formula>"Napkin Hs"</formula>
    </cfRule>
    <cfRule type="cellIs" dxfId="28053" priority="579" stopIfTrue="1" operator="equal">
      <formula>"Towel"</formula>
    </cfRule>
    <cfRule type="cellIs" dxfId="28052" priority="580" stopIfTrue="1" operator="equal">
      <formula>"Napkin Hs"</formula>
    </cfRule>
    <cfRule type="cellIs" dxfId="28051" priority="581" stopIfTrue="1" operator="equal">
      <formula>"Towel"</formula>
    </cfRule>
    <cfRule type="cellIs" dxfId="28050" priority="582" stopIfTrue="1" operator="equal">
      <formula>"Napkin Hs"</formula>
    </cfRule>
    <cfRule type="cellIs" dxfId="28049" priority="585" stopIfTrue="1" operator="equal">
      <formula>"Towel"</formula>
    </cfRule>
    <cfRule type="cellIs" dxfId="28048" priority="586" stopIfTrue="1" operator="equal">
      <formula>"Napkin Hs"</formula>
    </cfRule>
    <cfRule type="cellIs" dxfId="28047" priority="591" stopIfTrue="1" operator="equal">
      <formula>"Towel"</formula>
    </cfRule>
    <cfRule type="cellIs" dxfId="28046" priority="592" stopIfTrue="1" operator="equal">
      <formula>"Napkin Hs"</formula>
    </cfRule>
    <cfRule type="cellIs" dxfId="28045" priority="595" stopIfTrue="1" operator="equal">
      <formula>"Towel"</formula>
    </cfRule>
    <cfRule type="cellIs" dxfId="28044" priority="596" stopIfTrue="1" operator="equal">
      <formula>"Napkin Hs"</formula>
    </cfRule>
    <cfRule type="cellIs" dxfId="28043" priority="597" stopIfTrue="1" operator="equal">
      <formula>"Towel"</formula>
    </cfRule>
    <cfRule type="cellIs" dxfId="28042" priority="598" stopIfTrue="1" operator="equal">
      <formula>"Napkin Hs"</formula>
    </cfRule>
    <cfRule type="cellIs" dxfId="28041" priority="601" stopIfTrue="1" operator="equal">
      <formula>"Towel"</formula>
    </cfRule>
    <cfRule type="cellIs" dxfId="28040" priority="602" stopIfTrue="1" operator="equal">
      <formula>"Napkin Hs"</formula>
    </cfRule>
    <cfRule type="cellIs" dxfId="28039" priority="603" stopIfTrue="1" operator="equal">
      <formula>"Towel"</formula>
    </cfRule>
    <cfRule type="cellIs" dxfId="28038" priority="604" stopIfTrue="1" operator="equal">
      <formula>"Napkin Hs"</formula>
    </cfRule>
    <cfRule type="cellIs" dxfId="28037" priority="607" stopIfTrue="1" operator="equal">
      <formula>"Towel"</formula>
    </cfRule>
    <cfRule type="cellIs" dxfId="28036" priority="608" stopIfTrue="1" operator="equal">
      <formula>"Napkin Hs"</formula>
    </cfRule>
    <cfRule type="cellIs" dxfId="28035" priority="609" stopIfTrue="1" operator="equal">
      <formula>"Towel"</formula>
    </cfRule>
    <cfRule type="cellIs" dxfId="28034" priority="610" stopIfTrue="1" operator="equal">
      <formula>"Napkin Hs"</formula>
    </cfRule>
    <cfRule type="cellIs" dxfId="28033" priority="613" stopIfTrue="1" operator="equal">
      <formula>"Towel"</formula>
    </cfRule>
    <cfRule type="cellIs" dxfId="28032" priority="614" stopIfTrue="1" operator="equal">
      <formula>"Napkin Hs"</formula>
    </cfRule>
    <cfRule type="cellIs" dxfId="28031" priority="615" stopIfTrue="1" operator="equal">
      <formula>"Towel"</formula>
    </cfRule>
    <cfRule type="cellIs" dxfId="28030" priority="616" stopIfTrue="1" operator="equal">
      <formula>"Napkin Hs"</formula>
    </cfRule>
    <cfRule type="cellIs" dxfId="28029" priority="619" stopIfTrue="1" operator="equal">
      <formula>"Towel"</formula>
    </cfRule>
    <cfRule type="cellIs" dxfId="28028" priority="620" stopIfTrue="1" operator="equal">
      <formula>"Napkin Hs"</formula>
    </cfRule>
    <cfRule type="cellIs" dxfId="28027" priority="621" stopIfTrue="1" operator="equal">
      <formula>"Towel"</formula>
    </cfRule>
    <cfRule type="cellIs" dxfId="28026" priority="622" stopIfTrue="1" operator="equal">
      <formula>"Napkin Hs"</formula>
    </cfRule>
  </conditionalFormatting>
  <conditionalFormatting sqref="C140">
    <cfRule type="cellIs" dxfId="28025" priority="625" stopIfTrue="1" operator="equal">
      <formula>"Towel"</formula>
    </cfRule>
    <cfRule type="cellIs" dxfId="28024" priority="626" stopIfTrue="1" operator="equal">
      <formula>"Napkin Hs"</formula>
    </cfRule>
  </conditionalFormatting>
  <conditionalFormatting sqref="B146:C146">
    <cfRule type="cellIs" dxfId="28023" priority="546" stopIfTrue="1" operator="equal">
      <formula>"Napkin Hs"</formula>
    </cfRule>
  </conditionalFormatting>
  <conditionalFormatting sqref="B146:C146">
    <cfRule type="cellIs" dxfId="28022" priority="545" stopIfTrue="1" operator="equal">
      <formula>"Towel"</formula>
    </cfRule>
  </conditionalFormatting>
  <conditionalFormatting sqref="C146">
    <cfRule type="cellIs" dxfId="28021" priority="543" stopIfTrue="1" operator="equal">
      <formula>"Towel"</formula>
    </cfRule>
    <cfRule type="cellIs" dxfId="28020" priority="544" stopIfTrue="1" operator="equal">
      <formula>"Napkin Hs"</formula>
    </cfRule>
  </conditionalFormatting>
  <conditionalFormatting sqref="C146">
    <cfRule type="cellIs" dxfId="28019" priority="547" stopIfTrue="1" operator="equal">
      <formula>"Towel"</formula>
    </cfRule>
    <cfRule type="cellIs" dxfId="28018" priority="548" stopIfTrue="1" operator="equal">
      <formula>"Napkin Hs"</formula>
    </cfRule>
  </conditionalFormatting>
  <conditionalFormatting sqref="B146">
    <cfRule type="cellIs" dxfId="28017" priority="439" stopIfTrue="1" operator="equal">
      <formula>"Towel"</formula>
    </cfRule>
    <cfRule type="cellIs" dxfId="28016" priority="440" stopIfTrue="1" operator="equal">
      <formula>"Napkin Hs"</formula>
    </cfRule>
  </conditionalFormatting>
  <conditionalFormatting sqref="B146:C146">
    <cfRule type="cellIs" dxfId="28015" priority="499" stopIfTrue="1" operator="equal">
      <formula>"Towel"</formula>
    </cfRule>
    <cfRule type="cellIs" dxfId="28014" priority="500" stopIfTrue="1" operator="equal">
      <formula>"Napkin Hs"</formula>
    </cfRule>
    <cfRule type="cellIs" dxfId="28013" priority="505" stopIfTrue="1" operator="equal">
      <formula>"Towel"</formula>
    </cfRule>
    <cfRule type="cellIs" dxfId="28012" priority="506" stopIfTrue="1" operator="equal">
      <formula>"Napkin Hs"</formula>
    </cfRule>
    <cfRule type="cellIs" dxfId="28011" priority="511" stopIfTrue="1" operator="equal">
      <formula>"Towel"</formula>
    </cfRule>
    <cfRule type="cellIs" dxfId="28010" priority="512" stopIfTrue="1" operator="equal">
      <formula>"Napkin Hs"</formula>
    </cfRule>
    <cfRule type="cellIs" dxfId="28009" priority="517" stopIfTrue="1" operator="equal">
      <formula>"Towel"</formula>
    </cfRule>
    <cfRule type="cellIs" dxfId="28008" priority="518" stopIfTrue="1" operator="equal">
      <formula>"Napkin Hs"</formula>
    </cfRule>
    <cfRule type="cellIs" dxfId="28007" priority="523" stopIfTrue="1" operator="equal">
      <formula>"Towel"</formula>
    </cfRule>
    <cfRule type="cellIs" dxfId="28006" priority="524" stopIfTrue="1" operator="equal">
      <formula>"Napkin Hs"</formula>
    </cfRule>
    <cfRule type="cellIs" dxfId="28005" priority="529" stopIfTrue="1" operator="equal">
      <formula>"Towel"</formula>
    </cfRule>
    <cfRule type="cellIs" dxfId="28004" priority="530" stopIfTrue="1" operator="equal">
      <formula>"Napkin Hs"</formula>
    </cfRule>
    <cfRule type="cellIs" dxfId="28003" priority="535" stopIfTrue="1" operator="equal">
      <formula>"Towel"</formula>
    </cfRule>
    <cfRule type="cellIs" dxfId="28002" priority="536" stopIfTrue="1" operator="equal">
      <formula>"Napkin Hs"</formula>
    </cfRule>
    <cfRule type="cellIs" dxfId="28001" priority="541" stopIfTrue="1" operator="equal">
      <formula>"Towel"</formula>
    </cfRule>
    <cfRule type="cellIs" dxfId="28000" priority="542" stopIfTrue="1" operator="equal">
      <formula>"Napkin Hs"</formula>
    </cfRule>
  </conditionalFormatting>
  <conditionalFormatting sqref="B146:C146">
    <cfRule type="cellIs" dxfId="27999" priority="441" stopIfTrue="1" operator="equal">
      <formula>"Towel"</formula>
    </cfRule>
    <cfRule type="cellIs" dxfId="27998" priority="442" stopIfTrue="1" operator="equal">
      <formula>"Napkin Hs"</formula>
    </cfRule>
    <cfRule type="cellIs" dxfId="27997" priority="457" stopIfTrue="1" operator="equal">
      <formula>"Towel"</formula>
    </cfRule>
    <cfRule type="cellIs" dxfId="27996" priority="458" stopIfTrue="1" operator="equal">
      <formula>"Napkin Hs"</formula>
    </cfRule>
    <cfRule type="cellIs" dxfId="27995" priority="463" stopIfTrue="1" operator="equal">
      <formula>"Towel"</formula>
    </cfRule>
    <cfRule type="cellIs" dxfId="27994" priority="464" stopIfTrue="1" operator="equal">
      <formula>"Napkin Hs"</formula>
    </cfRule>
    <cfRule type="cellIs" dxfId="27993" priority="469" stopIfTrue="1" operator="equal">
      <formula>"Towel"</formula>
    </cfRule>
    <cfRule type="cellIs" dxfId="27992" priority="470" stopIfTrue="1" operator="equal">
      <formula>"Napkin Hs"</formula>
    </cfRule>
    <cfRule type="cellIs" dxfId="27991" priority="475" stopIfTrue="1" operator="equal">
      <formula>"Towel"</formula>
    </cfRule>
    <cfRule type="cellIs" dxfId="27990" priority="476" stopIfTrue="1" operator="equal">
      <formula>"Napkin Hs"</formula>
    </cfRule>
    <cfRule type="cellIs" dxfId="27989" priority="481" stopIfTrue="1" operator="equal">
      <formula>"Towel"</formula>
    </cfRule>
    <cfRule type="cellIs" dxfId="27988" priority="482" stopIfTrue="1" operator="equal">
      <formula>"Napkin Hs"</formula>
    </cfRule>
    <cfRule type="cellIs" dxfId="27987" priority="487" stopIfTrue="1" operator="equal">
      <formula>"Towel"</formula>
    </cfRule>
    <cfRule type="cellIs" dxfId="27986" priority="488" stopIfTrue="1" operator="equal">
      <formula>"Napkin Hs"</formula>
    </cfRule>
    <cfRule type="cellIs" dxfId="27985" priority="493" stopIfTrue="1" operator="equal">
      <formula>"Towel"</formula>
    </cfRule>
    <cfRule type="cellIs" dxfId="27984" priority="494" stopIfTrue="1" operator="equal">
      <formula>"Napkin Hs"</formula>
    </cfRule>
  </conditionalFormatting>
  <conditionalFormatting sqref="C146">
    <cfRule type="cellIs" dxfId="27983" priority="495" stopIfTrue="1" operator="equal">
      <formula>"Towel"</formula>
    </cfRule>
    <cfRule type="cellIs" dxfId="27982" priority="496" stopIfTrue="1" operator="equal">
      <formula>"Napkin Hs"</formula>
    </cfRule>
    <cfRule type="cellIs" dxfId="27981" priority="497" stopIfTrue="1" operator="equal">
      <formula>"Towel"</formula>
    </cfRule>
    <cfRule type="cellIs" dxfId="27980" priority="498" stopIfTrue="1" operator="equal">
      <formula>"Napkin Hs"</formula>
    </cfRule>
    <cfRule type="cellIs" dxfId="27979" priority="501" stopIfTrue="1" operator="equal">
      <formula>"Towel"</formula>
    </cfRule>
    <cfRule type="cellIs" dxfId="27978" priority="502" stopIfTrue="1" operator="equal">
      <formula>"Napkin Hs"</formula>
    </cfRule>
    <cfRule type="cellIs" dxfId="27977" priority="503" stopIfTrue="1" operator="equal">
      <formula>"Towel"</formula>
    </cfRule>
    <cfRule type="cellIs" dxfId="27976" priority="504" stopIfTrue="1" operator="equal">
      <formula>"Napkin Hs"</formula>
    </cfRule>
    <cfRule type="cellIs" dxfId="27975" priority="507" stopIfTrue="1" operator="equal">
      <formula>"Towel"</formula>
    </cfRule>
    <cfRule type="cellIs" dxfId="27974" priority="508" stopIfTrue="1" operator="equal">
      <formula>"Napkin Hs"</formula>
    </cfRule>
    <cfRule type="cellIs" dxfId="27973" priority="509" stopIfTrue="1" operator="equal">
      <formula>"Towel"</formula>
    </cfRule>
    <cfRule type="cellIs" dxfId="27972" priority="510" stopIfTrue="1" operator="equal">
      <formula>"Napkin Hs"</formula>
    </cfRule>
    <cfRule type="cellIs" dxfId="27971" priority="513" stopIfTrue="1" operator="equal">
      <formula>"Towel"</formula>
    </cfRule>
    <cfRule type="cellIs" dxfId="27970" priority="514" stopIfTrue="1" operator="equal">
      <formula>"Napkin Hs"</formula>
    </cfRule>
    <cfRule type="cellIs" dxfId="27969" priority="515" stopIfTrue="1" operator="equal">
      <formula>"Towel"</formula>
    </cfRule>
    <cfRule type="cellIs" dxfId="27968" priority="516" stopIfTrue="1" operator="equal">
      <formula>"Napkin Hs"</formula>
    </cfRule>
    <cfRule type="cellIs" dxfId="27967" priority="519" stopIfTrue="1" operator="equal">
      <formula>"Towel"</formula>
    </cfRule>
    <cfRule type="cellIs" dxfId="27966" priority="520" stopIfTrue="1" operator="equal">
      <formula>"Napkin Hs"</formula>
    </cfRule>
    <cfRule type="cellIs" dxfId="27965" priority="521" stopIfTrue="1" operator="equal">
      <formula>"Towel"</formula>
    </cfRule>
    <cfRule type="cellIs" dxfId="27964" priority="522" stopIfTrue="1" operator="equal">
      <formula>"Napkin Hs"</formula>
    </cfRule>
    <cfRule type="cellIs" dxfId="27963" priority="525" stopIfTrue="1" operator="equal">
      <formula>"Towel"</formula>
    </cfRule>
    <cfRule type="cellIs" dxfId="27962" priority="526" stopIfTrue="1" operator="equal">
      <formula>"Napkin Hs"</formula>
    </cfRule>
    <cfRule type="cellIs" dxfId="27961" priority="527" stopIfTrue="1" operator="equal">
      <formula>"Towel"</formula>
    </cfRule>
    <cfRule type="cellIs" dxfId="27960" priority="528" stopIfTrue="1" operator="equal">
      <formula>"Napkin Hs"</formula>
    </cfRule>
    <cfRule type="cellIs" dxfId="27959" priority="531" stopIfTrue="1" operator="equal">
      <formula>"Towel"</formula>
    </cfRule>
    <cfRule type="cellIs" dxfId="27958" priority="532" stopIfTrue="1" operator="equal">
      <formula>"Napkin Hs"</formula>
    </cfRule>
    <cfRule type="cellIs" dxfId="27957" priority="533" stopIfTrue="1" operator="equal">
      <formula>"Towel"</formula>
    </cfRule>
    <cfRule type="cellIs" dxfId="27956" priority="534" stopIfTrue="1" operator="equal">
      <formula>"Napkin Hs"</formula>
    </cfRule>
    <cfRule type="cellIs" dxfId="27955" priority="537" stopIfTrue="1" operator="equal">
      <formula>"Towel"</formula>
    </cfRule>
    <cfRule type="cellIs" dxfId="27954" priority="538" stopIfTrue="1" operator="equal">
      <formula>"Napkin Hs"</formula>
    </cfRule>
  </conditionalFormatting>
  <conditionalFormatting sqref="C146">
    <cfRule type="cellIs" dxfId="27953" priority="443" stopIfTrue="1" operator="equal">
      <formula>"Towel"</formula>
    </cfRule>
    <cfRule type="cellIs" dxfId="27952" priority="444" stopIfTrue="1" operator="equal">
      <formula>"Napkin Hs"</formula>
    </cfRule>
    <cfRule type="cellIs" dxfId="27951" priority="445" stopIfTrue="1" operator="equal">
      <formula>"Towel"</formula>
    </cfRule>
    <cfRule type="cellIs" dxfId="27950" priority="446" stopIfTrue="1" operator="equal">
      <formula>"Napkin Hs"</formula>
    </cfRule>
    <cfRule type="cellIs" dxfId="27949" priority="447" stopIfTrue="1" operator="equal">
      <formula>"Towel"</formula>
    </cfRule>
    <cfRule type="cellIs" dxfId="27948" priority="448" stopIfTrue="1" operator="equal">
      <formula>"Napkin Hs"</formula>
    </cfRule>
    <cfRule type="cellIs" dxfId="27947" priority="449" stopIfTrue="1" operator="equal">
      <formula>"Towel"</formula>
    </cfRule>
    <cfRule type="cellIs" dxfId="27946" priority="450" stopIfTrue="1" operator="equal">
      <formula>"Napkin Hs"</formula>
    </cfRule>
    <cfRule type="cellIs" dxfId="27945" priority="451" stopIfTrue="1" operator="equal">
      <formula>"Towel"</formula>
    </cfRule>
    <cfRule type="cellIs" dxfId="27944" priority="452" stopIfTrue="1" operator="equal">
      <formula>"Napkin Hs"</formula>
    </cfRule>
    <cfRule type="cellIs" dxfId="27943" priority="453" stopIfTrue="1" operator="equal">
      <formula>"Towel"</formula>
    </cfRule>
    <cfRule type="cellIs" dxfId="27942" priority="454" stopIfTrue="1" operator="equal">
      <formula>"Napkin Hs"</formula>
    </cfRule>
    <cfRule type="cellIs" dxfId="27941" priority="455" stopIfTrue="1" operator="equal">
      <formula>"Towel"</formula>
    </cfRule>
    <cfRule type="cellIs" dxfId="27940" priority="456" stopIfTrue="1" operator="equal">
      <formula>"Napkin Hs"</formula>
    </cfRule>
    <cfRule type="cellIs" dxfId="27939" priority="459" stopIfTrue="1" operator="equal">
      <formula>"Towel"</formula>
    </cfRule>
    <cfRule type="cellIs" dxfId="27938" priority="460" stopIfTrue="1" operator="equal">
      <formula>"Napkin Hs"</formula>
    </cfRule>
    <cfRule type="cellIs" dxfId="27937" priority="461" stopIfTrue="1" operator="equal">
      <formula>"Towel"</formula>
    </cfRule>
    <cfRule type="cellIs" dxfId="27936" priority="462" stopIfTrue="1" operator="equal">
      <formula>"Napkin Hs"</formula>
    </cfRule>
    <cfRule type="cellIs" dxfId="27935" priority="465" stopIfTrue="1" operator="equal">
      <formula>"Towel"</formula>
    </cfRule>
    <cfRule type="cellIs" dxfId="27934" priority="466" stopIfTrue="1" operator="equal">
      <formula>"Napkin Hs"</formula>
    </cfRule>
    <cfRule type="cellIs" dxfId="27933" priority="467" stopIfTrue="1" operator="equal">
      <formula>"Towel"</formula>
    </cfRule>
    <cfRule type="cellIs" dxfId="27932" priority="468" stopIfTrue="1" operator="equal">
      <formula>"Napkin Hs"</formula>
    </cfRule>
    <cfRule type="cellIs" dxfId="27931" priority="471" stopIfTrue="1" operator="equal">
      <formula>"Towel"</formula>
    </cfRule>
    <cfRule type="cellIs" dxfId="27930" priority="472" stopIfTrue="1" operator="equal">
      <formula>"Napkin Hs"</formula>
    </cfRule>
    <cfRule type="cellIs" dxfId="27929" priority="473" stopIfTrue="1" operator="equal">
      <formula>"Towel"</formula>
    </cfRule>
    <cfRule type="cellIs" dxfId="27928" priority="474" stopIfTrue="1" operator="equal">
      <formula>"Napkin Hs"</formula>
    </cfRule>
    <cfRule type="cellIs" dxfId="27927" priority="477" stopIfTrue="1" operator="equal">
      <formula>"Towel"</formula>
    </cfRule>
    <cfRule type="cellIs" dxfId="27926" priority="478" stopIfTrue="1" operator="equal">
      <formula>"Napkin Hs"</formula>
    </cfRule>
    <cfRule type="cellIs" dxfId="27925" priority="479" stopIfTrue="1" operator="equal">
      <formula>"Towel"</formula>
    </cfRule>
    <cfRule type="cellIs" dxfId="27924" priority="480" stopIfTrue="1" operator="equal">
      <formula>"Napkin Hs"</formula>
    </cfRule>
    <cfRule type="cellIs" dxfId="27923" priority="483" stopIfTrue="1" operator="equal">
      <formula>"Towel"</formula>
    </cfRule>
    <cfRule type="cellIs" dxfId="27922" priority="484" stopIfTrue="1" operator="equal">
      <formula>"Napkin Hs"</formula>
    </cfRule>
    <cfRule type="cellIs" dxfId="27921" priority="485" stopIfTrue="1" operator="equal">
      <formula>"Towel"</formula>
    </cfRule>
    <cfRule type="cellIs" dxfId="27920" priority="486" stopIfTrue="1" operator="equal">
      <formula>"Napkin Hs"</formula>
    </cfRule>
    <cfRule type="cellIs" dxfId="27919" priority="489" stopIfTrue="1" operator="equal">
      <formula>"Towel"</formula>
    </cfRule>
    <cfRule type="cellIs" dxfId="27918" priority="490" stopIfTrue="1" operator="equal">
      <formula>"Napkin Hs"</formula>
    </cfRule>
    <cfRule type="cellIs" dxfId="27917" priority="491" stopIfTrue="1" operator="equal">
      <formula>"Towel"</formula>
    </cfRule>
    <cfRule type="cellIs" dxfId="27916" priority="492" stopIfTrue="1" operator="equal">
      <formula>"Napkin Hs"</formula>
    </cfRule>
    <cfRule type="cellIs" dxfId="27915" priority="539" stopIfTrue="1" operator="equal">
      <formula>"Towel"</formula>
    </cfRule>
    <cfRule type="cellIs" dxfId="27914" priority="540" stopIfTrue="1" operator="equal">
      <formula>"Napkin Hs"</formula>
    </cfRule>
  </conditionalFormatting>
  <conditionalFormatting sqref="B145:C145">
    <cfRule type="cellIs" dxfId="27913" priority="361" stopIfTrue="1" operator="equal">
      <formula>"Towel"</formula>
    </cfRule>
    <cfRule type="cellIs" dxfId="27912" priority="362" stopIfTrue="1" operator="equal">
      <formula>"Napkin Hs"</formula>
    </cfRule>
    <cfRule type="cellIs" dxfId="27911" priority="367" stopIfTrue="1" operator="equal">
      <formula>"Towel"</formula>
    </cfRule>
    <cfRule type="cellIs" dxfId="27910" priority="368" stopIfTrue="1" operator="equal">
      <formula>"Napkin Hs"</formula>
    </cfRule>
    <cfRule type="cellIs" dxfId="27909" priority="373" stopIfTrue="1" operator="equal">
      <formula>"Towel"</formula>
    </cfRule>
    <cfRule type="cellIs" dxfId="27908" priority="374" stopIfTrue="1" operator="equal">
      <formula>"Napkin Hs"</formula>
    </cfRule>
    <cfRule type="cellIs" dxfId="27907" priority="379" stopIfTrue="1" operator="equal">
      <formula>"Towel"</formula>
    </cfRule>
    <cfRule type="cellIs" dxfId="27906" priority="380" stopIfTrue="1" operator="equal">
      <formula>"Napkin Hs"</formula>
    </cfRule>
    <cfRule type="cellIs" dxfId="27905" priority="385" stopIfTrue="1" operator="equal">
      <formula>"Towel"</formula>
    </cfRule>
    <cfRule type="cellIs" dxfId="27904" priority="386" stopIfTrue="1" operator="equal">
      <formula>"Napkin Hs"</formula>
    </cfRule>
    <cfRule type="cellIs" dxfId="27903" priority="391" stopIfTrue="1" operator="equal">
      <formula>"Towel"</formula>
    </cfRule>
    <cfRule type="cellIs" dxfId="27902" priority="392" stopIfTrue="1" operator="equal">
      <formula>"Napkin Hs"</formula>
    </cfRule>
    <cfRule type="cellIs" dxfId="27901" priority="395" stopIfTrue="1" operator="equal">
      <formula>"Towel"</formula>
    </cfRule>
    <cfRule type="cellIs" dxfId="27900" priority="396" stopIfTrue="1" operator="equal">
      <formula>"Napkin Hs"</formula>
    </cfRule>
    <cfRule type="cellIs" dxfId="27899" priority="401" stopIfTrue="1" operator="equal">
      <formula>"Towel"</formula>
    </cfRule>
    <cfRule type="cellIs" dxfId="27898" priority="402" stopIfTrue="1" operator="equal">
      <formula>"Napkin Hs"</formula>
    </cfRule>
    <cfRule type="cellIs" dxfId="27897" priority="407" stopIfTrue="1" operator="equal">
      <formula>"Towel"</formula>
    </cfRule>
    <cfRule type="cellIs" dxfId="27896" priority="408" stopIfTrue="1" operator="equal">
      <formula>"Napkin Hs"</formula>
    </cfRule>
    <cfRule type="cellIs" dxfId="27895" priority="413" stopIfTrue="1" operator="equal">
      <formula>"Towel"</formula>
    </cfRule>
    <cfRule type="cellIs" dxfId="27894" priority="414" stopIfTrue="1" operator="equal">
      <formula>"Napkin Hs"</formula>
    </cfRule>
    <cfRule type="cellIs" dxfId="27893" priority="419" stopIfTrue="1" operator="equal">
      <formula>"Towel"</formula>
    </cfRule>
    <cfRule type="cellIs" dxfId="27892" priority="420" stopIfTrue="1" operator="equal">
      <formula>"Napkin Hs"</formula>
    </cfRule>
    <cfRule type="cellIs" dxfId="27891" priority="425" stopIfTrue="1" operator="equal">
      <formula>"Towel"</formula>
    </cfRule>
    <cfRule type="cellIs" dxfId="27890" priority="426" stopIfTrue="1" operator="equal">
      <formula>"Napkin Hs"</formula>
    </cfRule>
    <cfRule type="cellIs" dxfId="27889" priority="431" stopIfTrue="1" operator="equal">
      <formula>"Towel"</formula>
    </cfRule>
    <cfRule type="cellIs" dxfId="27888" priority="432" stopIfTrue="1" operator="equal">
      <formula>"Napkin Hs"</formula>
    </cfRule>
    <cfRule type="cellIs" dxfId="27887" priority="436" stopIfTrue="1" operator="equal">
      <formula>"Napkin Hs"</formula>
    </cfRule>
  </conditionalFormatting>
  <conditionalFormatting sqref="B145:C145">
    <cfRule type="cellIs" dxfId="27886" priority="435" stopIfTrue="1" operator="equal">
      <formula>"Towel"</formula>
    </cfRule>
  </conditionalFormatting>
  <conditionalFormatting sqref="C145">
    <cfRule type="cellIs" dxfId="27885" priority="357" stopIfTrue="1" operator="equal">
      <formula>"Towel"</formula>
    </cfRule>
    <cfRule type="cellIs" dxfId="27884" priority="358" stopIfTrue="1" operator="equal">
      <formula>"Napkin Hs"</formula>
    </cfRule>
  </conditionalFormatting>
  <conditionalFormatting sqref="C145">
    <cfRule type="cellIs" dxfId="27883" priority="397" stopIfTrue="1" operator="equal">
      <formula>"Towel"</formula>
    </cfRule>
    <cfRule type="cellIs" dxfId="27882" priority="398" stopIfTrue="1" operator="equal">
      <formula>"Napkin Hs"</formula>
    </cfRule>
    <cfRule type="cellIs" dxfId="27881" priority="437" stopIfTrue="1" operator="equal">
      <formula>"Towel"</formula>
    </cfRule>
    <cfRule type="cellIs" dxfId="27880" priority="438" stopIfTrue="1" operator="equal">
      <formula>"Napkin Hs"</formula>
    </cfRule>
  </conditionalFormatting>
  <conditionalFormatting sqref="C145">
    <cfRule type="cellIs" dxfId="27879" priority="359" stopIfTrue="1" operator="equal">
      <formula>"Towel"</formula>
    </cfRule>
    <cfRule type="cellIs" dxfId="27878" priority="360" stopIfTrue="1" operator="equal">
      <formula>"Napkin Hs"</formula>
    </cfRule>
    <cfRule type="cellIs" dxfId="27877" priority="363" stopIfTrue="1" operator="equal">
      <formula>"Towel"</formula>
    </cfRule>
    <cfRule type="cellIs" dxfId="27876" priority="364" stopIfTrue="1" operator="equal">
      <formula>"Napkin Hs"</formula>
    </cfRule>
    <cfRule type="cellIs" dxfId="27875" priority="365" stopIfTrue="1" operator="equal">
      <formula>"Towel"</formula>
    </cfRule>
    <cfRule type="cellIs" dxfId="27874" priority="366" stopIfTrue="1" operator="equal">
      <formula>"Napkin Hs"</formula>
    </cfRule>
    <cfRule type="cellIs" dxfId="27873" priority="369" stopIfTrue="1" operator="equal">
      <formula>"Towel"</formula>
    </cfRule>
    <cfRule type="cellIs" dxfId="27872" priority="370" stopIfTrue="1" operator="equal">
      <formula>"Napkin Hs"</formula>
    </cfRule>
    <cfRule type="cellIs" dxfId="27871" priority="371" stopIfTrue="1" operator="equal">
      <formula>"Towel"</formula>
    </cfRule>
    <cfRule type="cellIs" dxfId="27870" priority="372" stopIfTrue="1" operator="equal">
      <formula>"Napkin Hs"</formula>
    </cfRule>
    <cfRule type="cellIs" dxfId="27869" priority="375" stopIfTrue="1" operator="equal">
      <formula>"Towel"</formula>
    </cfRule>
    <cfRule type="cellIs" dxfId="27868" priority="376" stopIfTrue="1" operator="equal">
      <formula>"Napkin Hs"</formula>
    </cfRule>
    <cfRule type="cellIs" dxfId="27867" priority="377" stopIfTrue="1" operator="equal">
      <formula>"Towel"</formula>
    </cfRule>
    <cfRule type="cellIs" dxfId="27866" priority="378" stopIfTrue="1" operator="equal">
      <formula>"Napkin Hs"</formula>
    </cfRule>
    <cfRule type="cellIs" dxfId="27865" priority="381" stopIfTrue="1" operator="equal">
      <formula>"Towel"</formula>
    </cfRule>
    <cfRule type="cellIs" dxfId="27864" priority="382" stopIfTrue="1" operator="equal">
      <formula>"Napkin Hs"</formula>
    </cfRule>
    <cfRule type="cellIs" dxfId="27863" priority="383" stopIfTrue="1" operator="equal">
      <formula>"Towel"</formula>
    </cfRule>
    <cfRule type="cellIs" dxfId="27862" priority="384" stopIfTrue="1" operator="equal">
      <formula>"Napkin Hs"</formula>
    </cfRule>
    <cfRule type="cellIs" dxfId="27861" priority="387" stopIfTrue="1" operator="equal">
      <formula>"Towel"</formula>
    </cfRule>
    <cfRule type="cellIs" dxfId="27860" priority="388" stopIfTrue="1" operator="equal">
      <formula>"Napkin Hs"</formula>
    </cfRule>
    <cfRule type="cellIs" dxfId="27859" priority="389" stopIfTrue="1" operator="equal">
      <formula>"Towel"</formula>
    </cfRule>
    <cfRule type="cellIs" dxfId="27858" priority="390" stopIfTrue="1" operator="equal">
      <formula>"Napkin Hs"</formula>
    </cfRule>
    <cfRule type="cellIs" dxfId="27857" priority="393" stopIfTrue="1" operator="equal">
      <formula>"Towel"</formula>
    </cfRule>
    <cfRule type="cellIs" dxfId="27856" priority="394" stopIfTrue="1" operator="equal">
      <formula>"Napkin Hs"</formula>
    </cfRule>
    <cfRule type="cellIs" dxfId="27855" priority="399" stopIfTrue="1" operator="equal">
      <formula>"Towel"</formula>
    </cfRule>
    <cfRule type="cellIs" dxfId="27854" priority="400" stopIfTrue="1" operator="equal">
      <formula>"Napkin Hs"</formula>
    </cfRule>
    <cfRule type="cellIs" dxfId="27853" priority="403" stopIfTrue="1" operator="equal">
      <formula>"Towel"</formula>
    </cfRule>
    <cfRule type="cellIs" dxfId="27852" priority="404" stopIfTrue="1" operator="equal">
      <formula>"Napkin Hs"</formula>
    </cfRule>
    <cfRule type="cellIs" dxfId="27851" priority="405" stopIfTrue="1" operator="equal">
      <formula>"Towel"</formula>
    </cfRule>
    <cfRule type="cellIs" dxfId="27850" priority="406" stopIfTrue="1" operator="equal">
      <formula>"Napkin Hs"</formula>
    </cfRule>
    <cfRule type="cellIs" dxfId="27849" priority="409" stopIfTrue="1" operator="equal">
      <formula>"Towel"</formula>
    </cfRule>
    <cfRule type="cellIs" dxfId="27848" priority="410" stopIfTrue="1" operator="equal">
      <formula>"Napkin Hs"</formula>
    </cfRule>
    <cfRule type="cellIs" dxfId="27847" priority="411" stopIfTrue="1" operator="equal">
      <formula>"Towel"</formula>
    </cfRule>
    <cfRule type="cellIs" dxfId="27846" priority="412" stopIfTrue="1" operator="equal">
      <formula>"Napkin Hs"</formula>
    </cfRule>
    <cfRule type="cellIs" dxfId="27845" priority="415" stopIfTrue="1" operator="equal">
      <formula>"Towel"</formula>
    </cfRule>
    <cfRule type="cellIs" dxfId="27844" priority="416" stopIfTrue="1" operator="equal">
      <formula>"Napkin Hs"</formula>
    </cfRule>
    <cfRule type="cellIs" dxfId="27843" priority="417" stopIfTrue="1" operator="equal">
      <formula>"Towel"</formula>
    </cfRule>
    <cfRule type="cellIs" dxfId="27842" priority="418" stopIfTrue="1" operator="equal">
      <formula>"Napkin Hs"</formula>
    </cfRule>
    <cfRule type="cellIs" dxfId="27841" priority="421" stopIfTrue="1" operator="equal">
      <formula>"Towel"</formula>
    </cfRule>
    <cfRule type="cellIs" dxfId="27840" priority="422" stopIfTrue="1" operator="equal">
      <formula>"Napkin Hs"</formula>
    </cfRule>
    <cfRule type="cellIs" dxfId="27839" priority="423" stopIfTrue="1" operator="equal">
      <formula>"Towel"</formula>
    </cfRule>
    <cfRule type="cellIs" dxfId="27838" priority="424" stopIfTrue="1" operator="equal">
      <formula>"Napkin Hs"</formula>
    </cfRule>
    <cfRule type="cellIs" dxfId="27837" priority="427" stopIfTrue="1" operator="equal">
      <formula>"Towel"</formula>
    </cfRule>
    <cfRule type="cellIs" dxfId="27836" priority="428" stopIfTrue="1" operator="equal">
      <formula>"Napkin Hs"</formula>
    </cfRule>
    <cfRule type="cellIs" dxfId="27835" priority="429" stopIfTrue="1" operator="equal">
      <formula>"Towel"</formula>
    </cfRule>
    <cfRule type="cellIs" dxfId="27834" priority="430" stopIfTrue="1" operator="equal">
      <formula>"Napkin Hs"</formula>
    </cfRule>
  </conditionalFormatting>
  <conditionalFormatting sqref="C145">
    <cfRule type="cellIs" dxfId="27833" priority="433" stopIfTrue="1" operator="equal">
      <formula>"Towel"</formula>
    </cfRule>
    <cfRule type="cellIs" dxfId="27832" priority="434" stopIfTrue="1" operator="equal">
      <formula>"Napkin Hs"</formula>
    </cfRule>
  </conditionalFormatting>
  <conditionalFormatting sqref="B144:C144">
    <cfRule type="cellIs" dxfId="27831" priority="279" stopIfTrue="1" operator="equal">
      <formula>"Towel"</formula>
    </cfRule>
    <cfRule type="cellIs" dxfId="27830" priority="280" stopIfTrue="1" operator="equal">
      <formula>"Napkin Hs"</formula>
    </cfRule>
    <cfRule type="cellIs" dxfId="27829" priority="285" stopIfTrue="1" operator="equal">
      <formula>"Towel"</formula>
    </cfRule>
    <cfRule type="cellIs" dxfId="27828" priority="286" stopIfTrue="1" operator="equal">
      <formula>"Napkin Hs"</formula>
    </cfRule>
    <cfRule type="cellIs" dxfId="27827" priority="291" stopIfTrue="1" operator="equal">
      <formula>"Towel"</formula>
    </cfRule>
    <cfRule type="cellIs" dxfId="27826" priority="292" stopIfTrue="1" operator="equal">
      <formula>"Napkin Hs"</formula>
    </cfRule>
    <cfRule type="cellIs" dxfId="27825" priority="297" stopIfTrue="1" operator="equal">
      <formula>"Towel"</formula>
    </cfRule>
    <cfRule type="cellIs" dxfId="27824" priority="298" stopIfTrue="1" operator="equal">
      <formula>"Napkin Hs"</formula>
    </cfRule>
    <cfRule type="cellIs" dxfId="27823" priority="303" stopIfTrue="1" operator="equal">
      <formula>"Towel"</formula>
    </cfRule>
    <cfRule type="cellIs" dxfId="27822" priority="304" stopIfTrue="1" operator="equal">
      <formula>"Napkin Hs"</formula>
    </cfRule>
    <cfRule type="cellIs" dxfId="27821" priority="309" stopIfTrue="1" operator="equal">
      <formula>"Towel"</formula>
    </cfRule>
    <cfRule type="cellIs" dxfId="27820" priority="310" stopIfTrue="1" operator="equal">
      <formula>"Napkin Hs"</formula>
    </cfRule>
    <cfRule type="cellIs" dxfId="27819" priority="313" stopIfTrue="1" operator="equal">
      <formula>"Towel"</formula>
    </cfRule>
    <cfRule type="cellIs" dxfId="27818" priority="314" stopIfTrue="1" operator="equal">
      <formula>"Napkin Hs"</formula>
    </cfRule>
    <cfRule type="cellIs" dxfId="27817" priority="319" stopIfTrue="1" operator="equal">
      <formula>"Towel"</formula>
    </cfRule>
    <cfRule type="cellIs" dxfId="27816" priority="320" stopIfTrue="1" operator="equal">
      <formula>"Napkin Hs"</formula>
    </cfRule>
    <cfRule type="cellIs" dxfId="27815" priority="325" stopIfTrue="1" operator="equal">
      <formula>"Towel"</formula>
    </cfRule>
    <cfRule type="cellIs" dxfId="27814" priority="326" stopIfTrue="1" operator="equal">
      <formula>"Napkin Hs"</formula>
    </cfRule>
    <cfRule type="cellIs" dxfId="27813" priority="331" stopIfTrue="1" operator="equal">
      <formula>"Towel"</formula>
    </cfRule>
    <cfRule type="cellIs" dxfId="27812" priority="332" stopIfTrue="1" operator="equal">
      <formula>"Napkin Hs"</formula>
    </cfRule>
    <cfRule type="cellIs" dxfId="27811" priority="337" stopIfTrue="1" operator="equal">
      <formula>"Towel"</formula>
    </cfRule>
    <cfRule type="cellIs" dxfId="27810" priority="338" stopIfTrue="1" operator="equal">
      <formula>"Napkin Hs"</formula>
    </cfRule>
    <cfRule type="cellIs" dxfId="27809" priority="343" stopIfTrue="1" operator="equal">
      <formula>"Towel"</formula>
    </cfRule>
    <cfRule type="cellIs" dxfId="27808" priority="344" stopIfTrue="1" operator="equal">
      <formula>"Napkin Hs"</formula>
    </cfRule>
    <cfRule type="cellIs" dxfId="27807" priority="349" stopIfTrue="1" operator="equal">
      <formula>"Towel"</formula>
    </cfRule>
    <cfRule type="cellIs" dxfId="27806" priority="350" stopIfTrue="1" operator="equal">
      <formula>"Napkin Hs"</formula>
    </cfRule>
    <cfRule type="cellIs" dxfId="27805" priority="354" stopIfTrue="1" operator="equal">
      <formula>"Napkin Hs"</formula>
    </cfRule>
  </conditionalFormatting>
  <conditionalFormatting sqref="B144:C144">
    <cfRule type="cellIs" dxfId="27804" priority="353" stopIfTrue="1" operator="equal">
      <formula>"Towel"</formula>
    </cfRule>
  </conditionalFormatting>
  <conditionalFormatting sqref="C144">
    <cfRule type="cellIs" dxfId="27803" priority="275" stopIfTrue="1" operator="equal">
      <formula>"Towel"</formula>
    </cfRule>
    <cfRule type="cellIs" dxfId="27802" priority="276" stopIfTrue="1" operator="equal">
      <formula>"Napkin Hs"</formula>
    </cfRule>
  </conditionalFormatting>
  <conditionalFormatting sqref="C144">
    <cfRule type="cellIs" dxfId="27801" priority="315" stopIfTrue="1" operator="equal">
      <formula>"Towel"</formula>
    </cfRule>
    <cfRule type="cellIs" dxfId="27800" priority="316" stopIfTrue="1" operator="equal">
      <formula>"Napkin Hs"</formula>
    </cfRule>
    <cfRule type="cellIs" dxfId="27799" priority="355" stopIfTrue="1" operator="equal">
      <formula>"Towel"</formula>
    </cfRule>
    <cfRule type="cellIs" dxfId="27798" priority="356" stopIfTrue="1" operator="equal">
      <formula>"Napkin Hs"</formula>
    </cfRule>
  </conditionalFormatting>
  <conditionalFormatting sqref="C144">
    <cfRule type="cellIs" dxfId="27797" priority="277" stopIfTrue="1" operator="equal">
      <formula>"Towel"</formula>
    </cfRule>
    <cfRule type="cellIs" dxfId="27796" priority="278" stopIfTrue="1" operator="equal">
      <formula>"Napkin Hs"</formula>
    </cfRule>
    <cfRule type="cellIs" dxfId="27795" priority="281" stopIfTrue="1" operator="equal">
      <formula>"Towel"</formula>
    </cfRule>
    <cfRule type="cellIs" dxfId="27794" priority="282" stopIfTrue="1" operator="equal">
      <formula>"Napkin Hs"</formula>
    </cfRule>
    <cfRule type="cellIs" dxfId="27793" priority="283" stopIfTrue="1" operator="equal">
      <formula>"Towel"</formula>
    </cfRule>
    <cfRule type="cellIs" dxfId="27792" priority="284" stopIfTrue="1" operator="equal">
      <formula>"Napkin Hs"</formula>
    </cfRule>
    <cfRule type="cellIs" dxfId="27791" priority="287" stopIfTrue="1" operator="equal">
      <formula>"Towel"</formula>
    </cfRule>
    <cfRule type="cellIs" dxfId="27790" priority="288" stopIfTrue="1" operator="equal">
      <formula>"Napkin Hs"</formula>
    </cfRule>
    <cfRule type="cellIs" dxfId="27789" priority="289" stopIfTrue="1" operator="equal">
      <formula>"Towel"</formula>
    </cfRule>
    <cfRule type="cellIs" dxfId="27788" priority="290" stopIfTrue="1" operator="equal">
      <formula>"Napkin Hs"</formula>
    </cfRule>
    <cfRule type="cellIs" dxfId="27787" priority="293" stopIfTrue="1" operator="equal">
      <formula>"Towel"</formula>
    </cfRule>
    <cfRule type="cellIs" dxfId="27786" priority="294" stopIfTrue="1" operator="equal">
      <formula>"Napkin Hs"</formula>
    </cfRule>
    <cfRule type="cellIs" dxfId="27785" priority="295" stopIfTrue="1" operator="equal">
      <formula>"Towel"</formula>
    </cfRule>
    <cfRule type="cellIs" dxfId="27784" priority="296" stopIfTrue="1" operator="equal">
      <formula>"Napkin Hs"</formula>
    </cfRule>
    <cfRule type="cellIs" dxfId="27783" priority="299" stopIfTrue="1" operator="equal">
      <formula>"Towel"</formula>
    </cfRule>
    <cfRule type="cellIs" dxfId="27782" priority="300" stopIfTrue="1" operator="equal">
      <formula>"Napkin Hs"</formula>
    </cfRule>
    <cfRule type="cellIs" dxfId="27781" priority="301" stopIfTrue="1" operator="equal">
      <formula>"Towel"</formula>
    </cfRule>
    <cfRule type="cellIs" dxfId="27780" priority="302" stopIfTrue="1" operator="equal">
      <formula>"Napkin Hs"</formula>
    </cfRule>
    <cfRule type="cellIs" dxfId="27779" priority="305" stopIfTrue="1" operator="equal">
      <formula>"Towel"</formula>
    </cfRule>
    <cfRule type="cellIs" dxfId="27778" priority="306" stopIfTrue="1" operator="equal">
      <formula>"Napkin Hs"</formula>
    </cfRule>
    <cfRule type="cellIs" dxfId="27777" priority="307" stopIfTrue="1" operator="equal">
      <formula>"Towel"</formula>
    </cfRule>
    <cfRule type="cellIs" dxfId="27776" priority="308" stopIfTrue="1" operator="equal">
      <formula>"Napkin Hs"</formula>
    </cfRule>
    <cfRule type="cellIs" dxfId="27775" priority="311" stopIfTrue="1" operator="equal">
      <formula>"Towel"</formula>
    </cfRule>
    <cfRule type="cellIs" dxfId="27774" priority="312" stopIfTrue="1" operator="equal">
      <formula>"Napkin Hs"</formula>
    </cfRule>
    <cfRule type="cellIs" dxfId="27773" priority="317" stopIfTrue="1" operator="equal">
      <formula>"Towel"</formula>
    </cfRule>
    <cfRule type="cellIs" dxfId="27772" priority="318" stopIfTrue="1" operator="equal">
      <formula>"Napkin Hs"</formula>
    </cfRule>
    <cfRule type="cellIs" dxfId="27771" priority="321" stopIfTrue="1" operator="equal">
      <formula>"Towel"</formula>
    </cfRule>
    <cfRule type="cellIs" dxfId="27770" priority="322" stopIfTrue="1" operator="equal">
      <formula>"Napkin Hs"</formula>
    </cfRule>
    <cfRule type="cellIs" dxfId="27769" priority="323" stopIfTrue="1" operator="equal">
      <formula>"Towel"</formula>
    </cfRule>
    <cfRule type="cellIs" dxfId="27768" priority="324" stopIfTrue="1" operator="equal">
      <formula>"Napkin Hs"</formula>
    </cfRule>
    <cfRule type="cellIs" dxfId="27767" priority="327" stopIfTrue="1" operator="equal">
      <formula>"Towel"</formula>
    </cfRule>
    <cfRule type="cellIs" dxfId="27766" priority="328" stopIfTrue="1" operator="equal">
      <formula>"Napkin Hs"</formula>
    </cfRule>
    <cfRule type="cellIs" dxfId="27765" priority="329" stopIfTrue="1" operator="equal">
      <formula>"Towel"</formula>
    </cfRule>
    <cfRule type="cellIs" dxfId="27764" priority="330" stopIfTrue="1" operator="equal">
      <formula>"Napkin Hs"</formula>
    </cfRule>
    <cfRule type="cellIs" dxfId="27763" priority="333" stopIfTrue="1" operator="equal">
      <formula>"Towel"</formula>
    </cfRule>
    <cfRule type="cellIs" dxfId="27762" priority="334" stopIfTrue="1" operator="equal">
      <formula>"Napkin Hs"</formula>
    </cfRule>
    <cfRule type="cellIs" dxfId="27761" priority="335" stopIfTrue="1" operator="equal">
      <formula>"Towel"</formula>
    </cfRule>
    <cfRule type="cellIs" dxfId="27760" priority="336" stopIfTrue="1" operator="equal">
      <formula>"Napkin Hs"</formula>
    </cfRule>
    <cfRule type="cellIs" dxfId="27759" priority="339" stopIfTrue="1" operator="equal">
      <formula>"Towel"</formula>
    </cfRule>
    <cfRule type="cellIs" dxfId="27758" priority="340" stopIfTrue="1" operator="equal">
      <formula>"Napkin Hs"</formula>
    </cfRule>
    <cfRule type="cellIs" dxfId="27757" priority="341" stopIfTrue="1" operator="equal">
      <formula>"Towel"</formula>
    </cfRule>
    <cfRule type="cellIs" dxfId="27756" priority="342" stopIfTrue="1" operator="equal">
      <formula>"Napkin Hs"</formula>
    </cfRule>
    <cfRule type="cellIs" dxfId="27755" priority="345" stopIfTrue="1" operator="equal">
      <formula>"Towel"</formula>
    </cfRule>
    <cfRule type="cellIs" dxfId="27754" priority="346" stopIfTrue="1" operator="equal">
      <formula>"Napkin Hs"</formula>
    </cfRule>
    <cfRule type="cellIs" dxfId="27753" priority="347" stopIfTrue="1" operator="equal">
      <formula>"Towel"</formula>
    </cfRule>
    <cfRule type="cellIs" dxfId="27752" priority="348" stopIfTrue="1" operator="equal">
      <formula>"Napkin Hs"</formula>
    </cfRule>
  </conditionalFormatting>
  <conditionalFormatting sqref="C144">
    <cfRule type="cellIs" dxfId="27751" priority="351" stopIfTrue="1" operator="equal">
      <formula>"Towel"</formula>
    </cfRule>
    <cfRule type="cellIs" dxfId="27750" priority="352" stopIfTrue="1" operator="equal">
      <formula>"Napkin Hs"</formula>
    </cfRule>
  </conditionalFormatting>
  <conditionalFormatting sqref="B150:C150">
    <cfRule type="cellIs" dxfId="27749" priority="272" stopIfTrue="1" operator="equal">
      <formula>"Napkin Hs"</formula>
    </cfRule>
  </conditionalFormatting>
  <conditionalFormatting sqref="B150:C150">
    <cfRule type="cellIs" dxfId="27748" priority="271" stopIfTrue="1" operator="equal">
      <formula>"Towel"</formula>
    </cfRule>
  </conditionalFormatting>
  <conditionalFormatting sqref="C150">
    <cfRule type="cellIs" dxfId="27747" priority="269" stopIfTrue="1" operator="equal">
      <formula>"Towel"</formula>
    </cfRule>
    <cfRule type="cellIs" dxfId="27746" priority="270" stopIfTrue="1" operator="equal">
      <formula>"Napkin Hs"</formula>
    </cfRule>
  </conditionalFormatting>
  <conditionalFormatting sqref="C150">
    <cfRule type="cellIs" dxfId="27745" priority="273" stopIfTrue="1" operator="equal">
      <formula>"Towel"</formula>
    </cfRule>
    <cfRule type="cellIs" dxfId="27744" priority="274" stopIfTrue="1" operator="equal">
      <formula>"Napkin Hs"</formula>
    </cfRule>
  </conditionalFormatting>
  <conditionalFormatting sqref="B150">
    <cfRule type="cellIs" dxfId="27743" priority="165" stopIfTrue="1" operator="equal">
      <formula>"Towel"</formula>
    </cfRule>
    <cfRule type="cellIs" dxfId="27742" priority="166" stopIfTrue="1" operator="equal">
      <formula>"Napkin Hs"</formula>
    </cfRule>
  </conditionalFormatting>
  <conditionalFormatting sqref="B150:C150">
    <cfRule type="cellIs" dxfId="27741" priority="225" stopIfTrue="1" operator="equal">
      <formula>"Towel"</formula>
    </cfRule>
    <cfRule type="cellIs" dxfId="27740" priority="226" stopIfTrue="1" operator="equal">
      <formula>"Napkin Hs"</formula>
    </cfRule>
    <cfRule type="cellIs" dxfId="27739" priority="231" stopIfTrue="1" operator="equal">
      <formula>"Towel"</formula>
    </cfRule>
    <cfRule type="cellIs" dxfId="27738" priority="232" stopIfTrue="1" operator="equal">
      <formula>"Napkin Hs"</formula>
    </cfRule>
    <cfRule type="cellIs" dxfId="27737" priority="237" stopIfTrue="1" operator="equal">
      <formula>"Towel"</formula>
    </cfRule>
    <cfRule type="cellIs" dxfId="27736" priority="238" stopIfTrue="1" operator="equal">
      <formula>"Napkin Hs"</formula>
    </cfRule>
    <cfRule type="cellIs" dxfId="27735" priority="243" stopIfTrue="1" operator="equal">
      <formula>"Towel"</formula>
    </cfRule>
    <cfRule type="cellIs" dxfId="27734" priority="244" stopIfTrue="1" operator="equal">
      <formula>"Napkin Hs"</formula>
    </cfRule>
    <cfRule type="cellIs" dxfId="27733" priority="249" stopIfTrue="1" operator="equal">
      <formula>"Towel"</formula>
    </cfRule>
    <cfRule type="cellIs" dxfId="27732" priority="250" stopIfTrue="1" operator="equal">
      <formula>"Napkin Hs"</formula>
    </cfRule>
    <cfRule type="cellIs" dxfId="27731" priority="255" stopIfTrue="1" operator="equal">
      <formula>"Towel"</formula>
    </cfRule>
    <cfRule type="cellIs" dxfId="27730" priority="256" stopIfTrue="1" operator="equal">
      <formula>"Napkin Hs"</formula>
    </cfRule>
    <cfRule type="cellIs" dxfId="27729" priority="261" stopIfTrue="1" operator="equal">
      <formula>"Towel"</formula>
    </cfRule>
    <cfRule type="cellIs" dxfId="27728" priority="262" stopIfTrue="1" operator="equal">
      <formula>"Napkin Hs"</formula>
    </cfRule>
    <cfRule type="cellIs" dxfId="27727" priority="267" stopIfTrue="1" operator="equal">
      <formula>"Towel"</formula>
    </cfRule>
    <cfRule type="cellIs" dxfId="27726" priority="268" stopIfTrue="1" operator="equal">
      <formula>"Napkin Hs"</formula>
    </cfRule>
  </conditionalFormatting>
  <conditionalFormatting sqref="B150:C150">
    <cfRule type="cellIs" dxfId="27725" priority="167" stopIfTrue="1" operator="equal">
      <formula>"Towel"</formula>
    </cfRule>
    <cfRule type="cellIs" dxfId="27724" priority="168" stopIfTrue="1" operator="equal">
      <formula>"Napkin Hs"</formula>
    </cfRule>
    <cfRule type="cellIs" dxfId="27723" priority="183" stopIfTrue="1" operator="equal">
      <formula>"Towel"</formula>
    </cfRule>
    <cfRule type="cellIs" dxfId="27722" priority="184" stopIfTrue="1" operator="equal">
      <formula>"Napkin Hs"</formula>
    </cfRule>
    <cfRule type="cellIs" dxfId="27721" priority="189" stopIfTrue="1" operator="equal">
      <formula>"Towel"</formula>
    </cfRule>
    <cfRule type="cellIs" dxfId="27720" priority="190" stopIfTrue="1" operator="equal">
      <formula>"Napkin Hs"</formula>
    </cfRule>
    <cfRule type="cellIs" dxfId="27719" priority="195" stopIfTrue="1" operator="equal">
      <formula>"Towel"</formula>
    </cfRule>
    <cfRule type="cellIs" dxfId="27718" priority="196" stopIfTrue="1" operator="equal">
      <formula>"Napkin Hs"</formula>
    </cfRule>
    <cfRule type="cellIs" dxfId="27717" priority="201" stopIfTrue="1" operator="equal">
      <formula>"Towel"</formula>
    </cfRule>
    <cfRule type="cellIs" dxfId="27716" priority="202" stopIfTrue="1" operator="equal">
      <formula>"Napkin Hs"</formula>
    </cfRule>
    <cfRule type="cellIs" dxfId="27715" priority="207" stopIfTrue="1" operator="equal">
      <formula>"Towel"</formula>
    </cfRule>
    <cfRule type="cellIs" dxfId="27714" priority="208" stopIfTrue="1" operator="equal">
      <formula>"Napkin Hs"</formula>
    </cfRule>
    <cfRule type="cellIs" dxfId="27713" priority="213" stopIfTrue="1" operator="equal">
      <formula>"Towel"</formula>
    </cfRule>
    <cfRule type="cellIs" dxfId="27712" priority="214" stopIfTrue="1" operator="equal">
      <formula>"Napkin Hs"</formula>
    </cfRule>
    <cfRule type="cellIs" dxfId="27711" priority="219" stopIfTrue="1" operator="equal">
      <formula>"Towel"</formula>
    </cfRule>
    <cfRule type="cellIs" dxfId="27710" priority="220" stopIfTrue="1" operator="equal">
      <formula>"Napkin Hs"</formula>
    </cfRule>
  </conditionalFormatting>
  <conditionalFormatting sqref="C150">
    <cfRule type="cellIs" dxfId="27709" priority="221" stopIfTrue="1" operator="equal">
      <formula>"Towel"</formula>
    </cfRule>
    <cfRule type="cellIs" dxfId="27708" priority="222" stopIfTrue="1" operator="equal">
      <formula>"Napkin Hs"</formula>
    </cfRule>
    <cfRule type="cellIs" dxfId="27707" priority="223" stopIfTrue="1" operator="equal">
      <formula>"Towel"</formula>
    </cfRule>
    <cfRule type="cellIs" dxfId="27706" priority="224" stopIfTrue="1" operator="equal">
      <formula>"Napkin Hs"</formula>
    </cfRule>
    <cfRule type="cellIs" dxfId="27705" priority="227" stopIfTrue="1" operator="equal">
      <formula>"Towel"</formula>
    </cfRule>
    <cfRule type="cellIs" dxfId="27704" priority="228" stopIfTrue="1" operator="equal">
      <formula>"Napkin Hs"</formula>
    </cfRule>
    <cfRule type="cellIs" dxfId="27703" priority="229" stopIfTrue="1" operator="equal">
      <formula>"Towel"</formula>
    </cfRule>
    <cfRule type="cellIs" dxfId="27702" priority="230" stopIfTrue="1" operator="equal">
      <formula>"Napkin Hs"</formula>
    </cfRule>
    <cfRule type="cellIs" dxfId="27701" priority="233" stopIfTrue="1" operator="equal">
      <formula>"Towel"</formula>
    </cfRule>
    <cfRule type="cellIs" dxfId="27700" priority="234" stopIfTrue="1" operator="equal">
      <formula>"Napkin Hs"</formula>
    </cfRule>
    <cfRule type="cellIs" dxfId="27699" priority="235" stopIfTrue="1" operator="equal">
      <formula>"Towel"</formula>
    </cfRule>
    <cfRule type="cellIs" dxfId="27698" priority="236" stopIfTrue="1" operator="equal">
      <formula>"Napkin Hs"</formula>
    </cfRule>
    <cfRule type="cellIs" dxfId="27697" priority="239" stopIfTrue="1" operator="equal">
      <formula>"Towel"</formula>
    </cfRule>
    <cfRule type="cellIs" dxfId="27696" priority="240" stopIfTrue="1" operator="equal">
      <formula>"Napkin Hs"</formula>
    </cfRule>
    <cfRule type="cellIs" dxfId="27695" priority="241" stopIfTrue="1" operator="equal">
      <formula>"Towel"</formula>
    </cfRule>
    <cfRule type="cellIs" dxfId="27694" priority="242" stopIfTrue="1" operator="equal">
      <formula>"Napkin Hs"</formula>
    </cfRule>
    <cfRule type="cellIs" dxfId="27693" priority="245" stopIfTrue="1" operator="equal">
      <formula>"Towel"</formula>
    </cfRule>
    <cfRule type="cellIs" dxfId="27692" priority="246" stopIfTrue="1" operator="equal">
      <formula>"Napkin Hs"</formula>
    </cfRule>
    <cfRule type="cellIs" dxfId="27691" priority="247" stopIfTrue="1" operator="equal">
      <formula>"Towel"</formula>
    </cfRule>
    <cfRule type="cellIs" dxfId="27690" priority="248" stopIfTrue="1" operator="equal">
      <formula>"Napkin Hs"</formula>
    </cfRule>
    <cfRule type="cellIs" dxfId="27689" priority="251" stopIfTrue="1" operator="equal">
      <formula>"Towel"</formula>
    </cfRule>
    <cfRule type="cellIs" dxfId="27688" priority="252" stopIfTrue="1" operator="equal">
      <formula>"Napkin Hs"</formula>
    </cfRule>
    <cfRule type="cellIs" dxfId="27687" priority="253" stopIfTrue="1" operator="equal">
      <formula>"Towel"</formula>
    </cfRule>
    <cfRule type="cellIs" dxfId="27686" priority="254" stopIfTrue="1" operator="equal">
      <formula>"Napkin Hs"</formula>
    </cfRule>
    <cfRule type="cellIs" dxfId="27685" priority="257" stopIfTrue="1" operator="equal">
      <formula>"Towel"</formula>
    </cfRule>
    <cfRule type="cellIs" dxfId="27684" priority="258" stopIfTrue="1" operator="equal">
      <formula>"Napkin Hs"</formula>
    </cfRule>
    <cfRule type="cellIs" dxfId="27683" priority="259" stopIfTrue="1" operator="equal">
      <formula>"Towel"</formula>
    </cfRule>
    <cfRule type="cellIs" dxfId="27682" priority="260" stopIfTrue="1" operator="equal">
      <formula>"Napkin Hs"</formula>
    </cfRule>
    <cfRule type="cellIs" dxfId="27681" priority="263" stopIfTrue="1" operator="equal">
      <formula>"Towel"</formula>
    </cfRule>
    <cfRule type="cellIs" dxfId="27680" priority="264" stopIfTrue="1" operator="equal">
      <formula>"Napkin Hs"</formula>
    </cfRule>
  </conditionalFormatting>
  <conditionalFormatting sqref="C150">
    <cfRule type="cellIs" dxfId="27679" priority="169" stopIfTrue="1" operator="equal">
      <formula>"Towel"</formula>
    </cfRule>
    <cfRule type="cellIs" dxfId="27678" priority="170" stopIfTrue="1" operator="equal">
      <formula>"Napkin Hs"</formula>
    </cfRule>
    <cfRule type="cellIs" dxfId="27677" priority="171" stopIfTrue="1" operator="equal">
      <formula>"Towel"</formula>
    </cfRule>
    <cfRule type="cellIs" dxfId="27676" priority="172" stopIfTrue="1" operator="equal">
      <formula>"Napkin Hs"</formula>
    </cfRule>
    <cfRule type="cellIs" dxfId="27675" priority="173" stopIfTrue="1" operator="equal">
      <formula>"Towel"</formula>
    </cfRule>
    <cfRule type="cellIs" dxfId="27674" priority="174" stopIfTrue="1" operator="equal">
      <formula>"Napkin Hs"</formula>
    </cfRule>
    <cfRule type="cellIs" dxfId="27673" priority="175" stopIfTrue="1" operator="equal">
      <formula>"Towel"</formula>
    </cfRule>
    <cfRule type="cellIs" dxfId="27672" priority="176" stopIfTrue="1" operator="equal">
      <formula>"Napkin Hs"</formula>
    </cfRule>
    <cfRule type="cellIs" dxfId="27671" priority="177" stopIfTrue="1" operator="equal">
      <formula>"Towel"</formula>
    </cfRule>
    <cfRule type="cellIs" dxfId="27670" priority="178" stopIfTrue="1" operator="equal">
      <formula>"Napkin Hs"</formula>
    </cfRule>
    <cfRule type="cellIs" dxfId="27669" priority="179" stopIfTrue="1" operator="equal">
      <formula>"Towel"</formula>
    </cfRule>
    <cfRule type="cellIs" dxfId="27668" priority="180" stopIfTrue="1" operator="equal">
      <formula>"Napkin Hs"</formula>
    </cfRule>
    <cfRule type="cellIs" dxfId="27667" priority="181" stopIfTrue="1" operator="equal">
      <formula>"Towel"</formula>
    </cfRule>
    <cfRule type="cellIs" dxfId="27666" priority="182" stopIfTrue="1" operator="equal">
      <formula>"Napkin Hs"</formula>
    </cfRule>
    <cfRule type="cellIs" dxfId="27665" priority="185" stopIfTrue="1" operator="equal">
      <formula>"Towel"</formula>
    </cfRule>
    <cfRule type="cellIs" dxfId="27664" priority="186" stopIfTrue="1" operator="equal">
      <formula>"Napkin Hs"</formula>
    </cfRule>
    <cfRule type="cellIs" dxfId="27663" priority="187" stopIfTrue="1" operator="equal">
      <formula>"Towel"</formula>
    </cfRule>
    <cfRule type="cellIs" dxfId="27662" priority="188" stopIfTrue="1" operator="equal">
      <formula>"Napkin Hs"</formula>
    </cfRule>
    <cfRule type="cellIs" dxfId="27661" priority="191" stopIfTrue="1" operator="equal">
      <formula>"Towel"</formula>
    </cfRule>
    <cfRule type="cellIs" dxfId="27660" priority="192" stopIfTrue="1" operator="equal">
      <formula>"Napkin Hs"</formula>
    </cfRule>
    <cfRule type="cellIs" dxfId="27659" priority="193" stopIfTrue="1" operator="equal">
      <formula>"Towel"</formula>
    </cfRule>
    <cfRule type="cellIs" dxfId="27658" priority="194" stopIfTrue="1" operator="equal">
      <formula>"Napkin Hs"</formula>
    </cfRule>
    <cfRule type="cellIs" dxfId="27657" priority="197" stopIfTrue="1" operator="equal">
      <formula>"Towel"</formula>
    </cfRule>
    <cfRule type="cellIs" dxfId="27656" priority="198" stopIfTrue="1" operator="equal">
      <formula>"Napkin Hs"</formula>
    </cfRule>
    <cfRule type="cellIs" dxfId="27655" priority="199" stopIfTrue="1" operator="equal">
      <formula>"Towel"</formula>
    </cfRule>
    <cfRule type="cellIs" dxfId="27654" priority="200" stopIfTrue="1" operator="equal">
      <formula>"Napkin Hs"</formula>
    </cfRule>
    <cfRule type="cellIs" dxfId="27653" priority="203" stopIfTrue="1" operator="equal">
      <formula>"Towel"</formula>
    </cfRule>
    <cfRule type="cellIs" dxfId="27652" priority="204" stopIfTrue="1" operator="equal">
      <formula>"Napkin Hs"</formula>
    </cfRule>
    <cfRule type="cellIs" dxfId="27651" priority="205" stopIfTrue="1" operator="equal">
      <formula>"Towel"</formula>
    </cfRule>
    <cfRule type="cellIs" dxfId="27650" priority="206" stopIfTrue="1" operator="equal">
      <formula>"Napkin Hs"</formula>
    </cfRule>
    <cfRule type="cellIs" dxfId="27649" priority="209" stopIfTrue="1" operator="equal">
      <formula>"Towel"</formula>
    </cfRule>
    <cfRule type="cellIs" dxfId="27648" priority="210" stopIfTrue="1" operator="equal">
      <formula>"Napkin Hs"</formula>
    </cfRule>
    <cfRule type="cellIs" dxfId="27647" priority="211" stopIfTrue="1" operator="equal">
      <formula>"Towel"</formula>
    </cfRule>
    <cfRule type="cellIs" dxfId="27646" priority="212" stopIfTrue="1" operator="equal">
      <formula>"Napkin Hs"</formula>
    </cfRule>
    <cfRule type="cellIs" dxfId="27645" priority="215" stopIfTrue="1" operator="equal">
      <formula>"Towel"</formula>
    </cfRule>
    <cfRule type="cellIs" dxfId="27644" priority="216" stopIfTrue="1" operator="equal">
      <formula>"Napkin Hs"</formula>
    </cfRule>
    <cfRule type="cellIs" dxfId="27643" priority="217" stopIfTrue="1" operator="equal">
      <formula>"Towel"</formula>
    </cfRule>
    <cfRule type="cellIs" dxfId="27642" priority="218" stopIfTrue="1" operator="equal">
      <formula>"Napkin Hs"</formula>
    </cfRule>
    <cfRule type="cellIs" dxfId="27641" priority="265" stopIfTrue="1" operator="equal">
      <formula>"Towel"</formula>
    </cfRule>
    <cfRule type="cellIs" dxfId="27640" priority="266" stopIfTrue="1" operator="equal">
      <formula>"Napkin Hs"</formula>
    </cfRule>
  </conditionalFormatting>
  <conditionalFormatting sqref="B148:C148">
    <cfRule type="cellIs" dxfId="27639" priority="87" stopIfTrue="1" operator="equal">
      <formula>"Towel"</formula>
    </cfRule>
    <cfRule type="cellIs" dxfId="27638" priority="88" stopIfTrue="1" operator="equal">
      <formula>"Napkin Hs"</formula>
    </cfRule>
    <cfRule type="cellIs" dxfId="27637" priority="93" stopIfTrue="1" operator="equal">
      <formula>"Towel"</formula>
    </cfRule>
    <cfRule type="cellIs" dxfId="27636" priority="94" stopIfTrue="1" operator="equal">
      <formula>"Napkin Hs"</formula>
    </cfRule>
    <cfRule type="cellIs" dxfId="27635" priority="99" stopIfTrue="1" operator="equal">
      <formula>"Towel"</formula>
    </cfRule>
    <cfRule type="cellIs" dxfId="27634" priority="100" stopIfTrue="1" operator="equal">
      <formula>"Napkin Hs"</formula>
    </cfRule>
    <cfRule type="cellIs" dxfId="27633" priority="105" stopIfTrue="1" operator="equal">
      <formula>"Towel"</formula>
    </cfRule>
    <cfRule type="cellIs" dxfId="27632" priority="106" stopIfTrue="1" operator="equal">
      <formula>"Napkin Hs"</formula>
    </cfRule>
    <cfRule type="cellIs" dxfId="27631" priority="111" stopIfTrue="1" operator="equal">
      <formula>"Towel"</formula>
    </cfRule>
    <cfRule type="cellIs" dxfId="27630" priority="112" stopIfTrue="1" operator="equal">
      <formula>"Napkin Hs"</formula>
    </cfRule>
    <cfRule type="cellIs" dxfId="27629" priority="117" stopIfTrue="1" operator="equal">
      <formula>"Towel"</formula>
    </cfRule>
    <cfRule type="cellIs" dxfId="27628" priority="118" stopIfTrue="1" operator="equal">
      <formula>"Napkin Hs"</formula>
    </cfRule>
    <cfRule type="cellIs" dxfId="27627" priority="121" stopIfTrue="1" operator="equal">
      <formula>"Towel"</formula>
    </cfRule>
    <cfRule type="cellIs" dxfId="27626" priority="122" stopIfTrue="1" operator="equal">
      <formula>"Napkin Hs"</formula>
    </cfRule>
    <cfRule type="cellIs" dxfId="27625" priority="127" stopIfTrue="1" operator="equal">
      <formula>"Towel"</formula>
    </cfRule>
    <cfRule type="cellIs" dxfId="27624" priority="128" stopIfTrue="1" operator="equal">
      <formula>"Napkin Hs"</formula>
    </cfRule>
    <cfRule type="cellIs" dxfId="27623" priority="133" stopIfTrue="1" operator="equal">
      <formula>"Towel"</formula>
    </cfRule>
    <cfRule type="cellIs" dxfId="27622" priority="134" stopIfTrue="1" operator="equal">
      <formula>"Napkin Hs"</formula>
    </cfRule>
    <cfRule type="cellIs" dxfId="27621" priority="139" stopIfTrue="1" operator="equal">
      <formula>"Towel"</formula>
    </cfRule>
    <cfRule type="cellIs" dxfId="27620" priority="140" stopIfTrue="1" operator="equal">
      <formula>"Napkin Hs"</formula>
    </cfRule>
    <cfRule type="cellIs" dxfId="27619" priority="145" stopIfTrue="1" operator="equal">
      <formula>"Towel"</formula>
    </cfRule>
    <cfRule type="cellIs" dxfId="27618" priority="146" stopIfTrue="1" operator="equal">
      <formula>"Napkin Hs"</formula>
    </cfRule>
    <cfRule type="cellIs" dxfId="27617" priority="151" stopIfTrue="1" operator="equal">
      <formula>"Towel"</formula>
    </cfRule>
    <cfRule type="cellIs" dxfId="27616" priority="152" stopIfTrue="1" operator="equal">
      <formula>"Napkin Hs"</formula>
    </cfRule>
    <cfRule type="cellIs" dxfId="27615" priority="157" stopIfTrue="1" operator="equal">
      <formula>"Towel"</formula>
    </cfRule>
    <cfRule type="cellIs" dxfId="27614" priority="158" stopIfTrue="1" operator="equal">
      <formula>"Napkin Hs"</formula>
    </cfRule>
    <cfRule type="cellIs" dxfId="27613" priority="162" stopIfTrue="1" operator="equal">
      <formula>"Napkin Hs"</formula>
    </cfRule>
  </conditionalFormatting>
  <conditionalFormatting sqref="B148:C148">
    <cfRule type="cellIs" dxfId="27612" priority="161" stopIfTrue="1" operator="equal">
      <formula>"Towel"</formula>
    </cfRule>
  </conditionalFormatting>
  <conditionalFormatting sqref="C148">
    <cfRule type="cellIs" dxfId="27611" priority="83" stopIfTrue="1" operator="equal">
      <formula>"Towel"</formula>
    </cfRule>
    <cfRule type="cellIs" dxfId="27610" priority="84" stopIfTrue="1" operator="equal">
      <formula>"Napkin Hs"</formula>
    </cfRule>
  </conditionalFormatting>
  <conditionalFormatting sqref="C148">
    <cfRule type="cellIs" dxfId="27609" priority="123" stopIfTrue="1" operator="equal">
      <formula>"Towel"</formula>
    </cfRule>
    <cfRule type="cellIs" dxfId="27608" priority="124" stopIfTrue="1" operator="equal">
      <formula>"Napkin Hs"</formula>
    </cfRule>
    <cfRule type="cellIs" dxfId="27607" priority="163" stopIfTrue="1" operator="equal">
      <formula>"Towel"</formula>
    </cfRule>
    <cfRule type="cellIs" dxfId="27606" priority="164" stopIfTrue="1" operator="equal">
      <formula>"Napkin Hs"</formula>
    </cfRule>
  </conditionalFormatting>
  <conditionalFormatting sqref="C148">
    <cfRule type="cellIs" dxfId="27605" priority="85" stopIfTrue="1" operator="equal">
      <formula>"Towel"</formula>
    </cfRule>
    <cfRule type="cellIs" dxfId="27604" priority="86" stopIfTrue="1" operator="equal">
      <formula>"Napkin Hs"</formula>
    </cfRule>
    <cfRule type="cellIs" dxfId="27603" priority="89" stopIfTrue="1" operator="equal">
      <formula>"Towel"</formula>
    </cfRule>
    <cfRule type="cellIs" dxfId="27602" priority="90" stopIfTrue="1" operator="equal">
      <formula>"Napkin Hs"</formula>
    </cfRule>
    <cfRule type="cellIs" dxfId="27601" priority="91" stopIfTrue="1" operator="equal">
      <formula>"Towel"</formula>
    </cfRule>
    <cfRule type="cellIs" dxfId="27600" priority="92" stopIfTrue="1" operator="equal">
      <formula>"Napkin Hs"</formula>
    </cfRule>
    <cfRule type="cellIs" dxfId="27599" priority="95" stopIfTrue="1" operator="equal">
      <formula>"Towel"</formula>
    </cfRule>
    <cfRule type="cellIs" dxfId="27598" priority="96" stopIfTrue="1" operator="equal">
      <formula>"Napkin Hs"</formula>
    </cfRule>
    <cfRule type="cellIs" dxfId="27597" priority="97" stopIfTrue="1" operator="equal">
      <formula>"Towel"</formula>
    </cfRule>
    <cfRule type="cellIs" dxfId="27596" priority="98" stopIfTrue="1" operator="equal">
      <formula>"Napkin Hs"</formula>
    </cfRule>
    <cfRule type="cellIs" dxfId="27595" priority="101" stopIfTrue="1" operator="equal">
      <formula>"Towel"</formula>
    </cfRule>
    <cfRule type="cellIs" dxfId="27594" priority="102" stopIfTrue="1" operator="equal">
      <formula>"Napkin Hs"</formula>
    </cfRule>
    <cfRule type="cellIs" dxfId="27593" priority="103" stopIfTrue="1" operator="equal">
      <formula>"Towel"</formula>
    </cfRule>
    <cfRule type="cellIs" dxfId="27592" priority="104" stopIfTrue="1" operator="equal">
      <formula>"Napkin Hs"</formula>
    </cfRule>
    <cfRule type="cellIs" dxfId="27591" priority="107" stopIfTrue="1" operator="equal">
      <formula>"Towel"</formula>
    </cfRule>
    <cfRule type="cellIs" dxfId="27590" priority="108" stopIfTrue="1" operator="equal">
      <formula>"Napkin Hs"</formula>
    </cfRule>
    <cfRule type="cellIs" dxfId="27589" priority="109" stopIfTrue="1" operator="equal">
      <formula>"Towel"</formula>
    </cfRule>
    <cfRule type="cellIs" dxfId="27588" priority="110" stopIfTrue="1" operator="equal">
      <formula>"Napkin Hs"</formula>
    </cfRule>
    <cfRule type="cellIs" dxfId="27587" priority="113" stopIfTrue="1" operator="equal">
      <formula>"Towel"</formula>
    </cfRule>
    <cfRule type="cellIs" dxfId="27586" priority="114" stopIfTrue="1" operator="equal">
      <formula>"Napkin Hs"</formula>
    </cfRule>
    <cfRule type="cellIs" dxfId="27585" priority="115" stopIfTrue="1" operator="equal">
      <formula>"Towel"</formula>
    </cfRule>
    <cfRule type="cellIs" dxfId="27584" priority="116" stopIfTrue="1" operator="equal">
      <formula>"Napkin Hs"</formula>
    </cfRule>
    <cfRule type="cellIs" dxfId="27583" priority="119" stopIfTrue="1" operator="equal">
      <formula>"Towel"</formula>
    </cfRule>
    <cfRule type="cellIs" dxfId="27582" priority="120" stopIfTrue="1" operator="equal">
      <formula>"Napkin Hs"</formula>
    </cfRule>
    <cfRule type="cellIs" dxfId="27581" priority="125" stopIfTrue="1" operator="equal">
      <formula>"Towel"</formula>
    </cfRule>
    <cfRule type="cellIs" dxfId="27580" priority="126" stopIfTrue="1" operator="equal">
      <formula>"Napkin Hs"</formula>
    </cfRule>
    <cfRule type="cellIs" dxfId="27579" priority="129" stopIfTrue="1" operator="equal">
      <formula>"Towel"</formula>
    </cfRule>
    <cfRule type="cellIs" dxfId="27578" priority="130" stopIfTrue="1" operator="equal">
      <formula>"Napkin Hs"</formula>
    </cfRule>
    <cfRule type="cellIs" dxfId="27577" priority="131" stopIfTrue="1" operator="equal">
      <formula>"Towel"</formula>
    </cfRule>
    <cfRule type="cellIs" dxfId="27576" priority="132" stopIfTrue="1" operator="equal">
      <formula>"Napkin Hs"</formula>
    </cfRule>
    <cfRule type="cellIs" dxfId="27575" priority="135" stopIfTrue="1" operator="equal">
      <formula>"Towel"</formula>
    </cfRule>
    <cfRule type="cellIs" dxfId="27574" priority="136" stopIfTrue="1" operator="equal">
      <formula>"Napkin Hs"</formula>
    </cfRule>
    <cfRule type="cellIs" dxfId="27573" priority="137" stopIfTrue="1" operator="equal">
      <formula>"Towel"</formula>
    </cfRule>
    <cfRule type="cellIs" dxfId="27572" priority="138" stopIfTrue="1" operator="equal">
      <formula>"Napkin Hs"</formula>
    </cfRule>
    <cfRule type="cellIs" dxfId="27571" priority="141" stopIfTrue="1" operator="equal">
      <formula>"Towel"</formula>
    </cfRule>
    <cfRule type="cellIs" dxfId="27570" priority="142" stopIfTrue="1" operator="equal">
      <formula>"Napkin Hs"</formula>
    </cfRule>
    <cfRule type="cellIs" dxfId="27569" priority="143" stopIfTrue="1" operator="equal">
      <formula>"Towel"</formula>
    </cfRule>
    <cfRule type="cellIs" dxfId="27568" priority="144" stopIfTrue="1" operator="equal">
      <formula>"Napkin Hs"</formula>
    </cfRule>
    <cfRule type="cellIs" dxfId="27567" priority="147" stopIfTrue="1" operator="equal">
      <formula>"Towel"</formula>
    </cfRule>
    <cfRule type="cellIs" dxfId="27566" priority="148" stopIfTrue="1" operator="equal">
      <formula>"Napkin Hs"</formula>
    </cfRule>
    <cfRule type="cellIs" dxfId="27565" priority="149" stopIfTrue="1" operator="equal">
      <formula>"Towel"</formula>
    </cfRule>
    <cfRule type="cellIs" dxfId="27564" priority="150" stopIfTrue="1" operator="equal">
      <formula>"Napkin Hs"</formula>
    </cfRule>
    <cfRule type="cellIs" dxfId="27563" priority="153" stopIfTrue="1" operator="equal">
      <formula>"Towel"</formula>
    </cfRule>
    <cfRule type="cellIs" dxfId="27562" priority="154" stopIfTrue="1" operator="equal">
      <formula>"Napkin Hs"</formula>
    </cfRule>
    <cfRule type="cellIs" dxfId="27561" priority="155" stopIfTrue="1" operator="equal">
      <formula>"Towel"</formula>
    </cfRule>
    <cfRule type="cellIs" dxfId="27560" priority="156" stopIfTrue="1" operator="equal">
      <formula>"Napkin Hs"</formula>
    </cfRule>
  </conditionalFormatting>
  <conditionalFormatting sqref="C148">
    <cfRule type="cellIs" dxfId="27559" priority="159" stopIfTrue="1" operator="equal">
      <formula>"Towel"</formula>
    </cfRule>
    <cfRule type="cellIs" dxfId="27558" priority="160" stopIfTrue="1" operator="equal">
      <formula>"Napkin Hs"</formula>
    </cfRule>
  </conditionalFormatting>
  <conditionalFormatting sqref="B149:C149">
    <cfRule type="cellIs" dxfId="27557" priority="5" stopIfTrue="1" operator="equal">
      <formula>"Towel"</formula>
    </cfRule>
    <cfRule type="cellIs" dxfId="27556" priority="6" stopIfTrue="1" operator="equal">
      <formula>"Napkin Hs"</formula>
    </cfRule>
    <cfRule type="cellIs" dxfId="27555" priority="11" stopIfTrue="1" operator="equal">
      <formula>"Towel"</formula>
    </cfRule>
    <cfRule type="cellIs" dxfId="27554" priority="12" stopIfTrue="1" operator="equal">
      <formula>"Napkin Hs"</formula>
    </cfRule>
    <cfRule type="cellIs" dxfId="27553" priority="17" stopIfTrue="1" operator="equal">
      <formula>"Towel"</formula>
    </cfRule>
    <cfRule type="cellIs" dxfId="27552" priority="18" stopIfTrue="1" operator="equal">
      <formula>"Napkin Hs"</formula>
    </cfRule>
    <cfRule type="cellIs" dxfId="27551" priority="23" stopIfTrue="1" operator="equal">
      <formula>"Towel"</formula>
    </cfRule>
    <cfRule type="cellIs" dxfId="27550" priority="24" stopIfTrue="1" operator="equal">
      <formula>"Napkin Hs"</formula>
    </cfRule>
    <cfRule type="cellIs" dxfId="27549" priority="29" stopIfTrue="1" operator="equal">
      <formula>"Towel"</formula>
    </cfRule>
    <cfRule type="cellIs" dxfId="27548" priority="30" stopIfTrue="1" operator="equal">
      <formula>"Napkin Hs"</formula>
    </cfRule>
    <cfRule type="cellIs" dxfId="27547" priority="35" stopIfTrue="1" operator="equal">
      <formula>"Towel"</formula>
    </cfRule>
    <cfRule type="cellIs" dxfId="27546" priority="36" stopIfTrue="1" operator="equal">
      <formula>"Napkin Hs"</formula>
    </cfRule>
    <cfRule type="cellIs" dxfId="27545" priority="39" stopIfTrue="1" operator="equal">
      <formula>"Towel"</formula>
    </cfRule>
    <cfRule type="cellIs" dxfId="27544" priority="40" stopIfTrue="1" operator="equal">
      <formula>"Napkin Hs"</formula>
    </cfRule>
    <cfRule type="cellIs" dxfId="27543" priority="45" stopIfTrue="1" operator="equal">
      <formula>"Towel"</formula>
    </cfRule>
    <cfRule type="cellIs" dxfId="27542" priority="46" stopIfTrue="1" operator="equal">
      <formula>"Napkin Hs"</formula>
    </cfRule>
    <cfRule type="cellIs" dxfId="27541" priority="51" stopIfTrue="1" operator="equal">
      <formula>"Towel"</formula>
    </cfRule>
    <cfRule type="cellIs" dxfId="27540" priority="52" stopIfTrue="1" operator="equal">
      <formula>"Napkin Hs"</formula>
    </cfRule>
    <cfRule type="cellIs" dxfId="27539" priority="57" stopIfTrue="1" operator="equal">
      <formula>"Towel"</formula>
    </cfRule>
    <cfRule type="cellIs" dxfId="27538" priority="58" stopIfTrue="1" operator="equal">
      <formula>"Napkin Hs"</formula>
    </cfRule>
    <cfRule type="cellIs" dxfId="27537" priority="63" stopIfTrue="1" operator="equal">
      <formula>"Towel"</formula>
    </cfRule>
    <cfRule type="cellIs" dxfId="27536" priority="64" stopIfTrue="1" operator="equal">
      <formula>"Napkin Hs"</formula>
    </cfRule>
    <cfRule type="cellIs" dxfId="27535" priority="69" stopIfTrue="1" operator="equal">
      <formula>"Towel"</formula>
    </cfRule>
    <cfRule type="cellIs" dxfId="27534" priority="70" stopIfTrue="1" operator="equal">
      <formula>"Napkin Hs"</formula>
    </cfRule>
    <cfRule type="cellIs" dxfId="27533" priority="75" stopIfTrue="1" operator="equal">
      <formula>"Towel"</formula>
    </cfRule>
    <cfRule type="cellIs" dxfId="27532" priority="76" stopIfTrue="1" operator="equal">
      <formula>"Napkin Hs"</formula>
    </cfRule>
    <cfRule type="cellIs" dxfId="27531" priority="80" stopIfTrue="1" operator="equal">
      <formula>"Napkin Hs"</formula>
    </cfRule>
  </conditionalFormatting>
  <conditionalFormatting sqref="B149:C149">
    <cfRule type="cellIs" dxfId="27530" priority="79" stopIfTrue="1" operator="equal">
      <formula>"Towel"</formula>
    </cfRule>
  </conditionalFormatting>
  <conditionalFormatting sqref="C149">
    <cfRule type="cellIs" dxfId="27529" priority="1" stopIfTrue="1" operator="equal">
      <formula>"Towel"</formula>
    </cfRule>
    <cfRule type="cellIs" dxfId="27528" priority="2" stopIfTrue="1" operator="equal">
      <formula>"Napkin Hs"</formula>
    </cfRule>
  </conditionalFormatting>
  <conditionalFormatting sqref="C149">
    <cfRule type="cellIs" dxfId="27527" priority="41" stopIfTrue="1" operator="equal">
      <formula>"Towel"</formula>
    </cfRule>
    <cfRule type="cellIs" dxfId="27526" priority="42" stopIfTrue="1" operator="equal">
      <formula>"Napkin Hs"</formula>
    </cfRule>
    <cfRule type="cellIs" dxfId="27525" priority="81" stopIfTrue="1" operator="equal">
      <formula>"Towel"</formula>
    </cfRule>
    <cfRule type="cellIs" dxfId="27524" priority="82" stopIfTrue="1" operator="equal">
      <formula>"Napkin Hs"</formula>
    </cfRule>
  </conditionalFormatting>
  <conditionalFormatting sqref="C149">
    <cfRule type="cellIs" dxfId="27523" priority="3" stopIfTrue="1" operator="equal">
      <formula>"Towel"</formula>
    </cfRule>
    <cfRule type="cellIs" dxfId="27522" priority="4" stopIfTrue="1" operator="equal">
      <formula>"Napkin Hs"</formula>
    </cfRule>
    <cfRule type="cellIs" dxfId="27521" priority="7" stopIfTrue="1" operator="equal">
      <formula>"Towel"</formula>
    </cfRule>
    <cfRule type="cellIs" dxfId="27520" priority="8" stopIfTrue="1" operator="equal">
      <formula>"Napkin Hs"</formula>
    </cfRule>
    <cfRule type="cellIs" dxfId="27519" priority="9" stopIfTrue="1" operator="equal">
      <formula>"Towel"</formula>
    </cfRule>
    <cfRule type="cellIs" dxfId="27518" priority="10" stopIfTrue="1" operator="equal">
      <formula>"Napkin Hs"</formula>
    </cfRule>
    <cfRule type="cellIs" dxfId="27517" priority="13" stopIfTrue="1" operator="equal">
      <formula>"Towel"</formula>
    </cfRule>
    <cfRule type="cellIs" dxfId="27516" priority="14" stopIfTrue="1" operator="equal">
      <formula>"Napkin Hs"</formula>
    </cfRule>
    <cfRule type="cellIs" dxfId="27515" priority="15" stopIfTrue="1" operator="equal">
      <formula>"Towel"</formula>
    </cfRule>
    <cfRule type="cellIs" dxfId="27514" priority="16" stopIfTrue="1" operator="equal">
      <formula>"Napkin Hs"</formula>
    </cfRule>
    <cfRule type="cellIs" dxfId="27513" priority="19" stopIfTrue="1" operator="equal">
      <formula>"Towel"</formula>
    </cfRule>
    <cfRule type="cellIs" dxfId="27512" priority="20" stopIfTrue="1" operator="equal">
      <formula>"Napkin Hs"</formula>
    </cfRule>
    <cfRule type="cellIs" dxfId="27511" priority="21" stopIfTrue="1" operator="equal">
      <formula>"Towel"</formula>
    </cfRule>
    <cfRule type="cellIs" dxfId="27510" priority="22" stopIfTrue="1" operator="equal">
      <formula>"Napkin Hs"</formula>
    </cfRule>
    <cfRule type="cellIs" dxfId="27509" priority="25" stopIfTrue="1" operator="equal">
      <formula>"Towel"</formula>
    </cfRule>
    <cfRule type="cellIs" dxfId="27508" priority="26" stopIfTrue="1" operator="equal">
      <formula>"Napkin Hs"</formula>
    </cfRule>
    <cfRule type="cellIs" dxfId="27507" priority="27" stopIfTrue="1" operator="equal">
      <formula>"Towel"</formula>
    </cfRule>
    <cfRule type="cellIs" dxfId="27506" priority="28" stopIfTrue="1" operator="equal">
      <formula>"Napkin Hs"</formula>
    </cfRule>
    <cfRule type="cellIs" dxfId="27505" priority="31" stopIfTrue="1" operator="equal">
      <formula>"Towel"</formula>
    </cfRule>
    <cfRule type="cellIs" dxfId="27504" priority="32" stopIfTrue="1" operator="equal">
      <formula>"Napkin Hs"</formula>
    </cfRule>
    <cfRule type="cellIs" dxfId="27503" priority="33" stopIfTrue="1" operator="equal">
      <formula>"Towel"</formula>
    </cfRule>
    <cfRule type="cellIs" dxfId="27502" priority="34" stopIfTrue="1" operator="equal">
      <formula>"Napkin Hs"</formula>
    </cfRule>
    <cfRule type="cellIs" dxfId="27501" priority="37" stopIfTrue="1" operator="equal">
      <formula>"Towel"</formula>
    </cfRule>
    <cfRule type="cellIs" dxfId="27500" priority="38" stopIfTrue="1" operator="equal">
      <formula>"Napkin Hs"</formula>
    </cfRule>
    <cfRule type="cellIs" dxfId="27499" priority="43" stopIfTrue="1" operator="equal">
      <formula>"Towel"</formula>
    </cfRule>
    <cfRule type="cellIs" dxfId="27498" priority="44" stopIfTrue="1" operator="equal">
      <formula>"Napkin Hs"</formula>
    </cfRule>
    <cfRule type="cellIs" dxfId="27497" priority="47" stopIfTrue="1" operator="equal">
      <formula>"Towel"</formula>
    </cfRule>
    <cfRule type="cellIs" dxfId="27496" priority="48" stopIfTrue="1" operator="equal">
      <formula>"Napkin Hs"</formula>
    </cfRule>
    <cfRule type="cellIs" dxfId="27495" priority="49" stopIfTrue="1" operator="equal">
      <formula>"Towel"</formula>
    </cfRule>
    <cfRule type="cellIs" dxfId="27494" priority="50" stopIfTrue="1" operator="equal">
      <formula>"Napkin Hs"</formula>
    </cfRule>
    <cfRule type="cellIs" dxfId="27493" priority="53" stopIfTrue="1" operator="equal">
      <formula>"Towel"</formula>
    </cfRule>
    <cfRule type="cellIs" dxfId="27492" priority="54" stopIfTrue="1" operator="equal">
      <formula>"Napkin Hs"</formula>
    </cfRule>
    <cfRule type="cellIs" dxfId="27491" priority="55" stopIfTrue="1" operator="equal">
      <formula>"Towel"</formula>
    </cfRule>
    <cfRule type="cellIs" dxfId="27490" priority="56" stopIfTrue="1" operator="equal">
      <formula>"Napkin Hs"</formula>
    </cfRule>
    <cfRule type="cellIs" dxfId="27489" priority="59" stopIfTrue="1" operator="equal">
      <formula>"Towel"</formula>
    </cfRule>
    <cfRule type="cellIs" dxfId="27488" priority="60" stopIfTrue="1" operator="equal">
      <formula>"Napkin Hs"</formula>
    </cfRule>
    <cfRule type="cellIs" dxfId="27487" priority="61" stopIfTrue="1" operator="equal">
      <formula>"Towel"</formula>
    </cfRule>
    <cfRule type="cellIs" dxfId="27486" priority="62" stopIfTrue="1" operator="equal">
      <formula>"Napkin Hs"</formula>
    </cfRule>
    <cfRule type="cellIs" dxfId="27485" priority="65" stopIfTrue="1" operator="equal">
      <formula>"Towel"</formula>
    </cfRule>
    <cfRule type="cellIs" dxfId="27484" priority="66" stopIfTrue="1" operator="equal">
      <formula>"Napkin Hs"</formula>
    </cfRule>
    <cfRule type="cellIs" dxfId="27483" priority="67" stopIfTrue="1" operator="equal">
      <formula>"Towel"</formula>
    </cfRule>
    <cfRule type="cellIs" dxfId="27482" priority="68" stopIfTrue="1" operator="equal">
      <formula>"Napkin Hs"</formula>
    </cfRule>
    <cfRule type="cellIs" dxfId="27481" priority="71" stopIfTrue="1" operator="equal">
      <formula>"Towel"</formula>
    </cfRule>
    <cfRule type="cellIs" dxfId="27480" priority="72" stopIfTrue="1" operator="equal">
      <formula>"Napkin Hs"</formula>
    </cfRule>
    <cfRule type="cellIs" dxfId="27479" priority="73" stopIfTrue="1" operator="equal">
      <formula>"Towel"</formula>
    </cfRule>
    <cfRule type="cellIs" dxfId="27478" priority="74" stopIfTrue="1" operator="equal">
      <formula>"Napkin Hs"</formula>
    </cfRule>
  </conditionalFormatting>
  <conditionalFormatting sqref="C149">
    <cfRule type="cellIs" dxfId="27477" priority="77" stopIfTrue="1" operator="equal">
      <formula>"Towel"</formula>
    </cfRule>
    <cfRule type="cellIs" dxfId="27476" priority="78" stopIfTrue="1" operator="equal">
      <formula>"Napkin Hs"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20"/>
  <sheetViews>
    <sheetView zoomScale="90" zoomScaleNormal="90" workbookViewId="0">
      <pane xSplit="6" ySplit="6" topLeftCell="U136" activePane="bottomRight" state="frozen"/>
      <selection activeCell="A4" sqref="A4:DM11"/>
      <selection pane="topRight" activeCell="A4" sqref="A4:DM11"/>
      <selection pane="bottomLeft" activeCell="A4" sqref="A4:DM11"/>
      <selection pane="bottomRight" activeCell="V149" sqref="V149"/>
    </sheetView>
  </sheetViews>
  <sheetFormatPr defaultColWidth="10.28515625" defaultRowHeight="12" x14ac:dyDescent="0.2"/>
  <cols>
    <col min="1" max="1" width="12.28515625" style="156" customWidth="1"/>
    <col min="2" max="2" width="14.140625" style="156" customWidth="1"/>
    <col min="3" max="3" width="10.140625" style="156" customWidth="1"/>
    <col min="4" max="4" width="10.28515625" style="156" customWidth="1"/>
    <col min="5" max="5" width="7.5703125" style="156" bestFit="1" customWidth="1"/>
    <col min="6" max="6" width="7" style="158" customWidth="1"/>
    <col min="7" max="9" width="10.28515625" style="156" customWidth="1"/>
    <col min="10" max="11" width="10.28515625" style="157" customWidth="1"/>
    <col min="12" max="13" width="12.7109375" style="159" customWidth="1"/>
    <col min="14" max="15" width="10.28515625" style="156" customWidth="1"/>
    <col min="16" max="16" width="16.85546875" style="156" bestFit="1" customWidth="1"/>
    <col min="17" max="17" width="12.7109375" style="58" customWidth="1"/>
    <col min="18" max="19" width="10.28515625" style="156" customWidth="1"/>
    <col min="20" max="20" width="10.7109375" style="156" customWidth="1"/>
    <col min="21" max="21" width="10.28515625" style="156" customWidth="1"/>
    <col min="22" max="22" width="12.28515625" style="156" customWidth="1"/>
    <col min="23" max="23" width="13" style="156" customWidth="1"/>
    <col min="24" max="24" width="10.28515625" style="156" customWidth="1"/>
    <col min="25" max="25" width="10.140625" style="156" customWidth="1"/>
    <col min="26" max="28" width="10.28515625" style="156" customWidth="1"/>
    <col min="29" max="29" width="12" style="156" customWidth="1"/>
    <col min="30" max="30" width="11.42578125" style="156" bestFit="1" customWidth="1"/>
    <col min="31" max="31" width="41.42578125" style="156" customWidth="1"/>
    <col min="32" max="38" width="10.28515625" style="156" customWidth="1"/>
    <col min="39" max="39" width="11.7109375" style="156" customWidth="1"/>
    <col min="40" max="41" width="10.28515625" style="156" customWidth="1"/>
    <col min="42" max="43" width="12.42578125" style="156" customWidth="1"/>
    <col min="44" max="44" width="29.7109375" style="156" bestFit="1" customWidth="1"/>
    <col min="45" max="16384" width="10.28515625" style="156"/>
  </cols>
  <sheetData>
    <row r="1" spans="1:58" s="197" customFormat="1" ht="15.75" customHeight="1" x14ac:dyDescent="0.25">
      <c r="A1" s="200" t="s">
        <v>217</v>
      </c>
      <c r="G1" s="40"/>
      <c r="H1" s="40"/>
      <c r="I1" s="40"/>
      <c r="J1" s="41"/>
      <c r="K1" s="41"/>
      <c r="L1" s="198"/>
      <c r="M1" s="198"/>
      <c r="O1" s="40"/>
      <c r="P1" s="42"/>
      <c r="Q1" s="40"/>
      <c r="R1" s="42"/>
      <c r="S1" s="42"/>
      <c r="W1" s="42"/>
      <c r="X1" s="43"/>
      <c r="Y1" s="43"/>
      <c r="Z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</row>
    <row r="2" spans="1:58" s="197" customFormat="1" x14ac:dyDescent="0.2">
      <c r="A2" s="199"/>
      <c r="G2" s="40"/>
      <c r="H2" s="40"/>
      <c r="I2" s="40"/>
      <c r="J2" s="41"/>
      <c r="K2" s="41"/>
      <c r="L2" s="198"/>
      <c r="M2" s="198"/>
      <c r="O2" s="40"/>
      <c r="P2" s="42"/>
      <c r="Q2" s="40"/>
      <c r="R2" s="42"/>
      <c r="S2" s="42"/>
      <c r="W2" s="42"/>
      <c r="X2" s="43"/>
      <c r="Y2" s="43"/>
      <c r="Z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</row>
    <row r="3" spans="1:58" ht="24" customHeight="1" x14ac:dyDescent="0.35">
      <c r="A3" s="327" t="s">
        <v>58</v>
      </c>
      <c r="B3" s="327" t="s">
        <v>59</v>
      </c>
      <c r="C3" s="327" t="s">
        <v>60</v>
      </c>
      <c r="D3" s="327" t="s">
        <v>61</v>
      </c>
      <c r="E3" s="327" t="s">
        <v>62</v>
      </c>
      <c r="F3" s="327" t="s">
        <v>63</v>
      </c>
      <c r="G3" s="272" t="s">
        <v>64</v>
      </c>
      <c r="H3" s="273"/>
      <c r="I3" s="273"/>
      <c r="J3" s="273"/>
      <c r="K3" s="274"/>
      <c r="L3" s="335" t="s">
        <v>65</v>
      </c>
      <c r="M3" s="336"/>
      <c r="N3" s="337"/>
      <c r="O3" s="284" t="s">
        <v>66</v>
      </c>
      <c r="P3" s="286" t="s">
        <v>67</v>
      </c>
      <c r="Q3" s="284" t="s">
        <v>68</v>
      </c>
      <c r="R3" s="269" t="s">
        <v>69</v>
      </c>
      <c r="S3" s="269" t="s">
        <v>70</v>
      </c>
      <c r="T3" s="327" t="s">
        <v>71</v>
      </c>
      <c r="U3" s="327" t="s">
        <v>72</v>
      </c>
      <c r="V3" s="327" t="s">
        <v>73</v>
      </c>
      <c r="W3" s="269" t="s">
        <v>74</v>
      </c>
      <c r="X3" s="289" t="s">
        <v>75</v>
      </c>
      <c r="Y3" s="289" t="s">
        <v>181</v>
      </c>
      <c r="Z3" s="269" t="s">
        <v>76</v>
      </c>
      <c r="AA3" s="327" t="s">
        <v>77</v>
      </c>
      <c r="AB3" s="327" t="s">
        <v>78</v>
      </c>
      <c r="AC3" s="327" t="s">
        <v>79</v>
      </c>
      <c r="AD3" s="327" t="s">
        <v>80</v>
      </c>
      <c r="AE3" s="327" t="s">
        <v>81</v>
      </c>
      <c r="AF3" s="333" t="s">
        <v>82</v>
      </c>
      <c r="AG3" s="333"/>
      <c r="AH3" s="333"/>
      <c r="AI3" s="333"/>
      <c r="AJ3" s="333"/>
      <c r="AK3" s="333"/>
      <c r="AL3" s="333"/>
      <c r="AM3" s="299" t="s">
        <v>83</v>
      </c>
      <c r="AN3" s="302" t="s">
        <v>84</v>
      </c>
      <c r="AO3" s="302"/>
      <c r="AP3" s="302"/>
      <c r="AQ3" s="302"/>
      <c r="AR3" s="302"/>
      <c r="AS3" s="303" t="s">
        <v>11</v>
      </c>
      <c r="AT3" s="292" t="s">
        <v>160</v>
      </c>
      <c r="AU3" s="293"/>
      <c r="AV3" s="328" t="s">
        <v>86</v>
      </c>
      <c r="AW3" s="329"/>
      <c r="AX3" s="330" t="s">
        <v>86</v>
      </c>
      <c r="AY3" s="331"/>
      <c r="AZ3" s="318" t="s">
        <v>194</v>
      </c>
      <c r="BA3" s="297" t="s">
        <v>85</v>
      </c>
      <c r="BB3" s="326" t="s">
        <v>87</v>
      </c>
      <c r="BC3" s="326" t="s">
        <v>88</v>
      </c>
      <c r="BD3" s="323" t="s">
        <v>199</v>
      </c>
      <c r="BE3" s="318" t="s">
        <v>200</v>
      </c>
      <c r="BF3" s="326" t="s">
        <v>201</v>
      </c>
    </row>
    <row r="4" spans="1:58" ht="12" customHeight="1" x14ac:dyDescent="0.2">
      <c r="A4" s="332"/>
      <c r="B4" s="332"/>
      <c r="C4" s="332"/>
      <c r="D4" s="332"/>
      <c r="E4" s="332"/>
      <c r="F4" s="332"/>
      <c r="G4" s="275"/>
      <c r="H4" s="276"/>
      <c r="I4" s="276"/>
      <c r="J4" s="276"/>
      <c r="K4" s="277"/>
      <c r="L4" s="338"/>
      <c r="M4" s="339"/>
      <c r="N4" s="340"/>
      <c r="O4" s="285"/>
      <c r="P4" s="287"/>
      <c r="Q4" s="285"/>
      <c r="R4" s="270"/>
      <c r="S4" s="270"/>
      <c r="T4" s="332"/>
      <c r="U4" s="332"/>
      <c r="V4" s="332"/>
      <c r="W4" s="270"/>
      <c r="X4" s="290"/>
      <c r="Y4" s="290"/>
      <c r="Z4" s="270"/>
      <c r="AA4" s="332"/>
      <c r="AB4" s="332"/>
      <c r="AC4" s="332"/>
      <c r="AD4" s="332"/>
      <c r="AE4" s="332"/>
      <c r="AF4" s="311" t="s">
        <v>89</v>
      </c>
      <c r="AG4" s="312"/>
      <c r="AH4" s="313"/>
      <c r="AI4" s="287" t="s">
        <v>90</v>
      </c>
      <c r="AJ4" s="287" t="s">
        <v>91</v>
      </c>
      <c r="AK4" s="287" t="s">
        <v>93</v>
      </c>
      <c r="AL4" s="287" t="s">
        <v>92</v>
      </c>
      <c r="AM4" s="300"/>
      <c r="AN4" s="296" t="s">
        <v>94</v>
      </c>
      <c r="AO4" s="296" t="s">
        <v>91</v>
      </c>
      <c r="AP4" s="296" t="s">
        <v>95</v>
      </c>
      <c r="AQ4" s="296" t="s">
        <v>92</v>
      </c>
      <c r="AR4" s="297" t="s">
        <v>96</v>
      </c>
      <c r="AS4" s="303"/>
      <c r="AT4" s="294"/>
      <c r="AU4" s="295"/>
      <c r="AV4" s="164" t="s">
        <v>192</v>
      </c>
      <c r="AW4" s="164" t="s">
        <v>97</v>
      </c>
      <c r="AX4" s="231" t="s">
        <v>192</v>
      </c>
      <c r="AY4" s="165" t="s">
        <v>97</v>
      </c>
      <c r="AZ4" s="319"/>
      <c r="BA4" s="297"/>
      <c r="BB4" s="326"/>
      <c r="BC4" s="326"/>
      <c r="BD4" s="324"/>
      <c r="BE4" s="319"/>
      <c r="BF4" s="326"/>
    </row>
    <row r="5" spans="1:58" s="193" customFormat="1" ht="48" x14ac:dyDescent="0.25">
      <c r="A5" s="332"/>
      <c r="B5" s="332"/>
      <c r="C5" s="334"/>
      <c r="D5" s="332"/>
      <c r="E5" s="332"/>
      <c r="F5" s="332"/>
      <c r="G5" s="226" t="s">
        <v>98</v>
      </c>
      <c r="H5" s="225" t="s">
        <v>99</v>
      </c>
      <c r="I5" s="196" t="s">
        <v>100</v>
      </c>
      <c r="J5" s="195" t="s">
        <v>101</v>
      </c>
      <c r="K5" s="195" t="s">
        <v>102</v>
      </c>
      <c r="L5" s="194" t="s">
        <v>103</v>
      </c>
      <c r="M5" s="194" t="s">
        <v>104</v>
      </c>
      <c r="N5" s="225" t="s">
        <v>105</v>
      </c>
      <c r="O5" s="285"/>
      <c r="P5" s="288"/>
      <c r="Q5" s="285"/>
      <c r="R5" s="270"/>
      <c r="S5" s="270"/>
      <c r="T5" s="332"/>
      <c r="U5" s="332"/>
      <c r="V5" s="332"/>
      <c r="W5" s="270"/>
      <c r="X5" s="290"/>
      <c r="Y5" s="291"/>
      <c r="Z5" s="270"/>
      <c r="AA5" s="332"/>
      <c r="AB5" s="334"/>
      <c r="AC5" s="332"/>
      <c r="AD5" s="334"/>
      <c r="AE5" s="332"/>
      <c r="AF5" s="44" t="s">
        <v>106</v>
      </c>
      <c r="AG5" s="227" t="s">
        <v>107</v>
      </c>
      <c r="AH5" s="227" t="s">
        <v>108</v>
      </c>
      <c r="AI5" s="288"/>
      <c r="AJ5" s="288"/>
      <c r="AK5" s="288"/>
      <c r="AL5" s="288"/>
      <c r="AM5" s="301"/>
      <c r="AN5" s="286"/>
      <c r="AO5" s="286"/>
      <c r="AP5" s="286"/>
      <c r="AQ5" s="286"/>
      <c r="AR5" s="269"/>
      <c r="AS5" s="304"/>
      <c r="AT5" s="228" t="s">
        <v>182</v>
      </c>
      <c r="AU5" s="228" t="s">
        <v>183</v>
      </c>
      <c r="AV5" s="232" t="s">
        <v>184</v>
      </c>
      <c r="AW5" s="232" t="s">
        <v>184</v>
      </c>
      <c r="AX5" s="231" t="s">
        <v>173</v>
      </c>
      <c r="AY5" s="231" t="s">
        <v>173</v>
      </c>
      <c r="AZ5" s="320"/>
      <c r="BA5" s="269"/>
      <c r="BB5" s="327"/>
      <c r="BC5" s="327"/>
      <c r="BD5" s="325"/>
      <c r="BE5" s="320"/>
      <c r="BF5" s="327"/>
    </row>
    <row r="6" spans="1:58" ht="12.95" customHeight="1" x14ac:dyDescent="0.2">
      <c r="A6" s="117">
        <f>+[2]Report1!A9</f>
        <v>45962</v>
      </c>
      <c r="B6" s="118" t="s">
        <v>197</v>
      </c>
      <c r="C6" s="119">
        <f>(M6*E6*O6*Q6)/100000000</f>
        <v>32.883898181818182</v>
      </c>
      <c r="D6" s="118" t="s">
        <v>198</v>
      </c>
      <c r="E6" s="37">
        <v>16</v>
      </c>
      <c r="F6" s="37">
        <v>1</v>
      </c>
      <c r="G6" s="188">
        <v>830</v>
      </c>
      <c r="H6" s="192">
        <v>0.14000000000000001</v>
      </c>
      <c r="I6" s="45">
        <v>0.88</v>
      </c>
      <c r="J6" s="46">
        <f>E6*G6*(1-H6)*1440/1000000*3.4</f>
        <v>55.916236799999993</v>
      </c>
      <c r="K6" s="46">
        <f>(IF(G6&lt;L6,L6,G6)*(1-IF(H6&lt;N6,H6,N6))*E6*O6*Q6)/100000000</f>
        <v>34.11704436363636</v>
      </c>
      <c r="L6" s="184">
        <v>800</v>
      </c>
      <c r="M6" s="184">
        <v>688</v>
      </c>
      <c r="N6" s="47">
        <f>1-(M6/L6)</f>
        <v>0.14000000000000001</v>
      </c>
      <c r="O6" s="48">
        <f>+'[2]Trim Rwd'!H4</f>
        <v>321.21212121212119</v>
      </c>
      <c r="P6" s="49">
        <f>O6*(Q6-R6-S6)</f>
        <v>282666.66666666663</v>
      </c>
      <c r="Q6" s="48">
        <v>930</v>
      </c>
      <c r="R6" s="123">
        <v>0</v>
      </c>
      <c r="S6" s="123">
        <v>50</v>
      </c>
      <c r="T6" s="50">
        <f>E6*M6*O6*Q6/100000000</f>
        <v>32.883898181818182</v>
      </c>
      <c r="U6" s="50">
        <f>E6*M6*O6*(Q6-R6-S6)/100000000</f>
        <v>31.115946666666666</v>
      </c>
      <c r="V6" s="50">
        <f>E6*G6*(1-N6)*O6/100*(R6+S6)/1000000</f>
        <v>1.8342496969696969</v>
      </c>
      <c r="W6" s="50">
        <f>+'[2]1'!K7/1000</f>
        <v>31.335000000000001</v>
      </c>
      <c r="X6" s="51">
        <f>SUM(W6:W9)/SUM(K6:K9)</f>
        <v>0.82240430729560743</v>
      </c>
      <c r="Y6" s="52">
        <v>0</v>
      </c>
      <c r="Z6" s="50">
        <f>+'[2]1'!D34/1000</f>
        <v>0.66</v>
      </c>
      <c r="AA6" s="53">
        <f>SUM(U6:U9)-SUM(W6:W9)-SUM(Z6:Z9)-SUM(Y6:Y9)</f>
        <v>4.2350909866666662</v>
      </c>
      <c r="AB6" s="53">
        <f>(SUM(K6:K9)-SUM(W6:W9)-SUM(Y6:Y9)-SUM(Z6:Z9)-SUM(AC6:AC9)-SUM(V6:V9))-AA6</f>
        <v>-9.4979009818182192E-2</v>
      </c>
      <c r="AC6" s="50">
        <f>K6-T6</f>
        <v>1.2331461818181779</v>
      </c>
      <c r="AD6" s="50">
        <f>+AM6+BA6</f>
        <v>0</v>
      </c>
      <c r="AE6" s="187" t="s">
        <v>110</v>
      </c>
      <c r="AF6" s="50">
        <v>0</v>
      </c>
      <c r="AG6" s="50"/>
      <c r="AH6" s="50"/>
      <c r="AI6" s="54"/>
      <c r="AJ6" s="50"/>
      <c r="AK6" s="50"/>
      <c r="AL6" s="50"/>
      <c r="AM6" s="50">
        <f>SUM(AF6:AL6)+AT6+AV6+AX6</f>
        <v>0</v>
      </c>
      <c r="AN6" s="50"/>
      <c r="AO6" s="50"/>
      <c r="AP6" s="50"/>
      <c r="AQ6" s="50"/>
      <c r="AR6" s="50">
        <f>SUM(AN6:AQ6)</f>
        <v>0</v>
      </c>
      <c r="AS6" s="50"/>
      <c r="AT6" s="50"/>
      <c r="AU6" s="50"/>
      <c r="AV6" s="50"/>
      <c r="AW6" s="50"/>
      <c r="AX6" s="50"/>
      <c r="AY6" s="50"/>
      <c r="AZ6" s="50"/>
      <c r="BA6" s="50">
        <f>+AR6+AS6+AU6+AW6+AY6+AZ6</f>
        <v>0</v>
      </c>
      <c r="BB6" s="180">
        <v>0</v>
      </c>
      <c r="BC6" s="116"/>
      <c r="BD6" s="116"/>
      <c r="BE6" s="180"/>
      <c r="BF6" s="116"/>
    </row>
    <row r="7" spans="1:58" ht="12.95" customHeight="1" x14ac:dyDescent="0.2">
      <c r="A7" s="117"/>
      <c r="B7" s="118" t="s">
        <v>197</v>
      </c>
      <c r="C7" s="119">
        <f t="shared" ref="C7" si="0">(M7*E7*O7*Q7)/100000000</f>
        <v>17.729966399999999</v>
      </c>
      <c r="D7" s="118" t="s">
        <v>198</v>
      </c>
      <c r="E7" s="37">
        <v>15.5</v>
      </c>
      <c r="F7" s="37">
        <v>1</v>
      </c>
      <c r="G7" s="188">
        <v>830</v>
      </c>
      <c r="H7" s="192">
        <v>0.14000000000000001</v>
      </c>
      <c r="I7" s="45">
        <v>0.88</v>
      </c>
      <c r="J7" s="46">
        <f t="shared" ref="J7" si="1">E7*G7*(1-H7)*1440/1000000*3.4</f>
        <v>54.168854400000001</v>
      </c>
      <c r="K7" s="46">
        <f t="shared" ref="K7" si="2">(IF(G7&lt;L7,L7,G7)*(1-IF(H7&lt;N7,H7,N7))*E7*O7*Q7)/100000000</f>
        <v>18.394840139999999</v>
      </c>
      <c r="L7" s="184">
        <v>800</v>
      </c>
      <c r="M7" s="184">
        <v>688</v>
      </c>
      <c r="N7" s="47">
        <f t="shared" ref="N7" si="3">1-(M7/L7)</f>
        <v>0.14000000000000001</v>
      </c>
      <c r="O7" s="48">
        <f>+'[2]Trim Rwd'!H6</f>
        <v>326</v>
      </c>
      <c r="P7" s="49">
        <f t="shared" ref="P7" si="4">O7*(Q7-R7-S7)</f>
        <v>159088</v>
      </c>
      <c r="Q7" s="48">
        <v>510</v>
      </c>
      <c r="R7" s="123">
        <v>0</v>
      </c>
      <c r="S7" s="123">
        <v>22</v>
      </c>
      <c r="T7" s="50">
        <f t="shared" ref="T7" si="5">E7*M7*O7*Q7/100000000</f>
        <v>17.729966399999999</v>
      </c>
      <c r="U7" s="50">
        <f t="shared" ref="U7" si="6">E7*M7*O7*(Q7-R7-S7)/100000000</f>
        <v>16.96514432</v>
      </c>
      <c r="V7" s="50">
        <f t="shared" ref="V7" si="7">E7*G7*(1-N7)*O7/100*(R7+S7)/1000000</f>
        <v>0.7935029079999999</v>
      </c>
      <c r="W7" s="50">
        <f>+'[2]1'!K8/1000</f>
        <v>11.851000000000001</v>
      </c>
      <c r="X7" s="55"/>
      <c r="Y7" s="52"/>
      <c r="Z7" s="50">
        <v>0</v>
      </c>
      <c r="AA7" s="50"/>
      <c r="AB7" s="50"/>
      <c r="AC7" s="50">
        <f>K7-T7</f>
        <v>0.66487374000000088</v>
      </c>
      <c r="AD7" s="50">
        <f t="shared" ref="AD7:AD9" si="8">+AM7+BA7</f>
        <v>38</v>
      </c>
      <c r="AE7" s="187" t="s">
        <v>129</v>
      </c>
      <c r="AF7" s="50"/>
      <c r="AG7" s="50">
        <v>38</v>
      </c>
      <c r="AH7" s="50"/>
      <c r="AI7" s="54"/>
      <c r="AJ7" s="50"/>
      <c r="AK7" s="50"/>
      <c r="AL7" s="50"/>
      <c r="AM7" s="50">
        <f>SUM(AF7:AL7)+AT7+AV7+AX7</f>
        <v>38</v>
      </c>
      <c r="AN7" s="157"/>
      <c r="AO7" s="50"/>
      <c r="AP7" s="50"/>
      <c r="AQ7" s="50"/>
      <c r="AR7" s="50">
        <f t="shared" ref="AR7:AR9" si="9">SUM(AN7:AQ7)</f>
        <v>0</v>
      </c>
      <c r="AS7" s="50"/>
      <c r="AT7" s="50"/>
      <c r="AU7" s="50"/>
      <c r="AV7" s="50"/>
      <c r="AW7" s="50"/>
      <c r="AX7" s="50"/>
      <c r="AY7" s="50"/>
      <c r="AZ7" s="50"/>
      <c r="BA7" s="50">
        <f>+AR7+AS7+AU7+AW7+AY7+AZ7</f>
        <v>0</v>
      </c>
      <c r="BB7" s="189"/>
      <c r="BC7" s="116">
        <v>8</v>
      </c>
      <c r="BD7" s="116"/>
      <c r="BE7" s="189"/>
      <c r="BF7" s="116"/>
    </row>
    <row r="8" spans="1:58" ht="12.95" customHeight="1" x14ac:dyDescent="0.2">
      <c r="A8" s="117"/>
      <c r="B8" s="118"/>
      <c r="C8" s="119"/>
      <c r="D8" s="118"/>
      <c r="E8" s="37"/>
      <c r="F8" s="37"/>
      <c r="G8" s="188"/>
      <c r="H8" s="192"/>
      <c r="I8" s="45"/>
      <c r="J8" s="46"/>
      <c r="K8" s="46"/>
      <c r="L8" s="184"/>
      <c r="M8" s="184"/>
      <c r="N8" s="47"/>
      <c r="O8" s="48"/>
      <c r="P8" s="49"/>
      <c r="Q8" s="48"/>
      <c r="R8" s="123"/>
      <c r="S8" s="123"/>
      <c r="T8" s="50"/>
      <c r="U8" s="50"/>
      <c r="V8" s="50"/>
      <c r="W8" s="50"/>
      <c r="X8" s="55"/>
      <c r="Y8" s="52"/>
      <c r="Z8" s="50"/>
      <c r="AA8" s="50"/>
      <c r="AB8" s="50"/>
      <c r="AC8" s="50"/>
      <c r="AD8" s="50">
        <f t="shared" si="8"/>
        <v>32</v>
      </c>
      <c r="AE8" s="187" t="s">
        <v>162</v>
      </c>
      <c r="AF8" s="180"/>
      <c r="AG8" s="180"/>
      <c r="AH8" s="180">
        <v>32</v>
      </c>
      <c r="AJ8" s="50"/>
      <c r="AK8" s="50"/>
      <c r="AL8" s="50"/>
      <c r="AM8" s="50">
        <f>SUM(AF8:AL8)+AT8+AV8+AX8</f>
        <v>32</v>
      </c>
      <c r="AN8" s="50"/>
      <c r="AO8" s="50"/>
      <c r="AP8" s="50"/>
      <c r="AQ8" s="50"/>
      <c r="AR8" s="50">
        <f t="shared" si="9"/>
        <v>0</v>
      </c>
      <c r="AS8" s="50"/>
      <c r="AT8" s="50"/>
      <c r="AU8" s="50"/>
      <c r="AV8" s="50"/>
      <c r="AW8" s="50"/>
      <c r="AX8" s="50"/>
      <c r="AY8" s="50"/>
      <c r="AZ8" s="50"/>
      <c r="BA8" s="50">
        <f>+AR8+AS8+AU8+AW8+AY8+AZ8</f>
        <v>0</v>
      </c>
      <c r="BB8" s="180"/>
      <c r="BC8" s="146"/>
      <c r="BD8" s="146"/>
      <c r="BE8" s="180"/>
      <c r="BF8" s="146"/>
    </row>
    <row r="9" spans="1:58" ht="12.95" customHeight="1" x14ac:dyDescent="0.2">
      <c r="A9" s="117"/>
      <c r="B9" s="118"/>
      <c r="C9" s="119"/>
      <c r="D9" s="118"/>
      <c r="E9" s="37"/>
      <c r="F9" s="37"/>
      <c r="G9" s="190"/>
      <c r="H9" s="192"/>
      <c r="I9" s="45"/>
      <c r="J9" s="46"/>
      <c r="K9" s="46"/>
      <c r="L9" s="184"/>
      <c r="M9" s="184"/>
      <c r="N9" s="47"/>
      <c r="O9" s="48"/>
      <c r="P9" s="49"/>
      <c r="Q9" s="56"/>
      <c r="R9" s="123"/>
      <c r="S9" s="123"/>
      <c r="T9" s="50"/>
      <c r="U9" s="50"/>
      <c r="V9" s="50"/>
      <c r="W9" s="50"/>
      <c r="X9" s="55"/>
      <c r="Y9" s="52"/>
      <c r="Z9" s="50"/>
      <c r="AA9" s="50"/>
      <c r="AB9" s="50"/>
      <c r="AC9" s="50"/>
      <c r="AD9" s="50">
        <f t="shared" si="8"/>
        <v>2</v>
      </c>
      <c r="AE9" s="209" t="s">
        <v>124</v>
      </c>
      <c r="AF9" s="50"/>
      <c r="AG9" s="50"/>
      <c r="AH9" s="50"/>
      <c r="AI9" s="54">
        <v>2</v>
      </c>
      <c r="AJ9" s="50"/>
      <c r="AK9" s="50"/>
      <c r="AL9" s="50"/>
      <c r="AM9" s="50">
        <f t="shared" ref="AM9" si="10">SUM(AF9:AL9)+AT9+AV9+AX9</f>
        <v>2</v>
      </c>
      <c r="AN9" s="50"/>
      <c r="AO9" s="50"/>
      <c r="AP9" s="50"/>
      <c r="AQ9" s="50"/>
      <c r="AR9" s="50">
        <f t="shared" si="9"/>
        <v>0</v>
      </c>
      <c r="AS9" s="50"/>
      <c r="AT9" s="50"/>
      <c r="AU9" s="50"/>
      <c r="AV9" s="50"/>
      <c r="AW9" s="50"/>
      <c r="AX9" s="50"/>
      <c r="AY9" s="50"/>
      <c r="AZ9" s="50"/>
      <c r="BA9" s="50">
        <f t="shared" ref="BA9" si="11">+AR9+AS9+AU9+AW9+AY9+AZ9</f>
        <v>0</v>
      </c>
      <c r="BB9" s="189"/>
      <c r="BC9" s="116"/>
      <c r="BD9" s="116"/>
      <c r="BE9" s="189"/>
      <c r="BF9" s="116"/>
    </row>
    <row r="10" spans="1:58" ht="12.95" customHeight="1" x14ac:dyDescent="0.2">
      <c r="A10" s="117"/>
      <c r="B10" s="118"/>
      <c r="C10" s="119"/>
      <c r="D10" s="118"/>
      <c r="E10" s="37"/>
      <c r="F10" s="37"/>
      <c r="G10" s="188"/>
      <c r="H10" s="192"/>
      <c r="I10" s="45"/>
      <c r="J10" s="46"/>
      <c r="K10" s="46"/>
      <c r="L10" s="184"/>
      <c r="M10" s="184"/>
      <c r="N10" s="47"/>
      <c r="O10" s="48"/>
      <c r="P10" s="49"/>
      <c r="Q10" s="48"/>
      <c r="R10" s="123"/>
      <c r="S10" s="123"/>
      <c r="T10" s="50"/>
      <c r="U10" s="50"/>
      <c r="V10" s="50"/>
      <c r="W10" s="50"/>
      <c r="X10" s="51"/>
      <c r="Y10" s="52"/>
      <c r="Z10" s="50"/>
      <c r="AA10" s="53"/>
      <c r="AB10" s="53"/>
      <c r="AC10" s="50"/>
      <c r="AD10" s="50"/>
      <c r="AE10" s="191"/>
      <c r="AF10" s="50"/>
      <c r="AG10" s="50"/>
      <c r="AH10" s="50"/>
      <c r="AI10" s="54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189"/>
      <c r="BC10" s="116"/>
      <c r="BD10" s="116"/>
      <c r="BE10" s="189"/>
      <c r="BF10" s="116"/>
    </row>
    <row r="11" spans="1:58" ht="12.95" customHeight="1" x14ac:dyDescent="0.2">
      <c r="A11" s="117">
        <v>45963</v>
      </c>
      <c r="B11" s="118" t="s">
        <v>197</v>
      </c>
      <c r="C11" s="119">
        <f>(M11*E11*O11*Q11)/100000000</f>
        <v>50.061081600000001</v>
      </c>
      <c r="D11" s="118" t="s">
        <v>198</v>
      </c>
      <c r="E11" s="37">
        <v>15.5</v>
      </c>
      <c r="F11" s="37">
        <v>1</v>
      </c>
      <c r="G11" s="188">
        <v>830</v>
      </c>
      <c r="H11" s="192">
        <v>0.14000000000000001</v>
      </c>
      <c r="I11" s="45">
        <v>0.88</v>
      </c>
      <c r="J11" s="46">
        <f>E11*G11*(1-H11)*1440/1000000*3.4</f>
        <v>54.168854400000001</v>
      </c>
      <c r="K11" s="46">
        <f>(IF(G11&lt;L11,L11,G11)*(1-IF(H11&lt;N11,H11,N11))*E11*O11*Q11)/100000000</f>
        <v>51.93837216</v>
      </c>
      <c r="L11" s="184">
        <v>800</v>
      </c>
      <c r="M11" s="184">
        <v>688</v>
      </c>
      <c r="N11" s="47">
        <f>1-(M11/L11)</f>
        <v>0.14000000000000001</v>
      </c>
      <c r="O11" s="48">
        <f>+'[2]Trim Rwd'!H8</f>
        <v>326</v>
      </c>
      <c r="P11" s="49">
        <f>O11*(Q11-R11-S11)</f>
        <v>450858</v>
      </c>
      <c r="Q11" s="48">
        <v>1440</v>
      </c>
      <c r="R11" s="123">
        <v>0</v>
      </c>
      <c r="S11" s="123">
        <v>57</v>
      </c>
      <c r="T11" s="50">
        <f>E11*M11*O11*Q11/100000000</f>
        <v>50.061081600000001</v>
      </c>
      <c r="U11" s="50">
        <f>E11*M11*O11*(Q11-R11-S11)/100000000</f>
        <v>48.079497119999999</v>
      </c>
      <c r="V11" s="50">
        <f>E11*G11*(1-N11)*O11/100*(R11+S11)/1000000</f>
        <v>2.0558938979999999</v>
      </c>
      <c r="W11" s="50">
        <f>+'[2]2'!K34/1000</f>
        <v>48.006999999999998</v>
      </c>
      <c r="X11" s="51">
        <f>SUM(W11:W14)/SUM(K11:K14)</f>
        <v>0.92430698159177727</v>
      </c>
      <c r="Y11" s="52">
        <v>0</v>
      </c>
      <c r="Z11" s="50">
        <f>+'[2]2'!D34/1000</f>
        <v>0.55000000000000004</v>
      </c>
      <c r="AA11" s="53">
        <f>SUM(U11:U14)-SUM(W11:W14)-SUM(Z11:Z14)-SUM(Y11:Y14)</f>
        <v>-0.47750287999999874</v>
      </c>
      <c r="AB11" s="53">
        <f>(SUM(K11:K14)-SUM(W11:W14)-SUM(Y11:Y14)-SUM(Z11:Z14)-SUM(AC11:AC14)-SUM(V11:V14))-AA11</f>
        <v>-7.4309417999997462E-2</v>
      </c>
      <c r="AC11" s="50">
        <f>K11-T11</f>
        <v>1.8772905599999987</v>
      </c>
      <c r="AD11" s="50">
        <f>+AM11+BA11</f>
        <v>0</v>
      </c>
      <c r="AE11" s="187" t="s">
        <v>110</v>
      </c>
      <c r="AF11" s="50">
        <v>0</v>
      </c>
      <c r="AG11" s="50"/>
      <c r="AH11" s="50"/>
      <c r="AI11" s="54"/>
      <c r="AJ11" s="50"/>
      <c r="AK11" s="50"/>
      <c r="AL11" s="50"/>
      <c r="AM11" s="50">
        <f>SUM(AF11:AL11)+AT11+AV11+AX11</f>
        <v>0</v>
      </c>
      <c r="AN11" s="50"/>
      <c r="AO11" s="50"/>
      <c r="AP11" s="50"/>
      <c r="AQ11" s="50"/>
      <c r="AR11" s="50">
        <f>SUM(AN11:AQ11)</f>
        <v>0</v>
      </c>
      <c r="AS11" s="50"/>
      <c r="AT11" s="50"/>
      <c r="AU11" s="50"/>
      <c r="AV11" s="50"/>
      <c r="AW11" s="50"/>
      <c r="AX11" s="50"/>
      <c r="AY11" s="50"/>
      <c r="AZ11" s="50"/>
      <c r="BA11" s="50">
        <f>+AR11+AS11+AU11+AW11+AY11+AZ11</f>
        <v>0</v>
      </c>
      <c r="BB11" s="180">
        <v>0</v>
      </c>
      <c r="BC11" s="116"/>
      <c r="BD11" s="116"/>
      <c r="BE11" s="180"/>
      <c r="BF11" s="116"/>
    </row>
    <row r="12" spans="1:58" ht="12.95" customHeight="1" x14ac:dyDescent="0.2">
      <c r="A12" s="117"/>
      <c r="B12" s="118"/>
      <c r="C12" s="119"/>
      <c r="D12" s="118"/>
      <c r="E12" s="37"/>
      <c r="F12" s="37"/>
      <c r="G12" s="188"/>
      <c r="H12" s="192"/>
      <c r="I12" s="45"/>
      <c r="J12" s="46"/>
      <c r="K12" s="46"/>
      <c r="L12" s="184"/>
      <c r="M12" s="184"/>
      <c r="N12" s="47"/>
      <c r="O12" s="48"/>
      <c r="P12" s="49"/>
      <c r="Q12" s="48"/>
      <c r="R12" s="123"/>
      <c r="S12" s="123"/>
      <c r="T12" s="50"/>
      <c r="U12" s="50"/>
      <c r="V12" s="50"/>
      <c r="W12" s="50"/>
      <c r="X12" s="55"/>
      <c r="Y12" s="52"/>
      <c r="Z12" s="50"/>
      <c r="AA12" s="50"/>
      <c r="AB12" s="50"/>
      <c r="AC12" s="50"/>
      <c r="AD12" s="50">
        <f t="shared" ref="AD12:AD13" si="12">+AM12+BA12</f>
        <v>43</v>
      </c>
      <c r="AE12" s="187" t="s">
        <v>163</v>
      </c>
      <c r="AF12" s="50"/>
      <c r="AG12" s="50">
        <v>43</v>
      </c>
      <c r="AH12" s="50"/>
      <c r="AI12" s="54"/>
      <c r="AJ12" s="50"/>
      <c r="AK12" s="50"/>
      <c r="AL12" s="50"/>
      <c r="AM12" s="50">
        <f>SUM(AF12:AL12)+AT12+AV12+AX12</f>
        <v>43</v>
      </c>
      <c r="AN12" s="157"/>
      <c r="AO12" s="50"/>
      <c r="AP12" s="50"/>
      <c r="AQ12" s="50"/>
      <c r="AR12" s="50">
        <f t="shared" ref="AR12:AR13" si="13">SUM(AN12:AQ12)</f>
        <v>0</v>
      </c>
      <c r="AS12" s="50"/>
      <c r="AT12" s="50"/>
      <c r="AU12" s="50"/>
      <c r="AV12" s="50"/>
      <c r="AW12" s="50"/>
      <c r="AX12" s="50"/>
      <c r="AY12" s="50"/>
      <c r="AZ12" s="50"/>
      <c r="BA12" s="50">
        <f>+AR12+AS12+AU12+AW12+AY12+AZ12</f>
        <v>0</v>
      </c>
      <c r="BB12" s="189"/>
      <c r="BC12" s="116">
        <v>6</v>
      </c>
      <c r="BD12" s="116"/>
      <c r="BE12" s="189"/>
      <c r="BF12" s="116"/>
    </row>
    <row r="13" spans="1:58" ht="12.95" customHeight="1" x14ac:dyDescent="0.2">
      <c r="A13" s="117"/>
      <c r="B13" s="118"/>
      <c r="C13" s="119"/>
      <c r="D13" s="118"/>
      <c r="E13" s="37"/>
      <c r="F13" s="37"/>
      <c r="G13" s="188"/>
      <c r="H13" s="192"/>
      <c r="I13" s="45"/>
      <c r="J13" s="46"/>
      <c r="K13" s="46"/>
      <c r="L13" s="184"/>
      <c r="M13" s="184"/>
      <c r="N13" s="47"/>
      <c r="O13" s="48"/>
      <c r="P13" s="49"/>
      <c r="Q13" s="48"/>
      <c r="R13" s="123"/>
      <c r="S13" s="123"/>
      <c r="T13" s="50"/>
      <c r="U13" s="50"/>
      <c r="V13" s="50"/>
      <c r="W13" s="50"/>
      <c r="X13" s="55"/>
      <c r="Y13" s="52"/>
      <c r="Z13" s="50"/>
      <c r="AA13" s="50"/>
      <c r="AB13" s="50"/>
      <c r="AC13" s="50"/>
      <c r="AD13" s="50">
        <f t="shared" si="12"/>
        <v>14</v>
      </c>
      <c r="AE13" s="187" t="s">
        <v>162</v>
      </c>
      <c r="AF13" s="180"/>
      <c r="AG13" s="180"/>
      <c r="AH13" s="180">
        <v>14</v>
      </c>
      <c r="AI13" s="54"/>
      <c r="AJ13" s="50"/>
      <c r="AK13" s="50"/>
      <c r="AL13" s="50"/>
      <c r="AM13" s="50">
        <f>SUM(AF13:AL13)+AT13+AV13+AX13</f>
        <v>14</v>
      </c>
      <c r="AN13" s="50"/>
      <c r="AO13" s="50"/>
      <c r="AP13" s="50"/>
      <c r="AQ13" s="50"/>
      <c r="AR13" s="50">
        <f t="shared" si="13"/>
        <v>0</v>
      </c>
      <c r="AS13" s="50"/>
      <c r="AT13" s="50"/>
      <c r="AU13" s="50"/>
      <c r="AV13" s="50"/>
      <c r="AW13" s="50"/>
      <c r="AX13" s="50"/>
      <c r="AY13" s="50"/>
      <c r="AZ13" s="50"/>
      <c r="BA13" s="50">
        <f>+AR13+AS13+AU13+AW13+AY13+AZ13</f>
        <v>0</v>
      </c>
      <c r="BB13" s="180"/>
      <c r="BC13" s="146"/>
      <c r="BD13" s="146"/>
      <c r="BE13" s="180"/>
      <c r="BF13" s="146"/>
    </row>
    <row r="14" spans="1:58" ht="12.95" customHeight="1" x14ac:dyDescent="0.2">
      <c r="A14" s="117"/>
      <c r="B14" s="118"/>
      <c r="C14" s="119"/>
      <c r="D14" s="118"/>
      <c r="E14" s="37"/>
      <c r="F14" s="37"/>
      <c r="G14" s="188"/>
      <c r="H14" s="192"/>
      <c r="I14" s="45"/>
      <c r="J14" s="46"/>
      <c r="K14" s="46"/>
      <c r="L14" s="184"/>
      <c r="M14" s="184"/>
      <c r="N14" s="47"/>
      <c r="O14" s="48"/>
      <c r="P14" s="49"/>
      <c r="Q14" s="48"/>
      <c r="R14" s="123"/>
      <c r="S14" s="123"/>
      <c r="T14" s="50"/>
      <c r="U14" s="50"/>
      <c r="V14" s="50"/>
      <c r="W14" s="50"/>
      <c r="X14" s="55"/>
      <c r="Y14" s="52"/>
      <c r="Z14" s="50"/>
      <c r="AA14" s="50"/>
      <c r="AB14" s="50"/>
      <c r="AC14" s="50"/>
      <c r="AD14" s="50"/>
      <c r="AE14" s="187"/>
      <c r="AF14" s="180"/>
      <c r="AG14" s="180"/>
      <c r="AH14" s="18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180"/>
      <c r="BC14" s="146"/>
      <c r="BD14" s="146"/>
      <c r="BE14" s="180"/>
      <c r="BF14" s="146"/>
    </row>
    <row r="15" spans="1:58" ht="12.95" customHeight="1" x14ac:dyDescent="0.2">
      <c r="A15" s="117">
        <v>45964</v>
      </c>
      <c r="B15" s="118" t="s">
        <v>197</v>
      </c>
      <c r="C15" s="119">
        <f>(M15*E15*O15*Q15)/100000000</f>
        <v>50.061081600000001</v>
      </c>
      <c r="D15" s="118" t="s">
        <v>198</v>
      </c>
      <c r="E15" s="37">
        <v>15.5</v>
      </c>
      <c r="F15" s="37">
        <v>1</v>
      </c>
      <c r="G15" s="188">
        <v>830</v>
      </c>
      <c r="H15" s="192">
        <v>0.14000000000000001</v>
      </c>
      <c r="I15" s="45">
        <v>0.88</v>
      </c>
      <c r="J15" s="46">
        <f>E15*G15*(1-H15)*1440/1000000*3.4</f>
        <v>54.168854400000001</v>
      </c>
      <c r="K15" s="46">
        <f>(IF(G15&lt;L15,L15,G15)*(1-IF(H15&lt;N15,H15,N15))*E15*O15*Q15)/100000000</f>
        <v>51.93837216</v>
      </c>
      <c r="L15" s="184">
        <v>800</v>
      </c>
      <c r="M15" s="184">
        <v>688</v>
      </c>
      <c r="N15" s="47">
        <f>1-(M15/L15)</f>
        <v>0.14000000000000001</v>
      </c>
      <c r="O15" s="48">
        <f>+'[2]Trim Rwd'!H10</f>
        <v>326</v>
      </c>
      <c r="P15" s="49">
        <f>O15*(Q15-R15-S15)</f>
        <v>456726</v>
      </c>
      <c r="Q15" s="48">
        <v>1440</v>
      </c>
      <c r="R15" s="123">
        <v>0</v>
      </c>
      <c r="S15" s="123">
        <v>39</v>
      </c>
      <c r="T15" s="50">
        <f>E15*M15*O15*Q15/100000000</f>
        <v>50.061081600000001</v>
      </c>
      <c r="U15" s="50">
        <f>E15*M15*O15*(Q15-R15-S15)/100000000</f>
        <v>48.705260639999999</v>
      </c>
      <c r="V15" s="50">
        <f>E15*G15*(1-N15)*O15/100*(R15+S15)/1000000</f>
        <v>1.4066642460000001</v>
      </c>
      <c r="W15" s="50">
        <f>+'[2]3'!K34/1000</f>
        <v>48.51</v>
      </c>
      <c r="X15" s="51">
        <f>SUM(W15:W18)/SUM(K15:K18)</f>
        <v>0.93399153617216479</v>
      </c>
      <c r="Y15" s="52">
        <v>0</v>
      </c>
      <c r="Z15" s="50">
        <v>0</v>
      </c>
      <c r="AA15" s="53">
        <f>SUM(U15:U18)-SUM(W15:W18)-SUM(Z15:Z18)-SUM(Y15:Y18)</f>
        <v>0.19526064000000076</v>
      </c>
      <c r="AB15" s="53">
        <f>(SUM(K15:K18)-SUM(W15:W18)-SUM(Y15:Y18)-SUM(Z15:Z18)-SUM(AC15:AC18)-SUM(V15:V18))-AA15</f>
        <v>-5.0843285999997434E-2</v>
      </c>
      <c r="AC15" s="50">
        <f>K15-T15</f>
        <v>1.8772905599999987</v>
      </c>
      <c r="AD15" s="50">
        <f>+AM15+BA15</f>
        <v>0</v>
      </c>
      <c r="AE15" s="187" t="s">
        <v>110</v>
      </c>
      <c r="AF15" s="50">
        <v>0</v>
      </c>
      <c r="AG15" s="50"/>
      <c r="AH15" s="50"/>
      <c r="AI15" s="54"/>
      <c r="AJ15" s="50"/>
      <c r="AK15" s="50"/>
      <c r="AL15" s="50"/>
      <c r="AM15" s="50">
        <f>SUM(AF15:AL15)+AT15+AV15+AX15</f>
        <v>0</v>
      </c>
      <c r="AN15" s="50"/>
      <c r="AO15" s="50"/>
      <c r="AP15" s="50"/>
      <c r="AQ15" s="50"/>
      <c r="AR15" s="50">
        <f>SUM(AN15:AQ15)</f>
        <v>0</v>
      </c>
      <c r="AS15" s="50"/>
      <c r="AT15" s="50"/>
      <c r="AU15" s="50"/>
      <c r="AV15" s="50"/>
      <c r="AW15" s="50"/>
      <c r="AX15" s="50"/>
      <c r="AY15" s="50"/>
      <c r="AZ15" s="50"/>
      <c r="BA15" s="50">
        <f>+AR15+AS15+AU15+AW15+AY15+AZ15</f>
        <v>0</v>
      </c>
      <c r="BB15" s="180">
        <v>0</v>
      </c>
      <c r="BC15" s="116"/>
      <c r="BD15" s="116"/>
      <c r="BE15" s="180"/>
      <c r="BF15" s="116"/>
    </row>
    <row r="16" spans="1:58" ht="12.95" customHeight="1" x14ac:dyDescent="0.2">
      <c r="A16" s="117"/>
      <c r="B16" s="118"/>
      <c r="C16" s="119"/>
      <c r="D16" s="118"/>
      <c r="E16" s="37"/>
      <c r="F16" s="37"/>
      <c r="G16" s="188"/>
      <c r="H16" s="192"/>
      <c r="I16" s="45"/>
      <c r="J16" s="46"/>
      <c r="K16" s="46"/>
      <c r="L16" s="184"/>
      <c r="M16" s="184"/>
      <c r="N16" s="47"/>
      <c r="O16" s="48"/>
      <c r="P16" s="49"/>
      <c r="Q16" s="48"/>
      <c r="R16" s="123"/>
      <c r="S16" s="123"/>
      <c r="T16" s="50"/>
      <c r="U16" s="50"/>
      <c r="V16" s="50"/>
      <c r="W16" s="50"/>
      <c r="X16" s="55"/>
      <c r="Y16" s="52"/>
      <c r="Z16" s="50"/>
      <c r="AA16" s="50"/>
      <c r="AB16" s="50"/>
      <c r="AC16" s="50"/>
      <c r="AD16" s="50">
        <f t="shared" ref="AD16:AD17" si="14">+AM16+BA16</f>
        <v>23</v>
      </c>
      <c r="AE16" s="187" t="s">
        <v>163</v>
      </c>
      <c r="AF16" s="50"/>
      <c r="AG16" s="50">
        <v>23</v>
      </c>
      <c r="AH16" s="50"/>
      <c r="AI16" s="54"/>
      <c r="AJ16" s="50"/>
      <c r="AK16" s="50"/>
      <c r="AL16" s="50"/>
      <c r="AM16" s="50">
        <f>SUM(AF16:AL16)+AT16+AV16+AX16</f>
        <v>23</v>
      </c>
      <c r="AN16" s="157"/>
      <c r="AO16" s="50"/>
      <c r="AP16" s="50"/>
      <c r="AQ16" s="50"/>
      <c r="AR16" s="50">
        <f t="shared" ref="AR16:AR17" si="15">SUM(AN16:AQ16)</f>
        <v>0</v>
      </c>
      <c r="AS16" s="50"/>
      <c r="AT16" s="50"/>
      <c r="AU16" s="50"/>
      <c r="AV16" s="50"/>
      <c r="AW16" s="50"/>
      <c r="AX16" s="50"/>
      <c r="AY16" s="50"/>
      <c r="AZ16" s="50"/>
      <c r="BA16" s="50">
        <f>+AR16+AS16+AU16+AW16+AY16+AZ16</f>
        <v>0</v>
      </c>
      <c r="BB16" s="189"/>
      <c r="BC16" s="116">
        <v>6</v>
      </c>
      <c r="BD16" s="116"/>
      <c r="BE16" s="189"/>
      <c r="BF16" s="116"/>
    </row>
    <row r="17" spans="1:58" ht="12.95" customHeight="1" x14ac:dyDescent="0.2">
      <c r="A17" s="117"/>
      <c r="B17" s="118"/>
      <c r="C17" s="119"/>
      <c r="D17" s="118"/>
      <c r="E17" s="37"/>
      <c r="F17" s="37"/>
      <c r="G17" s="188"/>
      <c r="H17" s="192"/>
      <c r="I17" s="45"/>
      <c r="J17" s="46"/>
      <c r="K17" s="46"/>
      <c r="L17" s="184"/>
      <c r="M17" s="184"/>
      <c r="N17" s="47"/>
      <c r="O17" s="48"/>
      <c r="P17" s="49"/>
      <c r="Q17" s="48"/>
      <c r="R17" s="123"/>
      <c r="S17" s="123"/>
      <c r="T17" s="50"/>
      <c r="U17" s="50"/>
      <c r="V17" s="50"/>
      <c r="W17" s="50"/>
      <c r="X17" s="55"/>
      <c r="Y17" s="52"/>
      <c r="Z17" s="50"/>
      <c r="AA17" s="50"/>
      <c r="AB17" s="50"/>
      <c r="AC17" s="50"/>
      <c r="AD17" s="50">
        <f t="shared" si="14"/>
        <v>16</v>
      </c>
      <c r="AE17" s="187" t="s">
        <v>162</v>
      </c>
      <c r="AF17" s="180"/>
      <c r="AG17" s="180"/>
      <c r="AH17" s="180">
        <v>16</v>
      </c>
      <c r="AI17" s="54"/>
      <c r="AJ17" s="50"/>
      <c r="AK17" s="50"/>
      <c r="AL17" s="50"/>
      <c r="AM17" s="50">
        <f>SUM(AF17:AL17)+AT17+AV17+AX17</f>
        <v>16</v>
      </c>
      <c r="AN17" s="50"/>
      <c r="AO17" s="50"/>
      <c r="AP17" s="50"/>
      <c r="AQ17" s="50"/>
      <c r="AR17" s="50">
        <f t="shared" si="15"/>
        <v>0</v>
      </c>
      <c r="AS17" s="50"/>
      <c r="AT17" s="50"/>
      <c r="AU17" s="50"/>
      <c r="AV17" s="50"/>
      <c r="AW17" s="50"/>
      <c r="AX17" s="50"/>
      <c r="AY17" s="50"/>
      <c r="AZ17" s="50"/>
      <c r="BA17" s="50">
        <f>+AR17+AS17+AU17+AW17+AY17+AZ17</f>
        <v>0</v>
      </c>
      <c r="BB17" s="180"/>
      <c r="BC17" s="146"/>
      <c r="BD17" s="146"/>
      <c r="BE17" s="180"/>
      <c r="BF17" s="146"/>
    </row>
    <row r="18" spans="1:58" ht="12.95" customHeight="1" x14ac:dyDescent="0.2">
      <c r="A18" s="117"/>
      <c r="B18" s="118"/>
      <c r="C18" s="119"/>
      <c r="D18" s="118"/>
      <c r="E18" s="37"/>
      <c r="F18" s="37"/>
      <c r="G18" s="188"/>
      <c r="H18" s="192"/>
      <c r="I18" s="45"/>
      <c r="J18" s="46"/>
      <c r="K18" s="46"/>
      <c r="L18" s="184"/>
      <c r="M18" s="184"/>
      <c r="N18" s="47"/>
      <c r="O18" s="48"/>
      <c r="P18" s="49"/>
      <c r="Q18" s="48"/>
      <c r="R18" s="123"/>
      <c r="S18" s="123"/>
      <c r="T18" s="50"/>
      <c r="U18" s="50"/>
      <c r="V18" s="50"/>
      <c r="W18" s="50"/>
      <c r="X18" s="55"/>
      <c r="Y18" s="52"/>
      <c r="Z18" s="50"/>
      <c r="AA18" s="50"/>
      <c r="AB18" s="50"/>
      <c r="AC18" s="50"/>
      <c r="AD18" s="50"/>
      <c r="AE18" s="187"/>
      <c r="AF18" s="180"/>
      <c r="AG18" s="180"/>
      <c r="AH18" s="180"/>
      <c r="AI18" s="54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180"/>
      <c r="BC18" s="146"/>
      <c r="BD18" s="146"/>
      <c r="BE18" s="180"/>
      <c r="BF18" s="146"/>
    </row>
    <row r="19" spans="1:58" ht="12.95" customHeight="1" x14ac:dyDescent="0.2">
      <c r="A19" s="117">
        <v>45965</v>
      </c>
      <c r="B19" s="118" t="s">
        <v>197</v>
      </c>
      <c r="C19" s="119">
        <f>(M19*E19*O19*Q19)/100000000</f>
        <v>50.061081600000001</v>
      </c>
      <c r="D19" s="118" t="s">
        <v>198</v>
      </c>
      <c r="E19" s="37">
        <v>15.5</v>
      </c>
      <c r="F19" s="37">
        <v>1</v>
      </c>
      <c r="G19" s="190">
        <v>830</v>
      </c>
      <c r="H19" s="192">
        <v>0.14000000000000001</v>
      </c>
      <c r="I19" s="45">
        <v>0.88</v>
      </c>
      <c r="J19" s="46">
        <f>E19*G19*(1-H19)*1440/1000000*3.4</f>
        <v>54.168854400000001</v>
      </c>
      <c r="K19" s="46">
        <f>(IF(G19&lt;L19,L19,G19)*(1-IF(H19&lt;N19,H19,N19))*E19*O19*Q19)/100000000</f>
        <v>51.93837216</v>
      </c>
      <c r="L19" s="184">
        <v>800</v>
      </c>
      <c r="M19" s="184">
        <v>688</v>
      </c>
      <c r="N19" s="47">
        <f>1-(M19/L19)</f>
        <v>0.14000000000000001</v>
      </c>
      <c r="O19" s="48">
        <f>+'[2]Trim Rwd'!H12</f>
        <v>326</v>
      </c>
      <c r="P19" s="49">
        <f>O19*(Q19-R19-S19)</f>
        <v>453140</v>
      </c>
      <c r="Q19" s="56">
        <v>1440</v>
      </c>
      <c r="R19" s="123">
        <v>0</v>
      </c>
      <c r="S19" s="123">
        <v>50</v>
      </c>
      <c r="T19" s="50">
        <f>E19*M19*O19*Q19/100000000</f>
        <v>50.061081600000001</v>
      </c>
      <c r="U19" s="50">
        <f>E19*M19*O19*(Q19-R19-S19)/100000000</f>
        <v>48.322849599999998</v>
      </c>
      <c r="V19" s="50">
        <f>E19*G19*(1-N19)*O19/100*(R19+S19)/1000000</f>
        <v>1.8034157</v>
      </c>
      <c r="W19" s="50">
        <f>+'[2]4'!K34/1000</f>
        <v>47.161999999999999</v>
      </c>
      <c r="X19" s="55">
        <f>SUM(W19:W22)/SUM(K19:K22)</f>
        <v>0.90803770004023165</v>
      </c>
      <c r="Y19" s="52">
        <v>0</v>
      </c>
      <c r="Z19" s="50">
        <v>0</v>
      </c>
      <c r="AA19" s="50">
        <f>SUM(U19:U22)-SUM(W19:W22)-SUM(Z19:Z22)-SUM(Y19:Y22)</f>
        <v>1.1608495999999988</v>
      </c>
      <c r="AB19" s="50">
        <f>(SUM(K19:K22)-SUM(W19:W22)-SUM(Y19:Y22)-SUM(Z19:Z22)-SUM(AC19:AC22)-SUM(V19:V22))-AA19</f>
        <v>-6.5183699999996403E-2</v>
      </c>
      <c r="AC19" s="50">
        <f>K19-T19</f>
        <v>1.8772905599999987</v>
      </c>
      <c r="AD19" s="50">
        <f>+AM19+BA19</f>
        <v>2</v>
      </c>
      <c r="AE19" s="187" t="s">
        <v>116</v>
      </c>
      <c r="AF19" s="180">
        <v>2</v>
      </c>
      <c r="AG19" s="180"/>
      <c r="AH19" s="180"/>
      <c r="AJ19" s="50"/>
      <c r="AK19" s="50"/>
      <c r="AL19" s="50"/>
      <c r="AM19" s="50">
        <f>SUM(AF19:AL19)+AT19+AV19+AX19</f>
        <v>2</v>
      </c>
      <c r="AN19" s="50"/>
      <c r="AO19" s="50"/>
      <c r="AP19" s="50"/>
      <c r="AQ19" s="50"/>
      <c r="AR19" s="50">
        <f>SUM(AN19:AQ19)</f>
        <v>0</v>
      </c>
      <c r="AS19" s="50"/>
      <c r="AT19" s="50"/>
      <c r="AU19" s="50"/>
      <c r="AV19" s="50"/>
      <c r="AW19" s="50"/>
      <c r="AX19" s="50"/>
      <c r="AY19" s="50"/>
      <c r="AZ19" s="50"/>
      <c r="BA19" s="50">
        <f>+AR19+AS19+AU19+AW19+AY19+AZ19</f>
        <v>0</v>
      </c>
      <c r="BB19" s="180">
        <v>1</v>
      </c>
      <c r="BC19" s="146"/>
      <c r="BD19" s="146"/>
      <c r="BE19" s="180"/>
      <c r="BF19" s="146"/>
    </row>
    <row r="20" spans="1:58" ht="12.95" customHeight="1" x14ac:dyDescent="0.2">
      <c r="A20" s="117"/>
      <c r="B20" s="118"/>
      <c r="C20" s="119"/>
      <c r="D20" s="118"/>
      <c r="E20" s="37"/>
      <c r="F20" s="37"/>
      <c r="G20" s="190"/>
      <c r="H20" s="192"/>
      <c r="I20" s="45"/>
      <c r="J20" s="46"/>
      <c r="K20" s="46"/>
      <c r="L20" s="184"/>
      <c r="M20" s="184"/>
      <c r="N20" s="47"/>
      <c r="O20" s="48"/>
      <c r="P20" s="49"/>
      <c r="Q20" s="56"/>
      <c r="R20" s="123"/>
      <c r="S20" s="123"/>
      <c r="T20" s="50"/>
      <c r="U20" s="50"/>
      <c r="V20" s="50"/>
      <c r="W20" s="50"/>
      <c r="X20" s="55"/>
      <c r="Y20" s="52"/>
      <c r="Z20" s="50"/>
      <c r="AA20" s="50"/>
      <c r="AB20" s="50"/>
      <c r="AC20" s="50"/>
      <c r="AD20" s="50">
        <f t="shared" ref="AD20:AD21" si="16">+AM20+BA20</f>
        <v>29</v>
      </c>
      <c r="AE20" s="191" t="s">
        <v>117</v>
      </c>
      <c r="AF20" s="50"/>
      <c r="AG20" s="50">
        <v>29</v>
      </c>
      <c r="AH20" s="50"/>
      <c r="AI20" s="54"/>
      <c r="AJ20" s="50"/>
      <c r="AK20" s="50"/>
      <c r="AL20" s="50"/>
      <c r="AM20" s="50">
        <f>SUM(AF20:AL20)+AT20+AV20+AX20</f>
        <v>29</v>
      </c>
      <c r="AN20" s="50"/>
      <c r="AO20" s="50"/>
      <c r="AP20" s="50"/>
      <c r="AQ20" s="50"/>
      <c r="AR20" s="50">
        <f t="shared" ref="AR20:AR21" si="17">SUM(AN20:AQ20)</f>
        <v>0</v>
      </c>
      <c r="AS20" s="50"/>
      <c r="AT20" s="50"/>
      <c r="AU20" s="50"/>
      <c r="AV20" s="50"/>
      <c r="AW20" s="50"/>
      <c r="AX20" s="50"/>
      <c r="AY20" s="50"/>
      <c r="AZ20" s="50"/>
      <c r="BA20" s="50">
        <f>+AR20+AS20+AU20+AW20+AY20+AZ20</f>
        <v>0</v>
      </c>
      <c r="BB20" s="180"/>
      <c r="BC20" s="146">
        <v>9</v>
      </c>
      <c r="BD20" s="146"/>
      <c r="BE20" s="180"/>
      <c r="BF20" s="146"/>
    </row>
    <row r="21" spans="1:58" ht="12.95" customHeight="1" x14ac:dyDescent="0.2">
      <c r="A21" s="117"/>
      <c r="B21" s="118"/>
      <c r="C21" s="119"/>
      <c r="D21" s="118"/>
      <c r="E21" s="37"/>
      <c r="F21" s="37"/>
      <c r="G21" s="188"/>
      <c r="H21" s="192"/>
      <c r="I21" s="45"/>
      <c r="J21" s="46"/>
      <c r="K21" s="46"/>
      <c r="L21" s="184"/>
      <c r="M21" s="184"/>
      <c r="N21" s="47"/>
      <c r="O21" s="48"/>
      <c r="P21" s="49"/>
      <c r="Q21" s="48"/>
      <c r="R21" s="123"/>
      <c r="S21" s="123"/>
      <c r="T21" s="50"/>
      <c r="U21" s="50"/>
      <c r="V21" s="50"/>
      <c r="W21" s="50"/>
      <c r="X21" s="51"/>
      <c r="Y21" s="52"/>
      <c r="Z21" s="50"/>
      <c r="AA21" s="53"/>
      <c r="AB21" s="53"/>
      <c r="AC21" s="50"/>
      <c r="AD21" s="50">
        <f t="shared" si="16"/>
        <v>19</v>
      </c>
      <c r="AE21" s="211" t="s">
        <v>162</v>
      </c>
      <c r="AF21" s="50"/>
      <c r="AG21" s="50"/>
      <c r="AH21" s="50">
        <v>19</v>
      </c>
      <c r="AI21" s="54"/>
      <c r="AJ21" s="50"/>
      <c r="AK21" s="50"/>
      <c r="AL21" s="50"/>
      <c r="AM21" s="50">
        <f>SUM(AF21:AL21)+AT21+AV21+AX21</f>
        <v>19</v>
      </c>
      <c r="AN21" s="50"/>
      <c r="AO21" s="50"/>
      <c r="AP21" s="50"/>
      <c r="AQ21" s="50"/>
      <c r="AR21" s="50">
        <f t="shared" si="17"/>
        <v>0</v>
      </c>
      <c r="AS21" s="50"/>
      <c r="AT21" s="50"/>
      <c r="AU21" s="50"/>
      <c r="AV21" s="50"/>
      <c r="AW21" s="50"/>
      <c r="AX21" s="50"/>
      <c r="AY21" s="50"/>
      <c r="AZ21" s="50"/>
      <c r="BA21" s="50">
        <f>+AR21+AS21+AU21+AW21+AY21+AZ21</f>
        <v>0</v>
      </c>
      <c r="BB21" s="180"/>
      <c r="BC21" s="116"/>
      <c r="BD21" s="116"/>
      <c r="BE21" s="180"/>
      <c r="BF21" s="116"/>
    </row>
    <row r="22" spans="1:58" ht="12.95" customHeight="1" x14ac:dyDescent="0.2">
      <c r="A22" s="117"/>
      <c r="B22" s="118"/>
      <c r="C22" s="119"/>
      <c r="D22" s="118"/>
      <c r="E22" s="37"/>
      <c r="F22" s="37"/>
      <c r="G22" s="188"/>
      <c r="H22" s="192"/>
      <c r="I22" s="45"/>
      <c r="J22" s="46"/>
      <c r="K22" s="46"/>
      <c r="L22" s="184"/>
      <c r="M22" s="184"/>
      <c r="N22" s="47"/>
      <c r="O22" s="48"/>
      <c r="P22" s="49"/>
      <c r="Q22" s="48"/>
      <c r="R22" s="123"/>
      <c r="S22" s="123"/>
      <c r="T22" s="50"/>
      <c r="U22" s="50"/>
      <c r="V22" s="50"/>
      <c r="W22" s="50"/>
      <c r="X22" s="55"/>
      <c r="Y22" s="52"/>
      <c r="Z22" s="50"/>
      <c r="AA22" s="50"/>
      <c r="AB22" s="50"/>
      <c r="AC22" s="50"/>
      <c r="AD22" s="50"/>
      <c r="AE22" s="211"/>
      <c r="AF22" s="50"/>
      <c r="AG22" s="50"/>
      <c r="AH22" s="50"/>
      <c r="AI22" s="54"/>
      <c r="AJ22" s="50"/>
      <c r="AK22" s="50"/>
      <c r="AL22" s="50"/>
      <c r="AM22" s="50"/>
      <c r="AN22" s="157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189"/>
      <c r="BC22" s="116"/>
      <c r="BD22" s="116"/>
      <c r="BE22" s="189"/>
      <c r="BF22" s="116"/>
    </row>
    <row r="23" spans="1:58" ht="12.95" customHeight="1" x14ac:dyDescent="0.2">
      <c r="A23" s="117">
        <v>45966</v>
      </c>
      <c r="B23" s="118" t="s">
        <v>197</v>
      </c>
      <c r="C23" s="119">
        <f>(M23*E23*O23*Q23)/100000000</f>
        <v>50.061081600000001</v>
      </c>
      <c r="D23" s="118" t="s">
        <v>198</v>
      </c>
      <c r="E23" s="37">
        <v>15.5</v>
      </c>
      <c r="F23" s="37">
        <v>1</v>
      </c>
      <c r="G23" s="190">
        <v>830</v>
      </c>
      <c r="H23" s="192">
        <v>0.14000000000000001</v>
      </c>
      <c r="I23" s="45">
        <v>0.88</v>
      </c>
      <c r="J23" s="46">
        <f>E23*G23*(1-H23)*1440/1000000*3.4</f>
        <v>54.168854400000001</v>
      </c>
      <c r="K23" s="46">
        <f>(IF(G23&lt;L23,L23,G23)*(1-IF(H23&lt;N23,H23,N23))*E23*O23*Q23)/100000000</f>
        <v>51.93837216</v>
      </c>
      <c r="L23" s="184">
        <v>800</v>
      </c>
      <c r="M23" s="184">
        <v>688</v>
      </c>
      <c r="N23" s="47">
        <f>1-(M23/L23)</f>
        <v>0.14000000000000001</v>
      </c>
      <c r="O23" s="48">
        <f>+'[2]Trim Rwd'!H14</f>
        <v>326</v>
      </c>
      <c r="P23" s="49">
        <f>O23*(Q23-R23-S23)</f>
        <v>444664</v>
      </c>
      <c r="Q23" s="56">
        <v>1440</v>
      </c>
      <c r="R23" s="123">
        <v>0</v>
      </c>
      <c r="S23" s="123">
        <v>76</v>
      </c>
      <c r="T23" s="50">
        <f>E23*M23*O23*Q23/100000000</f>
        <v>50.061081600000001</v>
      </c>
      <c r="U23" s="50">
        <f>E23*M23*O23*(Q23-R23-S23)/100000000</f>
        <v>47.418968960000001</v>
      </c>
      <c r="V23" s="50">
        <f>E23*G23*(1-N23)*O23/100*(R23+S23)/1000000</f>
        <v>2.7411918640000001</v>
      </c>
      <c r="W23" s="50">
        <f>+'[2]5'!K34/1000</f>
        <v>44.61</v>
      </c>
      <c r="X23" s="55">
        <f>SUM(W23:W26)/SUM(K23:K26)</f>
        <v>0.85890254439580027</v>
      </c>
      <c r="Y23" s="52">
        <v>0</v>
      </c>
      <c r="Z23" s="50">
        <f>+'[2]5'!D34/1000</f>
        <v>2.6179999999999999</v>
      </c>
      <c r="AA23" s="50">
        <f>SUM(U23:U26)-SUM(W23:W26)-SUM(Z23:Z26)-SUM(Y23:Y26)</f>
        <v>0.19096896000000152</v>
      </c>
      <c r="AB23" s="50">
        <f>(SUM(K23:K26)-SUM(W23:W26)-SUM(Y23:Y26)-SUM(Z23:Z26)-SUM(AC23:AC26)-SUM(V23:V26))-AA23</f>
        <v>-9.9079224000000021E-2</v>
      </c>
      <c r="AC23" s="50">
        <f>K23-T23</f>
        <v>1.8772905599999987</v>
      </c>
      <c r="AD23" s="50">
        <f>+AM23+BA23</f>
        <v>6</v>
      </c>
      <c r="AE23" s="187" t="s">
        <v>134</v>
      </c>
      <c r="AF23" s="180">
        <v>6</v>
      </c>
      <c r="AG23" s="180"/>
      <c r="AH23" s="180"/>
      <c r="AJ23" s="50"/>
      <c r="AK23" s="50"/>
      <c r="AL23" s="50"/>
      <c r="AM23" s="50">
        <f>SUM(AF23:AL23)+AT23+AV23+AX23</f>
        <v>6</v>
      </c>
      <c r="AN23" s="50"/>
      <c r="AO23" s="50"/>
      <c r="AP23" s="50"/>
      <c r="AQ23" s="50"/>
      <c r="AR23" s="50">
        <f>SUM(AN23:AQ23)</f>
        <v>0</v>
      </c>
      <c r="AS23" s="50"/>
      <c r="AT23" s="50"/>
      <c r="AU23" s="50"/>
      <c r="AV23" s="50"/>
      <c r="AW23" s="50"/>
      <c r="AX23" s="50"/>
      <c r="AY23" s="50"/>
      <c r="AZ23" s="50"/>
      <c r="BA23" s="50">
        <f>+AR23+AS23+AU23+AW23+AY23+AZ23</f>
        <v>0</v>
      </c>
      <c r="BB23" s="180">
        <v>4</v>
      </c>
      <c r="BC23" s="146"/>
      <c r="BD23" s="146"/>
      <c r="BE23" s="180"/>
      <c r="BF23" s="146"/>
    </row>
    <row r="24" spans="1:58" ht="12.95" customHeight="1" x14ac:dyDescent="0.2">
      <c r="A24" s="117"/>
      <c r="B24" s="118"/>
      <c r="C24" s="119"/>
      <c r="D24" s="118"/>
      <c r="E24" s="37"/>
      <c r="F24" s="37"/>
      <c r="G24" s="190"/>
      <c r="H24" s="192"/>
      <c r="I24" s="45"/>
      <c r="J24" s="46"/>
      <c r="K24" s="46"/>
      <c r="L24" s="184"/>
      <c r="M24" s="184"/>
      <c r="N24" s="47"/>
      <c r="O24" s="48"/>
      <c r="P24" s="49"/>
      <c r="Q24" s="56"/>
      <c r="R24" s="123"/>
      <c r="S24" s="123"/>
      <c r="T24" s="50"/>
      <c r="U24" s="50"/>
      <c r="V24" s="50"/>
      <c r="W24" s="50"/>
      <c r="X24" s="55"/>
      <c r="Y24" s="52"/>
      <c r="Z24" s="50"/>
      <c r="AA24" s="50"/>
      <c r="AB24" s="50"/>
      <c r="AC24" s="50"/>
      <c r="AD24" s="50">
        <f t="shared" ref="AD24:AD26" si="18">+AM24+BA24</f>
        <v>22</v>
      </c>
      <c r="AE24" s="191" t="s">
        <v>117</v>
      </c>
      <c r="AF24" s="50"/>
      <c r="AG24" s="50">
        <v>22</v>
      </c>
      <c r="AH24" s="50"/>
      <c r="AI24" s="54"/>
      <c r="AJ24" s="50"/>
      <c r="AK24" s="50"/>
      <c r="AL24" s="50"/>
      <c r="AM24" s="50">
        <f>SUM(AF24:AL24)+AT24+AV24+AX24</f>
        <v>22</v>
      </c>
      <c r="AN24" s="50"/>
      <c r="AO24" s="50"/>
      <c r="AP24" s="50"/>
      <c r="AQ24" s="50"/>
      <c r="AR24" s="50">
        <f t="shared" ref="AR24:AR26" si="19">SUM(AN24:AQ24)</f>
        <v>0</v>
      </c>
      <c r="AS24" s="50"/>
      <c r="AT24" s="50"/>
      <c r="AU24" s="50"/>
      <c r="AV24" s="50"/>
      <c r="AW24" s="50"/>
      <c r="AX24" s="50"/>
      <c r="AY24" s="50"/>
      <c r="AZ24" s="50"/>
      <c r="BA24" s="50">
        <f>+AR24+AS24+AU24+AW24+AY24+AZ24</f>
        <v>0</v>
      </c>
      <c r="BB24" s="180"/>
      <c r="BC24" s="146">
        <v>9</v>
      </c>
      <c r="BD24" s="146"/>
      <c r="BE24" s="180"/>
      <c r="BF24" s="146"/>
    </row>
    <row r="25" spans="1:58" ht="12.95" customHeight="1" x14ac:dyDescent="0.2">
      <c r="A25" s="117"/>
      <c r="B25" s="118"/>
      <c r="C25" s="119"/>
      <c r="D25" s="118"/>
      <c r="E25" s="37"/>
      <c r="F25" s="37"/>
      <c r="G25" s="188"/>
      <c r="H25" s="192"/>
      <c r="I25" s="45"/>
      <c r="J25" s="46"/>
      <c r="K25" s="46"/>
      <c r="L25" s="184"/>
      <c r="M25" s="184"/>
      <c r="N25" s="47"/>
      <c r="O25" s="48"/>
      <c r="P25" s="49"/>
      <c r="Q25" s="48"/>
      <c r="R25" s="123"/>
      <c r="S25" s="123"/>
      <c r="T25" s="50"/>
      <c r="U25" s="50"/>
      <c r="V25" s="50"/>
      <c r="W25" s="50"/>
      <c r="X25" s="51"/>
      <c r="Y25" s="52"/>
      <c r="Z25" s="50"/>
      <c r="AA25" s="53"/>
      <c r="AB25" s="53"/>
      <c r="AC25" s="50"/>
      <c r="AD25" s="50">
        <f t="shared" si="18"/>
        <v>18</v>
      </c>
      <c r="AE25" s="211" t="s">
        <v>162</v>
      </c>
      <c r="AF25" s="50"/>
      <c r="AG25" s="50"/>
      <c r="AH25" s="50">
        <v>18</v>
      </c>
      <c r="AI25" s="54"/>
      <c r="AJ25" s="50"/>
      <c r="AK25" s="50"/>
      <c r="AL25" s="50"/>
      <c r="AM25" s="50">
        <f>SUM(AF25:AL25)+AT25+AV25+AX25</f>
        <v>18</v>
      </c>
      <c r="AN25" s="50"/>
      <c r="AO25" s="50"/>
      <c r="AP25" s="50"/>
      <c r="AQ25" s="50"/>
      <c r="AR25" s="50">
        <f t="shared" si="19"/>
        <v>0</v>
      </c>
      <c r="AS25" s="50"/>
      <c r="AT25" s="50"/>
      <c r="AU25" s="50"/>
      <c r="AV25" s="50"/>
      <c r="AW25" s="50"/>
      <c r="AX25" s="50"/>
      <c r="AY25" s="50"/>
      <c r="AZ25" s="50"/>
      <c r="BA25" s="50">
        <f>+AR25+AS25+AU25+AW25+AY25+AZ25</f>
        <v>0</v>
      </c>
      <c r="BB25" s="180"/>
      <c r="BC25" s="116"/>
      <c r="BD25" s="116"/>
      <c r="BE25" s="180"/>
      <c r="BF25" s="116"/>
    </row>
    <row r="26" spans="1:58" ht="12.95" customHeight="1" x14ac:dyDescent="0.2">
      <c r="A26" s="117"/>
      <c r="B26" s="118"/>
      <c r="C26" s="119"/>
      <c r="D26" s="118"/>
      <c r="E26" s="37"/>
      <c r="F26" s="37"/>
      <c r="G26" s="188"/>
      <c r="H26" s="192"/>
      <c r="I26" s="45"/>
      <c r="J26" s="46"/>
      <c r="K26" s="46"/>
      <c r="L26" s="184"/>
      <c r="M26" s="184"/>
      <c r="N26" s="47"/>
      <c r="O26" s="48"/>
      <c r="P26" s="49"/>
      <c r="Q26" s="48"/>
      <c r="R26" s="123"/>
      <c r="S26" s="123"/>
      <c r="T26" s="50"/>
      <c r="U26" s="50"/>
      <c r="V26" s="50"/>
      <c r="W26" s="50"/>
      <c r="X26" s="55"/>
      <c r="Y26" s="52"/>
      <c r="Z26" s="50"/>
      <c r="AA26" s="50"/>
      <c r="AB26" s="50"/>
      <c r="AC26" s="50"/>
      <c r="AD26" s="50">
        <f t="shared" si="18"/>
        <v>30</v>
      </c>
      <c r="AE26" s="211" t="s">
        <v>240</v>
      </c>
      <c r="AF26" s="50"/>
      <c r="AG26" s="50"/>
      <c r="AH26" s="50"/>
      <c r="AI26" s="54">
        <v>30</v>
      </c>
      <c r="AJ26" s="50"/>
      <c r="AK26" s="50"/>
      <c r="AL26" s="50"/>
      <c r="AM26" s="50">
        <f>SUM(AF26:AL26)+AT26+AV26+AX26</f>
        <v>30</v>
      </c>
      <c r="AN26" s="50"/>
      <c r="AO26" s="50"/>
      <c r="AP26" s="50"/>
      <c r="AQ26" s="50"/>
      <c r="AR26" s="50">
        <f t="shared" si="19"/>
        <v>0</v>
      </c>
      <c r="AS26" s="50"/>
      <c r="AT26" s="50"/>
      <c r="AU26" s="50"/>
      <c r="AV26" s="50"/>
      <c r="AW26" s="50"/>
      <c r="AX26" s="50"/>
      <c r="AY26" s="50"/>
      <c r="AZ26" s="50"/>
      <c r="BA26" s="50">
        <f>+AR26+AS26+AU26+AW26+AY26+AZ26</f>
        <v>0</v>
      </c>
      <c r="BB26" s="180"/>
      <c r="BC26" s="116"/>
      <c r="BD26" s="116"/>
      <c r="BE26" s="180"/>
      <c r="BF26" s="116"/>
    </row>
    <row r="27" spans="1:58" ht="12.95" customHeight="1" x14ac:dyDescent="0.2">
      <c r="A27" s="117"/>
      <c r="B27" s="118"/>
      <c r="C27" s="119"/>
      <c r="D27" s="118"/>
      <c r="E27" s="37"/>
      <c r="F27" s="37"/>
      <c r="G27" s="188"/>
      <c r="H27" s="192"/>
      <c r="I27" s="45"/>
      <c r="J27" s="46"/>
      <c r="K27" s="46"/>
      <c r="L27" s="184"/>
      <c r="M27" s="184"/>
      <c r="N27" s="47"/>
      <c r="O27" s="48"/>
      <c r="P27" s="49"/>
      <c r="Q27" s="48"/>
      <c r="R27" s="123"/>
      <c r="S27" s="123"/>
      <c r="T27" s="50"/>
      <c r="U27" s="50"/>
      <c r="V27" s="50"/>
      <c r="W27" s="50"/>
      <c r="X27" s="55"/>
      <c r="Y27" s="52"/>
      <c r="Z27" s="50"/>
      <c r="AA27" s="50"/>
      <c r="AB27" s="50"/>
      <c r="AC27" s="50"/>
      <c r="AD27" s="50"/>
      <c r="AE27" s="211"/>
      <c r="AF27" s="50"/>
      <c r="AG27" s="50"/>
      <c r="AH27" s="50"/>
      <c r="AI27" s="54"/>
      <c r="AJ27" s="50"/>
      <c r="AK27" s="50"/>
      <c r="AL27" s="50"/>
      <c r="AM27" s="50"/>
      <c r="AN27" s="157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189"/>
      <c r="BC27" s="116"/>
      <c r="BD27" s="116"/>
      <c r="BE27" s="189"/>
      <c r="BF27" s="116"/>
    </row>
    <row r="28" spans="1:58" ht="12.95" customHeight="1" x14ac:dyDescent="0.2">
      <c r="A28" s="117">
        <v>45967</v>
      </c>
      <c r="B28" s="118" t="s">
        <v>197</v>
      </c>
      <c r="C28" s="119">
        <f>(M28*E28*O28*Q28)/100000000</f>
        <v>50.061081600000001</v>
      </c>
      <c r="D28" s="118" t="s">
        <v>198</v>
      </c>
      <c r="E28" s="37">
        <v>15.5</v>
      </c>
      <c r="F28" s="37">
        <v>1</v>
      </c>
      <c r="G28" s="190">
        <v>830</v>
      </c>
      <c r="H28" s="192">
        <v>0.14000000000000001</v>
      </c>
      <c r="I28" s="45">
        <v>0.88</v>
      </c>
      <c r="J28" s="46">
        <f>E28*G28*(1-H28)*1440/1000000*3.4</f>
        <v>54.168854400000001</v>
      </c>
      <c r="K28" s="46">
        <f>(IF(G28&lt;L28,L28,G28)*(1-IF(H28&lt;N28,H28,N28))*E28*O28*Q28)/100000000</f>
        <v>51.93837216</v>
      </c>
      <c r="L28" s="184">
        <v>800</v>
      </c>
      <c r="M28" s="184">
        <v>688</v>
      </c>
      <c r="N28" s="47">
        <f>1-(M28/L28)</f>
        <v>0.14000000000000001</v>
      </c>
      <c r="O28" s="48">
        <f>+'[2]Trim Rwd'!H16</f>
        <v>326</v>
      </c>
      <c r="P28" s="49">
        <f>O28*(Q28-R28-S28)</f>
        <v>451510</v>
      </c>
      <c r="Q28" s="56">
        <v>1440</v>
      </c>
      <c r="R28" s="123">
        <v>0</v>
      </c>
      <c r="S28" s="123">
        <v>55</v>
      </c>
      <c r="T28" s="50">
        <f>E28*M28*O28*Q28/100000000</f>
        <v>50.061081600000001</v>
      </c>
      <c r="U28" s="50">
        <f>E28*M28*O28*(Q28-R28-S28)/100000000</f>
        <v>48.149026399999997</v>
      </c>
      <c r="V28" s="50">
        <f>E28*G28*(1-N28)*O28/100*(R28+S28)/1000000</f>
        <v>1.9837572700000001</v>
      </c>
      <c r="W28" s="50">
        <f>+'[2]6'!K34/1000</f>
        <v>46.863999999999997</v>
      </c>
      <c r="X28" s="55">
        <f>SUM(W28:W31)/SUM(K28:K31)</f>
        <v>0.90230013092501193</v>
      </c>
      <c r="Y28" s="52">
        <v>0</v>
      </c>
      <c r="Z28" s="50">
        <f>+'[2]6'!D34/1000</f>
        <v>0.33100000000000002</v>
      </c>
      <c r="AA28" s="50">
        <f>SUM(U28:U31)-SUM(W28:W31)-SUM(Z28:Z31)-SUM(Y28:Y31)</f>
        <v>0.95402639999999961</v>
      </c>
      <c r="AB28" s="50">
        <f>(SUM(K28:K31)-SUM(W28:W31)-SUM(Y28:Y31)-SUM(Z28:Z31)-SUM(AC28:AC31)-SUM(V28:V31))-AA28</f>
        <v>-7.1702069999995954E-2</v>
      </c>
      <c r="AC28" s="50">
        <f>K28-T28</f>
        <v>1.8772905599999987</v>
      </c>
      <c r="AD28" s="50">
        <f>+AM28+BA28</f>
        <v>10</v>
      </c>
      <c r="AE28" s="187" t="s">
        <v>113</v>
      </c>
      <c r="AF28" s="180">
        <v>10</v>
      </c>
      <c r="AG28" s="180"/>
      <c r="AH28" s="180"/>
      <c r="AJ28" s="50"/>
      <c r="AK28" s="50"/>
      <c r="AL28" s="50"/>
      <c r="AM28" s="50">
        <f>SUM(AF28:AL28)+AT28+AV28+AX28</f>
        <v>10</v>
      </c>
      <c r="AN28" s="50"/>
      <c r="AO28" s="50"/>
      <c r="AP28" s="50"/>
      <c r="AQ28" s="50"/>
      <c r="AR28" s="50">
        <f>SUM(AN28:AQ28)</f>
        <v>0</v>
      </c>
      <c r="AS28" s="50"/>
      <c r="AT28" s="50"/>
      <c r="AU28" s="50"/>
      <c r="AV28" s="50"/>
      <c r="AW28" s="50"/>
      <c r="AX28" s="50"/>
      <c r="AY28" s="50"/>
      <c r="AZ28" s="50"/>
      <c r="BA28" s="50">
        <f>+AR28+AS28+AU28+AW28+AY28+AZ28</f>
        <v>0</v>
      </c>
      <c r="BB28" s="180">
        <v>2</v>
      </c>
      <c r="BC28" s="146"/>
      <c r="BD28" s="146"/>
      <c r="BE28" s="180"/>
      <c r="BF28" s="146"/>
    </row>
    <row r="29" spans="1:58" ht="12.95" customHeight="1" x14ac:dyDescent="0.2">
      <c r="A29" s="117"/>
      <c r="B29" s="118"/>
      <c r="C29" s="119"/>
      <c r="D29" s="118"/>
      <c r="E29" s="37"/>
      <c r="F29" s="37"/>
      <c r="G29" s="190"/>
      <c r="H29" s="192"/>
      <c r="I29" s="45"/>
      <c r="J29" s="46"/>
      <c r="K29" s="46"/>
      <c r="L29" s="184"/>
      <c r="M29" s="184"/>
      <c r="N29" s="47"/>
      <c r="O29" s="48"/>
      <c r="P29" s="49"/>
      <c r="Q29" s="56"/>
      <c r="R29" s="123"/>
      <c r="S29" s="123"/>
      <c r="T29" s="50"/>
      <c r="U29" s="50"/>
      <c r="V29" s="50"/>
      <c r="W29" s="50"/>
      <c r="X29" s="55"/>
      <c r="Y29" s="52"/>
      <c r="Z29" s="50"/>
      <c r="AA29" s="50"/>
      <c r="AB29" s="50"/>
      <c r="AC29" s="50"/>
      <c r="AD29" s="50">
        <f t="shared" ref="AD29:AD30" si="20">+AM29+BA29</f>
        <v>28</v>
      </c>
      <c r="AE29" s="191" t="s">
        <v>132</v>
      </c>
      <c r="AF29" s="50"/>
      <c r="AG29" s="50">
        <v>28</v>
      </c>
      <c r="AH29" s="50"/>
      <c r="AI29" s="54"/>
      <c r="AJ29" s="50"/>
      <c r="AK29" s="50"/>
      <c r="AL29" s="50"/>
      <c r="AM29" s="50">
        <f>SUM(AF29:AL29)+AT29+AV29+AX29</f>
        <v>28</v>
      </c>
      <c r="AN29" s="50"/>
      <c r="AO29" s="50"/>
      <c r="AP29" s="50"/>
      <c r="AQ29" s="50"/>
      <c r="AR29" s="50">
        <f t="shared" ref="AR29:AR30" si="21">SUM(AN29:AQ29)</f>
        <v>0</v>
      </c>
      <c r="AS29" s="50"/>
      <c r="AT29" s="50"/>
      <c r="AU29" s="50"/>
      <c r="AV29" s="50"/>
      <c r="AW29" s="50"/>
      <c r="AX29" s="50"/>
      <c r="AY29" s="50"/>
      <c r="AZ29" s="50"/>
      <c r="BA29" s="50">
        <f>+AR29+AS29+AU29+AW29+AY29+AZ29</f>
        <v>0</v>
      </c>
      <c r="BB29" s="180"/>
      <c r="BC29" s="146">
        <v>7</v>
      </c>
      <c r="BD29" s="146"/>
      <c r="BE29" s="180"/>
      <c r="BF29" s="146"/>
    </row>
    <row r="30" spans="1:58" ht="12.95" customHeight="1" x14ac:dyDescent="0.2">
      <c r="A30" s="117"/>
      <c r="B30" s="118"/>
      <c r="C30" s="119"/>
      <c r="D30" s="118"/>
      <c r="E30" s="37"/>
      <c r="F30" s="37"/>
      <c r="G30" s="188"/>
      <c r="H30" s="192"/>
      <c r="I30" s="45"/>
      <c r="J30" s="46"/>
      <c r="K30" s="46"/>
      <c r="L30" s="184"/>
      <c r="M30" s="184"/>
      <c r="N30" s="47"/>
      <c r="O30" s="48"/>
      <c r="P30" s="49"/>
      <c r="Q30" s="48"/>
      <c r="R30" s="123"/>
      <c r="S30" s="123"/>
      <c r="T30" s="50"/>
      <c r="U30" s="50"/>
      <c r="V30" s="50"/>
      <c r="W30" s="50"/>
      <c r="X30" s="51"/>
      <c r="Y30" s="52"/>
      <c r="Z30" s="50"/>
      <c r="AA30" s="53"/>
      <c r="AB30" s="53"/>
      <c r="AC30" s="50"/>
      <c r="AD30" s="50">
        <f t="shared" si="20"/>
        <v>17</v>
      </c>
      <c r="AE30" s="211" t="s">
        <v>162</v>
      </c>
      <c r="AF30" s="50"/>
      <c r="AG30" s="50"/>
      <c r="AH30" s="50">
        <v>17</v>
      </c>
      <c r="AI30" s="54"/>
      <c r="AJ30" s="50"/>
      <c r="AK30" s="50"/>
      <c r="AL30" s="50"/>
      <c r="AM30" s="50">
        <f>SUM(AF30:AL30)+AT30+AV30+AX30</f>
        <v>17</v>
      </c>
      <c r="AN30" s="50"/>
      <c r="AO30" s="50"/>
      <c r="AP30" s="50"/>
      <c r="AQ30" s="50"/>
      <c r="AR30" s="50">
        <f t="shared" si="21"/>
        <v>0</v>
      </c>
      <c r="AS30" s="50"/>
      <c r="AT30" s="50"/>
      <c r="AU30" s="50"/>
      <c r="AV30" s="50"/>
      <c r="AW30" s="50"/>
      <c r="AX30" s="50"/>
      <c r="AY30" s="50"/>
      <c r="AZ30" s="50"/>
      <c r="BA30" s="50">
        <f>+AR30+AS30+AU30+AW30+AY30+AZ30</f>
        <v>0</v>
      </c>
      <c r="BB30" s="180"/>
      <c r="BC30" s="116"/>
      <c r="BD30" s="116"/>
      <c r="BE30" s="180"/>
      <c r="BF30" s="116"/>
    </row>
    <row r="31" spans="1:58" ht="12.95" customHeight="1" x14ac:dyDescent="0.2">
      <c r="A31" s="117"/>
      <c r="B31" s="118"/>
      <c r="C31" s="119"/>
      <c r="D31" s="118"/>
      <c r="E31" s="37"/>
      <c r="F31" s="37"/>
      <c r="G31" s="188"/>
      <c r="H31" s="192"/>
      <c r="I31" s="45"/>
      <c r="J31" s="46"/>
      <c r="K31" s="46"/>
      <c r="L31" s="184"/>
      <c r="M31" s="184"/>
      <c r="N31" s="47"/>
      <c r="O31" s="48"/>
      <c r="P31" s="49"/>
      <c r="Q31" s="48"/>
      <c r="R31" s="123"/>
      <c r="S31" s="123"/>
      <c r="T31" s="50"/>
      <c r="U31" s="50"/>
      <c r="V31" s="50"/>
      <c r="W31" s="50"/>
      <c r="X31" s="55"/>
      <c r="Y31" s="52"/>
      <c r="Z31" s="50"/>
      <c r="AA31" s="50"/>
      <c r="AB31" s="50"/>
      <c r="AC31" s="50"/>
      <c r="AD31" s="50"/>
      <c r="AE31" s="211"/>
      <c r="AF31" s="50"/>
      <c r="AG31" s="50"/>
      <c r="AH31" s="50"/>
      <c r="AI31" s="54"/>
      <c r="AJ31" s="50"/>
      <c r="AK31" s="50"/>
      <c r="AL31" s="50"/>
      <c r="AM31" s="50"/>
      <c r="AN31" s="157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189"/>
      <c r="BC31" s="116"/>
      <c r="BD31" s="116"/>
      <c r="BE31" s="189"/>
      <c r="BF31" s="116"/>
    </row>
    <row r="32" spans="1:58" ht="12.95" customHeight="1" x14ac:dyDescent="0.2">
      <c r="A32" s="117">
        <v>45968</v>
      </c>
      <c r="B32" s="118" t="s">
        <v>197</v>
      </c>
      <c r="C32" s="119">
        <f>(M32*E32*O32*Q32)/100000000</f>
        <v>49.997097599999996</v>
      </c>
      <c r="D32" s="118" t="s">
        <v>198</v>
      </c>
      <c r="E32" s="37">
        <v>15.5</v>
      </c>
      <c r="F32" s="37">
        <v>1</v>
      </c>
      <c r="G32" s="190">
        <v>830</v>
      </c>
      <c r="H32" s="192">
        <v>0.14000000000000001</v>
      </c>
      <c r="I32" s="45">
        <v>0.88</v>
      </c>
      <c r="J32" s="46">
        <f>E32*G32*(1-H32)*1440/1000000*3.4</f>
        <v>54.168854400000001</v>
      </c>
      <c r="K32" s="46">
        <f>(IF(G32&lt;L32,L32,G32)*(1-IF(H32&lt;N32,H32,N32))*E32*O32*Q32)/100000000</f>
        <v>51.871988760000001</v>
      </c>
      <c r="L32" s="184">
        <v>800</v>
      </c>
      <c r="M32" s="184">
        <v>688</v>
      </c>
      <c r="N32" s="47">
        <f>1-(M32/L32)</f>
        <v>0.14000000000000001</v>
      </c>
      <c r="O32" s="48">
        <f>+'[2]Trim Rwd'!H18</f>
        <v>325.58333333333331</v>
      </c>
      <c r="P32" s="49">
        <f>O32*(Q32-R32-S32)</f>
        <v>455491.08333333331</v>
      </c>
      <c r="Q32" s="56">
        <v>1440</v>
      </c>
      <c r="R32" s="123">
        <v>0</v>
      </c>
      <c r="S32" s="123">
        <v>41</v>
      </c>
      <c r="T32" s="50">
        <f>E32*M32*O32*Q32/100000000</f>
        <v>49.997097599999996</v>
      </c>
      <c r="U32" s="50">
        <f>E32*M32*O32*(Q32-R32-S32)/100000000</f>
        <v>48.573569126666662</v>
      </c>
      <c r="V32" s="50">
        <f>E32*G32*(1-N32)*O32/100*(R32+S32)/1000000</f>
        <v>1.476910791083333</v>
      </c>
      <c r="W32" s="50">
        <f>+'[2]7'!K34/1000</f>
        <v>47.042000000000002</v>
      </c>
      <c r="X32" s="55">
        <f>SUM(W32:W35)/SUM(K32:K35)</f>
        <v>0.90688637788022219</v>
      </c>
      <c r="Y32" s="52">
        <v>0</v>
      </c>
      <c r="Z32" s="50">
        <f>+'[2]7'!D34/1000</f>
        <v>0.58299999999999996</v>
      </c>
      <c r="AA32" s="50">
        <f>SUM(U32:U35)-SUM(W32:W35)-SUM(Z32:Z35)-SUM(Y32:Y35)</f>
        <v>0.94856912666666049</v>
      </c>
      <c r="AB32" s="50">
        <f>(SUM(K32:K35)-SUM(W32:W35)-SUM(Y32:Y35)-SUM(Z32:Z35)-SUM(AC32:AC35)-SUM(V32:V35))-AA32</f>
        <v>-5.3382317749998798E-2</v>
      </c>
      <c r="AC32" s="50">
        <f>K32-T32</f>
        <v>1.8748911600000042</v>
      </c>
      <c r="AD32" s="50">
        <f>+AM32+BA32</f>
        <v>2</v>
      </c>
      <c r="AE32" s="187" t="s">
        <v>116</v>
      </c>
      <c r="AF32" s="180">
        <v>2</v>
      </c>
      <c r="AG32" s="180"/>
      <c r="AH32" s="180"/>
      <c r="AJ32" s="50"/>
      <c r="AK32" s="50"/>
      <c r="AL32" s="50"/>
      <c r="AM32" s="50">
        <f>SUM(AF32:AL32)+AT32+AV32+AX32</f>
        <v>2</v>
      </c>
      <c r="AN32" s="50"/>
      <c r="AO32" s="50"/>
      <c r="AP32" s="50"/>
      <c r="AQ32" s="50"/>
      <c r="AR32" s="50">
        <f>SUM(AN32:AQ32)</f>
        <v>0</v>
      </c>
      <c r="AS32" s="50"/>
      <c r="AT32" s="50"/>
      <c r="AU32" s="50"/>
      <c r="AV32" s="50"/>
      <c r="AW32" s="50"/>
      <c r="AX32" s="50"/>
      <c r="AY32" s="50"/>
      <c r="AZ32" s="50"/>
      <c r="BA32" s="50">
        <f>+AR32+AS32+AU32+AW32+AY32+AZ32</f>
        <v>0</v>
      </c>
      <c r="BB32" s="180">
        <v>1</v>
      </c>
      <c r="BC32" s="146"/>
      <c r="BD32" s="146"/>
      <c r="BE32" s="180"/>
      <c r="BF32" s="146"/>
    </row>
    <row r="33" spans="1:58" ht="12.95" customHeight="1" x14ac:dyDescent="0.2">
      <c r="A33" s="117"/>
      <c r="B33" s="118"/>
      <c r="C33" s="119"/>
      <c r="D33" s="118"/>
      <c r="E33" s="37"/>
      <c r="F33" s="37"/>
      <c r="G33" s="190"/>
      <c r="H33" s="192"/>
      <c r="I33" s="45"/>
      <c r="J33" s="46"/>
      <c r="K33" s="46"/>
      <c r="L33" s="184"/>
      <c r="M33" s="184"/>
      <c r="N33" s="47"/>
      <c r="O33" s="48"/>
      <c r="P33" s="49"/>
      <c r="Q33" s="56"/>
      <c r="R33" s="123"/>
      <c r="S33" s="123"/>
      <c r="T33" s="50"/>
      <c r="U33" s="50"/>
      <c r="V33" s="50"/>
      <c r="W33" s="50"/>
      <c r="X33" s="55"/>
      <c r="Y33" s="52"/>
      <c r="Z33" s="50"/>
      <c r="AA33" s="50"/>
      <c r="AB33" s="50"/>
      <c r="AC33" s="50"/>
      <c r="AD33" s="50">
        <f t="shared" ref="AD33:AD34" si="22">+AM33+BA33</f>
        <v>20</v>
      </c>
      <c r="AE33" s="191" t="s">
        <v>132</v>
      </c>
      <c r="AF33" s="50"/>
      <c r="AG33" s="50">
        <v>20</v>
      </c>
      <c r="AH33" s="50"/>
      <c r="AI33" s="54"/>
      <c r="AJ33" s="50"/>
      <c r="AK33" s="50"/>
      <c r="AL33" s="50"/>
      <c r="AM33" s="50">
        <f>SUM(AF33:AL33)+AT33+AV33+AX33</f>
        <v>20</v>
      </c>
      <c r="AN33" s="50"/>
      <c r="AO33" s="50"/>
      <c r="AP33" s="50"/>
      <c r="AQ33" s="50"/>
      <c r="AR33" s="50">
        <f t="shared" ref="AR33:AR34" si="23">SUM(AN33:AQ33)</f>
        <v>0</v>
      </c>
      <c r="AS33" s="50"/>
      <c r="AT33" s="50"/>
      <c r="AU33" s="50"/>
      <c r="AV33" s="50"/>
      <c r="AW33" s="50"/>
      <c r="AX33" s="50"/>
      <c r="AY33" s="50"/>
      <c r="AZ33" s="50"/>
      <c r="BA33" s="50">
        <f>+AR33+AS33+AU33+AW33+AY33+AZ33</f>
        <v>0</v>
      </c>
      <c r="BB33" s="180"/>
      <c r="BC33" s="146">
        <v>7</v>
      </c>
      <c r="BD33" s="146"/>
      <c r="BE33" s="180"/>
      <c r="BF33" s="146"/>
    </row>
    <row r="34" spans="1:58" ht="12.95" customHeight="1" x14ac:dyDescent="0.2">
      <c r="A34" s="117"/>
      <c r="B34" s="118"/>
      <c r="C34" s="119"/>
      <c r="D34" s="118"/>
      <c r="E34" s="37"/>
      <c r="F34" s="37"/>
      <c r="G34" s="188"/>
      <c r="H34" s="192"/>
      <c r="I34" s="45"/>
      <c r="J34" s="46"/>
      <c r="K34" s="46"/>
      <c r="L34" s="184"/>
      <c r="M34" s="184"/>
      <c r="N34" s="47"/>
      <c r="O34" s="48"/>
      <c r="P34" s="49"/>
      <c r="Q34" s="48"/>
      <c r="R34" s="123"/>
      <c r="S34" s="123"/>
      <c r="T34" s="50"/>
      <c r="U34" s="50"/>
      <c r="V34" s="50"/>
      <c r="W34" s="50"/>
      <c r="X34" s="51"/>
      <c r="Y34" s="52"/>
      <c r="Z34" s="50"/>
      <c r="AA34" s="53"/>
      <c r="AB34" s="53"/>
      <c r="AC34" s="50"/>
      <c r="AD34" s="50">
        <f t="shared" si="22"/>
        <v>19</v>
      </c>
      <c r="AE34" s="211" t="s">
        <v>162</v>
      </c>
      <c r="AF34" s="50"/>
      <c r="AG34" s="50"/>
      <c r="AH34" s="50">
        <v>19</v>
      </c>
      <c r="AI34" s="54"/>
      <c r="AJ34" s="50"/>
      <c r="AK34" s="50"/>
      <c r="AL34" s="50"/>
      <c r="AM34" s="50">
        <f>SUM(AF34:AL34)+AT34+AV34+AX34</f>
        <v>19</v>
      </c>
      <c r="AN34" s="50"/>
      <c r="AO34" s="50"/>
      <c r="AP34" s="50"/>
      <c r="AQ34" s="50"/>
      <c r="AR34" s="50">
        <f t="shared" si="23"/>
        <v>0</v>
      </c>
      <c r="AS34" s="50"/>
      <c r="AT34" s="50"/>
      <c r="AU34" s="50"/>
      <c r="AV34" s="50"/>
      <c r="AW34" s="50"/>
      <c r="AX34" s="50"/>
      <c r="AY34" s="50"/>
      <c r="AZ34" s="50"/>
      <c r="BA34" s="50">
        <f>+AR34+AS34+AU34+AW34+AY34+AZ34</f>
        <v>0</v>
      </c>
      <c r="BB34" s="180"/>
      <c r="BC34" s="116"/>
      <c r="BD34" s="116"/>
      <c r="BE34" s="180"/>
      <c r="BF34" s="116"/>
    </row>
    <row r="35" spans="1:58" ht="12.95" customHeight="1" x14ac:dyDescent="0.2">
      <c r="A35" s="117"/>
      <c r="B35" s="118"/>
      <c r="C35" s="119"/>
      <c r="D35" s="118"/>
      <c r="E35" s="37"/>
      <c r="F35" s="37"/>
      <c r="G35" s="188"/>
      <c r="H35" s="192"/>
      <c r="I35" s="45"/>
      <c r="J35" s="46"/>
      <c r="K35" s="46"/>
      <c r="L35" s="184"/>
      <c r="M35" s="184"/>
      <c r="N35" s="47"/>
      <c r="O35" s="48"/>
      <c r="P35" s="49"/>
      <c r="Q35" s="48"/>
      <c r="R35" s="123"/>
      <c r="S35" s="123"/>
      <c r="T35" s="50"/>
      <c r="U35" s="50"/>
      <c r="V35" s="50"/>
      <c r="W35" s="50"/>
      <c r="X35" s="55"/>
      <c r="Y35" s="52"/>
      <c r="Z35" s="50"/>
      <c r="AA35" s="50"/>
      <c r="AB35" s="50"/>
      <c r="AC35" s="50"/>
      <c r="AD35" s="50"/>
      <c r="AE35" s="211"/>
      <c r="AF35" s="50"/>
      <c r="AG35" s="50"/>
      <c r="AH35" s="50"/>
      <c r="AI35" s="54"/>
      <c r="AJ35" s="50"/>
      <c r="AK35" s="50"/>
      <c r="AL35" s="50"/>
      <c r="AM35" s="50"/>
      <c r="AN35" s="157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189"/>
      <c r="BC35" s="116"/>
      <c r="BD35" s="116"/>
      <c r="BE35" s="189"/>
      <c r="BF35" s="116"/>
    </row>
    <row r="36" spans="1:58" ht="12.95" customHeight="1" x14ac:dyDescent="0.2">
      <c r="A36" s="117">
        <v>45969</v>
      </c>
      <c r="B36" s="118" t="s">
        <v>197</v>
      </c>
      <c r="C36" s="119">
        <f>(M36*E36*O36*Q36)/100000000</f>
        <v>21.132895165217391</v>
      </c>
      <c r="D36" s="118" t="s">
        <v>198</v>
      </c>
      <c r="E36" s="37">
        <v>15.5</v>
      </c>
      <c r="F36" s="37">
        <v>1</v>
      </c>
      <c r="G36" s="190">
        <v>830</v>
      </c>
      <c r="H36" s="192">
        <v>0.14000000000000001</v>
      </c>
      <c r="I36" s="45">
        <v>0.88</v>
      </c>
      <c r="J36" s="46">
        <f>E36*G36*(1-H36)*1440/1000000*3.4</f>
        <v>54.168854400000001</v>
      </c>
      <c r="K36" s="46">
        <f>(IF(G36&lt;L36,L36,G36)*(1-IF(H36&lt;N36,H36,N36))*E36*O36*Q36)/100000000</f>
        <v>21.925378733913039</v>
      </c>
      <c r="L36" s="184">
        <v>800</v>
      </c>
      <c r="M36" s="184">
        <v>688</v>
      </c>
      <c r="N36" s="47">
        <f>1-(M36/L36)</f>
        <v>0.14000000000000001</v>
      </c>
      <c r="O36" s="48">
        <f>+'[2]Trim Rwd'!H21</f>
        <v>324.86956521739131</v>
      </c>
      <c r="P36" s="49">
        <f>O36*(Q36-R36-S36)</f>
        <v>189723.82608695651</v>
      </c>
      <c r="Q36" s="56">
        <v>610</v>
      </c>
      <c r="R36" s="123">
        <v>0</v>
      </c>
      <c r="S36" s="123">
        <f>3+23</f>
        <v>26</v>
      </c>
      <c r="T36" s="50">
        <f>E36*M36*O36*Q36/100000000</f>
        <v>21.132895165217391</v>
      </c>
      <c r="U36" s="50">
        <f>E36*M36*O36*(Q36-R36-S36)/100000000</f>
        <v>20.232148813913042</v>
      </c>
      <c r="V36" s="50">
        <f>E36*G36*(1-N36)*O36/100*(R36+S36)/1000000</f>
        <v>0.93452433947826086</v>
      </c>
      <c r="W36" s="50">
        <f>+'[2]8'!K8/1000</f>
        <v>22.850999999999999</v>
      </c>
      <c r="X36" s="55">
        <f>SUM(W36:W39)/SUM(K36:K39)</f>
        <v>0.82066147908044917</v>
      </c>
      <c r="Y36" s="52">
        <v>0</v>
      </c>
      <c r="Z36" s="50">
        <f>+'[2]8'!D16/1000</f>
        <v>0.7</v>
      </c>
      <c r="AA36" s="50">
        <f>SUM(U36:U39)-SUM(W36:W39)-SUM(Z36:Z39)-SUM(Y36:Y39)</f>
        <v>3.6495086005797157</v>
      </c>
      <c r="AB36" s="50">
        <f>(SUM(K36:K39)-SUM(W36:W39)-SUM(Y36:Y39)-SUM(Z36:Z39)-SUM(AC36:AC39)-SUM(V36:V39))-AA36</f>
        <v>-6.3262916173918438E-2</v>
      </c>
      <c r="AC36" s="50">
        <f>K36-T36</f>
        <v>0.79248356869564773</v>
      </c>
      <c r="AD36" s="50">
        <f>+AM36+BA36</f>
        <v>3</v>
      </c>
      <c r="AE36" s="187" t="s">
        <v>116</v>
      </c>
      <c r="AF36" s="180">
        <v>3</v>
      </c>
      <c r="AG36" s="180"/>
      <c r="AH36" s="180"/>
      <c r="AJ36" s="50"/>
      <c r="AK36" s="50"/>
      <c r="AL36" s="50"/>
      <c r="AM36" s="50">
        <f>SUM(AF36:AL36)+AT36+AV36+AX36</f>
        <v>3</v>
      </c>
      <c r="AN36" s="50"/>
      <c r="AO36" s="50"/>
      <c r="AP36" s="50"/>
      <c r="AQ36" s="50"/>
      <c r="AR36" s="50">
        <f>SUM(AN36:AQ36)</f>
        <v>0</v>
      </c>
      <c r="AS36" s="50"/>
      <c r="AT36" s="50"/>
      <c r="AU36" s="50"/>
      <c r="AV36" s="50"/>
      <c r="AW36" s="50"/>
      <c r="AX36" s="50"/>
      <c r="AY36" s="50"/>
      <c r="AZ36" s="50"/>
      <c r="BA36" s="50">
        <f>+AR36+AS36+AU36+AW36+AY36+AZ36</f>
        <v>0</v>
      </c>
      <c r="BB36" s="180">
        <v>1</v>
      </c>
      <c r="BC36" s="146"/>
      <c r="BD36" s="146"/>
      <c r="BE36" s="180"/>
      <c r="BF36" s="146"/>
    </row>
    <row r="37" spans="1:58" ht="12.95" customHeight="1" x14ac:dyDescent="0.2">
      <c r="A37" s="117"/>
      <c r="B37" s="118" t="s">
        <v>197</v>
      </c>
      <c r="C37" s="119">
        <f>(M37*E37*O37*Q37)/100000000</f>
        <v>29.663624533333333</v>
      </c>
      <c r="D37" s="118" t="s">
        <v>198</v>
      </c>
      <c r="E37" s="37">
        <v>16</v>
      </c>
      <c r="F37" s="37">
        <v>1</v>
      </c>
      <c r="G37" s="190">
        <v>830</v>
      </c>
      <c r="H37" s="192">
        <v>0.14000000000000001</v>
      </c>
      <c r="I37" s="45">
        <v>0.88</v>
      </c>
      <c r="J37" s="46">
        <f>E37*G37*(1-H37)*1440/1000000*3.4</f>
        <v>55.916236799999993</v>
      </c>
      <c r="K37" s="46">
        <f>(IF(G37&lt;L37,L37,G37)*(1-IF(H37&lt;N37,H37,N37))*E37*O37*Q37)/100000000</f>
        <v>30.776010453333331</v>
      </c>
      <c r="L37" s="184">
        <v>800</v>
      </c>
      <c r="M37" s="184">
        <v>688</v>
      </c>
      <c r="N37" s="47">
        <f>1-(M37/L37)</f>
        <v>0.14000000000000001</v>
      </c>
      <c r="O37" s="48">
        <f>+'[2]Trim Rwd'!H23</f>
        <v>324.66666666666669</v>
      </c>
      <c r="P37" s="49">
        <f>O37*(Q37-R37-S37)</f>
        <v>262330.66666666669</v>
      </c>
      <c r="Q37" s="56">
        <v>830</v>
      </c>
      <c r="R37" s="123">
        <v>0</v>
      </c>
      <c r="S37" s="123">
        <f>17+5</f>
        <v>22</v>
      </c>
      <c r="T37" s="50">
        <f>E37*M37*O37*Q37/100000000</f>
        <v>29.663624533333333</v>
      </c>
      <c r="U37" s="50">
        <f>E37*M37*O37*(Q37-R37-S37)/100000000</f>
        <v>28.87735978666667</v>
      </c>
      <c r="V37" s="50">
        <f>E37*G37*(1-N37)*O37/100*(R37+S37)/1000000</f>
        <v>0.8157496746666667</v>
      </c>
      <c r="W37" s="50">
        <f>+'[2]8'!K7/1000</f>
        <v>20.399000000000001</v>
      </c>
      <c r="X37" s="55"/>
      <c r="Y37" s="52"/>
      <c r="Z37" s="50">
        <f>+('[2]8'!D17+'[2]8'!D25)/1000</f>
        <v>1.51</v>
      </c>
      <c r="AA37" s="50"/>
      <c r="AB37" s="50"/>
      <c r="AC37" s="50">
        <f>K37-T37</f>
        <v>1.1123859199999977</v>
      </c>
      <c r="AD37" s="50">
        <f t="shared" ref="AD37:AD39" si="24">+AM37+BA37</f>
        <v>23</v>
      </c>
      <c r="AE37" s="191" t="s">
        <v>132</v>
      </c>
      <c r="AF37" s="50"/>
      <c r="AG37" s="50">
        <v>23</v>
      </c>
      <c r="AH37" s="50"/>
      <c r="AI37" s="54"/>
      <c r="AJ37" s="50"/>
      <c r="AK37" s="50"/>
      <c r="AL37" s="50"/>
      <c r="AM37" s="50">
        <f>SUM(AF37:AL37)+AT37+AV37+AX37</f>
        <v>23</v>
      </c>
      <c r="AN37" s="50"/>
      <c r="AO37" s="50"/>
      <c r="AP37" s="50"/>
      <c r="AQ37" s="50"/>
      <c r="AR37" s="50">
        <f t="shared" ref="AR37:AR39" si="25">SUM(AN37:AQ37)</f>
        <v>0</v>
      </c>
      <c r="AS37" s="50"/>
      <c r="AT37" s="50"/>
      <c r="AU37" s="50"/>
      <c r="AV37" s="50"/>
      <c r="AW37" s="50"/>
      <c r="AX37" s="50"/>
      <c r="AY37" s="50"/>
      <c r="AZ37" s="50"/>
      <c r="BA37" s="50">
        <f>+AR37+AS37+AU37+AW37+AY37+AZ37</f>
        <v>0</v>
      </c>
      <c r="BB37" s="180"/>
      <c r="BC37" s="146">
        <v>7</v>
      </c>
      <c r="BD37" s="146"/>
      <c r="BE37" s="180"/>
      <c r="BF37" s="146"/>
    </row>
    <row r="38" spans="1:58" ht="12.95" customHeight="1" x14ac:dyDescent="0.2">
      <c r="A38" s="117"/>
      <c r="B38" s="118"/>
      <c r="C38" s="119"/>
      <c r="D38" s="118"/>
      <c r="E38" s="37"/>
      <c r="F38" s="37"/>
      <c r="G38" s="188"/>
      <c r="H38" s="192"/>
      <c r="I38" s="45"/>
      <c r="J38" s="46"/>
      <c r="K38" s="46"/>
      <c r="L38" s="184"/>
      <c r="M38" s="184"/>
      <c r="N38" s="47"/>
      <c r="O38" s="48"/>
      <c r="P38" s="49"/>
      <c r="Q38" s="48"/>
      <c r="R38" s="123"/>
      <c r="S38" s="123"/>
      <c r="T38" s="50"/>
      <c r="U38" s="50"/>
      <c r="V38" s="50"/>
      <c r="W38" s="50"/>
      <c r="X38" s="51"/>
      <c r="Y38" s="52"/>
      <c r="Z38" s="50"/>
      <c r="AA38" s="53"/>
      <c r="AB38" s="53"/>
      <c r="AC38" s="50"/>
      <c r="AD38" s="50">
        <f t="shared" si="24"/>
        <v>17</v>
      </c>
      <c r="AE38" s="211" t="s">
        <v>162</v>
      </c>
      <c r="AF38" s="50"/>
      <c r="AG38" s="50"/>
      <c r="AH38" s="50">
        <v>17</v>
      </c>
      <c r="AI38" s="54"/>
      <c r="AJ38" s="50"/>
      <c r="AK38" s="50"/>
      <c r="AL38" s="50"/>
      <c r="AM38" s="50">
        <f>SUM(AF38:AL38)+AT38+AV38+AX38</f>
        <v>17</v>
      </c>
      <c r="AN38" s="50"/>
      <c r="AO38" s="50"/>
      <c r="AP38" s="50"/>
      <c r="AQ38" s="50"/>
      <c r="AR38" s="50">
        <f t="shared" si="25"/>
        <v>0</v>
      </c>
      <c r="AS38" s="50"/>
      <c r="AT38" s="50"/>
      <c r="AU38" s="50"/>
      <c r="AV38" s="50"/>
      <c r="AW38" s="50"/>
      <c r="AX38" s="50"/>
      <c r="AY38" s="50"/>
      <c r="AZ38" s="50"/>
      <c r="BA38" s="50">
        <f>+AR38+AS38+AU38+AW38+AY38+AZ38</f>
        <v>0</v>
      </c>
      <c r="BB38" s="180"/>
      <c r="BC38" s="116"/>
      <c r="BD38" s="116"/>
      <c r="BE38" s="180"/>
      <c r="BF38" s="116"/>
    </row>
    <row r="39" spans="1:58" ht="12.95" customHeight="1" x14ac:dyDescent="0.2">
      <c r="A39" s="117"/>
      <c r="B39" s="118"/>
      <c r="C39" s="119"/>
      <c r="D39" s="118"/>
      <c r="E39" s="37"/>
      <c r="F39" s="37"/>
      <c r="G39" s="188"/>
      <c r="H39" s="192"/>
      <c r="I39" s="45"/>
      <c r="J39" s="46"/>
      <c r="K39" s="46"/>
      <c r="L39" s="184"/>
      <c r="M39" s="184"/>
      <c r="N39" s="47"/>
      <c r="O39" s="48"/>
      <c r="P39" s="49"/>
      <c r="Q39" s="48"/>
      <c r="R39" s="123"/>
      <c r="S39" s="123"/>
      <c r="T39" s="50"/>
      <c r="U39" s="50"/>
      <c r="V39" s="50"/>
      <c r="W39" s="50"/>
      <c r="X39" s="55"/>
      <c r="Y39" s="52"/>
      <c r="Z39" s="50"/>
      <c r="AA39" s="50"/>
      <c r="AB39" s="50"/>
      <c r="AC39" s="50"/>
      <c r="AD39" s="50">
        <f t="shared" si="24"/>
        <v>5</v>
      </c>
      <c r="AE39" s="211" t="s">
        <v>124</v>
      </c>
      <c r="AF39" s="50"/>
      <c r="AG39" s="50"/>
      <c r="AH39" s="50"/>
      <c r="AI39" s="54">
        <v>5</v>
      </c>
      <c r="AJ39" s="50"/>
      <c r="AK39" s="50"/>
      <c r="AL39" s="50"/>
      <c r="AM39" s="50">
        <f>SUM(AF39:AL39)+AT39+AV39+AX39</f>
        <v>5</v>
      </c>
      <c r="AN39" s="50"/>
      <c r="AO39" s="50"/>
      <c r="AP39" s="50"/>
      <c r="AQ39" s="50"/>
      <c r="AR39" s="50">
        <f t="shared" si="25"/>
        <v>0</v>
      </c>
      <c r="AS39" s="50"/>
      <c r="AT39" s="50"/>
      <c r="AU39" s="50"/>
      <c r="AV39" s="50"/>
      <c r="AW39" s="50"/>
      <c r="AX39" s="50"/>
      <c r="AY39" s="50"/>
      <c r="AZ39" s="50"/>
      <c r="BA39" s="50">
        <f>+AR39+AS39+AU39+AW39+AY39+AZ39</f>
        <v>0</v>
      </c>
      <c r="BB39" s="180"/>
      <c r="BC39" s="116"/>
      <c r="BD39" s="116"/>
      <c r="BE39" s="180"/>
      <c r="BF39" s="116"/>
    </row>
    <row r="40" spans="1:58" ht="12.95" customHeight="1" x14ac:dyDescent="0.2">
      <c r="A40" s="117"/>
      <c r="B40" s="118"/>
      <c r="C40" s="119"/>
      <c r="D40" s="118"/>
      <c r="E40" s="37"/>
      <c r="F40" s="37"/>
      <c r="G40" s="188"/>
      <c r="H40" s="192"/>
      <c r="I40" s="45"/>
      <c r="J40" s="46"/>
      <c r="K40" s="46"/>
      <c r="L40" s="184"/>
      <c r="M40" s="184"/>
      <c r="N40" s="47"/>
      <c r="O40" s="48"/>
      <c r="P40" s="49"/>
      <c r="Q40" s="48"/>
      <c r="R40" s="123"/>
      <c r="S40" s="123"/>
      <c r="T40" s="50"/>
      <c r="U40" s="50"/>
      <c r="V40" s="50"/>
      <c r="W40" s="50"/>
      <c r="X40" s="55"/>
      <c r="Y40" s="52"/>
      <c r="Z40" s="50"/>
      <c r="AA40" s="50"/>
      <c r="AB40" s="50"/>
      <c r="AC40" s="50"/>
      <c r="AD40" s="50"/>
      <c r="AE40" s="211"/>
      <c r="AF40" s="50"/>
      <c r="AG40" s="50"/>
      <c r="AH40" s="50"/>
      <c r="AI40" s="54"/>
      <c r="AJ40" s="50"/>
      <c r="AK40" s="50"/>
      <c r="AL40" s="50"/>
      <c r="AM40" s="50"/>
      <c r="AN40" s="157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189"/>
      <c r="BC40" s="116"/>
      <c r="BD40" s="116"/>
      <c r="BE40" s="189"/>
      <c r="BF40" s="116"/>
    </row>
    <row r="41" spans="1:58" ht="12.95" customHeight="1" x14ac:dyDescent="0.2">
      <c r="A41" s="117">
        <v>45970</v>
      </c>
      <c r="B41" s="118" t="s">
        <v>197</v>
      </c>
      <c r="C41" s="119">
        <f>(M41*E41*O41*Q41)/100000000</f>
        <v>19.92276</v>
      </c>
      <c r="D41" s="118" t="s">
        <v>198</v>
      </c>
      <c r="E41" s="37">
        <v>16.5</v>
      </c>
      <c r="F41" s="37">
        <v>1</v>
      </c>
      <c r="G41" s="190">
        <v>830</v>
      </c>
      <c r="H41" s="192">
        <v>0.14000000000000001</v>
      </c>
      <c r="I41" s="45">
        <v>0.88</v>
      </c>
      <c r="J41" s="46">
        <f>E41*G41*(1-H41)*1440/1000000*3.4</f>
        <v>57.663619199999999</v>
      </c>
      <c r="K41" s="46">
        <f>(IF(G41&lt;L41,L41,G41)*(1-IF(H41&lt;N41,H41,N41))*E41*O41*Q41)/100000000</f>
        <v>20.669863499999998</v>
      </c>
      <c r="L41" s="184">
        <v>800</v>
      </c>
      <c r="M41" s="184">
        <v>688</v>
      </c>
      <c r="N41" s="47">
        <f>1-(M41/L41)</f>
        <v>0.14000000000000001</v>
      </c>
      <c r="O41" s="48">
        <f>+'[2]Trim Rwd'!H26</f>
        <v>325</v>
      </c>
      <c r="P41" s="49">
        <f>O41*(Q41-R41-S41)</f>
        <v>162500</v>
      </c>
      <c r="Q41" s="56">
        <v>540</v>
      </c>
      <c r="R41" s="123">
        <v>0</v>
      </c>
      <c r="S41" s="123">
        <v>40</v>
      </c>
      <c r="T41" s="50">
        <f>E41*M41*O41*Q41/100000000</f>
        <v>19.92276</v>
      </c>
      <c r="U41" s="50">
        <f>E41*M41*O41*(Q41-R41-S41)/100000000</f>
        <v>18.446999999999999</v>
      </c>
      <c r="V41" s="50">
        <f>E41*G41*(1-N41)*O41/100*(R41+S41)/1000000</f>
        <v>1.5311009999999998</v>
      </c>
      <c r="W41" s="50">
        <f>+'[2]9'!K9/1000</f>
        <v>17.846</v>
      </c>
      <c r="X41" s="55">
        <f>SUM(W41:W44)/SUM(K41:K44)</f>
        <v>0.77458077103777667</v>
      </c>
      <c r="Y41" s="52">
        <v>0</v>
      </c>
      <c r="Z41" s="50">
        <f>+'[2]9'!D34/1000</f>
        <v>1.63</v>
      </c>
      <c r="AA41" s="50">
        <f>SUM(U41:U44)-SUM(W41:W44)-SUM(Z41:Z44)-SUM(Y41:Y44)</f>
        <v>5.5563201199999979</v>
      </c>
      <c r="AB41" s="50">
        <f>(SUM(K41:K44)-SUM(W41:W44)-SUM(Y41:Y44)-SUM(Z41:Z44)-SUM(AC41:AC44)-SUM(V41:V44))-AA41</f>
        <v>-0.12945111299999645</v>
      </c>
      <c r="AC41" s="50">
        <f>K41-T41</f>
        <v>0.74710349999999792</v>
      </c>
      <c r="AD41" s="50">
        <f>+AM41+BA41</f>
        <v>20</v>
      </c>
      <c r="AE41" s="187" t="s">
        <v>116</v>
      </c>
      <c r="AF41" s="180">
        <v>20</v>
      </c>
      <c r="AG41" s="180"/>
      <c r="AH41" s="180"/>
      <c r="AJ41" s="50"/>
      <c r="AK41" s="50"/>
      <c r="AL41" s="50"/>
      <c r="AM41" s="50">
        <f>SUM(AF41:AL41)+AT41+AV41+AX41</f>
        <v>20</v>
      </c>
      <c r="AN41" s="50"/>
      <c r="AO41" s="50"/>
      <c r="AP41" s="50"/>
      <c r="AQ41" s="50"/>
      <c r="AR41" s="50">
        <f>SUM(AN41:AQ41)</f>
        <v>0</v>
      </c>
      <c r="AS41" s="50"/>
      <c r="AT41" s="50"/>
      <c r="AU41" s="50"/>
      <c r="AV41" s="50"/>
      <c r="AW41" s="50"/>
      <c r="AX41" s="50"/>
      <c r="AY41" s="50"/>
      <c r="AZ41" s="50"/>
      <c r="BA41" s="50">
        <f>+AR41+AS41+AU41+AW41+AY41+AZ41</f>
        <v>0</v>
      </c>
      <c r="BB41" s="180">
        <v>1</v>
      </c>
      <c r="BC41" s="146"/>
      <c r="BD41" s="146"/>
      <c r="BE41" s="180"/>
      <c r="BF41" s="146"/>
    </row>
    <row r="42" spans="1:58" ht="12.95" customHeight="1" x14ac:dyDescent="0.2">
      <c r="A42" s="117"/>
      <c r="B42" s="118" t="s">
        <v>197</v>
      </c>
      <c r="C42" s="119">
        <f t="shared" ref="C42:C43" si="26">(M42*E42*O42*Q42)/100000000</f>
        <v>24.442300800000002</v>
      </c>
      <c r="D42" s="118" t="s">
        <v>198</v>
      </c>
      <c r="E42" s="37">
        <v>17</v>
      </c>
      <c r="F42" s="37">
        <v>1</v>
      </c>
      <c r="G42" s="190">
        <v>830</v>
      </c>
      <c r="H42" s="192">
        <v>0.14000000000000001</v>
      </c>
      <c r="I42" s="45">
        <v>0.88</v>
      </c>
      <c r="J42" s="46">
        <f t="shared" ref="J42:J43" si="27">E42*G42*(1-H42)*1440/1000000*3.4</f>
        <v>59.411001599999999</v>
      </c>
      <c r="K42" s="46">
        <f t="shared" ref="K42:K43" si="28">(IF(G42&lt;L42,L42,G42)*(1-IF(H42&lt;N42,H42,N42))*E42*O42*Q42)/100000000</f>
        <v>25.358887079999995</v>
      </c>
      <c r="L42" s="184">
        <v>800</v>
      </c>
      <c r="M42" s="184">
        <v>688</v>
      </c>
      <c r="N42" s="47">
        <f t="shared" ref="N42:N43" si="29">1-(M42/L42)</f>
        <v>0.14000000000000001</v>
      </c>
      <c r="O42" s="48">
        <f>+'[2]Trim Rwd'!H28</f>
        <v>324</v>
      </c>
      <c r="P42" s="49">
        <f t="shared" ref="P42:P43" si="30">O42*(Q42-R42-S42)</f>
        <v>195372</v>
      </c>
      <c r="Q42" s="56">
        <v>645</v>
      </c>
      <c r="R42" s="123">
        <v>0</v>
      </c>
      <c r="S42" s="123">
        <v>42</v>
      </c>
      <c r="T42" s="50">
        <f t="shared" ref="T42:T43" si="31">E42*M42*O42*Q42/100000000</f>
        <v>24.442300800000002</v>
      </c>
      <c r="U42" s="50">
        <f t="shared" ref="U42:U43" si="32">E42*M42*O42*(Q42-R42-S42)/100000000</f>
        <v>22.850709120000001</v>
      </c>
      <c r="V42" s="50">
        <f t="shared" ref="V42:V43" si="33">E42*G42*(1-N42)*O42/100*(R42+S42)/1000000</f>
        <v>1.651276368</v>
      </c>
      <c r="W42" s="50">
        <f>+'[2]9'!K10/1000</f>
        <v>21.681000000000001</v>
      </c>
      <c r="X42" s="55"/>
      <c r="Y42" s="52"/>
      <c r="Z42" s="50"/>
      <c r="AA42" s="50"/>
      <c r="AB42" s="50"/>
      <c r="AC42" s="50">
        <f>K42-T42</f>
        <v>0.91658627999999354</v>
      </c>
      <c r="AD42" s="50">
        <f t="shared" ref="AD42:AD44" si="34">+AM42+BA42</f>
        <v>30</v>
      </c>
      <c r="AE42" s="191" t="s">
        <v>117</v>
      </c>
      <c r="AF42" s="50"/>
      <c r="AG42" s="50">
        <v>30</v>
      </c>
      <c r="AH42" s="50"/>
      <c r="AI42" s="54"/>
      <c r="AJ42" s="50"/>
      <c r="AK42" s="50"/>
      <c r="AL42" s="50"/>
      <c r="AM42" s="50">
        <f>SUM(AF42:AL42)+AT42+AV42+AX42</f>
        <v>30</v>
      </c>
      <c r="AN42" s="50"/>
      <c r="AO42" s="50"/>
      <c r="AP42" s="50"/>
      <c r="AQ42" s="50"/>
      <c r="AR42" s="50">
        <f t="shared" ref="AR42:AR44" si="35">SUM(AN42:AQ42)</f>
        <v>0</v>
      </c>
      <c r="AS42" s="50"/>
      <c r="AT42" s="50"/>
      <c r="AU42" s="50"/>
      <c r="AV42" s="50"/>
      <c r="AW42" s="50"/>
      <c r="AX42" s="50"/>
      <c r="AY42" s="50"/>
      <c r="AZ42" s="50"/>
      <c r="BA42" s="50">
        <f>+AR42+AS42+AU42+AW42+AY42+AZ42</f>
        <v>0</v>
      </c>
      <c r="BB42" s="180"/>
      <c r="BC42" s="146">
        <v>9</v>
      </c>
      <c r="BD42" s="146"/>
      <c r="BE42" s="180"/>
      <c r="BF42" s="146"/>
    </row>
    <row r="43" spans="1:58" ht="12.95" customHeight="1" x14ac:dyDescent="0.2">
      <c r="A43" s="117"/>
      <c r="B43" s="118" t="s">
        <v>197</v>
      </c>
      <c r="C43" s="119">
        <f t="shared" si="26"/>
        <v>9.8092889999999997</v>
      </c>
      <c r="D43" s="118" t="s">
        <v>198</v>
      </c>
      <c r="E43" s="37">
        <v>17.5</v>
      </c>
      <c r="F43" s="37">
        <v>1</v>
      </c>
      <c r="G43" s="190">
        <v>830</v>
      </c>
      <c r="H43" s="192">
        <v>0.14000000000000001</v>
      </c>
      <c r="I43" s="45">
        <v>0.88</v>
      </c>
      <c r="J43" s="46">
        <f t="shared" si="27"/>
        <v>61.158384000000005</v>
      </c>
      <c r="K43" s="46">
        <f t="shared" si="28"/>
        <v>10.1771373375</v>
      </c>
      <c r="L43" s="184">
        <v>800</v>
      </c>
      <c r="M43" s="184">
        <v>688</v>
      </c>
      <c r="N43" s="47">
        <f t="shared" si="29"/>
        <v>0.14000000000000001</v>
      </c>
      <c r="O43" s="48">
        <f>+'[2]Trim Rwd'!H29</f>
        <v>319.5</v>
      </c>
      <c r="P43" s="49">
        <f t="shared" si="30"/>
        <v>78277.5</v>
      </c>
      <c r="Q43" s="56">
        <v>255</v>
      </c>
      <c r="R43" s="123">
        <v>0</v>
      </c>
      <c r="S43" s="123">
        <v>10</v>
      </c>
      <c r="T43" s="50">
        <f t="shared" si="31"/>
        <v>9.8092889999999997</v>
      </c>
      <c r="U43" s="50">
        <f t="shared" si="32"/>
        <v>9.4246110000000005</v>
      </c>
      <c r="V43" s="50">
        <f t="shared" si="33"/>
        <v>0.39910342500000001</v>
      </c>
      <c r="W43" s="50">
        <f>+'[2]9'!K11/1000</f>
        <v>4.0090000000000003</v>
      </c>
      <c r="X43" s="51"/>
      <c r="Y43" s="52"/>
      <c r="Z43" s="50"/>
      <c r="AA43" s="53"/>
      <c r="AB43" s="53"/>
      <c r="AC43" s="50">
        <f>K43-T43</f>
        <v>0.3678483374999999</v>
      </c>
      <c r="AD43" s="50">
        <f t="shared" si="34"/>
        <v>32</v>
      </c>
      <c r="AE43" s="211" t="s">
        <v>162</v>
      </c>
      <c r="AF43" s="50"/>
      <c r="AG43" s="50"/>
      <c r="AH43" s="50">
        <v>32</v>
      </c>
      <c r="AI43" s="54"/>
      <c r="AJ43" s="50"/>
      <c r="AK43" s="50"/>
      <c r="AL43" s="50"/>
      <c r="AM43" s="50">
        <f>SUM(AF43:AL43)+AT43+AV43+AX43</f>
        <v>32</v>
      </c>
      <c r="AN43" s="50"/>
      <c r="AO43" s="50"/>
      <c r="AP43" s="50"/>
      <c r="AQ43" s="50"/>
      <c r="AR43" s="50">
        <f t="shared" si="35"/>
        <v>0</v>
      </c>
      <c r="AS43" s="50"/>
      <c r="AT43" s="50"/>
      <c r="AU43" s="50"/>
      <c r="AV43" s="50"/>
      <c r="AW43" s="50"/>
      <c r="AX43" s="50"/>
      <c r="AY43" s="50"/>
      <c r="AZ43" s="50"/>
      <c r="BA43" s="50">
        <f>+AR43+AS43+AU43+AW43+AY43+AZ43</f>
        <v>0</v>
      </c>
      <c r="BB43" s="180"/>
      <c r="BC43" s="116"/>
      <c r="BD43" s="116"/>
      <c r="BE43" s="180"/>
      <c r="BF43" s="116"/>
    </row>
    <row r="44" spans="1:58" ht="12.95" customHeight="1" x14ac:dyDescent="0.2">
      <c r="A44" s="117"/>
      <c r="B44" s="118"/>
      <c r="C44" s="119"/>
      <c r="D44" s="118"/>
      <c r="E44" s="37"/>
      <c r="F44" s="37"/>
      <c r="G44" s="188"/>
      <c r="H44" s="192"/>
      <c r="I44" s="45"/>
      <c r="J44" s="46"/>
      <c r="K44" s="46"/>
      <c r="L44" s="184"/>
      <c r="M44" s="184"/>
      <c r="N44" s="47"/>
      <c r="O44" s="48"/>
      <c r="P44" s="49"/>
      <c r="Q44" s="48"/>
      <c r="R44" s="123"/>
      <c r="S44" s="123"/>
      <c r="T44" s="50"/>
      <c r="U44" s="50"/>
      <c r="V44" s="50"/>
      <c r="W44" s="50"/>
      <c r="X44" s="55"/>
      <c r="Y44" s="52"/>
      <c r="Z44" s="50"/>
      <c r="AA44" s="50"/>
      <c r="AB44" s="50"/>
      <c r="AC44" s="50"/>
      <c r="AD44" s="50">
        <f t="shared" si="34"/>
        <v>10</v>
      </c>
      <c r="AE44" s="211" t="s">
        <v>124</v>
      </c>
      <c r="AF44" s="50"/>
      <c r="AG44" s="50"/>
      <c r="AH44" s="50"/>
      <c r="AI44" s="54">
        <v>10</v>
      </c>
      <c r="AJ44" s="50"/>
      <c r="AK44" s="50"/>
      <c r="AL44" s="50"/>
      <c r="AM44" s="50">
        <f>SUM(AF44:AL44)+AT44+AV44+AX44</f>
        <v>10</v>
      </c>
      <c r="AN44" s="50"/>
      <c r="AO44" s="50"/>
      <c r="AP44" s="50"/>
      <c r="AQ44" s="50"/>
      <c r="AR44" s="50">
        <f t="shared" si="35"/>
        <v>0</v>
      </c>
      <c r="AS44" s="50"/>
      <c r="AT44" s="50"/>
      <c r="AU44" s="50"/>
      <c r="AV44" s="50"/>
      <c r="AW44" s="50"/>
      <c r="AX44" s="50"/>
      <c r="AY44" s="50"/>
      <c r="AZ44" s="50"/>
      <c r="BA44" s="50">
        <f>+AR44+AS44+AU44+AW44+AY44+AZ44</f>
        <v>0</v>
      </c>
      <c r="BB44" s="180"/>
      <c r="BC44" s="116"/>
      <c r="BD44" s="116"/>
      <c r="BE44" s="180"/>
      <c r="BF44" s="116"/>
    </row>
    <row r="45" spans="1:58" ht="12.95" customHeight="1" x14ac:dyDescent="0.2">
      <c r="A45" s="117"/>
      <c r="B45" s="118"/>
      <c r="C45" s="119"/>
      <c r="D45" s="118"/>
      <c r="E45" s="37"/>
      <c r="F45" s="37"/>
      <c r="G45" s="188"/>
      <c r="H45" s="192"/>
      <c r="I45" s="45"/>
      <c r="J45" s="46"/>
      <c r="K45" s="46"/>
      <c r="L45" s="184"/>
      <c r="M45" s="184"/>
      <c r="N45" s="47"/>
      <c r="O45" s="48"/>
      <c r="P45" s="49"/>
      <c r="Q45" s="48"/>
      <c r="R45" s="123"/>
      <c r="S45" s="123"/>
      <c r="T45" s="50"/>
      <c r="U45" s="50"/>
      <c r="V45" s="50"/>
      <c r="W45" s="50"/>
      <c r="X45" s="51"/>
      <c r="Y45" s="52"/>
      <c r="Z45" s="50"/>
      <c r="AA45" s="53"/>
      <c r="AB45" s="53"/>
      <c r="AC45" s="50"/>
      <c r="AD45" s="50"/>
      <c r="AE45" s="187"/>
      <c r="AF45" s="50"/>
      <c r="AG45" s="50"/>
      <c r="AH45" s="50"/>
      <c r="AI45" s="54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180"/>
      <c r="BC45" s="116"/>
      <c r="BD45" s="116"/>
      <c r="BE45" s="189"/>
      <c r="BF45" s="116"/>
    </row>
    <row r="46" spans="1:58" ht="12.95" customHeight="1" x14ac:dyDescent="0.2">
      <c r="A46" s="117">
        <v>45971</v>
      </c>
      <c r="B46" s="118" t="s">
        <v>197</v>
      </c>
      <c r="C46" s="119">
        <f t="shared" ref="C46" si="36">(M46*E46*O46*Q46)/100000000</f>
        <v>55.393631999999997</v>
      </c>
      <c r="D46" s="118" t="s">
        <v>198</v>
      </c>
      <c r="E46" s="37">
        <v>17.5</v>
      </c>
      <c r="F46" s="37">
        <v>1</v>
      </c>
      <c r="G46" s="190">
        <v>830</v>
      </c>
      <c r="H46" s="192">
        <v>0.14000000000000001</v>
      </c>
      <c r="I46" s="45">
        <v>0.88</v>
      </c>
      <c r="J46" s="46">
        <f t="shared" ref="J46" si="37">E46*G46*(1-H46)*1440/1000000*3.4</f>
        <v>61.158384000000005</v>
      </c>
      <c r="K46" s="46">
        <f t="shared" ref="K46" si="38">(IF(G46&lt;L46,L46,G46)*(1-IF(H46&lt;N46,H46,N46))*E46*O46*Q46)/100000000</f>
        <v>57.470893199999999</v>
      </c>
      <c r="L46" s="184">
        <v>800</v>
      </c>
      <c r="M46" s="184">
        <v>688</v>
      </c>
      <c r="N46" s="47">
        <f t="shared" ref="N46" si="39">1-(M46/L46)</f>
        <v>0.14000000000000001</v>
      </c>
      <c r="O46" s="48">
        <f>+'[2]Trim Rwd'!H31</f>
        <v>319.5</v>
      </c>
      <c r="P46" s="49">
        <f t="shared" ref="P46" si="40">O46*(Q46-R46-S46)</f>
        <v>444105</v>
      </c>
      <c r="Q46" s="56">
        <v>1440</v>
      </c>
      <c r="R46" s="123">
        <v>0</v>
      </c>
      <c r="S46" s="123">
        <v>50</v>
      </c>
      <c r="T46" s="50">
        <f t="shared" ref="T46" si="41">E46*M46*O46*Q46/100000000</f>
        <v>55.393631999999997</v>
      </c>
      <c r="U46" s="50">
        <f t="shared" ref="U46" si="42">E46*M46*O46*(Q46-R46-S46)/100000000</f>
        <v>53.470241999999999</v>
      </c>
      <c r="V46" s="50">
        <f t="shared" ref="V46" si="43">E46*G46*(1-N46)*O46/100*(R46+S46)/1000000</f>
        <v>1.9955171249999999</v>
      </c>
      <c r="W46" s="50">
        <f>+'[2]10'!K34/1000</f>
        <v>52.69</v>
      </c>
      <c r="X46" s="55">
        <f>SUM(W46:W49)/SUM(K46:K49)</f>
        <v>0.91681192106476606</v>
      </c>
      <c r="Y46" s="52">
        <v>0</v>
      </c>
      <c r="Z46" s="50">
        <f>+'[2]10'!D34/1000</f>
        <v>0.4</v>
      </c>
      <c r="AA46" s="50">
        <f>SUM(U46:U49)-SUM(W46:W49)-SUM(Z46:Z49)-SUM(Y46:Y49)</f>
        <v>0.38024200000000119</v>
      </c>
      <c r="AB46" s="50">
        <f>(SUM(K46:K49)-SUM(W46:W49)-SUM(Y46:Y49)-SUM(Z46:Z49)-SUM(AC46:AC49)-SUM(V46:V49))-AA46</f>
        <v>-7.2127125000002512E-2</v>
      </c>
      <c r="AC46" s="50">
        <f>K46-T46</f>
        <v>2.0772612000000024</v>
      </c>
      <c r="AD46" s="50">
        <f>+AM46+BA46</f>
        <v>5</v>
      </c>
      <c r="AE46" s="187" t="s">
        <v>113</v>
      </c>
      <c r="AF46" s="180">
        <v>5</v>
      </c>
      <c r="AG46" s="180"/>
      <c r="AH46" s="180"/>
      <c r="AJ46" s="50"/>
      <c r="AK46" s="50"/>
      <c r="AL46" s="50"/>
      <c r="AM46" s="50">
        <f>SUM(AF46:AL46)+AT46+AV46+AX46</f>
        <v>5</v>
      </c>
      <c r="AN46" s="50"/>
      <c r="AO46" s="50"/>
      <c r="AP46" s="50"/>
      <c r="AQ46" s="50"/>
      <c r="AR46" s="50">
        <f>SUM(AN46:AQ46)</f>
        <v>0</v>
      </c>
      <c r="AS46" s="50"/>
      <c r="AT46" s="50"/>
      <c r="AU46" s="50"/>
      <c r="AV46" s="50"/>
      <c r="AW46" s="50"/>
      <c r="AX46" s="50"/>
      <c r="AY46" s="50"/>
      <c r="AZ46" s="50"/>
      <c r="BA46" s="50">
        <f>+AR46+AS46+AU46+AW46+AY46+AZ46</f>
        <v>0</v>
      </c>
      <c r="BB46" s="180">
        <v>2</v>
      </c>
      <c r="BC46" s="146"/>
      <c r="BD46" s="146"/>
      <c r="BE46" s="180"/>
      <c r="BF46" s="146"/>
    </row>
    <row r="47" spans="1:58" ht="12.95" customHeight="1" x14ac:dyDescent="0.2">
      <c r="A47" s="117"/>
      <c r="B47" s="118"/>
      <c r="C47" s="119"/>
      <c r="D47" s="118"/>
      <c r="E47" s="37"/>
      <c r="F47" s="37"/>
      <c r="G47" s="190"/>
      <c r="H47" s="192"/>
      <c r="I47" s="45"/>
      <c r="J47" s="46"/>
      <c r="K47" s="46"/>
      <c r="L47" s="184"/>
      <c r="M47" s="184"/>
      <c r="N47" s="47"/>
      <c r="O47" s="48"/>
      <c r="P47" s="49"/>
      <c r="Q47" s="56"/>
      <c r="R47" s="123"/>
      <c r="S47" s="123"/>
      <c r="T47" s="50"/>
      <c r="U47" s="50"/>
      <c r="V47" s="50"/>
      <c r="W47" s="50"/>
      <c r="X47" s="55"/>
      <c r="Y47" s="52"/>
      <c r="Z47" s="50"/>
      <c r="AA47" s="50"/>
      <c r="AB47" s="50"/>
      <c r="AC47" s="50"/>
      <c r="AD47" s="50">
        <f t="shared" ref="AD47:AD48" si="44">+AM47+BA47</f>
        <v>23</v>
      </c>
      <c r="AE47" s="191" t="s">
        <v>163</v>
      </c>
      <c r="AF47" s="50"/>
      <c r="AG47" s="50">
        <v>23</v>
      </c>
      <c r="AH47" s="50"/>
      <c r="AI47" s="54"/>
      <c r="AJ47" s="50"/>
      <c r="AK47" s="50"/>
      <c r="AL47" s="50"/>
      <c r="AM47" s="50">
        <f>SUM(AF47:AL47)+AT47+AV47+AX47</f>
        <v>23</v>
      </c>
      <c r="AN47" s="50"/>
      <c r="AO47" s="50"/>
      <c r="AP47" s="50"/>
      <c r="AQ47" s="50"/>
      <c r="AR47" s="50">
        <f t="shared" ref="AR47:AR48" si="45">SUM(AN47:AQ47)</f>
        <v>0</v>
      </c>
      <c r="AS47" s="50"/>
      <c r="AT47" s="50"/>
      <c r="AU47" s="50"/>
      <c r="AV47" s="50"/>
      <c r="AW47" s="50"/>
      <c r="AX47" s="50"/>
      <c r="AY47" s="50"/>
      <c r="AZ47" s="50"/>
      <c r="BA47" s="50">
        <f>+AR47+AS47+AU47+AW47+AY47+AZ47</f>
        <v>0</v>
      </c>
      <c r="BB47" s="180"/>
      <c r="BC47" s="146">
        <v>6</v>
      </c>
      <c r="BD47" s="146"/>
      <c r="BE47" s="180"/>
      <c r="BF47" s="146"/>
    </row>
    <row r="48" spans="1:58" ht="12.95" customHeight="1" x14ac:dyDescent="0.2">
      <c r="A48" s="117"/>
      <c r="B48" s="118"/>
      <c r="C48" s="119"/>
      <c r="D48" s="118"/>
      <c r="E48" s="37"/>
      <c r="F48" s="37"/>
      <c r="G48" s="190"/>
      <c r="H48" s="192"/>
      <c r="I48" s="45"/>
      <c r="J48" s="46"/>
      <c r="K48" s="46"/>
      <c r="L48" s="184"/>
      <c r="M48" s="184"/>
      <c r="N48" s="47"/>
      <c r="O48" s="48"/>
      <c r="P48" s="49"/>
      <c r="Q48" s="56"/>
      <c r="R48" s="123"/>
      <c r="S48" s="123"/>
      <c r="T48" s="50"/>
      <c r="U48" s="50"/>
      <c r="V48" s="50"/>
      <c r="W48" s="50"/>
      <c r="X48" s="51"/>
      <c r="Y48" s="52"/>
      <c r="Z48" s="50"/>
      <c r="AA48" s="53"/>
      <c r="AB48" s="53"/>
      <c r="AC48" s="50"/>
      <c r="AD48" s="50">
        <f t="shared" si="44"/>
        <v>22</v>
      </c>
      <c r="AE48" s="211" t="s">
        <v>162</v>
      </c>
      <c r="AF48" s="50"/>
      <c r="AG48" s="50"/>
      <c r="AH48" s="50">
        <v>22</v>
      </c>
      <c r="AI48" s="54"/>
      <c r="AJ48" s="50"/>
      <c r="AK48" s="50"/>
      <c r="AL48" s="50"/>
      <c r="AM48" s="50">
        <f>SUM(AF48:AL48)+AT48+AV48+AX48</f>
        <v>22</v>
      </c>
      <c r="AN48" s="50"/>
      <c r="AO48" s="50"/>
      <c r="AP48" s="50"/>
      <c r="AQ48" s="50"/>
      <c r="AR48" s="50">
        <f t="shared" si="45"/>
        <v>0</v>
      </c>
      <c r="AS48" s="50"/>
      <c r="AT48" s="50"/>
      <c r="AU48" s="50"/>
      <c r="AV48" s="50"/>
      <c r="AW48" s="50"/>
      <c r="AX48" s="50"/>
      <c r="AY48" s="50"/>
      <c r="AZ48" s="50"/>
      <c r="BA48" s="50">
        <f>+AR48+AS48+AU48+AW48+AY48+AZ48</f>
        <v>0</v>
      </c>
      <c r="BB48" s="180"/>
      <c r="BC48" s="116"/>
      <c r="BD48" s="116"/>
      <c r="BE48" s="180"/>
      <c r="BF48" s="116"/>
    </row>
    <row r="49" spans="1:58" ht="12.95" customHeight="1" x14ac:dyDescent="0.2">
      <c r="A49" s="117"/>
      <c r="B49" s="118"/>
      <c r="C49" s="119"/>
      <c r="D49" s="118"/>
      <c r="E49" s="37"/>
      <c r="F49" s="37"/>
      <c r="G49" s="188"/>
      <c r="H49" s="192"/>
      <c r="I49" s="45"/>
      <c r="J49" s="46"/>
      <c r="K49" s="46"/>
      <c r="L49" s="184"/>
      <c r="M49" s="184"/>
      <c r="N49" s="47"/>
      <c r="O49" s="48"/>
      <c r="P49" s="49"/>
      <c r="Q49" s="48"/>
      <c r="R49" s="123"/>
      <c r="S49" s="123"/>
      <c r="T49" s="50"/>
      <c r="U49" s="50"/>
      <c r="V49" s="50"/>
      <c r="W49" s="50"/>
      <c r="X49" s="55"/>
      <c r="Y49" s="52"/>
      <c r="Z49" s="50"/>
      <c r="AA49" s="50"/>
      <c r="AB49" s="50"/>
      <c r="AC49" s="50"/>
      <c r="AD49" s="50"/>
      <c r="AE49" s="211"/>
      <c r="AF49" s="50"/>
      <c r="AG49" s="50"/>
      <c r="AH49" s="50"/>
      <c r="AI49" s="54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180"/>
      <c r="BC49" s="116"/>
      <c r="BD49" s="116"/>
      <c r="BE49" s="180"/>
      <c r="BF49" s="116"/>
    </row>
    <row r="50" spans="1:58" ht="12.95" customHeight="1" x14ac:dyDescent="0.2">
      <c r="A50" s="117">
        <v>45972</v>
      </c>
      <c r="B50" s="118" t="s">
        <v>197</v>
      </c>
      <c r="C50" s="119">
        <f t="shared" ref="C50" si="46">(M50*E50*O50*Q50)/100000000</f>
        <v>55.393631999999997</v>
      </c>
      <c r="D50" s="118" t="s">
        <v>198</v>
      </c>
      <c r="E50" s="37">
        <v>17.5</v>
      </c>
      <c r="F50" s="37">
        <v>1</v>
      </c>
      <c r="G50" s="190">
        <v>830</v>
      </c>
      <c r="H50" s="192">
        <v>0.14000000000000001</v>
      </c>
      <c r="I50" s="45">
        <v>0.88</v>
      </c>
      <c r="J50" s="46">
        <f t="shared" ref="J50" si="47">E50*G50*(1-H50)*1440/1000000*3.4</f>
        <v>61.158384000000005</v>
      </c>
      <c r="K50" s="46">
        <f t="shared" ref="K50" si="48">(IF(G50&lt;L50,L50,G50)*(1-IF(H50&lt;N50,H50,N50))*E50*O50*Q50)/100000000</f>
        <v>57.470893199999999</v>
      </c>
      <c r="L50" s="184">
        <v>800</v>
      </c>
      <c r="M50" s="184">
        <v>688</v>
      </c>
      <c r="N50" s="47">
        <f t="shared" ref="N50" si="49">1-(M50/L50)</f>
        <v>0.14000000000000001</v>
      </c>
      <c r="O50" s="48">
        <f>+'[2]Trim Rwd'!H33</f>
        <v>319.5</v>
      </c>
      <c r="P50" s="49">
        <f t="shared" ref="P50" si="50">O50*(Q50-R50-S50)</f>
        <v>431325</v>
      </c>
      <c r="Q50" s="56">
        <v>1440</v>
      </c>
      <c r="R50" s="123">
        <v>30</v>
      </c>
      <c r="S50" s="123">
        <v>60</v>
      </c>
      <c r="T50" s="50">
        <f t="shared" ref="T50" si="51">E50*M50*O50*Q50/100000000</f>
        <v>55.393631999999997</v>
      </c>
      <c r="U50" s="50">
        <f t="shared" ref="U50" si="52">E50*M50*O50*(Q50-R50-S50)/100000000</f>
        <v>51.931530000000002</v>
      </c>
      <c r="V50" s="50">
        <f t="shared" ref="V50" si="53">E50*G50*(1-N50)*O50/100*(R50+S50)/1000000</f>
        <v>3.5919308249999999</v>
      </c>
      <c r="W50" s="50">
        <f>+'[2]11'!K34/1000</f>
        <v>50.889000000000003</v>
      </c>
      <c r="X50" s="55">
        <f>SUM(W50:W53)/SUM(K50:K53)</f>
        <v>0.88547431867650184</v>
      </c>
      <c r="Y50" s="52">
        <v>0</v>
      </c>
      <c r="Z50" s="50">
        <f>+'[2]11'!D34/1000</f>
        <v>0.98</v>
      </c>
      <c r="AA50" s="50">
        <f>SUM(U50:U53)-SUM(W50:W53)-SUM(Z50:Z53)-SUM(Y50:Y53)</f>
        <v>6.2529999999999308E-2</v>
      </c>
      <c r="AB50" s="50">
        <f>(SUM(K50:K53)-SUM(W50:W53)-SUM(Y50:Y53)-SUM(Z50:Z53)-SUM(AC50:AC53)-SUM(V50:V53))-AA50</f>
        <v>-0.12982882500000592</v>
      </c>
      <c r="AC50" s="50">
        <f>K50-T50</f>
        <v>2.0772612000000024</v>
      </c>
      <c r="AD50" s="50">
        <f>+AM50+BA50</f>
        <v>0</v>
      </c>
      <c r="AE50" s="187" t="s">
        <v>110</v>
      </c>
      <c r="AF50" s="180">
        <v>0</v>
      </c>
      <c r="AG50" s="180"/>
      <c r="AH50" s="180"/>
      <c r="AJ50" s="50"/>
      <c r="AK50" s="50"/>
      <c r="AL50" s="50"/>
      <c r="AM50" s="50">
        <f>SUM(AF50:AL50)+AT50+AV50+AX50</f>
        <v>0</v>
      </c>
      <c r="AN50" s="50"/>
      <c r="AO50" s="50"/>
      <c r="AP50" s="50"/>
      <c r="AQ50" s="50"/>
      <c r="AR50" s="50">
        <f>SUM(AN50:AQ50)</f>
        <v>0</v>
      </c>
      <c r="AS50" s="50"/>
      <c r="AT50" s="50"/>
      <c r="AU50" s="50"/>
      <c r="AV50" s="50"/>
      <c r="AW50" s="50"/>
      <c r="AX50" s="50"/>
      <c r="AY50" s="50"/>
      <c r="AZ50" s="50"/>
      <c r="BA50" s="50">
        <f>+AR50+AS50+AU50+AW50+AY50+AZ50</f>
        <v>0</v>
      </c>
      <c r="BB50" s="180">
        <v>0</v>
      </c>
      <c r="BC50" s="146"/>
      <c r="BD50" s="146"/>
      <c r="BE50" s="180"/>
      <c r="BF50" s="146"/>
    </row>
    <row r="51" spans="1:58" ht="12.95" customHeight="1" x14ac:dyDescent="0.2">
      <c r="A51" s="117"/>
      <c r="B51" s="118"/>
      <c r="C51" s="119"/>
      <c r="D51" s="118"/>
      <c r="E51" s="37"/>
      <c r="F51" s="37"/>
      <c r="G51" s="190"/>
      <c r="H51" s="192"/>
      <c r="I51" s="45"/>
      <c r="J51" s="46"/>
      <c r="K51" s="46"/>
      <c r="L51" s="184"/>
      <c r="M51" s="184"/>
      <c r="N51" s="47"/>
      <c r="O51" s="48"/>
      <c r="P51" s="49"/>
      <c r="Q51" s="56"/>
      <c r="R51" s="123"/>
      <c r="S51" s="123"/>
      <c r="T51" s="50"/>
      <c r="U51" s="50"/>
      <c r="V51" s="50"/>
      <c r="W51" s="50"/>
      <c r="X51" s="55"/>
      <c r="Y51" s="52"/>
      <c r="Z51" s="50"/>
      <c r="AA51" s="50"/>
      <c r="AB51" s="50"/>
      <c r="AC51" s="50"/>
      <c r="AD51" s="50">
        <f t="shared" ref="AD51:AD53" si="54">+AM51+BA51</f>
        <v>33</v>
      </c>
      <c r="AE51" s="191" t="s">
        <v>132</v>
      </c>
      <c r="AF51" s="50"/>
      <c r="AG51" s="50">
        <v>33</v>
      </c>
      <c r="AH51" s="50"/>
      <c r="AI51" s="54"/>
      <c r="AJ51" s="50"/>
      <c r="AK51" s="50"/>
      <c r="AL51" s="50"/>
      <c r="AM51" s="50">
        <f>SUM(AF51:AL51)+AT51+AV51+AX51</f>
        <v>33</v>
      </c>
      <c r="AN51" s="50"/>
      <c r="AO51" s="50"/>
      <c r="AP51" s="50"/>
      <c r="AQ51" s="50"/>
      <c r="AR51" s="50">
        <f t="shared" ref="AR51:AR53" si="55">SUM(AN51:AQ51)</f>
        <v>0</v>
      </c>
      <c r="AS51" s="50"/>
      <c r="AT51" s="50"/>
      <c r="AU51" s="50"/>
      <c r="AV51" s="50"/>
      <c r="AW51" s="50"/>
      <c r="AX51" s="50"/>
      <c r="AY51" s="50"/>
      <c r="AZ51" s="50"/>
      <c r="BA51" s="50">
        <f>+AR51+AS51+AU51+AW51+AY51+AZ51</f>
        <v>0</v>
      </c>
      <c r="BB51" s="180"/>
      <c r="BC51" s="146">
        <v>7</v>
      </c>
      <c r="BD51" s="146"/>
      <c r="BE51" s="180"/>
      <c r="BF51" s="146"/>
    </row>
    <row r="52" spans="1:58" ht="12.95" customHeight="1" x14ac:dyDescent="0.2">
      <c r="A52" s="117"/>
      <c r="B52" s="118"/>
      <c r="C52" s="119"/>
      <c r="D52" s="118"/>
      <c r="E52" s="37"/>
      <c r="F52" s="37"/>
      <c r="G52" s="190"/>
      <c r="H52" s="192"/>
      <c r="I52" s="45"/>
      <c r="J52" s="46"/>
      <c r="K52" s="46"/>
      <c r="L52" s="184"/>
      <c r="M52" s="184"/>
      <c r="N52" s="47"/>
      <c r="O52" s="48"/>
      <c r="P52" s="49"/>
      <c r="Q52" s="56"/>
      <c r="R52" s="123"/>
      <c r="S52" s="123"/>
      <c r="T52" s="50"/>
      <c r="U52" s="50"/>
      <c r="V52" s="50"/>
      <c r="W52" s="50"/>
      <c r="X52" s="51"/>
      <c r="Y52" s="52"/>
      <c r="Z52" s="50"/>
      <c r="AA52" s="53"/>
      <c r="AB52" s="53"/>
      <c r="AC52" s="50"/>
      <c r="AD52" s="50">
        <f t="shared" si="54"/>
        <v>27</v>
      </c>
      <c r="AE52" s="211" t="s">
        <v>162</v>
      </c>
      <c r="AF52" s="50"/>
      <c r="AG52" s="50"/>
      <c r="AH52" s="50">
        <v>27</v>
      </c>
      <c r="AI52" s="54"/>
      <c r="AJ52" s="50"/>
      <c r="AK52" s="50"/>
      <c r="AL52" s="50"/>
      <c r="AM52" s="50">
        <f>SUM(AF52:AL52)+AT52+AV52+AX52</f>
        <v>27</v>
      </c>
      <c r="AN52" s="50"/>
      <c r="AO52" s="50"/>
      <c r="AP52" s="50"/>
      <c r="AQ52" s="50"/>
      <c r="AR52" s="50">
        <f t="shared" si="55"/>
        <v>0</v>
      </c>
      <c r="AS52" s="50"/>
      <c r="AT52" s="50"/>
      <c r="AU52" s="50"/>
      <c r="AV52" s="50"/>
      <c r="AW52" s="50"/>
      <c r="AX52" s="50"/>
      <c r="AY52" s="50"/>
      <c r="AZ52" s="50"/>
      <c r="BA52" s="50">
        <f>+AR52+AS52+AU52+AW52+AY52+AZ52</f>
        <v>0</v>
      </c>
      <c r="BB52" s="180"/>
      <c r="BC52" s="116"/>
      <c r="BD52" s="116"/>
      <c r="BE52" s="180"/>
      <c r="BF52" s="116"/>
    </row>
    <row r="53" spans="1:58" ht="12.95" customHeight="1" x14ac:dyDescent="0.2">
      <c r="A53" s="117"/>
      <c r="B53" s="118"/>
      <c r="C53" s="119"/>
      <c r="D53" s="118"/>
      <c r="E53" s="37"/>
      <c r="F53" s="37"/>
      <c r="G53" s="188"/>
      <c r="H53" s="192"/>
      <c r="I53" s="45"/>
      <c r="J53" s="46"/>
      <c r="K53" s="46"/>
      <c r="L53" s="184"/>
      <c r="M53" s="184"/>
      <c r="N53" s="47"/>
      <c r="O53" s="48"/>
      <c r="P53" s="49"/>
      <c r="Q53" s="48"/>
      <c r="R53" s="123"/>
      <c r="S53" s="123"/>
      <c r="T53" s="50"/>
      <c r="U53" s="50"/>
      <c r="V53" s="50"/>
      <c r="W53" s="50"/>
      <c r="X53" s="55"/>
      <c r="Y53" s="52"/>
      <c r="Z53" s="50"/>
      <c r="AA53" s="50"/>
      <c r="AB53" s="50"/>
      <c r="AC53" s="50"/>
      <c r="AD53" s="50">
        <f t="shared" si="54"/>
        <v>30</v>
      </c>
      <c r="AE53" s="191" t="s">
        <v>241</v>
      </c>
      <c r="AF53" s="50"/>
      <c r="AG53" s="50"/>
      <c r="AH53" s="50"/>
      <c r="AI53" s="54"/>
      <c r="AJ53" s="50"/>
      <c r="AK53" s="50"/>
      <c r="AL53" s="50"/>
      <c r="AM53" s="50">
        <f>SUM(AF53:AL53)+AT53+AV53+AX53</f>
        <v>0</v>
      </c>
      <c r="AN53" s="50"/>
      <c r="AO53" s="50"/>
      <c r="AP53" s="50"/>
      <c r="AQ53" s="50"/>
      <c r="AR53" s="50">
        <f t="shared" si="55"/>
        <v>0</v>
      </c>
      <c r="AS53" s="50"/>
      <c r="AT53" s="50"/>
      <c r="AU53" s="50"/>
      <c r="AV53" s="50"/>
      <c r="AW53" s="50"/>
      <c r="AX53" s="50"/>
      <c r="AY53" s="50">
        <v>30</v>
      </c>
      <c r="AZ53" s="50"/>
      <c r="BA53" s="50">
        <f>+AR53+AS53+AU53+AW53+AY53+AZ53</f>
        <v>30</v>
      </c>
      <c r="BB53" s="180"/>
      <c r="BC53" s="116"/>
      <c r="BD53" s="116"/>
      <c r="BE53" s="180">
        <v>1</v>
      </c>
      <c r="BF53" s="116"/>
    </row>
    <row r="54" spans="1:58" ht="12.95" customHeight="1" x14ac:dyDescent="0.2">
      <c r="A54" s="117"/>
      <c r="B54" s="118"/>
      <c r="C54" s="119"/>
      <c r="D54" s="118"/>
      <c r="E54" s="37"/>
      <c r="F54" s="37"/>
      <c r="G54" s="188"/>
      <c r="H54" s="192"/>
      <c r="I54" s="45"/>
      <c r="J54" s="46"/>
      <c r="K54" s="46"/>
      <c r="L54" s="184"/>
      <c r="M54" s="184"/>
      <c r="N54" s="47"/>
      <c r="O54" s="48"/>
      <c r="P54" s="49"/>
      <c r="Q54" s="48"/>
      <c r="R54" s="123"/>
      <c r="S54" s="123"/>
      <c r="T54" s="50"/>
      <c r="U54" s="50"/>
      <c r="V54" s="50"/>
      <c r="W54" s="50"/>
      <c r="X54" s="51"/>
      <c r="Y54" s="52"/>
      <c r="Z54" s="50"/>
      <c r="AA54" s="53"/>
      <c r="AB54" s="53"/>
      <c r="AC54" s="50"/>
      <c r="AD54" s="50"/>
      <c r="AE54" s="187"/>
      <c r="AF54" s="50"/>
      <c r="AG54" s="50"/>
      <c r="AH54" s="50"/>
      <c r="AI54" s="54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180"/>
      <c r="BC54" s="116"/>
      <c r="BD54" s="116"/>
      <c r="BE54" s="189"/>
      <c r="BF54" s="116"/>
    </row>
    <row r="55" spans="1:58" ht="12.95" customHeight="1" x14ac:dyDescent="0.2">
      <c r="A55" s="117">
        <v>45973</v>
      </c>
      <c r="B55" s="118" t="s">
        <v>197</v>
      </c>
      <c r="C55" s="119">
        <f t="shared" ref="C55:C56" si="56">(M55*E55*O55*Q55)/100000000</f>
        <v>38.747362500000001</v>
      </c>
      <c r="D55" s="118" t="s">
        <v>198</v>
      </c>
      <c r="E55" s="37">
        <v>17.5</v>
      </c>
      <c r="F55" s="37">
        <v>1</v>
      </c>
      <c r="G55" s="190">
        <v>830</v>
      </c>
      <c r="H55" s="192">
        <v>0.14000000000000001</v>
      </c>
      <c r="I55" s="45">
        <v>0.88</v>
      </c>
      <c r="J55" s="46">
        <f t="shared" ref="J55:J56" si="57">E55*G55*(1-H55)*1440/1000000*3.4</f>
        <v>61.158384000000005</v>
      </c>
      <c r="K55" s="46">
        <f t="shared" ref="K55:K56" si="58">(IF(G55&lt;L55,L55,G55)*(1-IF(H55&lt;N55,H55,N55))*E55*O55*Q55)/100000000</f>
        <v>39.511239074999999</v>
      </c>
      <c r="L55" s="184">
        <v>815</v>
      </c>
      <c r="M55" s="184">
        <v>700</v>
      </c>
      <c r="N55" s="47">
        <f t="shared" ref="N55:N56" si="59">1-(M55/L55)</f>
        <v>0.14110429447852757</v>
      </c>
      <c r="O55" s="48">
        <f>+'[2]Trim Rwd'!H35</f>
        <v>319.5</v>
      </c>
      <c r="P55" s="49">
        <f t="shared" ref="P55:P56" si="60">O55*(Q55-R55-S55)</f>
        <v>305442</v>
      </c>
      <c r="Q55" s="56">
        <v>990</v>
      </c>
      <c r="R55" s="123">
        <v>0</v>
      </c>
      <c r="S55" s="123">
        <f>7+27</f>
        <v>34</v>
      </c>
      <c r="T55" s="50">
        <f t="shared" ref="T55:T56" si="61">E55*M55*O55*Q55/100000000</f>
        <v>38.747362500000001</v>
      </c>
      <c r="U55" s="50">
        <f t="shared" ref="U55:U56" si="62">E55*M55*O55*(Q55-R55-S55)/100000000</f>
        <v>37.416645000000003</v>
      </c>
      <c r="V55" s="50">
        <f t="shared" ref="V55:V56" si="63">E55*G55*(1-N55)*O55/100*(R55+S55)/1000000</f>
        <v>1.3552092331288346</v>
      </c>
      <c r="W55" s="50">
        <f>+'[2]12'!K11/1000</f>
        <v>39.093000000000004</v>
      </c>
      <c r="X55" s="55">
        <f>SUM(W55:W58)/SUM(K55:K58)</f>
        <v>0.8891636197676045</v>
      </c>
      <c r="Y55" s="52">
        <v>0</v>
      </c>
      <c r="Z55" s="50">
        <v>0</v>
      </c>
      <c r="AA55" s="50">
        <f>SUM(U55:U58)-SUM(W55:W58)-SUM(Z55:Z58)-SUM(Y55:Y58)</f>
        <v>2.7581929999999986</v>
      </c>
      <c r="AB55" s="50">
        <f>(SUM(K55:K58)-SUM(W55:W58)-SUM(Y55:Y58)-SUM(Z55:Z58)-SUM(AC55:AC58)-SUM(V55:V58))-AA55</f>
        <v>-4.9077966257674799E-2</v>
      </c>
      <c r="AC55" s="50">
        <f>K55-T55</f>
        <v>0.76387657499999762</v>
      </c>
      <c r="AD55" s="50">
        <f>+AM55+BA55</f>
        <v>7</v>
      </c>
      <c r="AE55" s="187" t="s">
        <v>113</v>
      </c>
      <c r="AF55" s="180">
        <v>7</v>
      </c>
      <c r="AG55" s="180"/>
      <c r="AH55" s="180"/>
      <c r="AJ55" s="50"/>
      <c r="AK55" s="50"/>
      <c r="AL55" s="50"/>
      <c r="AM55" s="50">
        <f>SUM(AF55:AL55)+AT55+AV55+AX55</f>
        <v>7</v>
      </c>
      <c r="AN55" s="50"/>
      <c r="AO55" s="50"/>
      <c r="AP55" s="50"/>
      <c r="AQ55" s="50"/>
      <c r="AR55" s="50">
        <f>SUM(AN55:AQ55)</f>
        <v>0</v>
      </c>
      <c r="AS55" s="50"/>
      <c r="AT55" s="50"/>
      <c r="AU55" s="50"/>
      <c r="AV55" s="50"/>
      <c r="AW55" s="50"/>
      <c r="AX55" s="50"/>
      <c r="AY55" s="50"/>
      <c r="AZ55" s="50"/>
      <c r="BA55" s="50">
        <f>+AR55+AS55+AU55+AW55+AY55+AZ55</f>
        <v>0</v>
      </c>
      <c r="BB55" s="180">
        <v>2</v>
      </c>
      <c r="BC55" s="146"/>
      <c r="BD55" s="146"/>
      <c r="BE55" s="180"/>
      <c r="BF55" s="146"/>
    </row>
    <row r="56" spans="1:58" ht="12.95" customHeight="1" x14ac:dyDescent="0.2">
      <c r="A56" s="117"/>
      <c r="B56" s="118" t="s">
        <v>197</v>
      </c>
      <c r="C56" s="119">
        <f t="shared" si="56"/>
        <v>19.391400000000001</v>
      </c>
      <c r="D56" s="118" t="s">
        <v>198</v>
      </c>
      <c r="E56" s="37">
        <v>19</v>
      </c>
      <c r="F56" s="37">
        <v>1</v>
      </c>
      <c r="G56" s="190">
        <v>830</v>
      </c>
      <c r="H56" s="192">
        <v>0.14000000000000001</v>
      </c>
      <c r="I56" s="45">
        <v>0.88</v>
      </c>
      <c r="J56" s="46">
        <f t="shared" si="57"/>
        <v>66.400531200000003</v>
      </c>
      <c r="K56" s="46">
        <f t="shared" si="58"/>
        <v>19.773687599999999</v>
      </c>
      <c r="L56" s="184">
        <v>815</v>
      </c>
      <c r="M56" s="184">
        <v>700</v>
      </c>
      <c r="N56" s="47">
        <f t="shared" si="59"/>
        <v>0.14110429447852757</v>
      </c>
      <c r="O56" s="48">
        <f>+'[2]Trim Rwd'!H36</f>
        <v>324</v>
      </c>
      <c r="P56" s="49">
        <f t="shared" si="60"/>
        <v>135756</v>
      </c>
      <c r="Q56" s="56">
        <v>450</v>
      </c>
      <c r="R56" s="123">
        <v>0</v>
      </c>
      <c r="S56" s="123">
        <v>31</v>
      </c>
      <c r="T56" s="50">
        <f t="shared" si="61"/>
        <v>19.391400000000001</v>
      </c>
      <c r="U56" s="50">
        <f t="shared" si="62"/>
        <v>18.055548000000002</v>
      </c>
      <c r="V56" s="50">
        <f t="shared" si="63"/>
        <v>1.3604382331288345</v>
      </c>
      <c r="W56" s="50">
        <f>+'[2]12'!K12/1000</f>
        <v>13.621</v>
      </c>
      <c r="X56" s="55"/>
      <c r="Y56" s="52"/>
      <c r="Z56" s="50"/>
      <c r="AA56" s="50"/>
      <c r="AB56" s="50"/>
      <c r="AC56" s="50">
        <f>K56-T56</f>
        <v>0.38228759999999795</v>
      </c>
      <c r="AD56" s="50">
        <f t="shared" ref="AD56:AD58" si="64">+AM56+BA56</f>
        <v>27</v>
      </c>
      <c r="AE56" s="191" t="s">
        <v>132</v>
      </c>
      <c r="AF56" s="50"/>
      <c r="AG56" s="50">
        <v>27</v>
      </c>
      <c r="AH56" s="50"/>
      <c r="AI56" s="54"/>
      <c r="AJ56" s="50"/>
      <c r="AK56" s="50"/>
      <c r="AL56" s="50"/>
      <c r="AM56" s="50">
        <f>SUM(AF56:AL56)+AT56+AV56+AX56</f>
        <v>27</v>
      </c>
      <c r="AN56" s="50"/>
      <c r="AO56" s="50"/>
      <c r="AP56" s="50"/>
      <c r="AQ56" s="50"/>
      <c r="AR56" s="50">
        <f t="shared" ref="AR56:AR57" si="65">SUM(AN56:AQ56)</f>
        <v>0</v>
      </c>
      <c r="AS56" s="50"/>
      <c r="AT56" s="50"/>
      <c r="AU56" s="50"/>
      <c r="AV56" s="50"/>
      <c r="AW56" s="50"/>
      <c r="AX56" s="50"/>
      <c r="AY56" s="50"/>
      <c r="AZ56" s="50"/>
      <c r="BA56" s="50">
        <f>+AR56+AS56+AU56+AW56+AY56+AZ56</f>
        <v>0</v>
      </c>
      <c r="BB56" s="180"/>
      <c r="BC56" s="146">
        <v>7</v>
      </c>
      <c r="BD56" s="146"/>
      <c r="BE56" s="180"/>
      <c r="BF56" s="146"/>
    </row>
    <row r="57" spans="1:58" ht="12.95" customHeight="1" x14ac:dyDescent="0.2">
      <c r="A57" s="117"/>
      <c r="B57" s="118"/>
      <c r="C57" s="119"/>
      <c r="D57" s="118"/>
      <c r="E57" s="37"/>
      <c r="F57" s="37"/>
      <c r="G57" s="190"/>
      <c r="H57" s="192"/>
      <c r="I57" s="45"/>
      <c r="J57" s="46"/>
      <c r="K57" s="46"/>
      <c r="L57" s="184"/>
      <c r="M57" s="184"/>
      <c r="N57" s="47"/>
      <c r="O57" s="48"/>
      <c r="P57" s="49"/>
      <c r="Q57" s="56"/>
      <c r="R57" s="123"/>
      <c r="S57" s="123"/>
      <c r="T57" s="50"/>
      <c r="U57" s="50"/>
      <c r="V57" s="50"/>
      <c r="W57" s="50"/>
      <c r="X57" s="51"/>
      <c r="Y57" s="52"/>
      <c r="Z57" s="50"/>
      <c r="AA57" s="53"/>
      <c r="AB57" s="53"/>
      <c r="AC57" s="50"/>
      <c r="AD57" s="50">
        <f t="shared" si="64"/>
        <v>21</v>
      </c>
      <c r="AE57" s="211" t="s">
        <v>162</v>
      </c>
      <c r="AF57" s="50"/>
      <c r="AG57" s="50"/>
      <c r="AH57" s="50">
        <v>21</v>
      </c>
      <c r="AI57" s="54"/>
      <c r="AJ57" s="50"/>
      <c r="AK57" s="50"/>
      <c r="AL57" s="50"/>
      <c r="AM57" s="50">
        <f>SUM(AF57:AL57)+AT57+AV57+AX57</f>
        <v>21</v>
      </c>
      <c r="AN57" s="50"/>
      <c r="AO57" s="50"/>
      <c r="AP57" s="50"/>
      <c r="AQ57" s="50"/>
      <c r="AR57" s="50">
        <f t="shared" si="65"/>
        <v>0</v>
      </c>
      <c r="AS57" s="50"/>
      <c r="AT57" s="50"/>
      <c r="AU57" s="50"/>
      <c r="AV57" s="50"/>
      <c r="AW57" s="50"/>
      <c r="AX57" s="50"/>
      <c r="AY57" s="50"/>
      <c r="AZ57" s="50"/>
      <c r="BA57" s="50">
        <f>+AR57+AS57+AU57+AW57+AY57+AZ57</f>
        <v>0</v>
      </c>
      <c r="BB57" s="180"/>
      <c r="BC57" s="116"/>
      <c r="BD57" s="116"/>
      <c r="BE57" s="180"/>
      <c r="BF57" s="116"/>
    </row>
    <row r="58" spans="1:58" ht="12.95" customHeight="1" x14ac:dyDescent="0.2">
      <c r="A58" s="117"/>
      <c r="B58" s="118"/>
      <c r="C58" s="119"/>
      <c r="D58" s="118"/>
      <c r="E58" s="37"/>
      <c r="F58" s="37"/>
      <c r="G58" s="188"/>
      <c r="H58" s="192"/>
      <c r="I58" s="45"/>
      <c r="J58" s="46"/>
      <c r="K58" s="46"/>
      <c r="L58" s="184"/>
      <c r="M58" s="184"/>
      <c r="N58" s="47"/>
      <c r="O58" s="48"/>
      <c r="P58" s="49"/>
      <c r="Q58" s="48"/>
      <c r="R58" s="123"/>
      <c r="S58" s="123"/>
      <c r="T58" s="50"/>
      <c r="U58" s="50"/>
      <c r="V58" s="50"/>
      <c r="W58" s="50"/>
      <c r="X58" s="55"/>
      <c r="Y58" s="52"/>
      <c r="Z58" s="50"/>
      <c r="AA58" s="50"/>
      <c r="AB58" s="50"/>
      <c r="AC58" s="50"/>
      <c r="AD58" s="50">
        <f t="shared" si="64"/>
        <v>10</v>
      </c>
      <c r="AE58" s="191" t="s">
        <v>124</v>
      </c>
      <c r="AF58" s="50"/>
      <c r="AG58" s="50"/>
      <c r="AH58" s="50"/>
      <c r="AI58" s="54">
        <v>10</v>
      </c>
      <c r="AJ58" s="50"/>
      <c r="AK58" s="50"/>
      <c r="AL58" s="50"/>
      <c r="AM58" s="50">
        <f>SUM(AF58:AL58)+AT58+AV58+AX58</f>
        <v>10</v>
      </c>
      <c r="AN58" s="50"/>
      <c r="AO58" s="50"/>
      <c r="AP58" s="50"/>
      <c r="AQ58" s="50"/>
      <c r="AR58" s="50">
        <f t="shared" ref="AR58" si="66">SUM(AN58:AQ58)</f>
        <v>0</v>
      </c>
      <c r="AS58" s="50"/>
      <c r="AT58" s="50"/>
      <c r="AU58" s="50"/>
      <c r="AV58" s="50"/>
      <c r="AW58" s="50"/>
      <c r="AX58" s="50"/>
      <c r="AY58" s="50"/>
      <c r="AZ58" s="50"/>
      <c r="BA58" s="50">
        <f>+AR58+AS58+AU58+AW58+AY58+AZ58</f>
        <v>0</v>
      </c>
      <c r="BB58" s="180"/>
      <c r="BC58" s="116"/>
      <c r="BD58" s="116"/>
      <c r="BE58" s="180"/>
      <c r="BF58" s="116"/>
    </row>
    <row r="59" spans="1:58" ht="12.95" customHeight="1" x14ac:dyDescent="0.2">
      <c r="A59" s="117"/>
      <c r="B59" s="118"/>
      <c r="C59" s="119"/>
      <c r="D59" s="118"/>
      <c r="E59" s="37"/>
      <c r="F59" s="37"/>
      <c r="G59" s="188"/>
      <c r="H59" s="192"/>
      <c r="I59" s="45"/>
      <c r="J59" s="46"/>
      <c r="K59" s="46"/>
      <c r="L59" s="184"/>
      <c r="M59" s="184"/>
      <c r="N59" s="47"/>
      <c r="O59" s="48"/>
      <c r="P59" s="49"/>
      <c r="Q59" s="48"/>
      <c r="R59" s="123"/>
      <c r="S59" s="123"/>
      <c r="T59" s="50"/>
      <c r="U59" s="50"/>
      <c r="V59" s="50"/>
      <c r="W59" s="50"/>
      <c r="X59" s="51"/>
      <c r="Y59" s="52"/>
      <c r="Z59" s="50"/>
      <c r="AA59" s="53"/>
      <c r="AB59" s="53"/>
      <c r="AC59" s="50"/>
      <c r="AD59" s="50"/>
      <c r="AE59" s="187"/>
      <c r="AF59" s="50"/>
      <c r="AG59" s="50"/>
      <c r="AH59" s="50"/>
      <c r="AI59" s="54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180"/>
      <c r="BC59" s="116"/>
      <c r="BD59" s="116"/>
      <c r="BE59" s="189"/>
      <c r="BF59" s="116"/>
    </row>
    <row r="60" spans="1:58" ht="12.95" customHeight="1" x14ac:dyDescent="0.2">
      <c r="A60" s="117">
        <v>45974</v>
      </c>
      <c r="B60" s="118" t="s">
        <v>197</v>
      </c>
      <c r="C60" s="119">
        <f t="shared" ref="C60:C61" si="67">(M60*E60*O60*Q60)/100000000</f>
        <v>28.162749999999999</v>
      </c>
      <c r="D60" s="118" t="s">
        <v>198</v>
      </c>
      <c r="E60" s="37">
        <v>19</v>
      </c>
      <c r="F60" s="37">
        <v>1</v>
      </c>
      <c r="G60" s="190">
        <v>830</v>
      </c>
      <c r="H60" s="192">
        <v>0.14000000000000001</v>
      </c>
      <c r="I60" s="45">
        <v>0.88</v>
      </c>
      <c r="J60" s="46">
        <f t="shared" ref="J60:J61" si="68">E60*G60*(1-H60)*1440/1000000*3.4</f>
        <v>66.400531200000003</v>
      </c>
      <c r="K60" s="46">
        <f t="shared" ref="K60:K61" si="69">(IF(G60&lt;L60,L60,G60)*(1-IF(H60&lt;N60,H60,N60))*E60*O60*Q60)/100000000</f>
        <v>28.717958499999995</v>
      </c>
      <c r="L60" s="184">
        <v>815</v>
      </c>
      <c r="M60" s="184">
        <v>700</v>
      </c>
      <c r="N60" s="47">
        <f t="shared" ref="N60:N61" si="70">1-(M60/L60)</f>
        <v>0.14110429447852757</v>
      </c>
      <c r="O60" s="48">
        <f>+'[2]Trim Rwd'!H38</f>
        <v>325.76923076923077</v>
      </c>
      <c r="P60" s="49">
        <f t="shared" ref="P60:P61" si="71">O60*(Q60-R60-S60)</f>
        <v>205560.38461538462</v>
      </c>
      <c r="Q60" s="56">
        <v>650</v>
      </c>
      <c r="R60" s="123">
        <v>0</v>
      </c>
      <c r="S60" s="123">
        <v>19</v>
      </c>
      <c r="T60" s="50">
        <f t="shared" ref="T60:T61" si="72">E60*M60*O60*Q60/100000000</f>
        <v>28.162749999999999</v>
      </c>
      <c r="U60" s="50">
        <f t="shared" ref="U60:U61" si="73">E60*M60*O60*(Q60-R60-S60)/100000000</f>
        <v>27.339531153846153</v>
      </c>
      <c r="V60" s="50">
        <f t="shared" ref="V60:V61" si="74">E60*G60*(1-N60)*O60/100*(R60+S60)/1000000</f>
        <v>0.83837011326097222</v>
      </c>
      <c r="W60" s="50">
        <f>+'[2]13'!K12/1000</f>
        <v>29.3</v>
      </c>
      <c r="X60" s="55">
        <f>SUM(W60:W63)/SUM(K60:K63)</f>
        <v>0.94029851898860628</v>
      </c>
      <c r="Y60" s="52">
        <v>0</v>
      </c>
      <c r="Z60" s="50">
        <f>+'[2]13'!D34/1000</f>
        <v>1.198</v>
      </c>
      <c r="AA60" s="50">
        <f>SUM(U60:U63)-SUM(W60:W63)-SUM(Z60:Z63)-SUM(Y60:Y63)</f>
        <v>-0.3333788461538485</v>
      </c>
      <c r="AB60" s="50">
        <f>(SUM(K60:K63)-SUM(W60:W63)-SUM(Y60:Y63)-SUM(Z60:Z63)-SUM(AC60:AC63)-SUM(V60:V63))-AA60</f>
        <v>-3.0691267107123332E-2</v>
      </c>
      <c r="AC60" s="50">
        <f>K60-T60</f>
        <v>0.55520849999999555</v>
      </c>
      <c r="AD60" s="50">
        <f>+AM60+BA60</f>
        <v>2</v>
      </c>
      <c r="AE60" s="187" t="s">
        <v>116</v>
      </c>
      <c r="AF60" s="180">
        <v>2</v>
      </c>
      <c r="AG60" s="180"/>
      <c r="AH60" s="180"/>
      <c r="AJ60" s="50"/>
      <c r="AK60" s="50"/>
      <c r="AL60" s="50"/>
      <c r="AM60" s="50">
        <f>SUM(AF60:AL60)+AT60+AV60+AX60</f>
        <v>2</v>
      </c>
      <c r="AN60" s="50"/>
      <c r="AO60" s="50"/>
      <c r="AP60" s="50"/>
      <c r="AQ60" s="50"/>
      <c r="AR60" s="50">
        <f>SUM(AN60:AQ60)</f>
        <v>0</v>
      </c>
      <c r="AS60" s="50"/>
      <c r="AT60" s="50"/>
      <c r="AU60" s="50"/>
      <c r="AV60" s="50"/>
      <c r="AW60" s="50"/>
      <c r="AX60" s="50"/>
      <c r="AY60" s="50"/>
      <c r="AZ60" s="50"/>
      <c r="BA60" s="50">
        <f>+AR60+AS60+AU60+AW60+AY60+AZ60</f>
        <v>0</v>
      </c>
      <c r="BB60" s="180">
        <v>1</v>
      </c>
      <c r="BC60" s="146"/>
      <c r="BD60" s="146"/>
      <c r="BE60" s="180"/>
      <c r="BF60" s="146"/>
    </row>
    <row r="61" spans="1:58" ht="12.95" customHeight="1" x14ac:dyDescent="0.2">
      <c r="A61" s="117"/>
      <c r="B61" s="118" t="s">
        <v>197</v>
      </c>
      <c r="C61" s="119">
        <f t="shared" si="67"/>
        <v>33.351430000000001</v>
      </c>
      <c r="D61" s="118" t="s">
        <v>198</v>
      </c>
      <c r="E61" s="37">
        <v>18.5</v>
      </c>
      <c r="F61" s="37">
        <v>1</v>
      </c>
      <c r="G61" s="190">
        <v>830</v>
      </c>
      <c r="H61" s="192">
        <v>0.14000000000000001</v>
      </c>
      <c r="I61" s="45">
        <v>0.88</v>
      </c>
      <c r="J61" s="46">
        <f t="shared" si="68"/>
        <v>64.653148799999997</v>
      </c>
      <c r="K61" s="46">
        <f t="shared" si="69"/>
        <v>34.008929620000004</v>
      </c>
      <c r="L61" s="184">
        <v>815</v>
      </c>
      <c r="M61" s="184">
        <v>700</v>
      </c>
      <c r="N61" s="47">
        <f t="shared" si="70"/>
        <v>0.14110429447852757</v>
      </c>
      <c r="O61" s="48">
        <f>+'[2]Trim Rwd'!H40</f>
        <v>326</v>
      </c>
      <c r="P61" s="49">
        <f t="shared" si="71"/>
        <v>251020</v>
      </c>
      <c r="Q61" s="56">
        <v>790</v>
      </c>
      <c r="R61" s="123">
        <v>0</v>
      </c>
      <c r="S61" s="123">
        <v>20</v>
      </c>
      <c r="T61" s="50">
        <f t="shared" si="72"/>
        <v>33.351430000000001</v>
      </c>
      <c r="U61" s="50">
        <f t="shared" si="73"/>
        <v>32.507089999999998</v>
      </c>
      <c r="V61" s="50">
        <f t="shared" si="74"/>
        <v>0.85987999999999998</v>
      </c>
      <c r="W61" s="50">
        <f>+'[2]13'!K13/1000</f>
        <v>29.681999999999999</v>
      </c>
      <c r="X61" s="55"/>
      <c r="Y61" s="52"/>
      <c r="Z61" s="50"/>
      <c r="AA61" s="50"/>
      <c r="AB61" s="50"/>
      <c r="AC61" s="50">
        <f>K61-T61</f>
        <v>0.65749962000000295</v>
      </c>
      <c r="AD61" s="50">
        <f t="shared" ref="AD61:AD62" si="75">+AM61+BA61</f>
        <v>20</v>
      </c>
      <c r="AE61" s="191" t="s">
        <v>129</v>
      </c>
      <c r="AF61" s="50"/>
      <c r="AG61" s="50">
        <v>20</v>
      </c>
      <c r="AH61" s="50"/>
      <c r="AI61" s="54"/>
      <c r="AJ61" s="50"/>
      <c r="AK61" s="50"/>
      <c r="AL61" s="50"/>
      <c r="AM61" s="50">
        <f>SUM(AF61:AL61)+AT61+AV61+AX61</f>
        <v>20</v>
      </c>
      <c r="AN61" s="50"/>
      <c r="AO61" s="50"/>
      <c r="AP61" s="50"/>
      <c r="AQ61" s="50"/>
      <c r="AR61" s="50">
        <f t="shared" ref="AR61:AR62" si="76">SUM(AN61:AQ61)</f>
        <v>0</v>
      </c>
      <c r="AS61" s="50"/>
      <c r="AT61" s="50"/>
      <c r="AU61" s="50"/>
      <c r="AV61" s="50"/>
      <c r="AW61" s="50"/>
      <c r="AX61" s="50"/>
      <c r="AY61" s="50"/>
      <c r="AZ61" s="50"/>
      <c r="BA61" s="50">
        <f>+AR61+AS61+AU61+AW61+AY61+AZ61</f>
        <v>0</v>
      </c>
      <c r="BB61" s="180"/>
      <c r="BC61" s="146">
        <v>8</v>
      </c>
      <c r="BD61" s="146"/>
      <c r="BE61" s="180"/>
      <c r="BF61" s="146"/>
    </row>
    <row r="62" spans="1:58" ht="12.95" customHeight="1" x14ac:dyDescent="0.2">
      <c r="A62" s="117"/>
      <c r="B62" s="118"/>
      <c r="C62" s="119"/>
      <c r="D62" s="118"/>
      <c r="E62" s="37"/>
      <c r="F62" s="37"/>
      <c r="G62" s="190"/>
      <c r="H62" s="192"/>
      <c r="I62" s="45"/>
      <c r="J62" s="46"/>
      <c r="K62" s="46"/>
      <c r="L62" s="184"/>
      <c r="M62" s="184"/>
      <c r="N62" s="47"/>
      <c r="O62" s="48"/>
      <c r="P62" s="49"/>
      <c r="Q62" s="56"/>
      <c r="R62" s="123"/>
      <c r="S62" s="123"/>
      <c r="T62" s="50"/>
      <c r="U62" s="50"/>
      <c r="V62" s="50"/>
      <c r="W62" s="50"/>
      <c r="X62" s="51"/>
      <c r="Y62" s="52"/>
      <c r="Z62" s="50"/>
      <c r="AA62" s="53"/>
      <c r="AB62" s="53"/>
      <c r="AC62" s="50"/>
      <c r="AD62" s="50">
        <f t="shared" si="75"/>
        <v>17</v>
      </c>
      <c r="AE62" s="211" t="s">
        <v>162</v>
      </c>
      <c r="AF62" s="50"/>
      <c r="AG62" s="50"/>
      <c r="AH62" s="50">
        <v>17</v>
      </c>
      <c r="AI62" s="54"/>
      <c r="AJ62" s="50"/>
      <c r="AK62" s="50"/>
      <c r="AL62" s="50"/>
      <c r="AM62" s="50">
        <f>SUM(AF62:AL62)+AT62+AV62+AX62</f>
        <v>17</v>
      </c>
      <c r="AN62" s="50"/>
      <c r="AO62" s="50"/>
      <c r="AP62" s="50"/>
      <c r="AQ62" s="50"/>
      <c r="AR62" s="50">
        <f t="shared" si="76"/>
        <v>0</v>
      </c>
      <c r="AS62" s="50"/>
      <c r="AT62" s="50"/>
      <c r="AU62" s="50"/>
      <c r="AV62" s="50"/>
      <c r="AW62" s="50"/>
      <c r="AX62" s="50"/>
      <c r="AY62" s="50"/>
      <c r="AZ62" s="50"/>
      <c r="BA62" s="50">
        <f>+AR62+AS62+AU62+AW62+AY62+AZ62</f>
        <v>0</v>
      </c>
      <c r="BB62" s="180"/>
      <c r="BC62" s="116"/>
      <c r="BD62" s="116"/>
      <c r="BE62" s="180"/>
      <c r="BF62" s="116"/>
    </row>
    <row r="63" spans="1:58" ht="12.95" customHeight="1" x14ac:dyDescent="0.2">
      <c r="A63" s="117"/>
      <c r="B63" s="118"/>
      <c r="C63" s="119"/>
      <c r="D63" s="118"/>
      <c r="E63" s="37"/>
      <c r="F63" s="37"/>
      <c r="G63" s="188"/>
      <c r="H63" s="192"/>
      <c r="I63" s="45"/>
      <c r="J63" s="46"/>
      <c r="K63" s="46"/>
      <c r="L63" s="184"/>
      <c r="M63" s="184"/>
      <c r="N63" s="47"/>
      <c r="O63" s="48"/>
      <c r="P63" s="49"/>
      <c r="Q63" s="48"/>
      <c r="R63" s="123"/>
      <c r="S63" s="123"/>
      <c r="T63" s="50"/>
      <c r="U63" s="50"/>
      <c r="V63" s="50"/>
      <c r="W63" s="50"/>
      <c r="X63" s="55"/>
      <c r="Y63" s="52"/>
      <c r="Z63" s="50"/>
      <c r="AA63" s="50"/>
      <c r="AB63" s="50"/>
      <c r="AC63" s="50"/>
      <c r="AD63" s="50"/>
      <c r="AE63" s="191"/>
      <c r="AF63" s="50"/>
      <c r="AG63" s="50"/>
      <c r="AH63" s="50"/>
      <c r="AI63" s="54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180"/>
      <c r="BC63" s="116"/>
      <c r="BD63" s="116"/>
      <c r="BE63" s="180"/>
      <c r="BF63" s="116"/>
    </row>
    <row r="64" spans="1:58" ht="12.95" customHeight="1" x14ac:dyDescent="0.2">
      <c r="A64" s="117">
        <v>45975</v>
      </c>
      <c r="B64" s="118" t="s">
        <v>197</v>
      </c>
      <c r="C64" s="119">
        <f t="shared" ref="C64:C65" si="77">(M64*E64*O64*Q64)/100000000</f>
        <v>58.757077809999991</v>
      </c>
      <c r="D64" s="118" t="s">
        <v>198</v>
      </c>
      <c r="E64" s="37">
        <v>18.5</v>
      </c>
      <c r="F64" s="37">
        <v>1</v>
      </c>
      <c r="G64" s="190">
        <v>830</v>
      </c>
      <c r="H64" s="192">
        <v>0.14000000000000001</v>
      </c>
      <c r="I64" s="45">
        <v>0.88</v>
      </c>
      <c r="J64" s="46">
        <f t="shared" ref="J64:J65" si="78">E64*G64*(1-H64)*1440/1000000*3.4</f>
        <v>64.653148799999997</v>
      </c>
      <c r="K64" s="46">
        <f t="shared" ref="K64:K65" si="79">(IF(G64&lt;L64,L64,G64)*(1-IF(H64&lt;N64,H64,N64))*E64*O64*Q64)/100000000</f>
        <v>59.838496419999998</v>
      </c>
      <c r="L64" s="184">
        <v>815</v>
      </c>
      <c r="M64" s="184">
        <v>700.9</v>
      </c>
      <c r="N64" s="47">
        <f t="shared" ref="N64:N65" si="80">1-(M64/L64)</f>
        <v>0.14000000000000001</v>
      </c>
      <c r="O64" s="48">
        <f>+'[2]Trim Rwd'!H42</f>
        <v>326</v>
      </c>
      <c r="P64" s="49">
        <f t="shared" ref="P64:P65" si="81">O64*(Q64-R64-S64)</f>
        <v>443360</v>
      </c>
      <c r="Q64" s="56">
        <v>1390</v>
      </c>
      <c r="R64" s="123">
        <v>0</v>
      </c>
      <c r="S64" s="123">
        <v>30</v>
      </c>
      <c r="T64" s="50">
        <f t="shared" ref="T64:T65" si="82">E64*M64*O64*Q64/100000000</f>
        <v>58.757077809999991</v>
      </c>
      <c r="U64" s="50">
        <f t="shared" ref="U64:U65" si="83">E64*M64*O64*(Q64-R64-S64)/100000000</f>
        <v>57.488939439999989</v>
      </c>
      <c r="V64" s="50">
        <f t="shared" ref="V64:V65" si="84">E64*G64*(1-N64)*O64/100*(R64+S64)/1000000</f>
        <v>1.2914783399999998</v>
      </c>
      <c r="W64" s="50">
        <f>+'[2]14'!K13/1000</f>
        <v>58.000999999999998</v>
      </c>
      <c r="X64" s="55">
        <f>SUM(W64:W67)/SUM(K64:K67)</f>
        <v>0.9246224666005588</v>
      </c>
      <c r="Y64" s="52">
        <v>0</v>
      </c>
      <c r="Z64" s="50">
        <f>+'[2]14'!D34/1000</f>
        <v>0.9</v>
      </c>
      <c r="AA64" s="50">
        <f>SUM(U64:U67)-SUM(W64:W67)-SUM(Z64:Z67)-SUM(Y64:Y67)</f>
        <v>0.62549443999998855</v>
      </c>
      <c r="AB64" s="50">
        <f>(SUM(K64:K67)-SUM(W64:W67)-SUM(Y64:Y67)-SUM(Z64:Z67)-SUM(AC64:AC67)-SUM(V64:V67))-AA64</f>
        <v>-8.6033969999996018E-2</v>
      </c>
      <c r="AC64" s="50">
        <f>K64-T64</f>
        <v>1.0814186100000072</v>
      </c>
      <c r="AD64" s="50">
        <f>+AM64+BA64</f>
        <v>0</v>
      </c>
      <c r="AE64" s="187" t="s">
        <v>110</v>
      </c>
      <c r="AF64" s="180">
        <v>0</v>
      </c>
      <c r="AG64" s="180"/>
      <c r="AH64" s="180"/>
      <c r="AJ64" s="50"/>
      <c r="AK64" s="50"/>
      <c r="AL64" s="50"/>
      <c r="AM64" s="50">
        <f>SUM(AF64:AL64)+AT64+AV64+AX64</f>
        <v>0</v>
      </c>
      <c r="AN64" s="50"/>
      <c r="AO64" s="50"/>
      <c r="AP64" s="50"/>
      <c r="AQ64" s="50"/>
      <c r="AR64" s="50">
        <f>SUM(AN64:AQ64)</f>
        <v>0</v>
      </c>
      <c r="AS64" s="50"/>
      <c r="AT64" s="50"/>
      <c r="AU64" s="50"/>
      <c r="AV64" s="50"/>
      <c r="AW64" s="50"/>
      <c r="AX64" s="50"/>
      <c r="AY64" s="50"/>
      <c r="AZ64" s="50"/>
      <c r="BA64" s="50">
        <f>+AR64+AS64+AU64+AW64+AY64+AZ64</f>
        <v>0</v>
      </c>
      <c r="BB64" s="180">
        <v>1</v>
      </c>
      <c r="BC64" s="146"/>
      <c r="BD64" s="146"/>
      <c r="BE64" s="180"/>
      <c r="BF64" s="146"/>
    </row>
    <row r="65" spans="1:58" ht="12.95" customHeight="1" x14ac:dyDescent="0.2">
      <c r="A65" s="117"/>
      <c r="B65" s="118" t="s">
        <v>197</v>
      </c>
      <c r="C65" s="119">
        <f t="shared" si="77"/>
        <v>2.2639499999999999</v>
      </c>
      <c r="D65" s="118" t="s">
        <v>198</v>
      </c>
      <c r="E65" s="37">
        <v>25</v>
      </c>
      <c r="F65" s="37">
        <v>1</v>
      </c>
      <c r="G65" s="190">
        <v>830</v>
      </c>
      <c r="H65" s="192">
        <v>0.14000000000000001</v>
      </c>
      <c r="I65" s="45">
        <v>0.88</v>
      </c>
      <c r="J65" s="46">
        <f t="shared" si="78"/>
        <v>87.369119999999995</v>
      </c>
      <c r="K65" s="46">
        <f t="shared" si="79"/>
        <v>2.8908900000000002</v>
      </c>
      <c r="L65" s="184">
        <v>650</v>
      </c>
      <c r="M65" s="184">
        <v>559</v>
      </c>
      <c r="N65" s="47">
        <f t="shared" si="80"/>
        <v>0.14000000000000001</v>
      </c>
      <c r="O65" s="48">
        <f>+'[2]Trim Rwd'!H43</f>
        <v>324</v>
      </c>
      <c r="P65" s="49">
        <f t="shared" si="81"/>
        <v>14580</v>
      </c>
      <c r="Q65" s="56">
        <v>50</v>
      </c>
      <c r="R65" s="123">
        <v>0</v>
      </c>
      <c r="S65" s="123">
        <v>5</v>
      </c>
      <c r="T65" s="50">
        <f t="shared" si="82"/>
        <v>2.2639499999999999</v>
      </c>
      <c r="U65" s="50">
        <f t="shared" si="83"/>
        <v>2.0375549999999998</v>
      </c>
      <c r="V65" s="50">
        <f t="shared" si="84"/>
        <v>0.28908899999999998</v>
      </c>
      <c r="W65" s="50">
        <f>+'[2]14'!K14/1000</f>
        <v>0</v>
      </c>
      <c r="X65" s="55"/>
      <c r="Y65" s="52"/>
      <c r="Z65" s="50"/>
      <c r="AA65" s="50"/>
      <c r="AB65" s="50"/>
      <c r="AC65" s="50">
        <f>K65-T65</f>
        <v>0.62694000000000027</v>
      </c>
      <c r="AD65" s="50">
        <f t="shared" ref="AD65:AD66" si="85">+AM65+BA65</f>
        <v>18</v>
      </c>
      <c r="AE65" s="191" t="s">
        <v>163</v>
      </c>
      <c r="AF65" s="50"/>
      <c r="AG65" s="50">
        <v>18</v>
      </c>
      <c r="AH65" s="50"/>
      <c r="AI65" s="54"/>
      <c r="AJ65" s="50"/>
      <c r="AK65" s="50"/>
      <c r="AL65" s="50"/>
      <c r="AM65" s="50">
        <f>SUM(AF65:AL65)+AT65+AV65+AX65</f>
        <v>18</v>
      </c>
      <c r="AN65" s="50"/>
      <c r="AO65" s="50"/>
      <c r="AP65" s="50"/>
      <c r="AQ65" s="50"/>
      <c r="AR65" s="50">
        <f t="shared" ref="AR65:AR66" si="86">SUM(AN65:AQ65)</f>
        <v>0</v>
      </c>
      <c r="AS65" s="50"/>
      <c r="AT65" s="50"/>
      <c r="AU65" s="50"/>
      <c r="AV65" s="50"/>
      <c r="AW65" s="50"/>
      <c r="AX65" s="50"/>
      <c r="AY65" s="50"/>
      <c r="AZ65" s="50"/>
      <c r="BA65" s="50">
        <f>+AR65+AS65+AU65+AW65+AY65+AZ65</f>
        <v>0</v>
      </c>
      <c r="BB65" s="180"/>
      <c r="BC65" s="146">
        <v>8</v>
      </c>
      <c r="BD65" s="146"/>
      <c r="BE65" s="180"/>
      <c r="BF65" s="146"/>
    </row>
    <row r="66" spans="1:58" ht="12.95" customHeight="1" x14ac:dyDescent="0.2">
      <c r="A66" s="117"/>
      <c r="B66" s="118"/>
      <c r="C66" s="119"/>
      <c r="D66" s="118"/>
      <c r="E66" s="37"/>
      <c r="F66" s="37"/>
      <c r="G66" s="190"/>
      <c r="H66" s="192"/>
      <c r="I66" s="45"/>
      <c r="J66" s="46"/>
      <c r="K66" s="46"/>
      <c r="L66" s="184"/>
      <c r="M66" s="184"/>
      <c r="N66" s="47"/>
      <c r="O66" s="48"/>
      <c r="P66" s="49"/>
      <c r="Q66" s="56"/>
      <c r="R66" s="123"/>
      <c r="S66" s="123"/>
      <c r="T66" s="50"/>
      <c r="U66" s="50"/>
      <c r="V66" s="50"/>
      <c r="W66" s="50"/>
      <c r="X66" s="51"/>
      <c r="Y66" s="52"/>
      <c r="Z66" s="50"/>
      <c r="AA66" s="53"/>
      <c r="AB66" s="53"/>
      <c r="AC66" s="50"/>
      <c r="AD66" s="50">
        <f t="shared" si="85"/>
        <v>17</v>
      </c>
      <c r="AE66" s="211" t="s">
        <v>162</v>
      </c>
      <c r="AF66" s="50"/>
      <c r="AG66" s="50"/>
      <c r="AH66" s="50">
        <v>17</v>
      </c>
      <c r="AI66" s="54"/>
      <c r="AJ66" s="50"/>
      <c r="AK66" s="50"/>
      <c r="AL66" s="50"/>
      <c r="AM66" s="50">
        <f>SUM(AF66:AL66)+AT66+AV66+AX66</f>
        <v>17</v>
      </c>
      <c r="AN66" s="50"/>
      <c r="AO66" s="50"/>
      <c r="AP66" s="50"/>
      <c r="AQ66" s="50"/>
      <c r="AR66" s="50">
        <f t="shared" si="86"/>
        <v>0</v>
      </c>
      <c r="AS66" s="50"/>
      <c r="AT66" s="50"/>
      <c r="AU66" s="50"/>
      <c r="AV66" s="50"/>
      <c r="AW66" s="50"/>
      <c r="AX66" s="50"/>
      <c r="AY66" s="50"/>
      <c r="AZ66" s="50"/>
      <c r="BA66" s="50">
        <f>+AR66+AS66+AU66+AW66+AY66+AZ66</f>
        <v>0</v>
      </c>
      <c r="BB66" s="180"/>
      <c r="BC66" s="116"/>
      <c r="BD66" s="116"/>
      <c r="BE66" s="180"/>
      <c r="BF66" s="116"/>
    </row>
    <row r="67" spans="1:58" ht="12.95" customHeight="1" x14ac:dyDescent="0.2">
      <c r="A67" s="117"/>
      <c r="B67" s="118"/>
      <c r="C67" s="119"/>
      <c r="D67" s="118"/>
      <c r="E67" s="37"/>
      <c r="F67" s="37"/>
      <c r="G67" s="188"/>
      <c r="H67" s="192"/>
      <c r="I67" s="45"/>
      <c r="J67" s="46"/>
      <c r="K67" s="46"/>
      <c r="L67" s="184"/>
      <c r="M67" s="184"/>
      <c r="N67" s="47"/>
      <c r="O67" s="48"/>
      <c r="P67" s="49"/>
      <c r="Q67" s="48"/>
      <c r="R67" s="123"/>
      <c r="S67" s="123"/>
      <c r="T67" s="50"/>
      <c r="U67" s="50"/>
      <c r="V67" s="50"/>
      <c r="W67" s="50"/>
      <c r="X67" s="55"/>
      <c r="Y67" s="52"/>
      <c r="Z67" s="50"/>
      <c r="AA67" s="50"/>
      <c r="AB67" s="50"/>
      <c r="AC67" s="50"/>
      <c r="AD67" s="50"/>
      <c r="AE67" s="191"/>
      <c r="AF67" s="50"/>
      <c r="AG67" s="50"/>
      <c r="AH67" s="50"/>
      <c r="AI67" s="54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180"/>
      <c r="BC67" s="116"/>
      <c r="BD67" s="116"/>
      <c r="BE67" s="180"/>
      <c r="BF67" s="116"/>
    </row>
    <row r="68" spans="1:58" ht="12.95" customHeight="1" x14ac:dyDescent="0.2">
      <c r="A68" s="117">
        <v>45976</v>
      </c>
      <c r="B68" s="118" t="s">
        <v>197</v>
      </c>
      <c r="C68" s="119">
        <f t="shared" ref="C68:C70" si="87">(M68*E68*O68*Q68)/100000000</f>
        <v>29.884139999999999</v>
      </c>
      <c r="D68" s="118" t="s">
        <v>198</v>
      </c>
      <c r="E68" s="37">
        <v>25</v>
      </c>
      <c r="F68" s="37">
        <v>1</v>
      </c>
      <c r="G68" s="190">
        <v>830</v>
      </c>
      <c r="H68" s="192">
        <v>0.14000000000000001</v>
      </c>
      <c r="I68" s="45">
        <v>0.88</v>
      </c>
      <c r="J68" s="46">
        <f t="shared" ref="J68:J70" si="88">E68*G68*(1-H68)*1440/1000000*3.4</f>
        <v>87.369119999999995</v>
      </c>
      <c r="K68" s="46">
        <f t="shared" ref="K68:K70" si="89">(IF(G68&lt;L68,L68,G68)*(1-IF(H68&lt;N68,H68,N68))*E68*O68*Q68)/100000000</f>
        <v>38.159748</v>
      </c>
      <c r="L68" s="184">
        <v>650</v>
      </c>
      <c r="M68" s="184">
        <f>+L68-L68*0.14</f>
        <v>559</v>
      </c>
      <c r="N68" s="47">
        <f t="shared" ref="N68:N70" si="90">1-(M68/L68)</f>
        <v>0.14000000000000001</v>
      </c>
      <c r="O68" s="48">
        <f>+'[2]Trim Rwd'!H45</f>
        <v>324</v>
      </c>
      <c r="P68" s="49">
        <f t="shared" ref="P68:P70" si="91">O68*(Q68-R68-S68)</f>
        <v>209304</v>
      </c>
      <c r="Q68" s="48">
        <f>480+180</f>
        <v>660</v>
      </c>
      <c r="R68" s="123">
        <v>0</v>
      </c>
      <c r="S68" s="123">
        <v>14</v>
      </c>
      <c r="T68" s="50">
        <f t="shared" ref="T68:T70" si="92">E68*M68*O68*Q68/100000000</f>
        <v>29.884139999999999</v>
      </c>
      <c r="U68" s="50">
        <f t="shared" ref="U68:U70" si="93">E68*M68*O68*(Q68-R68-S68)/100000000</f>
        <v>29.250233999999999</v>
      </c>
      <c r="V68" s="50">
        <f t="shared" ref="V68:V70" si="94">E68*G68*(1-N68)*O68/100*(R68+S68)/1000000</f>
        <v>0.80944920000000009</v>
      </c>
      <c r="W68" s="50">
        <f>+'[2]15'!K14/1000</f>
        <v>23.273</v>
      </c>
      <c r="X68" s="55">
        <f>SUM(W68:W71)/SUM(K68:K71)</f>
        <v>0.59369039719402683</v>
      </c>
      <c r="Y68" s="52">
        <v>0</v>
      </c>
      <c r="Z68" s="50">
        <f>+('[2]15'!D7+'[2]15'!D16)/1000</f>
        <v>4.1719999999999997</v>
      </c>
      <c r="AA68" s="50">
        <f>SUM(U68:U71)-SUM(W68:W71)-SUM(Z68:Z71)-SUM(Y68:Y71)</f>
        <v>6.4466009599999925</v>
      </c>
      <c r="AB68" s="50">
        <f>(SUM(K68:K71)-SUM(W68:W71)-SUM(Y68:Y71)-SUM(Z68:Z71)-SUM(AC68:AC71)-SUM(V68:V71))-AA68</f>
        <v>-0.20713644000000553</v>
      </c>
      <c r="AC68" s="50">
        <f>K68-T68</f>
        <v>8.2756080000000019</v>
      </c>
      <c r="AD68" s="50">
        <f>+AM68+BA68</f>
        <v>4</v>
      </c>
      <c r="AE68" s="187" t="s">
        <v>116</v>
      </c>
      <c r="AF68" s="180">
        <v>4</v>
      </c>
      <c r="AG68" s="180"/>
      <c r="AH68" s="180"/>
      <c r="AJ68" s="50"/>
      <c r="AK68" s="50"/>
      <c r="AL68" s="50"/>
      <c r="AM68" s="50">
        <f>SUM(AF68:AL68)+AT68+AV68+AX68</f>
        <v>4</v>
      </c>
      <c r="AN68" s="50"/>
      <c r="AO68" s="50"/>
      <c r="AP68" s="50"/>
      <c r="AQ68" s="50"/>
      <c r="AR68" s="50">
        <f>SUM(AN68:AQ68)</f>
        <v>0</v>
      </c>
      <c r="AS68" s="50"/>
      <c r="AT68" s="50"/>
      <c r="AU68" s="50"/>
      <c r="AV68" s="50"/>
      <c r="AW68" s="50"/>
      <c r="AX68" s="50"/>
      <c r="AY68" s="50"/>
      <c r="AZ68" s="50"/>
      <c r="BA68" s="50">
        <f>+AR68+AS68+AU68+AW68+AY68+AZ68</f>
        <v>0</v>
      </c>
      <c r="BB68" s="180">
        <v>1</v>
      </c>
      <c r="BC68" s="146"/>
      <c r="BD68" s="146"/>
      <c r="BE68" s="180"/>
      <c r="BF68" s="146"/>
    </row>
    <row r="69" spans="1:58" ht="12.95" customHeight="1" x14ac:dyDescent="0.2">
      <c r="A69" s="117"/>
      <c r="B69" s="118" t="s">
        <v>197</v>
      </c>
      <c r="C69" s="119">
        <f t="shared" si="87"/>
        <v>12.260160000000001</v>
      </c>
      <c r="D69" s="118" t="s">
        <v>198</v>
      </c>
      <c r="E69" s="37">
        <v>20</v>
      </c>
      <c r="F69" s="37">
        <v>1</v>
      </c>
      <c r="G69" s="190">
        <v>830</v>
      </c>
      <c r="H69" s="192">
        <v>0.14000000000000001</v>
      </c>
      <c r="I69" s="45">
        <v>0.88</v>
      </c>
      <c r="J69" s="46">
        <f t="shared" si="88"/>
        <v>69.895296000000002</v>
      </c>
      <c r="K69" s="46">
        <f t="shared" si="89"/>
        <v>12.719916</v>
      </c>
      <c r="L69" s="184">
        <v>800</v>
      </c>
      <c r="M69" s="184">
        <f t="shared" ref="M69" si="95">+L69-L69*0.14</f>
        <v>688</v>
      </c>
      <c r="N69" s="47">
        <f t="shared" si="90"/>
        <v>0.14000000000000001</v>
      </c>
      <c r="O69" s="48">
        <f>+'[2]Trim Rwd'!H46</f>
        <v>330</v>
      </c>
      <c r="P69" s="49">
        <f t="shared" si="91"/>
        <v>84480</v>
      </c>
      <c r="Q69" s="56">
        <v>270</v>
      </c>
      <c r="R69" s="123">
        <v>0</v>
      </c>
      <c r="S69" s="123">
        <v>14</v>
      </c>
      <c r="T69" s="50">
        <f t="shared" si="92"/>
        <v>12.260160000000001</v>
      </c>
      <c r="U69" s="50">
        <f t="shared" si="93"/>
        <v>11.624447999999999</v>
      </c>
      <c r="V69" s="50">
        <f t="shared" si="94"/>
        <v>0.65955120000000012</v>
      </c>
      <c r="W69" s="50">
        <f>+'[2]15'!K15/1000</f>
        <v>2.9689999999999999</v>
      </c>
      <c r="X69" s="55"/>
      <c r="Y69" s="52"/>
      <c r="Z69" s="50">
        <f>+('[2]15'!D17+'[2]15'!D25)/1000</f>
        <v>5.415</v>
      </c>
      <c r="AA69" s="50"/>
      <c r="AB69" s="50"/>
      <c r="AC69" s="50">
        <f>K69-T69</f>
        <v>0.45975599999999872</v>
      </c>
      <c r="AD69" s="50">
        <f t="shared" ref="AD69:AD71" si="96">+AM69+BA69</f>
        <v>14</v>
      </c>
      <c r="AE69" s="191" t="s">
        <v>131</v>
      </c>
      <c r="AF69" s="50"/>
      <c r="AG69" s="50">
        <v>14</v>
      </c>
      <c r="AH69" s="50"/>
      <c r="AI69" s="54"/>
      <c r="AJ69" s="50"/>
      <c r="AK69" s="50"/>
      <c r="AL69" s="50"/>
      <c r="AM69" s="50">
        <f>SUM(AF69:AL69)+AT69+AV69+AX69</f>
        <v>14</v>
      </c>
      <c r="AN69" s="50"/>
      <c r="AO69" s="50"/>
      <c r="AP69" s="50"/>
      <c r="AQ69" s="50"/>
      <c r="AR69" s="50">
        <f t="shared" ref="AR69:AR70" si="97">SUM(AN69:AQ69)</f>
        <v>0</v>
      </c>
      <c r="AS69" s="50"/>
      <c r="AT69" s="50"/>
      <c r="AU69" s="50"/>
      <c r="AV69" s="50"/>
      <c r="AW69" s="50"/>
      <c r="AX69" s="50"/>
      <c r="AY69" s="50"/>
      <c r="AZ69" s="50"/>
      <c r="BA69" s="50">
        <f>+AR69+AS69+AU69+AW69+AY69+AZ69</f>
        <v>0</v>
      </c>
      <c r="BB69" s="180"/>
      <c r="BC69" s="146">
        <v>4</v>
      </c>
      <c r="BD69" s="146"/>
      <c r="BE69" s="180"/>
      <c r="BF69" s="146"/>
    </row>
    <row r="70" spans="1:58" ht="12.95" customHeight="1" x14ac:dyDescent="0.2">
      <c r="A70" s="117"/>
      <c r="B70" s="118" t="s">
        <v>121</v>
      </c>
      <c r="C70" s="119">
        <f t="shared" si="87"/>
        <v>24.657847199999996</v>
      </c>
      <c r="D70" s="118" t="s">
        <v>198</v>
      </c>
      <c r="E70" s="37">
        <v>31.5</v>
      </c>
      <c r="F70" s="37">
        <v>1</v>
      </c>
      <c r="G70" s="190">
        <v>535</v>
      </c>
      <c r="H70" s="192">
        <v>0.12</v>
      </c>
      <c r="I70" s="45">
        <v>0.88</v>
      </c>
      <c r="J70" s="46">
        <f t="shared" si="88"/>
        <v>72.608659200000005</v>
      </c>
      <c r="K70" s="46">
        <f t="shared" si="89"/>
        <v>24.8904684</v>
      </c>
      <c r="L70" s="184">
        <v>530</v>
      </c>
      <c r="M70" s="184">
        <f>+L70-L70*0.12</f>
        <v>466.4</v>
      </c>
      <c r="N70" s="47">
        <f t="shared" si="90"/>
        <v>0.12</v>
      </c>
      <c r="O70" s="48">
        <f>+'[2]Trim Rwd'!H47</f>
        <v>329.09090909090907</v>
      </c>
      <c r="P70" s="49">
        <f t="shared" si="91"/>
        <v>162241.81818181818</v>
      </c>
      <c r="Q70" s="48">
        <f>30+480</f>
        <v>510</v>
      </c>
      <c r="R70" s="123">
        <v>0</v>
      </c>
      <c r="S70" s="123">
        <v>17</v>
      </c>
      <c r="T70" s="50">
        <f t="shared" si="92"/>
        <v>24.657847199999996</v>
      </c>
      <c r="U70" s="50">
        <f t="shared" si="93"/>
        <v>23.835918959999994</v>
      </c>
      <c r="V70" s="50">
        <f t="shared" si="94"/>
        <v>0.82968227999999988</v>
      </c>
      <c r="W70" s="50">
        <f>+'[2]15'!K16/1000</f>
        <v>15.468</v>
      </c>
      <c r="X70" s="51"/>
      <c r="Y70" s="52"/>
      <c r="Z70" s="50">
        <f>+'[2]15'!D26/1000</f>
        <v>3.6930000000000001</v>
      </c>
      <c r="AA70" s="53"/>
      <c r="AB70" s="53"/>
      <c r="AC70" s="50">
        <f>K70-T70</f>
        <v>0.23262120000000408</v>
      </c>
      <c r="AD70" s="50">
        <f t="shared" si="96"/>
        <v>17</v>
      </c>
      <c r="AE70" s="211" t="s">
        <v>162</v>
      </c>
      <c r="AF70" s="50"/>
      <c r="AG70" s="50"/>
      <c r="AH70" s="50">
        <v>17</v>
      </c>
      <c r="AI70" s="54"/>
      <c r="AJ70" s="50"/>
      <c r="AK70" s="50"/>
      <c r="AL70" s="50"/>
      <c r="AM70" s="50">
        <f>SUM(AF70:AL70)+AT70+AV70+AX70</f>
        <v>17</v>
      </c>
      <c r="AN70" s="50"/>
      <c r="AO70" s="50"/>
      <c r="AP70" s="50"/>
      <c r="AQ70" s="50"/>
      <c r="AR70" s="50">
        <f t="shared" si="97"/>
        <v>0</v>
      </c>
      <c r="AS70" s="50"/>
      <c r="AT70" s="50"/>
      <c r="AU70" s="50"/>
      <c r="AV70" s="50"/>
      <c r="AW70" s="50"/>
      <c r="AX70" s="50"/>
      <c r="AY70" s="50"/>
      <c r="AZ70" s="50"/>
      <c r="BA70" s="50">
        <f>+AR70+AS70+AU70+AW70+AY70+AZ70</f>
        <v>0</v>
      </c>
      <c r="BB70" s="180"/>
      <c r="BC70" s="116"/>
      <c r="BD70" s="116"/>
      <c r="BE70" s="180"/>
      <c r="BF70" s="116"/>
    </row>
    <row r="71" spans="1:58" ht="12.95" customHeight="1" x14ac:dyDescent="0.2">
      <c r="A71" s="117"/>
      <c r="B71" s="118" t="s">
        <v>197</v>
      </c>
      <c r="C71" s="119"/>
      <c r="D71" s="118"/>
      <c r="E71" s="37">
        <v>18.5</v>
      </c>
      <c r="F71" s="37"/>
      <c r="G71" s="188"/>
      <c r="H71" s="192"/>
      <c r="I71" s="45"/>
      <c r="J71" s="46"/>
      <c r="K71" s="46"/>
      <c r="L71" s="184"/>
      <c r="M71" s="184"/>
      <c r="N71" s="47"/>
      <c r="O71" s="48"/>
      <c r="P71" s="49"/>
      <c r="Q71" s="48"/>
      <c r="R71" s="123"/>
      <c r="S71" s="123"/>
      <c r="T71" s="50"/>
      <c r="U71" s="50"/>
      <c r="V71" s="50"/>
      <c r="W71" s="50">
        <f>+'[2]15'!K13/1000</f>
        <v>3.274</v>
      </c>
      <c r="X71" s="55"/>
      <c r="Y71" s="52"/>
      <c r="Z71" s="50"/>
      <c r="AA71" s="50"/>
      <c r="AB71" s="50"/>
      <c r="AC71" s="50"/>
      <c r="AD71" s="50">
        <f t="shared" si="96"/>
        <v>10</v>
      </c>
      <c r="AE71" s="191" t="s">
        <v>124</v>
      </c>
      <c r="AF71" s="50"/>
      <c r="AG71" s="50"/>
      <c r="AH71" s="50"/>
      <c r="AI71" s="54">
        <v>10</v>
      </c>
      <c r="AJ71" s="50"/>
      <c r="AK71" s="50"/>
      <c r="AL71" s="50"/>
      <c r="AM71" s="50">
        <f>SUM(AF71:AL71)+AT71+AV71+AX71</f>
        <v>10</v>
      </c>
      <c r="AN71" s="50"/>
      <c r="AO71" s="50"/>
      <c r="AP71" s="50"/>
      <c r="AQ71" s="50"/>
      <c r="AR71" s="50">
        <f t="shared" ref="AR71" si="98">SUM(AN71:AQ71)</f>
        <v>0</v>
      </c>
      <c r="AS71" s="50"/>
      <c r="AT71" s="50"/>
      <c r="AU71" s="50"/>
      <c r="AV71" s="50"/>
      <c r="AW71" s="50"/>
      <c r="AX71" s="50"/>
      <c r="AY71" s="50"/>
      <c r="AZ71" s="50"/>
      <c r="BA71" s="50">
        <f>+AR71+AS71+AU71+AW71+AY71+AZ71</f>
        <v>0</v>
      </c>
      <c r="BB71" s="180"/>
      <c r="BC71" s="116"/>
      <c r="BD71" s="116"/>
      <c r="BE71" s="180"/>
      <c r="BF71" s="116"/>
    </row>
    <row r="72" spans="1:58" ht="12.95" customHeight="1" x14ac:dyDescent="0.2">
      <c r="A72" s="117"/>
      <c r="B72" s="118"/>
      <c r="C72" s="119"/>
      <c r="D72" s="118"/>
      <c r="E72" s="37"/>
      <c r="F72" s="37"/>
      <c r="G72" s="188"/>
      <c r="H72" s="192"/>
      <c r="I72" s="45"/>
      <c r="J72" s="46"/>
      <c r="K72" s="46"/>
      <c r="L72" s="184"/>
      <c r="M72" s="184"/>
      <c r="N72" s="47"/>
      <c r="O72" s="48"/>
      <c r="P72" s="49"/>
      <c r="Q72" s="48"/>
      <c r="R72" s="123"/>
      <c r="S72" s="123"/>
      <c r="T72" s="50"/>
      <c r="U72" s="50"/>
      <c r="V72" s="50"/>
      <c r="W72" s="50"/>
      <c r="X72" s="55"/>
      <c r="Y72" s="52"/>
      <c r="Z72" s="50"/>
      <c r="AA72" s="50"/>
      <c r="AB72" s="50"/>
      <c r="AC72" s="50"/>
      <c r="AD72" s="50"/>
      <c r="AE72" s="191"/>
      <c r="AF72" s="50"/>
      <c r="AG72" s="50"/>
      <c r="AH72" s="50"/>
      <c r="AI72" s="54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180"/>
      <c r="BC72" s="116"/>
      <c r="BD72" s="116"/>
      <c r="BE72" s="180"/>
      <c r="BF72" s="116"/>
    </row>
    <row r="73" spans="1:58" ht="12.95" customHeight="1" x14ac:dyDescent="0.2">
      <c r="A73" s="117">
        <v>45977</v>
      </c>
      <c r="B73" s="118" t="s">
        <v>121</v>
      </c>
      <c r="C73" s="119">
        <f t="shared" ref="C73" si="99">(M73*E73*O73*Q73)/100000000</f>
        <v>69.717846678260884</v>
      </c>
      <c r="D73" s="118" t="s">
        <v>198</v>
      </c>
      <c r="E73" s="37">
        <v>31.5</v>
      </c>
      <c r="F73" s="37">
        <v>1</v>
      </c>
      <c r="G73" s="190">
        <v>535</v>
      </c>
      <c r="H73" s="192">
        <v>0.12</v>
      </c>
      <c r="I73" s="45">
        <v>0.88</v>
      </c>
      <c r="J73" s="46">
        <f t="shared" ref="J73" si="100">E73*G73*(1-H73)*1440/1000000*3.4</f>
        <v>72.608659200000005</v>
      </c>
      <c r="K73" s="46">
        <f t="shared" ref="K73" si="101">(IF(G73&lt;L73,L73,G73)*(1-IF(H73&lt;N73,H73,N73))*E73*O73*Q73)/100000000</f>
        <v>70.435970420869566</v>
      </c>
      <c r="L73" s="184">
        <v>530</v>
      </c>
      <c r="M73" s="184">
        <v>466</v>
      </c>
      <c r="N73" s="47">
        <f t="shared" ref="N73" si="102">1-(M73/L73)</f>
        <v>0.12075471698113205</v>
      </c>
      <c r="O73" s="48">
        <f>+'[2]Trim Rwd'!H51</f>
        <v>329.82608695652175</v>
      </c>
      <c r="P73" s="49">
        <f t="shared" ref="P73" si="103">O73*(Q73-R73-S73)</f>
        <v>470661.82608695654</v>
      </c>
      <c r="Q73" s="48">
        <v>1440</v>
      </c>
      <c r="R73" s="123">
        <v>0</v>
      </c>
      <c r="S73" s="123">
        <v>13</v>
      </c>
      <c r="T73" s="50">
        <f t="shared" ref="T73" si="104">E73*M73*O73*Q73/100000000</f>
        <v>69.717846678260884</v>
      </c>
      <c r="U73" s="50">
        <f t="shared" ref="U73" si="105">E73*M73*O73*(Q73-R73-S73)/100000000</f>
        <v>69.088449451304356</v>
      </c>
      <c r="V73" s="50">
        <f t="shared" ref="V73" si="106">E73*G73*(1-N73)*O73/100*(R73+S73)/1000000</f>
        <v>0.63533493664479079</v>
      </c>
      <c r="W73" s="50">
        <f>+'[2]16'!K34/1000</f>
        <v>69.228999999999999</v>
      </c>
      <c r="X73" s="51">
        <f>SUM(W73:W76)/SUM(K73:K76)</f>
        <v>0.98286428917415825</v>
      </c>
      <c r="Y73" s="52">
        <v>0</v>
      </c>
      <c r="Z73" s="50">
        <v>0</v>
      </c>
      <c r="AA73" s="53">
        <f>SUM(U73:U76)-SUM(W73:W76)-SUM(Z73:Z76)-SUM(Y73:Y76)</f>
        <v>-0.14055054869564287</v>
      </c>
      <c r="AB73" s="53">
        <f>(SUM(K73:K76)-SUM(W73:W76)-SUM(Y73:Y76)-SUM(Z73:Z76)-SUM(AC73:AC76)-SUM(V73:V76))-AA73</f>
        <v>-5.9377096882634595E-3</v>
      </c>
      <c r="AC73" s="50">
        <f>K73-T73</f>
        <v>0.71812374260868239</v>
      </c>
      <c r="AD73" s="50">
        <f>+AM73+BA73</f>
        <v>0</v>
      </c>
      <c r="AE73" s="191" t="s">
        <v>110</v>
      </c>
      <c r="AF73" s="50">
        <v>0</v>
      </c>
      <c r="AG73" s="50"/>
      <c r="AH73" s="50"/>
      <c r="AI73" s="50"/>
      <c r="AJ73" s="50"/>
      <c r="AK73" s="50"/>
      <c r="AL73" s="50"/>
      <c r="AM73" s="50">
        <f>SUM(AF73:AL73)+AT73+AV73+AX73</f>
        <v>0</v>
      </c>
      <c r="AN73" s="50"/>
      <c r="AO73" s="50"/>
      <c r="AP73" s="50"/>
      <c r="AQ73" s="50"/>
      <c r="AR73" s="50">
        <f>SUM(AN73:AQ73)</f>
        <v>0</v>
      </c>
      <c r="AS73" s="50"/>
      <c r="AT73" s="50"/>
      <c r="AU73" s="50"/>
      <c r="AV73" s="50"/>
      <c r="AW73" s="50"/>
      <c r="AX73" s="50"/>
      <c r="AY73" s="50"/>
      <c r="AZ73" s="50"/>
      <c r="BA73" s="50">
        <f>+AR73+AS73+AU73+AW73+AY73+AZ73</f>
        <v>0</v>
      </c>
      <c r="BB73" s="180">
        <v>0</v>
      </c>
      <c r="BC73" s="116"/>
      <c r="BD73" s="116"/>
      <c r="BE73" s="189"/>
      <c r="BF73" s="116"/>
    </row>
    <row r="74" spans="1:58" ht="12.95" customHeight="1" x14ac:dyDescent="0.2">
      <c r="A74" s="117"/>
      <c r="B74" s="118"/>
      <c r="C74" s="119"/>
      <c r="D74" s="118"/>
      <c r="E74" s="37"/>
      <c r="F74" s="37"/>
      <c r="G74" s="190"/>
      <c r="H74" s="192"/>
      <c r="I74" s="45"/>
      <c r="J74" s="46"/>
      <c r="K74" s="46"/>
      <c r="L74" s="184"/>
      <c r="M74" s="184"/>
      <c r="N74" s="47"/>
      <c r="O74" s="48"/>
      <c r="P74" s="49"/>
      <c r="Q74" s="48"/>
      <c r="R74" s="123"/>
      <c r="S74" s="123"/>
      <c r="T74" s="50"/>
      <c r="U74" s="50"/>
      <c r="V74" s="50"/>
      <c r="W74" s="50"/>
      <c r="X74" s="51"/>
      <c r="Y74" s="52"/>
      <c r="Z74" s="50"/>
      <c r="AA74" s="53"/>
      <c r="AB74" s="53"/>
      <c r="AC74" s="50"/>
      <c r="AD74" s="50">
        <f t="shared" ref="AD74:AD75" si="107">+AM74+BA74</f>
        <v>3</v>
      </c>
      <c r="AE74" s="191" t="s">
        <v>166</v>
      </c>
      <c r="AF74" s="50"/>
      <c r="AG74" s="50">
        <v>3</v>
      </c>
      <c r="AH74" s="50"/>
      <c r="AI74" s="50"/>
      <c r="AJ74" s="50"/>
      <c r="AK74" s="50"/>
      <c r="AL74" s="50"/>
      <c r="AM74" s="50">
        <f>SUM(AF74:AL74)+AT74+AV74+AX74</f>
        <v>3</v>
      </c>
      <c r="AN74" s="50"/>
      <c r="AO74" s="50"/>
      <c r="AP74" s="50"/>
      <c r="AQ74" s="50"/>
      <c r="AR74" s="50">
        <f t="shared" ref="AR74:AR75" si="108">SUM(AN74:AQ74)</f>
        <v>0</v>
      </c>
      <c r="AS74" s="50"/>
      <c r="AT74" s="50"/>
      <c r="AU74" s="50"/>
      <c r="AV74" s="50"/>
      <c r="AW74" s="50"/>
      <c r="AX74" s="50"/>
      <c r="AY74" s="50"/>
      <c r="AZ74" s="50"/>
      <c r="BA74" s="50">
        <f>+AR74+AS74+AU74+AW74+AY74+AZ74</f>
        <v>0</v>
      </c>
      <c r="BB74" s="180"/>
      <c r="BC74" s="116">
        <v>2</v>
      </c>
      <c r="BD74" s="146"/>
      <c r="BE74" s="180"/>
      <c r="BF74" s="146"/>
    </row>
    <row r="75" spans="1:58" ht="12.95" customHeight="1" x14ac:dyDescent="0.2">
      <c r="A75" s="117"/>
      <c r="B75" s="118"/>
      <c r="C75" s="119"/>
      <c r="D75" s="118"/>
      <c r="E75" s="37"/>
      <c r="F75" s="37"/>
      <c r="G75" s="190"/>
      <c r="H75" s="192"/>
      <c r="I75" s="45"/>
      <c r="J75" s="46"/>
      <c r="K75" s="46"/>
      <c r="L75" s="184"/>
      <c r="M75" s="184"/>
      <c r="N75" s="47"/>
      <c r="O75" s="48"/>
      <c r="P75" s="49"/>
      <c r="Q75" s="48"/>
      <c r="R75" s="123"/>
      <c r="S75" s="123"/>
      <c r="T75" s="50"/>
      <c r="U75" s="50"/>
      <c r="V75" s="50"/>
      <c r="W75" s="50"/>
      <c r="X75" s="51"/>
      <c r="Y75" s="52"/>
      <c r="Z75" s="50"/>
      <c r="AA75" s="53"/>
      <c r="AB75" s="53"/>
      <c r="AC75" s="50"/>
      <c r="AD75" s="50">
        <f t="shared" si="107"/>
        <v>10</v>
      </c>
      <c r="AE75" s="191" t="s">
        <v>162</v>
      </c>
      <c r="AF75" s="50"/>
      <c r="AG75" s="50"/>
      <c r="AH75" s="50">
        <v>10</v>
      </c>
      <c r="AI75" s="50"/>
      <c r="AJ75" s="50"/>
      <c r="AK75" s="50"/>
      <c r="AL75" s="50"/>
      <c r="AM75" s="50">
        <f>SUM(AF75:AL75)+AT75+AV75+AX75</f>
        <v>10</v>
      </c>
      <c r="AN75" s="50"/>
      <c r="AO75" s="50"/>
      <c r="AP75" s="50"/>
      <c r="AQ75" s="50"/>
      <c r="AR75" s="50">
        <f t="shared" si="108"/>
        <v>0</v>
      </c>
      <c r="AS75" s="50"/>
      <c r="AT75" s="50"/>
      <c r="AU75" s="50"/>
      <c r="AV75" s="50"/>
      <c r="AW75" s="50"/>
      <c r="AX75" s="50"/>
      <c r="AY75" s="50"/>
      <c r="AZ75" s="50"/>
      <c r="BA75" s="50">
        <f>+AR75+AS75+AU75+AW75+AY75+AZ75</f>
        <v>0</v>
      </c>
      <c r="BB75" s="180"/>
      <c r="BC75" s="116"/>
      <c r="BD75" s="146"/>
      <c r="BE75" s="180"/>
      <c r="BF75" s="146"/>
    </row>
    <row r="76" spans="1:58" ht="12.95" customHeight="1" x14ac:dyDescent="0.2">
      <c r="A76" s="117"/>
      <c r="B76" s="118"/>
      <c r="C76" s="119"/>
      <c r="D76" s="118"/>
      <c r="E76" s="37"/>
      <c r="F76" s="37"/>
      <c r="G76" s="190"/>
      <c r="H76" s="192"/>
      <c r="I76" s="45"/>
      <c r="J76" s="46"/>
      <c r="K76" s="46"/>
      <c r="L76" s="184"/>
      <c r="M76" s="184"/>
      <c r="N76" s="47"/>
      <c r="O76" s="48"/>
      <c r="P76" s="49"/>
      <c r="Q76" s="48"/>
      <c r="R76" s="123"/>
      <c r="S76" s="123"/>
      <c r="T76" s="50"/>
      <c r="U76" s="50"/>
      <c r="V76" s="50"/>
      <c r="W76" s="50"/>
      <c r="X76" s="55"/>
      <c r="Y76" s="52"/>
      <c r="Z76" s="50"/>
      <c r="AA76" s="50"/>
      <c r="AB76" s="50"/>
      <c r="AC76" s="50"/>
      <c r="AD76" s="50"/>
      <c r="AE76" s="187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180"/>
      <c r="BC76" s="116"/>
      <c r="BD76" s="116"/>
      <c r="BE76" s="180"/>
      <c r="BF76" s="116"/>
    </row>
    <row r="77" spans="1:58" ht="12.95" customHeight="1" x14ac:dyDescent="0.2">
      <c r="A77" s="117">
        <v>45978</v>
      </c>
      <c r="B77" s="118" t="s">
        <v>121</v>
      </c>
      <c r="C77" s="119">
        <f t="shared" ref="C77" si="109">(M77*E77*O77*Q77)/100000000</f>
        <v>70.908654193548387</v>
      </c>
      <c r="D77" s="118" t="s">
        <v>198</v>
      </c>
      <c r="E77" s="37">
        <v>31.5</v>
      </c>
      <c r="F77" s="37">
        <v>1</v>
      </c>
      <c r="G77" s="190">
        <v>535</v>
      </c>
      <c r="H77" s="192">
        <v>0.12</v>
      </c>
      <c r="I77" s="45">
        <v>0.88</v>
      </c>
      <c r="J77" s="46">
        <f t="shared" ref="J77" si="110">E77*G77*(1-H77)*1440/1000000*3.4</f>
        <v>72.608659200000005</v>
      </c>
      <c r="K77" s="46">
        <f t="shared" ref="K77" si="111">(IF(G77&lt;L77,L77,G77)*(1-IF(H77&lt;N77,H77,N77))*E77*O77*Q77)/100000000</f>
        <v>70.908654193548387</v>
      </c>
      <c r="L77" s="184">
        <v>550</v>
      </c>
      <c r="M77" s="184">
        <f>+L77-L77*0.12</f>
        <v>484</v>
      </c>
      <c r="N77" s="47">
        <f t="shared" ref="N77" si="112">1-(M77/L77)</f>
        <v>0.12</v>
      </c>
      <c r="O77" s="48">
        <f>+'[2]Trim Rwd'!H54</f>
        <v>322.98387096774195</v>
      </c>
      <c r="P77" s="49">
        <f t="shared" ref="P77" si="113">O77*(Q77-R77-S77)</f>
        <v>444102.82258064521</v>
      </c>
      <c r="Q77" s="48">
        <v>1440</v>
      </c>
      <c r="R77" s="123">
        <v>0</v>
      </c>
      <c r="S77" s="123">
        <v>65</v>
      </c>
      <c r="T77" s="50">
        <f t="shared" ref="T77" si="114">E77*M77*O77*Q77/100000000</f>
        <v>70.908654193548387</v>
      </c>
      <c r="U77" s="50">
        <f t="shared" ref="U77" si="115">E77*M77*O77*(Q77-R77-S77)/100000000</f>
        <v>67.707916330645162</v>
      </c>
      <c r="V77" s="50">
        <f t="shared" ref="V77" si="116">E77*G77*(1-N77)*O77/100*(R77+S77)/1000000</f>
        <v>3.1134450120967738</v>
      </c>
      <c r="W77" s="50">
        <f>+'[2]17'!K34/1000</f>
        <v>68.510999999999996</v>
      </c>
      <c r="X77" s="51">
        <f>SUM(W77:W80)/SUM(K77:K80)</f>
        <v>0.96618671979017001</v>
      </c>
      <c r="Y77" s="52">
        <v>0</v>
      </c>
      <c r="Z77" s="50">
        <f>+'[2]17'!D34/1000</f>
        <v>0.64100000000000001</v>
      </c>
      <c r="AA77" s="53">
        <f>SUM(U77:U80)-SUM(W77:W80)-SUM(Z77:Z80)-SUM(Y77:Y80)</f>
        <v>-1.4440836693548338</v>
      </c>
      <c r="AB77" s="53">
        <f>(SUM(K77:K80)-SUM(W77:W80)-SUM(Y77:Y80)-SUM(Z77:Z80)-SUM(AC77:AC80)-SUM(V77:V80))-AA77</f>
        <v>8.7292850806450772E-2</v>
      </c>
      <c r="AC77" s="50">
        <f>K77-T77</f>
        <v>0</v>
      </c>
      <c r="AD77" s="50">
        <f>+AM77+BA77</f>
        <v>0</v>
      </c>
      <c r="AE77" s="191" t="s">
        <v>110</v>
      </c>
      <c r="AF77" s="50">
        <v>0</v>
      </c>
      <c r="AG77" s="50"/>
      <c r="AH77" s="50"/>
      <c r="AI77" s="50"/>
      <c r="AJ77" s="50"/>
      <c r="AK77" s="50"/>
      <c r="AL77" s="50"/>
      <c r="AM77" s="50">
        <f>SUM(AF77:AL77)+AT77+AV77+AX77</f>
        <v>0</v>
      </c>
      <c r="AN77" s="50"/>
      <c r="AO77" s="50"/>
      <c r="AP77" s="50"/>
      <c r="AQ77" s="50"/>
      <c r="AR77" s="50">
        <f>SUM(AN77:AQ77)</f>
        <v>0</v>
      </c>
      <c r="AS77" s="50"/>
      <c r="AT77" s="50"/>
      <c r="AU77" s="50"/>
      <c r="AV77" s="50"/>
      <c r="AW77" s="50"/>
      <c r="AX77" s="50"/>
      <c r="AY77" s="50"/>
      <c r="AZ77" s="50"/>
      <c r="BA77" s="50">
        <f>+AR77+AS77+AU77+AW77+AY77+AZ77</f>
        <v>0</v>
      </c>
      <c r="BB77" s="180">
        <v>0</v>
      </c>
      <c r="BC77" s="116"/>
      <c r="BD77" s="116"/>
      <c r="BE77" s="189"/>
      <c r="BF77" s="116"/>
    </row>
    <row r="78" spans="1:58" ht="12.95" customHeight="1" x14ac:dyDescent="0.2">
      <c r="A78" s="117"/>
      <c r="B78" s="118"/>
      <c r="C78" s="119"/>
      <c r="D78" s="118"/>
      <c r="E78" s="37"/>
      <c r="F78" s="37"/>
      <c r="G78" s="190"/>
      <c r="H78" s="192"/>
      <c r="I78" s="45"/>
      <c r="J78" s="46"/>
      <c r="K78" s="46"/>
      <c r="L78" s="184"/>
      <c r="M78" s="184"/>
      <c r="N78" s="47"/>
      <c r="O78" s="48"/>
      <c r="P78" s="49"/>
      <c r="Q78" s="48"/>
      <c r="R78" s="123"/>
      <c r="S78" s="123"/>
      <c r="T78" s="50"/>
      <c r="U78" s="50"/>
      <c r="V78" s="50"/>
      <c r="W78" s="50"/>
      <c r="X78" s="51"/>
      <c r="Y78" s="52"/>
      <c r="Z78" s="50"/>
      <c r="AA78" s="53"/>
      <c r="AB78" s="53"/>
      <c r="AC78" s="50"/>
      <c r="AD78" s="50">
        <f t="shared" ref="AD78:AD80" si="117">+AM78+BA78</f>
        <v>16</v>
      </c>
      <c r="AE78" s="191" t="s">
        <v>131</v>
      </c>
      <c r="AF78" s="50"/>
      <c r="AG78" s="50">
        <v>16</v>
      </c>
      <c r="AH78" s="50"/>
      <c r="AI78" s="50"/>
      <c r="AJ78" s="50"/>
      <c r="AK78" s="50"/>
      <c r="AL78" s="50"/>
      <c r="AM78" s="50">
        <f>SUM(AF78:AL78)+AT78+AV78+AX78</f>
        <v>16</v>
      </c>
      <c r="AN78" s="50"/>
      <c r="AO78" s="50"/>
      <c r="AP78" s="50"/>
      <c r="AQ78" s="50"/>
      <c r="AR78" s="50">
        <f t="shared" ref="AR78:AR80" si="118">SUM(AN78:AQ78)</f>
        <v>0</v>
      </c>
      <c r="AS78" s="50"/>
      <c r="AT78" s="50"/>
      <c r="AU78" s="50"/>
      <c r="AV78" s="50"/>
      <c r="AW78" s="50"/>
      <c r="AX78" s="50"/>
      <c r="AY78" s="50"/>
      <c r="AZ78" s="50"/>
      <c r="BA78" s="50">
        <f>+AR78+AS78+AU78+AW78+AY78+AZ78</f>
        <v>0</v>
      </c>
      <c r="BB78" s="180"/>
      <c r="BC78" s="116">
        <v>2</v>
      </c>
      <c r="BD78" s="146"/>
      <c r="BE78" s="180"/>
      <c r="BF78" s="146"/>
    </row>
    <row r="79" spans="1:58" ht="12.95" customHeight="1" x14ac:dyDescent="0.2">
      <c r="A79" s="117"/>
      <c r="B79" s="118"/>
      <c r="C79" s="119"/>
      <c r="D79" s="118"/>
      <c r="E79" s="37"/>
      <c r="F79" s="37"/>
      <c r="G79" s="190"/>
      <c r="H79" s="192"/>
      <c r="I79" s="45"/>
      <c r="J79" s="46"/>
      <c r="K79" s="46"/>
      <c r="L79" s="184"/>
      <c r="M79" s="184"/>
      <c r="N79" s="47"/>
      <c r="O79" s="48"/>
      <c r="P79" s="49"/>
      <c r="Q79" s="48"/>
      <c r="R79" s="123"/>
      <c r="S79" s="123"/>
      <c r="T79" s="50"/>
      <c r="U79" s="50"/>
      <c r="V79" s="50"/>
      <c r="W79" s="50"/>
      <c r="X79" s="51"/>
      <c r="Y79" s="52"/>
      <c r="Z79" s="50"/>
      <c r="AA79" s="53"/>
      <c r="AB79" s="53"/>
      <c r="AC79" s="50"/>
      <c r="AD79" s="50">
        <f t="shared" si="117"/>
        <v>7</v>
      </c>
      <c r="AE79" s="191" t="s">
        <v>162</v>
      </c>
      <c r="AF79" s="50"/>
      <c r="AG79" s="50"/>
      <c r="AH79" s="50">
        <v>7</v>
      </c>
      <c r="AI79" s="50"/>
      <c r="AJ79" s="50"/>
      <c r="AK79" s="50"/>
      <c r="AL79" s="50"/>
      <c r="AM79" s="50">
        <f>SUM(AF79:AL79)+AT79+AV79+AX79</f>
        <v>7</v>
      </c>
      <c r="AN79" s="50"/>
      <c r="AO79" s="50"/>
      <c r="AP79" s="50"/>
      <c r="AQ79" s="50"/>
      <c r="AR79" s="50">
        <f t="shared" si="118"/>
        <v>0</v>
      </c>
      <c r="AS79" s="50"/>
      <c r="AT79" s="50"/>
      <c r="AU79" s="50"/>
      <c r="AV79" s="50"/>
      <c r="AW79" s="50"/>
      <c r="AX79" s="50"/>
      <c r="AY79" s="50"/>
      <c r="AZ79" s="50"/>
      <c r="BA79" s="50">
        <f>+AR79+AS79+AU79+AW79+AY79+AZ79</f>
        <v>0</v>
      </c>
      <c r="BB79" s="180"/>
      <c r="BC79" s="116"/>
      <c r="BD79" s="146"/>
      <c r="BE79" s="180"/>
      <c r="BF79" s="146"/>
    </row>
    <row r="80" spans="1:58" ht="12.95" customHeight="1" x14ac:dyDescent="0.2">
      <c r="A80" s="117"/>
      <c r="B80" s="118"/>
      <c r="C80" s="119"/>
      <c r="D80" s="118"/>
      <c r="E80" s="37"/>
      <c r="F80" s="37"/>
      <c r="G80" s="190"/>
      <c r="H80" s="192"/>
      <c r="I80" s="45"/>
      <c r="J80" s="46"/>
      <c r="K80" s="46"/>
      <c r="L80" s="184"/>
      <c r="M80" s="184"/>
      <c r="N80" s="47"/>
      <c r="O80" s="48"/>
      <c r="P80" s="49"/>
      <c r="Q80" s="48"/>
      <c r="R80" s="123"/>
      <c r="S80" s="123"/>
      <c r="T80" s="50"/>
      <c r="U80" s="50"/>
      <c r="V80" s="50"/>
      <c r="W80" s="50"/>
      <c r="X80" s="55"/>
      <c r="Y80" s="52"/>
      <c r="Z80" s="50"/>
      <c r="AA80" s="50"/>
      <c r="AB80" s="50"/>
      <c r="AC80" s="50"/>
      <c r="AD80" s="50">
        <f t="shared" si="117"/>
        <v>42</v>
      </c>
      <c r="AE80" s="191" t="s">
        <v>242</v>
      </c>
      <c r="AF80" s="50">
        <v>42</v>
      </c>
      <c r="AG80" s="50"/>
      <c r="AH80" s="50"/>
      <c r="AI80" s="50"/>
      <c r="AJ80" s="50"/>
      <c r="AK80" s="50"/>
      <c r="AL80" s="50"/>
      <c r="AM80" s="50">
        <f>SUM(AF80:AL80)+AT80+AV80+AX80</f>
        <v>42</v>
      </c>
      <c r="AN80" s="50"/>
      <c r="AO80" s="50"/>
      <c r="AP80" s="50"/>
      <c r="AQ80" s="50"/>
      <c r="AR80" s="50">
        <f t="shared" si="118"/>
        <v>0</v>
      </c>
      <c r="AS80" s="50"/>
      <c r="AT80" s="50"/>
      <c r="AU80" s="50"/>
      <c r="AV80" s="50"/>
      <c r="AW80" s="50"/>
      <c r="AX80" s="50"/>
      <c r="AY80" s="50"/>
      <c r="AZ80" s="50"/>
      <c r="BA80" s="50">
        <f>+AR80+AS80+AU80+AW80+AY80+AZ80</f>
        <v>0</v>
      </c>
      <c r="BB80" s="180"/>
      <c r="BC80" s="116"/>
      <c r="BD80" s="146"/>
      <c r="BE80" s="180"/>
      <c r="BF80" s="146"/>
    </row>
    <row r="81" spans="1:58" ht="12.95" customHeight="1" x14ac:dyDescent="0.2">
      <c r="A81" s="117"/>
      <c r="B81" s="118"/>
      <c r="C81" s="119"/>
      <c r="D81" s="118"/>
      <c r="E81" s="37"/>
      <c r="F81" s="37"/>
      <c r="G81" s="190"/>
      <c r="H81" s="192"/>
      <c r="I81" s="45"/>
      <c r="J81" s="46"/>
      <c r="K81" s="46"/>
      <c r="L81" s="184"/>
      <c r="M81" s="184"/>
      <c r="N81" s="47"/>
      <c r="O81" s="48"/>
      <c r="P81" s="49"/>
      <c r="Q81" s="48"/>
      <c r="R81" s="123"/>
      <c r="S81" s="123"/>
      <c r="T81" s="50"/>
      <c r="U81" s="50"/>
      <c r="V81" s="50"/>
      <c r="W81" s="50"/>
      <c r="X81" s="55"/>
      <c r="Y81" s="52"/>
      <c r="Z81" s="50"/>
      <c r="AA81" s="50"/>
      <c r="AB81" s="50"/>
      <c r="AC81" s="50"/>
      <c r="AD81" s="50"/>
      <c r="AE81" s="187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180"/>
      <c r="BC81" s="116"/>
      <c r="BD81" s="116"/>
      <c r="BE81" s="116"/>
      <c r="BF81" s="116"/>
    </row>
    <row r="82" spans="1:58" ht="12.95" customHeight="1" x14ac:dyDescent="0.2">
      <c r="A82" s="117">
        <v>45979</v>
      </c>
      <c r="B82" s="118" t="s">
        <v>121</v>
      </c>
      <c r="C82" s="119">
        <f t="shared" ref="C82" si="119">(M82*E82*O82*Q82)/100000000</f>
        <v>69.265627199999997</v>
      </c>
      <c r="D82" s="118" t="s">
        <v>198</v>
      </c>
      <c r="E82" s="37">
        <v>31.5</v>
      </c>
      <c r="F82" s="37">
        <v>1</v>
      </c>
      <c r="G82" s="190">
        <v>535</v>
      </c>
      <c r="H82" s="192">
        <v>0.12</v>
      </c>
      <c r="I82" s="45">
        <v>0.88</v>
      </c>
      <c r="J82" s="46">
        <f t="shared" ref="J82" si="120">E82*G82*(1-H82)*1440/1000000*3.4</f>
        <v>72.608659200000005</v>
      </c>
      <c r="K82" s="46">
        <f t="shared" ref="K82" si="121">(IF(G82&lt;L82,L82,G82)*(1-IF(H82&lt;N82,H82,N82))*E82*O82*Q82)/100000000</f>
        <v>69.265627199999997</v>
      </c>
      <c r="L82" s="184">
        <v>550</v>
      </c>
      <c r="M82" s="184">
        <f>+L82-L82*0.12</f>
        <v>484</v>
      </c>
      <c r="N82" s="47">
        <f t="shared" ref="N82" si="122">1-(M82/L82)</f>
        <v>0.12</v>
      </c>
      <c r="O82" s="48">
        <f>+'[2]Trim Rwd'!H57</f>
        <v>315.5</v>
      </c>
      <c r="P82" s="49">
        <f t="shared" ref="P82" si="123">O82*(Q82-R82-S82)</f>
        <v>444224</v>
      </c>
      <c r="Q82" s="48">
        <v>1440</v>
      </c>
      <c r="R82" s="123">
        <v>0</v>
      </c>
      <c r="S82" s="123">
        <v>32</v>
      </c>
      <c r="T82" s="50">
        <f t="shared" ref="T82" si="124">E82*M82*O82*Q82/100000000</f>
        <v>69.265627199999997</v>
      </c>
      <c r="U82" s="50">
        <f t="shared" ref="U82" si="125">E82*M82*O82*(Q82-R82-S82)/100000000</f>
        <v>67.726391039999996</v>
      </c>
      <c r="V82" s="50">
        <f t="shared" ref="V82" si="126">E82*G82*(1-N82)*O82/100*(R82+S82)/1000000</f>
        <v>1.4972569920000001</v>
      </c>
      <c r="W82" s="50">
        <f>+'[2]18'!K34/1000</f>
        <v>66.274000000000001</v>
      </c>
      <c r="X82" s="51">
        <f>SUM(W82:W85)/SUM(K82:K85)</f>
        <v>0.95680935377424836</v>
      </c>
      <c r="Y82" s="52">
        <v>0</v>
      </c>
      <c r="Z82" s="50">
        <v>0</v>
      </c>
      <c r="AA82" s="53">
        <f>SUM(U82:U85)-SUM(W82:W85)-SUM(Z82:Z85)-SUM(Y82:Y85)</f>
        <v>1.4523910399999949</v>
      </c>
      <c r="AB82" s="53">
        <f>(SUM(K82:K85)-SUM(W82:W85)-SUM(Y82:Y85)-SUM(Z82:Z85)-SUM(AC82:AC85)-SUM(V82:V85))-AA82</f>
        <v>4.1979168000001454E-2</v>
      </c>
      <c r="AC82" s="50">
        <f>K82-T82</f>
        <v>0</v>
      </c>
      <c r="AD82" s="50">
        <f>+AM82+BA82</f>
        <v>0</v>
      </c>
      <c r="AE82" s="191" t="s">
        <v>110</v>
      </c>
      <c r="AF82" s="50">
        <v>0</v>
      </c>
      <c r="AG82" s="50"/>
      <c r="AH82" s="50"/>
      <c r="AI82" s="50"/>
      <c r="AJ82" s="50"/>
      <c r="AK82" s="50"/>
      <c r="AL82" s="50"/>
      <c r="AM82" s="50">
        <f>SUM(AF82:AL82)+AT82+AV82+AX82</f>
        <v>0</v>
      </c>
      <c r="AN82" s="50"/>
      <c r="AO82" s="50"/>
      <c r="AP82" s="50"/>
      <c r="AQ82" s="50"/>
      <c r="AR82" s="50">
        <f>SUM(AN82:AQ82)</f>
        <v>0</v>
      </c>
      <c r="AS82" s="50"/>
      <c r="AT82" s="50"/>
      <c r="AU82" s="50"/>
      <c r="AV82" s="50"/>
      <c r="AW82" s="50"/>
      <c r="AX82" s="50"/>
      <c r="AY82" s="50"/>
      <c r="AZ82" s="50"/>
      <c r="BA82" s="50">
        <f>+AR82+AS82+AU82+AW82+AY82+AZ82</f>
        <v>0</v>
      </c>
      <c r="BB82" s="180">
        <v>0</v>
      </c>
      <c r="BC82" s="116"/>
      <c r="BD82" s="116"/>
      <c r="BE82" s="189"/>
      <c r="BF82" s="116"/>
    </row>
    <row r="83" spans="1:58" ht="12.95" customHeight="1" x14ac:dyDescent="0.2">
      <c r="A83" s="117"/>
      <c r="B83" s="118"/>
      <c r="C83" s="119"/>
      <c r="D83" s="118"/>
      <c r="E83" s="37"/>
      <c r="F83" s="37"/>
      <c r="G83" s="190"/>
      <c r="H83" s="192"/>
      <c r="I83" s="45"/>
      <c r="J83" s="46"/>
      <c r="K83" s="46"/>
      <c r="L83" s="184"/>
      <c r="M83" s="184"/>
      <c r="N83" s="47"/>
      <c r="O83" s="48"/>
      <c r="P83" s="49"/>
      <c r="Q83" s="48"/>
      <c r="R83" s="123"/>
      <c r="S83" s="123"/>
      <c r="T83" s="50"/>
      <c r="U83" s="50"/>
      <c r="V83" s="50"/>
      <c r="W83" s="50"/>
      <c r="X83" s="51"/>
      <c r="Y83" s="52"/>
      <c r="Z83" s="50"/>
      <c r="AA83" s="53"/>
      <c r="AB83" s="53"/>
      <c r="AC83" s="50"/>
      <c r="AD83" s="50">
        <f t="shared" ref="AD83:AD84" si="127">+AM83+BA83</f>
        <v>15</v>
      </c>
      <c r="AE83" s="191" t="s">
        <v>122</v>
      </c>
      <c r="AF83" s="50"/>
      <c r="AG83" s="50">
        <v>15</v>
      </c>
      <c r="AH83" s="50"/>
      <c r="AI83" s="50"/>
      <c r="AJ83" s="50"/>
      <c r="AK83" s="50"/>
      <c r="AL83" s="50"/>
      <c r="AM83" s="50">
        <f>SUM(AF83:AL83)+AT83+AV83+AX83</f>
        <v>15</v>
      </c>
      <c r="AN83" s="50"/>
      <c r="AO83" s="50"/>
      <c r="AP83" s="50"/>
      <c r="AQ83" s="50"/>
      <c r="AR83" s="50">
        <f t="shared" ref="AR83:AR84" si="128">SUM(AN83:AQ83)</f>
        <v>0</v>
      </c>
      <c r="AS83" s="50"/>
      <c r="AT83" s="50"/>
      <c r="AU83" s="50"/>
      <c r="AV83" s="50"/>
      <c r="AW83" s="50"/>
      <c r="AX83" s="50"/>
      <c r="AY83" s="50"/>
      <c r="AZ83" s="50"/>
      <c r="BA83" s="50">
        <f>+AR83+AS83+AU83+AW83+AY83+AZ83</f>
        <v>0</v>
      </c>
      <c r="BB83" s="180"/>
      <c r="BC83" s="116">
        <v>5</v>
      </c>
      <c r="BD83" s="146"/>
      <c r="BE83" s="180"/>
      <c r="BF83" s="146"/>
    </row>
    <row r="84" spans="1:58" ht="12.95" customHeight="1" x14ac:dyDescent="0.2">
      <c r="A84" s="117"/>
      <c r="B84" s="118"/>
      <c r="C84" s="119"/>
      <c r="D84" s="118"/>
      <c r="E84" s="37"/>
      <c r="F84" s="37"/>
      <c r="G84" s="190"/>
      <c r="H84" s="192"/>
      <c r="I84" s="45"/>
      <c r="J84" s="46"/>
      <c r="K84" s="46"/>
      <c r="L84" s="184"/>
      <c r="M84" s="184"/>
      <c r="N84" s="47"/>
      <c r="O84" s="48"/>
      <c r="P84" s="49"/>
      <c r="Q84" s="48"/>
      <c r="R84" s="123"/>
      <c r="S84" s="123"/>
      <c r="T84" s="50"/>
      <c r="U84" s="50"/>
      <c r="V84" s="50"/>
      <c r="W84" s="50"/>
      <c r="X84" s="51"/>
      <c r="Y84" s="52"/>
      <c r="Z84" s="50"/>
      <c r="AA84" s="53"/>
      <c r="AB84" s="53"/>
      <c r="AC84" s="50"/>
      <c r="AD84" s="50">
        <f t="shared" si="127"/>
        <v>17</v>
      </c>
      <c r="AE84" s="191" t="s">
        <v>162</v>
      </c>
      <c r="AF84" s="50"/>
      <c r="AG84" s="50"/>
      <c r="AH84" s="50">
        <v>17</v>
      </c>
      <c r="AI84" s="50"/>
      <c r="AJ84" s="50"/>
      <c r="AK84" s="50"/>
      <c r="AL84" s="50"/>
      <c r="AM84" s="50">
        <f>SUM(AF84:AL84)+AT84+AV84+AX84</f>
        <v>17</v>
      </c>
      <c r="AN84" s="50"/>
      <c r="AO84" s="50"/>
      <c r="AP84" s="50"/>
      <c r="AQ84" s="50"/>
      <c r="AR84" s="50">
        <f t="shared" si="128"/>
        <v>0</v>
      </c>
      <c r="AS84" s="50"/>
      <c r="AT84" s="50"/>
      <c r="AU84" s="50"/>
      <c r="AV84" s="50"/>
      <c r="AW84" s="50"/>
      <c r="AX84" s="50"/>
      <c r="AY84" s="50"/>
      <c r="AZ84" s="50"/>
      <c r="BA84" s="50">
        <f>+AR84+AS84+AU84+AW84+AY84+AZ84</f>
        <v>0</v>
      </c>
      <c r="BB84" s="180"/>
      <c r="BC84" s="116"/>
      <c r="BD84" s="146"/>
      <c r="BE84" s="180"/>
      <c r="BF84" s="146"/>
    </row>
    <row r="85" spans="1:58" ht="12.95" customHeight="1" x14ac:dyDescent="0.2">
      <c r="A85" s="117"/>
      <c r="B85" s="118"/>
      <c r="C85" s="119"/>
      <c r="D85" s="118"/>
      <c r="E85" s="37"/>
      <c r="F85" s="37"/>
      <c r="G85" s="190"/>
      <c r="H85" s="192"/>
      <c r="I85" s="45"/>
      <c r="J85" s="46"/>
      <c r="K85" s="46"/>
      <c r="L85" s="184"/>
      <c r="M85" s="184"/>
      <c r="N85" s="47"/>
      <c r="O85" s="48"/>
      <c r="P85" s="49"/>
      <c r="Q85" s="48"/>
      <c r="R85" s="123"/>
      <c r="S85" s="123"/>
      <c r="T85" s="50"/>
      <c r="U85" s="50"/>
      <c r="V85" s="50"/>
      <c r="W85" s="50"/>
      <c r="X85" s="55"/>
      <c r="Y85" s="52"/>
      <c r="Z85" s="50"/>
      <c r="AA85" s="50"/>
      <c r="AB85" s="50"/>
      <c r="AC85" s="50"/>
      <c r="AD85" s="50"/>
      <c r="AE85" s="191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180"/>
      <c r="BC85" s="116"/>
      <c r="BD85" s="146"/>
      <c r="BE85" s="180"/>
      <c r="BF85" s="146"/>
    </row>
    <row r="86" spans="1:58" ht="12.95" customHeight="1" x14ac:dyDescent="0.2">
      <c r="A86" s="117">
        <v>45980</v>
      </c>
      <c r="B86" s="118" t="s">
        <v>121</v>
      </c>
      <c r="C86" s="119">
        <f t="shared" ref="C86" si="129">(M86*E86*O86*Q86)/100000000</f>
        <v>69.265627199999997</v>
      </c>
      <c r="D86" s="118" t="s">
        <v>198</v>
      </c>
      <c r="E86" s="37">
        <v>31.5</v>
      </c>
      <c r="F86" s="37">
        <v>1</v>
      </c>
      <c r="G86" s="190">
        <v>535</v>
      </c>
      <c r="H86" s="192">
        <v>0.12</v>
      </c>
      <c r="I86" s="45">
        <v>0.88</v>
      </c>
      <c r="J86" s="46">
        <f t="shared" ref="J86" si="130">E86*G86*(1-H86)*1440/1000000*3.4</f>
        <v>72.608659200000005</v>
      </c>
      <c r="K86" s="46">
        <f t="shared" ref="K86" si="131">(IF(G86&lt;L86,L86,G86)*(1-IF(H86&lt;N86,H86,N86))*E86*O86*Q86)/100000000</f>
        <v>69.265627199999997</v>
      </c>
      <c r="L86" s="184">
        <v>550</v>
      </c>
      <c r="M86" s="184">
        <f>+L86-L86*0.12</f>
        <v>484</v>
      </c>
      <c r="N86" s="47">
        <f t="shared" ref="N86" si="132">1-(M86/L86)</f>
        <v>0.12</v>
      </c>
      <c r="O86" s="48">
        <f>+'[2]Trim Rwd'!H59</f>
        <v>315.5</v>
      </c>
      <c r="P86" s="49">
        <f t="shared" ref="P86" si="133">O86*(Q86-R86-S86)</f>
        <v>449587.5</v>
      </c>
      <c r="Q86" s="48">
        <v>1440</v>
      </c>
      <c r="R86" s="123">
        <v>0</v>
      </c>
      <c r="S86" s="123">
        <v>15</v>
      </c>
      <c r="T86" s="50">
        <f t="shared" ref="T86" si="134">E86*M86*O86*Q86/100000000</f>
        <v>69.265627199999997</v>
      </c>
      <c r="U86" s="50">
        <f t="shared" ref="U86" si="135">E86*M86*O86*(Q86-R86-S86)/100000000</f>
        <v>68.544110250000003</v>
      </c>
      <c r="V86" s="50">
        <f t="shared" ref="V86" si="136">E86*G86*(1-N86)*O86/100*(R86+S86)/1000000</f>
        <v>0.70183921500000013</v>
      </c>
      <c r="W86" s="50">
        <f>+'[2]19'!K34/1000</f>
        <v>67.876000000000005</v>
      </c>
      <c r="X86" s="51">
        <f>SUM(W86:W89)/SUM(K86:K89)</f>
        <v>0.97993770855510287</v>
      </c>
      <c r="Y86" s="52">
        <v>0</v>
      </c>
      <c r="Z86" s="50">
        <v>0</v>
      </c>
      <c r="AA86" s="53">
        <f>SUM(U86:U89)-SUM(W86:W89)-SUM(Z86:Z89)-SUM(Y86:Y89)</f>
        <v>0.66811024999999802</v>
      </c>
      <c r="AB86" s="53">
        <f>(SUM(K86:K89)-SUM(W86:W89)-SUM(Y86:Y89)-SUM(Z86:Z89)-SUM(AC86:AC89)-SUM(V86:V89))-AA86</f>
        <v>1.9677734999994367E-2</v>
      </c>
      <c r="AC86" s="50">
        <f>K86-T86</f>
        <v>0</v>
      </c>
      <c r="AD86" s="50">
        <f>+AM86+BA86</f>
        <v>1</v>
      </c>
      <c r="AE86" s="191" t="s">
        <v>116</v>
      </c>
      <c r="AF86" s="50">
        <v>1</v>
      </c>
      <c r="AG86" s="50"/>
      <c r="AH86" s="50"/>
      <c r="AI86" s="50"/>
      <c r="AJ86" s="50"/>
      <c r="AK86" s="50"/>
      <c r="AL86" s="50"/>
      <c r="AM86" s="50">
        <f>SUM(AF86:AL86)+AT86+AV86+AX86</f>
        <v>1</v>
      </c>
      <c r="AN86" s="50"/>
      <c r="AO86" s="50"/>
      <c r="AP86" s="50"/>
      <c r="AQ86" s="50"/>
      <c r="AR86" s="50">
        <f>SUM(AN86:AQ86)</f>
        <v>0</v>
      </c>
      <c r="AS86" s="50"/>
      <c r="AT86" s="50"/>
      <c r="AU86" s="50"/>
      <c r="AV86" s="50"/>
      <c r="AW86" s="50"/>
      <c r="AX86" s="50"/>
      <c r="AY86" s="50"/>
      <c r="AZ86" s="50"/>
      <c r="BA86" s="50">
        <f>+AR86+AS86+AU86+AW86+AY86+AZ86</f>
        <v>0</v>
      </c>
      <c r="BB86" s="180">
        <v>1</v>
      </c>
      <c r="BC86" s="116"/>
      <c r="BD86" s="116"/>
      <c r="BE86" s="189"/>
      <c r="BF86" s="116"/>
    </row>
    <row r="87" spans="1:58" ht="12.95" customHeight="1" x14ac:dyDescent="0.2">
      <c r="A87" s="117"/>
      <c r="B87" s="118"/>
      <c r="C87" s="119"/>
      <c r="D87" s="118"/>
      <c r="E87" s="37"/>
      <c r="F87" s="37"/>
      <c r="G87" s="190"/>
      <c r="H87" s="192"/>
      <c r="I87" s="45"/>
      <c r="J87" s="46"/>
      <c r="K87" s="46"/>
      <c r="L87" s="184"/>
      <c r="M87" s="184"/>
      <c r="N87" s="47"/>
      <c r="O87" s="48"/>
      <c r="P87" s="49"/>
      <c r="Q87" s="48"/>
      <c r="R87" s="123"/>
      <c r="S87" s="123"/>
      <c r="T87" s="50"/>
      <c r="U87" s="50"/>
      <c r="V87" s="50"/>
      <c r="W87" s="50"/>
      <c r="X87" s="51"/>
      <c r="Y87" s="52"/>
      <c r="Z87" s="50"/>
      <c r="AA87" s="53"/>
      <c r="AB87" s="53"/>
      <c r="AC87" s="50"/>
      <c r="AD87" s="50">
        <f t="shared" ref="AD87:AD88" si="137">+AM87+BA87</f>
        <v>4</v>
      </c>
      <c r="AE87" s="191" t="s">
        <v>125</v>
      </c>
      <c r="AF87" s="50"/>
      <c r="AG87" s="50">
        <v>4</v>
      </c>
      <c r="AH87" s="50"/>
      <c r="AI87" s="50"/>
      <c r="AJ87" s="50"/>
      <c r="AK87" s="50"/>
      <c r="AL87" s="50"/>
      <c r="AM87" s="50">
        <f>SUM(AF87:AL87)+AT87+AV87+AX87</f>
        <v>4</v>
      </c>
      <c r="AN87" s="50"/>
      <c r="AO87" s="50"/>
      <c r="AP87" s="50"/>
      <c r="AQ87" s="50"/>
      <c r="AR87" s="50">
        <f t="shared" ref="AR87:AR88" si="138">SUM(AN87:AQ87)</f>
        <v>0</v>
      </c>
      <c r="AS87" s="50"/>
      <c r="AT87" s="50"/>
      <c r="AU87" s="50"/>
      <c r="AV87" s="50"/>
      <c r="AW87" s="50"/>
      <c r="AX87" s="50"/>
      <c r="AY87" s="50"/>
      <c r="AZ87" s="50"/>
      <c r="BA87" s="50">
        <f>+AR87+AS87+AU87+AW87+AY87+AZ87</f>
        <v>0</v>
      </c>
      <c r="BB87" s="180"/>
      <c r="BC87" s="116">
        <v>3</v>
      </c>
      <c r="BD87" s="146"/>
      <c r="BE87" s="180"/>
      <c r="BF87" s="146"/>
    </row>
    <row r="88" spans="1:58" ht="12.95" customHeight="1" x14ac:dyDescent="0.2">
      <c r="A88" s="117"/>
      <c r="B88" s="118"/>
      <c r="C88" s="119"/>
      <c r="D88" s="118"/>
      <c r="E88" s="37"/>
      <c r="F88" s="37"/>
      <c r="G88" s="190"/>
      <c r="H88" s="192"/>
      <c r="I88" s="45"/>
      <c r="J88" s="46"/>
      <c r="K88" s="46"/>
      <c r="L88" s="184"/>
      <c r="M88" s="184"/>
      <c r="N88" s="47"/>
      <c r="O88" s="48"/>
      <c r="P88" s="49"/>
      <c r="Q88" s="48"/>
      <c r="R88" s="123"/>
      <c r="S88" s="123"/>
      <c r="T88" s="50"/>
      <c r="U88" s="50"/>
      <c r="V88" s="50"/>
      <c r="W88" s="50"/>
      <c r="X88" s="51"/>
      <c r="Y88" s="52"/>
      <c r="Z88" s="50"/>
      <c r="AA88" s="53"/>
      <c r="AB88" s="53"/>
      <c r="AC88" s="50"/>
      <c r="AD88" s="50">
        <f t="shared" si="137"/>
        <v>10</v>
      </c>
      <c r="AE88" s="191" t="s">
        <v>162</v>
      </c>
      <c r="AF88" s="50"/>
      <c r="AG88" s="50"/>
      <c r="AH88" s="50">
        <v>10</v>
      </c>
      <c r="AI88" s="50"/>
      <c r="AJ88" s="50"/>
      <c r="AK88" s="50"/>
      <c r="AL88" s="50"/>
      <c r="AM88" s="50">
        <f>SUM(AF88:AL88)+AT88+AV88+AX88</f>
        <v>10</v>
      </c>
      <c r="AN88" s="50"/>
      <c r="AO88" s="50"/>
      <c r="AP88" s="50"/>
      <c r="AQ88" s="50"/>
      <c r="AR88" s="50">
        <f t="shared" si="138"/>
        <v>0</v>
      </c>
      <c r="AS88" s="50"/>
      <c r="AT88" s="50"/>
      <c r="AU88" s="50"/>
      <c r="AV88" s="50"/>
      <c r="AW88" s="50"/>
      <c r="AX88" s="50"/>
      <c r="AY88" s="50"/>
      <c r="AZ88" s="50"/>
      <c r="BA88" s="50">
        <f>+AR88+AS88+AU88+AW88+AY88+AZ88</f>
        <v>0</v>
      </c>
      <c r="BB88" s="180"/>
      <c r="BC88" s="116"/>
      <c r="BD88" s="146"/>
      <c r="BE88" s="180"/>
      <c r="BF88" s="146"/>
    </row>
    <row r="89" spans="1:58" ht="12.95" customHeight="1" x14ac:dyDescent="0.2">
      <c r="A89" s="117"/>
      <c r="B89" s="118"/>
      <c r="C89" s="119"/>
      <c r="D89" s="118"/>
      <c r="E89" s="37"/>
      <c r="F89" s="37"/>
      <c r="G89" s="190"/>
      <c r="H89" s="192"/>
      <c r="I89" s="45"/>
      <c r="J89" s="46"/>
      <c r="K89" s="46"/>
      <c r="L89" s="184"/>
      <c r="M89" s="184"/>
      <c r="N89" s="47"/>
      <c r="O89" s="48"/>
      <c r="P89" s="49"/>
      <c r="Q89" s="48"/>
      <c r="R89" s="123"/>
      <c r="S89" s="123"/>
      <c r="T89" s="50"/>
      <c r="U89" s="50"/>
      <c r="V89" s="50"/>
      <c r="W89" s="50"/>
      <c r="X89" s="55"/>
      <c r="Y89" s="52"/>
      <c r="Z89" s="50"/>
      <c r="AA89" s="50"/>
      <c r="AB89" s="50"/>
      <c r="AC89" s="50"/>
      <c r="AD89" s="50"/>
      <c r="AE89" s="191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180"/>
      <c r="BC89" s="116"/>
      <c r="BD89" s="146"/>
      <c r="BE89" s="180"/>
      <c r="BF89" s="146"/>
    </row>
    <row r="90" spans="1:58" ht="12.95" customHeight="1" x14ac:dyDescent="0.2">
      <c r="A90" s="117">
        <v>45981</v>
      </c>
      <c r="B90" s="118" t="s">
        <v>121</v>
      </c>
      <c r="C90" s="119">
        <f t="shared" ref="C90" si="139">(M90*E90*O90*Q90)/100000000</f>
        <v>70.976766494117655</v>
      </c>
      <c r="D90" s="118" t="s">
        <v>198</v>
      </c>
      <c r="E90" s="37">
        <v>31.5</v>
      </c>
      <c r="F90" s="37">
        <v>1</v>
      </c>
      <c r="G90" s="190">
        <v>535</v>
      </c>
      <c r="H90" s="192">
        <v>0.12</v>
      </c>
      <c r="I90" s="45">
        <v>0.88</v>
      </c>
      <c r="J90" s="46">
        <f t="shared" ref="J90" si="140">E90*G90*(1-H90)*1440/1000000*3.4</f>
        <v>72.608659200000005</v>
      </c>
      <c r="K90" s="46">
        <f t="shared" ref="K90" si="141">(IF(G90&lt;L90,L90,G90)*(1-IF(H90&lt;N90,H90,N90))*E90*O90*Q90)/100000000</f>
        <v>70.976766494117655</v>
      </c>
      <c r="L90" s="184">
        <v>550</v>
      </c>
      <c r="M90" s="184">
        <f>+L90-L90*0.12</f>
        <v>484</v>
      </c>
      <c r="N90" s="47">
        <f t="shared" ref="N90" si="142">1-(M90/L90)</f>
        <v>0.12</v>
      </c>
      <c r="O90" s="48">
        <f>+'[2]Trim Rwd'!H61</f>
        <v>323.29411764705884</v>
      </c>
      <c r="P90" s="49">
        <f t="shared" ref="P90" si="143">O90*(Q90-R90-S90)</f>
        <v>450672</v>
      </c>
      <c r="Q90" s="48">
        <v>1440</v>
      </c>
      <c r="R90" s="123">
        <v>0</v>
      </c>
      <c r="S90" s="123">
        <v>46</v>
      </c>
      <c r="T90" s="50">
        <f t="shared" ref="T90" si="144">E90*M90*O90*Q90/100000000</f>
        <v>70.976766494117655</v>
      </c>
      <c r="U90" s="50">
        <f t="shared" ref="U90" si="145">E90*M90*O90*(Q90-R90-S90)/100000000</f>
        <v>68.709453120000006</v>
      </c>
      <c r="V90" s="50">
        <f t="shared" ref="V90" si="146">E90*G90*(1-N90)*O90/100*(R90+S90)/1000000</f>
        <v>2.2054775548235299</v>
      </c>
      <c r="W90" s="50">
        <f>+'[2]20'!K34/1000</f>
        <v>69.277000000000001</v>
      </c>
      <c r="X90" s="51">
        <f>SUM(W90:W93)/SUM(K90:K93)</f>
        <v>0.97605179021139932</v>
      </c>
      <c r="Y90" s="52">
        <v>0</v>
      </c>
      <c r="Z90" s="50">
        <v>0</v>
      </c>
      <c r="AA90" s="53">
        <f>SUM(U90:U93)-SUM(W90:W93)-SUM(Z90:Z93)-SUM(Y90:Y93)</f>
        <v>-0.56754687999999476</v>
      </c>
      <c r="AB90" s="53">
        <f>(SUM(K90:K93)-SUM(W90:W93)-SUM(Y90:Y93)-SUM(Z90:Z93)-SUM(AC90:AC93)-SUM(V90:V93))-AA90</f>
        <v>6.1835819294118632E-2</v>
      </c>
      <c r="AC90" s="50">
        <f>K90-T90</f>
        <v>0</v>
      </c>
      <c r="AD90" s="50">
        <f>+AM90+BA90</f>
        <v>0</v>
      </c>
      <c r="AE90" s="191" t="s">
        <v>110</v>
      </c>
      <c r="AF90" s="50">
        <v>0</v>
      </c>
      <c r="AG90" s="50"/>
      <c r="AH90" s="50"/>
      <c r="AI90" s="50"/>
      <c r="AJ90" s="50"/>
      <c r="AK90" s="50"/>
      <c r="AL90" s="50"/>
      <c r="AM90" s="50">
        <f>SUM(AF90:AL90)+AT90+AV90+AX90</f>
        <v>0</v>
      </c>
      <c r="AN90" s="50"/>
      <c r="AO90" s="50"/>
      <c r="AP90" s="50"/>
      <c r="AQ90" s="50"/>
      <c r="AR90" s="50">
        <f>SUM(AN90:AQ90)</f>
        <v>0</v>
      </c>
      <c r="AS90" s="50"/>
      <c r="AT90" s="50"/>
      <c r="AU90" s="50"/>
      <c r="AV90" s="50"/>
      <c r="AW90" s="50"/>
      <c r="AX90" s="50"/>
      <c r="AY90" s="50"/>
      <c r="AZ90" s="50"/>
      <c r="BA90" s="50">
        <f>+AR90+AS90+AU90+AW90+AY90+AZ90</f>
        <v>0</v>
      </c>
      <c r="BB90" s="180">
        <v>0</v>
      </c>
      <c r="BC90" s="116"/>
      <c r="BD90" s="116"/>
      <c r="BE90" s="189"/>
      <c r="BF90" s="116"/>
    </row>
    <row r="91" spans="1:58" ht="12.95" customHeight="1" x14ac:dyDescent="0.2">
      <c r="A91" s="117"/>
      <c r="B91" s="118"/>
      <c r="C91" s="119"/>
      <c r="D91" s="118"/>
      <c r="E91" s="37"/>
      <c r="F91" s="37"/>
      <c r="G91" s="190"/>
      <c r="H91" s="192"/>
      <c r="I91" s="45"/>
      <c r="J91" s="46"/>
      <c r="K91" s="46"/>
      <c r="L91" s="184"/>
      <c r="M91" s="184"/>
      <c r="N91" s="47"/>
      <c r="O91" s="48"/>
      <c r="P91" s="49"/>
      <c r="Q91" s="48"/>
      <c r="R91" s="123"/>
      <c r="S91" s="123"/>
      <c r="T91" s="50"/>
      <c r="U91" s="50"/>
      <c r="V91" s="50"/>
      <c r="W91" s="50"/>
      <c r="X91" s="51"/>
      <c r="Y91" s="52"/>
      <c r="Z91" s="50"/>
      <c r="AA91" s="53"/>
      <c r="AB91" s="53"/>
      <c r="AC91" s="50"/>
      <c r="AD91" s="50">
        <f t="shared" ref="AD91:AD92" si="147">+AM91+BA91</f>
        <v>17</v>
      </c>
      <c r="AE91" s="191" t="s">
        <v>125</v>
      </c>
      <c r="AF91" s="50"/>
      <c r="AG91" s="50">
        <v>17</v>
      </c>
      <c r="AH91" s="50"/>
      <c r="AI91" s="50"/>
      <c r="AJ91" s="50"/>
      <c r="AK91" s="50"/>
      <c r="AL91" s="50"/>
      <c r="AM91" s="50">
        <f>SUM(AF91:AL91)+AT91+AV91+AX91</f>
        <v>17</v>
      </c>
      <c r="AN91" s="50"/>
      <c r="AO91" s="50"/>
      <c r="AP91" s="50"/>
      <c r="AQ91" s="50"/>
      <c r="AR91" s="50">
        <f t="shared" ref="AR91:AR92" si="148">SUM(AN91:AQ91)</f>
        <v>0</v>
      </c>
      <c r="AS91" s="50"/>
      <c r="AT91" s="50"/>
      <c r="AU91" s="50"/>
      <c r="AV91" s="50"/>
      <c r="AW91" s="50"/>
      <c r="AX91" s="50"/>
      <c r="AY91" s="50"/>
      <c r="AZ91" s="50"/>
      <c r="BA91" s="50">
        <f>+AR91+AS91+AU91+AW91+AY91+AZ91</f>
        <v>0</v>
      </c>
      <c r="BB91" s="180"/>
      <c r="BC91" s="116">
        <v>3</v>
      </c>
      <c r="BD91" s="146"/>
      <c r="BE91" s="180"/>
      <c r="BF91" s="146"/>
    </row>
    <row r="92" spans="1:58" ht="12.95" customHeight="1" x14ac:dyDescent="0.2">
      <c r="A92" s="117"/>
      <c r="B92" s="118"/>
      <c r="C92" s="119"/>
      <c r="D92" s="118"/>
      <c r="E92" s="37"/>
      <c r="F92" s="37"/>
      <c r="G92" s="190"/>
      <c r="H92" s="192"/>
      <c r="I92" s="45"/>
      <c r="J92" s="46"/>
      <c r="K92" s="46"/>
      <c r="L92" s="184"/>
      <c r="M92" s="184"/>
      <c r="N92" s="47"/>
      <c r="O92" s="48"/>
      <c r="P92" s="49"/>
      <c r="Q92" s="48"/>
      <c r="R92" s="123"/>
      <c r="S92" s="123"/>
      <c r="T92" s="50"/>
      <c r="U92" s="50"/>
      <c r="V92" s="50"/>
      <c r="W92" s="50"/>
      <c r="X92" s="51"/>
      <c r="Y92" s="52"/>
      <c r="Z92" s="50"/>
      <c r="AA92" s="53"/>
      <c r="AB92" s="53"/>
      <c r="AC92" s="50"/>
      <c r="AD92" s="50">
        <f t="shared" si="147"/>
        <v>29</v>
      </c>
      <c r="AE92" s="191" t="s">
        <v>162</v>
      </c>
      <c r="AF92" s="50"/>
      <c r="AG92" s="50"/>
      <c r="AH92" s="50">
        <v>29</v>
      </c>
      <c r="AI92" s="50"/>
      <c r="AJ92" s="50"/>
      <c r="AK92" s="50"/>
      <c r="AL92" s="50"/>
      <c r="AM92" s="50">
        <f>SUM(AF92:AL92)+AT92+AV92+AX92</f>
        <v>29</v>
      </c>
      <c r="AN92" s="50"/>
      <c r="AO92" s="50"/>
      <c r="AP92" s="50"/>
      <c r="AQ92" s="50"/>
      <c r="AR92" s="50">
        <f t="shared" si="148"/>
        <v>0</v>
      </c>
      <c r="AS92" s="50"/>
      <c r="AT92" s="50"/>
      <c r="AU92" s="50"/>
      <c r="AV92" s="50"/>
      <c r="AW92" s="50"/>
      <c r="AX92" s="50"/>
      <c r="AY92" s="50"/>
      <c r="AZ92" s="50"/>
      <c r="BA92" s="50">
        <f>+AR92+AS92+AU92+AW92+AY92+AZ92</f>
        <v>0</v>
      </c>
      <c r="BB92" s="180"/>
      <c r="BC92" s="116"/>
      <c r="BD92" s="146"/>
      <c r="BE92" s="180"/>
      <c r="BF92" s="146"/>
    </row>
    <row r="93" spans="1:58" ht="12.95" customHeight="1" x14ac:dyDescent="0.2">
      <c r="A93" s="117"/>
      <c r="B93" s="118"/>
      <c r="C93" s="119"/>
      <c r="D93" s="118"/>
      <c r="E93" s="37"/>
      <c r="F93" s="37"/>
      <c r="G93" s="190"/>
      <c r="H93" s="192"/>
      <c r="I93" s="45"/>
      <c r="J93" s="46"/>
      <c r="K93" s="46"/>
      <c r="L93" s="184"/>
      <c r="M93" s="184"/>
      <c r="N93" s="47"/>
      <c r="O93" s="48"/>
      <c r="P93" s="49"/>
      <c r="Q93" s="48"/>
      <c r="R93" s="123"/>
      <c r="S93" s="123"/>
      <c r="T93" s="50"/>
      <c r="U93" s="50"/>
      <c r="V93" s="50"/>
      <c r="W93" s="50"/>
      <c r="X93" s="55"/>
      <c r="Y93" s="52"/>
      <c r="Z93" s="50"/>
      <c r="AA93" s="50"/>
      <c r="AB93" s="50"/>
      <c r="AC93" s="50"/>
      <c r="AD93" s="50"/>
      <c r="AE93" s="191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180"/>
      <c r="BC93" s="116"/>
      <c r="BD93" s="146"/>
      <c r="BE93" s="180"/>
      <c r="BF93" s="146"/>
    </row>
    <row r="94" spans="1:58" ht="12.95" customHeight="1" x14ac:dyDescent="0.2">
      <c r="A94" s="117">
        <v>45982</v>
      </c>
      <c r="B94" s="118" t="s">
        <v>121</v>
      </c>
      <c r="C94" s="119">
        <f t="shared" ref="C94" si="149">(M94*E94*O94*Q94)/100000000</f>
        <v>72.009907200000001</v>
      </c>
      <c r="D94" s="118" t="s">
        <v>198</v>
      </c>
      <c r="E94" s="37">
        <v>31.5</v>
      </c>
      <c r="F94" s="37">
        <v>1</v>
      </c>
      <c r="G94" s="190">
        <v>535</v>
      </c>
      <c r="H94" s="192">
        <v>0.12</v>
      </c>
      <c r="I94" s="45">
        <v>0.88</v>
      </c>
      <c r="J94" s="46">
        <f t="shared" ref="J94" si="150">E94*G94*(1-H94)*1440/1000000*3.4</f>
        <v>72.608659200000005</v>
      </c>
      <c r="K94" s="46">
        <f t="shared" ref="K94" si="151">(IF(G94&lt;L94,L94,G94)*(1-IF(H94&lt;N94,H94,N94))*E94*O94*Q94)/100000000</f>
        <v>72.009907200000001</v>
      </c>
      <c r="L94" s="184">
        <v>550</v>
      </c>
      <c r="M94" s="184">
        <f>+L94-L94*0.12</f>
        <v>484</v>
      </c>
      <c r="N94" s="47">
        <f t="shared" ref="N94" si="152">1-(M94/L94)</f>
        <v>0.12</v>
      </c>
      <c r="O94" s="48">
        <f>+'[2]Trim Rwd'!H65</f>
        <v>328</v>
      </c>
      <c r="P94" s="49">
        <f t="shared" ref="P94" si="153">O94*(Q94-R94-S94)</f>
        <v>460184</v>
      </c>
      <c r="Q94" s="48">
        <v>1440</v>
      </c>
      <c r="R94" s="123">
        <v>0</v>
      </c>
      <c r="S94" s="123">
        <v>37</v>
      </c>
      <c r="T94" s="50">
        <f t="shared" ref="T94" si="154">E94*M94*O94*Q94/100000000</f>
        <v>72.009907200000001</v>
      </c>
      <c r="U94" s="50">
        <f t="shared" ref="U94" si="155">E94*M94*O94*(Q94-R94-S94)/100000000</f>
        <v>70.159652640000004</v>
      </c>
      <c r="V94" s="50">
        <f t="shared" ref="V94" si="156">E94*G94*(1-N94)*O94/100*(R94+S94)/1000000</f>
        <v>1.7997930720000002</v>
      </c>
      <c r="W94" s="50">
        <f>+'[2]21'!K34/1000</f>
        <v>70.474000000000004</v>
      </c>
      <c r="X94" s="51">
        <f>SUM(W94:W97)/SUM(K94:K97)</f>
        <v>0.97867089044103095</v>
      </c>
      <c r="Y94" s="52">
        <v>0</v>
      </c>
      <c r="Z94" s="50">
        <v>0</v>
      </c>
      <c r="AA94" s="53">
        <f>SUM(U94:U97)-SUM(W94:W97)-SUM(Z94:Z97)-SUM(Y94:Y97)</f>
        <v>-0.3143473599999993</v>
      </c>
      <c r="AB94" s="53">
        <f>(SUM(K94:K97)-SUM(W94:W97)-SUM(Y94:Y97)-SUM(Z94:Z97)-SUM(AC94:AC97)-SUM(V94:V97))-AA94</f>
        <v>5.0461487999996057E-2</v>
      </c>
      <c r="AC94" s="50">
        <f>K94-T94</f>
        <v>0</v>
      </c>
      <c r="AD94" s="50">
        <f>+AM94+BA94</f>
        <v>0</v>
      </c>
      <c r="AE94" s="191" t="s">
        <v>110</v>
      </c>
      <c r="AF94" s="50">
        <v>0</v>
      </c>
      <c r="AG94" s="50"/>
      <c r="AH94" s="50"/>
      <c r="AI94" s="50"/>
      <c r="AJ94" s="50"/>
      <c r="AK94" s="50"/>
      <c r="AL94" s="50"/>
      <c r="AM94" s="50">
        <f>SUM(AF94:AL94)+AT94+AV94+AX94</f>
        <v>0</v>
      </c>
      <c r="AN94" s="50"/>
      <c r="AO94" s="50"/>
      <c r="AP94" s="50"/>
      <c r="AQ94" s="50"/>
      <c r="AR94" s="50">
        <f>SUM(AN94:AQ94)</f>
        <v>0</v>
      </c>
      <c r="AS94" s="50"/>
      <c r="AT94" s="50"/>
      <c r="AU94" s="50"/>
      <c r="AV94" s="50"/>
      <c r="AW94" s="50"/>
      <c r="AX94" s="50"/>
      <c r="AY94" s="50"/>
      <c r="AZ94" s="50"/>
      <c r="BA94" s="50">
        <f>+AR94+AS94+AU94+AW94+AY94+AZ94</f>
        <v>0</v>
      </c>
      <c r="BB94" s="180">
        <v>0</v>
      </c>
      <c r="BC94" s="116"/>
      <c r="BD94" s="116"/>
      <c r="BE94" s="189"/>
      <c r="BF94" s="116"/>
    </row>
    <row r="95" spans="1:58" ht="12.95" customHeight="1" x14ac:dyDescent="0.2">
      <c r="A95" s="117"/>
      <c r="B95" s="118"/>
      <c r="C95" s="119"/>
      <c r="D95" s="118"/>
      <c r="E95" s="37"/>
      <c r="F95" s="37"/>
      <c r="G95" s="190"/>
      <c r="H95" s="192"/>
      <c r="I95" s="45"/>
      <c r="J95" s="46"/>
      <c r="K95" s="46"/>
      <c r="L95" s="184"/>
      <c r="M95" s="184"/>
      <c r="N95" s="47"/>
      <c r="O95" s="48"/>
      <c r="P95" s="49"/>
      <c r="Q95" s="48"/>
      <c r="R95" s="123"/>
      <c r="S95" s="123"/>
      <c r="T95" s="50"/>
      <c r="U95" s="50"/>
      <c r="V95" s="50"/>
      <c r="W95" s="50"/>
      <c r="X95" s="51"/>
      <c r="Y95" s="52"/>
      <c r="Z95" s="50"/>
      <c r="AA95" s="53"/>
      <c r="AB95" s="53"/>
      <c r="AC95" s="50"/>
      <c r="AD95" s="50">
        <f t="shared" ref="AD95:AD96" si="157">+AM95+BA95</f>
        <v>12</v>
      </c>
      <c r="AE95" s="191" t="s">
        <v>125</v>
      </c>
      <c r="AF95" s="50"/>
      <c r="AG95" s="50">
        <v>12</v>
      </c>
      <c r="AH95" s="50"/>
      <c r="AI95" s="50"/>
      <c r="AJ95" s="50"/>
      <c r="AK95" s="50"/>
      <c r="AL95" s="50"/>
      <c r="AM95" s="50">
        <f>SUM(AF95:AL95)+AT95+AV95+AX95</f>
        <v>12</v>
      </c>
      <c r="AN95" s="50"/>
      <c r="AO95" s="50"/>
      <c r="AP95" s="50"/>
      <c r="AQ95" s="50"/>
      <c r="AR95" s="50">
        <f t="shared" ref="AR95:AR96" si="158">SUM(AN95:AQ95)</f>
        <v>0</v>
      </c>
      <c r="AS95" s="50"/>
      <c r="AT95" s="50"/>
      <c r="AU95" s="50"/>
      <c r="AV95" s="50"/>
      <c r="AW95" s="50"/>
      <c r="AX95" s="50"/>
      <c r="AY95" s="50"/>
      <c r="AZ95" s="50"/>
      <c r="BA95" s="50">
        <f>+AR95+AS95+AU95+AW95+AY95+AZ95</f>
        <v>0</v>
      </c>
      <c r="BB95" s="180"/>
      <c r="BC95" s="116">
        <v>3</v>
      </c>
      <c r="BD95" s="146"/>
      <c r="BE95" s="180"/>
      <c r="BF95" s="146"/>
    </row>
    <row r="96" spans="1:58" ht="12.95" customHeight="1" x14ac:dyDescent="0.2">
      <c r="A96" s="117"/>
      <c r="B96" s="118"/>
      <c r="C96" s="119"/>
      <c r="D96" s="118"/>
      <c r="E96" s="37"/>
      <c r="F96" s="37"/>
      <c r="G96" s="190"/>
      <c r="H96" s="192"/>
      <c r="I96" s="45"/>
      <c r="J96" s="46"/>
      <c r="K96" s="46"/>
      <c r="L96" s="184"/>
      <c r="M96" s="184"/>
      <c r="N96" s="47"/>
      <c r="O96" s="48"/>
      <c r="P96" s="49"/>
      <c r="Q96" s="48"/>
      <c r="R96" s="123"/>
      <c r="S96" s="123"/>
      <c r="T96" s="50"/>
      <c r="U96" s="50"/>
      <c r="V96" s="50"/>
      <c r="W96" s="50"/>
      <c r="X96" s="51"/>
      <c r="Y96" s="52"/>
      <c r="Z96" s="50"/>
      <c r="AA96" s="53"/>
      <c r="AB96" s="53"/>
      <c r="AC96" s="50"/>
      <c r="AD96" s="50">
        <f t="shared" si="157"/>
        <v>25</v>
      </c>
      <c r="AE96" s="191" t="s">
        <v>162</v>
      </c>
      <c r="AF96" s="50"/>
      <c r="AG96" s="50"/>
      <c r="AH96" s="50">
        <v>25</v>
      </c>
      <c r="AI96" s="50"/>
      <c r="AJ96" s="50"/>
      <c r="AK96" s="50"/>
      <c r="AL96" s="50"/>
      <c r="AM96" s="50">
        <f>SUM(AF96:AL96)+AT96+AV96+AX96</f>
        <v>25</v>
      </c>
      <c r="AN96" s="50"/>
      <c r="AO96" s="50"/>
      <c r="AP96" s="50"/>
      <c r="AQ96" s="50"/>
      <c r="AR96" s="50">
        <f t="shared" si="158"/>
        <v>0</v>
      </c>
      <c r="AS96" s="50"/>
      <c r="AT96" s="50"/>
      <c r="AU96" s="50"/>
      <c r="AV96" s="50"/>
      <c r="AW96" s="50"/>
      <c r="AX96" s="50"/>
      <c r="AY96" s="50"/>
      <c r="AZ96" s="50"/>
      <c r="BA96" s="50">
        <f>+AR96+AS96+AU96+AW96+AY96+AZ96</f>
        <v>0</v>
      </c>
      <c r="BB96" s="180"/>
      <c r="BC96" s="116"/>
      <c r="BD96" s="146"/>
      <c r="BE96" s="180"/>
      <c r="BF96" s="146"/>
    </row>
    <row r="97" spans="1:58" ht="12.95" customHeight="1" x14ac:dyDescent="0.2">
      <c r="A97" s="117"/>
      <c r="B97" s="118"/>
      <c r="C97" s="119"/>
      <c r="D97" s="118"/>
      <c r="E97" s="37"/>
      <c r="F97" s="37"/>
      <c r="G97" s="190"/>
      <c r="H97" s="192"/>
      <c r="I97" s="45"/>
      <c r="J97" s="46"/>
      <c r="K97" s="46"/>
      <c r="L97" s="184"/>
      <c r="M97" s="184"/>
      <c r="N97" s="47"/>
      <c r="O97" s="48"/>
      <c r="P97" s="49"/>
      <c r="Q97" s="48"/>
      <c r="R97" s="123"/>
      <c r="S97" s="123"/>
      <c r="T97" s="50"/>
      <c r="U97" s="50"/>
      <c r="V97" s="50"/>
      <c r="W97" s="50"/>
      <c r="X97" s="55"/>
      <c r="Y97" s="52"/>
      <c r="Z97" s="50"/>
      <c r="AA97" s="50"/>
      <c r="AB97" s="50"/>
      <c r="AC97" s="50"/>
      <c r="AD97" s="50"/>
      <c r="AE97" s="191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180"/>
      <c r="BC97" s="116"/>
      <c r="BD97" s="146"/>
      <c r="BE97" s="180"/>
      <c r="BF97" s="146"/>
    </row>
    <row r="98" spans="1:58" ht="12.95" customHeight="1" x14ac:dyDescent="0.2">
      <c r="A98" s="117">
        <v>45983</v>
      </c>
      <c r="B98" s="118" t="s">
        <v>121</v>
      </c>
      <c r="C98" s="119">
        <f t="shared" ref="C98" si="159">(M98*E98*O98*Q98)/100000000</f>
        <v>72.009907200000001</v>
      </c>
      <c r="D98" s="118" t="s">
        <v>198</v>
      </c>
      <c r="E98" s="37">
        <v>31.5</v>
      </c>
      <c r="F98" s="37">
        <v>1</v>
      </c>
      <c r="G98" s="190">
        <v>535</v>
      </c>
      <c r="H98" s="192">
        <v>0.12</v>
      </c>
      <c r="I98" s="45">
        <v>0.88</v>
      </c>
      <c r="J98" s="46">
        <f t="shared" ref="J98" si="160">E98*G98*(1-H98)*1440/1000000*3.4</f>
        <v>72.608659200000005</v>
      </c>
      <c r="K98" s="46">
        <f t="shared" ref="K98" si="161">(IF(G98&lt;L98,L98,G98)*(1-IF(H98&lt;N98,H98,N98))*E98*O98*Q98)/100000000</f>
        <v>72.009907200000001</v>
      </c>
      <c r="L98" s="184">
        <v>550</v>
      </c>
      <c r="M98" s="184">
        <f>+L98-L98*0.12</f>
        <v>484</v>
      </c>
      <c r="N98" s="47">
        <f t="shared" ref="N98" si="162">1-(M98/L98)</f>
        <v>0.12</v>
      </c>
      <c r="O98" s="48">
        <f>+'[2]Trim Rwd'!H67</f>
        <v>328</v>
      </c>
      <c r="P98" s="49">
        <f t="shared" ref="P98" si="163">O98*(Q98-R98-S98)</f>
        <v>460184</v>
      </c>
      <c r="Q98" s="48">
        <v>1440</v>
      </c>
      <c r="R98" s="123">
        <v>0</v>
      </c>
      <c r="S98" s="123">
        <v>37</v>
      </c>
      <c r="T98" s="50">
        <f t="shared" ref="T98" si="164">E98*M98*O98*Q98/100000000</f>
        <v>72.009907200000001</v>
      </c>
      <c r="U98" s="50">
        <f t="shared" ref="U98" si="165">E98*M98*O98*(Q98-R98-S98)/100000000</f>
        <v>70.159652640000004</v>
      </c>
      <c r="V98" s="50">
        <f t="shared" ref="V98" si="166">E98*G98*(1-N98)*O98/100*(R98+S98)/1000000</f>
        <v>1.7997930720000002</v>
      </c>
      <c r="W98" s="50">
        <f>+'[2]22'!K34/1000</f>
        <v>69.784999999999997</v>
      </c>
      <c r="X98" s="51">
        <f>SUM(W98:W101)/SUM(K98:K101)</f>
        <v>0.96910276257098127</v>
      </c>
      <c r="Y98" s="52">
        <v>0</v>
      </c>
      <c r="Z98" s="50">
        <v>0</v>
      </c>
      <c r="AA98" s="53">
        <f>SUM(U98:U101)-SUM(W98:W101)-SUM(Z98:Z101)-SUM(Y98:Y101)</f>
        <v>0.37465264000000786</v>
      </c>
      <c r="AB98" s="53">
        <f>(SUM(K98:K101)-SUM(W98:W101)-SUM(Y98:Y101)-SUM(Z98:Z101)-SUM(AC98:AC101)-SUM(V98:V101))-AA98</f>
        <v>5.0461487999996057E-2</v>
      </c>
      <c r="AC98" s="50">
        <f>K98-T98</f>
        <v>0</v>
      </c>
      <c r="AD98" s="50">
        <f>+AM98+BA98</f>
        <v>0</v>
      </c>
      <c r="AE98" s="191" t="s">
        <v>110</v>
      </c>
      <c r="AF98" s="50">
        <v>0</v>
      </c>
      <c r="AG98" s="50"/>
      <c r="AH98" s="50"/>
      <c r="AI98" s="50"/>
      <c r="AJ98" s="50"/>
      <c r="AK98" s="50"/>
      <c r="AL98" s="50"/>
      <c r="AM98" s="50">
        <f>SUM(AF98:AL98)+AT98+AV98+AX98</f>
        <v>0</v>
      </c>
      <c r="AN98" s="50"/>
      <c r="AO98" s="50"/>
      <c r="AP98" s="50"/>
      <c r="AQ98" s="50"/>
      <c r="AR98" s="50">
        <f>SUM(AN98:AQ98)</f>
        <v>0</v>
      </c>
      <c r="AS98" s="50"/>
      <c r="AT98" s="50"/>
      <c r="AU98" s="50"/>
      <c r="AV98" s="50"/>
      <c r="AW98" s="50"/>
      <c r="AX98" s="50"/>
      <c r="AY98" s="50"/>
      <c r="AZ98" s="50"/>
      <c r="BA98" s="50">
        <f>+AR98+AS98+AU98+AW98+AY98+AZ98</f>
        <v>0</v>
      </c>
      <c r="BB98" s="180">
        <v>0</v>
      </c>
      <c r="BC98" s="116"/>
      <c r="BD98" s="116"/>
      <c r="BE98" s="189"/>
      <c r="BF98" s="116"/>
    </row>
    <row r="99" spans="1:58" ht="12.95" customHeight="1" x14ac:dyDescent="0.2">
      <c r="A99" s="117"/>
      <c r="B99" s="118"/>
      <c r="C99" s="119"/>
      <c r="D99" s="118"/>
      <c r="E99" s="37"/>
      <c r="F99" s="37"/>
      <c r="G99" s="190"/>
      <c r="H99" s="192"/>
      <c r="I99" s="45"/>
      <c r="J99" s="46"/>
      <c r="K99" s="46"/>
      <c r="L99" s="184"/>
      <c r="M99" s="184"/>
      <c r="N99" s="47"/>
      <c r="O99" s="48"/>
      <c r="P99" s="49"/>
      <c r="Q99" s="48"/>
      <c r="R99" s="123"/>
      <c r="S99" s="123"/>
      <c r="T99" s="50"/>
      <c r="U99" s="50"/>
      <c r="V99" s="50"/>
      <c r="W99" s="50"/>
      <c r="X99" s="51"/>
      <c r="Y99" s="52"/>
      <c r="Z99" s="50"/>
      <c r="AA99" s="53"/>
      <c r="AB99" s="53"/>
      <c r="AC99" s="50"/>
      <c r="AD99" s="50">
        <f t="shared" ref="AD99:AD100" si="167">+AM99+BA99</f>
        <v>12</v>
      </c>
      <c r="AE99" s="191" t="s">
        <v>125</v>
      </c>
      <c r="AF99" s="50"/>
      <c r="AG99" s="50">
        <v>12</v>
      </c>
      <c r="AH99" s="50"/>
      <c r="AI99" s="50"/>
      <c r="AJ99" s="50"/>
      <c r="AK99" s="50"/>
      <c r="AL99" s="50"/>
      <c r="AM99" s="50">
        <f>SUM(AF99:AL99)+AT99+AV99+AX99</f>
        <v>12</v>
      </c>
      <c r="AN99" s="50"/>
      <c r="AO99" s="50"/>
      <c r="AP99" s="50"/>
      <c r="AQ99" s="50"/>
      <c r="AR99" s="50">
        <f t="shared" ref="AR99:AR100" si="168">SUM(AN99:AQ99)</f>
        <v>0</v>
      </c>
      <c r="AS99" s="50"/>
      <c r="AT99" s="50"/>
      <c r="AU99" s="50"/>
      <c r="AV99" s="50"/>
      <c r="AW99" s="50"/>
      <c r="AX99" s="50"/>
      <c r="AY99" s="50"/>
      <c r="AZ99" s="50"/>
      <c r="BA99" s="50">
        <f>+AR99+AS99+AU99+AW99+AY99+AZ99</f>
        <v>0</v>
      </c>
      <c r="BB99" s="180"/>
      <c r="BC99" s="116">
        <v>3</v>
      </c>
      <c r="BD99" s="146"/>
      <c r="BE99" s="180"/>
      <c r="BF99" s="146"/>
    </row>
    <row r="100" spans="1:58" ht="12.95" customHeight="1" x14ac:dyDescent="0.2">
      <c r="A100" s="117"/>
      <c r="B100" s="118"/>
      <c r="C100" s="119"/>
      <c r="D100" s="118"/>
      <c r="E100" s="37"/>
      <c r="F100" s="37"/>
      <c r="G100" s="190"/>
      <c r="H100" s="192"/>
      <c r="I100" s="45"/>
      <c r="J100" s="46"/>
      <c r="K100" s="46"/>
      <c r="L100" s="184"/>
      <c r="M100" s="184"/>
      <c r="N100" s="47"/>
      <c r="O100" s="48"/>
      <c r="P100" s="49"/>
      <c r="Q100" s="48"/>
      <c r="R100" s="123"/>
      <c r="S100" s="123"/>
      <c r="T100" s="50"/>
      <c r="U100" s="50"/>
      <c r="V100" s="50"/>
      <c r="W100" s="50"/>
      <c r="X100" s="51"/>
      <c r="Y100" s="52"/>
      <c r="Z100" s="50"/>
      <c r="AA100" s="53"/>
      <c r="AB100" s="53"/>
      <c r="AC100" s="50"/>
      <c r="AD100" s="50">
        <f t="shared" si="167"/>
        <v>25</v>
      </c>
      <c r="AE100" s="191" t="s">
        <v>162</v>
      </c>
      <c r="AF100" s="50"/>
      <c r="AG100" s="50"/>
      <c r="AH100" s="50">
        <v>25</v>
      </c>
      <c r="AI100" s="50"/>
      <c r="AJ100" s="50"/>
      <c r="AK100" s="50"/>
      <c r="AL100" s="50"/>
      <c r="AM100" s="50">
        <f>SUM(AF100:AL100)+AT100+AV100+AX100</f>
        <v>25</v>
      </c>
      <c r="AN100" s="50"/>
      <c r="AO100" s="50"/>
      <c r="AP100" s="50"/>
      <c r="AQ100" s="50"/>
      <c r="AR100" s="50">
        <f t="shared" si="168"/>
        <v>0</v>
      </c>
      <c r="AS100" s="50"/>
      <c r="AT100" s="50"/>
      <c r="AU100" s="50"/>
      <c r="AV100" s="50"/>
      <c r="AW100" s="50"/>
      <c r="AX100" s="50"/>
      <c r="AY100" s="50"/>
      <c r="AZ100" s="50"/>
      <c r="BA100" s="50">
        <f>+AR100+AS100+AU100+AW100+AY100+AZ100</f>
        <v>0</v>
      </c>
      <c r="BB100" s="180"/>
      <c r="BC100" s="116"/>
      <c r="BD100" s="146"/>
      <c r="BE100" s="180"/>
      <c r="BF100" s="146"/>
    </row>
    <row r="101" spans="1:58" ht="12.95" customHeight="1" x14ac:dyDescent="0.2">
      <c r="A101" s="117"/>
      <c r="B101" s="118"/>
      <c r="C101" s="119"/>
      <c r="D101" s="118"/>
      <c r="E101" s="37"/>
      <c r="F101" s="37"/>
      <c r="G101" s="190"/>
      <c r="H101" s="192"/>
      <c r="I101" s="45"/>
      <c r="J101" s="46"/>
      <c r="K101" s="46"/>
      <c r="L101" s="184"/>
      <c r="M101" s="184"/>
      <c r="N101" s="47"/>
      <c r="O101" s="48"/>
      <c r="P101" s="49"/>
      <c r="Q101" s="48"/>
      <c r="R101" s="123"/>
      <c r="S101" s="123"/>
      <c r="T101" s="50"/>
      <c r="U101" s="50"/>
      <c r="V101" s="50"/>
      <c r="W101" s="50"/>
      <c r="X101" s="55"/>
      <c r="Y101" s="52"/>
      <c r="Z101" s="50"/>
      <c r="AA101" s="50"/>
      <c r="AB101" s="50"/>
      <c r="AC101" s="50"/>
      <c r="AD101" s="50"/>
      <c r="AE101" s="191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180"/>
      <c r="BC101" s="116"/>
      <c r="BD101" s="146"/>
      <c r="BE101" s="180"/>
      <c r="BF101" s="146"/>
    </row>
    <row r="102" spans="1:58" ht="12.95" customHeight="1" x14ac:dyDescent="0.2">
      <c r="A102" s="117">
        <v>45984</v>
      </c>
      <c r="B102" s="118" t="s">
        <v>121</v>
      </c>
      <c r="C102" s="119">
        <f t="shared" ref="C102:C103" si="169">(M102*E102*O102*Q102)/100000000</f>
        <v>9.0012384000000001</v>
      </c>
      <c r="D102" s="118" t="s">
        <v>198</v>
      </c>
      <c r="E102" s="37">
        <v>31.5</v>
      </c>
      <c r="F102" s="37">
        <v>1</v>
      </c>
      <c r="G102" s="190">
        <v>535</v>
      </c>
      <c r="H102" s="192">
        <v>0.12</v>
      </c>
      <c r="I102" s="45">
        <v>0.88</v>
      </c>
      <c r="J102" s="46">
        <f t="shared" ref="J102:J103" si="170">E102*G102*(1-H102)*1440/1000000*3.4</f>
        <v>72.608659200000005</v>
      </c>
      <c r="K102" s="46">
        <f t="shared" ref="K102:K103" si="171">(IF(G102&lt;L102,L102,G102)*(1-IF(H102&lt;N102,H102,N102))*E102*O102*Q102)/100000000</f>
        <v>9.0012384000000001</v>
      </c>
      <c r="L102" s="184">
        <v>550</v>
      </c>
      <c r="M102" s="184">
        <f>+L102-L102*0.12</f>
        <v>484</v>
      </c>
      <c r="N102" s="47">
        <f t="shared" ref="N102:N103" si="172">1-(M102/L102)</f>
        <v>0.12</v>
      </c>
      <c r="O102" s="48">
        <f>+'[2]Trim Rwd'!H69</f>
        <v>328</v>
      </c>
      <c r="P102" s="49">
        <f t="shared" ref="P102:P103" si="173">O102*(Q102-R102-S102)</f>
        <v>57072</v>
      </c>
      <c r="Q102" s="48">
        <v>180</v>
      </c>
      <c r="R102" s="123">
        <v>0</v>
      </c>
      <c r="S102" s="123">
        <v>6</v>
      </c>
      <c r="T102" s="50">
        <f t="shared" ref="T102:T103" si="174">E102*M102*O102*Q102/100000000</f>
        <v>9.0012384000000001</v>
      </c>
      <c r="U102" s="50">
        <f t="shared" ref="U102:U103" si="175">E102*M102*O102*(Q102-R102-S102)/100000000</f>
        <v>8.7011971199999998</v>
      </c>
      <c r="V102" s="50">
        <f t="shared" ref="V102:V103" si="176">E102*G102*(1-N102)*O102/100*(R102+S102)/1000000</f>
        <v>0.291858336</v>
      </c>
      <c r="W102" s="50">
        <f>+'[2]23'!K16/1000</f>
        <v>15.981999999999999</v>
      </c>
      <c r="X102" s="51">
        <f>SUM(W102:W105)/SUM(K102:K105)</f>
        <v>0.97099410165765021</v>
      </c>
      <c r="Y102" s="52">
        <v>0</v>
      </c>
      <c r="Z102" s="50">
        <f>+'[2]23'!D7/1000</f>
        <v>0.503</v>
      </c>
      <c r="AA102" s="53">
        <f>SUM(U102:U105)-SUM(W102:W105)-SUM(Z102:Z105)-SUM(Y102:Y105)</f>
        <v>0.31124192000000062</v>
      </c>
      <c r="AB102" s="53">
        <f>(SUM(K102:K105)-SUM(W102:W105)-SUM(Y102:Y105)-SUM(Z102:Z105)-SUM(AC102:AC105)-SUM(V102:V105))-AA102</f>
        <v>6.655334400000823E-2</v>
      </c>
      <c r="AC102" s="50">
        <f>K102-T102</f>
        <v>0</v>
      </c>
      <c r="AD102" s="50">
        <f>+AM102+BA102</f>
        <v>0</v>
      </c>
      <c r="AE102" s="191" t="s">
        <v>110</v>
      </c>
      <c r="AF102" s="50">
        <v>0</v>
      </c>
      <c r="AG102" s="50"/>
      <c r="AH102" s="50"/>
      <c r="AI102" s="50"/>
      <c r="AJ102" s="50"/>
      <c r="AK102" s="50"/>
      <c r="AL102" s="50"/>
      <c r="AM102" s="50">
        <f>SUM(AF102:AL102)+AT102+AV102+AX102</f>
        <v>0</v>
      </c>
      <c r="AN102" s="50"/>
      <c r="AO102" s="50"/>
      <c r="AP102" s="50"/>
      <c r="AQ102" s="50"/>
      <c r="AR102" s="50">
        <f>SUM(AN102:AQ102)</f>
        <v>0</v>
      </c>
      <c r="AS102" s="50"/>
      <c r="AT102" s="50"/>
      <c r="AU102" s="50"/>
      <c r="AV102" s="50"/>
      <c r="AW102" s="50"/>
      <c r="AX102" s="50"/>
      <c r="AY102" s="50"/>
      <c r="AZ102" s="50"/>
      <c r="BA102" s="50">
        <f>+AR102+AS102+AU102+AW102+AY102+AZ102</f>
        <v>0</v>
      </c>
      <c r="BB102" s="180">
        <v>0</v>
      </c>
      <c r="BC102" s="116"/>
      <c r="BD102" s="116"/>
      <c r="BE102" s="189"/>
      <c r="BF102" s="116"/>
    </row>
    <row r="103" spans="1:58" ht="12.95" customHeight="1" x14ac:dyDescent="0.2">
      <c r="A103" s="117"/>
      <c r="B103" s="118" t="s">
        <v>121</v>
      </c>
      <c r="C103" s="119">
        <f t="shared" si="169"/>
        <v>64.966255200000006</v>
      </c>
      <c r="D103" s="118" t="s">
        <v>198</v>
      </c>
      <c r="E103" s="37">
        <v>33.5</v>
      </c>
      <c r="F103" s="37">
        <v>1</v>
      </c>
      <c r="G103" s="190">
        <v>500</v>
      </c>
      <c r="H103" s="192">
        <v>0.12</v>
      </c>
      <c r="I103" s="45">
        <v>0.88</v>
      </c>
      <c r="J103" s="46">
        <f t="shared" si="170"/>
        <v>72.16704</v>
      </c>
      <c r="K103" s="46">
        <f t="shared" si="171"/>
        <v>64.966255200000006</v>
      </c>
      <c r="L103" s="184">
        <v>530</v>
      </c>
      <c r="M103" s="184">
        <f>+L103-L103*0.12</f>
        <v>466.4</v>
      </c>
      <c r="N103" s="47">
        <f t="shared" si="172"/>
        <v>0.12</v>
      </c>
      <c r="O103" s="48">
        <f>+'[2]Trim Rwd'!H70</f>
        <v>330</v>
      </c>
      <c r="P103" s="49">
        <f t="shared" si="173"/>
        <v>409200</v>
      </c>
      <c r="Q103" s="48">
        <v>1260</v>
      </c>
      <c r="R103" s="123">
        <v>0</v>
      </c>
      <c r="S103" s="123">
        <v>20</v>
      </c>
      <c r="T103" s="50">
        <f t="shared" si="174"/>
        <v>64.966255200000006</v>
      </c>
      <c r="U103" s="50">
        <f t="shared" si="175"/>
        <v>63.9350448</v>
      </c>
      <c r="V103" s="50">
        <f t="shared" si="176"/>
        <v>0.97284000000000004</v>
      </c>
      <c r="W103" s="50">
        <f>+'[2]23'!K17/1000</f>
        <v>55.84</v>
      </c>
      <c r="X103" s="51"/>
      <c r="Y103" s="52"/>
      <c r="Z103" s="50"/>
      <c r="AA103" s="53"/>
      <c r="AB103" s="53"/>
      <c r="AC103" s="50">
        <f>K103-T103</f>
        <v>0</v>
      </c>
      <c r="AD103" s="50">
        <f t="shared" ref="AD103:AD105" si="177">+AM103+BA103</f>
        <v>8</v>
      </c>
      <c r="AE103" s="191" t="s">
        <v>125</v>
      </c>
      <c r="AF103" s="50"/>
      <c r="AG103" s="50">
        <v>8</v>
      </c>
      <c r="AH103" s="50"/>
      <c r="AI103" s="50"/>
      <c r="AJ103" s="50"/>
      <c r="AK103" s="50"/>
      <c r="AL103" s="50"/>
      <c r="AM103" s="50">
        <f>SUM(AF103:AL103)+AT103+AV103+AX103</f>
        <v>8</v>
      </c>
      <c r="AN103" s="50"/>
      <c r="AO103" s="50"/>
      <c r="AP103" s="50"/>
      <c r="AQ103" s="50"/>
      <c r="AR103" s="50">
        <f t="shared" ref="AR103:AR105" si="178">SUM(AN103:AQ103)</f>
        <v>0</v>
      </c>
      <c r="AS103" s="50"/>
      <c r="AT103" s="50"/>
      <c r="AU103" s="50"/>
      <c r="AV103" s="50"/>
      <c r="AW103" s="50"/>
      <c r="AX103" s="50"/>
      <c r="AY103" s="50"/>
      <c r="AZ103" s="50"/>
      <c r="BA103" s="50">
        <f>+AR103+AS103+AU103+AW103+AY103+AZ103</f>
        <v>0</v>
      </c>
      <c r="BB103" s="180"/>
      <c r="BC103" s="116">
        <v>3</v>
      </c>
      <c r="BD103" s="146"/>
      <c r="BE103" s="180"/>
      <c r="BF103" s="146"/>
    </row>
    <row r="104" spans="1:58" ht="12.95" customHeight="1" x14ac:dyDescent="0.2">
      <c r="A104" s="117"/>
      <c r="B104" s="118"/>
      <c r="C104" s="119"/>
      <c r="D104" s="118"/>
      <c r="E104" s="37"/>
      <c r="F104" s="37"/>
      <c r="G104" s="190"/>
      <c r="H104" s="192"/>
      <c r="I104" s="45"/>
      <c r="J104" s="46"/>
      <c r="K104" s="46"/>
      <c r="L104" s="184"/>
      <c r="M104" s="184"/>
      <c r="N104" s="47"/>
      <c r="O104" s="48"/>
      <c r="P104" s="49"/>
      <c r="Q104" s="48"/>
      <c r="R104" s="123"/>
      <c r="S104" s="123"/>
      <c r="T104" s="50"/>
      <c r="U104" s="50"/>
      <c r="V104" s="50"/>
      <c r="W104" s="50"/>
      <c r="X104" s="51"/>
      <c r="Y104" s="52"/>
      <c r="Z104" s="50"/>
      <c r="AA104" s="53"/>
      <c r="AB104" s="53"/>
      <c r="AC104" s="50"/>
      <c r="AD104" s="50">
        <f t="shared" si="177"/>
        <v>16</v>
      </c>
      <c r="AE104" s="191" t="s">
        <v>162</v>
      </c>
      <c r="AF104" s="50"/>
      <c r="AG104" s="50"/>
      <c r="AH104" s="50">
        <v>16</v>
      </c>
      <c r="AI104" s="50"/>
      <c r="AJ104" s="50"/>
      <c r="AK104" s="50"/>
      <c r="AL104" s="50"/>
      <c r="AM104" s="50">
        <f>SUM(AF104:AL104)+AT104+AV104+AX104</f>
        <v>16</v>
      </c>
      <c r="AN104" s="50"/>
      <c r="AO104" s="50"/>
      <c r="AP104" s="50"/>
      <c r="AQ104" s="50"/>
      <c r="AR104" s="50">
        <f t="shared" si="178"/>
        <v>0</v>
      </c>
      <c r="AS104" s="50"/>
      <c r="AT104" s="50"/>
      <c r="AU104" s="50"/>
      <c r="AV104" s="50"/>
      <c r="AW104" s="50"/>
      <c r="AX104" s="50"/>
      <c r="AY104" s="50"/>
      <c r="AZ104" s="50"/>
      <c r="BA104" s="50">
        <f>+AR104+AS104+AU104+AW104+AY104+AZ104</f>
        <v>0</v>
      </c>
      <c r="BB104" s="180"/>
      <c r="BC104" s="116"/>
      <c r="BD104" s="146"/>
      <c r="BE104" s="180"/>
      <c r="BF104" s="146"/>
    </row>
    <row r="105" spans="1:58" ht="12.95" customHeight="1" x14ac:dyDescent="0.2">
      <c r="A105" s="117"/>
      <c r="B105" s="118"/>
      <c r="C105" s="119"/>
      <c r="D105" s="118"/>
      <c r="E105" s="37"/>
      <c r="F105" s="37"/>
      <c r="G105" s="188"/>
      <c r="H105" s="192"/>
      <c r="I105" s="45"/>
      <c r="J105" s="46"/>
      <c r="K105" s="46"/>
      <c r="L105" s="184"/>
      <c r="M105" s="184"/>
      <c r="N105" s="47"/>
      <c r="O105" s="48"/>
      <c r="P105" s="49"/>
      <c r="Q105" s="48"/>
      <c r="R105" s="123"/>
      <c r="S105" s="123"/>
      <c r="T105" s="50"/>
      <c r="U105" s="50"/>
      <c r="V105" s="50"/>
      <c r="W105" s="50"/>
      <c r="X105" s="55"/>
      <c r="Y105" s="52"/>
      <c r="Z105" s="50"/>
      <c r="AA105" s="50"/>
      <c r="AB105" s="50"/>
      <c r="AC105" s="50"/>
      <c r="AD105" s="50">
        <f t="shared" si="177"/>
        <v>2</v>
      </c>
      <c r="AE105" s="187" t="s">
        <v>124</v>
      </c>
      <c r="AF105" s="50"/>
      <c r="AG105" s="50"/>
      <c r="AH105" s="50"/>
      <c r="AI105" s="54">
        <v>2</v>
      </c>
      <c r="AJ105" s="50"/>
      <c r="AK105" s="50"/>
      <c r="AL105" s="50"/>
      <c r="AM105" s="50">
        <f>SUM(AF105:AL105)+AT105+AV105+AX105</f>
        <v>2</v>
      </c>
      <c r="AN105" s="50"/>
      <c r="AO105" s="50"/>
      <c r="AP105" s="50"/>
      <c r="AQ105" s="50"/>
      <c r="AR105" s="50">
        <f t="shared" si="178"/>
        <v>0</v>
      </c>
      <c r="AS105" s="50"/>
      <c r="AT105" s="50"/>
      <c r="AU105" s="50"/>
      <c r="AV105" s="50"/>
      <c r="AW105" s="50"/>
      <c r="AX105" s="50"/>
      <c r="AY105" s="50"/>
      <c r="AZ105" s="50"/>
      <c r="BA105" s="50">
        <f>+AR105+AS105+AU105+AW105+AY105+AZ105</f>
        <v>0</v>
      </c>
      <c r="BB105" s="180"/>
      <c r="BC105" s="116"/>
      <c r="BD105" s="146"/>
      <c r="BE105" s="180"/>
      <c r="BF105" s="146"/>
    </row>
    <row r="106" spans="1:58" ht="12.95" customHeight="1" x14ac:dyDescent="0.2">
      <c r="A106" s="117"/>
      <c r="B106" s="118"/>
      <c r="C106" s="119"/>
      <c r="D106" s="118"/>
      <c r="E106" s="37"/>
      <c r="F106" s="37"/>
      <c r="G106" s="188"/>
      <c r="H106" s="192"/>
      <c r="I106" s="45"/>
      <c r="J106" s="46"/>
      <c r="K106" s="46"/>
      <c r="L106" s="184"/>
      <c r="M106" s="184"/>
      <c r="N106" s="47"/>
      <c r="O106" s="48"/>
      <c r="P106" s="49"/>
      <c r="Q106" s="48"/>
      <c r="R106" s="123"/>
      <c r="S106" s="123"/>
      <c r="T106" s="50"/>
      <c r="U106" s="50"/>
      <c r="V106" s="50"/>
      <c r="W106" s="50"/>
      <c r="X106" s="55"/>
      <c r="Y106" s="52"/>
      <c r="Z106" s="50"/>
      <c r="AA106" s="50"/>
      <c r="AB106" s="50"/>
      <c r="AC106" s="50"/>
      <c r="AD106" s="50"/>
      <c r="AE106" s="187"/>
      <c r="AF106" s="180"/>
      <c r="AG106" s="180"/>
      <c r="AH106" s="18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180"/>
      <c r="BC106" s="146"/>
      <c r="BD106" s="116"/>
      <c r="BE106" s="116"/>
      <c r="BF106" s="116"/>
    </row>
    <row r="107" spans="1:58" ht="12.95" customHeight="1" x14ac:dyDescent="0.2">
      <c r="A107" s="117">
        <v>45985</v>
      </c>
      <c r="B107" s="118" t="s">
        <v>121</v>
      </c>
      <c r="C107" s="119">
        <f t="shared" ref="C107" si="179">(M107*E107*O107*Q107)/100000000</f>
        <v>74.247148800000005</v>
      </c>
      <c r="D107" s="118" t="s">
        <v>198</v>
      </c>
      <c r="E107" s="37">
        <v>33.5</v>
      </c>
      <c r="F107" s="37">
        <v>1</v>
      </c>
      <c r="G107" s="190">
        <v>500</v>
      </c>
      <c r="H107" s="192">
        <v>0.12</v>
      </c>
      <c r="I107" s="45">
        <v>0.88</v>
      </c>
      <c r="J107" s="46">
        <f t="shared" ref="J107" si="180">E107*G107*(1-H107)*1440/1000000*3.4</f>
        <v>72.16704</v>
      </c>
      <c r="K107" s="46">
        <f t="shared" ref="K107" si="181">(IF(G107&lt;L107,L107,G107)*(1-IF(H107&lt;N107,H107,N107))*E107*O107*Q107)/100000000</f>
        <v>74.247148800000005</v>
      </c>
      <c r="L107" s="184">
        <v>530</v>
      </c>
      <c r="M107" s="184">
        <f>+L107-L107*0.12</f>
        <v>466.4</v>
      </c>
      <c r="N107" s="47">
        <f t="shared" ref="N107" si="182">1-(M107/L107)</f>
        <v>0.12</v>
      </c>
      <c r="O107" s="48">
        <f>+'[2]Trim Rwd'!H72</f>
        <v>330</v>
      </c>
      <c r="P107" s="49">
        <f t="shared" ref="P107" si="183">O107*(Q107-R107-S107)</f>
        <v>467280</v>
      </c>
      <c r="Q107" s="48">
        <v>1440</v>
      </c>
      <c r="R107" s="123">
        <v>0</v>
      </c>
      <c r="S107" s="123">
        <v>24</v>
      </c>
      <c r="T107" s="50">
        <f t="shared" ref="T107" si="184">E107*M107*O107*Q107/100000000</f>
        <v>74.247148800000005</v>
      </c>
      <c r="U107" s="50">
        <f t="shared" ref="U107" si="185">E107*M107*O107*(Q107-R107-S107)/100000000</f>
        <v>73.009696320000003</v>
      </c>
      <c r="V107" s="50">
        <f t="shared" ref="V107" si="186">E107*G107*(1-N107)*O107/100*(R107+S107)/1000000</f>
        <v>1.167408</v>
      </c>
      <c r="W107" s="50">
        <f>+'[2]24'!K34/1000</f>
        <v>72.923000000000002</v>
      </c>
      <c r="X107" s="51">
        <f>SUM(W107:W110)/SUM(K107:K110)</f>
        <v>0.98216566128933958</v>
      </c>
      <c r="Y107" s="52">
        <v>0</v>
      </c>
      <c r="Z107" s="50">
        <f>+'[2]23'!D12/1000</f>
        <v>0</v>
      </c>
      <c r="AA107" s="53">
        <f>SUM(U107:U110)-SUM(W107:W110)-SUM(Z107:Z110)-SUM(Y107:Y110)</f>
        <v>8.6696320000001492E-2</v>
      </c>
      <c r="AB107" s="53">
        <f>(SUM(K107:K110)-SUM(W107:W110)-SUM(Y107:Y110)-SUM(Z107:Z110)-SUM(AC107:AC110)-SUM(V107:V110))-AA107</f>
        <v>7.0044480000001741E-2</v>
      </c>
      <c r="AC107" s="50">
        <f>K107-T107</f>
        <v>0</v>
      </c>
      <c r="AD107" s="50">
        <f>+AM107+BA107</f>
        <v>0</v>
      </c>
      <c r="AE107" s="191" t="s">
        <v>110</v>
      </c>
      <c r="AF107" s="50">
        <v>0</v>
      </c>
      <c r="AG107" s="50"/>
      <c r="AH107" s="50"/>
      <c r="AI107" s="50"/>
      <c r="AJ107" s="50"/>
      <c r="AK107" s="50"/>
      <c r="AL107" s="50"/>
      <c r="AM107" s="50">
        <f>SUM(AF107:AL107)+AT107+AV107+AX107</f>
        <v>0</v>
      </c>
      <c r="AN107" s="50"/>
      <c r="AO107" s="50"/>
      <c r="AP107" s="50"/>
      <c r="AQ107" s="50"/>
      <c r="AR107" s="50">
        <f>SUM(AN107:AQ107)</f>
        <v>0</v>
      </c>
      <c r="AS107" s="50"/>
      <c r="AT107" s="50"/>
      <c r="AU107" s="50"/>
      <c r="AV107" s="50"/>
      <c r="AW107" s="50"/>
      <c r="AX107" s="50"/>
      <c r="AY107" s="50"/>
      <c r="AZ107" s="50"/>
      <c r="BA107" s="50">
        <f>+AR107+AS107+AU107+AW107+AY107+AZ107</f>
        <v>0</v>
      </c>
      <c r="BB107" s="180">
        <v>0</v>
      </c>
      <c r="BC107" s="116"/>
      <c r="BD107" s="116"/>
      <c r="BE107" s="189"/>
      <c r="BF107" s="116"/>
    </row>
    <row r="108" spans="1:58" ht="12.95" customHeight="1" x14ac:dyDescent="0.2">
      <c r="A108" s="117"/>
      <c r="B108" s="118"/>
      <c r="C108" s="119"/>
      <c r="D108" s="118"/>
      <c r="E108" s="37"/>
      <c r="F108" s="37"/>
      <c r="G108" s="190"/>
      <c r="H108" s="192"/>
      <c r="I108" s="45"/>
      <c r="J108" s="46"/>
      <c r="K108" s="46"/>
      <c r="L108" s="184"/>
      <c r="M108" s="184"/>
      <c r="N108" s="47"/>
      <c r="O108" s="48"/>
      <c r="P108" s="49"/>
      <c r="Q108" s="48"/>
      <c r="R108" s="123"/>
      <c r="S108" s="123"/>
      <c r="T108" s="50"/>
      <c r="U108" s="50"/>
      <c r="V108" s="50"/>
      <c r="W108" s="50"/>
      <c r="X108" s="51"/>
      <c r="Y108" s="52"/>
      <c r="Z108" s="50"/>
      <c r="AA108" s="53"/>
      <c r="AB108" s="53"/>
      <c r="AC108" s="50"/>
      <c r="AD108" s="50">
        <f t="shared" ref="AD108:AD109" si="187">+AM108+BA108</f>
        <v>14</v>
      </c>
      <c r="AE108" s="191" t="s">
        <v>125</v>
      </c>
      <c r="AF108" s="50"/>
      <c r="AG108" s="50">
        <v>14</v>
      </c>
      <c r="AH108" s="50"/>
      <c r="AI108" s="50"/>
      <c r="AJ108" s="50"/>
      <c r="AK108" s="50"/>
      <c r="AL108" s="50"/>
      <c r="AM108" s="50">
        <f>SUM(AF108:AL108)+AT108+AV108+AX108</f>
        <v>14</v>
      </c>
      <c r="AN108" s="50"/>
      <c r="AO108" s="50"/>
      <c r="AP108" s="50"/>
      <c r="AQ108" s="50"/>
      <c r="AR108" s="50">
        <f t="shared" ref="AR108:AR109" si="188">SUM(AN108:AQ108)</f>
        <v>0</v>
      </c>
      <c r="AS108" s="50"/>
      <c r="AT108" s="50"/>
      <c r="AU108" s="50"/>
      <c r="AV108" s="50"/>
      <c r="AW108" s="50"/>
      <c r="AX108" s="50"/>
      <c r="AY108" s="50"/>
      <c r="AZ108" s="50"/>
      <c r="BA108" s="50">
        <f>+AR108+AS108+AU108+AW108+AY108+AZ108</f>
        <v>0</v>
      </c>
      <c r="BB108" s="180"/>
      <c r="BC108" s="116">
        <v>3</v>
      </c>
      <c r="BD108" s="146"/>
      <c r="BE108" s="180"/>
      <c r="BF108" s="146"/>
    </row>
    <row r="109" spans="1:58" ht="12.95" customHeight="1" x14ac:dyDescent="0.2">
      <c r="A109" s="117"/>
      <c r="B109" s="118"/>
      <c r="C109" s="119"/>
      <c r="D109" s="118"/>
      <c r="E109" s="37"/>
      <c r="F109" s="37"/>
      <c r="G109" s="190"/>
      <c r="H109" s="192"/>
      <c r="I109" s="45"/>
      <c r="J109" s="46"/>
      <c r="K109" s="46"/>
      <c r="L109" s="184"/>
      <c r="M109" s="184"/>
      <c r="N109" s="47"/>
      <c r="O109" s="48"/>
      <c r="P109" s="49"/>
      <c r="Q109" s="48"/>
      <c r="R109" s="123"/>
      <c r="S109" s="123"/>
      <c r="T109" s="50"/>
      <c r="U109" s="50"/>
      <c r="V109" s="50"/>
      <c r="W109" s="50"/>
      <c r="X109" s="51"/>
      <c r="Y109" s="52"/>
      <c r="Z109" s="50"/>
      <c r="AA109" s="53"/>
      <c r="AB109" s="53"/>
      <c r="AC109" s="50"/>
      <c r="AD109" s="50">
        <f t="shared" si="187"/>
        <v>10</v>
      </c>
      <c r="AE109" s="191" t="s">
        <v>162</v>
      </c>
      <c r="AF109" s="50"/>
      <c r="AG109" s="50"/>
      <c r="AH109" s="50">
        <v>10</v>
      </c>
      <c r="AI109" s="50"/>
      <c r="AJ109" s="50"/>
      <c r="AK109" s="50"/>
      <c r="AL109" s="50"/>
      <c r="AM109" s="50">
        <f>SUM(AF109:AL109)+AT109+AV109+AX109</f>
        <v>10</v>
      </c>
      <c r="AN109" s="50"/>
      <c r="AO109" s="50"/>
      <c r="AP109" s="50"/>
      <c r="AQ109" s="50"/>
      <c r="AR109" s="50">
        <f t="shared" si="188"/>
        <v>0</v>
      </c>
      <c r="AS109" s="50"/>
      <c r="AT109" s="50"/>
      <c r="AU109" s="50"/>
      <c r="AV109" s="50"/>
      <c r="AW109" s="50"/>
      <c r="AX109" s="50"/>
      <c r="AY109" s="50"/>
      <c r="AZ109" s="50"/>
      <c r="BA109" s="50">
        <f>+AR109+AS109+AU109+AW109+AY109+AZ109</f>
        <v>0</v>
      </c>
      <c r="BB109" s="180"/>
      <c r="BC109" s="116"/>
      <c r="BD109" s="146"/>
      <c r="BE109" s="180"/>
      <c r="BF109" s="146"/>
    </row>
    <row r="110" spans="1:58" ht="12.95" customHeight="1" x14ac:dyDescent="0.2">
      <c r="A110" s="117"/>
      <c r="B110" s="118"/>
      <c r="C110" s="119"/>
      <c r="D110" s="118"/>
      <c r="E110" s="37"/>
      <c r="F110" s="37"/>
      <c r="G110" s="188"/>
      <c r="H110" s="192"/>
      <c r="I110" s="45"/>
      <c r="J110" s="46"/>
      <c r="K110" s="46"/>
      <c r="L110" s="184"/>
      <c r="M110" s="184"/>
      <c r="N110" s="47"/>
      <c r="O110" s="48"/>
      <c r="P110" s="49"/>
      <c r="Q110" s="48"/>
      <c r="R110" s="123"/>
      <c r="S110" s="123"/>
      <c r="T110" s="50"/>
      <c r="U110" s="50"/>
      <c r="V110" s="50"/>
      <c r="W110" s="50"/>
      <c r="X110" s="55"/>
      <c r="Y110" s="52"/>
      <c r="Z110" s="50"/>
      <c r="AA110" s="50"/>
      <c r="AB110" s="50"/>
      <c r="AC110" s="50"/>
      <c r="AD110" s="50"/>
      <c r="AE110" s="187"/>
      <c r="AF110" s="50"/>
      <c r="AG110" s="50"/>
      <c r="AH110" s="50"/>
      <c r="AI110" s="54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180"/>
      <c r="BC110" s="116"/>
      <c r="BD110" s="146"/>
      <c r="BE110" s="180"/>
      <c r="BF110" s="146"/>
    </row>
    <row r="111" spans="1:58" ht="12.95" customHeight="1" x14ac:dyDescent="0.2">
      <c r="A111" s="117">
        <v>45986</v>
      </c>
      <c r="B111" s="118" t="s">
        <v>121</v>
      </c>
      <c r="C111" s="119">
        <f t="shared" ref="C111:C112" si="189">(M111*E111*O111*Q111)/100000000</f>
        <v>15.468156</v>
      </c>
      <c r="D111" s="118" t="s">
        <v>198</v>
      </c>
      <c r="E111" s="37">
        <v>33.5</v>
      </c>
      <c r="F111" s="37">
        <v>1</v>
      </c>
      <c r="G111" s="190">
        <v>500</v>
      </c>
      <c r="H111" s="192">
        <v>0.12</v>
      </c>
      <c r="I111" s="45">
        <v>0.88</v>
      </c>
      <c r="J111" s="46">
        <f t="shared" ref="J111:J112" si="190">E111*G111*(1-H111)*1440/1000000*3.4</f>
        <v>72.16704</v>
      </c>
      <c r="K111" s="46">
        <f t="shared" ref="K111:K112" si="191">(IF(G111&lt;L111,L111,G111)*(1-IF(H111&lt;N111,H111,N111))*E111*O111*Q111)/100000000</f>
        <v>15.468156</v>
      </c>
      <c r="L111" s="184">
        <v>530</v>
      </c>
      <c r="M111" s="184">
        <f>+L111-L111*0.12</f>
        <v>466.4</v>
      </c>
      <c r="N111" s="47">
        <f t="shared" ref="N111:N112" si="192">1-(M111/L111)</f>
        <v>0.12</v>
      </c>
      <c r="O111" s="48">
        <f>+'[2]Trim Rwd'!H74</f>
        <v>330</v>
      </c>
      <c r="P111" s="49">
        <f t="shared" ref="P111:P112" si="193">O111*(Q111-R111-S111)</f>
        <v>98010</v>
      </c>
      <c r="Q111" s="48">
        <v>300</v>
      </c>
      <c r="R111" s="123">
        <v>0</v>
      </c>
      <c r="S111" s="123">
        <v>3</v>
      </c>
      <c r="T111" s="50">
        <f t="shared" ref="T111:T112" si="194">E111*M111*O111*Q111/100000000</f>
        <v>15.468156</v>
      </c>
      <c r="U111" s="50">
        <f t="shared" ref="U111:U112" si="195">E111*M111*O111*(Q111-R111-S111)/100000000</f>
        <v>15.31347444</v>
      </c>
      <c r="V111" s="50">
        <f t="shared" ref="V111:V112" si="196">E111*G111*(1-N111)*O111/100*(R111+S111)/1000000</f>
        <v>0.145926</v>
      </c>
      <c r="W111" s="50">
        <f>+'[2]25'!K17/1000</f>
        <v>25.827999999999999</v>
      </c>
      <c r="X111" s="51">
        <f>SUM(W111:W114)/SUM(K111:K114)</f>
        <v>0.67743153151985092</v>
      </c>
      <c r="Y111" s="52">
        <v>0</v>
      </c>
      <c r="Z111" s="50">
        <v>0</v>
      </c>
      <c r="AA111" s="53">
        <f>SUM(U111:U114)-SUM(W111:W114)-SUM(Z111:Z114)-SUM(Y111:Y114)</f>
        <v>-1.8505555599999923</v>
      </c>
      <c r="AB111" s="53">
        <f>(SUM(K111:K114)-SUM(W111:W114)-SUM(Y111:Y114)-SUM(Z111:Z114)-SUM(AC111:AC114)-SUM(V111:V114))-AA111</f>
        <v>0.24461117999999549</v>
      </c>
      <c r="AC111" s="50">
        <f>K111-T111</f>
        <v>0</v>
      </c>
      <c r="AD111" s="50">
        <f>+AM111+BA111</f>
        <v>0</v>
      </c>
      <c r="AE111" s="191" t="s">
        <v>110</v>
      </c>
      <c r="AF111" s="50">
        <v>0</v>
      </c>
      <c r="AG111" s="50"/>
      <c r="AH111" s="50"/>
      <c r="AI111" s="50"/>
      <c r="AJ111" s="50"/>
      <c r="AK111" s="50"/>
      <c r="AL111" s="50"/>
      <c r="AM111" s="50">
        <f>SUM(AF111:AL111)+AT111+AV111+AX111</f>
        <v>0</v>
      </c>
      <c r="AN111" s="50"/>
      <c r="AO111" s="50"/>
      <c r="AP111" s="50"/>
      <c r="AQ111" s="50"/>
      <c r="AR111" s="50">
        <f>SUM(AN111:AQ111)</f>
        <v>0</v>
      </c>
      <c r="AS111" s="50"/>
      <c r="AT111" s="50"/>
      <c r="AU111" s="50"/>
      <c r="AV111" s="50"/>
      <c r="AW111" s="50"/>
      <c r="AX111" s="50"/>
      <c r="AY111" s="50"/>
      <c r="AZ111" s="50"/>
      <c r="BA111" s="50">
        <f>+AR111+AS111+AU111+AW111+AY111+AZ111</f>
        <v>0</v>
      </c>
      <c r="BB111" s="180">
        <v>0</v>
      </c>
      <c r="BC111" s="116"/>
      <c r="BD111" s="116"/>
      <c r="BE111" s="189"/>
      <c r="BF111" s="116"/>
    </row>
    <row r="112" spans="1:58" ht="12.95" customHeight="1" x14ac:dyDescent="0.2">
      <c r="A112" s="117"/>
      <c r="B112" s="118" t="s">
        <v>121</v>
      </c>
      <c r="C112" s="119">
        <f t="shared" si="189"/>
        <v>54.872532</v>
      </c>
      <c r="D112" s="118" t="s">
        <v>198</v>
      </c>
      <c r="E112" s="37">
        <v>34</v>
      </c>
      <c r="F112" s="37">
        <v>1</v>
      </c>
      <c r="G112" s="190">
        <v>495</v>
      </c>
      <c r="H112" s="192">
        <v>0.12</v>
      </c>
      <c r="I112" s="45">
        <v>0.88</v>
      </c>
      <c r="J112" s="46">
        <f t="shared" si="190"/>
        <v>72.511718399999992</v>
      </c>
      <c r="K112" s="46">
        <f t="shared" si="191"/>
        <v>54.872532</v>
      </c>
      <c r="L112" s="184">
        <v>500</v>
      </c>
      <c r="M112" s="184">
        <f>+L112-L112*0.12</f>
        <v>440</v>
      </c>
      <c r="N112" s="47">
        <f t="shared" si="192"/>
        <v>0.12</v>
      </c>
      <c r="O112" s="48">
        <f>+'[2]Trim Rwd'!H75</f>
        <v>321.75</v>
      </c>
      <c r="P112" s="49">
        <f t="shared" si="193"/>
        <v>209137.5</v>
      </c>
      <c r="Q112" s="48">
        <v>1140</v>
      </c>
      <c r="R112" s="123">
        <f>240+230</f>
        <v>470</v>
      </c>
      <c r="S112" s="123">
        <v>20</v>
      </c>
      <c r="T112" s="50">
        <f t="shared" si="194"/>
        <v>54.872532</v>
      </c>
      <c r="U112" s="50">
        <f t="shared" si="195"/>
        <v>31.28697</v>
      </c>
      <c r="V112" s="50">
        <f t="shared" si="196"/>
        <v>23.349706380000001</v>
      </c>
      <c r="W112" s="50">
        <f>+'[2]25'!K18/1000</f>
        <v>21.823</v>
      </c>
      <c r="X112" s="51"/>
      <c r="Y112" s="52"/>
      <c r="Z112" s="50">
        <f>+'[2]25'!D34/1000</f>
        <v>0.8</v>
      </c>
      <c r="AA112" s="53"/>
      <c r="AB112" s="53"/>
      <c r="AC112" s="50">
        <f>K112-T112</f>
        <v>0</v>
      </c>
      <c r="AD112" s="50">
        <f t="shared" ref="AD112:AD116" si="197">+AM112+BA112</f>
        <v>11</v>
      </c>
      <c r="AE112" s="191" t="s">
        <v>125</v>
      </c>
      <c r="AF112" s="50"/>
      <c r="AG112" s="50">
        <v>11</v>
      </c>
      <c r="AH112" s="50"/>
      <c r="AI112" s="50"/>
      <c r="AJ112" s="50"/>
      <c r="AK112" s="50"/>
      <c r="AL112" s="50"/>
      <c r="AM112" s="50">
        <f>SUM(AF112:AL112)+AT112+AV112+AX112</f>
        <v>11</v>
      </c>
      <c r="AN112" s="50"/>
      <c r="AO112" s="50"/>
      <c r="AP112" s="50"/>
      <c r="AQ112" s="50"/>
      <c r="AR112" s="50">
        <f t="shared" ref="AR112:AR113" si="198">SUM(AN112:AQ112)</f>
        <v>0</v>
      </c>
      <c r="AS112" s="50"/>
      <c r="AT112" s="50"/>
      <c r="AU112" s="50"/>
      <c r="AV112" s="50"/>
      <c r="AW112" s="50"/>
      <c r="AX112" s="50"/>
      <c r="AY112" s="50"/>
      <c r="AZ112" s="50"/>
      <c r="BA112" s="50">
        <f>+AR112+AS112+AU112+AW112+AY112+AZ112</f>
        <v>0</v>
      </c>
      <c r="BB112" s="180"/>
      <c r="BC112" s="116">
        <v>3</v>
      </c>
      <c r="BD112" s="146"/>
      <c r="BE112" s="180"/>
      <c r="BF112" s="146"/>
    </row>
    <row r="113" spans="1:58" ht="12.95" customHeight="1" x14ac:dyDescent="0.2">
      <c r="A113" s="117"/>
      <c r="B113" s="118"/>
      <c r="C113" s="119"/>
      <c r="D113" s="118"/>
      <c r="E113" s="37"/>
      <c r="F113" s="37"/>
      <c r="G113" s="190"/>
      <c r="H113" s="192"/>
      <c r="I113" s="45"/>
      <c r="J113" s="46"/>
      <c r="K113" s="46"/>
      <c r="L113" s="184"/>
      <c r="M113" s="184"/>
      <c r="N113" s="47"/>
      <c r="O113" s="48"/>
      <c r="P113" s="49"/>
      <c r="Q113" s="48"/>
      <c r="R113" s="123"/>
      <c r="S113" s="123"/>
      <c r="T113" s="50"/>
      <c r="U113" s="50"/>
      <c r="V113" s="50"/>
      <c r="W113" s="50"/>
      <c r="X113" s="51"/>
      <c r="Y113" s="52"/>
      <c r="Z113" s="50"/>
      <c r="AA113" s="53"/>
      <c r="AB113" s="53"/>
      <c r="AC113" s="50"/>
      <c r="AD113" s="50">
        <f t="shared" si="197"/>
        <v>7</v>
      </c>
      <c r="AE113" s="191" t="s">
        <v>162</v>
      </c>
      <c r="AF113" s="50"/>
      <c r="AG113" s="50"/>
      <c r="AH113" s="50">
        <v>7</v>
      </c>
      <c r="AI113" s="50"/>
      <c r="AJ113" s="50"/>
      <c r="AK113" s="50"/>
      <c r="AL113" s="50"/>
      <c r="AM113" s="50">
        <f>SUM(AF113:AL113)+AT113+AV113+AX113</f>
        <v>7</v>
      </c>
      <c r="AN113" s="50"/>
      <c r="AO113" s="50"/>
      <c r="AP113" s="50"/>
      <c r="AQ113" s="50"/>
      <c r="AR113" s="50">
        <f t="shared" si="198"/>
        <v>0</v>
      </c>
      <c r="AS113" s="50"/>
      <c r="AT113" s="50"/>
      <c r="AU113" s="50"/>
      <c r="AV113" s="50"/>
      <c r="AW113" s="50"/>
      <c r="AX113" s="50"/>
      <c r="AY113" s="50"/>
      <c r="AZ113" s="50"/>
      <c r="BA113" s="50">
        <f>+AR113+AS113+AU113+AW113+AY113+AZ113</f>
        <v>0</v>
      </c>
      <c r="BB113" s="180"/>
      <c r="BC113" s="116"/>
      <c r="BD113" s="146"/>
      <c r="BE113" s="180"/>
      <c r="BF113" s="146"/>
    </row>
    <row r="114" spans="1:58" ht="12.95" customHeight="1" x14ac:dyDescent="0.2">
      <c r="A114" s="117"/>
      <c r="B114" s="118"/>
      <c r="C114" s="119"/>
      <c r="D114" s="118"/>
      <c r="E114" s="37"/>
      <c r="F114" s="37"/>
      <c r="G114" s="188"/>
      <c r="H114" s="192"/>
      <c r="I114" s="45"/>
      <c r="J114" s="46"/>
      <c r="K114" s="46"/>
      <c r="L114" s="184"/>
      <c r="M114" s="184"/>
      <c r="N114" s="47"/>
      <c r="O114" s="48"/>
      <c r="P114" s="49"/>
      <c r="Q114" s="48"/>
      <c r="R114" s="123"/>
      <c r="S114" s="123"/>
      <c r="T114" s="50"/>
      <c r="U114" s="50"/>
      <c r="V114" s="50"/>
      <c r="W114" s="50"/>
      <c r="X114" s="55"/>
      <c r="Y114" s="52"/>
      <c r="Z114" s="50"/>
      <c r="AA114" s="50"/>
      <c r="AB114" s="50"/>
      <c r="AC114" s="50"/>
      <c r="AD114" s="50">
        <f t="shared" si="197"/>
        <v>5</v>
      </c>
      <c r="AE114" s="187" t="s">
        <v>124</v>
      </c>
      <c r="AF114" s="50"/>
      <c r="AG114" s="50"/>
      <c r="AH114" s="50"/>
      <c r="AI114" s="54">
        <v>5</v>
      </c>
      <c r="AJ114" s="50"/>
      <c r="AK114" s="50"/>
      <c r="AL114" s="50"/>
      <c r="AM114" s="50">
        <f t="shared" ref="AM114:AM116" si="199">SUM(AF114:AL114)+AT114+AV114+AX114</f>
        <v>5</v>
      </c>
      <c r="AN114" s="50"/>
      <c r="AO114" s="50"/>
      <c r="AP114" s="50"/>
      <c r="AQ114" s="50"/>
      <c r="AR114" s="50">
        <f t="shared" ref="AR114:AR115" si="200">SUM(AN114:AQ114)</f>
        <v>0</v>
      </c>
      <c r="AS114" s="50"/>
      <c r="AT114" s="50"/>
      <c r="AU114" s="50"/>
      <c r="AV114" s="50"/>
      <c r="AW114" s="50"/>
      <c r="AX114" s="50"/>
      <c r="AY114" s="50"/>
      <c r="AZ114" s="50"/>
      <c r="BA114" s="50">
        <f t="shared" ref="BA114:BA116" si="201">+AR114+AS114+AU114+AW114+AY114+AZ114</f>
        <v>0</v>
      </c>
      <c r="BB114" s="180"/>
      <c r="BC114" s="116"/>
      <c r="BD114" s="146"/>
      <c r="BE114" s="180"/>
      <c r="BF114" s="146"/>
    </row>
    <row r="115" spans="1:58" ht="12.95" customHeight="1" x14ac:dyDescent="0.2">
      <c r="A115" s="117"/>
      <c r="B115" s="118"/>
      <c r="C115" s="119"/>
      <c r="D115" s="118"/>
      <c r="E115" s="37"/>
      <c r="F115" s="37"/>
      <c r="G115" s="188"/>
      <c r="H115" s="192"/>
      <c r="I115" s="45"/>
      <c r="J115" s="46"/>
      <c r="K115" s="46"/>
      <c r="L115" s="184"/>
      <c r="M115" s="184"/>
      <c r="N115" s="47"/>
      <c r="O115" s="48"/>
      <c r="P115" s="49"/>
      <c r="Q115" s="48"/>
      <c r="R115" s="123"/>
      <c r="S115" s="123"/>
      <c r="T115" s="50"/>
      <c r="U115" s="50"/>
      <c r="V115" s="50"/>
      <c r="W115" s="50"/>
      <c r="X115" s="55"/>
      <c r="Y115" s="52"/>
      <c r="Z115" s="50"/>
      <c r="AA115" s="50"/>
      <c r="AB115" s="50"/>
      <c r="AC115" s="50"/>
      <c r="AD115" s="50">
        <f t="shared" si="197"/>
        <v>240</v>
      </c>
      <c r="AE115" s="191" t="s">
        <v>243</v>
      </c>
      <c r="AF115" s="180"/>
      <c r="AG115" s="180"/>
      <c r="AH115" s="180"/>
      <c r="AJ115" s="50"/>
      <c r="AK115" s="50"/>
      <c r="AL115" s="50"/>
      <c r="AM115" s="50">
        <f t="shared" si="199"/>
        <v>0</v>
      </c>
      <c r="AN115" s="50">
        <v>240</v>
      </c>
      <c r="AO115" s="50"/>
      <c r="AP115" s="50"/>
      <c r="AQ115" s="50"/>
      <c r="AR115" s="50">
        <f t="shared" si="200"/>
        <v>240</v>
      </c>
      <c r="AS115" s="50"/>
      <c r="AT115" s="50"/>
      <c r="AU115" s="50"/>
      <c r="AV115" s="50"/>
      <c r="AW115" s="50"/>
      <c r="AX115" s="50"/>
      <c r="AY115" s="50"/>
      <c r="AZ115" s="50"/>
      <c r="BA115" s="50">
        <f t="shared" si="201"/>
        <v>240</v>
      </c>
      <c r="BB115" s="180"/>
      <c r="BC115" s="116"/>
      <c r="BD115" s="146"/>
      <c r="BE115" s="180"/>
      <c r="BF115" s="146">
        <v>1</v>
      </c>
    </row>
    <row r="116" spans="1:58" ht="12.95" customHeight="1" x14ac:dyDescent="0.2">
      <c r="A116" s="117"/>
      <c r="B116" s="118"/>
      <c r="C116" s="119"/>
      <c r="D116" s="118"/>
      <c r="E116" s="37"/>
      <c r="F116" s="37"/>
      <c r="G116" s="190"/>
      <c r="H116" s="192"/>
      <c r="I116" s="45"/>
      <c r="J116" s="46"/>
      <c r="K116" s="46"/>
      <c r="L116" s="184"/>
      <c r="M116" s="184"/>
      <c r="N116" s="47"/>
      <c r="O116" s="48"/>
      <c r="P116" s="49"/>
      <c r="Q116" s="48"/>
      <c r="R116" s="123"/>
      <c r="S116" s="123"/>
      <c r="T116" s="50"/>
      <c r="U116" s="50"/>
      <c r="V116" s="50"/>
      <c r="W116" s="50"/>
      <c r="X116" s="55"/>
      <c r="Y116" s="52"/>
      <c r="Z116" s="50"/>
      <c r="AA116" s="50"/>
      <c r="AB116" s="50"/>
      <c r="AC116" s="50"/>
      <c r="AD116" s="50">
        <f t="shared" si="197"/>
        <v>230</v>
      </c>
      <c r="AE116" s="191" t="s">
        <v>244</v>
      </c>
      <c r="AF116" s="50"/>
      <c r="AG116" s="50"/>
      <c r="AH116" s="50"/>
      <c r="AI116" s="50"/>
      <c r="AJ116" s="50"/>
      <c r="AK116" s="50"/>
      <c r="AL116" s="50"/>
      <c r="AM116" s="50">
        <f t="shared" si="199"/>
        <v>0</v>
      </c>
      <c r="AN116" s="50"/>
      <c r="AO116" s="50">
        <v>230</v>
      </c>
      <c r="AP116" s="50"/>
      <c r="AQ116" s="50"/>
      <c r="AR116" s="50">
        <f t="shared" ref="AR116" si="202">SUM(AN116:AQ116)</f>
        <v>230</v>
      </c>
      <c r="AS116" s="50"/>
      <c r="AT116" s="50"/>
      <c r="AU116" s="50"/>
      <c r="AV116" s="50"/>
      <c r="AW116" s="50"/>
      <c r="AX116" s="50"/>
      <c r="AY116" s="50"/>
      <c r="AZ116" s="50"/>
      <c r="BA116" s="50">
        <f t="shared" si="201"/>
        <v>230</v>
      </c>
      <c r="BB116" s="180"/>
      <c r="BC116" s="116"/>
      <c r="BD116" s="146"/>
      <c r="BE116" s="180"/>
      <c r="BF116" s="146"/>
    </row>
    <row r="117" spans="1:58" ht="12.95" customHeight="1" x14ac:dyDescent="0.2">
      <c r="A117" s="117"/>
      <c r="B117" s="118"/>
      <c r="C117" s="119"/>
      <c r="D117" s="118"/>
      <c r="E117" s="37"/>
      <c r="F117" s="37"/>
      <c r="G117" s="188"/>
      <c r="H117" s="192"/>
      <c r="I117" s="45"/>
      <c r="J117" s="46"/>
      <c r="K117" s="46"/>
      <c r="L117" s="184"/>
      <c r="M117" s="184"/>
      <c r="N117" s="47"/>
      <c r="O117" s="48"/>
      <c r="P117" s="49"/>
      <c r="Q117" s="48"/>
      <c r="R117" s="123"/>
      <c r="S117" s="123"/>
      <c r="T117" s="50"/>
      <c r="U117" s="50"/>
      <c r="V117" s="50"/>
      <c r="W117" s="50"/>
      <c r="X117" s="55"/>
      <c r="Y117" s="52"/>
      <c r="Z117" s="50"/>
      <c r="AA117" s="53"/>
      <c r="AB117" s="53"/>
      <c r="AC117" s="50"/>
      <c r="AD117" s="50"/>
      <c r="AE117" s="191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180"/>
      <c r="BC117" s="116"/>
      <c r="BD117" s="146"/>
      <c r="BE117" s="180"/>
      <c r="BF117" s="146"/>
    </row>
    <row r="118" spans="1:58" ht="12.95" customHeight="1" x14ac:dyDescent="0.2">
      <c r="A118" s="117">
        <v>45987</v>
      </c>
      <c r="B118" s="118" t="s">
        <v>121</v>
      </c>
      <c r="C118" s="119">
        <f t="shared" ref="C118:C119" si="203">(M118*E118*O118*Q118)/100000000</f>
        <v>7.9856480000000003</v>
      </c>
      <c r="D118" s="118" t="s">
        <v>198</v>
      </c>
      <c r="E118" s="37">
        <v>34</v>
      </c>
      <c r="F118" s="37">
        <v>1</v>
      </c>
      <c r="G118" s="190">
        <v>495</v>
      </c>
      <c r="H118" s="192">
        <v>0.12</v>
      </c>
      <c r="I118" s="45">
        <v>0.88</v>
      </c>
      <c r="J118" s="46">
        <f t="shared" ref="J118:J119" si="204">E118*G118*(1-H118)*1440/1000000*3.4</f>
        <v>72.511718399999992</v>
      </c>
      <c r="K118" s="46">
        <f t="shared" ref="K118:K119" si="205">(IF(G118&lt;L118,L118,G118)*(1-IF(H118&lt;N118,H118,N118))*E118*O118*Q118)/100000000</f>
        <v>7.9856480000000003</v>
      </c>
      <c r="L118" s="184">
        <v>500</v>
      </c>
      <c r="M118" s="184">
        <f>+L118-L118*0.12</f>
        <v>440</v>
      </c>
      <c r="N118" s="47">
        <f t="shared" ref="N118:N119" si="206">1-(M118/L118)</f>
        <v>0.12</v>
      </c>
      <c r="O118" s="48">
        <f>+'[2]Trim Rwd'!H79</f>
        <v>314</v>
      </c>
      <c r="P118" s="49">
        <f t="shared" ref="P118:P119" si="207">O118*(Q118-R118-S118)</f>
        <v>48670</v>
      </c>
      <c r="Q118" s="48">
        <v>170</v>
      </c>
      <c r="R118" s="123">
        <v>0</v>
      </c>
      <c r="S118" s="123">
        <v>15</v>
      </c>
      <c r="T118" s="50">
        <f t="shared" ref="T118:T119" si="208">E118*M118*O118*Q118/100000000</f>
        <v>7.9856480000000003</v>
      </c>
      <c r="U118" s="50">
        <f t="shared" ref="U118:U119" si="209">E118*M118*O118*(Q118-R118-S118)/100000000</f>
        <v>7.2810319999999997</v>
      </c>
      <c r="V118" s="50">
        <f t="shared" ref="V118:V119" si="210">E118*G118*(1-N118)*O118/100*(R118+S118)/1000000</f>
        <v>0.69756984</v>
      </c>
      <c r="W118" s="50">
        <f>+'[2]26'!K18/1000</f>
        <v>6.03</v>
      </c>
      <c r="X118" s="51">
        <f>SUM(W118:W121)/SUM(K118:K121)</f>
        <v>0.94005020702492115</v>
      </c>
      <c r="Y118" s="52">
        <v>0</v>
      </c>
      <c r="Z118" s="50">
        <v>0</v>
      </c>
      <c r="AA118" s="53">
        <f>SUM(U118:U121)-SUM(W118:W121)-SUM(Z118:Z121)-SUM(Y118:Y121)</f>
        <v>1.4699129523809662</v>
      </c>
      <c r="AB118" s="53">
        <f>(SUM(K118:K121)-SUM(W118:W121)-SUM(Y118:Y121)-SUM(Z118:Z121)-SUM(AC118:AC121)-SUM(V118:V121))-AA118</f>
        <v>5.7402064761895133E-2</v>
      </c>
      <c r="AC118" s="50">
        <f>K118-T118</f>
        <v>0</v>
      </c>
      <c r="AD118" s="50">
        <f>+AM118+BA118</f>
        <v>15</v>
      </c>
      <c r="AE118" s="191" t="s">
        <v>113</v>
      </c>
      <c r="AF118" s="50">
        <v>15</v>
      </c>
      <c r="AG118" s="50"/>
      <c r="AH118" s="50"/>
      <c r="AI118" s="50"/>
      <c r="AJ118" s="50"/>
      <c r="AK118" s="50"/>
      <c r="AL118" s="50"/>
      <c r="AM118" s="50">
        <f>SUM(AF118:AL118)+AT118+AV118+AX118</f>
        <v>15</v>
      </c>
      <c r="AN118" s="50"/>
      <c r="AO118" s="50"/>
      <c r="AP118" s="50"/>
      <c r="AQ118" s="50"/>
      <c r="AR118" s="50">
        <f>SUM(AN118:AQ118)</f>
        <v>0</v>
      </c>
      <c r="AS118" s="50"/>
      <c r="AT118" s="50"/>
      <c r="AU118" s="50"/>
      <c r="AV118" s="50"/>
      <c r="AW118" s="50"/>
      <c r="AX118" s="50"/>
      <c r="AY118" s="50"/>
      <c r="AZ118" s="50"/>
      <c r="BA118" s="50">
        <f>+AR118+AS118+AU118+AW118+AY118+AZ118</f>
        <v>0</v>
      </c>
      <c r="BB118" s="180">
        <v>2</v>
      </c>
      <c r="BC118" s="116"/>
      <c r="BD118" s="116"/>
      <c r="BE118" s="189"/>
      <c r="BF118" s="116"/>
    </row>
    <row r="119" spans="1:58" ht="12.95" customHeight="1" x14ac:dyDescent="0.2">
      <c r="A119" s="117"/>
      <c r="B119" s="118" t="s">
        <v>121</v>
      </c>
      <c r="C119" s="119">
        <f t="shared" si="203"/>
        <v>63.951999047619054</v>
      </c>
      <c r="D119" s="118" t="s">
        <v>198</v>
      </c>
      <c r="E119" s="37">
        <v>35.5</v>
      </c>
      <c r="F119" s="37">
        <v>1</v>
      </c>
      <c r="G119" s="190">
        <v>475</v>
      </c>
      <c r="H119" s="192">
        <v>0.12</v>
      </c>
      <c r="I119" s="45">
        <v>0.88</v>
      </c>
      <c r="J119" s="46">
        <f t="shared" si="204"/>
        <v>72.651743999999994</v>
      </c>
      <c r="K119" s="46">
        <f t="shared" si="205"/>
        <v>63.951999047619054</v>
      </c>
      <c r="L119" s="184">
        <v>500</v>
      </c>
      <c r="M119" s="184">
        <f>+L119-L119*0.12</f>
        <v>440</v>
      </c>
      <c r="N119" s="47">
        <f t="shared" si="206"/>
        <v>0.12</v>
      </c>
      <c r="O119" s="48">
        <f>+'[2]Trim Rwd'!H80</f>
        <v>322.38095238095241</v>
      </c>
      <c r="P119" s="49">
        <f t="shared" si="207"/>
        <v>402976.19047619053</v>
      </c>
      <c r="Q119" s="48">
        <v>1270</v>
      </c>
      <c r="R119" s="123">
        <v>0</v>
      </c>
      <c r="S119" s="123">
        <v>20</v>
      </c>
      <c r="T119" s="50">
        <f t="shared" si="208"/>
        <v>63.951999047619054</v>
      </c>
      <c r="U119" s="50">
        <f t="shared" si="209"/>
        <v>62.944880952380963</v>
      </c>
      <c r="V119" s="50">
        <f t="shared" si="210"/>
        <v>0.95676219047619038</v>
      </c>
      <c r="W119" s="50">
        <f>+'[2]26'!K19/1000</f>
        <v>61.594999999999999</v>
      </c>
      <c r="X119" s="51"/>
      <c r="Y119" s="52"/>
      <c r="Z119" s="50">
        <f>+'[2]26'!D34/1000</f>
        <v>1.131</v>
      </c>
      <c r="AA119" s="53"/>
      <c r="AB119" s="53"/>
      <c r="AC119" s="50">
        <f>K119-T119</f>
        <v>0</v>
      </c>
      <c r="AD119" s="50">
        <f t="shared" ref="AD119:AD121" si="211">+AM119+BA119</f>
        <v>7</v>
      </c>
      <c r="AE119" s="191" t="s">
        <v>166</v>
      </c>
      <c r="AF119" s="50"/>
      <c r="AG119" s="50">
        <v>7</v>
      </c>
      <c r="AH119" s="50"/>
      <c r="AI119" s="50"/>
      <c r="AJ119" s="50"/>
      <c r="AK119" s="50"/>
      <c r="AL119" s="50"/>
      <c r="AM119" s="50">
        <f>SUM(AF119:AL119)+AT119+AV119+AX119</f>
        <v>7</v>
      </c>
      <c r="AN119" s="50"/>
      <c r="AO119" s="50"/>
      <c r="AP119" s="50"/>
      <c r="AQ119" s="50"/>
      <c r="AR119" s="50">
        <f t="shared" ref="AR119:AR120" si="212">SUM(AN119:AQ119)</f>
        <v>0</v>
      </c>
      <c r="AS119" s="50"/>
      <c r="AT119" s="50"/>
      <c r="AU119" s="50"/>
      <c r="AV119" s="50"/>
      <c r="AW119" s="50"/>
      <c r="AX119" s="50"/>
      <c r="AY119" s="50"/>
      <c r="AZ119" s="50"/>
      <c r="BA119" s="50">
        <f>+AR119+AS119+AU119+AW119+AY119+AZ119</f>
        <v>0</v>
      </c>
      <c r="BB119" s="180"/>
      <c r="BC119" s="116">
        <v>2</v>
      </c>
      <c r="BD119" s="146"/>
      <c r="BE119" s="180"/>
      <c r="BF119" s="146"/>
    </row>
    <row r="120" spans="1:58" ht="12.95" customHeight="1" x14ac:dyDescent="0.2">
      <c r="A120" s="117"/>
      <c r="B120" s="118"/>
      <c r="C120" s="119"/>
      <c r="D120" s="118"/>
      <c r="E120" s="37"/>
      <c r="F120" s="37"/>
      <c r="G120" s="190"/>
      <c r="H120" s="192"/>
      <c r="I120" s="45"/>
      <c r="J120" s="46"/>
      <c r="K120" s="46"/>
      <c r="L120" s="184"/>
      <c r="M120" s="184"/>
      <c r="N120" s="47"/>
      <c r="O120" s="48"/>
      <c r="P120" s="49"/>
      <c r="Q120" s="48"/>
      <c r="R120" s="123"/>
      <c r="S120" s="123"/>
      <c r="T120" s="50"/>
      <c r="U120" s="50"/>
      <c r="V120" s="50"/>
      <c r="W120" s="50"/>
      <c r="X120" s="51"/>
      <c r="Y120" s="52"/>
      <c r="Z120" s="50"/>
      <c r="AA120" s="53"/>
      <c r="AB120" s="53"/>
      <c r="AC120" s="50"/>
      <c r="AD120" s="50">
        <f t="shared" si="211"/>
        <v>8</v>
      </c>
      <c r="AE120" s="191" t="s">
        <v>162</v>
      </c>
      <c r="AF120" s="50"/>
      <c r="AG120" s="50"/>
      <c r="AH120" s="50">
        <v>8</v>
      </c>
      <c r="AI120" s="50"/>
      <c r="AJ120" s="50"/>
      <c r="AK120" s="50"/>
      <c r="AL120" s="50"/>
      <c r="AM120" s="50">
        <f>SUM(AF120:AL120)+AT120+AV120+AX120</f>
        <v>8</v>
      </c>
      <c r="AN120" s="50"/>
      <c r="AO120" s="50"/>
      <c r="AP120" s="50"/>
      <c r="AQ120" s="50"/>
      <c r="AR120" s="50">
        <f t="shared" si="212"/>
        <v>0</v>
      </c>
      <c r="AS120" s="50"/>
      <c r="AT120" s="50"/>
      <c r="AU120" s="50"/>
      <c r="AV120" s="50"/>
      <c r="AW120" s="50"/>
      <c r="AX120" s="50"/>
      <c r="AY120" s="50"/>
      <c r="AZ120" s="50"/>
      <c r="BA120" s="50">
        <f>+AR120+AS120+AU120+AW120+AY120+AZ120</f>
        <v>0</v>
      </c>
      <c r="BB120" s="180"/>
      <c r="BC120" s="116"/>
      <c r="BD120" s="146"/>
      <c r="BE120" s="180"/>
      <c r="BF120" s="146"/>
    </row>
    <row r="121" spans="1:58" ht="12.95" customHeight="1" x14ac:dyDescent="0.2">
      <c r="A121" s="117"/>
      <c r="B121" s="118"/>
      <c r="C121" s="119"/>
      <c r="D121" s="118"/>
      <c r="E121" s="37"/>
      <c r="F121" s="37"/>
      <c r="G121" s="188"/>
      <c r="H121" s="192"/>
      <c r="I121" s="45"/>
      <c r="J121" s="46"/>
      <c r="K121" s="46"/>
      <c r="L121" s="184"/>
      <c r="M121" s="184"/>
      <c r="N121" s="47"/>
      <c r="O121" s="48"/>
      <c r="P121" s="49"/>
      <c r="Q121" s="48"/>
      <c r="R121" s="123"/>
      <c r="S121" s="123"/>
      <c r="T121" s="50"/>
      <c r="U121" s="50"/>
      <c r="V121" s="50"/>
      <c r="W121" s="50"/>
      <c r="X121" s="55"/>
      <c r="Y121" s="52"/>
      <c r="Z121" s="50"/>
      <c r="AA121" s="50"/>
      <c r="AB121" s="50"/>
      <c r="AC121" s="50"/>
      <c r="AD121" s="50">
        <f t="shared" si="211"/>
        <v>5</v>
      </c>
      <c r="AE121" s="187" t="s">
        <v>124</v>
      </c>
      <c r="AF121" s="50"/>
      <c r="AG121" s="50"/>
      <c r="AH121" s="50"/>
      <c r="AI121" s="54">
        <v>5</v>
      </c>
      <c r="AJ121" s="50"/>
      <c r="AK121" s="50"/>
      <c r="AL121" s="50"/>
      <c r="AM121" s="50">
        <f t="shared" ref="AM121" si="213">SUM(AF121:AL121)+AT121+AV121+AX121</f>
        <v>5</v>
      </c>
      <c r="AN121" s="50"/>
      <c r="AO121" s="50"/>
      <c r="AP121" s="50"/>
      <c r="AQ121" s="50"/>
      <c r="AR121" s="50">
        <f t="shared" ref="AR121" si="214">SUM(AN121:AQ121)</f>
        <v>0</v>
      </c>
      <c r="AS121" s="50"/>
      <c r="AT121" s="50"/>
      <c r="AU121" s="50"/>
      <c r="AV121" s="50"/>
      <c r="AW121" s="50"/>
      <c r="AX121" s="50"/>
      <c r="AY121" s="50"/>
      <c r="AZ121" s="50"/>
      <c r="BA121" s="50">
        <f t="shared" ref="BA121" si="215">+AR121+AS121+AU121+AW121+AY121+AZ121</f>
        <v>0</v>
      </c>
      <c r="BB121" s="180"/>
      <c r="BC121" s="116"/>
      <c r="BD121" s="146"/>
      <c r="BE121" s="180"/>
      <c r="BF121" s="146"/>
    </row>
    <row r="122" spans="1:58" ht="12.95" customHeight="1" x14ac:dyDescent="0.2">
      <c r="A122" s="117"/>
      <c r="B122" s="118"/>
      <c r="C122" s="119"/>
      <c r="D122" s="118"/>
      <c r="E122" s="37"/>
      <c r="F122" s="37"/>
      <c r="G122" s="190"/>
      <c r="H122" s="192"/>
      <c r="I122" s="45"/>
      <c r="J122" s="46"/>
      <c r="K122" s="46"/>
      <c r="L122" s="184"/>
      <c r="M122" s="184"/>
      <c r="N122" s="47"/>
      <c r="O122" s="48"/>
      <c r="P122" s="49"/>
      <c r="Q122" s="48"/>
      <c r="R122" s="123"/>
      <c r="S122" s="123"/>
      <c r="T122" s="50"/>
      <c r="U122" s="50"/>
      <c r="V122" s="50"/>
      <c r="W122" s="50"/>
      <c r="X122" s="55"/>
      <c r="Y122" s="52"/>
      <c r="Z122" s="50"/>
      <c r="AA122" s="50"/>
      <c r="AB122" s="50"/>
      <c r="AC122" s="50"/>
      <c r="AD122" s="50"/>
      <c r="AE122" s="187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180"/>
      <c r="BC122" s="116"/>
      <c r="BD122" s="116"/>
      <c r="BE122" s="116"/>
      <c r="BF122" s="116"/>
    </row>
    <row r="123" spans="1:58" ht="12.95" customHeight="1" x14ac:dyDescent="0.2">
      <c r="A123" s="117">
        <v>45988</v>
      </c>
      <c r="B123" s="118" t="s">
        <v>121</v>
      </c>
      <c r="C123" s="119">
        <f t="shared" ref="C123" si="216">(M123*E123*O123*Q123)/100000000</f>
        <v>67.484897279999984</v>
      </c>
      <c r="D123" s="118" t="s">
        <v>198</v>
      </c>
      <c r="E123" s="37">
        <v>34</v>
      </c>
      <c r="F123" s="37">
        <v>1</v>
      </c>
      <c r="G123" s="190">
        <v>495</v>
      </c>
      <c r="H123" s="192">
        <v>0.12</v>
      </c>
      <c r="I123" s="45">
        <v>0.88</v>
      </c>
      <c r="J123" s="46">
        <f t="shared" ref="J123" si="217">E123*G123*(1-H123)*1440/1000000*3.4</f>
        <v>72.511718399999992</v>
      </c>
      <c r="K123" s="46">
        <f t="shared" ref="K123" si="218">(IF(G123&lt;L123,L123,G123)*(1-IF(H123&lt;N123,H123,N123))*E123*O123*Q123)/100000000</f>
        <v>69.593800320000014</v>
      </c>
      <c r="L123" s="184">
        <v>480</v>
      </c>
      <c r="M123" s="184">
        <f>+L123-L123*0.12</f>
        <v>422.4</v>
      </c>
      <c r="N123" s="47">
        <f t="shared" ref="N123" si="219">1-(M123/L123)</f>
        <v>0.12</v>
      </c>
      <c r="O123" s="48">
        <f>+'[2]Trim Rwd'!H83</f>
        <v>326.31818181818181</v>
      </c>
      <c r="P123" s="49">
        <f t="shared" ref="P123" si="220">O123*(Q123-R123-S123)</f>
        <v>457171.77272727271</v>
      </c>
      <c r="Q123" s="48">
        <v>1440</v>
      </c>
      <c r="R123" s="123">
        <v>0</v>
      </c>
      <c r="S123" s="123">
        <v>39</v>
      </c>
      <c r="T123" s="50">
        <f t="shared" ref="T123" si="221">E123*M123*O123*Q123/100000000</f>
        <v>67.484897279999984</v>
      </c>
      <c r="U123" s="50">
        <f t="shared" ref="U123" si="222">E123*M123*O123*(Q123-R123-S123)/100000000</f>
        <v>65.657181311999992</v>
      </c>
      <c r="V123" s="50">
        <f t="shared" ref="V123" si="223">E123*G123*(1-N123)*O123/100*(R123+S123)/1000000</f>
        <v>1.8848320919999999</v>
      </c>
      <c r="W123" s="50">
        <f>+'[2]27'!K34/1000</f>
        <v>59.889000000000003</v>
      </c>
      <c r="X123" s="51">
        <f>SUM(W123:W126)/SUM(K123:K126)</f>
        <v>0.86055079223470676</v>
      </c>
      <c r="Y123" s="52">
        <v>0</v>
      </c>
      <c r="Z123" s="50">
        <f>+'[2]27'!D34/1000</f>
        <v>3.32</v>
      </c>
      <c r="AA123" s="53">
        <f>SUM(U123:U126)-SUM(W123:W126)-SUM(Z123:Z126)-SUM(Y123:Y126)</f>
        <v>2.4481813119999889</v>
      </c>
      <c r="AB123" s="53">
        <f>(SUM(K123:K126)-SUM(W123:W126)-SUM(Y123:Y126)-SUM(Z123:Z126)-SUM(AC123:AC126)-SUM(V123:V126))-AA123</f>
        <v>-5.7116124000007762E-2</v>
      </c>
      <c r="AC123" s="50">
        <f>K123-T123</f>
        <v>2.1089030400000297</v>
      </c>
      <c r="AD123" s="50">
        <f>+AM123+BA123</f>
        <v>1</v>
      </c>
      <c r="AE123" s="191" t="s">
        <v>116</v>
      </c>
      <c r="AF123" s="50">
        <v>1</v>
      </c>
      <c r="AG123" s="50"/>
      <c r="AH123" s="50"/>
      <c r="AI123" s="50"/>
      <c r="AJ123" s="50"/>
      <c r="AK123" s="50"/>
      <c r="AL123" s="50"/>
      <c r="AM123" s="50">
        <f>SUM(AF123:AL123)+AT123+AV123+AX123</f>
        <v>1</v>
      </c>
      <c r="AN123" s="50"/>
      <c r="AO123" s="50"/>
      <c r="AP123" s="50"/>
      <c r="AQ123" s="50"/>
      <c r="AR123" s="50">
        <f>SUM(AN123:AQ123)</f>
        <v>0</v>
      </c>
      <c r="AS123" s="50"/>
      <c r="AT123" s="50"/>
      <c r="AU123" s="50"/>
      <c r="AV123" s="50"/>
      <c r="AW123" s="50"/>
      <c r="AX123" s="50"/>
      <c r="AY123" s="50"/>
      <c r="AZ123" s="50"/>
      <c r="BA123" s="50">
        <f>+AR123+AS123+AU123+AW123+AY123+AZ123</f>
        <v>0</v>
      </c>
      <c r="BB123" s="180">
        <v>1</v>
      </c>
      <c r="BC123" s="116"/>
      <c r="BD123" s="116"/>
      <c r="BE123" s="189"/>
      <c r="BF123" s="116"/>
    </row>
    <row r="124" spans="1:58" ht="12.95" customHeight="1" x14ac:dyDescent="0.2">
      <c r="A124" s="117"/>
      <c r="B124" s="118"/>
      <c r="C124" s="119"/>
      <c r="D124" s="118"/>
      <c r="E124" s="37"/>
      <c r="F124" s="37"/>
      <c r="G124" s="190"/>
      <c r="H124" s="192"/>
      <c r="I124" s="45"/>
      <c r="J124" s="46"/>
      <c r="K124" s="46"/>
      <c r="L124" s="184"/>
      <c r="M124" s="184"/>
      <c r="N124" s="47"/>
      <c r="O124" s="48"/>
      <c r="P124" s="49"/>
      <c r="Q124" s="48"/>
      <c r="R124" s="123"/>
      <c r="S124" s="123"/>
      <c r="T124" s="50"/>
      <c r="U124" s="50"/>
      <c r="V124" s="50"/>
      <c r="W124" s="50"/>
      <c r="X124" s="51"/>
      <c r="Y124" s="52"/>
      <c r="Z124" s="50"/>
      <c r="AA124" s="53"/>
      <c r="AB124" s="53"/>
      <c r="AC124" s="50"/>
      <c r="AD124" s="50">
        <f t="shared" ref="AD124:AD125" si="224">+AM124+BA124</f>
        <v>28</v>
      </c>
      <c r="AE124" s="191" t="s">
        <v>125</v>
      </c>
      <c r="AF124" s="50"/>
      <c r="AG124" s="50">
        <v>28</v>
      </c>
      <c r="AH124" s="50"/>
      <c r="AI124" s="50"/>
      <c r="AJ124" s="50"/>
      <c r="AK124" s="50"/>
      <c r="AL124" s="50"/>
      <c r="AM124" s="50">
        <f>SUM(AF124:AL124)+AT124+AV124+AX124</f>
        <v>28</v>
      </c>
      <c r="AN124" s="50"/>
      <c r="AO124" s="50"/>
      <c r="AP124" s="50"/>
      <c r="AQ124" s="50"/>
      <c r="AR124" s="50">
        <f t="shared" ref="AR124:AR125" si="225">SUM(AN124:AQ124)</f>
        <v>0</v>
      </c>
      <c r="AS124" s="50"/>
      <c r="AT124" s="50"/>
      <c r="AU124" s="50"/>
      <c r="AV124" s="50"/>
      <c r="AW124" s="50"/>
      <c r="AX124" s="50"/>
      <c r="AY124" s="50"/>
      <c r="AZ124" s="50"/>
      <c r="BA124" s="50">
        <f>+AR124+AS124+AU124+AW124+AY124+AZ124</f>
        <v>0</v>
      </c>
      <c r="BB124" s="180"/>
      <c r="BC124" s="116">
        <v>3</v>
      </c>
      <c r="BD124" s="146"/>
      <c r="BE124" s="180"/>
      <c r="BF124" s="146"/>
    </row>
    <row r="125" spans="1:58" ht="12.95" customHeight="1" x14ac:dyDescent="0.2">
      <c r="A125" s="117"/>
      <c r="B125" s="118"/>
      <c r="C125" s="119"/>
      <c r="D125" s="118"/>
      <c r="E125" s="37"/>
      <c r="F125" s="37"/>
      <c r="G125" s="190"/>
      <c r="H125" s="192"/>
      <c r="I125" s="45"/>
      <c r="J125" s="46"/>
      <c r="K125" s="46"/>
      <c r="L125" s="184"/>
      <c r="M125" s="184"/>
      <c r="N125" s="47"/>
      <c r="O125" s="48"/>
      <c r="P125" s="49"/>
      <c r="Q125" s="48"/>
      <c r="R125" s="123"/>
      <c r="S125" s="123"/>
      <c r="T125" s="50"/>
      <c r="U125" s="50"/>
      <c r="V125" s="50"/>
      <c r="W125" s="50"/>
      <c r="X125" s="51"/>
      <c r="Y125" s="52"/>
      <c r="Z125" s="50"/>
      <c r="AA125" s="53"/>
      <c r="AB125" s="53"/>
      <c r="AC125" s="50"/>
      <c r="AD125" s="50">
        <f t="shared" si="224"/>
        <v>10</v>
      </c>
      <c r="AE125" s="191" t="s">
        <v>162</v>
      </c>
      <c r="AF125" s="50"/>
      <c r="AG125" s="50"/>
      <c r="AH125" s="50">
        <v>10</v>
      </c>
      <c r="AI125" s="50"/>
      <c r="AJ125" s="50"/>
      <c r="AK125" s="50"/>
      <c r="AL125" s="50"/>
      <c r="AM125" s="50">
        <f>SUM(AF125:AL125)+AT125+AV125+AX125</f>
        <v>10</v>
      </c>
      <c r="AN125" s="50"/>
      <c r="AO125" s="50"/>
      <c r="AP125" s="50"/>
      <c r="AQ125" s="50"/>
      <c r="AR125" s="50">
        <f t="shared" si="225"/>
        <v>0</v>
      </c>
      <c r="AS125" s="50"/>
      <c r="AT125" s="50"/>
      <c r="AU125" s="50"/>
      <c r="AV125" s="50"/>
      <c r="AW125" s="50"/>
      <c r="AX125" s="50"/>
      <c r="AY125" s="50"/>
      <c r="AZ125" s="50"/>
      <c r="BA125" s="50">
        <f>+AR125+AS125+AU125+AW125+AY125+AZ125</f>
        <v>0</v>
      </c>
      <c r="BB125" s="180"/>
      <c r="BC125" s="116"/>
      <c r="BD125" s="146"/>
      <c r="BE125" s="180"/>
      <c r="BF125" s="146"/>
    </row>
    <row r="126" spans="1:58" ht="12.95" customHeight="1" x14ac:dyDescent="0.2">
      <c r="A126" s="117"/>
      <c r="B126" s="118"/>
      <c r="C126" s="119"/>
      <c r="D126" s="118"/>
      <c r="E126" s="37"/>
      <c r="F126" s="37"/>
      <c r="G126" s="188"/>
      <c r="H126" s="192"/>
      <c r="I126" s="45"/>
      <c r="J126" s="46"/>
      <c r="K126" s="46"/>
      <c r="L126" s="184"/>
      <c r="M126" s="184"/>
      <c r="N126" s="47"/>
      <c r="O126" s="48"/>
      <c r="P126" s="49"/>
      <c r="Q126" s="48"/>
      <c r="R126" s="123"/>
      <c r="S126" s="123"/>
      <c r="T126" s="50"/>
      <c r="U126" s="50"/>
      <c r="V126" s="50"/>
      <c r="W126" s="50"/>
      <c r="X126" s="55"/>
      <c r="Y126" s="52"/>
      <c r="Z126" s="50"/>
      <c r="AA126" s="50"/>
      <c r="AB126" s="50"/>
      <c r="AC126" s="50"/>
      <c r="AD126" s="50"/>
      <c r="AE126" s="187"/>
      <c r="AF126" s="50"/>
      <c r="AG126" s="50"/>
      <c r="AH126" s="50"/>
      <c r="AI126" s="54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180"/>
      <c r="BC126" s="116"/>
      <c r="BD126" s="146"/>
      <c r="BE126" s="180"/>
      <c r="BF126" s="146"/>
    </row>
    <row r="127" spans="1:58" ht="12.95" customHeight="1" x14ac:dyDescent="0.2">
      <c r="A127" s="117">
        <v>45989</v>
      </c>
      <c r="B127" s="118" t="s">
        <v>121</v>
      </c>
      <c r="C127" s="119">
        <f t="shared" ref="C127" si="226">(M127*E127*O127*Q127)/100000000</f>
        <v>66.474362879999987</v>
      </c>
      <c r="D127" s="118" t="s">
        <v>198</v>
      </c>
      <c r="E127" s="37">
        <v>34</v>
      </c>
      <c r="F127" s="37">
        <v>1</v>
      </c>
      <c r="G127" s="190">
        <v>495</v>
      </c>
      <c r="H127" s="192">
        <v>0.12</v>
      </c>
      <c r="I127" s="45">
        <v>0.88</v>
      </c>
      <c r="J127" s="46">
        <f t="shared" ref="J127" si="227">E127*G127*(1-H127)*1440/1000000*3.4</f>
        <v>72.511718399999992</v>
      </c>
      <c r="K127" s="46">
        <f t="shared" ref="K127" si="228">(IF(G127&lt;L127,L127,G127)*(1-IF(H127&lt;N127,H127,N127))*E127*O127*Q127)/100000000</f>
        <v>68.551686720000006</v>
      </c>
      <c r="L127" s="184">
        <v>480</v>
      </c>
      <c r="M127" s="184">
        <f>+L127-L127*0.12</f>
        <v>422.4</v>
      </c>
      <c r="N127" s="47">
        <f t="shared" ref="N127" si="229">1-(M127/L127)</f>
        <v>0.12</v>
      </c>
      <c r="O127" s="48">
        <f>+'[2]Trim Rwd'!H87</f>
        <v>321.43181818181819</v>
      </c>
      <c r="P127" s="49">
        <f t="shared" ref="P127" si="230">O127*(Q127-R127-S127)</f>
        <v>454504.59090909094</v>
      </c>
      <c r="Q127" s="48">
        <v>1440</v>
      </c>
      <c r="R127" s="123">
        <v>0</v>
      </c>
      <c r="S127" s="123">
        <v>26</v>
      </c>
      <c r="T127" s="50">
        <f t="shared" ref="T127" si="231">E127*M127*O127*Q127/100000000</f>
        <v>66.474362879999987</v>
      </c>
      <c r="U127" s="50">
        <f t="shared" ref="U127" si="232">E127*M127*O127*(Q127-R127-S127)/100000000</f>
        <v>65.274131327999996</v>
      </c>
      <c r="V127" s="50">
        <f t="shared" ref="V127" si="233">E127*G127*(1-N127)*O127/100*(R127+S127)/1000000</f>
        <v>1.2377387879999999</v>
      </c>
      <c r="W127" s="50">
        <f>+'[2]28'!K34/1000</f>
        <v>63.692</v>
      </c>
      <c r="X127" s="51">
        <f>SUM(W127:W130)/SUM(K127:K130)</f>
        <v>0.92910915905177593</v>
      </c>
      <c r="Y127" s="52">
        <v>0</v>
      </c>
      <c r="Z127" s="50">
        <f>+'[2]28'!D34/1000</f>
        <v>4.1399999999999997</v>
      </c>
      <c r="AA127" s="53">
        <f>SUM(U127:U130)-SUM(W127:W130)-SUM(Z127:Z130)-SUM(Y127:Y130)</f>
        <v>-2.5578686720000041</v>
      </c>
      <c r="AB127" s="53">
        <f>(SUM(K127:K130)-SUM(W127:W130)-SUM(Y127:Y130)-SUM(Z127:Z130)-SUM(AC127:AC130)-SUM(V127:V130))-AA127</f>
        <v>-3.7507236000008604E-2</v>
      </c>
      <c r="AC127" s="50">
        <f>K127-T127</f>
        <v>2.0773238400000196</v>
      </c>
      <c r="AD127" s="50">
        <f>+AM127+BA127</f>
        <v>0</v>
      </c>
      <c r="AE127" s="191" t="s">
        <v>110</v>
      </c>
      <c r="AF127" s="50">
        <v>0</v>
      </c>
      <c r="AG127" s="50"/>
      <c r="AH127" s="50"/>
      <c r="AI127" s="50"/>
      <c r="AJ127" s="50"/>
      <c r="AK127" s="50"/>
      <c r="AL127" s="50"/>
      <c r="AM127" s="50">
        <f>SUM(AF127:AL127)+AT127+AV127+AX127</f>
        <v>0</v>
      </c>
      <c r="AN127" s="50"/>
      <c r="AO127" s="50"/>
      <c r="AP127" s="50"/>
      <c r="AQ127" s="50"/>
      <c r="AR127" s="50">
        <f>SUM(AN127:AQ127)</f>
        <v>0</v>
      </c>
      <c r="AS127" s="50"/>
      <c r="AT127" s="50"/>
      <c r="AU127" s="50"/>
      <c r="AV127" s="50"/>
      <c r="AW127" s="50"/>
      <c r="AX127" s="50"/>
      <c r="AY127" s="50"/>
      <c r="AZ127" s="50"/>
      <c r="BA127" s="50">
        <f>+AR127+AS127+AU127+AW127+AY127+AZ127</f>
        <v>0</v>
      </c>
      <c r="BB127" s="180">
        <v>0</v>
      </c>
      <c r="BC127" s="116"/>
      <c r="BD127" s="116"/>
      <c r="BE127" s="189"/>
      <c r="BF127" s="116"/>
    </row>
    <row r="128" spans="1:58" ht="12.95" customHeight="1" x14ac:dyDescent="0.2">
      <c r="A128" s="117"/>
      <c r="B128" s="118"/>
      <c r="C128" s="119"/>
      <c r="D128" s="118"/>
      <c r="E128" s="37"/>
      <c r="F128" s="37"/>
      <c r="G128" s="190"/>
      <c r="H128" s="192"/>
      <c r="I128" s="45"/>
      <c r="J128" s="46"/>
      <c r="K128" s="46"/>
      <c r="L128" s="184"/>
      <c r="M128" s="184"/>
      <c r="N128" s="47"/>
      <c r="O128" s="48"/>
      <c r="P128" s="49"/>
      <c r="Q128" s="48"/>
      <c r="R128" s="123"/>
      <c r="S128" s="123"/>
      <c r="T128" s="50"/>
      <c r="U128" s="50"/>
      <c r="V128" s="50"/>
      <c r="W128" s="50"/>
      <c r="X128" s="51"/>
      <c r="Y128" s="52"/>
      <c r="Z128" s="50"/>
      <c r="AA128" s="53"/>
      <c r="AB128" s="53"/>
      <c r="AC128" s="50"/>
      <c r="AD128" s="50">
        <f t="shared" ref="AD128:AD129" si="234">+AM128+BA128</f>
        <v>8</v>
      </c>
      <c r="AE128" s="191" t="s">
        <v>166</v>
      </c>
      <c r="AF128" s="50"/>
      <c r="AG128" s="50">
        <v>8</v>
      </c>
      <c r="AH128" s="50"/>
      <c r="AI128" s="50"/>
      <c r="AJ128" s="50"/>
      <c r="AK128" s="50"/>
      <c r="AL128" s="50"/>
      <c r="AM128" s="50">
        <f>SUM(AF128:AL128)+AT128+AV128+AX128</f>
        <v>8</v>
      </c>
      <c r="AN128" s="50"/>
      <c r="AO128" s="50"/>
      <c r="AP128" s="50"/>
      <c r="AQ128" s="50"/>
      <c r="AR128" s="50">
        <f t="shared" ref="AR128:AR129" si="235">SUM(AN128:AQ128)</f>
        <v>0</v>
      </c>
      <c r="AS128" s="50"/>
      <c r="AT128" s="50"/>
      <c r="AU128" s="50"/>
      <c r="AV128" s="50"/>
      <c r="AW128" s="50"/>
      <c r="AX128" s="50"/>
      <c r="AY128" s="50"/>
      <c r="AZ128" s="50"/>
      <c r="BA128" s="50">
        <f>+AR128+AS128+AU128+AW128+AY128+AZ128</f>
        <v>0</v>
      </c>
      <c r="BB128" s="180"/>
      <c r="BC128" s="116">
        <v>2</v>
      </c>
      <c r="BD128" s="146"/>
      <c r="BE128" s="180"/>
      <c r="BF128" s="146"/>
    </row>
    <row r="129" spans="1:97" ht="12.95" customHeight="1" x14ac:dyDescent="0.2">
      <c r="A129" s="117"/>
      <c r="B129" s="118"/>
      <c r="C129" s="119"/>
      <c r="D129" s="118"/>
      <c r="E129" s="37"/>
      <c r="F129" s="37"/>
      <c r="G129" s="190"/>
      <c r="H129" s="192"/>
      <c r="I129" s="45"/>
      <c r="J129" s="46"/>
      <c r="K129" s="46"/>
      <c r="L129" s="184"/>
      <c r="M129" s="184"/>
      <c r="N129" s="47"/>
      <c r="O129" s="48"/>
      <c r="P129" s="49"/>
      <c r="Q129" s="48"/>
      <c r="R129" s="123"/>
      <c r="S129" s="123"/>
      <c r="T129" s="50"/>
      <c r="U129" s="50"/>
      <c r="V129" s="50"/>
      <c r="W129" s="50"/>
      <c r="X129" s="51"/>
      <c r="Y129" s="52"/>
      <c r="Z129" s="50"/>
      <c r="AA129" s="53"/>
      <c r="AB129" s="53"/>
      <c r="AC129" s="50"/>
      <c r="AD129" s="50">
        <f t="shared" si="234"/>
        <v>18</v>
      </c>
      <c r="AE129" s="191" t="s">
        <v>162</v>
      </c>
      <c r="AF129" s="50"/>
      <c r="AG129" s="50"/>
      <c r="AH129" s="50">
        <v>18</v>
      </c>
      <c r="AI129" s="50"/>
      <c r="AJ129" s="50"/>
      <c r="AK129" s="50"/>
      <c r="AL129" s="50"/>
      <c r="AM129" s="50">
        <f>SUM(AF129:AL129)+AT129+AV129+AX129</f>
        <v>18</v>
      </c>
      <c r="AN129" s="50"/>
      <c r="AO129" s="50"/>
      <c r="AP129" s="50"/>
      <c r="AQ129" s="50"/>
      <c r="AR129" s="50">
        <f t="shared" si="235"/>
        <v>0</v>
      </c>
      <c r="AS129" s="50"/>
      <c r="AT129" s="50"/>
      <c r="AU129" s="50"/>
      <c r="AV129" s="50"/>
      <c r="AW129" s="50"/>
      <c r="AX129" s="50"/>
      <c r="AY129" s="50"/>
      <c r="AZ129" s="50"/>
      <c r="BA129" s="50">
        <f>+AR129+AS129+AU129+AW129+AY129+AZ129</f>
        <v>0</v>
      </c>
      <c r="BB129" s="180"/>
      <c r="BC129" s="116"/>
      <c r="BD129" s="146"/>
      <c r="BE129" s="180"/>
      <c r="BF129" s="146"/>
    </row>
    <row r="130" spans="1:97" ht="12.95" customHeight="1" x14ac:dyDescent="0.2">
      <c r="A130" s="117"/>
      <c r="B130" s="118"/>
      <c r="C130" s="119"/>
      <c r="D130" s="118"/>
      <c r="E130" s="37"/>
      <c r="F130" s="37"/>
      <c r="G130" s="188"/>
      <c r="H130" s="192"/>
      <c r="I130" s="45"/>
      <c r="J130" s="46"/>
      <c r="K130" s="46"/>
      <c r="L130" s="184"/>
      <c r="M130" s="184"/>
      <c r="N130" s="47"/>
      <c r="O130" s="48"/>
      <c r="P130" s="49"/>
      <c r="Q130" s="48"/>
      <c r="R130" s="123"/>
      <c r="S130" s="123"/>
      <c r="T130" s="50"/>
      <c r="U130" s="50"/>
      <c r="V130" s="50"/>
      <c r="W130" s="50"/>
      <c r="X130" s="55"/>
      <c r="Y130" s="52"/>
      <c r="Z130" s="50"/>
      <c r="AA130" s="50"/>
      <c r="AB130" s="50"/>
      <c r="AC130" s="50"/>
      <c r="AD130" s="50"/>
      <c r="AE130" s="187"/>
      <c r="AF130" s="50"/>
      <c r="AG130" s="50"/>
      <c r="AH130" s="50"/>
      <c r="AI130" s="54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180"/>
      <c r="BC130" s="116"/>
      <c r="BD130" s="146"/>
      <c r="BE130" s="180"/>
      <c r="BF130" s="146"/>
    </row>
    <row r="131" spans="1:97" ht="12.95" customHeight="1" x14ac:dyDescent="0.2">
      <c r="A131" s="117">
        <v>45990</v>
      </c>
      <c r="B131" s="118" t="s">
        <v>121</v>
      </c>
      <c r="C131" s="119">
        <f t="shared" ref="C131" si="236">(M131*E131*O131*Q131)/100000000</f>
        <v>66.513739775999994</v>
      </c>
      <c r="D131" s="118" t="s">
        <v>198</v>
      </c>
      <c r="E131" s="37">
        <v>34</v>
      </c>
      <c r="F131" s="37">
        <v>1</v>
      </c>
      <c r="G131" s="190">
        <v>495</v>
      </c>
      <c r="H131" s="192">
        <v>0.12</v>
      </c>
      <c r="I131" s="45">
        <v>0.88</v>
      </c>
      <c r="J131" s="46">
        <f t="shared" ref="J131" si="237">E131*G131*(1-H131)*1440/1000000*3.4</f>
        <v>72.511718399999992</v>
      </c>
      <c r="K131" s="46">
        <f t="shared" ref="K131" si="238">(IF(G131&lt;L131,L131,G131)*(1-IF(H131&lt;N131,H131,N131))*E131*O131*Q131)/100000000</f>
        <v>68.592294143999993</v>
      </c>
      <c r="L131" s="184">
        <v>480</v>
      </c>
      <c r="M131" s="184">
        <v>422.4</v>
      </c>
      <c r="N131" s="47">
        <f t="shared" ref="N131" si="239">1-(M131/L131)</f>
        <v>0.12</v>
      </c>
      <c r="O131" s="48">
        <f>+'[2]Trim Rwd'!H90</f>
        <v>321.62222222222221</v>
      </c>
      <c r="P131" s="49">
        <f t="shared" ref="P131" si="240">O131*(Q131-R131-S131)</f>
        <v>459276.53333333333</v>
      </c>
      <c r="Q131" s="48">
        <v>1440</v>
      </c>
      <c r="R131" s="123">
        <v>0</v>
      </c>
      <c r="S131" s="123">
        <v>12</v>
      </c>
      <c r="T131" s="50">
        <f t="shared" ref="T131" si="241">E131*M131*O131*Q131/100000000</f>
        <v>66.513739775999994</v>
      </c>
      <c r="U131" s="50">
        <f t="shared" ref="U131" si="242">E131*M131*O131*(Q131-R131-S131)/100000000</f>
        <v>65.959458611199992</v>
      </c>
      <c r="V131" s="50">
        <f t="shared" ref="V131" si="243">E131*G131*(1-N131)*O131/100*(R131+S131)/1000000</f>
        <v>0.57160245119999997</v>
      </c>
      <c r="W131" s="50">
        <f>+'[2]29'!K34/1000</f>
        <v>65.992000000000004</v>
      </c>
      <c r="X131" s="51">
        <f>SUM(W131:W134)/SUM(K131:K134)</f>
        <v>0.96209057917583229</v>
      </c>
      <c r="Y131" s="52">
        <v>0</v>
      </c>
      <c r="Z131" s="50">
        <f>+'[2]29'!D7/1000</f>
        <v>0.5</v>
      </c>
      <c r="AA131" s="53">
        <f>SUM(U131:U134)-SUM(W131:W134)-SUM(Z131:Z134)-SUM(Y131:Y134)</f>
        <v>-0.53254138880001278</v>
      </c>
      <c r="AB131" s="53">
        <f>(SUM(K131:K134)-SUM(W131:W134)-SUM(Y131:Y134)-SUM(Z131:Z134)-SUM(AC131:AC134)-SUM(V131:V134))-AA131</f>
        <v>-1.7321286399997415E-2</v>
      </c>
      <c r="AC131" s="50">
        <f>K131-T131</f>
        <v>2.0785543679999989</v>
      </c>
      <c r="AD131" s="50">
        <f>+AM131+BA131</f>
        <v>0</v>
      </c>
      <c r="AE131" s="191" t="s">
        <v>110</v>
      </c>
      <c r="AF131" s="50">
        <v>0</v>
      </c>
      <c r="AG131" s="50"/>
      <c r="AH131" s="50"/>
      <c r="AI131" s="50"/>
      <c r="AJ131" s="50"/>
      <c r="AK131" s="50"/>
      <c r="AL131" s="50"/>
      <c r="AM131" s="50">
        <f>SUM(AF131:AL131)+AT131+AV131+AX131</f>
        <v>0</v>
      </c>
      <c r="AN131" s="50"/>
      <c r="AO131" s="50"/>
      <c r="AP131" s="50"/>
      <c r="AQ131" s="50"/>
      <c r="AR131" s="50">
        <f>SUM(AN131:AQ131)</f>
        <v>0</v>
      </c>
      <c r="AS131" s="50"/>
      <c r="AT131" s="50"/>
      <c r="AU131" s="50"/>
      <c r="AV131" s="50"/>
      <c r="AW131" s="50"/>
      <c r="AX131" s="50"/>
      <c r="AY131" s="50"/>
      <c r="AZ131" s="50"/>
      <c r="BA131" s="50">
        <f>+AR131+AS131+AU131+AW131+AY131+AZ131</f>
        <v>0</v>
      </c>
      <c r="BB131" s="180">
        <v>0</v>
      </c>
      <c r="BC131" s="116"/>
      <c r="BD131" s="116"/>
      <c r="BE131" s="189"/>
      <c r="BF131" s="116"/>
    </row>
    <row r="132" spans="1:97" ht="12.95" customHeight="1" x14ac:dyDescent="0.2">
      <c r="A132" s="117"/>
      <c r="B132" s="118"/>
      <c r="C132" s="119"/>
      <c r="D132" s="118"/>
      <c r="E132" s="37"/>
      <c r="F132" s="37"/>
      <c r="G132" s="190"/>
      <c r="H132" s="192"/>
      <c r="I132" s="45"/>
      <c r="J132" s="46"/>
      <c r="K132" s="46"/>
      <c r="L132" s="184"/>
      <c r="M132" s="184"/>
      <c r="N132" s="47"/>
      <c r="O132" s="48"/>
      <c r="P132" s="49"/>
      <c r="Q132" s="48"/>
      <c r="R132" s="123"/>
      <c r="S132" s="123"/>
      <c r="T132" s="50"/>
      <c r="U132" s="50"/>
      <c r="V132" s="50"/>
      <c r="W132" s="50"/>
      <c r="X132" s="51"/>
      <c r="Y132" s="52"/>
      <c r="Z132" s="50"/>
      <c r="AA132" s="53"/>
      <c r="AB132" s="53"/>
      <c r="AC132" s="50"/>
      <c r="AD132" s="50">
        <f t="shared" ref="AD132:AD133" si="244">+AM132+BA132</f>
        <v>4</v>
      </c>
      <c r="AE132" s="191" t="s">
        <v>166</v>
      </c>
      <c r="AF132" s="50"/>
      <c r="AG132" s="50">
        <v>4</v>
      </c>
      <c r="AH132" s="50"/>
      <c r="AI132" s="50"/>
      <c r="AJ132" s="50"/>
      <c r="AK132" s="50"/>
      <c r="AL132" s="50"/>
      <c r="AM132" s="50">
        <f>SUM(AF132:AL132)+AT132+AV132+AX132</f>
        <v>4</v>
      </c>
      <c r="AN132" s="50"/>
      <c r="AO132" s="50"/>
      <c r="AP132" s="50"/>
      <c r="AQ132" s="50"/>
      <c r="AR132" s="50">
        <f t="shared" ref="AR132:AR133" si="245">SUM(AN132:AQ132)</f>
        <v>0</v>
      </c>
      <c r="AS132" s="50"/>
      <c r="AT132" s="50"/>
      <c r="AU132" s="50"/>
      <c r="AV132" s="50"/>
      <c r="AW132" s="50"/>
      <c r="AX132" s="50"/>
      <c r="AY132" s="50"/>
      <c r="AZ132" s="50"/>
      <c r="BA132" s="50">
        <f>+AR132+AS132+AU132+AW132+AY132+AZ132</f>
        <v>0</v>
      </c>
      <c r="BB132" s="180"/>
      <c r="BC132" s="116">
        <v>2</v>
      </c>
      <c r="BD132" s="146"/>
      <c r="BE132" s="180"/>
      <c r="BF132" s="146"/>
    </row>
    <row r="133" spans="1:97" ht="12.95" customHeight="1" x14ac:dyDescent="0.2">
      <c r="A133" s="117"/>
      <c r="B133" s="118"/>
      <c r="C133" s="119"/>
      <c r="D133" s="118"/>
      <c r="E133" s="37"/>
      <c r="F133" s="37"/>
      <c r="G133" s="190"/>
      <c r="H133" s="192"/>
      <c r="I133" s="45"/>
      <c r="J133" s="46"/>
      <c r="K133" s="46"/>
      <c r="L133" s="184"/>
      <c r="M133" s="184"/>
      <c r="N133" s="47"/>
      <c r="O133" s="48"/>
      <c r="P133" s="49"/>
      <c r="Q133" s="48"/>
      <c r="R133" s="123"/>
      <c r="S133" s="123"/>
      <c r="T133" s="50"/>
      <c r="U133" s="50"/>
      <c r="V133" s="50"/>
      <c r="W133" s="50"/>
      <c r="X133" s="51"/>
      <c r="Y133" s="52"/>
      <c r="Z133" s="50"/>
      <c r="AA133" s="53"/>
      <c r="AB133" s="53"/>
      <c r="AC133" s="50"/>
      <c r="AD133" s="50">
        <f t="shared" si="244"/>
        <v>8</v>
      </c>
      <c r="AE133" s="191" t="s">
        <v>162</v>
      </c>
      <c r="AF133" s="50"/>
      <c r="AG133" s="50"/>
      <c r="AH133" s="50">
        <v>8</v>
      </c>
      <c r="AI133" s="50"/>
      <c r="AJ133" s="50"/>
      <c r="AK133" s="50"/>
      <c r="AL133" s="50"/>
      <c r="AM133" s="50">
        <f>SUM(AF133:AL133)+AT133+AV133+AX133</f>
        <v>8</v>
      </c>
      <c r="AN133" s="50"/>
      <c r="AO133" s="50"/>
      <c r="AP133" s="50"/>
      <c r="AQ133" s="50"/>
      <c r="AR133" s="50">
        <f t="shared" si="245"/>
        <v>0</v>
      </c>
      <c r="AS133" s="50"/>
      <c r="AT133" s="50"/>
      <c r="AU133" s="50"/>
      <c r="AV133" s="50"/>
      <c r="AW133" s="50"/>
      <c r="AX133" s="50"/>
      <c r="AY133" s="50"/>
      <c r="AZ133" s="50"/>
      <c r="BA133" s="50">
        <f>+AR133+AS133+AU133+AW133+AY133+AZ133</f>
        <v>0</v>
      </c>
      <c r="BB133" s="180"/>
      <c r="BC133" s="116"/>
      <c r="BD133" s="146"/>
      <c r="BE133" s="180"/>
      <c r="BF133" s="146"/>
    </row>
    <row r="134" spans="1:97" ht="12.95" customHeight="1" x14ac:dyDescent="0.2">
      <c r="A134" s="117"/>
      <c r="B134" s="118"/>
      <c r="C134" s="119"/>
      <c r="D134" s="118"/>
      <c r="E134" s="37"/>
      <c r="F134" s="37"/>
      <c r="G134" s="188"/>
      <c r="H134" s="192"/>
      <c r="I134" s="45"/>
      <c r="J134" s="46"/>
      <c r="K134" s="46"/>
      <c r="L134" s="184"/>
      <c r="M134" s="184"/>
      <c r="N134" s="47"/>
      <c r="O134" s="48"/>
      <c r="P134" s="49"/>
      <c r="Q134" s="48"/>
      <c r="R134" s="123"/>
      <c r="S134" s="123"/>
      <c r="T134" s="50"/>
      <c r="U134" s="50"/>
      <c r="V134" s="50"/>
      <c r="W134" s="50"/>
      <c r="X134" s="55"/>
      <c r="Y134" s="52"/>
      <c r="Z134" s="50"/>
      <c r="AA134" s="50"/>
      <c r="AB134" s="50"/>
      <c r="AC134" s="50"/>
      <c r="AD134" s="50"/>
      <c r="AE134" s="187"/>
      <c r="AF134" s="50"/>
      <c r="AG134" s="50"/>
      <c r="AH134" s="50"/>
      <c r="AI134" s="54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180"/>
      <c r="BC134" s="116"/>
      <c r="BD134" s="146"/>
      <c r="BE134" s="180"/>
      <c r="BF134" s="146"/>
    </row>
    <row r="135" spans="1:97" ht="12.95" customHeight="1" x14ac:dyDescent="0.2">
      <c r="A135" s="117">
        <v>45991</v>
      </c>
      <c r="B135" s="118" t="s">
        <v>121</v>
      </c>
      <c r="C135" s="119">
        <f t="shared" ref="C135:C137" si="246">(M135*E135*O135*Q135)/100000000</f>
        <v>0.9105254399999998</v>
      </c>
      <c r="D135" s="118" t="s">
        <v>198</v>
      </c>
      <c r="E135" s="37">
        <v>34</v>
      </c>
      <c r="F135" s="37">
        <v>1</v>
      </c>
      <c r="G135" s="190">
        <v>495</v>
      </c>
      <c r="H135" s="192">
        <v>0.12</v>
      </c>
      <c r="I135" s="45">
        <v>0.88</v>
      </c>
      <c r="J135" s="46">
        <f t="shared" ref="J135:J137" si="247">E135*G135*(1-H135)*1440/1000000*3.4</f>
        <v>72.511718399999992</v>
      </c>
      <c r="K135" s="46">
        <f t="shared" ref="K135:K137" si="248">(IF(G135&lt;L135,L135,G135)*(1-IF(H135&lt;N135,H135,N135))*E135*O135*Q135)/100000000</f>
        <v>0.93897936000000015</v>
      </c>
      <c r="L135" s="184">
        <v>480</v>
      </c>
      <c r="M135" s="184">
        <f>+L135-L135*0.12</f>
        <v>422.4</v>
      </c>
      <c r="N135" s="47">
        <f t="shared" ref="N135:N137" si="249">1-(M135/L135)</f>
        <v>0.12</v>
      </c>
      <c r="O135" s="48">
        <f>+'[2]Trim Rwd'!H93</f>
        <v>317</v>
      </c>
      <c r="P135" s="49">
        <f t="shared" ref="P135:P137" si="250">O135*(Q135-R135-S135)</f>
        <v>6340</v>
      </c>
      <c r="Q135" s="48">
        <v>20</v>
      </c>
      <c r="R135" s="123">
        <v>0</v>
      </c>
      <c r="S135" s="123">
        <v>0</v>
      </c>
      <c r="T135" s="50">
        <f t="shared" ref="T135:T137" si="251">E135*M135*O135*Q135/100000000</f>
        <v>0.9105254399999998</v>
      </c>
      <c r="U135" s="50">
        <f t="shared" ref="U135:U137" si="252">E135*M135*O135*(Q135-R135-S135)/100000000</f>
        <v>0.9105254399999998</v>
      </c>
      <c r="V135" s="50">
        <f t="shared" ref="V135:V137" si="253">E135*G135*(1-N135)*O135/100*(R135+S135)/1000000</f>
        <v>0</v>
      </c>
      <c r="W135" s="50">
        <f>+'[2]30'!K18/1000</f>
        <v>7.2670000000000003</v>
      </c>
      <c r="X135" s="51">
        <f>SUM(W135:W138)/SUM(K135:K138)</f>
        <v>0.9398988334850632</v>
      </c>
      <c r="Y135" s="52">
        <f>+SUM([2]RBP!$AG$3:$AG$4)</f>
        <v>1.7</v>
      </c>
      <c r="Z135" s="50">
        <v>0</v>
      </c>
      <c r="AA135" s="53">
        <f>SUM(U135:U138)-SUM(W135:W138)-SUM(Z135:Z138)-SUM(Y135:Y138)</f>
        <v>-1.0981177600000087</v>
      </c>
      <c r="AB135" s="53">
        <f>(SUM(K135:K138)-SUM(W135:W138)-SUM(Y135:Y138)-SUM(Z135:Z138)-SUM(AC135:AC138)-SUM(V135:V138))-AA135</f>
        <v>-2.299967999998076E-2</v>
      </c>
      <c r="AC135" s="50">
        <f>K135-T135</f>
        <v>2.8453920000000354E-2</v>
      </c>
      <c r="AD135" s="50">
        <f>+AM135+BA135</f>
        <v>0</v>
      </c>
      <c r="AE135" s="191" t="s">
        <v>110</v>
      </c>
      <c r="AF135" s="50">
        <v>0</v>
      </c>
      <c r="AG135" s="50"/>
      <c r="AH135" s="50"/>
      <c r="AI135" s="50"/>
      <c r="AJ135" s="50"/>
      <c r="AK135" s="50"/>
      <c r="AL135" s="50"/>
      <c r="AM135" s="50">
        <f>SUM(AF135:AL135)+AT135+AV135+AX135</f>
        <v>0</v>
      </c>
      <c r="AN135" s="50"/>
      <c r="AO135" s="50"/>
      <c r="AP135" s="50"/>
      <c r="AQ135" s="50"/>
      <c r="AR135" s="50">
        <f>SUM(AN135:AQ135)</f>
        <v>0</v>
      </c>
      <c r="AS135" s="50"/>
      <c r="AT135" s="50"/>
      <c r="AU135" s="50"/>
      <c r="AV135" s="50"/>
      <c r="AW135" s="50"/>
      <c r="AX135" s="50"/>
      <c r="AY135" s="50"/>
      <c r="AZ135" s="50"/>
      <c r="BA135" s="50">
        <f>+AR135+AS135+AU135+AW135+AY135+AZ135</f>
        <v>0</v>
      </c>
      <c r="BB135" s="180">
        <v>0</v>
      </c>
      <c r="BC135" s="116"/>
      <c r="BD135" s="116"/>
      <c r="BE135" s="189"/>
      <c r="BF135" s="116"/>
    </row>
    <row r="136" spans="1:97" ht="12.95" customHeight="1" x14ac:dyDescent="0.2">
      <c r="A136" s="117"/>
      <c r="B136" s="118" t="s">
        <v>121</v>
      </c>
      <c r="C136" s="119">
        <f t="shared" si="246"/>
        <v>67.807238400000003</v>
      </c>
      <c r="D136" s="118" t="s">
        <v>198</v>
      </c>
      <c r="E136" s="37">
        <v>36</v>
      </c>
      <c r="F136" s="37">
        <v>1</v>
      </c>
      <c r="G136" s="190">
        <v>465</v>
      </c>
      <c r="H136" s="192">
        <v>0.12</v>
      </c>
      <c r="I136" s="45">
        <v>0.88</v>
      </c>
      <c r="J136" s="46">
        <f t="shared" si="247"/>
        <v>72.123955199999997</v>
      </c>
      <c r="K136" s="46">
        <f t="shared" si="248"/>
        <v>68.544273599999997</v>
      </c>
      <c r="L136" s="184">
        <v>460</v>
      </c>
      <c r="M136" s="184">
        <f>+L136-L136*0.12</f>
        <v>404.8</v>
      </c>
      <c r="N136" s="47">
        <f t="shared" si="249"/>
        <v>0.12</v>
      </c>
      <c r="O136" s="48">
        <f>+'[2]Trim Rwd'!H94</f>
        <v>330</v>
      </c>
      <c r="P136" s="49">
        <f t="shared" si="250"/>
        <v>450780</v>
      </c>
      <c r="Q136" s="48">
        <f>460+480+470</f>
        <v>1410</v>
      </c>
      <c r="R136" s="123">
        <v>25</v>
      </c>
      <c r="S136" s="123">
        <v>19</v>
      </c>
      <c r="T136" s="50">
        <f t="shared" si="251"/>
        <v>67.807238400000003</v>
      </c>
      <c r="U136" s="50">
        <f t="shared" si="252"/>
        <v>65.691267839999995</v>
      </c>
      <c r="V136" s="50">
        <f t="shared" si="253"/>
        <v>2.1389702399999999</v>
      </c>
      <c r="W136" s="50">
        <f>+'[2]30'!K20/1000</f>
        <v>58.48</v>
      </c>
      <c r="X136" s="51"/>
      <c r="Y136" s="52"/>
      <c r="Z136" s="50">
        <f>+'[2]30'!D8/1000</f>
        <v>0.65700000000000003</v>
      </c>
      <c r="AA136" s="53"/>
      <c r="AB136" s="53"/>
      <c r="AC136" s="50">
        <f>K136-T136</f>
        <v>0.73703519999999401</v>
      </c>
      <c r="AD136" s="50">
        <f t="shared" ref="AD136:AD139" si="254">+AM136+BA136</f>
        <v>6</v>
      </c>
      <c r="AE136" s="191" t="s">
        <v>125</v>
      </c>
      <c r="AF136" s="50"/>
      <c r="AG136" s="50">
        <v>6</v>
      </c>
      <c r="AH136" s="50"/>
      <c r="AI136" s="50"/>
      <c r="AJ136" s="50"/>
      <c r="AK136" s="50"/>
      <c r="AL136" s="50"/>
      <c r="AM136" s="50">
        <f>SUM(AF136:AL136)+AT136+AV136+AX136</f>
        <v>6</v>
      </c>
      <c r="AN136" s="50"/>
      <c r="AO136" s="50"/>
      <c r="AP136" s="50"/>
      <c r="AQ136" s="50"/>
      <c r="AR136" s="50">
        <f t="shared" ref="AR136:AR139" si="255">SUM(AN136:AQ136)</f>
        <v>0</v>
      </c>
      <c r="AS136" s="50"/>
      <c r="AT136" s="50"/>
      <c r="AU136" s="50"/>
      <c r="AV136" s="50"/>
      <c r="AW136" s="50"/>
      <c r="AX136" s="50"/>
      <c r="AY136" s="50"/>
      <c r="AZ136" s="50"/>
      <c r="BA136" s="50">
        <f>+AR136+AS136+AU136+AW136+AY136+AZ136</f>
        <v>0</v>
      </c>
      <c r="BB136" s="180"/>
      <c r="BC136" s="116">
        <v>2</v>
      </c>
      <c r="BD136" s="146"/>
      <c r="BE136" s="180"/>
      <c r="BF136" s="146"/>
    </row>
    <row r="137" spans="1:97" ht="12.95" customHeight="1" x14ac:dyDescent="0.2">
      <c r="A137" s="117"/>
      <c r="B137" s="118" t="s">
        <v>121</v>
      </c>
      <c r="C137" s="119">
        <f t="shared" si="246"/>
        <v>0.40408896</v>
      </c>
      <c r="D137" s="118" t="s">
        <v>198</v>
      </c>
      <c r="E137" s="37">
        <v>38</v>
      </c>
      <c r="F137" s="37">
        <v>1</v>
      </c>
      <c r="G137" s="190">
        <v>440</v>
      </c>
      <c r="H137" s="192">
        <v>0.12</v>
      </c>
      <c r="I137" s="45">
        <v>0.88</v>
      </c>
      <c r="J137" s="46">
        <f t="shared" si="247"/>
        <v>72.037785600000007</v>
      </c>
      <c r="K137" s="46">
        <f t="shared" si="248"/>
        <v>0.46789247999999983</v>
      </c>
      <c r="L137" s="184">
        <v>380</v>
      </c>
      <c r="M137" s="184">
        <f>+L137-L137*0.12</f>
        <v>334.4</v>
      </c>
      <c r="N137" s="47">
        <f t="shared" si="249"/>
        <v>0.12000000000000011</v>
      </c>
      <c r="O137" s="48">
        <f>+'[2]Trim Rwd'!H95</f>
        <v>318</v>
      </c>
      <c r="P137" s="49">
        <f t="shared" si="250"/>
        <v>3180</v>
      </c>
      <c r="Q137" s="48">
        <v>10</v>
      </c>
      <c r="R137" s="123">
        <v>0</v>
      </c>
      <c r="S137" s="123">
        <v>0</v>
      </c>
      <c r="T137" s="50">
        <f t="shared" si="251"/>
        <v>0.40408896</v>
      </c>
      <c r="U137" s="50">
        <f t="shared" si="252"/>
        <v>0.40408896</v>
      </c>
      <c r="V137" s="50">
        <f t="shared" si="253"/>
        <v>0</v>
      </c>
      <c r="W137" s="50">
        <f>+'[2]30'!K21/1000</f>
        <v>0</v>
      </c>
      <c r="X137" s="51"/>
      <c r="Y137" s="52"/>
      <c r="Z137" s="50"/>
      <c r="AA137" s="53"/>
      <c r="AB137" s="53"/>
      <c r="AC137" s="50">
        <f>K137-T137</f>
        <v>6.3803519999999836E-2</v>
      </c>
      <c r="AD137" s="50">
        <f t="shared" si="254"/>
        <v>8</v>
      </c>
      <c r="AE137" s="191" t="s">
        <v>162</v>
      </c>
      <c r="AF137" s="50"/>
      <c r="AG137" s="50"/>
      <c r="AH137" s="50">
        <v>8</v>
      </c>
      <c r="AI137" s="50"/>
      <c r="AJ137" s="50"/>
      <c r="AK137" s="50"/>
      <c r="AL137" s="50"/>
      <c r="AM137" s="50">
        <f>SUM(AF137:AL137)+AT137+AV137+AX137</f>
        <v>8</v>
      </c>
      <c r="AN137" s="50"/>
      <c r="AO137" s="50"/>
      <c r="AP137" s="50"/>
      <c r="AQ137" s="50"/>
      <c r="AR137" s="50">
        <f t="shared" si="255"/>
        <v>0</v>
      </c>
      <c r="AS137" s="50"/>
      <c r="AT137" s="50"/>
      <c r="AU137" s="50"/>
      <c r="AV137" s="50"/>
      <c r="AW137" s="50"/>
      <c r="AX137" s="50"/>
      <c r="AY137" s="50"/>
      <c r="AZ137" s="50"/>
      <c r="BA137" s="50">
        <f>+AR137+AS137+AU137+AW137+AY137+AZ137</f>
        <v>0</v>
      </c>
      <c r="BB137" s="180"/>
      <c r="BC137" s="116"/>
      <c r="BD137" s="146"/>
      <c r="BE137" s="180"/>
      <c r="BF137" s="146"/>
    </row>
    <row r="138" spans="1:97" ht="12.95" customHeight="1" x14ac:dyDescent="0.2">
      <c r="A138" s="117"/>
      <c r="B138" s="212"/>
      <c r="C138" s="119"/>
      <c r="D138" s="118"/>
      <c r="E138" s="37"/>
      <c r="F138" s="37"/>
      <c r="G138" s="190"/>
      <c r="H138" s="192"/>
      <c r="I138" s="45"/>
      <c r="J138" s="46"/>
      <c r="K138" s="46"/>
      <c r="L138" s="184"/>
      <c r="M138" s="184"/>
      <c r="N138" s="47"/>
      <c r="O138" s="48"/>
      <c r="P138" s="49"/>
      <c r="Q138" s="56"/>
      <c r="R138" s="123"/>
      <c r="S138" s="123"/>
      <c r="T138" s="50"/>
      <c r="U138" s="50"/>
      <c r="V138" s="50"/>
      <c r="W138" s="50"/>
      <c r="X138" s="55"/>
      <c r="Y138" s="55"/>
      <c r="Z138" s="50"/>
      <c r="AA138" s="53"/>
      <c r="AB138" s="53"/>
      <c r="AC138" s="50"/>
      <c r="AD138" s="50">
        <f t="shared" si="254"/>
        <v>5</v>
      </c>
      <c r="AE138" s="187" t="s">
        <v>124</v>
      </c>
      <c r="AF138" s="50"/>
      <c r="AG138" s="50"/>
      <c r="AH138" s="50"/>
      <c r="AI138" s="50">
        <v>5</v>
      </c>
      <c r="AJ138" s="50"/>
      <c r="AK138" s="50"/>
      <c r="AL138" s="50"/>
      <c r="AM138" s="50">
        <f>SUM(AF138:AL138)+AT138+AV138+AX138</f>
        <v>5</v>
      </c>
      <c r="AN138" s="50"/>
      <c r="AO138" s="50"/>
      <c r="AP138" s="50"/>
      <c r="AQ138" s="50"/>
      <c r="AR138" s="50">
        <f t="shared" si="255"/>
        <v>0</v>
      </c>
      <c r="AS138" s="50"/>
      <c r="AT138" s="50"/>
      <c r="AU138" s="50"/>
      <c r="AV138" s="50"/>
      <c r="AW138" s="50"/>
      <c r="AX138" s="50"/>
      <c r="AY138" s="50"/>
      <c r="AZ138" s="50"/>
      <c r="BA138" s="50">
        <f>+AR138+AS138+AU138+AW138+AY138+AZ138</f>
        <v>0</v>
      </c>
      <c r="BB138" s="180"/>
      <c r="BC138" s="116"/>
      <c r="BD138" s="146"/>
      <c r="BE138" s="180"/>
      <c r="BF138" s="146"/>
    </row>
    <row r="139" spans="1:97" ht="12.95" customHeight="1" x14ac:dyDescent="0.2">
      <c r="A139" s="117"/>
      <c r="B139" s="212"/>
      <c r="C139" s="119"/>
      <c r="D139" s="118"/>
      <c r="E139" s="216"/>
      <c r="F139" s="37"/>
      <c r="G139" s="190"/>
      <c r="H139" s="192"/>
      <c r="I139" s="45"/>
      <c r="J139" s="46"/>
      <c r="K139" s="46"/>
      <c r="L139" s="184"/>
      <c r="M139" s="184"/>
      <c r="N139" s="47"/>
      <c r="O139" s="48"/>
      <c r="P139" s="49"/>
      <c r="Q139" s="57"/>
      <c r="R139" s="189"/>
      <c r="S139" s="189"/>
      <c r="T139" s="50"/>
      <c r="U139" s="50"/>
      <c r="V139" s="50"/>
      <c r="W139" s="180"/>
      <c r="X139" s="55"/>
      <c r="Y139" s="55"/>
      <c r="Z139" s="180"/>
      <c r="AA139" s="53"/>
      <c r="AB139" s="53"/>
      <c r="AC139" s="50"/>
      <c r="AD139" s="50">
        <f t="shared" si="254"/>
        <v>25</v>
      </c>
      <c r="AE139" s="191" t="s">
        <v>245</v>
      </c>
      <c r="AF139" s="50"/>
      <c r="AG139" s="50"/>
      <c r="AH139" s="50"/>
      <c r="AI139" s="50"/>
      <c r="AJ139" s="50"/>
      <c r="AK139" s="50"/>
      <c r="AL139" s="50"/>
      <c r="AM139" s="50">
        <f>SUM(AF139:AL139)+AT139+AV139+AX139</f>
        <v>0</v>
      </c>
      <c r="AN139" s="50"/>
      <c r="AO139" s="50"/>
      <c r="AP139" s="50">
        <v>25</v>
      </c>
      <c r="AQ139" s="50"/>
      <c r="AR139" s="50">
        <f t="shared" si="255"/>
        <v>25</v>
      </c>
      <c r="AS139" s="50"/>
      <c r="AT139" s="50"/>
      <c r="AU139" s="50"/>
      <c r="AV139" s="50"/>
      <c r="AW139" s="50"/>
      <c r="AX139" s="50"/>
      <c r="AY139" s="50"/>
      <c r="AZ139" s="50"/>
      <c r="BA139" s="50">
        <f>+AR139+AS139+AU139+AW139+AY139+AZ139</f>
        <v>25</v>
      </c>
      <c r="BB139" s="180"/>
      <c r="BC139" s="116"/>
      <c r="BD139" s="146"/>
      <c r="BE139" s="180"/>
      <c r="BF139" s="146"/>
    </row>
    <row r="140" spans="1:97" ht="12.95" customHeight="1" x14ac:dyDescent="0.2">
      <c r="A140" s="117"/>
      <c r="B140" s="118"/>
      <c r="C140" s="119"/>
      <c r="D140" s="118"/>
      <c r="E140" s="37"/>
      <c r="F140" s="37"/>
      <c r="G140" s="188"/>
      <c r="H140" s="192"/>
      <c r="I140" s="45"/>
      <c r="J140" s="46"/>
      <c r="K140" s="46"/>
      <c r="L140" s="184"/>
      <c r="M140" s="184"/>
      <c r="N140" s="47"/>
      <c r="O140" s="48"/>
      <c r="P140" s="49"/>
      <c r="Q140" s="48"/>
      <c r="R140" s="123"/>
      <c r="S140" s="123"/>
      <c r="T140" s="50"/>
      <c r="U140" s="50"/>
      <c r="V140" s="50"/>
      <c r="W140" s="50"/>
      <c r="X140" s="51"/>
      <c r="Y140" s="52"/>
      <c r="Z140" s="50"/>
      <c r="AA140" s="53"/>
      <c r="AB140" s="53"/>
      <c r="AC140" s="50"/>
      <c r="AD140" s="50"/>
      <c r="AE140" s="187"/>
      <c r="AF140" s="50"/>
      <c r="AG140" s="50"/>
      <c r="AH140" s="50"/>
      <c r="AI140" s="54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180"/>
      <c r="BC140" s="116"/>
      <c r="BD140" s="116"/>
      <c r="BE140" s="116"/>
      <c r="BF140" s="116"/>
    </row>
    <row r="141" spans="1:97" ht="12.75" customHeight="1" x14ac:dyDescent="0.2">
      <c r="R141" s="202"/>
      <c r="S141" s="202"/>
      <c r="AA141" s="59">
        <f>U141-W141-Z141</f>
        <v>0</v>
      </c>
      <c r="AB141" s="59"/>
      <c r="AC141" s="60">
        <f>K141-T141</f>
        <v>0</v>
      </c>
      <c r="AD141" s="50"/>
      <c r="AF141" s="61"/>
      <c r="AG141" s="61"/>
      <c r="AH141" s="61"/>
      <c r="AI141" s="61"/>
      <c r="AJ141" s="61"/>
      <c r="AK141" s="61"/>
      <c r="AL141" s="61"/>
      <c r="AM141" s="50">
        <f t="shared" ref="AM141" si="256">SUM(AF141:AL141)</f>
        <v>0</v>
      </c>
      <c r="AN141" s="61"/>
      <c r="AO141" s="61"/>
      <c r="AP141" s="61"/>
      <c r="AQ141" s="61"/>
      <c r="AR141" s="50">
        <f t="shared" ref="AR141" si="257">SUM(AN141:AQ141)</f>
        <v>0</v>
      </c>
      <c r="AS141" s="61"/>
      <c r="AT141" s="61"/>
      <c r="AU141" s="61"/>
      <c r="AV141" s="61"/>
      <c r="AW141" s="61"/>
      <c r="AX141" s="61"/>
      <c r="AY141" s="61"/>
      <c r="AZ141" s="61"/>
      <c r="BA141" s="50"/>
      <c r="BB141" s="185"/>
      <c r="BC141" s="185"/>
      <c r="BD141" s="146"/>
      <c r="BE141" s="180"/>
      <c r="BF141" s="146"/>
    </row>
    <row r="142" spans="1:97" ht="12.75" customHeight="1" x14ac:dyDescent="0.2">
      <c r="A142" s="132"/>
      <c r="B142" s="133"/>
      <c r="C142" s="62">
        <f>SUM(C6:C140)</f>
        <v>1868.3927875399147</v>
      </c>
      <c r="D142" s="133"/>
      <c r="E142" s="38"/>
      <c r="F142" s="38"/>
      <c r="G142" s="63"/>
      <c r="H142" s="63"/>
      <c r="I142" s="64">
        <v>0.85</v>
      </c>
      <c r="J142" s="46"/>
      <c r="K142" s="65">
        <f>SUM(K6:K140)</f>
        <v>1910.4904951635374</v>
      </c>
      <c r="L142" s="186"/>
      <c r="M142" s="186"/>
      <c r="N142" s="185"/>
      <c r="O142" s="66">
        <f>P142/(Q142-R142-S142)</f>
        <v>324.44656494044528</v>
      </c>
      <c r="P142" s="67">
        <f>SUM(P6:P140)</f>
        <v>13432736.681664316</v>
      </c>
      <c r="Q142" s="68">
        <f>SUM(Q6:Q141)</f>
        <v>43200</v>
      </c>
      <c r="R142" s="67">
        <f t="shared" ref="R142:W142" si="258">SUM(R6:R140)</f>
        <v>525</v>
      </c>
      <c r="S142" s="67">
        <f t="shared" si="258"/>
        <v>1273</v>
      </c>
      <c r="T142" s="67">
        <f t="shared" si="258"/>
        <v>1868.3927875399147</v>
      </c>
      <c r="U142" s="67">
        <f t="shared" si="258"/>
        <v>1790.58434770329</v>
      </c>
      <c r="V142" s="69">
        <f t="shared" si="258"/>
        <v>78.476090902957878</v>
      </c>
      <c r="W142" s="70">
        <f t="shared" si="258"/>
        <v>1727.1939999999997</v>
      </c>
      <c r="X142" s="71">
        <f>W142/K142</f>
        <v>0.90405788689995681</v>
      </c>
      <c r="Y142" s="72">
        <f>SUM(Y6:Y140)</f>
        <v>1.7</v>
      </c>
      <c r="Z142" s="70">
        <f>SUM(Z6:Z140)</f>
        <v>37.031999999999996</v>
      </c>
      <c r="AA142" s="67">
        <f>SUM(AA6:AA140)</f>
        <v>24.658347703289646</v>
      </c>
      <c r="AB142" s="67">
        <f>SUM(AB6:AB140)</f>
        <v>-0.66765106633269145</v>
      </c>
      <c r="AC142" s="67">
        <f>SUM(AC6:AC140)</f>
        <v>42.097707623622547</v>
      </c>
      <c r="AD142" s="50">
        <f>SUM(AD6:AD141)</f>
        <v>1798</v>
      </c>
      <c r="AE142" s="134"/>
      <c r="AF142" s="67">
        <f t="shared" ref="AF142:BF142" si="259">SUM(AF6:AF141)</f>
        <v>120</v>
      </c>
      <c r="AG142" s="67">
        <f t="shared" si="259"/>
        <v>556</v>
      </c>
      <c r="AH142" s="67">
        <f t="shared" si="259"/>
        <v>513</v>
      </c>
      <c r="AI142" s="67">
        <f t="shared" si="259"/>
        <v>84</v>
      </c>
      <c r="AJ142" s="67">
        <f t="shared" si="259"/>
        <v>0</v>
      </c>
      <c r="AK142" s="67">
        <f t="shared" si="259"/>
        <v>0</v>
      </c>
      <c r="AL142" s="67">
        <f t="shared" si="259"/>
        <v>0</v>
      </c>
      <c r="AM142" s="67">
        <f t="shared" si="259"/>
        <v>1273</v>
      </c>
      <c r="AN142" s="61">
        <f t="shared" si="259"/>
        <v>240</v>
      </c>
      <c r="AO142" s="61">
        <f t="shared" si="259"/>
        <v>230</v>
      </c>
      <c r="AP142" s="61">
        <f t="shared" si="259"/>
        <v>25</v>
      </c>
      <c r="AQ142" s="61">
        <f t="shared" si="259"/>
        <v>0</v>
      </c>
      <c r="AR142" s="67">
        <f t="shared" si="259"/>
        <v>495</v>
      </c>
      <c r="AS142" s="67">
        <f t="shared" si="259"/>
        <v>0</v>
      </c>
      <c r="AT142" s="67">
        <f t="shared" si="259"/>
        <v>0</v>
      </c>
      <c r="AU142" s="67">
        <f t="shared" si="259"/>
        <v>0</v>
      </c>
      <c r="AV142" s="67">
        <f t="shared" si="259"/>
        <v>0</v>
      </c>
      <c r="AW142" s="67">
        <f t="shared" si="259"/>
        <v>0</v>
      </c>
      <c r="AX142" s="67">
        <f t="shared" si="259"/>
        <v>0</v>
      </c>
      <c r="AY142" s="67">
        <f t="shared" si="259"/>
        <v>30</v>
      </c>
      <c r="AZ142" s="67">
        <f t="shared" si="259"/>
        <v>0</v>
      </c>
      <c r="BA142" s="67">
        <f t="shared" si="259"/>
        <v>525</v>
      </c>
      <c r="BB142" s="61">
        <f t="shared" si="259"/>
        <v>21</v>
      </c>
      <c r="BC142" s="61">
        <f t="shared" si="259"/>
        <v>149</v>
      </c>
      <c r="BD142" s="61">
        <f t="shared" si="259"/>
        <v>0</v>
      </c>
      <c r="BE142" s="61">
        <f t="shared" si="259"/>
        <v>1</v>
      </c>
      <c r="BF142" s="61">
        <f t="shared" si="259"/>
        <v>1</v>
      </c>
      <c r="BG142" s="172"/>
      <c r="BH142" s="172"/>
      <c r="BI142" s="172"/>
      <c r="BJ142" s="172"/>
      <c r="BK142" s="172"/>
      <c r="BL142" s="172"/>
      <c r="BM142" s="172"/>
      <c r="BN142" s="172"/>
      <c r="BO142" s="172"/>
      <c r="BP142" s="172"/>
      <c r="BQ142" s="172"/>
      <c r="BR142" s="172"/>
      <c r="BS142" s="172"/>
      <c r="BT142" s="172"/>
      <c r="BU142" s="172"/>
      <c r="BV142" s="172"/>
      <c r="BW142" s="172"/>
      <c r="BX142" s="172"/>
      <c r="BY142" s="172"/>
      <c r="BZ142" s="172"/>
      <c r="CA142" s="172"/>
      <c r="CB142" s="172"/>
      <c r="CC142" s="172"/>
      <c r="CD142" s="172"/>
      <c r="CE142" s="172"/>
      <c r="CF142" s="172"/>
      <c r="CG142" s="172"/>
      <c r="CH142" s="172"/>
      <c r="CI142" s="172"/>
      <c r="CJ142" s="172"/>
      <c r="CK142" s="172"/>
      <c r="CL142" s="172"/>
      <c r="CM142" s="172"/>
      <c r="CN142" s="172"/>
      <c r="CO142" s="172"/>
      <c r="CP142" s="172"/>
      <c r="CQ142" s="172"/>
      <c r="CR142" s="172"/>
      <c r="CS142" s="172"/>
    </row>
    <row r="143" spans="1:97" ht="12.75" customHeight="1" x14ac:dyDescent="0.2">
      <c r="A143" s="132"/>
      <c r="B143" s="133"/>
      <c r="C143" s="133"/>
      <c r="D143" s="133"/>
      <c r="E143" s="38"/>
      <c r="F143" s="38"/>
      <c r="G143" s="63"/>
      <c r="H143" s="63"/>
      <c r="I143" s="63"/>
      <c r="J143" s="73"/>
      <c r="K143" s="73"/>
      <c r="L143" s="186"/>
      <c r="M143" s="186"/>
      <c r="N143" s="185"/>
      <c r="O143" s="321"/>
      <c r="P143" s="322"/>
      <c r="Q143" s="63">
        <f>30*1440-Q142</f>
        <v>0</v>
      </c>
      <c r="R143" s="74">
        <f>R142/Q142</f>
        <v>1.2152777777777778E-2</v>
      </c>
      <c r="S143" s="74">
        <f>S142/Q142</f>
        <v>2.9467592592592594E-2</v>
      </c>
      <c r="T143" s="75"/>
      <c r="U143" s="75"/>
      <c r="V143" s="76">
        <f>V142/K142</f>
        <v>4.1076410011786191E-2</v>
      </c>
      <c r="W143" s="77" t="s">
        <v>136</v>
      </c>
      <c r="X143" s="78">
        <v>0.85</v>
      </c>
      <c r="Y143" s="79">
        <f>Y142/K142</f>
        <v>8.8982384591998747E-4</v>
      </c>
      <c r="Z143" s="80">
        <f>Z142/K142</f>
        <v>1.9383503918887629E-2</v>
      </c>
      <c r="AA143" s="80">
        <f>AA142/K142</f>
        <v>1.2906815169043224E-2</v>
      </c>
      <c r="AB143" s="80">
        <f>AB142/K142</f>
        <v>-3.4946578798631539E-4</v>
      </c>
      <c r="AC143" s="81">
        <f>AC142/K142</f>
        <v>2.2035025942392348E-2</v>
      </c>
      <c r="AD143" s="82"/>
      <c r="AE143" s="179"/>
      <c r="AF143" s="80">
        <f>AF142/$AD$142*$V$143</f>
        <v>2.7414734156920705E-3</v>
      </c>
      <c r="AG143" s="80">
        <f>AG142/$AD$142*$V$143</f>
        <v>1.2702160159373262E-2</v>
      </c>
      <c r="AH143" s="80">
        <f>AH142/$AD$142*$V$143</f>
        <v>1.1719798852083603E-2</v>
      </c>
      <c r="AI143" s="80">
        <f>AI142/$AD$142*$V$143</f>
        <v>1.9190313909844495E-3</v>
      </c>
      <c r="AJ143" s="80">
        <f t="shared" ref="AJ143:BA143" si="260">AJ142/$AD$142*$V$143</f>
        <v>0</v>
      </c>
      <c r="AK143" s="80">
        <f t="shared" si="260"/>
        <v>0</v>
      </c>
      <c r="AL143" s="80">
        <f t="shared" si="260"/>
        <v>0</v>
      </c>
      <c r="AM143" s="80">
        <f t="shared" si="260"/>
        <v>2.9082463818133383E-2</v>
      </c>
      <c r="AN143" s="80">
        <f t="shared" si="260"/>
        <v>5.482946831384141E-3</v>
      </c>
      <c r="AO143" s="80">
        <f t="shared" si="260"/>
        <v>5.2544907134098023E-3</v>
      </c>
      <c r="AP143" s="80">
        <f t="shared" si="260"/>
        <v>5.7114029493584803E-4</v>
      </c>
      <c r="AQ143" s="80">
        <f t="shared" si="260"/>
        <v>0</v>
      </c>
      <c r="AR143" s="80">
        <f t="shared" si="260"/>
        <v>1.1308577839729793E-2</v>
      </c>
      <c r="AS143" s="80">
        <f t="shared" si="260"/>
        <v>0</v>
      </c>
      <c r="AT143" s="80">
        <f t="shared" si="260"/>
        <v>0</v>
      </c>
      <c r="AU143" s="80">
        <f t="shared" si="260"/>
        <v>0</v>
      </c>
      <c r="AV143" s="80">
        <f>AV142/$AD$142*$V$143</f>
        <v>0</v>
      </c>
      <c r="AW143" s="80">
        <f t="shared" ref="AW143:AZ143" si="261">AW142/$AD$142*$V$143</f>
        <v>0</v>
      </c>
      <c r="AX143" s="80">
        <f t="shared" si="261"/>
        <v>0</v>
      </c>
      <c r="AY143" s="80">
        <f t="shared" si="261"/>
        <v>6.8536835392301763E-4</v>
      </c>
      <c r="AZ143" s="80">
        <f t="shared" si="261"/>
        <v>0</v>
      </c>
      <c r="BA143" s="80">
        <f t="shared" si="260"/>
        <v>1.1993946193652807E-2</v>
      </c>
      <c r="BB143" s="56" t="s">
        <v>137</v>
      </c>
      <c r="BC143" s="56" t="s">
        <v>137</v>
      </c>
      <c r="BD143" s="56" t="s">
        <v>203</v>
      </c>
      <c r="BE143" s="56" t="s">
        <v>203</v>
      </c>
      <c r="BF143" s="56" t="s">
        <v>203</v>
      </c>
      <c r="BG143" s="172"/>
      <c r="BH143" s="172"/>
      <c r="BI143" s="172"/>
      <c r="BJ143" s="172"/>
      <c r="BK143" s="172"/>
      <c r="BL143" s="172"/>
      <c r="BM143" s="172"/>
      <c r="BN143" s="172"/>
      <c r="BO143" s="172"/>
      <c r="BP143" s="172"/>
      <c r="BQ143" s="172"/>
      <c r="BR143" s="172"/>
      <c r="BS143" s="172"/>
      <c r="BT143" s="172"/>
      <c r="BU143" s="172"/>
      <c r="BV143" s="172"/>
      <c r="BW143" s="172"/>
      <c r="BX143" s="172"/>
      <c r="BY143" s="172"/>
      <c r="BZ143" s="172"/>
      <c r="CA143" s="172"/>
      <c r="CB143" s="172"/>
      <c r="CC143" s="172"/>
      <c r="CD143" s="172"/>
      <c r="CE143" s="172"/>
      <c r="CF143" s="172"/>
      <c r="CG143" s="172"/>
      <c r="CH143" s="172"/>
      <c r="CI143" s="172"/>
      <c r="CJ143" s="172"/>
      <c r="CK143" s="172"/>
      <c r="CL143" s="172"/>
      <c r="CM143" s="172"/>
      <c r="CN143" s="172"/>
      <c r="CO143" s="172"/>
      <c r="CP143" s="172"/>
      <c r="CQ143" s="172"/>
      <c r="CR143" s="172"/>
      <c r="CS143" s="172"/>
    </row>
    <row r="144" spans="1:97" ht="12.75" customHeight="1" x14ac:dyDescent="0.2">
      <c r="A144" s="132"/>
      <c r="B144" s="133"/>
      <c r="C144" s="133"/>
      <c r="D144" s="133"/>
      <c r="E144" s="38"/>
      <c r="F144" s="38"/>
      <c r="G144" s="56"/>
      <c r="H144" s="56"/>
      <c r="I144" s="56"/>
      <c r="J144" s="46"/>
      <c r="K144" s="46"/>
      <c r="L144" s="184"/>
      <c r="M144" s="184"/>
      <c r="N144" s="180"/>
      <c r="O144" s="83"/>
      <c r="P144" s="84"/>
      <c r="Q144" s="56"/>
      <c r="R144" s="50">
        <f>R142-(BA142)</f>
        <v>0</v>
      </c>
      <c r="S144" s="50">
        <f>+S142-AM142</f>
        <v>0</v>
      </c>
      <c r="T144" s="180"/>
      <c r="U144" s="180"/>
      <c r="V144" s="180"/>
      <c r="W144" s="183"/>
      <c r="X144" s="182"/>
      <c r="Y144" s="181">
        <f>+Y142-(SUM([2]RBP!AG3:AG4))</f>
        <v>0</v>
      </c>
      <c r="Z144" s="50">
        <f>+Z142-'[2]31'!J56/1000</f>
        <v>0</v>
      </c>
      <c r="AA144" s="180"/>
      <c r="AB144" s="180"/>
      <c r="AC144" s="180"/>
      <c r="AD144" s="180"/>
      <c r="AE144" s="179"/>
      <c r="AF144" s="85"/>
      <c r="AG144" s="85"/>
      <c r="AH144" s="85"/>
      <c r="AI144" s="85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86"/>
      <c r="AW144" s="86"/>
      <c r="AX144" s="147">
        <f>0.5%*1440*31</f>
        <v>223.20000000000002</v>
      </c>
      <c r="AY144" s="86"/>
      <c r="AZ144" s="86"/>
      <c r="BA144" s="86"/>
      <c r="BB144" s="87">
        <f>BB142/($Q$142/1440)/2</f>
        <v>0.35</v>
      </c>
      <c r="BC144" s="87">
        <f>BC142/($Q$142/1440)/2</f>
        <v>2.4833333333333334</v>
      </c>
      <c r="BD144" s="87">
        <f>BD142/($Q$142/1440)</f>
        <v>0</v>
      </c>
      <c r="BE144" s="87">
        <f t="shared" ref="BE144:BF144" si="262">BE142/($Q$142/1440)</f>
        <v>3.3333333333333333E-2</v>
      </c>
      <c r="BF144" s="87">
        <f t="shared" si="262"/>
        <v>3.3333333333333333E-2</v>
      </c>
    </row>
    <row r="145" spans="1:58" ht="12.75" customHeight="1" x14ac:dyDescent="0.2">
      <c r="A145" s="137"/>
      <c r="B145" s="138"/>
      <c r="C145" s="138"/>
      <c r="D145" s="138"/>
      <c r="E145" s="39"/>
      <c r="F145" s="39"/>
      <c r="G145" s="88"/>
      <c r="H145" s="88"/>
      <c r="I145" s="88"/>
      <c r="J145" s="89"/>
      <c r="K145" s="89"/>
      <c r="O145" s="90"/>
      <c r="P145" s="91"/>
      <c r="Q145" s="88"/>
      <c r="R145" s="92"/>
      <c r="S145" s="92"/>
      <c r="U145" s="178"/>
      <c r="V145" s="178"/>
      <c r="W145" s="93" t="s">
        <v>138</v>
      </c>
      <c r="X145" s="160">
        <f>W142/U142</f>
        <v>0.96459795497229806</v>
      </c>
      <c r="Y145" s="160"/>
      <c r="Z145" s="201"/>
      <c r="AA145" s="156" t="s">
        <v>204</v>
      </c>
      <c r="AD145" s="157"/>
      <c r="AE145" s="173"/>
      <c r="AF145" s="94"/>
      <c r="AG145" s="94"/>
      <c r="AH145" s="94"/>
      <c r="AI145" s="94"/>
      <c r="AJ145" s="94"/>
      <c r="AK145" s="94"/>
      <c r="AL145" s="94"/>
      <c r="AM145" s="94"/>
      <c r="AN145" s="86"/>
      <c r="AO145" s="86"/>
      <c r="AP145" s="86"/>
      <c r="AQ145" s="86"/>
      <c r="AR145" s="86"/>
      <c r="AS145" s="94"/>
      <c r="AT145" s="94"/>
      <c r="AU145" s="94"/>
      <c r="AV145" s="94"/>
      <c r="AW145" s="94"/>
      <c r="AX145" s="94"/>
      <c r="AY145" s="94"/>
      <c r="AZ145" s="94"/>
      <c r="BA145" s="86"/>
      <c r="BB145" s="172"/>
      <c r="BC145" s="86"/>
      <c r="BD145" s="86"/>
      <c r="BE145" s="172"/>
      <c r="BF145" s="86"/>
    </row>
    <row r="146" spans="1:58" ht="12.75" customHeight="1" x14ac:dyDescent="0.2">
      <c r="A146" s="137"/>
      <c r="B146" s="138"/>
      <c r="C146" s="138"/>
      <c r="D146" s="138"/>
      <c r="E146" s="39"/>
      <c r="F146" s="39"/>
      <c r="G146" s="88"/>
      <c r="H146" s="88"/>
      <c r="I146" s="88"/>
      <c r="J146" s="89"/>
      <c r="K146" s="89"/>
      <c r="O146" s="90"/>
      <c r="P146" s="91"/>
      <c r="Q146" s="88"/>
      <c r="R146" s="92"/>
      <c r="S146" s="92"/>
      <c r="U146" s="178"/>
      <c r="V146" s="178"/>
      <c r="W146" s="93"/>
      <c r="X146" s="86"/>
      <c r="Y146" s="86"/>
      <c r="Z146" s="92"/>
      <c r="AA146" s="166"/>
      <c r="AB146" s="166"/>
      <c r="AD146" s="157"/>
      <c r="AE146" s="173"/>
      <c r="AF146" s="94"/>
      <c r="AG146" s="94"/>
      <c r="AH146" s="94"/>
      <c r="AI146" s="94"/>
      <c r="AJ146" s="94"/>
      <c r="AK146" s="94"/>
      <c r="AL146" s="94"/>
      <c r="AM146" s="94"/>
      <c r="AN146" s="94"/>
      <c r="AO146" s="86"/>
      <c r="AP146" s="86"/>
      <c r="AQ146" s="86"/>
      <c r="AR146" s="94"/>
      <c r="AS146" s="86"/>
      <c r="AT146" s="86"/>
      <c r="AU146" s="86"/>
      <c r="AV146" s="86"/>
      <c r="AW146" s="86"/>
      <c r="AX146" s="86"/>
      <c r="AY146" s="86"/>
      <c r="AZ146" s="86"/>
      <c r="BA146" s="86"/>
      <c r="BB146" s="172"/>
      <c r="BC146" s="86"/>
      <c r="BD146" s="86"/>
      <c r="BE146" s="172"/>
      <c r="BF146" s="86"/>
    </row>
    <row r="147" spans="1:58" ht="12.75" customHeight="1" x14ac:dyDescent="0.2">
      <c r="A147" s="137"/>
      <c r="B147" s="138"/>
      <c r="C147" s="138"/>
      <c r="D147" s="138"/>
      <c r="E147" s="39"/>
      <c r="F147" s="39"/>
      <c r="G147" s="88"/>
      <c r="H147" s="88"/>
      <c r="I147" s="88"/>
      <c r="J147" s="89"/>
      <c r="K147" s="89"/>
      <c r="O147" s="90"/>
      <c r="P147" s="91"/>
      <c r="Q147" s="88"/>
      <c r="R147" s="95"/>
      <c r="S147" s="92"/>
      <c r="U147" s="178"/>
      <c r="V147" s="178"/>
      <c r="W147" s="93" t="s">
        <v>139</v>
      </c>
      <c r="X147" s="85">
        <f>+W142+Y142</f>
        <v>1728.8939999999998</v>
      </c>
      <c r="Y147" s="86"/>
      <c r="Z147" s="92"/>
      <c r="AD147" s="157"/>
      <c r="AE147" s="173"/>
      <c r="AF147" s="157"/>
      <c r="AG147" s="157"/>
      <c r="AH147" s="157"/>
      <c r="AI147" s="157"/>
      <c r="AJ147" s="86"/>
      <c r="AK147" s="86"/>
      <c r="AL147" s="86"/>
      <c r="AM147" s="94"/>
      <c r="AN147" s="86"/>
      <c r="AO147" s="86"/>
      <c r="AP147" s="86"/>
      <c r="AQ147" s="86"/>
      <c r="AR147" s="94"/>
      <c r="AS147" s="86"/>
      <c r="AT147" s="86"/>
      <c r="AU147" s="86"/>
      <c r="AV147" s="86"/>
      <c r="AW147" s="86"/>
      <c r="AX147" s="86"/>
      <c r="AY147" s="86"/>
      <c r="AZ147" s="86"/>
      <c r="BA147" s="86"/>
      <c r="BB147" s="172"/>
      <c r="BC147" s="86"/>
      <c r="BD147" s="86"/>
      <c r="BE147" s="172"/>
      <c r="BF147" s="86"/>
    </row>
    <row r="148" spans="1:58" ht="12.75" customHeight="1" x14ac:dyDescent="0.2">
      <c r="A148" s="137"/>
      <c r="C148" s="138" t="s">
        <v>140</v>
      </c>
      <c r="D148" s="138"/>
      <c r="E148" s="39"/>
      <c r="F148" s="39"/>
      <c r="G148" s="88"/>
      <c r="H148" s="88"/>
      <c r="I148" s="88"/>
      <c r="J148" s="89"/>
      <c r="K148" s="89"/>
      <c r="O148" s="90"/>
      <c r="P148" s="91"/>
      <c r="Q148" s="88"/>
      <c r="R148" s="95"/>
      <c r="S148" s="92"/>
      <c r="U148" s="178"/>
      <c r="V148" s="177"/>
      <c r="W148" s="96"/>
      <c r="X148" s="97"/>
      <c r="Y148" s="96"/>
      <c r="Z148" s="97"/>
      <c r="AD148" s="98"/>
      <c r="AE148" s="173"/>
      <c r="AF148" s="98"/>
      <c r="AG148" s="98"/>
      <c r="AH148" s="98"/>
      <c r="AI148" s="98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86"/>
      <c r="AW148" s="86"/>
      <c r="AX148" s="86"/>
      <c r="AY148" s="86"/>
      <c r="AZ148" s="86"/>
      <c r="BA148" s="86"/>
      <c r="BB148" s="172"/>
      <c r="BC148" s="86"/>
      <c r="BD148" s="86"/>
      <c r="BE148" s="172"/>
      <c r="BF148" s="86"/>
    </row>
    <row r="149" spans="1:58" ht="12.75" customHeight="1" x14ac:dyDescent="0.2">
      <c r="A149" s="137"/>
      <c r="B149" s="138"/>
      <c r="C149" s="138" t="s">
        <v>141</v>
      </c>
      <c r="D149" s="138"/>
      <c r="E149" s="39"/>
      <c r="F149" s="39"/>
      <c r="G149" s="88"/>
      <c r="H149" s="88"/>
      <c r="I149" s="88"/>
      <c r="J149" s="89"/>
      <c r="K149" s="89"/>
      <c r="O149" s="90"/>
      <c r="P149" s="91"/>
      <c r="Q149" s="88"/>
      <c r="R149" s="95"/>
      <c r="S149" s="92"/>
      <c r="V149" s="167"/>
      <c r="W149" s="176" t="s">
        <v>167</v>
      </c>
      <c r="X149" s="167"/>
      <c r="Y149" s="167"/>
      <c r="Z149" s="97"/>
      <c r="AE149" s="173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  <c r="AQ149" s="92"/>
      <c r="AS149" s="92"/>
      <c r="AT149" s="92"/>
      <c r="AU149" s="92"/>
      <c r="AV149" s="92"/>
      <c r="AW149" s="92"/>
      <c r="AX149" s="92"/>
      <c r="AY149" s="92"/>
      <c r="AZ149" s="92"/>
      <c r="BA149" s="92"/>
      <c r="BB149" s="172"/>
      <c r="BE149" s="172"/>
    </row>
    <row r="150" spans="1:58" ht="12.75" customHeight="1" x14ac:dyDescent="0.2">
      <c r="A150" s="137"/>
      <c r="B150" s="138"/>
      <c r="C150" s="138"/>
      <c r="D150" s="138"/>
      <c r="E150" s="39"/>
      <c r="F150" s="39"/>
      <c r="G150" s="88"/>
      <c r="H150" s="88"/>
      <c r="I150" s="88"/>
      <c r="J150" s="89"/>
      <c r="K150" s="89"/>
      <c r="O150" s="90"/>
      <c r="P150" s="91"/>
      <c r="Q150" s="88"/>
      <c r="R150" s="95"/>
      <c r="S150" s="92"/>
      <c r="V150" s="167"/>
      <c r="W150" s="171" t="s">
        <v>181</v>
      </c>
      <c r="X150" s="175">
        <f>Y143</f>
        <v>8.8982384591998747E-4</v>
      </c>
      <c r="Y150" s="174"/>
      <c r="Z150" s="97"/>
      <c r="AE150" s="173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  <c r="AQ150" s="92"/>
      <c r="AS150" s="92"/>
      <c r="AT150" s="92"/>
      <c r="AU150" s="92"/>
      <c r="AV150" s="92"/>
      <c r="AW150" s="92"/>
      <c r="AX150" s="92"/>
      <c r="AY150" s="92"/>
      <c r="AZ150" s="92"/>
      <c r="BA150" s="92"/>
      <c r="BB150" s="172"/>
      <c r="BE150" s="172"/>
    </row>
    <row r="151" spans="1:58" ht="12.75" customHeight="1" x14ac:dyDescent="0.2">
      <c r="R151" s="166"/>
      <c r="V151" s="167"/>
      <c r="W151" s="171" t="s">
        <v>143</v>
      </c>
      <c r="X151" s="169">
        <f>Z143</f>
        <v>1.9383503918887629E-2</v>
      </c>
      <c r="Y151" s="170"/>
      <c r="Z151" s="167"/>
    </row>
    <row r="152" spans="1:58" ht="12.75" customHeight="1" x14ac:dyDescent="0.2">
      <c r="R152" s="166"/>
      <c r="V152" s="167"/>
      <c r="W152" s="171" t="s">
        <v>144</v>
      </c>
      <c r="X152" s="169">
        <f>AC143</f>
        <v>2.2035025942392348E-2</v>
      </c>
      <c r="Y152" s="169"/>
      <c r="Z152" s="167"/>
    </row>
    <row r="153" spans="1:58" ht="12.75" customHeight="1" x14ac:dyDescent="0.2">
      <c r="R153" s="166"/>
      <c r="V153" s="167"/>
      <c r="W153" s="171" t="s">
        <v>145</v>
      </c>
      <c r="X153" s="169">
        <f>AA143</f>
        <v>1.2906815169043224E-2</v>
      </c>
      <c r="Y153" s="170"/>
      <c r="Z153" s="167"/>
    </row>
    <row r="154" spans="1:58" ht="12.75" customHeight="1" x14ac:dyDescent="0.2">
      <c r="V154" s="167"/>
      <c r="W154" s="171" t="s">
        <v>146</v>
      </c>
      <c r="X154" s="169">
        <f>AB143</f>
        <v>-3.4946578798631539E-4</v>
      </c>
      <c r="Y154" s="170" t="s">
        <v>147</v>
      </c>
      <c r="Z154" s="167"/>
    </row>
    <row r="155" spans="1:58" ht="12.75" customHeight="1" x14ac:dyDescent="0.2">
      <c r="V155" s="167"/>
      <c r="W155" s="171" t="s">
        <v>148</v>
      </c>
      <c r="X155" s="169">
        <f>AF143</f>
        <v>2.7414734156920705E-3</v>
      </c>
      <c r="Y155" s="170"/>
      <c r="Z155" s="167"/>
    </row>
    <row r="156" spans="1:58" ht="12.75" customHeight="1" x14ac:dyDescent="0.2">
      <c r="V156" s="167"/>
      <c r="W156" s="171" t="s">
        <v>149</v>
      </c>
      <c r="X156" s="169">
        <f>+AG143</f>
        <v>1.2702160159373262E-2</v>
      </c>
      <c r="Y156" s="170"/>
      <c r="Z156" s="167"/>
    </row>
    <row r="157" spans="1:58" ht="12.75" customHeight="1" x14ac:dyDescent="0.2">
      <c r="V157" s="167"/>
      <c r="W157" s="171" t="s">
        <v>150</v>
      </c>
      <c r="X157" s="169">
        <f>+AH143</f>
        <v>1.1719798852083603E-2</v>
      </c>
      <c r="Y157" s="170"/>
      <c r="Z157" s="167"/>
    </row>
    <row r="158" spans="1:58" ht="12.75" customHeight="1" x14ac:dyDescent="0.2">
      <c r="V158" s="167"/>
      <c r="W158" s="171" t="s">
        <v>151</v>
      </c>
      <c r="X158" s="169">
        <f>+AI143</f>
        <v>1.9190313909844495E-3</v>
      </c>
      <c r="Y158" s="170"/>
      <c r="Z158" s="167"/>
    </row>
    <row r="159" spans="1:58" ht="12.75" customHeight="1" x14ac:dyDescent="0.2">
      <c r="V159" s="167"/>
      <c r="W159" s="171" t="s">
        <v>152</v>
      </c>
      <c r="X159" s="169">
        <f>+AJ143</f>
        <v>0</v>
      </c>
      <c r="Y159" s="170"/>
      <c r="Z159" s="167"/>
    </row>
    <row r="160" spans="1:58" ht="12.75" customHeight="1" x14ac:dyDescent="0.2">
      <c r="V160" s="167"/>
      <c r="W160" s="171" t="s">
        <v>154</v>
      </c>
      <c r="X160" s="169">
        <f>+AK143</f>
        <v>0</v>
      </c>
      <c r="Y160" s="170"/>
      <c r="Z160" s="167"/>
    </row>
    <row r="161" spans="22:26" ht="12.75" customHeight="1" x14ac:dyDescent="0.2">
      <c r="V161" s="167"/>
      <c r="W161" s="171" t="s">
        <v>153</v>
      </c>
      <c r="X161" s="169">
        <f>+AL143</f>
        <v>0</v>
      </c>
      <c r="Y161" s="170"/>
      <c r="Z161" s="167"/>
    </row>
    <row r="162" spans="22:26" ht="12.75" customHeight="1" x14ac:dyDescent="0.2">
      <c r="V162" s="167"/>
      <c r="W162" s="171" t="s">
        <v>155</v>
      </c>
      <c r="X162" s="169">
        <f>+AN143</f>
        <v>5.482946831384141E-3</v>
      </c>
      <c r="Y162" s="170"/>
      <c r="Z162" s="167"/>
    </row>
    <row r="163" spans="22:26" ht="12.75" customHeight="1" x14ac:dyDescent="0.2">
      <c r="V163" s="167"/>
      <c r="W163" s="171" t="s">
        <v>158</v>
      </c>
      <c r="X163" s="169">
        <f>+AO143</f>
        <v>5.2544907134098023E-3</v>
      </c>
      <c r="Y163" s="170"/>
      <c r="Z163" s="167"/>
    </row>
    <row r="164" spans="22:26" ht="12.75" customHeight="1" x14ac:dyDescent="0.2">
      <c r="V164" s="167"/>
      <c r="W164" s="171" t="s">
        <v>157</v>
      </c>
      <c r="X164" s="169">
        <f>+AP143</f>
        <v>5.7114029493584803E-4</v>
      </c>
      <c r="Y164" s="170"/>
      <c r="Z164" s="167"/>
    </row>
    <row r="165" spans="22:26" ht="12.75" customHeight="1" x14ac:dyDescent="0.2">
      <c r="V165" s="167"/>
      <c r="W165" s="171" t="s">
        <v>156</v>
      </c>
      <c r="X165" s="169">
        <f>+AQ143</f>
        <v>0</v>
      </c>
      <c r="Y165" s="170"/>
      <c r="Z165" s="167"/>
    </row>
    <row r="166" spans="22:26" ht="12.75" customHeight="1" x14ac:dyDescent="0.2">
      <c r="V166" s="167"/>
      <c r="W166" s="171" t="s">
        <v>159</v>
      </c>
      <c r="X166" s="169">
        <f>+AS143</f>
        <v>0</v>
      </c>
      <c r="Y166" s="170"/>
      <c r="Z166" s="167"/>
    </row>
    <row r="167" spans="22:26" ht="12.75" customHeight="1" x14ac:dyDescent="0.2">
      <c r="V167" s="167"/>
      <c r="W167" s="171" t="s">
        <v>185</v>
      </c>
      <c r="X167" s="169">
        <f>+AT143</f>
        <v>0</v>
      </c>
      <c r="Y167" s="170"/>
      <c r="Z167" s="167"/>
    </row>
    <row r="168" spans="22:26" ht="12.75" customHeight="1" x14ac:dyDescent="0.2">
      <c r="V168" s="167"/>
      <c r="W168" s="171" t="s">
        <v>186</v>
      </c>
      <c r="X168" s="169">
        <f>+AU143</f>
        <v>0</v>
      </c>
      <c r="Y168" s="170"/>
      <c r="Z168" s="167"/>
    </row>
    <row r="169" spans="22:26" ht="12.75" customHeight="1" x14ac:dyDescent="0.2">
      <c r="V169" s="167"/>
      <c r="W169" s="171" t="s">
        <v>40</v>
      </c>
      <c r="X169" s="169">
        <f>+AW143</f>
        <v>0</v>
      </c>
      <c r="Y169" s="170"/>
      <c r="Z169" s="167"/>
    </row>
    <row r="170" spans="22:26" ht="12.75" customHeight="1" x14ac:dyDescent="0.2">
      <c r="V170" s="167"/>
      <c r="W170" s="171" t="s">
        <v>193</v>
      </c>
      <c r="X170" s="169">
        <f>+AV143</f>
        <v>0</v>
      </c>
      <c r="Y170" s="170"/>
      <c r="Z170" s="167"/>
    </row>
    <row r="171" spans="22:26" ht="12.75" customHeight="1" x14ac:dyDescent="0.2">
      <c r="V171" s="167"/>
      <c r="W171" s="167" t="s">
        <v>171</v>
      </c>
      <c r="X171" s="169">
        <f>+AX143+AY143</f>
        <v>6.8536835392301763E-4</v>
      </c>
      <c r="Y171" s="169"/>
      <c r="Z171" s="167"/>
    </row>
    <row r="172" spans="22:26" ht="12.75" customHeight="1" x14ac:dyDescent="0.2">
      <c r="V172" s="167"/>
      <c r="W172" s="167" t="s">
        <v>194</v>
      </c>
      <c r="X172" s="169">
        <f>+AZ144</f>
        <v>0</v>
      </c>
      <c r="Y172" s="167"/>
      <c r="Z172" s="167"/>
    </row>
    <row r="173" spans="22:26" ht="12.75" customHeight="1" x14ac:dyDescent="0.2">
      <c r="V173" s="167"/>
      <c r="W173" s="167"/>
      <c r="X173" s="168">
        <f>SUM(X150:X172)</f>
        <v>9.594211310004308E-2</v>
      </c>
      <c r="Y173" s="167"/>
      <c r="Z173" s="167"/>
    </row>
    <row r="174" spans="22:26" ht="12.75" customHeight="1" x14ac:dyDescent="0.2"/>
    <row r="175" spans="22:26" ht="12.75" customHeight="1" x14ac:dyDescent="0.2">
      <c r="X175" s="166">
        <f>+X173+X142</f>
        <v>0.99999999999999989</v>
      </c>
    </row>
    <row r="176" spans="22:2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</sheetData>
  <mergeCells count="50">
    <mergeCell ref="R3:R5"/>
    <mergeCell ref="A3:A5"/>
    <mergeCell ref="B3:B5"/>
    <mergeCell ref="C3:C5"/>
    <mergeCell ref="D3:D5"/>
    <mergeCell ref="E3:E5"/>
    <mergeCell ref="F3:F5"/>
    <mergeCell ref="G3:K4"/>
    <mergeCell ref="L3:N4"/>
    <mergeCell ref="O3:O5"/>
    <mergeCell ref="P3:P5"/>
    <mergeCell ref="Q3:Q5"/>
    <mergeCell ref="AD3:AD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BC3:BC5"/>
    <mergeCell ref="AE3:AE5"/>
    <mergeCell ref="AF3:AL3"/>
    <mergeCell ref="AM3:AM5"/>
    <mergeCell ref="AN3:AR3"/>
    <mergeCell ref="AS3:AS5"/>
    <mergeCell ref="AT3:AU4"/>
    <mergeCell ref="AP4:AP5"/>
    <mergeCell ref="AQ4:AQ5"/>
    <mergeCell ref="AR4:AR5"/>
    <mergeCell ref="O143:P143"/>
    <mergeCell ref="BD3:BD5"/>
    <mergeCell ref="BE3:BE5"/>
    <mergeCell ref="BF3:BF5"/>
    <mergeCell ref="AF4:AH4"/>
    <mergeCell ref="AI4:AI5"/>
    <mergeCell ref="AJ4:AJ5"/>
    <mergeCell ref="AK4:AK5"/>
    <mergeCell ref="AL4:AL5"/>
    <mergeCell ref="AN4:AN5"/>
    <mergeCell ref="AO4:AO5"/>
    <mergeCell ref="AV3:AW3"/>
    <mergeCell ref="AX3:AY3"/>
    <mergeCell ref="AZ3:AZ5"/>
    <mergeCell ref="BA3:BA5"/>
    <mergeCell ref="BB3:BB5"/>
  </mergeCells>
  <conditionalFormatting sqref="C143 B141:B143 C141">
    <cfRule type="cellIs" dxfId="27475" priority="14403" stopIfTrue="1" operator="equal">
      <formula>"Towel"</formula>
    </cfRule>
    <cfRule type="cellIs" dxfId="27474" priority="14404" stopIfTrue="1" operator="equal">
      <formula>"Napkin Hs"</formula>
    </cfRule>
  </conditionalFormatting>
  <conditionalFormatting sqref="C27">
    <cfRule type="cellIs" dxfId="27473" priority="14155" stopIfTrue="1" operator="equal">
      <formula>"Towel"</formula>
    </cfRule>
    <cfRule type="cellIs" dxfId="27472" priority="14156" stopIfTrue="1" operator="equal">
      <formula>"Napkin Hs"</formula>
    </cfRule>
  </conditionalFormatting>
  <conditionalFormatting sqref="C27">
    <cfRule type="cellIs" dxfId="27471" priority="14157" stopIfTrue="1" operator="equal">
      <formula>"Towel"</formula>
    </cfRule>
    <cfRule type="cellIs" dxfId="27470" priority="14158" stopIfTrue="1" operator="equal">
      <formula>"Napkin Hs"</formula>
    </cfRule>
  </conditionalFormatting>
  <conditionalFormatting sqref="C27">
    <cfRule type="cellIs" dxfId="27469" priority="14153" stopIfTrue="1" operator="equal">
      <formula>"Towel"</formula>
    </cfRule>
    <cfRule type="cellIs" dxfId="27468" priority="14154" stopIfTrue="1" operator="equal">
      <formula>"Napkin Hs"</formula>
    </cfRule>
  </conditionalFormatting>
  <conditionalFormatting sqref="B27">
    <cfRule type="cellIs" dxfId="27467" priority="14151" stopIfTrue="1" operator="equal">
      <formula>"Towel"</formula>
    </cfRule>
    <cfRule type="cellIs" dxfId="27466" priority="14152" stopIfTrue="1" operator="equal">
      <formula>"Napkin Hs"</formula>
    </cfRule>
  </conditionalFormatting>
  <conditionalFormatting sqref="B9:C9">
    <cfRule type="cellIs" dxfId="27465" priority="14149" stopIfTrue="1" operator="equal">
      <formula>"Towel"</formula>
    </cfRule>
    <cfRule type="cellIs" dxfId="27464" priority="14150" stopIfTrue="1" operator="equal">
      <formula>"Napkin Hs"</formula>
    </cfRule>
  </conditionalFormatting>
  <conditionalFormatting sqref="C7">
    <cfRule type="cellIs" dxfId="27463" priority="14141" stopIfTrue="1" operator="equal">
      <formula>"Towel"</formula>
    </cfRule>
    <cfRule type="cellIs" dxfId="27462" priority="14142" stopIfTrue="1" operator="equal">
      <formula>"Napkin Hs"</formula>
    </cfRule>
  </conditionalFormatting>
  <conditionalFormatting sqref="C9">
    <cfRule type="cellIs" dxfId="27461" priority="14145" stopIfTrue="1" operator="equal">
      <formula>"Towel"</formula>
    </cfRule>
    <cfRule type="cellIs" dxfId="27460" priority="14146" stopIfTrue="1" operator="equal">
      <formula>"Napkin Hs"</formula>
    </cfRule>
  </conditionalFormatting>
  <conditionalFormatting sqref="C9">
    <cfRule type="cellIs" dxfId="27459" priority="14148" stopIfTrue="1" operator="equal">
      <formula>"Napkin Hs"</formula>
    </cfRule>
  </conditionalFormatting>
  <conditionalFormatting sqref="C7">
    <cfRule type="cellIs" dxfId="27458" priority="14143" stopIfTrue="1" operator="equal">
      <formula>"Towel"</formula>
    </cfRule>
    <cfRule type="cellIs" dxfId="27457" priority="14144" stopIfTrue="1" operator="equal">
      <formula>"Napkin Hs"</formula>
    </cfRule>
  </conditionalFormatting>
  <conditionalFormatting sqref="C9">
    <cfRule type="cellIs" dxfId="27456" priority="14147" stopIfTrue="1" operator="equal">
      <formula>"Towel"</formula>
    </cfRule>
  </conditionalFormatting>
  <conditionalFormatting sqref="C7">
    <cfRule type="cellIs" dxfId="27455" priority="14139" stopIfTrue="1" operator="equal">
      <formula>"Towel"</formula>
    </cfRule>
    <cfRule type="cellIs" dxfId="27454" priority="14140" stopIfTrue="1" operator="equal">
      <formula>"Napkin Hs"</formula>
    </cfRule>
  </conditionalFormatting>
  <conditionalFormatting sqref="C10">
    <cfRule type="cellIs" dxfId="27453" priority="14135" stopIfTrue="1" operator="equal">
      <formula>"Towel"</formula>
    </cfRule>
    <cfRule type="cellIs" dxfId="27452" priority="14136" stopIfTrue="1" operator="equal">
      <formula>"Napkin Hs"</formula>
    </cfRule>
  </conditionalFormatting>
  <conditionalFormatting sqref="C10">
    <cfRule type="cellIs" dxfId="27451" priority="14137" stopIfTrue="1" operator="equal">
      <formula>"Towel"</formula>
    </cfRule>
    <cfRule type="cellIs" dxfId="27450" priority="14138" stopIfTrue="1" operator="equal">
      <formula>"Napkin Hs"</formula>
    </cfRule>
  </conditionalFormatting>
  <conditionalFormatting sqref="B10:C10">
    <cfRule type="cellIs" dxfId="27449" priority="14133" stopIfTrue="1" operator="equal">
      <formula>"Towel"</formula>
    </cfRule>
    <cfRule type="cellIs" dxfId="27448" priority="14134" stopIfTrue="1" operator="equal">
      <formula>"Napkin Hs"</formula>
    </cfRule>
  </conditionalFormatting>
  <conditionalFormatting sqref="B10:C10">
    <cfRule type="cellIs" dxfId="27447" priority="14127" stopIfTrue="1" operator="equal">
      <formula>"Towel"</formula>
    </cfRule>
    <cfRule type="cellIs" dxfId="27446" priority="14128" stopIfTrue="1" operator="equal">
      <formula>"Napkin Hs"</formula>
    </cfRule>
  </conditionalFormatting>
  <conditionalFormatting sqref="C10">
    <cfRule type="cellIs" dxfId="27445" priority="14129" stopIfTrue="1" operator="equal">
      <formula>"Towel"</formula>
    </cfRule>
    <cfRule type="cellIs" dxfId="27444" priority="14130" stopIfTrue="1" operator="equal">
      <formula>"Napkin Hs"</formula>
    </cfRule>
  </conditionalFormatting>
  <conditionalFormatting sqref="C10">
    <cfRule type="cellIs" dxfId="27443" priority="14131" stopIfTrue="1" operator="equal">
      <formula>"Towel"</formula>
    </cfRule>
    <cfRule type="cellIs" dxfId="27442" priority="14132" stopIfTrue="1" operator="equal">
      <formula>"Napkin Hs"</formula>
    </cfRule>
  </conditionalFormatting>
  <conditionalFormatting sqref="B7">
    <cfRule type="cellIs" dxfId="27441" priority="14125" stopIfTrue="1" operator="equal">
      <formula>"Towel"</formula>
    </cfRule>
    <cfRule type="cellIs" dxfId="27440" priority="14126" stopIfTrue="1" operator="equal">
      <formula>"Napkin Hs"</formula>
    </cfRule>
  </conditionalFormatting>
  <conditionalFormatting sqref="B6:C6">
    <cfRule type="cellIs" dxfId="27439" priority="14101" stopIfTrue="1" operator="equal">
      <formula>"Towel"</formula>
    </cfRule>
  </conditionalFormatting>
  <conditionalFormatting sqref="B6:C6">
    <cfRule type="cellIs" dxfId="27438" priority="14102" stopIfTrue="1" operator="equal">
      <formula>"Napkin Hs"</formula>
    </cfRule>
    <cfRule type="cellIs" dxfId="27437" priority="14107" stopIfTrue="1" operator="equal">
      <formula>"Towel"</formula>
    </cfRule>
    <cfRule type="cellIs" dxfId="27436" priority="14108" stopIfTrue="1" operator="equal">
      <formula>"Napkin Hs"</formula>
    </cfRule>
    <cfRule type="cellIs" dxfId="27435" priority="14117" stopIfTrue="1" operator="equal">
      <formula>"Towel"</formula>
    </cfRule>
    <cfRule type="cellIs" dxfId="27434" priority="14118" stopIfTrue="1" operator="equal">
      <formula>"Napkin Hs"</formula>
    </cfRule>
    <cfRule type="cellIs" dxfId="27433" priority="14123" stopIfTrue="1" operator="equal">
      <formula>"Towel"</formula>
    </cfRule>
    <cfRule type="cellIs" dxfId="27432" priority="14124" stopIfTrue="1" operator="equal">
      <formula>"Napkin Hs"</formula>
    </cfRule>
  </conditionalFormatting>
  <conditionalFormatting sqref="C6">
    <cfRule type="cellIs" dxfId="27431" priority="14103" stopIfTrue="1" operator="equal">
      <formula>"Towel"</formula>
    </cfRule>
    <cfRule type="cellIs" dxfId="27430" priority="14104" stopIfTrue="1" operator="equal">
      <formula>"Napkin Hs"</formula>
    </cfRule>
    <cfRule type="cellIs" dxfId="27429" priority="14105" stopIfTrue="1" operator="equal">
      <formula>"Towel"</formula>
    </cfRule>
    <cfRule type="cellIs" dxfId="27428" priority="14106" stopIfTrue="1" operator="equal">
      <formula>"Napkin Hs"</formula>
    </cfRule>
    <cfRule type="cellIs" dxfId="27427" priority="14109" stopIfTrue="1" operator="equal">
      <formula>"Towel"</formula>
    </cfRule>
    <cfRule type="cellIs" dxfId="27426" priority="14110" stopIfTrue="1" operator="equal">
      <formula>"Napkin Hs"</formula>
    </cfRule>
    <cfRule type="cellIs" dxfId="27425" priority="14111" stopIfTrue="1" operator="equal">
      <formula>"Towel"</formula>
    </cfRule>
    <cfRule type="cellIs" dxfId="27424" priority="14112" stopIfTrue="1" operator="equal">
      <formula>"Napkin Hs"</formula>
    </cfRule>
    <cfRule type="cellIs" dxfId="27423" priority="14113" stopIfTrue="1" operator="equal">
      <formula>"Towel"</formula>
    </cfRule>
    <cfRule type="cellIs" dxfId="27422" priority="14114" stopIfTrue="1" operator="equal">
      <formula>"Napkin Hs"</formula>
    </cfRule>
    <cfRule type="cellIs" dxfId="27421" priority="14115" stopIfTrue="1" operator="equal">
      <formula>"Towel"</formula>
    </cfRule>
    <cfRule type="cellIs" dxfId="27420" priority="14116" stopIfTrue="1" operator="equal">
      <formula>"Napkin Hs"</formula>
    </cfRule>
    <cfRule type="cellIs" dxfId="27419" priority="14119" stopIfTrue="1" operator="equal">
      <formula>"Towel"</formula>
    </cfRule>
    <cfRule type="cellIs" dxfId="27418" priority="14120" stopIfTrue="1" operator="equal">
      <formula>"Napkin Hs"</formula>
    </cfRule>
    <cfRule type="cellIs" dxfId="27417" priority="14122" stopIfTrue="1" operator="equal">
      <formula>"Napkin Hs"</formula>
    </cfRule>
  </conditionalFormatting>
  <conditionalFormatting sqref="C6">
    <cfRule type="cellIs" dxfId="27416" priority="14121" stopIfTrue="1" operator="equal">
      <formula>"Towel"</formula>
    </cfRule>
  </conditionalFormatting>
  <conditionalFormatting sqref="B6:C6">
    <cfRule type="cellIs" dxfId="27415" priority="14099" stopIfTrue="1" operator="equal">
      <formula>"Towel"</formula>
    </cfRule>
    <cfRule type="cellIs" dxfId="27414" priority="14100" stopIfTrue="1" operator="equal">
      <formula>"Napkin Hs"</formula>
    </cfRule>
  </conditionalFormatting>
  <conditionalFormatting sqref="C6">
    <cfRule type="cellIs" dxfId="27413" priority="14098" stopIfTrue="1" operator="equal">
      <formula>"Napkin Hs"</formula>
    </cfRule>
  </conditionalFormatting>
  <conditionalFormatting sqref="C6">
    <cfRule type="cellIs" dxfId="27412" priority="14097" stopIfTrue="1" operator="equal">
      <formula>"Towel"</formula>
    </cfRule>
  </conditionalFormatting>
  <conditionalFormatting sqref="C6">
    <cfRule type="cellIs" dxfId="27411" priority="14095" stopIfTrue="1" operator="equal">
      <formula>"Towel"</formula>
    </cfRule>
  </conditionalFormatting>
  <conditionalFormatting sqref="C6">
    <cfRule type="cellIs" dxfId="27410" priority="14096" stopIfTrue="1" operator="equal">
      <formula>"Napkin Hs"</formula>
    </cfRule>
  </conditionalFormatting>
  <conditionalFormatting sqref="B6">
    <cfRule type="cellIs" dxfId="27409" priority="13999" stopIfTrue="1" operator="equal">
      <formula>"Napkin Hs"</formula>
    </cfRule>
  </conditionalFormatting>
  <conditionalFormatting sqref="B6:C6">
    <cfRule type="cellIs" dxfId="27408" priority="13998" stopIfTrue="1" operator="equal">
      <formula>"Towel"</formula>
    </cfRule>
  </conditionalFormatting>
  <conditionalFormatting sqref="B6:C6">
    <cfRule type="cellIs" dxfId="27407" priority="14009" stopIfTrue="1" operator="equal">
      <formula>"Towel"</formula>
    </cfRule>
    <cfRule type="cellIs" dxfId="27406" priority="14010" stopIfTrue="1" operator="equal">
      <formula>"Napkin Hs"</formula>
    </cfRule>
    <cfRule type="cellIs" dxfId="27405" priority="14015" stopIfTrue="1" operator="equal">
      <formula>"Towel"</formula>
    </cfRule>
    <cfRule type="cellIs" dxfId="27404" priority="14016" stopIfTrue="1" operator="equal">
      <formula>"Napkin Hs"</formula>
    </cfRule>
    <cfRule type="cellIs" dxfId="27403" priority="14021" stopIfTrue="1" operator="equal">
      <formula>"Towel"</formula>
    </cfRule>
    <cfRule type="cellIs" dxfId="27402" priority="14022" stopIfTrue="1" operator="equal">
      <formula>"Napkin Hs"</formula>
    </cfRule>
    <cfRule type="cellIs" dxfId="27401" priority="14023" stopIfTrue="1" operator="equal">
      <formula>"Towel"</formula>
    </cfRule>
    <cfRule type="cellIs" dxfId="27400" priority="14024" stopIfTrue="1" operator="equal">
      <formula>"Napkin Hs"</formula>
    </cfRule>
    <cfRule type="cellIs" dxfId="27399" priority="14029" stopIfTrue="1" operator="equal">
      <formula>"Towel"</formula>
    </cfRule>
    <cfRule type="cellIs" dxfId="27398" priority="14030" stopIfTrue="1" operator="equal">
      <formula>"Napkin Hs"</formula>
    </cfRule>
    <cfRule type="cellIs" dxfId="27397" priority="14039" stopIfTrue="1" operator="equal">
      <formula>"Towel"</formula>
    </cfRule>
    <cfRule type="cellIs" dxfId="27396" priority="14040" stopIfTrue="1" operator="equal">
      <formula>"Napkin Hs"</formula>
    </cfRule>
    <cfRule type="cellIs" dxfId="27395" priority="14045" stopIfTrue="1" operator="equal">
      <formula>"Towel"</formula>
    </cfRule>
    <cfRule type="cellIs" dxfId="27394" priority="14046" stopIfTrue="1" operator="equal">
      <formula>"Napkin Hs"</formula>
    </cfRule>
    <cfRule type="cellIs" dxfId="27393" priority="14047" stopIfTrue="1" operator="equal">
      <formula>"Towel"</formula>
    </cfRule>
    <cfRule type="cellIs" dxfId="27392" priority="14048" stopIfTrue="1" operator="equal">
      <formula>"Napkin Hs"</formula>
    </cfRule>
    <cfRule type="cellIs" dxfId="27391" priority="14053" stopIfTrue="1" operator="equal">
      <formula>"Towel"</formula>
    </cfRule>
    <cfRule type="cellIs" dxfId="27390" priority="14054" stopIfTrue="1" operator="equal">
      <formula>"Napkin Hs"</formula>
    </cfRule>
    <cfRule type="cellIs" dxfId="27389" priority="14063" stopIfTrue="1" operator="equal">
      <formula>"Towel"</formula>
    </cfRule>
    <cfRule type="cellIs" dxfId="27388" priority="14064" stopIfTrue="1" operator="equal">
      <formula>"Napkin Hs"</formula>
    </cfRule>
    <cfRule type="cellIs" dxfId="27387" priority="14065" stopIfTrue="1" operator="equal">
      <formula>"Towel"</formula>
    </cfRule>
    <cfRule type="cellIs" dxfId="27386" priority="14066" stopIfTrue="1" operator="equal">
      <formula>"Napkin Hs"</formula>
    </cfRule>
    <cfRule type="cellIs" dxfId="27385" priority="14071" stopIfTrue="1" operator="equal">
      <formula>"Towel"</formula>
    </cfRule>
    <cfRule type="cellIs" dxfId="27384" priority="14072" stopIfTrue="1" operator="equal">
      <formula>"Napkin Hs"</formula>
    </cfRule>
    <cfRule type="cellIs" dxfId="27383" priority="14081" stopIfTrue="1" operator="equal">
      <formula>"Towel"</formula>
    </cfRule>
    <cfRule type="cellIs" dxfId="27382" priority="14082" stopIfTrue="1" operator="equal">
      <formula>"Napkin Hs"</formula>
    </cfRule>
    <cfRule type="cellIs" dxfId="27381" priority="14083" stopIfTrue="1" operator="equal">
      <formula>"Towel"</formula>
    </cfRule>
    <cfRule type="cellIs" dxfId="27380" priority="14084" stopIfTrue="1" operator="equal">
      <formula>"Napkin Hs"</formula>
    </cfRule>
    <cfRule type="cellIs" dxfId="27379" priority="14090" stopIfTrue="1" operator="equal">
      <formula>"Napkin Hs"</formula>
    </cfRule>
  </conditionalFormatting>
  <conditionalFormatting sqref="B6:C6">
    <cfRule type="cellIs" dxfId="27378" priority="14089" stopIfTrue="1" operator="equal">
      <formula>"Towel"</formula>
    </cfRule>
  </conditionalFormatting>
  <conditionalFormatting sqref="C6">
    <cfRule type="cellIs" dxfId="27377" priority="14000" stopIfTrue="1" operator="equal">
      <formula>"Napkin Hs"</formula>
    </cfRule>
    <cfRule type="cellIs" dxfId="27376" priority="14001" stopIfTrue="1" operator="equal">
      <formula>"Towel"</formula>
    </cfRule>
    <cfRule type="cellIs" dxfId="27375" priority="14002" stopIfTrue="1" operator="equal">
      <formula>"Napkin Hs"</formula>
    </cfRule>
    <cfRule type="cellIs" dxfId="27374" priority="14003" stopIfTrue="1" operator="equal">
      <formula>"Towel"</formula>
    </cfRule>
    <cfRule type="cellIs" dxfId="27373" priority="14004" stopIfTrue="1" operator="equal">
      <formula>"Napkin Hs"</formula>
    </cfRule>
    <cfRule type="cellIs" dxfId="27372" priority="14005" stopIfTrue="1" operator="equal">
      <formula>"Towel"</formula>
    </cfRule>
    <cfRule type="cellIs" dxfId="27371" priority="14006" stopIfTrue="1" operator="equal">
      <formula>"Napkin Hs"</formula>
    </cfRule>
    <cfRule type="cellIs" dxfId="27370" priority="14007" stopIfTrue="1" operator="equal">
      <formula>"Towel"</formula>
    </cfRule>
    <cfRule type="cellIs" dxfId="27369" priority="14008" stopIfTrue="1" operator="equal">
      <formula>"Napkin Hs"</formula>
    </cfRule>
    <cfRule type="cellIs" dxfId="27368" priority="14011" stopIfTrue="1" operator="equal">
      <formula>"Towel"</formula>
    </cfRule>
    <cfRule type="cellIs" dxfId="27367" priority="14012" stopIfTrue="1" operator="equal">
      <formula>"Napkin Hs"</formula>
    </cfRule>
    <cfRule type="cellIs" dxfId="27366" priority="14013" stopIfTrue="1" operator="equal">
      <formula>"Towel"</formula>
    </cfRule>
    <cfRule type="cellIs" dxfId="27365" priority="14014" stopIfTrue="1" operator="equal">
      <formula>"Napkin Hs"</formula>
    </cfRule>
    <cfRule type="cellIs" dxfId="27364" priority="14017" stopIfTrue="1" operator="equal">
      <formula>"Towel"</formula>
    </cfRule>
    <cfRule type="cellIs" dxfId="27363" priority="14018" stopIfTrue="1" operator="equal">
      <formula>"Napkin Hs"</formula>
    </cfRule>
    <cfRule type="cellIs" dxfId="27362" priority="14019" stopIfTrue="1" operator="equal">
      <formula>"Towel"</formula>
    </cfRule>
    <cfRule type="cellIs" dxfId="27361" priority="14020" stopIfTrue="1" operator="equal">
      <formula>"Napkin Hs"</formula>
    </cfRule>
    <cfRule type="cellIs" dxfId="27360" priority="14025" stopIfTrue="1" operator="equal">
      <formula>"Towel"</formula>
    </cfRule>
    <cfRule type="cellIs" dxfId="27359" priority="14026" stopIfTrue="1" operator="equal">
      <formula>"Napkin Hs"</formula>
    </cfRule>
    <cfRule type="cellIs" dxfId="27358" priority="14027" stopIfTrue="1" operator="equal">
      <formula>"Towel"</formula>
    </cfRule>
    <cfRule type="cellIs" dxfId="27357" priority="14028" stopIfTrue="1" operator="equal">
      <formula>"Napkin Hs"</formula>
    </cfRule>
    <cfRule type="cellIs" dxfId="27356" priority="14031" stopIfTrue="1" operator="equal">
      <formula>"Towel"</formula>
    </cfRule>
    <cfRule type="cellIs" dxfId="27355" priority="14032" stopIfTrue="1" operator="equal">
      <formula>"Napkin Hs"</formula>
    </cfRule>
    <cfRule type="cellIs" dxfId="27354" priority="14033" stopIfTrue="1" operator="equal">
      <formula>"Towel"</formula>
    </cfRule>
    <cfRule type="cellIs" dxfId="27353" priority="14034" stopIfTrue="1" operator="equal">
      <formula>"Napkin Hs"</formula>
    </cfRule>
    <cfRule type="cellIs" dxfId="27352" priority="14035" stopIfTrue="1" operator="equal">
      <formula>"Towel"</formula>
    </cfRule>
    <cfRule type="cellIs" dxfId="27351" priority="14036" stopIfTrue="1" operator="equal">
      <formula>"Napkin Hs"</formula>
    </cfRule>
    <cfRule type="cellIs" dxfId="27350" priority="14037" stopIfTrue="1" operator="equal">
      <formula>"Towel"</formula>
    </cfRule>
    <cfRule type="cellIs" dxfId="27349" priority="14038" stopIfTrue="1" operator="equal">
      <formula>"Napkin Hs"</formula>
    </cfRule>
    <cfRule type="cellIs" dxfId="27348" priority="14041" stopIfTrue="1" operator="equal">
      <formula>"Towel"</formula>
    </cfRule>
    <cfRule type="cellIs" dxfId="27347" priority="14042" stopIfTrue="1" operator="equal">
      <formula>"Napkin Hs"</formula>
    </cfRule>
    <cfRule type="cellIs" dxfId="27346" priority="14043" stopIfTrue="1" operator="equal">
      <formula>"Towel"</formula>
    </cfRule>
    <cfRule type="cellIs" dxfId="27345" priority="14044" stopIfTrue="1" operator="equal">
      <formula>"Napkin Hs"</formula>
    </cfRule>
    <cfRule type="cellIs" dxfId="27344" priority="14049" stopIfTrue="1" operator="equal">
      <formula>"Towel"</formula>
    </cfRule>
    <cfRule type="cellIs" dxfId="27343" priority="14050" stopIfTrue="1" operator="equal">
      <formula>"Napkin Hs"</formula>
    </cfRule>
    <cfRule type="cellIs" dxfId="27342" priority="14051" stopIfTrue="1" operator="equal">
      <formula>"Towel"</formula>
    </cfRule>
    <cfRule type="cellIs" dxfId="27341" priority="14052" stopIfTrue="1" operator="equal">
      <formula>"Napkin Hs"</formula>
    </cfRule>
    <cfRule type="cellIs" dxfId="27340" priority="14055" stopIfTrue="1" operator="equal">
      <formula>"Towel"</formula>
    </cfRule>
    <cfRule type="cellIs" dxfId="27339" priority="14056" stopIfTrue="1" operator="equal">
      <formula>"Napkin Hs"</formula>
    </cfRule>
    <cfRule type="cellIs" dxfId="27338" priority="14057" stopIfTrue="1" operator="equal">
      <formula>"Towel"</formula>
    </cfRule>
    <cfRule type="cellIs" dxfId="27337" priority="14058" stopIfTrue="1" operator="equal">
      <formula>"Napkin Hs"</formula>
    </cfRule>
    <cfRule type="cellIs" dxfId="27336" priority="14059" stopIfTrue="1" operator="equal">
      <formula>"Towel"</formula>
    </cfRule>
    <cfRule type="cellIs" dxfId="27335" priority="14060" stopIfTrue="1" operator="equal">
      <formula>"Napkin Hs"</formula>
    </cfRule>
    <cfRule type="cellIs" dxfId="27334" priority="14061" stopIfTrue="1" operator="equal">
      <formula>"Towel"</formula>
    </cfRule>
    <cfRule type="cellIs" dxfId="27333" priority="14062" stopIfTrue="1" operator="equal">
      <formula>"Napkin Hs"</formula>
    </cfRule>
    <cfRule type="cellIs" dxfId="27332" priority="14067" stopIfTrue="1" operator="equal">
      <formula>"Towel"</formula>
    </cfRule>
    <cfRule type="cellIs" dxfId="27331" priority="14068" stopIfTrue="1" operator="equal">
      <formula>"Napkin Hs"</formula>
    </cfRule>
    <cfRule type="cellIs" dxfId="27330" priority="14069" stopIfTrue="1" operator="equal">
      <formula>"Towel"</formula>
    </cfRule>
    <cfRule type="cellIs" dxfId="27329" priority="14070" stopIfTrue="1" operator="equal">
      <formula>"Napkin Hs"</formula>
    </cfRule>
    <cfRule type="cellIs" dxfId="27328" priority="14073" stopIfTrue="1" operator="equal">
      <formula>"Towel"</formula>
    </cfRule>
    <cfRule type="cellIs" dxfId="27327" priority="14074" stopIfTrue="1" operator="equal">
      <formula>"Napkin Hs"</formula>
    </cfRule>
    <cfRule type="cellIs" dxfId="27326" priority="14075" stopIfTrue="1" operator="equal">
      <formula>"Towel"</formula>
    </cfRule>
    <cfRule type="cellIs" dxfId="27325" priority="14076" stopIfTrue="1" operator="equal">
      <formula>"Napkin Hs"</formula>
    </cfRule>
    <cfRule type="cellIs" dxfId="27324" priority="14077" stopIfTrue="1" operator="equal">
      <formula>"Towel"</formula>
    </cfRule>
    <cfRule type="cellIs" dxfId="27323" priority="14078" stopIfTrue="1" operator="equal">
      <formula>"Napkin Hs"</formula>
    </cfRule>
    <cfRule type="cellIs" dxfId="27322" priority="14079" stopIfTrue="1" operator="equal">
      <formula>"Towel"</formula>
    </cfRule>
    <cfRule type="cellIs" dxfId="27321" priority="14080" stopIfTrue="1" operator="equal">
      <formula>"Napkin Hs"</formula>
    </cfRule>
    <cfRule type="cellIs" dxfId="27320" priority="14085" stopIfTrue="1" operator="equal">
      <formula>"Towel"</formula>
    </cfRule>
    <cfRule type="cellIs" dxfId="27319" priority="14086" stopIfTrue="1" operator="equal">
      <formula>"Napkin Hs"</formula>
    </cfRule>
    <cfRule type="cellIs" dxfId="27318" priority="14087" stopIfTrue="1" operator="equal">
      <formula>"Towel"</formula>
    </cfRule>
    <cfRule type="cellIs" dxfId="27317" priority="14088" stopIfTrue="1" operator="equal">
      <formula>"Napkin Hs"</formula>
    </cfRule>
    <cfRule type="cellIs" dxfId="27316" priority="14091" stopIfTrue="1" operator="equal">
      <formula>"Towel"</formula>
    </cfRule>
    <cfRule type="cellIs" dxfId="27315" priority="14092" stopIfTrue="1" operator="equal">
      <formula>"Napkin Hs"</formula>
    </cfRule>
    <cfRule type="cellIs" dxfId="27314" priority="14093" stopIfTrue="1" operator="equal">
      <formula>"Towel"</formula>
    </cfRule>
    <cfRule type="cellIs" dxfId="27313" priority="14094" stopIfTrue="1" operator="equal">
      <formula>"Napkin Hs"</formula>
    </cfRule>
  </conditionalFormatting>
  <conditionalFormatting sqref="B8:C8">
    <cfRule type="cellIs" dxfId="27312" priority="13974" stopIfTrue="1" operator="equal">
      <formula>"Towel"</formula>
    </cfRule>
  </conditionalFormatting>
  <conditionalFormatting sqref="B8:C8">
    <cfRule type="cellIs" dxfId="27311" priority="13975" stopIfTrue="1" operator="equal">
      <formula>"Napkin Hs"</formula>
    </cfRule>
    <cfRule type="cellIs" dxfId="27310" priority="13980" stopIfTrue="1" operator="equal">
      <formula>"Towel"</formula>
    </cfRule>
    <cfRule type="cellIs" dxfId="27309" priority="13981" stopIfTrue="1" operator="equal">
      <formula>"Napkin Hs"</formula>
    </cfRule>
    <cfRule type="cellIs" dxfId="27308" priority="13990" stopIfTrue="1" operator="equal">
      <formula>"Towel"</formula>
    </cfRule>
    <cfRule type="cellIs" dxfId="27307" priority="13991" stopIfTrue="1" operator="equal">
      <formula>"Napkin Hs"</formula>
    </cfRule>
    <cfRule type="cellIs" dxfId="27306" priority="13996" stopIfTrue="1" operator="equal">
      <formula>"Towel"</formula>
    </cfRule>
    <cfRule type="cellIs" dxfId="27305" priority="13997" stopIfTrue="1" operator="equal">
      <formula>"Napkin Hs"</formula>
    </cfRule>
  </conditionalFormatting>
  <conditionalFormatting sqref="C8">
    <cfRule type="cellIs" dxfId="27304" priority="13976" stopIfTrue="1" operator="equal">
      <formula>"Towel"</formula>
    </cfRule>
    <cfRule type="cellIs" dxfId="27303" priority="13977" stopIfTrue="1" operator="equal">
      <formula>"Napkin Hs"</formula>
    </cfRule>
    <cfRule type="cellIs" dxfId="27302" priority="13978" stopIfTrue="1" operator="equal">
      <formula>"Towel"</formula>
    </cfRule>
    <cfRule type="cellIs" dxfId="27301" priority="13979" stopIfTrue="1" operator="equal">
      <formula>"Napkin Hs"</formula>
    </cfRule>
    <cfRule type="cellIs" dxfId="27300" priority="13982" stopIfTrue="1" operator="equal">
      <formula>"Towel"</formula>
    </cfRule>
    <cfRule type="cellIs" dxfId="27299" priority="13983" stopIfTrue="1" operator="equal">
      <formula>"Napkin Hs"</formula>
    </cfRule>
    <cfRule type="cellIs" dxfId="27298" priority="13984" stopIfTrue="1" operator="equal">
      <formula>"Towel"</formula>
    </cfRule>
    <cfRule type="cellIs" dxfId="27297" priority="13985" stopIfTrue="1" operator="equal">
      <formula>"Napkin Hs"</formula>
    </cfRule>
    <cfRule type="cellIs" dxfId="27296" priority="13986" stopIfTrue="1" operator="equal">
      <formula>"Towel"</formula>
    </cfRule>
    <cfRule type="cellIs" dxfId="27295" priority="13987" stopIfTrue="1" operator="equal">
      <formula>"Napkin Hs"</formula>
    </cfRule>
    <cfRule type="cellIs" dxfId="27294" priority="13988" stopIfTrue="1" operator="equal">
      <formula>"Towel"</formula>
    </cfRule>
    <cfRule type="cellIs" dxfId="27293" priority="13989" stopIfTrue="1" operator="equal">
      <formula>"Napkin Hs"</formula>
    </cfRule>
    <cfRule type="cellIs" dxfId="27292" priority="13992" stopIfTrue="1" operator="equal">
      <formula>"Towel"</formula>
    </cfRule>
    <cfRule type="cellIs" dxfId="27291" priority="13993" stopIfTrue="1" operator="equal">
      <formula>"Napkin Hs"</formula>
    </cfRule>
    <cfRule type="cellIs" dxfId="27290" priority="13995" stopIfTrue="1" operator="equal">
      <formula>"Napkin Hs"</formula>
    </cfRule>
  </conditionalFormatting>
  <conditionalFormatting sqref="C8">
    <cfRule type="cellIs" dxfId="27289" priority="13994" stopIfTrue="1" operator="equal">
      <formula>"Towel"</formula>
    </cfRule>
  </conditionalFormatting>
  <conditionalFormatting sqref="B8:C8">
    <cfRule type="cellIs" dxfId="27288" priority="13972" stopIfTrue="1" operator="equal">
      <formula>"Towel"</formula>
    </cfRule>
    <cfRule type="cellIs" dxfId="27287" priority="13973" stopIfTrue="1" operator="equal">
      <formula>"Napkin Hs"</formula>
    </cfRule>
  </conditionalFormatting>
  <conditionalFormatting sqref="C8">
    <cfRule type="cellIs" dxfId="27286" priority="13971" stopIfTrue="1" operator="equal">
      <formula>"Napkin Hs"</formula>
    </cfRule>
  </conditionalFormatting>
  <conditionalFormatting sqref="C8">
    <cfRule type="cellIs" dxfId="27285" priority="13970" stopIfTrue="1" operator="equal">
      <formula>"Towel"</formula>
    </cfRule>
  </conditionalFormatting>
  <conditionalFormatting sqref="C8">
    <cfRule type="cellIs" dxfId="27284" priority="13968" stopIfTrue="1" operator="equal">
      <formula>"Towel"</formula>
    </cfRule>
  </conditionalFormatting>
  <conditionalFormatting sqref="C8">
    <cfRule type="cellIs" dxfId="27283" priority="13969" stopIfTrue="1" operator="equal">
      <formula>"Napkin Hs"</formula>
    </cfRule>
  </conditionalFormatting>
  <conditionalFormatting sqref="B8">
    <cfRule type="cellIs" dxfId="27282" priority="13872" stopIfTrue="1" operator="equal">
      <formula>"Napkin Hs"</formula>
    </cfRule>
  </conditionalFormatting>
  <conditionalFormatting sqref="B8:C8">
    <cfRule type="cellIs" dxfId="27281" priority="13871" stopIfTrue="1" operator="equal">
      <formula>"Towel"</formula>
    </cfRule>
  </conditionalFormatting>
  <conditionalFormatting sqref="B8:C8">
    <cfRule type="cellIs" dxfId="27280" priority="13882" stopIfTrue="1" operator="equal">
      <formula>"Towel"</formula>
    </cfRule>
    <cfRule type="cellIs" dxfId="27279" priority="13883" stopIfTrue="1" operator="equal">
      <formula>"Napkin Hs"</formula>
    </cfRule>
    <cfRule type="cellIs" dxfId="27278" priority="13888" stopIfTrue="1" operator="equal">
      <formula>"Towel"</formula>
    </cfRule>
    <cfRule type="cellIs" dxfId="27277" priority="13889" stopIfTrue="1" operator="equal">
      <formula>"Napkin Hs"</formula>
    </cfRule>
    <cfRule type="cellIs" dxfId="27276" priority="13894" stopIfTrue="1" operator="equal">
      <formula>"Towel"</formula>
    </cfRule>
    <cfRule type="cellIs" dxfId="27275" priority="13895" stopIfTrue="1" operator="equal">
      <formula>"Napkin Hs"</formula>
    </cfRule>
    <cfRule type="cellIs" dxfId="27274" priority="13896" stopIfTrue="1" operator="equal">
      <formula>"Towel"</formula>
    </cfRule>
    <cfRule type="cellIs" dxfId="27273" priority="13897" stopIfTrue="1" operator="equal">
      <formula>"Napkin Hs"</formula>
    </cfRule>
    <cfRule type="cellIs" dxfId="27272" priority="13902" stopIfTrue="1" operator="equal">
      <formula>"Towel"</formula>
    </cfRule>
    <cfRule type="cellIs" dxfId="27271" priority="13903" stopIfTrue="1" operator="equal">
      <formula>"Napkin Hs"</formula>
    </cfRule>
    <cfRule type="cellIs" dxfId="27270" priority="13912" stopIfTrue="1" operator="equal">
      <formula>"Towel"</formula>
    </cfRule>
    <cfRule type="cellIs" dxfId="27269" priority="13913" stopIfTrue="1" operator="equal">
      <formula>"Napkin Hs"</formula>
    </cfRule>
    <cfRule type="cellIs" dxfId="27268" priority="13918" stopIfTrue="1" operator="equal">
      <formula>"Towel"</formula>
    </cfRule>
    <cfRule type="cellIs" dxfId="27267" priority="13919" stopIfTrue="1" operator="equal">
      <formula>"Napkin Hs"</formula>
    </cfRule>
    <cfRule type="cellIs" dxfId="27266" priority="13920" stopIfTrue="1" operator="equal">
      <formula>"Towel"</formula>
    </cfRule>
    <cfRule type="cellIs" dxfId="27265" priority="13921" stopIfTrue="1" operator="equal">
      <formula>"Napkin Hs"</formula>
    </cfRule>
    <cfRule type="cellIs" dxfId="27264" priority="13926" stopIfTrue="1" operator="equal">
      <formula>"Towel"</formula>
    </cfRule>
    <cfRule type="cellIs" dxfId="27263" priority="13927" stopIfTrue="1" operator="equal">
      <formula>"Napkin Hs"</formula>
    </cfRule>
    <cfRule type="cellIs" dxfId="27262" priority="13936" stopIfTrue="1" operator="equal">
      <formula>"Towel"</formula>
    </cfRule>
    <cfRule type="cellIs" dxfId="27261" priority="13937" stopIfTrue="1" operator="equal">
      <formula>"Napkin Hs"</formula>
    </cfRule>
    <cfRule type="cellIs" dxfId="27260" priority="13938" stopIfTrue="1" operator="equal">
      <formula>"Towel"</formula>
    </cfRule>
    <cfRule type="cellIs" dxfId="27259" priority="13939" stopIfTrue="1" operator="equal">
      <formula>"Napkin Hs"</formula>
    </cfRule>
    <cfRule type="cellIs" dxfId="27258" priority="13944" stopIfTrue="1" operator="equal">
      <formula>"Towel"</formula>
    </cfRule>
    <cfRule type="cellIs" dxfId="27257" priority="13945" stopIfTrue="1" operator="equal">
      <formula>"Napkin Hs"</formula>
    </cfRule>
    <cfRule type="cellIs" dxfId="27256" priority="13954" stopIfTrue="1" operator="equal">
      <formula>"Towel"</formula>
    </cfRule>
    <cfRule type="cellIs" dxfId="27255" priority="13955" stopIfTrue="1" operator="equal">
      <formula>"Napkin Hs"</formula>
    </cfRule>
    <cfRule type="cellIs" dxfId="27254" priority="13956" stopIfTrue="1" operator="equal">
      <formula>"Towel"</formula>
    </cfRule>
    <cfRule type="cellIs" dxfId="27253" priority="13957" stopIfTrue="1" operator="equal">
      <formula>"Napkin Hs"</formula>
    </cfRule>
    <cfRule type="cellIs" dxfId="27252" priority="13963" stopIfTrue="1" operator="equal">
      <formula>"Napkin Hs"</formula>
    </cfRule>
  </conditionalFormatting>
  <conditionalFormatting sqref="B8:C8">
    <cfRule type="cellIs" dxfId="27251" priority="13962" stopIfTrue="1" operator="equal">
      <formula>"Towel"</formula>
    </cfRule>
  </conditionalFormatting>
  <conditionalFormatting sqref="C8">
    <cfRule type="cellIs" dxfId="27250" priority="13873" stopIfTrue="1" operator="equal">
      <formula>"Napkin Hs"</formula>
    </cfRule>
    <cfRule type="cellIs" dxfId="27249" priority="13874" stopIfTrue="1" operator="equal">
      <formula>"Towel"</formula>
    </cfRule>
    <cfRule type="cellIs" dxfId="27248" priority="13875" stopIfTrue="1" operator="equal">
      <formula>"Napkin Hs"</formula>
    </cfRule>
    <cfRule type="cellIs" dxfId="27247" priority="13876" stopIfTrue="1" operator="equal">
      <formula>"Towel"</formula>
    </cfRule>
    <cfRule type="cellIs" dxfId="27246" priority="13877" stopIfTrue="1" operator="equal">
      <formula>"Napkin Hs"</formula>
    </cfRule>
    <cfRule type="cellIs" dxfId="27245" priority="13878" stopIfTrue="1" operator="equal">
      <formula>"Towel"</formula>
    </cfRule>
    <cfRule type="cellIs" dxfId="27244" priority="13879" stopIfTrue="1" operator="equal">
      <formula>"Napkin Hs"</formula>
    </cfRule>
    <cfRule type="cellIs" dxfId="27243" priority="13880" stopIfTrue="1" operator="equal">
      <formula>"Towel"</formula>
    </cfRule>
    <cfRule type="cellIs" dxfId="27242" priority="13881" stopIfTrue="1" operator="equal">
      <formula>"Napkin Hs"</formula>
    </cfRule>
    <cfRule type="cellIs" dxfId="27241" priority="13884" stopIfTrue="1" operator="equal">
      <formula>"Towel"</formula>
    </cfRule>
    <cfRule type="cellIs" dxfId="27240" priority="13885" stopIfTrue="1" operator="equal">
      <formula>"Napkin Hs"</formula>
    </cfRule>
    <cfRule type="cellIs" dxfId="27239" priority="13886" stopIfTrue="1" operator="equal">
      <formula>"Towel"</formula>
    </cfRule>
    <cfRule type="cellIs" dxfId="27238" priority="13887" stopIfTrue="1" operator="equal">
      <formula>"Napkin Hs"</formula>
    </cfRule>
    <cfRule type="cellIs" dxfId="27237" priority="13890" stopIfTrue="1" operator="equal">
      <formula>"Towel"</formula>
    </cfRule>
    <cfRule type="cellIs" dxfId="27236" priority="13891" stopIfTrue="1" operator="equal">
      <formula>"Napkin Hs"</formula>
    </cfRule>
    <cfRule type="cellIs" dxfId="27235" priority="13892" stopIfTrue="1" operator="equal">
      <formula>"Towel"</formula>
    </cfRule>
    <cfRule type="cellIs" dxfId="27234" priority="13893" stopIfTrue="1" operator="equal">
      <formula>"Napkin Hs"</formula>
    </cfRule>
    <cfRule type="cellIs" dxfId="27233" priority="13898" stopIfTrue="1" operator="equal">
      <formula>"Towel"</formula>
    </cfRule>
    <cfRule type="cellIs" dxfId="27232" priority="13899" stopIfTrue="1" operator="equal">
      <formula>"Napkin Hs"</formula>
    </cfRule>
    <cfRule type="cellIs" dxfId="27231" priority="13900" stopIfTrue="1" operator="equal">
      <formula>"Towel"</formula>
    </cfRule>
    <cfRule type="cellIs" dxfId="27230" priority="13901" stopIfTrue="1" operator="equal">
      <formula>"Napkin Hs"</formula>
    </cfRule>
    <cfRule type="cellIs" dxfId="27229" priority="13904" stopIfTrue="1" operator="equal">
      <formula>"Towel"</formula>
    </cfRule>
    <cfRule type="cellIs" dxfId="27228" priority="13905" stopIfTrue="1" operator="equal">
      <formula>"Napkin Hs"</formula>
    </cfRule>
    <cfRule type="cellIs" dxfId="27227" priority="13906" stopIfTrue="1" operator="equal">
      <formula>"Towel"</formula>
    </cfRule>
    <cfRule type="cellIs" dxfId="27226" priority="13907" stopIfTrue="1" operator="equal">
      <formula>"Napkin Hs"</formula>
    </cfRule>
    <cfRule type="cellIs" dxfId="27225" priority="13908" stopIfTrue="1" operator="equal">
      <formula>"Towel"</formula>
    </cfRule>
    <cfRule type="cellIs" dxfId="27224" priority="13909" stopIfTrue="1" operator="equal">
      <formula>"Napkin Hs"</formula>
    </cfRule>
    <cfRule type="cellIs" dxfId="27223" priority="13910" stopIfTrue="1" operator="equal">
      <formula>"Towel"</formula>
    </cfRule>
    <cfRule type="cellIs" dxfId="27222" priority="13911" stopIfTrue="1" operator="equal">
      <formula>"Napkin Hs"</formula>
    </cfRule>
    <cfRule type="cellIs" dxfId="27221" priority="13914" stopIfTrue="1" operator="equal">
      <formula>"Towel"</formula>
    </cfRule>
    <cfRule type="cellIs" dxfId="27220" priority="13915" stopIfTrue="1" operator="equal">
      <formula>"Napkin Hs"</formula>
    </cfRule>
    <cfRule type="cellIs" dxfId="27219" priority="13916" stopIfTrue="1" operator="equal">
      <formula>"Towel"</formula>
    </cfRule>
    <cfRule type="cellIs" dxfId="27218" priority="13917" stopIfTrue="1" operator="equal">
      <formula>"Napkin Hs"</formula>
    </cfRule>
    <cfRule type="cellIs" dxfId="27217" priority="13922" stopIfTrue="1" operator="equal">
      <formula>"Towel"</formula>
    </cfRule>
    <cfRule type="cellIs" dxfId="27216" priority="13923" stopIfTrue="1" operator="equal">
      <formula>"Napkin Hs"</formula>
    </cfRule>
    <cfRule type="cellIs" dxfId="27215" priority="13924" stopIfTrue="1" operator="equal">
      <formula>"Towel"</formula>
    </cfRule>
    <cfRule type="cellIs" dxfId="27214" priority="13925" stopIfTrue="1" operator="equal">
      <formula>"Napkin Hs"</formula>
    </cfRule>
    <cfRule type="cellIs" dxfId="27213" priority="13928" stopIfTrue="1" operator="equal">
      <formula>"Towel"</formula>
    </cfRule>
    <cfRule type="cellIs" dxfId="27212" priority="13929" stopIfTrue="1" operator="equal">
      <formula>"Napkin Hs"</formula>
    </cfRule>
    <cfRule type="cellIs" dxfId="27211" priority="13930" stopIfTrue="1" operator="equal">
      <formula>"Towel"</formula>
    </cfRule>
    <cfRule type="cellIs" dxfId="27210" priority="13931" stopIfTrue="1" operator="equal">
      <formula>"Napkin Hs"</formula>
    </cfRule>
    <cfRule type="cellIs" dxfId="27209" priority="13932" stopIfTrue="1" operator="equal">
      <formula>"Towel"</formula>
    </cfRule>
    <cfRule type="cellIs" dxfId="27208" priority="13933" stopIfTrue="1" operator="equal">
      <formula>"Napkin Hs"</formula>
    </cfRule>
    <cfRule type="cellIs" dxfId="27207" priority="13934" stopIfTrue="1" operator="equal">
      <formula>"Towel"</formula>
    </cfRule>
    <cfRule type="cellIs" dxfId="27206" priority="13935" stopIfTrue="1" operator="equal">
      <formula>"Napkin Hs"</formula>
    </cfRule>
    <cfRule type="cellIs" dxfId="27205" priority="13940" stopIfTrue="1" operator="equal">
      <formula>"Towel"</formula>
    </cfRule>
    <cfRule type="cellIs" dxfId="27204" priority="13941" stopIfTrue="1" operator="equal">
      <formula>"Napkin Hs"</formula>
    </cfRule>
    <cfRule type="cellIs" dxfId="27203" priority="13942" stopIfTrue="1" operator="equal">
      <formula>"Towel"</formula>
    </cfRule>
    <cfRule type="cellIs" dxfId="27202" priority="13943" stopIfTrue="1" operator="equal">
      <formula>"Napkin Hs"</formula>
    </cfRule>
    <cfRule type="cellIs" dxfId="27201" priority="13946" stopIfTrue="1" operator="equal">
      <formula>"Towel"</formula>
    </cfRule>
    <cfRule type="cellIs" dxfId="27200" priority="13947" stopIfTrue="1" operator="equal">
      <formula>"Napkin Hs"</formula>
    </cfRule>
    <cfRule type="cellIs" dxfId="27199" priority="13948" stopIfTrue="1" operator="equal">
      <formula>"Towel"</formula>
    </cfRule>
    <cfRule type="cellIs" dxfId="27198" priority="13949" stopIfTrue="1" operator="equal">
      <formula>"Napkin Hs"</formula>
    </cfRule>
    <cfRule type="cellIs" dxfId="27197" priority="13950" stopIfTrue="1" operator="equal">
      <formula>"Towel"</formula>
    </cfRule>
    <cfRule type="cellIs" dxfId="27196" priority="13951" stopIfTrue="1" operator="equal">
      <formula>"Napkin Hs"</formula>
    </cfRule>
    <cfRule type="cellIs" dxfId="27195" priority="13952" stopIfTrue="1" operator="equal">
      <formula>"Towel"</formula>
    </cfRule>
    <cfRule type="cellIs" dxfId="27194" priority="13953" stopIfTrue="1" operator="equal">
      <formula>"Napkin Hs"</formula>
    </cfRule>
    <cfRule type="cellIs" dxfId="27193" priority="13958" stopIfTrue="1" operator="equal">
      <formula>"Towel"</formula>
    </cfRule>
    <cfRule type="cellIs" dxfId="27192" priority="13959" stopIfTrue="1" operator="equal">
      <formula>"Napkin Hs"</formula>
    </cfRule>
    <cfRule type="cellIs" dxfId="27191" priority="13960" stopIfTrue="1" operator="equal">
      <formula>"Towel"</formula>
    </cfRule>
    <cfRule type="cellIs" dxfId="27190" priority="13961" stopIfTrue="1" operator="equal">
      <formula>"Napkin Hs"</formula>
    </cfRule>
    <cfRule type="cellIs" dxfId="27189" priority="13964" stopIfTrue="1" operator="equal">
      <formula>"Towel"</formula>
    </cfRule>
    <cfRule type="cellIs" dxfId="27188" priority="13965" stopIfTrue="1" operator="equal">
      <formula>"Napkin Hs"</formula>
    </cfRule>
    <cfRule type="cellIs" dxfId="27187" priority="13966" stopIfTrue="1" operator="equal">
      <formula>"Towel"</formula>
    </cfRule>
    <cfRule type="cellIs" dxfId="27186" priority="13967" stopIfTrue="1" operator="equal">
      <formula>"Napkin Hs"</formula>
    </cfRule>
  </conditionalFormatting>
  <conditionalFormatting sqref="B14:C14">
    <cfRule type="cellIs" dxfId="27185" priority="13847" stopIfTrue="1" operator="equal">
      <formula>"Towel"</formula>
    </cfRule>
  </conditionalFormatting>
  <conditionalFormatting sqref="B14:C14">
    <cfRule type="cellIs" dxfId="27184" priority="13848" stopIfTrue="1" operator="equal">
      <formula>"Napkin Hs"</formula>
    </cfRule>
    <cfRule type="cellIs" dxfId="27183" priority="13853" stopIfTrue="1" operator="equal">
      <formula>"Towel"</formula>
    </cfRule>
    <cfRule type="cellIs" dxfId="27182" priority="13854" stopIfTrue="1" operator="equal">
      <formula>"Napkin Hs"</formula>
    </cfRule>
    <cfRule type="cellIs" dxfId="27181" priority="13863" stopIfTrue="1" operator="equal">
      <formula>"Towel"</formula>
    </cfRule>
    <cfRule type="cellIs" dxfId="27180" priority="13864" stopIfTrue="1" operator="equal">
      <formula>"Napkin Hs"</formula>
    </cfRule>
    <cfRule type="cellIs" dxfId="27179" priority="13869" stopIfTrue="1" operator="equal">
      <formula>"Towel"</formula>
    </cfRule>
    <cfRule type="cellIs" dxfId="27178" priority="13870" stopIfTrue="1" operator="equal">
      <formula>"Napkin Hs"</formula>
    </cfRule>
  </conditionalFormatting>
  <conditionalFormatting sqref="C14">
    <cfRule type="cellIs" dxfId="27177" priority="13849" stopIfTrue="1" operator="equal">
      <formula>"Towel"</formula>
    </cfRule>
    <cfRule type="cellIs" dxfId="27176" priority="13850" stopIfTrue="1" operator="equal">
      <formula>"Napkin Hs"</formula>
    </cfRule>
    <cfRule type="cellIs" dxfId="27175" priority="13851" stopIfTrue="1" operator="equal">
      <formula>"Towel"</formula>
    </cfRule>
    <cfRule type="cellIs" dxfId="27174" priority="13852" stopIfTrue="1" operator="equal">
      <formula>"Napkin Hs"</formula>
    </cfRule>
    <cfRule type="cellIs" dxfId="27173" priority="13855" stopIfTrue="1" operator="equal">
      <formula>"Towel"</formula>
    </cfRule>
    <cfRule type="cellIs" dxfId="27172" priority="13856" stopIfTrue="1" operator="equal">
      <formula>"Napkin Hs"</formula>
    </cfRule>
    <cfRule type="cellIs" dxfId="27171" priority="13857" stopIfTrue="1" operator="equal">
      <formula>"Towel"</formula>
    </cfRule>
    <cfRule type="cellIs" dxfId="27170" priority="13858" stopIfTrue="1" operator="equal">
      <formula>"Napkin Hs"</formula>
    </cfRule>
    <cfRule type="cellIs" dxfId="27169" priority="13859" stopIfTrue="1" operator="equal">
      <formula>"Towel"</formula>
    </cfRule>
    <cfRule type="cellIs" dxfId="27168" priority="13860" stopIfTrue="1" operator="equal">
      <formula>"Napkin Hs"</formula>
    </cfRule>
    <cfRule type="cellIs" dxfId="27167" priority="13861" stopIfTrue="1" operator="equal">
      <formula>"Towel"</formula>
    </cfRule>
    <cfRule type="cellIs" dxfId="27166" priority="13862" stopIfTrue="1" operator="equal">
      <formula>"Napkin Hs"</formula>
    </cfRule>
    <cfRule type="cellIs" dxfId="27165" priority="13865" stopIfTrue="1" operator="equal">
      <formula>"Towel"</formula>
    </cfRule>
    <cfRule type="cellIs" dxfId="27164" priority="13866" stopIfTrue="1" operator="equal">
      <formula>"Napkin Hs"</formula>
    </cfRule>
    <cfRule type="cellIs" dxfId="27163" priority="13868" stopIfTrue="1" operator="equal">
      <formula>"Napkin Hs"</formula>
    </cfRule>
  </conditionalFormatting>
  <conditionalFormatting sqref="C14">
    <cfRule type="cellIs" dxfId="27162" priority="13867" stopIfTrue="1" operator="equal">
      <formula>"Towel"</formula>
    </cfRule>
  </conditionalFormatting>
  <conditionalFormatting sqref="B14:C14">
    <cfRule type="cellIs" dxfId="27161" priority="13845" stopIfTrue="1" operator="equal">
      <formula>"Towel"</formula>
    </cfRule>
    <cfRule type="cellIs" dxfId="27160" priority="13846" stopIfTrue="1" operator="equal">
      <formula>"Napkin Hs"</formula>
    </cfRule>
  </conditionalFormatting>
  <conditionalFormatting sqref="C14">
    <cfRule type="cellIs" dxfId="27159" priority="13844" stopIfTrue="1" operator="equal">
      <formula>"Napkin Hs"</formula>
    </cfRule>
  </conditionalFormatting>
  <conditionalFormatting sqref="C14">
    <cfRule type="cellIs" dxfId="27158" priority="13843" stopIfTrue="1" operator="equal">
      <formula>"Towel"</formula>
    </cfRule>
  </conditionalFormatting>
  <conditionalFormatting sqref="C14">
    <cfRule type="cellIs" dxfId="27157" priority="13841" stopIfTrue="1" operator="equal">
      <formula>"Towel"</formula>
    </cfRule>
  </conditionalFormatting>
  <conditionalFormatting sqref="C14">
    <cfRule type="cellIs" dxfId="27156" priority="13842" stopIfTrue="1" operator="equal">
      <formula>"Napkin Hs"</formula>
    </cfRule>
  </conditionalFormatting>
  <conditionalFormatting sqref="B14">
    <cfRule type="cellIs" dxfId="27155" priority="13745" stopIfTrue="1" operator="equal">
      <formula>"Napkin Hs"</formula>
    </cfRule>
  </conditionalFormatting>
  <conditionalFormatting sqref="B14:C14">
    <cfRule type="cellIs" dxfId="27154" priority="13744" stopIfTrue="1" operator="equal">
      <formula>"Towel"</formula>
    </cfRule>
  </conditionalFormatting>
  <conditionalFormatting sqref="B14:C14">
    <cfRule type="cellIs" dxfId="27153" priority="13755" stopIfTrue="1" operator="equal">
      <formula>"Towel"</formula>
    </cfRule>
    <cfRule type="cellIs" dxfId="27152" priority="13756" stopIfTrue="1" operator="equal">
      <formula>"Napkin Hs"</formula>
    </cfRule>
    <cfRule type="cellIs" dxfId="27151" priority="13761" stopIfTrue="1" operator="equal">
      <formula>"Towel"</formula>
    </cfRule>
    <cfRule type="cellIs" dxfId="27150" priority="13762" stopIfTrue="1" operator="equal">
      <formula>"Napkin Hs"</formula>
    </cfRule>
    <cfRule type="cellIs" dxfId="27149" priority="13767" stopIfTrue="1" operator="equal">
      <formula>"Towel"</formula>
    </cfRule>
    <cfRule type="cellIs" dxfId="27148" priority="13768" stopIfTrue="1" operator="equal">
      <formula>"Napkin Hs"</formula>
    </cfRule>
    <cfRule type="cellIs" dxfId="27147" priority="13769" stopIfTrue="1" operator="equal">
      <formula>"Towel"</formula>
    </cfRule>
    <cfRule type="cellIs" dxfId="27146" priority="13770" stopIfTrue="1" operator="equal">
      <formula>"Napkin Hs"</formula>
    </cfRule>
    <cfRule type="cellIs" dxfId="27145" priority="13775" stopIfTrue="1" operator="equal">
      <formula>"Towel"</formula>
    </cfRule>
    <cfRule type="cellIs" dxfId="27144" priority="13776" stopIfTrue="1" operator="equal">
      <formula>"Napkin Hs"</formula>
    </cfRule>
    <cfRule type="cellIs" dxfId="27143" priority="13785" stopIfTrue="1" operator="equal">
      <formula>"Towel"</formula>
    </cfRule>
    <cfRule type="cellIs" dxfId="27142" priority="13786" stopIfTrue="1" operator="equal">
      <formula>"Napkin Hs"</formula>
    </cfRule>
    <cfRule type="cellIs" dxfId="27141" priority="13791" stopIfTrue="1" operator="equal">
      <formula>"Towel"</formula>
    </cfRule>
    <cfRule type="cellIs" dxfId="27140" priority="13792" stopIfTrue="1" operator="equal">
      <formula>"Napkin Hs"</formula>
    </cfRule>
    <cfRule type="cellIs" dxfId="27139" priority="13793" stopIfTrue="1" operator="equal">
      <formula>"Towel"</formula>
    </cfRule>
    <cfRule type="cellIs" dxfId="27138" priority="13794" stopIfTrue="1" operator="equal">
      <formula>"Napkin Hs"</formula>
    </cfRule>
    <cfRule type="cellIs" dxfId="27137" priority="13799" stopIfTrue="1" operator="equal">
      <formula>"Towel"</formula>
    </cfRule>
    <cfRule type="cellIs" dxfId="27136" priority="13800" stopIfTrue="1" operator="equal">
      <formula>"Napkin Hs"</formula>
    </cfRule>
    <cfRule type="cellIs" dxfId="27135" priority="13809" stopIfTrue="1" operator="equal">
      <formula>"Towel"</formula>
    </cfRule>
    <cfRule type="cellIs" dxfId="27134" priority="13810" stopIfTrue="1" operator="equal">
      <formula>"Napkin Hs"</formula>
    </cfRule>
    <cfRule type="cellIs" dxfId="27133" priority="13811" stopIfTrue="1" operator="equal">
      <formula>"Towel"</formula>
    </cfRule>
    <cfRule type="cellIs" dxfId="27132" priority="13812" stopIfTrue="1" operator="equal">
      <formula>"Napkin Hs"</formula>
    </cfRule>
    <cfRule type="cellIs" dxfId="27131" priority="13817" stopIfTrue="1" operator="equal">
      <formula>"Towel"</formula>
    </cfRule>
    <cfRule type="cellIs" dxfId="27130" priority="13818" stopIfTrue="1" operator="equal">
      <formula>"Napkin Hs"</formula>
    </cfRule>
    <cfRule type="cellIs" dxfId="27129" priority="13827" stopIfTrue="1" operator="equal">
      <formula>"Towel"</formula>
    </cfRule>
    <cfRule type="cellIs" dxfId="27128" priority="13828" stopIfTrue="1" operator="equal">
      <formula>"Napkin Hs"</formula>
    </cfRule>
    <cfRule type="cellIs" dxfId="27127" priority="13829" stopIfTrue="1" operator="equal">
      <formula>"Towel"</formula>
    </cfRule>
    <cfRule type="cellIs" dxfId="27126" priority="13830" stopIfTrue="1" operator="equal">
      <formula>"Napkin Hs"</formula>
    </cfRule>
    <cfRule type="cellIs" dxfId="27125" priority="13836" stopIfTrue="1" operator="equal">
      <formula>"Napkin Hs"</formula>
    </cfRule>
  </conditionalFormatting>
  <conditionalFormatting sqref="B14:C14">
    <cfRule type="cellIs" dxfId="27124" priority="13835" stopIfTrue="1" operator="equal">
      <formula>"Towel"</formula>
    </cfRule>
  </conditionalFormatting>
  <conditionalFormatting sqref="C14">
    <cfRule type="cellIs" dxfId="27123" priority="13746" stopIfTrue="1" operator="equal">
      <formula>"Napkin Hs"</formula>
    </cfRule>
    <cfRule type="cellIs" dxfId="27122" priority="13747" stopIfTrue="1" operator="equal">
      <formula>"Towel"</formula>
    </cfRule>
    <cfRule type="cellIs" dxfId="27121" priority="13748" stopIfTrue="1" operator="equal">
      <formula>"Napkin Hs"</formula>
    </cfRule>
    <cfRule type="cellIs" dxfId="27120" priority="13749" stopIfTrue="1" operator="equal">
      <formula>"Towel"</formula>
    </cfRule>
    <cfRule type="cellIs" dxfId="27119" priority="13750" stopIfTrue="1" operator="equal">
      <formula>"Napkin Hs"</formula>
    </cfRule>
    <cfRule type="cellIs" dxfId="27118" priority="13751" stopIfTrue="1" operator="equal">
      <formula>"Towel"</formula>
    </cfRule>
    <cfRule type="cellIs" dxfId="27117" priority="13752" stopIfTrue="1" operator="equal">
      <formula>"Napkin Hs"</formula>
    </cfRule>
    <cfRule type="cellIs" dxfId="27116" priority="13753" stopIfTrue="1" operator="equal">
      <formula>"Towel"</formula>
    </cfRule>
    <cfRule type="cellIs" dxfId="27115" priority="13754" stopIfTrue="1" operator="equal">
      <formula>"Napkin Hs"</formula>
    </cfRule>
    <cfRule type="cellIs" dxfId="27114" priority="13757" stopIfTrue="1" operator="equal">
      <formula>"Towel"</formula>
    </cfRule>
    <cfRule type="cellIs" dxfId="27113" priority="13758" stopIfTrue="1" operator="equal">
      <formula>"Napkin Hs"</formula>
    </cfRule>
    <cfRule type="cellIs" dxfId="27112" priority="13759" stopIfTrue="1" operator="equal">
      <formula>"Towel"</formula>
    </cfRule>
    <cfRule type="cellIs" dxfId="27111" priority="13760" stopIfTrue="1" operator="equal">
      <formula>"Napkin Hs"</formula>
    </cfRule>
    <cfRule type="cellIs" dxfId="27110" priority="13763" stopIfTrue="1" operator="equal">
      <formula>"Towel"</formula>
    </cfRule>
    <cfRule type="cellIs" dxfId="27109" priority="13764" stopIfTrue="1" operator="equal">
      <formula>"Napkin Hs"</formula>
    </cfRule>
    <cfRule type="cellIs" dxfId="27108" priority="13765" stopIfTrue="1" operator="equal">
      <formula>"Towel"</formula>
    </cfRule>
    <cfRule type="cellIs" dxfId="27107" priority="13766" stopIfTrue="1" operator="equal">
      <formula>"Napkin Hs"</formula>
    </cfRule>
    <cfRule type="cellIs" dxfId="27106" priority="13771" stopIfTrue="1" operator="equal">
      <formula>"Towel"</formula>
    </cfRule>
    <cfRule type="cellIs" dxfId="27105" priority="13772" stopIfTrue="1" operator="equal">
      <formula>"Napkin Hs"</formula>
    </cfRule>
    <cfRule type="cellIs" dxfId="27104" priority="13773" stopIfTrue="1" operator="equal">
      <formula>"Towel"</formula>
    </cfRule>
    <cfRule type="cellIs" dxfId="27103" priority="13774" stopIfTrue="1" operator="equal">
      <formula>"Napkin Hs"</formula>
    </cfRule>
    <cfRule type="cellIs" dxfId="27102" priority="13777" stopIfTrue="1" operator="equal">
      <formula>"Towel"</formula>
    </cfRule>
    <cfRule type="cellIs" dxfId="27101" priority="13778" stopIfTrue="1" operator="equal">
      <formula>"Napkin Hs"</formula>
    </cfRule>
    <cfRule type="cellIs" dxfId="27100" priority="13779" stopIfTrue="1" operator="equal">
      <formula>"Towel"</formula>
    </cfRule>
    <cfRule type="cellIs" dxfId="27099" priority="13780" stopIfTrue="1" operator="equal">
      <formula>"Napkin Hs"</formula>
    </cfRule>
    <cfRule type="cellIs" dxfId="27098" priority="13781" stopIfTrue="1" operator="equal">
      <formula>"Towel"</formula>
    </cfRule>
    <cfRule type="cellIs" dxfId="27097" priority="13782" stopIfTrue="1" operator="equal">
      <formula>"Napkin Hs"</formula>
    </cfRule>
    <cfRule type="cellIs" dxfId="27096" priority="13783" stopIfTrue="1" operator="equal">
      <formula>"Towel"</formula>
    </cfRule>
    <cfRule type="cellIs" dxfId="27095" priority="13784" stopIfTrue="1" operator="equal">
      <formula>"Napkin Hs"</formula>
    </cfRule>
    <cfRule type="cellIs" dxfId="27094" priority="13787" stopIfTrue="1" operator="equal">
      <formula>"Towel"</formula>
    </cfRule>
    <cfRule type="cellIs" dxfId="27093" priority="13788" stopIfTrue="1" operator="equal">
      <formula>"Napkin Hs"</formula>
    </cfRule>
    <cfRule type="cellIs" dxfId="27092" priority="13789" stopIfTrue="1" operator="equal">
      <formula>"Towel"</formula>
    </cfRule>
    <cfRule type="cellIs" dxfId="27091" priority="13790" stopIfTrue="1" operator="equal">
      <formula>"Napkin Hs"</formula>
    </cfRule>
    <cfRule type="cellIs" dxfId="27090" priority="13795" stopIfTrue="1" operator="equal">
      <formula>"Towel"</formula>
    </cfRule>
    <cfRule type="cellIs" dxfId="27089" priority="13796" stopIfTrue="1" operator="equal">
      <formula>"Napkin Hs"</formula>
    </cfRule>
    <cfRule type="cellIs" dxfId="27088" priority="13797" stopIfTrue="1" operator="equal">
      <formula>"Towel"</formula>
    </cfRule>
    <cfRule type="cellIs" dxfId="27087" priority="13798" stopIfTrue="1" operator="equal">
      <formula>"Napkin Hs"</formula>
    </cfRule>
    <cfRule type="cellIs" dxfId="27086" priority="13801" stopIfTrue="1" operator="equal">
      <formula>"Towel"</formula>
    </cfRule>
    <cfRule type="cellIs" dxfId="27085" priority="13802" stopIfTrue="1" operator="equal">
      <formula>"Napkin Hs"</formula>
    </cfRule>
    <cfRule type="cellIs" dxfId="27084" priority="13803" stopIfTrue="1" operator="equal">
      <formula>"Towel"</formula>
    </cfRule>
    <cfRule type="cellIs" dxfId="27083" priority="13804" stopIfTrue="1" operator="equal">
      <formula>"Napkin Hs"</formula>
    </cfRule>
    <cfRule type="cellIs" dxfId="27082" priority="13805" stopIfTrue="1" operator="equal">
      <formula>"Towel"</formula>
    </cfRule>
    <cfRule type="cellIs" dxfId="27081" priority="13806" stopIfTrue="1" operator="equal">
      <formula>"Napkin Hs"</formula>
    </cfRule>
    <cfRule type="cellIs" dxfId="27080" priority="13807" stopIfTrue="1" operator="equal">
      <formula>"Towel"</formula>
    </cfRule>
    <cfRule type="cellIs" dxfId="27079" priority="13808" stopIfTrue="1" operator="equal">
      <formula>"Napkin Hs"</formula>
    </cfRule>
    <cfRule type="cellIs" dxfId="27078" priority="13813" stopIfTrue="1" operator="equal">
      <formula>"Towel"</formula>
    </cfRule>
    <cfRule type="cellIs" dxfId="27077" priority="13814" stopIfTrue="1" operator="equal">
      <formula>"Napkin Hs"</formula>
    </cfRule>
    <cfRule type="cellIs" dxfId="27076" priority="13815" stopIfTrue="1" operator="equal">
      <formula>"Towel"</formula>
    </cfRule>
    <cfRule type="cellIs" dxfId="27075" priority="13816" stopIfTrue="1" operator="equal">
      <formula>"Napkin Hs"</formula>
    </cfRule>
    <cfRule type="cellIs" dxfId="27074" priority="13819" stopIfTrue="1" operator="equal">
      <formula>"Towel"</formula>
    </cfRule>
    <cfRule type="cellIs" dxfId="27073" priority="13820" stopIfTrue="1" operator="equal">
      <formula>"Napkin Hs"</formula>
    </cfRule>
    <cfRule type="cellIs" dxfId="27072" priority="13821" stopIfTrue="1" operator="equal">
      <formula>"Towel"</formula>
    </cfRule>
    <cfRule type="cellIs" dxfId="27071" priority="13822" stopIfTrue="1" operator="equal">
      <formula>"Napkin Hs"</formula>
    </cfRule>
    <cfRule type="cellIs" dxfId="27070" priority="13823" stopIfTrue="1" operator="equal">
      <formula>"Towel"</formula>
    </cfRule>
    <cfRule type="cellIs" dxfId="27069" priority="13824" stopIfTrue="1" operator="equal">
      <formula>"Napkin Hs"</formula>
    </cfRule>
    <cfRule type="cellIs" dxfId="27068" priority="13825" stopIfTrue="1" operator="equal">
      <formula>"Towel"</formula>
    </cfRule>
    <cfRule type="cellIs" dxfId="27067" priority="13826" stopIfTrue="1" operator="equal">
      <formula>"Napkin Hs"</formula>
    </cfRule>
    <cfRule type="cellIs" dxfId="27066" priority="13831" stopIfTrue="1" operator="equal">
      <formula>"Towel"</formula>
    </cfRule>
    <cfRule type="cellIs" dxfId="27065" priority="13832" stopIfTrue="1" operator="equal">
      <formula>"Napkin Hs"</formula>
    </cfRule>
    <cfRule type="cellIs" dxfId="27064" priority="13833" stopIfTrue="1" operator="equal">
      <formula>"Towel"</formula>
    </cfRule>
    <cfRule type="cellIs" dxfId="27063" priority="13834" stopIfTrue="1" operator="equal">
      <formula>"Napkin Hs"</formula>
    </cfRule>
    <cfRule type="cellIs" dxfId="27062" priority="13837" stopIfTrue="1" operator="equal">
      <formula>"Towel"</formula>
    </cfRule>
    <cfRule type="cellIs" dxfId="27061" priority="13838" stopIfTrue="1" operator="equal">
      <formula>"Napkin Hs"</formula>
    </cfRule>
    <cfRule type="cellIs" dxfId="27060" priority="13839" stopIfTrue="1" operator="equal">
      <formula>"Towel"</formula>
    </cfRule>
    <cfRule type="cellIs" dxfId="27059" priority="13840" stopIfTrue="1" operator="equal">
      <formula>"Napkin Hs"</formula>
    </cfRule>
  </conditionalFormatting>
  <conditionalFormatting sqref="C12">
    <cfRule type="cellIs" dxfId="27058" priority="13740" stopIfTrue="1" operator="equal">
      <formula>"Towel"</formula>
    </cfRule>
    <cfRule type="cellIs" dxfId="27057" priority="13741" stopIfTrue="1" operator="equal">
      <formula>"Napkin Hs"</formula>
    </cfRule>
  </conditionalFormatting>
  <conditionalFormatting sqref="C12">
    <cfRule type="cellIs" dxfId="27056" priority="13742" stopIfTrue="1" operator="equal">
      <formula>"Towel"</formula>
    </cfRule>
    <cfRule type="cellIs" dxfId="27055" priority="13743" stopIfTrue="1" operator="equal">
      <formula>"Napkin Hs"</formula>
    </cfRule>
  </conditionalFormatting>
  <conditionalFormatting sqref="C12">
    <cfRule type="cellIs" dxfId="27054" priority="13738" stopIfTrue="1" operator="equal">
      <formula>"Towel"</formula>
    </cfRule>
    <cfRule type="cellIs" dxfId="27053" priority="13739" stopIfTrue="1" operator="equal">
      <formula>"Napkin Hs"</formula>
    </cfRule>
  </conditionalFormatting>
  <conditionalFormatting sqref="B12">
    <cfRule type="cellIs" dxfId="27052" priority="13736" stopIfTrue="1" operator="equal">
      <formula>"Towel"</formula>
    </cfRule>
    <cfRule type="cellIs" dxfId="27051" priority="13737" stopIfTrue="1" operator="equal">
      <formula>"Napkin Hs"</formula>
    </cfRule>
  </conditionalFormatting>
  <conditionalFormatting sqref="B11:C11">
    <cfRule type="cellIs" dxfId="27050" priority="13712" stopIfTrue="1" operator="equal">
      <formula>"Towel"</formula>
    </cfRule>
  </conditionalFormatting>
  <conditionalFormatting sqref="B11:C11">
    <cfRule type="cellIs" dxfId="27049" priority="13713" stopIfTrue="1" operator="equal">
      <formula>"Napkin Hs"</formula>
    </cfRule>
    <cfRule type="cellIs" dxfId="27048" priority="13718" stopIfTrue="1" operator="equal">
      <formula>"Towel"</formula>
    </cfRule>
    <cfRule type="cellIs" dxfId="27047" priority="13719" stopIfTrue="1" operator="equal">
      <formula>"Napkin Hs"</formula>
    </cfRule>
    <cfRule type="cellIs" dxfId="27046" priority="13728" stopIfTrue="1" operator="equal">
      <formula>"Towel"</formula>
    </cfRule>
    <cfRule type="cellIs" dxfId="27045" priority="13729" stopIfTrue="1" operator="equal">
      <formula>"Napkin Hs"</formula>
    </cfRule>
    <cfRule type="cellIs" dxfId="27044" priority="13734" stopIfTrue="1" operator="equal">
      <formula>"Towel"</formula>
    </cfRule>
    <cfRule type="cellIs" dxfId="27043" priority="13735" stopIfTrue="1" operator="equal">
      <formula>"Napkin Hs"</formula>
    </cfRule>
  </conditionalFormatting>
  <conditionalFormatting sqref="C11">
    <cfRule type="cellIs" dxfId="27042" priority="13714" stopIfTrue="1" operator="equal">
      <formula>"Towel"</formula>
    </cfRule>
    <cfRule type="cellIs" dxfId="27041" priority="13715" stopIfTrue="1" operator="equal">
      <formula>"Napkin Hs"</formula>
    </cfRule>
    <cfRule type="cellIs" dxfId="27040" priority="13716" stopIfTrue="1" operator="equal">
      <formula>"Towel"</formula>
    </cfRule>
    <cfRule type="cellIs" dxfId="27039" priority="13717" stopIfTrue="1" operator="equal">
      <formula>"Napkin Hs"</formula>
    </cfRule>
    <cfRule type="cellIs" dxfId="27038" priority="13720" stopIfTrue="1" operator="equal">
      <formula>"Towel"</formula>
    </cfRule>
    <cfRule type="cellIs" dxfId="27037" priority="13721" stopIfTrue="1" operator="equal">
      <formula>"Napkin Hs"</formula>
    </cfRule>
    <cfRule type="cellIs" dxfId="27036" priority="13722" stopIfTrue="1" operator="equal">
      <formula>"Towel"</formula>
    </cfRule>
    <cfRule type="cellIs" dxfId="27035" priority="13723" stopIfTrue="1" operator="equal">
      <formula>"Napkin Hs"</formula>
    </cfRule>
    <cfRule type="cellIs" dxfId="27034" priority="13724" stopIfTrue="1" operator="equal">
      <formula>"Towel"</formula>
    </cfRule>
    <cfRule type="cellIs" dxfId="27033" priority="13725" stopIfTrue="1" operator="equal">
      <formula>"Napkin Hs"</formula>
    </cfRule>
    <cfRule type="cellIs" dxfId="27032" priority="13726" stopIfTrue="1" operator="equal">
      <formula>"Towel"</formula>
    </cfRule>
    <cfRule type="cellIs" dxfId="27031" priority="13727" stopIfTrue="1" operator="equal">
      <formula>"Napkin Hs"</formula>
    </cfRule>
    <cfRule type="cellIs" dxfId="27030" priority="13730" stopIfTrue="1" operator="equal">
      <formula>"Towel"</formula>
    </cfRule>
    <cfRule type="cellIs" dxfId="27029" priority="13731" stopIfTrue="1" operator="equal">
      <formula>"Napkin Hs"</formula>
    </cfRule>
    <cfRule type="cellIs" dxfId="27028" priority="13733" stopIfTrue="1" operator="equal">
      <formula>"Napkin Hs"</formula>
    </cfRule>
  </conditionalFormatting>
  <conditionalFormatting sqref="C11">
    <cfRule type="cellIs" dxfId="27027" priority="13732" stopIfTrue="1" operator="equal">
      <formula>"Towel"</formula>
    </cfRule>
  </conditionalFormatting>
  <conditionalFormatting sqref="B11:C11">
    <cfRule type="cellIs" dxfId="27026" priority="13710" stopIfTrue="1" operator="equal">
      <formula>"Towel"</formula>
    </cfRule>
    <cfRule type="cellIs" dxfId="27025" priority="13711" stopIfTrue="1" operator="equal">
      <formula>"Napkin Hs"</formula>
    </cfRule>
  </conditionalFormatting>
  <conditionalFormatting sqref="C11">
    <cfRule type="cellIs" dxfId="27024" priority="13709" stopIfTrue="1" operator="equal">
      <formula>"Napkin Hs"</formula>
    </cfRule>
  </conditionalFormatting>
  <conditionalFormatting sqref="C11">
    <cfRule type="cellIs" dxfId="27023" priority="13708" stopIfTrue="1" operator="equal">
      <formula>"Towel"</formula>
    </cfRule>
  </conditionalFormatting>
  <conditionalFormatting sqref="C11">
    <cfRule type="cellIs" dxfId="27022" priority="13706" stopIfTrue="1" operator="equal">
      <formula>"Towel"</formula>
    </cfRule>
  </conditionalFormatting>
  <conditionalFormatting sqref="C11">
    <cfRule type="cellIs" dxfId="27021" priority="13707" stopIfTrue="1" operator="equal">
      <formula>"Napkin Hs"</formula>
    </cfRule>
  </conditionalFormatting>
  <conditionalFormatting sqref="B11">
    <cfRule type="cellIs" dxfId="27020" priority="13610" stopIfTrue="1" operator="equal">
      <formula>"Napkin Hs"</formula>
    </cfRule>
  </conditionalFormatting>
  <conditionalFormatting sqref="B11:C11">
    <cfRule type="cellIs" dxfId="27019" priority="13609" stopIfTrue="1" operator="equal">
      <formula>"Towel"</formula>
    </cfRule>
  </conditionalFormatting>
  <conditionalFormatting sqref="B11:C11">
    <cfRule type="cellIs" dxfId="27018" priority="13620" stopIfTrue="1" operator="equal">
      <formula>"Towel"</formula>
    </cfRule>
    <cfRule type="cellIs" dxfId="27017" priority="13621" stopIfTrue="1" operator="equal">
      <formula>"Napkin Hs"</formula>
    </cfRule>
    <cfRule type="cellIs" dxfId="27016" priority="13626" stopIfTrue="1" operator="equal">
      <formula>"Towel"</formula>
    </cfRule>
    <cfRule type="cellIs" dxfId="27015" priority="13627" stopIfTrue="1" operator="equal">
      <formula>"Napkin Hs"</formula>
    </cfRule>
    <cfRule type="cellIs" dxfId="27014" priority="13632" stopIfTrue="1" operator="equal">
      <formula>"Towel"</formula>
    </cfRule>
    <cfRule type="cellIs" dxfId="27013" priority="13633" stopIfTrue="1" operator="equal">
      <formula>"Napkin Hs"</formula>
    </cfRule>
    <cfRule type="cellIs" dxfId="27012" priority="13634" stopIfTrue="1" operator="equal">
      <formula>"Towel"</formula>
    </cfRule>
    <cfRule type="cellIs" dxfId="27011" priority="13635" stopIfTrue="1" operator="equal">
      <formula>"Napkin Hs"</formula>
    </cfRule>
    <cfRule type="cellIs" dxfId="27010" priority="13640" stopIfTrue="1" operator="equal">
      <formula>"Towel"</formula>
    </cfRule>
    <cfRule type="cellIs" dxfId="27009" priority="13641" stopIfTrue="1" operator="equal">
      <formula>"Napkin Hs"</formula>
    </cfRule>
    <cfRule type="cellIs" dxfId="27008" priority="13650" stopIfTrue="1" operator="equal">
      <formula>"Towel"</formula>
    </cfRule>
    <cfRule type="cellIs" dxfId="27007" priority="13651" stopIfTrue="1" operator="equal">
      <formula>"Napkin Hs"</formula>
    </cfRule>
    <cfRule type="cellIs" dxfId="27006" priority="13656" stopIfTrue="1" operator="equal">
      <formula>"Towel"</formula>
    </cfRule>
    <cfRule type="cellIs" dxfId="27005" priority="13657" stopIfTrue="1" operator="equal">
      <formula>"Napkin Hs"</formula>
    </cfRule>
    <cfRule type="cellIs" dxfId="27004" priority="13658" stopIfTrue="1" operator="equal">
      <formula>"Towel"</formula>
    </cfRule>
    <cfRule type="cellIs" dxfId="27003" priority="13659" stopIfTrue="1" operator="equal">
      <formula>"Napkin Hs"</formula>
    </cfRule>
    <cfRule type="cellIs" dxfId="27002" priority="13664" stopIfTrue="1" operator="equal">
      <formula>"Towel"</formula>
    </cfRule>
    <cfRule type="cellIs" dxfId="27001" priority="13665" stopIfTrue="1" operator="equal">
      <formula>"Napkin Hs"</formula>
    </cfRule>
    <cfRule type="cellIs" dxfId="27000" priority="13674" stopIfTrue="1" operator="equal">
      <formula>"Towel"</formula>
    </cfRule>
    <cfRule type="cellIs" dxfId="26999" priority="13675" stopIfTrue="1" operator="equal">
      <formula>"Napkin Hs"</formula>
    </cfRule>
    <cfRule type="cellIs" dxfId="26998" priority="13676" stopIfTrue="1" operator="equal">
      <formula>"Towel"</formula>
    </cfRule>
    <cfRule type="cellIs" dxfId="26997" priority="13677" stopIfTrue="1" operator="equal">
      <formula>"Napkin Hs"</formula>
    </cfRule>
    <cfRule type="cellIs" dxfId="26996" priority="13682" stopIfTrue="1" operator="equal">
      <formula>"Towel"</formula>
    </cfRule>
    <cfRule type="cellIs" dxfId="26995" priority="13683" stopIfTrue="1" operator="equal">
      <formula>"Napkin Hs"</formula>
    </cfRule>
    <cfRule type="cellIs" dxfId="26994" priority="13692" stopIfTrue="1" operator="equal">
      <formula>"Towel"</formula>
    </cfRule>
    <cfRule type="cellIs" dxfId="26993" priority="13693" stopIfTrue="1" operator="equal">
      <formula>"Napkin Hs"</formula>
    </cfRule>
    <cfRule type="cellIs" dxfId="26992" priority="13694" stopIfTrue="1" operator="equal">
      <formula>"Towel"</formula>
    </cfRule>
    <cfRule type="cellIs" dxfId="26991" priority="13695" stopIfTrue="1" operator="equal">
      <formula>"Napkin Hs"</formula>
    </cfRule>
    <cfRule type="cellIs" dxfId="26990" priority="13701" stopIfTrue="1" operator="equal">
      <formula>"Napkin Hs"</formula>
    </cfRule>
  </conditionalFormatting>
  <conditionalFormatting sqref="B11:C11">
    <cfRule type="cellIs" dxfId="26989" priority="13700" stopIfTrue="1" operator="equal">
      <formula>"Towel"</formula>
    </cfRule>
  </conditionalFormatting>
  <conditionalFormatting sqref="C11">
    <cfRule type="cellIs" dxfId="26988" priority="13611" stopIfTrue="1" operator="equal">
      <formula>"Napkin Hs"</formula>
    </cfRule>
    <cfRule type="cellIs" dxfId="26987" priority="13612" stopIfTrue="1" operator="equal">
      <formula>"Towel"</formula>
    </cfRule>
    <cfRule type="cellIs" dxfId="26986" priority="13613" stopIfTrue="1" operator="equal">
      <formula>"Napkin Hs"</formula>
    </cfRule>
    <cfRule type="cellIs" dxfId="26985" priority="13614" stopIfTrue="1" operator="equal">
      <formula>"Towel"</formula>
    </cfRule>
    <cfRule type="cellIs" dxfId="26984" priority="13615" stopIfTrue="1" operator="equal">
      <formula>"Napkin Hs"</formula>
    </cfRule>
    <cfRule type="cellIs" dxfId="26983" priority="13616" stopIfTrue="1" operator="equal">
      <formula>"Towel"</formula>
    </cfRule>
    <cfRule type="cellIs" dxfId="26982" priority="13617" stopIfTrue="1" operator="equal">
      <formula>"Napkin Hs"</formula>
    </cfRule>
    <cfRule type="cellIs" dxfId="26981" priority="13618" stopIfTrue="1" operator="equal">
      <formula>"Towel"</formula>
    </cfRule>
    <cfRule type="cellIs" dxfId="26980" priority="13619" stopIfTrue="1" operator="equal">
      <formula>"Napkin Hs"</formula>
    </cfRule>
    <cfRule type="cellIs" dxfId="26979" priority="13622" stopIfTrue="1" operator="equal">
      <formula>"Towel"</formula>
    </cfRule>
    <cfRule type="cellIs" dxfId="26978" priority="13623" stopIfTrue="1" operator="equal">
      <formula>"Napkin Hs"</formula>
    </cfRule>
    <cfRule type="cellIs" dxfId="26977" priority="13624" stopIfTrue="1" operator="equal">
      <formula>"Towel"</formula>
    </cfRule>
    <cfRule type="cellIs" dxfId="26976" priority="13625" stopIfTrue="1" operator="equal">
      <formula>"Napkin Hs"</formula>
    </cfRule>
    <cfRule type="cellIs" dxfId="26975" priority="13628" stopIfTrue="1" operator="equal">
      <formula>"Towel"</formula>
    </cfRule>
    <cfRule type="cellIs" dxfId="26974" priority="13629" stopIfTrue="1" operator="equal">
      <formula>"Napkin Hs"</formula>
    </cfRule>
    <cfRule type="cellIs" dxfId="26973" priority="13630" stopIfTrue="1" operator="equal">
      <formula>"Towel"</formula>
    </cfRule>
    <cfRule type="cellIs" dxfId="26972" priority="13631" stopIfTrue="1" operator="equal">
      <formula>"Napkin Hs"</formula>
    </cfRule>
    <cfRule type="cellIs" dxfId="26971" priority="13636" stopIfTrue="1" operator="equal">
      <formula>"Towel"</formula>
    </cfRule>
    <cfRule type="cellIs" dxfId="26970" priority="13637" stopIfTrue="1" operator="equal">
      <formula>"Napkin Hs"</formula>
    </cfRule>
    <cfRule type="cellIs" dxfId="26969" priority="13638" stopIfTrue="1" operator="equal">
      <formula>"Towel"</formula>
    </cfRule>
    <cfRule type="cellIs" dxfId="26968" priority="13639" stopIfTrue="1" operator="equal">
      <formula>"Napkin Hs"</formula>
    </cfRule>
    <cfRule type="cellIs" dxfId="26967" priority="13642" stopIfTrue="1" operator="equal">
      <formula>"Towel"</formula>
    </cfRule>
    <cfRule type="cellIs" dxfId="26966" priority="13643" stopIfTrue="1" operator="equal">
      <formula>"Napkin Hs"</formula>
    </cfRule>
    <cfRule type="cellIs" dxfId="26965" priority="13644" stopIfTrue="1" operator="equal">
      <formula>"Towel"</formula>
    </cfRule>
    <cfRule type="cellIs" dxfId="26964" priority="13645" stopIfTrue="1" operator="equal">
      <formula>"Napkin Hs"</formula>
    </cfRule>
    <cfRule type="cellIs" dxfId="26963" priority="13646" stopIfTrue="1" operator="equal">
      <formula>"Towel"</formula>
    </cfRule>
    <cfRule type="cellIs" dxfId="26962" priority="13647" stopIfTrue="1" operator="equal">
      <formula>"Napkin Hs"</formula>
    </cfRule>
    <cfRule type="cellIs" dxfId="26961" priority="13648" stopIfTrue="1" operator="equal">
      <formula>"Towel"</formula>
    </cfRule>
    <cfRule type="cellIs" dxfId="26960" priority="13649" stopIfTrue="1" operator="equal">
      <formula>"Napkin Hs"</formula>
    </cfRule>
    <cfRule type="cellIs" dxfId="26959" priority="13652" stopIfTrue="1" operator="equal">
      <formula>"Towel"</formula>
    </cfRule>
    <cfRule type="cellIs" dxfId="26958" priority="13653" stopIfTrue="1" operator="equal">
      <formula>"Napkin Hs"</formula>
    </cfRule>
    <cfRule type="cellIs" dxfId="26957" priority="13654" stopIfTrue="1" operator="equal">
      <formula>"Towel"</formula>
    </cfRule>
    <cfRule type="cellIs" dxfId="26956" priority="13655" stopIfTrue="1" operator="equal">
      <formula>"Napkin Hs"</formula>
    </cfRule>
    <cfRule type="cellIs" dxfId="26955" priority="13660" stopIfTrue="1" operator="equal">
      <formula>"Towel"</formula>
    </cfRule>
    <cfRule type="cellIs" dxfId="26954" priority="13661" stopIfTrue="1" operator="equal">
      <formula>"Napkin Hs"</formula>
    </cfRule>
    <cfRule type="cellIs" dxfId="26953" priority="13662" stopIfTrue="1" operator="equal">
      <formula>"Towel"</formula>
    </cfRule>
    <cfRule type="cellIs" dxfId="26952" priority="13663" stopIfTrue="1" operator="equal">
      <formula>"Napkin Hs"</formula>
    </cfRule>
    <cfRule type="cellIs" dxfId="26951" priority="13666" stopIfTrue="1" operator="equal">
      <formula>"Towel"</formula>
    </cfRule>
    <cfRule type="cellIs" dxfId="26950" priority="13667" stopIfTrue="1" operator="equal">
      <formula>"Napkin Hs"</formula>
    </cfRule>
    <cfRule type="cellIs" dxfId="26949" priority="13668" stopIfTrue="1" operator="equal">
      <formula>"Towel"</formula>
    </cfRule>
    <cfRule type="cellIs" dxfId="26948" priority="13669" stopIfTrue="1" operator="equal">
      <formula>"Napkin Hs"</formula>
    </cfRule>
    <cfRule type="cellIs" dxfId="26947" priority="13670" stopIfTrue="1" operator="equal">
      <formula>"Towel"</formula>
    </cfRule>
    <cfRule type="cellIs" dxfId="26946" priority="13671" stopIfTrue="1" operator="equal">
      <formula>"Napkin Hs"</formula>
    </cfRule>
    <cfRule type="cellIs" dxfId="26945" priority="13672" stopIfTrue="1" operator="equal">
      <formula>"Towel"</formula>
    </cfRule>
    <cfRule type="cellIs" dxfId="26944" priority="13673" stopIfTrue="1" operator="equal">
      <formula>"Napkin Hs"</formula>
    </cfRule>
    <cfRule type="cellIs" dxfId="26943" priority="13678" stopIfTrue="1" operator="equal">
      <formula>"Towel"</formula>
    </cfRule>
    <cfRule type="cellIs" dxfId="26942" priority="13679" stopIfTrue="1" operator="equal">
      <formula>"Napkin Hs"</formula>
    </cfRule>
    <cfRule type="cellIs" dxfId="26941" priority="13680" stopIfTrue="1" operator="equal">
      <formula>"Towel"</formula>
    </cfRule>
    <cfRule type="cellIs" dxfId="26940" priority="13681" stopIfTrue="1" operator="equal">
      <formula>"Napkin Hs"</formula>
    </cfRule>
    <cfRule type="cellIs" dxfId="26939" priority="13684" stopIfTrue="1" operator="equal">
      <formula>"Towel"</formula>
    </cfRule>
    <cfRule type="cellIs" dxfId="26938" priority="13685" stopIfTrue="1" operator="equal">
      <formula>"Napkin Hs"</formula>
    </cfRule>
    <cfRule type="cellIs" dxfId="26937" priority="13686" stopIfTrue="1" operator="equal">
      <formula>"Towel"</formula>
    </cfRule>
    <cfRule type="cellIs" dxfId="26936" priority="13687" stopIfTrue="1" operator="equal">
      <formula>"Napkin Hs"</formula>
    </cfRule>
    <cfRule type="cellIs" dxfId="26935" priority="13688" stopIfTrue="1" operator="equal">
      <formula>"Towel"</formula>
    </cfRule>
    <cfRule type="cellIs" dxfId="26934" priority="13689" stopIfTrue="1" operator="equal">
      <formula>"Napkin Hs"</formula>
    </cfRule>
    <cfRule type="cellIs" dxfId="26933" priority="13690" stopIfTrue="1" operator="equal">
      <formula>"Towel"</formula>
    </cfRule>
    <cfRule type="cellIs" dxfId="26932" priority="13691" stopIfTrue="1" operator="equal">
      <formula>"Napkin Hs"</formula>
    </cfRule>
    <cfRule type="cellIs" dxfId="26931" priority="13696" stopIfTrue="1" operator="equal">
      <formula>"Towel"</formula>
    </cfRule>
    <cfRule type="cellIs" dxfId="26930" priority="13697" stopIfTrue="1" operator="equal">
      <formula>"Napkin Hs"</formula>
    </cfRule>
    <cfRule type="cellIs" dxfId="26929" priority="13698" stopIfTrue="1" operator="equal">
      <formula>"Towel"</formula>
    </cfRule>
    <cfRule type="cellIs" dxfId="26928" priority="13699" stopIfTrue="1" operator="equal">
      <formula>"Napkin Hs"</formula>
    </cfRule>
    <cfRule type="cellIs" dxfId="26927" priority="13702" stopIfTrue="1" operator="equal">
      <formula>"Towel"</formula>
    </cfRule>
    <cfRule type="cellIs" dxfId="26926" priority="13703" stopIfTrue="1" operator="equal">
      <formula>"Napkin Hs"</formula>
    </cfRule>
    <cfRule type="cellIs" dxfId="26925" priority="13704" stopIfTrue="1" operator="equal">
      <formula>"Towel"</formula>
    </cfRule>
    <cfRule type="cellIs" dxfId="26924" priority="13705" stopIfTrue="1" operator="equal">
      <formula>"Napkin Hs"</formula>
    </cfRule>
  </conditionalFormatting>
  <conditionalFormatting sqref="B13:C13">
    <cfRule type="cellIs" dxfId="26923" priority="13585" stopIfTrue="1" operator="equal">
      <formula>"Towel"</formula>
    </cfRule>
  </conditionalFormatting>
  <conditionalFormatting sqref="B13:C13">
    <cfRule type="cellIs" dxfId="26922" priority="13586" stopIfTrue="1" operator="equal">
      <formula>"Napkin Hs"</formula>
    </cfRule>
    <cfRule type="cellIs" dxfId="26921" priority="13591" stopIfTrue="1" operator="equal">
      <formula>"Towel"</formula>
    </cfRule>
    <cfRule type="cellIs" dxfId="26920" priority="13592" stopIfTrue="1" operator="equal">
      <formula>"Napkin Hs"</formula>
    </cfRule>
    <cfRule type="cellIs" dxfId="26919" priority="13601" stopIfTrue="1" operator="equal">
      <formula>"Towel"</formula>
    </cfRule>
    <cfRule type="cellIs" dxfId="26918" priority="13602" stopIfTrue="1" operator="equal">
      <formula>"Napkin Hs"</formula>
    </cfRule>
    <cfRule type="cellIs" dxfId="26917" priority="13607" stopIfTrue="1" operator="equal">
      <formula>"Towel"</formula>
    </cfRule>
    <cfRule type="cellIs" dxfId="26916" priority="13608" stopIfTrue="1" operator="equal">
      <formula>"Napkin Hs"</formula>
    </cfRule>
  </conditionalFormatting>
  <conditionalFormatting sqref="C13">
    <cfRule type="cellIs" dxfId="26915" priority="13587" stopIfTrue="1" operator="equal">
      <formula>"Towel"</formula>
    </cfRule>
    <cfRule type="cellIs" dxfId="26914" priority="13588" stopIfTrue="1" operator="equal">
      <formula>"Napkin Hs"</formula>
    </cfRule>
    <cfRule type="cellIs" dxfId="26913" priority="13589" stopIfTrue="1" operator="equal">
      <formula>"Towel"</formula>
    </cfRule>
    <cfRule type="cellIs" dxfId="26912" priority="13590" stopIfTrue="1" operator="equal">
      <formula>"Napkin Hs"</formula>
    </cfRule>
    <cfRule type="cellIs" dxfId="26911" priority="13593" stopIfTrue="1" operator="equal">
      <formula>"Towel"</formula>
    </cfRule>
    <cfRule type="cellIs" dxfId="26910" priority="13594" stopIfTrue="1" operator="equal">
      <formula>"Napkin Hs"</formula>
    </cfRule>
    <cfRule type="cellIs" dxfId="26909" priority="13595" stopIfTrue="1" operator="equal">
      <formula>"Towel"</formula>
    </cfRule>
    <cfRule type="cellIs" dxfId="26908" priority="13596" stopIfTrue="1" operator="equal">
      <formula>"Napkin Hs"</formula>
    </cfRule>
    <cfRule type="cellIs" dxfId="26907" priority="13597" stopIfTrue="1" operator="equal">
      <formula>"Towel"</formula>
    </cfRule>
    <cfRule type="cellIs" dxfId="26906" priority="13598" stopIfTrue="1" operator="equal">
      <formula>"Napkin Hs"</formula>
    </cfRule>
    <cfRule type="cellIs" dxfId="26905" priority="13599" stopIfTrue="1" operator="equal">
      <formula>"Towel"</formula>
    </cfRule>
    <cfRule type="cellIs" dxfId="26904" priority="13600" stopIfTrue="1" operator="equal">
      <formula>"Napkin Hs"</formula>
    </cfRule>
    <cfRule type="cellIs" dxfId="26903" priority="13603" stopIfTrue="1" operator="equal">
      <formula>"Towel"</formula>
    </cfRule>
    <cfRule type="cellIs" dxfId="26902" priority="13604" stopIfTrue="1" operator="equal">
      <formula>"Napkin Hs"</formula>
    </cfRule>
    <cfRule type="cellIs" dxfId="26901" priority="13606" stopIfTrue="1" operator="equal">
      <formula>"Napkin Hs"</formula>
    </cfRule>
  </conditionalFormatting>
  <conditionalFormatting sqref="C13">
    <cfRule type="cellIs" dxfId="26900" priority="13605" stopIfTrue="1" operator="equal">
      <formula>"Towel"</formula>
    </cfRule>
  </conditionalFormatting>
  <conditionalFormatting sqref="B13:C13">
    <cfRule type="cellIs" dxfId="26899" priority="13583" stopIfTrue="1" operator="equal">
      <formula>"Towel"</formula>
    </cfRule>
    <cfRule type="cellIs" dxfId="26898" priority="13584" stopIfTrue="1" operator="equal">
      <formula>"Napkin Hs"</formula>
    </cfRule>
  </conditionalFormatting>
  <conditionalFormatting sqref="C13">
    <cfRule type="cellIs" dxfId="26897" priority="13582" stopIfTrue="1" operator="equal">
      <formula>"Napkin Hs"</formula>
    </cfRule>
  </conditionalFormatting>
  <conditionalFormatting sqref="C13">
    <cfRule type="cellIs" dxfId="26896" priority="13581" stopIfTrue="1" operator="equal">
      <formula>"Towel"</formula>
    </cfRule>
  </conditionalFormatting>
  <conditionalFormatting sqref="C13">
    <cfRule type="cellIs" dxfId="26895" priority="13579" stopIfTrue="1" operator="equal">
      <formula>"Towel"</formula>
    </cfRule>
  </conditionalFormatting>
  <conditionalFormatting sqref="C13">
    <cfRule type="cellIs" dxfId="26894" priority="13580" stopIfTrue="1" operator="equal">
      <formula>"Napkin Hs"</formula>
    </cfRule>
  </conditionalFormatting>
  <conditionalFormatting sqref="B13">
    <cfRule type="cellIs" dxfId="26893" priority="13483" stopIfTrue="1" operator="equal">
      <formula>"Napkin Hs"</formula>
    </cfRule>
  </conditionalFormatting>
  <conditionalFormatting sqref="B13:C13">
    <cfRule type="cellIs" dxfId="26892" priority="13482" stopIfTrue="1" operator="equal">
      <formula>"Towel"</formula>
    </cfRule>
  </conditionalFormatting>
  <conditionalFormatting sqref="B13:C13">
    <cfRule type="cellIs" dxfId="26891" priority="13493" stopIfTrue="1" operator="equal">
      <formula>"Towel"</formula>
    </cfRule>
    <cfRule type="cellIs" dxfId="26890" priority="13494" stopIfTrue="1" operator="equal">
      <formula>"Napkin Hs"</formula>
    </cfRule>
    <cfRule type="cellIs" dxfId="26889" priority="13499" stopIfTrue="1" operator="equal">
      <formula>"Towel"</formula>
    </cfRule>
    <cfRule type="cellIs" dxfId="26888" priority="13500" stopIfTrue="1" operator="equal">
      <formula>"Napkin Hs"</formula>
    </cfRule>
    <cfRule type="cellIs" dxfId="26887" priority="13505" stopIfTrue="1" operator="equal">
      <formula>"Towel"</formula>
    </cfRule>
    <cfRule type="cellIs" dxfId="26886" priority="13506" stopIfTrue="1" operator="equal">
      <formula>"Napkin Hs"</formula>
    </cfRule>
    <cfRule type="cellIs" dxfId="26885" priority="13507" stopIfTrue="1" operator="equal">
      <formula>"Towel"</formula>
    </cfRule>
    <cfRule type="cellIs" dxfId="26884" priority="13508" stopIfTrue="1" operator="equal">
      <formula>"Napkin Hs"</formula>
    </cfRule>
    <cfRule type="cellIs" dxfId="26883" priority="13513" stopIfTrue="1" operator="equal">
      <formula>"Towel"</formula>
    </cfRule>
    <cfRule type="cellIs" dxfId="26882" priority="13514" stopIfTrue="1" operator="equal">
      <formula>"Napkin Hs"</formula>
    </cfRule>
    <cfRule type="cellIs" dxfId="26881" priority="13523" stopIfTrue="1" operator="equal">
      <formula>"Towel"</formula>
    </cfRule>
    <cfRule type="cellIs" dxfId="26880" priority="13524" stopIfTrue="1" operator="equal">
      <formula>"Napkin Hs"</formula>
    </cfRule>
    <cfRule type="cellIs" dxfId="26879" priority="13529" stopIfTrue="1" operator="equal">
      <formula>"Towel"</formula>
    </cfRule>
    <cfRule type="cellIs" dxfId="26878" priority="13530" stopIfTrue="1" operator="equal">
      <formula>"Napkin Hs"</formula>
    </cfRule>
    <cfRule type="cellIs" dxfId="26877" priority="13531" stopIfTrue="1" operator="equal">
      <formula>"Towel"</formula>
    </cfRule>
    <cfRule type="cellIs" dxfId="26876" priority="13532" stopIfTrue="1" operator="equal">
      <formula>"Napkin Hs"</formula>
    </cfRule>
    <cfRule type="cellIs" dxfId="26875" priority="13537" stopIfTrue="1" operator="equal">
      <formula>"Towel"</formula>
    </cfRule>
    <cfRule type="cellIs" dxfId="26874" priority="13538" stopIfTrue="1" operator="equal">
      <formula>"Napkin Hs"</formula>
    </cfRule>
    <cfRule type="cellIs" dxfId="26873" priority="13547" stopIfTrue="1" operator="equal">
      <formula>"Towel"</formula>
    </cfRule>
    <cfRule type="cellIs" dxfId="26872" priority="13548" stopIfTrue="1" operator="equal">
      <formula>"Napkin Hs"</formula>
    </cfRule>
    <cfRule type="cellIs" dxfId="26871" priority="13549" stopIfTrue="1" operator="equal">
      <formula>"Towel"</formula>
    </cfRule>
    <cfRule type="cellIs" dxfId="26870" priority="13550" stopIfTrue="1" operator="equal">
      <formula>"Napkin Hs"</formula>
    </cfRule>
    <cfRule type="cellIs" dxfId="26869" priority="13555" stopIfTrue="1" operator="equal">
      <formula>"Towel"</formula>
    </cfRule>
    <cfRule type="cellIs" dxfId="26868" priority="13556" stopIfTrue="1" operator="equal">
      <formula>"Napkin Hs"</formula>
    </cfRule>
    <cfRule type="cellIs" dxfId="26867" priority="13565" stopIfTrue="1" operator="equal">
      <formula>"Towel"</formula>
    </cfRule>
    <cfRule type="cellIs" dxfId="26866" priority="13566" stopIfTrue="1" operator="equal">
      <formula>"Napkin Hs"</formula>
    </cfRule>
    <cfRule type="cellIs" dxfId="26865" priority="13567" stopIfTrue="1" operator="equal">
      <formula>"Towel"</formula>
    </cfRule>
    <cfRule type="cellIs" dxfId="26864" priority="13568" stopIfTrue="1" operator="equal">
      <formula>"Napkin Hs"</formula>
    </cfRule>
    <cfRule type="cellIs" dxfId="26863" priority="13574" stopIfTrue="1" operator="equal">
      <formula>"Napkin Hs"</formula>
    </cfRule>
  </conditionalFormatting>
  <conditionalFormatting sqref="B13:C13">
    <cfRule type="cellIs" dxfId="26862" priority="13573" stopIfTrue="1" operator="equal">
      <formula>"Towel"</formula>
    </cfRule>
  </conditionalFormatting>
  <conditionalFormatting sqref="C13">
    <cfRule type="cellIs" dxfId="26861" priority="13484" stopIfTrue="1" operator="equal">
      <formula>"Napkin Hs"</formula>
    </cfRule>
    <cfRule type="cellIs" dxfId="26860" priority="13485" stopIfTrue="1" operator="equal">
      <formula>"Towel"</formula>
    </cfRule>
    <cfRule type="cellIs" dxfId="26859" priority="13486" stopIfTrue="1" operator="equal">
      <formula>"Napkin Hs"</formula>
    </cfRule>
    <cfRule type="cellIs" dxfId="26858" priority="13487" stopIfTrue="1" operator="equal">
      <formula>"Towel"</formula>
    </cfRule>
    <cfRule type="cellIs" dxfId="26857" priority="13488" stopIfTrue="1" operator="equal">
      <formula>"Napkin Hs"</formula>
    </cfRule>
    <cfRule type="cellIs" dxfId="26856" priority="13489" stopIfTrue="1" operator="equal">
      <formula>"Towel"</formula>
    </cfRule>
    <cfRule type="cellIs" dxfId="26855" priority="13490" stopIfTrue="1" operator="equal">
      <formula>"Napkin Hs"</formula>
    </cfRule>
    <cfRule type="cellIs" dxfId="26854" priority="13491" stopIfTrue="1" operator="equal">
      <formula>"Towel"</formula>
    </cfRule>
    <cfRule type="cellIs" dxfId="26853" priority="13492" stopIfTrue="1" operator="equal">
      <formula>"Napkin Hs"</formula>
    </cfRule>
    <cfRule type="cellIs" dxfId="26852" priority="13495" stopIfTrue="1" operator="equal">
      <formula>"Towel"</formula>
    </cfRule>
    <cfRule type="cellIs" dxfId="26851" priority="13496" stopIfTrue="1" operator="equal">
      <formula>"Napkin Hs"</formula>
    </cfRule>
    <cfRule type="cellIs" dxfId="26850" priority="13497" stopIfTrue="1" operator="equal">
      <formula>"Towel"</formula>
    </cfRule>
    <cfRule type="cellIs" dxfId="26849" priority="13498" stopIfTrue="1" operator="equal">
      <formula>"Napkin Hs"</formula>
    </cfRule>
    <cfRule type="cellIs" dxfId="26848" priority="13501" stopIfTrue="1" operator="equal">
      <formula>"Towel"</formula>
    </cfRule>
    <cfRule type="cellIs" dxfId="26847" priority="13502" stopIfTrue="1" operator="equal">
      <formula>"Napkin Hs"</formula>
    </cfRule>
    <cfRule type="cellIs" dxfId="26846" priority="13503" stopIfTrue="1" operator="equal">
      <formula>"Towel"</formula>
    </cfRule>
    <cfRule type="cellIs" dxfId="26845" priority="13504" stopIfTrue="1" operator="equal">
      <formula>"Napkin Hs"</formula>
    </cfRule>
    <cfRule type="cellIs" dxfId="26844" priority="13509" stopIfTrue="1" operator="equal">
      <formula>"Towel"</formula>
    </cfRule>
    <cfRule type="cellIs" dxfId="26843" priority="13510" stopIfTrue="1" operator="equal">
      <formula>"Napkin Hs"</formula>
    </cfRule>
    <cfRule type="cellIs" dxfId="26842" priority="13511" stopIfTrue="1" operator="equal">
      <formula>"Towel"</formula>
    </cfRule>
    <cfRule type="cellIs" dxfId="26841" priority="13512" stopIfTrue="1" operator="equal">
      <formula>"Napkin Hs"</formula>
    </cfRule>
    <cfRule type="cellIs" dxfId="26840" priority="13515" stopIfTrue="1" operator="equal">
      <formula>"Towel"</formula>
    </cfRule>
    <cfRule type="cellIs" dxfId="26839" priority="13516" stopIfTrue="1" operator="equal">
      <formula>"Napkin Hs"</formula>
    </cfRule>
    <cfRule type="cellIs" dxfId="26838" priority="13517" stopIfTrue="1" operator="equal">
      <formula>"Towel"</formula>
    </cfRule>
    <cfRule type="cellIs" dxfId="26837" priority="13518" stopIfTrue="1" operator="equal">
      <formula>"Napkin Hs"</formula>
    </cfRule>
    <cfRule type="cellIs" dxfId="26836" priority="13519" stopIfTrue="1" operator="equal">
      <formula>"Towel"</formula>
    </cfRule>
    <cfRule type="cellIs" dxfId="26835" priority="13520" stopIfTrue="1" operator="equal">
      <formula>"Napkin Hs"</formula>
    </cfRule>
    <cfRule type="cellIs" dxfId="26834" priority="13521" stopIfTrue="1" operator="equal">
      <formula>"Towel"</formula>
    </cfRule>
    <cfRule type="cellIs" dxfId="26833" priority="13522" stopIfTrue="1" operator="equal">
      <formula>"Napkin Hs"</formula>
    </cfRule>
    <cfRule type="cellIs" dxfId="26832" priority="13525" stopIfTrue="1" operator="equal">
      <formula>"Towel"</formula>
    </cfRule>
    <cfRule type="cellIs" dxfId="26831" priority="13526" stopIfTrue="1" operator="equal">
      <formula>"Napkin Hs"</formula>
    </cfRule>
    <cfRule type="cellIs" dxfId="26830" priority="13527" stopIfTrue="1" operator="equal">
      <formula>"Towel"</formula>
    </cfRule>
    <cfRule type="cellIs" dxfId="26829" priority="13528" stopIfTrue="1" operator="equal">
      <formula>"Napkin Hs"</formula>
    </cfRule>
    <cfRule type="cellIs" dxfId="26828" priority="13533" stopIfTrue="1" operator="equal">
      <formula>"Towel"</formula>
    </cfRule>
    <cfRule type="cellIs" dxfId="26827" priority="13534" stopIfTrue="1" operator="equal">
      <formula>"Napkin Hs"</formula>
    </cfRule>
    <cfRule type="cellIs" dxfId="26826" priority="13535" stopIfTrue="1" operator="equal">
      <formula>"Towel"</formula>
    </cfRule>
    <cfRule type="cellIs" dxfId="26825" priority="13536" stopIfTrue="1" operator="equal">
      <formula>"Napkin Hs"</formula>
    </cfRule>
    <cfRule type="cellIs" dxfId="26824" priority="13539" stopIfTrue="1" operator="equal">
      <formula>"Towel"</formula>
    </cfRule>
    <cfRule type="cellIs" dxfId="26823" priority="13540" stopIfTrue="1" operator="equal">
      <formula>"Napkin Hs"</formula>
    </cfRule>
    <cfRule type="cellIs" dxfId="26822" priority="13541" stopIfTrue="1" operator="equal">
      <formula>"Towel"</formula>
    </cfRule>
    <cfRule type="cellIs" dxfId="26821" priority="13542" stopIfTrue="1" operator="equal">
      <formula>"Napkin Hs"</formula>
    </cfRule>
    <cfRule type="cellIs" dxfId="26820" priority="13543" stopIfTrue="1" operator="equal">
      <formula>"Towel"</formula>
    </cfRule>
    <cfRule type="cellIs" dxfId="26819" priority="13544" stopIfTrue="1" operator="equal">
      <formula>"Napkin Hs"</formula>
    </cfRule>
    <cfRule type="cellIs" dxfId="26818" priority="13545" stopIfTrue="1" operator="equal">
      <formula>"Towel"</formula>
    </cfRule>
    <cfRule type="cellIs" dxfId="26817" priority="13546" stopIfTrue="1" operator="equal">
      <formula>"Napkin Hs"</formula>
    </cfRule>
    <cfRule type="cellIs" dxfId="26816" priority="13551" stopIfTrue="1" operator="equal">
      <formula>"Towel"</formula>
    </cfRule>
    <cfRule type="cellIs" dxfId="26815" priority="13552" stopIfTrue="1" operator="equal">
      <formula>"Napkin Hs"</formula>
    </cfRule>
    <cfRule type="cellIs" dxfId="26814" priority="13553" stopIfTrue="1" operator="equal">
      <formula>"Towel"</formula>
    </cfRule>
    <cfRule type="cellIs" dxfId="26813" priority="13554" stopIfTrue="1" operator="equal">
      <formula>"Napkin Hs"</formula>
    </cfRule>
    <cfRule type="cellIs" dxfId="26812" priority="13557" stopIfTrue="1" operator="equal">
      <formula>"Towel"</formula>
    </cfRule>
    <cfRule type="cellIs" dxfId="26811" priority="13558" stopIfTrue="1" operator="equal">
      <formula>"Napkin Hs"</formula>
    </cfRule>
    <cfRule type="cellIs" dxfId="26810" priority="13559" stopIfTrue="1" operator="equal">
      <formula>"Towel"</formula>
    </cfRule>
    <cfRule type="cellIs" dxfId="26809" priority="13560" stopIfTrue="1" operator="equal">
      <formula>"Napkin Hs"</formula>
    </cfRule>
    <cfRule type="cellIs" dxfId="26808" priority="13561" stopIfTrue="1" operator="equal">
      <formula>"Towel"</formula>
    </cfRule>
    <cfRule type="cellIs" dxfId="26807" priority="13562" stopIfTrue="1" operator="equal">
      <formula>"Napkin Hs"</formula>
    </cfRule>
    <cfRule type="cellIs" dxfId="26806" priority="13563" stopIfTrue="1" operator="equal">
      <formula>"Towel"</formula>
    </cfRule>
    <cfRule type="cellIs" dxfId="26805" priority="13564" stopIfTrue="1" operator="equal">
      <formula>"Napkin Hs"</formula>
    </cfRule>
    <cfRule type="cellIs" dxfId="26804" priority="13569" stopIfTrue="1" operator="equal">
      <formula>"Towel"</formula>
    </cfRule>
    <cfRule type="cellIs" dxfId="26803" priority="13570" stopIfTrue="1" operator="equal">
      <formula>"Napkin Hs"</formula>
    </cfRule>
    <cfRule type="cellIs" dxfId="26802" priority="13571" stopIfTrue="1" operator="equal">
      <formula>"Towel"</formula>
    </cfRule>
    <cfRule type="cellIs" dxfId="26801" priority="13572" stopIfTrue="1" operator="equal">
      <formula>"Napkin Hs"</formula>
    </cfRule>
    <cfRule type="cellIs" dxfId="26800" priority="13575" stopIfTrue="1" operator="equal">
      <formula>"Towel"</formula>
    </cfRule>
    <cfRule type="cellIs" dxfId="26799" priority="13576" stopIfTrue="1" operator="equal">
      <formula>"Napkin Hs"</formula>
    </cfRule>
    <cfRule type="cellIs" dxfId="26798" priority="13577" stopIfTrue="1" operator="equal">
      <formula>"Towel"</formula>
    </cfRule>
    <cfRule type="cellIs" dxfId="26797" priority="13578" stopIfTrue="1" operator="equal">
      <formula>"Napkin Hs"</formula>
    </cfRule>
  </conditionalFormatting>
  <conditionalFormatting sqref="B18:C18">
    <cfRule type="cellIs" dxfId="26796" priority="13458" stopIfTrue="1" operator="equal">
      <formula>"Towel"</formula>
    </cfRule>
  </conditionalFormatting>
  <conditionalFormatting sqref="B18:C18">
    <cfRule type="cellIs" dxfId="26795" priority="13459" stopIfTrue="1" operator="equal">
      <formula>"Napkin Hs"</formula>
    </cfRule>
    <cfRule type="cellIs" dxfId="26794" priority="13464" stopIfTrue="1" operator="equal">
      <formula>"Towel"</formula>
    </cfRule>
    <cfRule type="cellIs" dxfId="26793" priority="13465" stopIfTrue="1" operator="equal">
      <formula>"Napkin Hs"</formula>
    </cfRule>
    <cfRule type="cellIs" dxfId="26792" priority="13474" stopIfTrue="1" operator="equal">
      <formula>"Towel"</formula>
    </cfRule>
    <cfRule type="cellIs" dxfId="26791" priority="13475" stopIfTrue="1" operator="equal">
      <formula>"Napkin Hs"</formula>
    </cfRule>
    <cfRule type="cellIs" dxfId="26790" priority="13480" stopIfTrue="1" operator="equal">
      <formula>"Towel"</formula>
    </cfRule>
    <cfRule type="cellIs" dxfId="26789" priority="13481" stopIfTrue="1" operator="equal">
      <formula>"Napkin Hs"</formula>
    </cfRule>
  </conditionalFormatting>
  <conditionalFormatting sqref="C18">
    <cfRule type="cellIs" dxfId="26788" priority="13460" stopIfTrue="1" operator="equal">
      <formula>"Towel"</formula>
    </cfRule>
    <cfRule type="cellIs" dxfId="26787" priority="13461" stopIfTrue="1" operator="equal">
      <formula>"Napkin Hs"</formula>
    </cfRule>
    <cfRule type="cellIs" dxfId="26786" priority="13462" stopIfTrue="1" operator="equal">
      <formula>"Towel"</formula>
    </cfRule>
    <cfRule type="cellIs" dxfId="26785" priority="13463" stopIfTrue="1" operator="equal">
      <formula>"Napkin Hs"</formula>
    </cfRule>
    <cfRule type="cellIs" dxfId="26784" priority="13466" stopIfTrue="1" operator="equal">
      <formula>"Towel"</formula>
    </cfRule>
    <cfRule type="cellIs" dxfId="26783" priority="13467" stopIfTrue="1" operator="equal">
      <formula>"Napkin Hs"</formula>
    </cfRule>
    <cfRule type="cellIs" dxfId="26782" priority="13468" stopIfTrue="1" operator="equal">
      <formula>"Towel"</formula>
    </cfRule>
    <cfRule type="cellIs" dxfId="26781" priority="13469" stopIfTrue="1" operator="equal">
      <formula>"Napkin Hs"</formula>
    </cfRule>
    <cfRule type="cellIs" dxfId="26780" priority="13470" stopIfTrue="1" operator="equal">
      <formula>"Towel"</formula>
    </cfRule>
    <cfRule type="cellIs" dxfId="26779" priority="13471" stopIfTrue="1" operator="equal">
      <formula>"Napkin Hs"</formula>
    </cfRule>
    <cfRule type="cellIs" dxfId="26778" priority="13472" stopIfTrue="1" operator="equal">
      <formula>"Towel"</formula>
    </cfRule>
    <cfRule type="cellIs" dxfId="26777" priority="13473" stopIfTrue="1" operator="equal">
      <formula>"Napkin Hs"</formula>
    </cfRule>
    <cfRule type="cellIs" dxfId="26776" priority="13476" stopIfTrue="1" operator="equal">
      <formula>"Towel"</formula>
    </cfRule>
    <cfRule type="cellIs" dxfId="26775" priority="13477" stopIfTrue="1" operator="equal">
      <formula>"Napkin Hs"</formula>
    </cfRule>
    <cfRule type="cellIs" dxfId="26774" priority="13479" stopIfTrue="1" operator="equal">
      <formula>"Napkin Hs"</formula>
    </cfRule>
  </conditionalFormatting>
  <conditionalFormatting sqref="C18">
    <cfRule type="cellIs" dxfId="26773" priority="13478" stopIfTrue="1" operator="equal">
      <formula>"Towel"</formula>
    </cfRule>
  </conditionalFormatting>
  <conditionalFormatting sqref="B18:C18">
    <cfRule type="cellIs" dxfId="26772" priority="13456" stopIfTrue="1" operator="equal">
      <formula>"Towel"</formula>
    </cfRule>
    <cfRule type="cellIs" dxfId="26771" priority="13457" stopIfTrue="1" operator="equal">
      <formula>"Napkin Hs"</formula>
    </cfRule>
  </conditionalFormatting>
  <conditionalFormatting sqref="C18">
    <cfRule type="cellIs" dxfId="26770" priority="13455" stopIfTrue="1" operator="equal">
      <formula>"Napkin Hs"</formula>
    </cfRule>
  </conditionalFormatting>
  <conditionalFormatting sqref="C18">
    <cfRule type="cellIs" dxfId="26769" priority="13454" stopIfTrue="1" operator="equal">
      <formula>"Towel"</formula>
    </cfRule>
  </conditionalFormatting>
  <conditionalFormatting sqref="C18">
    <cfRule type="cellIs" dxfId="26768" priority="13452" stopIfTrue="1" operator="equal">
      <formula>"Towel"</formula>
    </cfRule>
  </conditionalFormatting>
  <conditionalFormatting sqref="C18">
    <cfRule type="cellIs" dxfId="26767" priority="13453" stopIfTrue="1" operator="equal">
      <formula>"Napkin Hs"</formula>
    </cfRule>
  </conditionalFormatting>
  <conditionalFormatting sqref="B18">
    <cfRule type="cellIs" dxfId="26766" priority="13356" stopIfTrue="1" operator="equal">
      <formula>"Napkin Hs"</formula>
    </cfRule>
  </conditionalFormatting>
  <conditionalFormatting sqref="B18:C18">
    <cfRule type="cellIs" dxfId="26765" priority="13355" stopIfTrue="1" operator="equal">
      <formula>"Towel"</formula>
    </cfRule>
  </conditionalFormatting>
  <conditionalFormatting sqref="B18:C18">
    <cfRule type="cellIs" dxfId="26764" priority="13366" stopIfTrue="1" operator="equal">
      <formula>"Towel"</formula>
    </cfRule>
    <cfRule type="cellIs" dxfId="26763" priority="13367" stopIfTrue="1" operator="equal">
      <formula>"Napkin Hs"</formula>
    </cfRule>
    <cfRule type="cellIs" dxfId="26762" priority="13372" stopIfTrue="1" operator="equal">
      <formula>"Towel"</formula>
    </cfRule>
    <cfRule type="cellIs" dxfId="26761" priority="13373" stopIfTrue="1" operator="equal">
      <formula>"Napkin Hs"</formula>
    </cfRule>
    <cfRule type="cellIs" dxfId="26760" priority="13378" stopIfTrue="1" operator="equal">
      <formula>"Towel"</formula>
    </cfRule>
    <cfRule type="cellIs" dxfId="26759" priority="13379" stopIfTrue="1" operator="equal">
      <formula>"Napkin Hs"</formula>
    </cfRule>
    <cfRule type="cellIs" dxfId="26758" priority="13380" stopIfTrue="1" operator="equal">
      <formula>"Towel"</formula>
    </cfRule>
    <cfRule type="cellIs" dxfId="26757" priority="13381" stopIfTrue="1" operator="equal">
      <formula>"Napkin Hs"</formula>
    </cfRule>
    <cfRule type="cellIs" dxfId="26756" priority="13386" stopIfTrue="1" operator="equal">
      <formula>"Towel"</formula>
    </cfRule>
    <cfRule type="cellIs" dxfId="26755" priority="13387" stopIfTrue="1" operator="equal">
      <formula>"Napkin Hs"</formula>
    </cfRule>
    <cfRule type="cellIs" dxfId="26754" priority="13396" stopIfTrue="1" operator="equal">
      <formula>"Towel"</formula>
    </cfRule>
    <cfRule type="cellIs" dxfId="26753" priority="13397" stopIfTrue="1" operator="equal">
      <formula>"Napkin Hs"</formula>
    </cfRule>
    <cfRule type="cellIs" dxfId="26752" priority="13402" stopIfTrue="1" operator="equal">
      <formula>"Towel"</formula>
    </cfRule>
    <cfRule type="cellIs" dxfId="26751" priority="13403" stopIfTrue="1" operator="equal">
      <formula>"Napkin Hs"</formula>
    </cfRule>
    <cfRule type="cellIs" dxfId="26750" priority="13404" stopIfTrue="1" operator="equal">
      <formula>"Towel"</formula>
    </cfRule>
    <cfRule type="cellIs" dxfId="26749" priority="13405" stopIfTrue="1" operator="equal">
      <formula>"Napkin Hs"</formula>
    </cfRule>
    <cfRule type="cellIs" dxfId="26748" priority="13410" stopIfTrue="1" operator="equal">
      <formula>"Towel"</formula>
    </cfRule>
    <cfRule type="cellIs" dxfId="26747" priority="13411" stopIfTrue="1" operator="equal">
      <formula>"Napkin Hs"</formula>
    </cfRule>
    <cfRule type="cellIs" dxfId="26746" priority="13420" stopIfTrue="1" operator="equal">
      <formula>"Towel"</formula>
    </cfRule>
    <cfRule type="cellIs" dxfId="26745" priority="13421" stopIfTrue="1" operator="equal">
      <formula>"Napkin Hs"</formula>
    </cfRule>
    <cfRule type="cellIs" dxfId="26744" priority="13422" stopIfTrue="1" operator="equal">
      <formula>"Towel"</formula>
    </cfRule>
    <cfRule type="cellIs" dxfId="26743" priority="13423" stopIfTrue="1" operator="equal">
      <formula>"Napkin Hs"</formula>
    </cfRule>
    <cfRule type="cellIs" dxfId="26742" priority="13428" stopIfTrue="1" operator="equal">
      <formula>"Towel"</formula>
    </cfRule>
    <cfRule type="cellIs" dxfId="26741" priority="13429" stopIfTrue="1" operator="equal">
      <formula>"Napkin Hs"</formula>
    </cfRule>
    <cfRule type="cellIs" dxfId="26740" priority="13438" stopIfTrue="1" operator="equal">
      <formula>"Towel"</formula>
    </cfRule>
    <cfRule type="cellIs" dxfId="26739" priority="13439" stopIfTrue="1" operator="equal">
      <formula>"Napkin Hs"</formula>
    </cfRule>
    <cfRule type="cellIs" dxfId="26738" priority="13440" stopIfTrue="1" operator="equal">
      <formula>"Towel"</formula>
    </cfRule>
    <cfRule type="cellIs" dxfId="26737" priority="13441" stopIfTrue="1" operator="equal">
      <formula>"Napkin Hs"</formula>
    </cfRule>
    <cfRule type="cellIs" dxfId="26736" priority="13447" stopIfTrue="1" operator="equal">
      <formula>"Napkin Hs"</formula>
    </cfRule>
  </conditionalFormatting>
  <conditionalFormatting sqref="B18:C18">
    <cfRule type="cellIs" dxfId="26735" priority="13446" stopIfTrue="1" operator="equal">
      <formula>"Towel"</formula>
    </cfRule>
  </conditionalFormatting>
  <conditionalFormatting sqref="C18">
    <cfRule type="cellIs" dxfId="26734" priority="13357" stopIfTrue="1" operator="equal">
      <formula>"Napkin Hs"</formula>
    </cfRule>
    <cfRule type="cellIs" dxfId="26733" priority="13358" stopIfTrue="1" operator="equal">
      <formula>"Towel"</formula>
    </cfRule>
    <cfRule type="cellIs" dxfId="26732" priority="13359" stopIfTrue="1" operator="equal">
      <formula>"Napkin Hs"</formula>
    </cfRule>
    <cfRule type="cellIs" dxfId="26731" priority="13360" stopIfTrue="1" operator="equal">
      <formula>"Towel"</formula>
    </cfRule>
    <cfRule type="cellIs" dxfId="26730" priority="13361" stopIfTrue="1" operator="equal">
      <formula>"Napkin Hs"</formula>
    </cfRule>
    <cfRule type="cellIs" dxfId="26729" priority="13362" stopIfTrue="1" operator="equal">
      <formula>"Towel"</formula>
    </cfRule>
    <cfRule type="cellIs" dxfId="26728" priority="13363" stopIfTrue="1" operator="equal">
      <formula>"Napkin Hs"</formula>
    </cfRule>
    <cfRule type="cellIs" dxfId="26727" priority="13364" stopIfTrue="1" operator="equal">
      <formula>"Towel"</formula>
    </cfRule>
    <cfRule type="cellIs" dxfId="26726" priority="13365" stopIfTrue="1" operator="equal">
      <formula>"Napkin Hs"</formula>
    </cfRule>
    <cfRule type="cellIs" dxfId="26725" priority="13368" stopIfTrue="1" operator="equal">
      <formula>"Towel"</formula>
    </cfRule>
    <cfRule type="cellIs" dxfId="26724" priority="13369" stopIfTrue="1" operator="equal">
      <formula>"Napkin Hs"</formula>
    </cfRule>
    <cfRule type="cellIs" dxfId="26723" priority="13370" stopIfTrue="1" operator="equal">
      <formula>"Towel"</formula>
    </cfRule>
    <cfRule type="cellIs" dxfId="26722" priority="13371" stopIfTrue="1" operator="equal">
      <formula>"Napkin Hs"</formula>
    </cfRule>
    <cfRule type="cellIs" dxfId="26721" priority="13374" stopIfTrue="1" operator="equal">
      <formula>"Towel"</formula>
    </cfRule>
    <cfRule type="cellIs" dxfId="26720" priority="13375" stopIfTrue="1" operator="equal">
      <formula>"Napkin Hs"</formula>
    </cfRule>
    <cfRule type="cellIs" dxfId="26719" priority="13376" stopIfTrue="1" operator="equal">
      <formula>"Towel"</formula>
    </cfRule>
    <cfRule type="cellIs" dxfId="26718" priority="13377" stopIfTrue="1" operator="equal">
      <formula>"Napkin Hs"</formula>
    </cfRule>
    <cfRule type="cellIs" dxfId="26717" priority="13382" stopIfTrue="1" operator="equal">
      <formula>"Towel"</formula>
    </cfRule>
    <cfRule type="cellIs" dxfId="26716" priority="13383" stopIfTrue="1" operator="equal">
      <formula>"Napkin Hs"</formula>
    </cfRule>
    <cfRule type="cellIs" dxfId="26715" priority="13384" stopIfTrue="1" operator="equal">
      <formula>"Towel"</formula>
    </cfRule>
    <cfRule type="cellIs" dxfId="26714" priority="13385" stopIfTrue="1" operator="equal">
      <formula>"Napkin Hs"</formula>
    </cfRule>
    <cfRule type="cellIs" dxfId="26713" priority="13388" stopIfTrue="1" operator="equal">
      <formula>"Towel"</formula>
    </cfRule>
    <cfRule type="cellIs" dxfId="26712" priority="13389" stopIfTrue="1" operator="equal">
      <formula>"Napkin Hs"</formula>
    </cfRule>
    <cfRule type="cellIs" dxfId="26711" priority="13390" stopIfTrue="1" operator="equal">
      <formula>"Towel"</formula>
    </cfRule>
    <cfRule type="cellIs" dxfId="26710" priority="13391" stopIfTrue="1" operator="equal">
      <formula>"Napkin Hs"</formula>
    </cfRule>
    <cfRule type="cellIs" dxfId="26709" priority="13392" stopIfTrue="1" operator="equal">
      <formula>"Towel"</formula>
    </cfRule>
    <cfRule type="cellIs" dxfId="26708" priority="13393" stopIfTrue="1" operator="equal">
      <formula>"Napkin Hs"</formula>
    </cfRule>
    <cfRule type="cellIs" dxfId="26707" priority="13394" stopIfTrue="1" operator="equal">
      <formula>"Towel"</formula>
    </cfRule>
    <cfRule type="cellIs" dxfId="26706" priority="13395" stopIfTrue="1" operator="equal">
      <formula>"Napkin Hs"</formula>
    </cfRule>
    <cfRule type="cellIs" dxfId="26705" priority="13398" stopIfTrue="1" operator="equal">
      <formula>"Towel"</formula>
    </cfRule>
    <cfRule type="cellIs" dxfId="26704" priority="13399" stopIfTrue="1" operator="equal">
      <formula>"Napkin Hs"</formula>
    </cfRule>
    <cfRule type="cellIs" dxfId="26703" priority="13400" stopIfTrue="1" operator="equal">
      <formula>"Towel"</formula>
    </cfRule>
    <cfRule type="cellIs" dxfId="26702" priority="13401" stopIfTrue="1" operator="equal">
      <formula>"Napkin Hs"</formula>
    </cfRule>
    <cfRule type="cellIs" dxfId="26701" priority="13406" stopIfTrue="1" operator="equal">
      <formula>"Towel"</formula>
    </cfRule>
    <cfRule type="cellIs" dxfId="26700" priority="13407" stopIfTrue="1" operator="equal">
      <formula>"Napkin Hs"</formula>
    </cfRule>
    <cfRule type="cellIs" dxfId="26699" priority="13408" stopIfTrue="1" operator="equal">
      <formula>"Towel"</formula>
    </cfRule>
    <cfRule type="cellIs" dxfId="26698" priority="13409" stopIfTrue="1" operator="equal">
      <formula>"Napkin Hs"</formula>
    </cfRule>
    <cfRule type="cellIs" dxfId="26697" priority="13412" stopIfTrue="1" operator="equal">
      <formula>"Towel"</formula>
    </cfRule>
    <cfRule type="cellIs" dxfId="26696" priority="13413" stopIfTrue="1" operator="equal">
      <formula>"Napkin Hs"</formula>
    </cfRule>
    <cfRule type="cellIs" dxfId="26695" priority="13414" stopIfTrue="1" operator="equal">
      <formula>"Towel"</formula>
    </cfRule>
    <cfRule type="cellIs" dxfId="26694" priority="13415" stopIfTrue="1" operator="equal">
      <formula>"Napkin Hs"</formula>
    </cfRule>
    <cfRule type="cellIs" dxfId="26693" priority="13416" stopIfTrue="1" operator="equal">
      <formula>"Towel"</formula>
    </cfRule>
    <cfRule type="cellIs" dxfId="26692" priority="13417" stopIfTrue="1" operator="equal">
      <formula>"Napkin Hs"</formula>
    </cfRule>
    <cfRule type="cellIs" dxfId="26691" priority="13418" stopIfTrue="1" operator="equal">
      <formula>"Towel"</formula>
    </cfRule>
    <cfRule type="cellIs" dxfId="26690" priority="13419" stopIfTrue="1" operator="equal">
      <formula>"Napkin Hs"</formula>
    </cfRule>
    <cfRule type="cellIs" dxfId="26689" priority="13424" stopIfTrue="1" operator="equal">
      <formula>"Towel"</formula>
    </cfRule>
    <cfRule type="cellIs" dxfId="26688" priority="13425" stopIfTrue="1" operator="equal">
      <formula>"Napkin Hs"</formula>
    </cfRule>
    <cfRule type="cellIs" dxfId="26687" priority="13426" stopIfTrue="1" operator="equal">
      <formula>"Towel"</formula>
    </cfRule>
    <cfRule type="cellIs" dxfId="26686" priority="13427" stopIfTrue="1" operator="equal">
      <formula>"Napkin Hs"</formula>
    </cfRule>
    <cfRule type="cellIs" dxfId="26685" priority="13430" stopIfTrue="1" operator="equal">
      <formula>"Towel"</formula>
    </cfRule>
    <cfRule type="cellIs" dxfId="26684" priority="13431" stopIfTrue="1" operator="equal">
      <formula>"Napkin Hs"</formula>
    </cfRule>
    <cfRule type="cellIs" dxfId="26683" priority="13432" stopIfTrue="1" operator="equal">
      <formula>"Towel"</formula>
    </cfRule>
    <cfRule type="cellIs" dxfId="26682" priority="13433" stopIfTrue="1" operator="equal">
      <formula>"Napkin Hs"</formula>
    </cfRule>
    <cfRule type="cellIs" dxfId="26681" priority="13434" stopIfTrue="1" operator="equal">
      <formula>"Towel"</formula>
    </cfRule>
    <cfRule type="cellIs" dxfId="26680" priority="13435" stopIfTrue="1" operator="equal">
      <formula>"Napkin Hs"</formula>
    </cfRule>
    <cfRule type="cellIs" dxfId="26679" priority="13436" stopIfTrue="1" operator="equal">
      <formula>"Towel"</formula>
    </cfRule>
    <cfRule type="cellIs" dxfId="26678" priority="13437" stopIfTrue="1" operator="equal">
      <formula>"Napkin Hs"</formula>
    </cfRule>
    <cfRule type="cellIs" dxfId="26677" priority="13442" stopIfTrue="1" operator="equal">
      <formula>"Towel"</formula>
    </cfRule>
    <cfRule type="cellIs" dxfId="26676" priority="13443" stopIfTrue="1" operator="equal">
      <formula>"Napkin Hs"</formula>
    </cfRule>
    <cfRule type="cellIs" dxfId="26675" priority="13444" stopIfTrue="1" operator="equal">
      <formula>"Towel"</formula>
    </cfRule>
    <cfRule type="cellIs" dxfId="26674" priority="13445" stopIfTrue="1" operator="equal">
      <formula>"Napkin Hs"</formula>
    </cfRule>
    <cfRule type="cellIs" dxfId="26673" priority="13448" stopIfTrue="1" operator="equal">
      <formula>"Towel"</formula>
    </cfRule>
    <cfRule type="cellIs" dxfId="26672" priority="13449" stopIfTrue="1" operator="equal">
      <formula>"Napkin Hs"</formula>
    </cfRule>
    <cfRule type="cellIs" dxfId="26671" priority="13450" stopIfTrue="1" operator="equal">
      <formula>"Towel"</formula>
    </cfRule>
    <cfRule type="cellIs" dxfId="26670" priority="13451" stopIfTrue="1" operator="equal">
      <formula>"Napkin Hs"</formula>
    </cfRule>
  </conditionalFormatting>
  <conditionalFormatting sqref="C16">
    <cfRule type="cellIs" dxfId="26669" priority="13351" stopIfTrue="1" operator="equal">
      <formula>"Towel"</formula>
    </cfRule>
    <cfRule type="cellIs" dxfId="26668" priority="13352" stopIfTrue="1" operator="equal">
      <formula>"Napkin Hs"</formula>
    </cfRule>
  </conditionalFormatting>
  <conditionalFormatting sqref="C16">
    <cfRule type="cellIs" dxfId="26667" priority="13353" stopIfTrue="1" operator="equal">
      <formula>"Towel"</formula>
    </cfRule>
    <cfRule type="cellIs" dxfId="26666" priority="13354" stopIfTrue="1" operator="equal">
      <formula>"Napkin Hs"</formula>
    </cfRule>
  </conditionalFormatting>
  <conditionalFormatting sqref="C16">
    <cfRule type="cellIs" dxfId="26665" priority="13349" stopIfTrue="1" operator="equal">
      <formula>"Towel"</formula>
    </cfRule>
    <cfRule type="cellIs" dxfId="26664" priority="13350" stopIfTrue="1" operator="equal">
      <formula>"Napkin Hs"</formula>
    </cfRule>
  </conditionalFormatting>
  <conditionalFormatting sqref="B16">
    <cfRule type="cellIs" dxfId="26663" priority="13347" stopIfTrue="1" operator="equal">
      <formula>"Towel"</formula>
    </cfRule>
    <cfRule type="cellIs" dxfId="26662" priority="13348" stopIfTrue="1" operator="equal">
      <formula>"Napkin Hs"</formula>
    </cfRule>
  </conditionalFormatting>
  <conditionalFormatting sqref="B15:C15">
    <cfRule type="cellIs" dxfId="26661" priority="13323" stopIfTrue="1" operator="equal">
      <formula>"Towel"</formula>
    </cfRule>
  </conditionalFormatting>
  <conditionalFormatting sqref="B15:C15">
    <cfRule type="cellIs" dxfId="26660" priority="13324" stopIfTrue="1" operator="equal">
      <formula>"Napkin Hs"</formula>
    </cfRule>
    <cfRule type="cellIs" dxfId="26659" priority="13329" stopIfTrue="1" operator="equal">
      <formula>"Towel"</formula>
    </cfRule>
    <cfRule type="cellIs" dxfId="26658" priority="13330" stopIfTrue="1" operator="equal">
      <formula>"Napkin Hs"</formula>
    </cfRule>
    <cfRule type="cellIs" dxfId="26657" priority="13339" stopIfTrue="1" operator="equal">
      <formula>"Towel"</formula>
    </cfRule>
    <cfRule type="cellIs" dxfId="26656" priority="13340" stopIfTrue="1" operator="equal">
      <formula>"Napkin Hs"</formula>
    </cfRule>
    <cfRule type="cellIs" dxfId="26655" priority="13345" stopIfTrue="1" operator="equal">
      <formula>"Towel"</formula>
    </cfRule>
    <cfRule type="cellIs" dxfId="26654" priority="13346" stopIfTrue="1" operator="equal">
      <formula>"Napkin Hs"</formula>
    </cfRule>
  </conditionalFormatting>
  <conditionalFormatting sqref="C15">
    <cfRule type="cellIs" dxfId="26653" priority="13325" stopIfTrue="1" operator="equal">
      <formula>"Towel"</formula>
    </cfRule>
    <cfRule type="cellIs" dxfId="26652" priority="13326" stopIfTrue="1" operator="equal">
      <formula>"Napkin Hs"</formula>
    </cfRule>
    <cfRule type="cellIs" dxfId="26651" priority="13327" stopIfTrue="1" operator="equal">
      <formula>"Towel"</formula>
    </cfRule>
    <cfRule type="cellIs" dxfId="26650" priority="13328" stopIfTrue="1" operator="equal">
      <formula>"Napkin Hs"</formula>
    </cfRule>
    <cfRule type="cellIs" dxfId="26649" priority="13331" stopIfTrue="1" operator="equal">
      <formula>"Towel"</formula>
    </cfRule>
    <cfRule type="cellIs" dxfId="26648" priority="13332" stopIfTrue="1" operator="equal">
      <formula>"Napkin Hs"</formula>
    </cfRule>
    <cfRule type="cellIs" dxfId="26647" priority="13333" stopIfTrue="1" operator="equal">
      <formula>"Towel"</formula>
    </cfRule>
    <cfRule type="cellIs" dxfId="26646" priority="13334" stopIfTrue="1" operator="equal">
      <formula>"Napkin Hs"</formula>
    </cfRule>
    <cfRule type="cellIs" dxfId="26645" priority="13335" stopIfTrue="1" operator="equal">
      <formula>"Towel"</formula>
    </cfRule>
    <cfRule type="cellIs" dxfId="26644" priority="13336" stopIfTrue="1" operator="equal">
      <formula>"Napkin Hs"</formula>
    </cfRule>
    <cfRule type="cellIs" dxfId="26643" priority="13337" stopIfTrue="1" operator="equal">
      <formula>"Towel"</formula>
    </cfRule>
    <cfRule type="cellIs" dxfId="26642" priority="13338" stopIfTrue="1" operator="equal">
      <formula>"Napkin Hs"</formula>
    </cfRule>
    <cfRule type="cellIs" dxfId="26641" priority="13341" stopIfTrue="1" operator="equal">
      <formula>"Towel"</formula>
    </cfRule>
    <cfRule type="cellIs" dxfId="26640" priority="13342" stopIfTrue="1" operator="equal">
      <formula>"Napkin Hs"</formula>
    </cfRule>
    <cfRule type="cellIs" dxfId="26639" priority="13344" stopIfTrue="1" operator="equal">
      <formula>"Napkin Hs"</formula>
    </cfRule>
  </conditionalFormatting>
  <conditionalFormatting sqref="C15">
    <cfRule type="cellIs" dxfId="26638" priority="13343" stopIfTrue="1" operator="equal">
      <formula>"Towel"</formula>
    </cfRule>
  </conditionalFormatting>
  <conditionalFormatting sqref="B15:C15">
    <cfRule type="cellIs" dxfId="26637" priority="13321" stopIfTrue="1" operator="equal">
      <formula>"Towel"</formula>
    </cfRule>
    <cfRule type="cellIs" dxfId="26636" priority="13322" stopIfTrue="1" operator="equal">
      <formula>"Napkin Hs"</formula>
    </cfRule>
  </conditionalFormatting>
  <conditionalFormatting sqref="C15">
    <cfRule type="cellIs" dxfId="26635" priority="13320" stopIfTrue="1" operator="equal">
      <formula>"Napkin Hs"</formula>
    </cfRule>
  </conditionalFormatting>
  <conditionalFormatting sqref="C15">
    <cfRule type="cellIs" dxfId="26634" priority="13319" stopIfTrue="1" operator="equal">
      <formula>"Towel"</formula>
    </cfRule>
  </conditionalFormatting>
  <conditionalFormatting sqref="C15">
    <cfRule type="cellIs" dxfId="26633" priority="13317" stopIfTrue="1" operator="equal">
      <formula>"Towel"</formula>
    </cfRule>
  </conditionalFormatting>
  <conditionalFormatting sqref="C15">
    <cfRule type="cellIs" dxfId="26632" priority="13318" stopIfTrue="1" operator="equal">
      <formula>"Napkin Hs"</formula>
    </cfRule>
  </conditionalFormatting>
  <conditionalFormatting sqref="B15">
    <cfRule type="cellIs" dxfId="26631" priority="13221" stopIfTrue="1" operator="equal">
      <formula>"Napkin Hs"</formula>
    </cfRule>
  </conditionalFormatting>
  <conditionalFormatting sqref="B15:C15">
    <cfRule type="cellIs" dxfId="26630" priority="13220" stopIfTrue="1" operator="equal">
      <formula>"Towel"</formula>
    </cfRule>
  </conditionalFormatting>
  <conditionalFormatting sqref="B15:C15">
    <cfRule type="cellIs" dxfId="26629" priority="13231" stopIfTrue="1" operator="equal">
      <formula>"Towel"</formula>
    </cfRule>
    <cfRule type="cellIs" dxfId="26628" priority="13232" stopIfTrue="1" operator="equal">
      <formula>"Napkin Hs"</formula>
    </cfRule>
    <cfRule type="cellIs" dxfId="26627" priority="13237" stopIfTrue="1" operator="equal">
      <formula>"Towel"</formula>
    </cfRule>
    <cfRule type="cellIs" dxfId="26626" priority="13238" stopIfTrue="1" operator="equal">
      <formula>"Napkin Hs"</formula>
    </cfRule>
    <cfRule type="cellIs" dxfId="26625" priority="13243" stopIfTrue="1" operator="equal">
      <formula>"Towel"</formula>
    </cfRule>
    <cfRule type="cellIs" dxfId="26624" priority="13244" stopIfTrue="1" operator="equal">
      <formula>"Napkin Hs"</formula>
    </cfRule>
    <cfRule type="cellIs" dxfId="26623" priority="13245" stopIfTrue="1" operator="equal">
      <formula>"Towel"</formula>
    </cfRule>
    <cfRule type="cellIs" dxfId="26622" priority="13246" stopIfTrue="1" operator="equal">
      <formula>"Napkin Hs"</formula>
    </cfRule>
    <cfRule type="cellIs" dxfId="26621" priority="13251" stopIfTrue="1" operator="equal">
      <formula>"Towel"</formula>
    </cfRule>
    <cfRule type="cellIs" dxfId="26620" priority="13252" stopIfTrue="1" operator="equal">
      <formula>"Napkin Hs"</formula>
    </cfRule>
    <cfRule type="cellIs" dxfId="26619" priority="13261" stopIfTrue="1" operator="equal">
      <formula>"Towel"</formula>
    </cfRule>
    <cfRule type="cellIs" dxfId="26618" priority="13262" stopIfTrue="1" operator="equal">
      <formula>"Napkin Hs"</formula>
    </cfRule>
    <cfRule type="cellIs" dxfId="26617" priority="13267" stopIfTrue="1" operator="equal">
      <formula>"Towel"</formula>
    </cfRule>
    <cfRule type="cellIs" dxfId="26616" priority="13268" stopIfTrue="1" operator="equal">
      <formula>"Napkin Hs"</formula>
    </cfRule>
    <cfRule type="cellIs" dxfId="26615" priority="13269" stopIfTrue="1" operator="equal">
      <formula>"Towel"</formula>
    </cfRule>
    <cfRule type="cellIs" dxfId="26614" priority="13270" stopIfTrue="1" operator="equal">
      <formula>"Napkin Hs"</formula>
    </cfRule>
    <cfRule type="cellIs" dxfId="26613" priority="13275" stopIfTrue="1" operator="equal">
      <formula>"Towel"</formula>
    </cfRule>
    <cfRule type="cellIs" dxfId="26612" priority="13276" stopIfTrue="1" operator="equal">
      <formula>"Napkin Hs"</formula>
    </cfRule>
    <cfRule type="cellIs" dxfId="26611" priority="13285" stopIfTrue="1" operator="equal">
      <formula>"Towel"</formula>
    </cfRule>
    <cfRule type="cellIs" dxfId="26610" priority="13286" stopIfTrue="1" operator="equal">
      <formula>"Napkin Hs"</formula>
    </cfRule>
    <cfRule type="cellIs" dxfId="26609" priority="13287" stopIfTrue="1" operator="equal">
      <formula>"Towel"</formula>
    </cfRule>
    <cfRule type="cellIs" dxfId="26608" priority="13288" stopIfTrue="1" operator="equal">
      <formula>"Napkin Hs"</formula>
    </cfRule>
    <cfRule type="cellIs" dxfId="26607" priority="13293" stopIfTrue="1" operator="equal">
      <formula>"Towel"</formula>
    </cfRule>
    <cfRule type="cellIs" dxfId="26606" priority="13294" stopIfTrue="1" operator="equal">
      <formula>"Napkin Hs"</formula>
    </cfRule>
    <cfRule type="cellIs" dxfId="26605" priority="13303" stopIfTrue="1" operator="equal">
      <formula>"Towel"</formula>
    </cfRule>
    <cfRule type="cellIs" dxfId="26604" priority="13304" stopIfTrue="1" operator="equal">
      <formula>"Napkin Hs"</formula>
    </cfRule>
    <cfRule type="cellIs" dxfId="26603" priority="13305" stopIfTrue="1" operator="equal">
      <formula>"Towel"</formula>
    </cfRule>
    <cfRule type="cellIs" dxfId="26602" priority="13306" stopIfTrue="1" operator="equal">
      <formula>"Napkin Hs"</formula>
    </cfRule>
    <cfRule type="cellIs" dxfId="26601" priority="13312" stopIfTrue="1" operator="equal">
      <formula>"Napkin Hs"</formula>
    </cfRule>
  </conditionalFormatting>
  <conditionalFormatting sqref="B15:C15">
    <cfRule type="cellIs" dxfId="26600" priority="13311" stopIfTrue="1" operator="equal">
      <formula>"Towel"</formula>
    </cfRule>
  </conditionalFormatting>
  <conditionalFormatting sqref="C15">
    <cfRule type="cellIs" dxfId="26599" priority="13222" stopIfTrue="1" operator="equal">
      <formula>"Napkin Hs"</formula>
    </cfRule>
    <cfRule type="cellIs" dxfId="26598" priority="13223" stopIfTrue="1" operator="equal">
      <formula>"Towel"</formula>
    </cfRule>
    <cfRule type="cellIs" dxfId="26597" priority="13224" stopIfTrue="1" operator="equal">
      <formula>"Napkin Hs"</formula>
    </cfRule>
    <cfRule type="cellIs" dxfId="26596" priority="13225" stopIfTrue="1" operator="equal">
      <formula>"Towel"</formula>
    </cfRule>
    <cfRule type="cellIs" dxfId="26595" priority="13226" stopIfTrue="1" operator="equal">
      <formula>"Napkin Hs"</formula>
    </cfRule>
    <cfRule type="cellIs" dxfId="26594" priority="13227" stopIfTrue="1" operator="equal">
      <formula>"Towel"</formula>
    </cfRule>
    <cfRule type="cellIs" dxfId="26593" priority="13228" stopIfTrue="1" operator="equal">
      <formula>"Napkin Hs"</formula>
    </cfRule>
    <cfRule type="cellIs" dxfId="26592" priority="13229" stopIfTrue="1" operator="equal">
      <formula>"Towel"</formula>
    </cfRule>
    <cfRule type="cellIs" dxfId="26591" priority="13230" stopIfTrue="1" operator="equal">
      <formula>"Napkin Hs"</formula>
    </cfRule>
    <cfRule type="cellIs" dxfId="26590" priority="13233" stopIfTrue="1" operator="equal">
      <formula>"Towel"</formula>
    </cfRule>
    <cfRule type="cellIs" dxfId="26589" priority="13234" stopIfTrue="1" operator="equal">
      <formula>"Napkin Hs"</formula>
    </cfRule>
    <cfRule type="cellIs" dxfId="26588" priority="13235" stopIfTrue="1" operator="equal">
      <formula>"Towel"</formula>
    </cfRule>
    <cfRule type="cellIs" dxfId="26587" priority="13236" stopIfTrue="1" operator="equal">
      <formula>"Napkin Hs"</formula>
    </cfRule>
    <cfRule type="cellIs" dxfId="26586" priority="13239" stopIfTrue="1" operator="equal">
      <formula>"Towel"</formula>
    </cfRule>
    <cfRule type="cellIs" dxfId="26585" priority="13240" stopIfTrue="1" operator="equal">
      <formula>"Napkin Hs"</formula>
    </cfRule>
    <cfRule type="cellIs" dxfId="26584" priority="13241" stopIfTrue="1" operator="equal">
      <formula>"Towel"</formula>
    </cfRule>
    <cfRule type="cellIs" dxfId="26583" priority="13242" stopIfTrue="1" operator="equal">
      <formula>"Napkin Hs"</formula>
    </cfRule>
    <cfRule type="cellIs" dxfId="26582" priority="13247" stopIfTrue="1" operator="equal">
      <formula>"Towel"</formula>
    </cfRule>
    <cfRule type="cellIs" dxfId="26581" priority="13248" stopIfTrue="1" operator="equal">
      <formula>"Napkin Hs"</formula>
    </cfRule>
    <cfRule type="cellIs" dxfId="26580" priority="13249" stopIfTrue="1" operator="equal">
      <formula>"Towel"</formula>
    </cfRule>
    <cfRule type="cellIs" dxfId="26579" priority="13250" stopIfTrue="1" operator="equal">
      <formula>"Napkin Hs"</formula>
    </cfRule>
    <cfRule type="cellIs" dxfId="26578" priority="13253" stopIfTrue="1" operator="equal">
      <formula>"Towel"</formula>
    </cfRule>
    <cfRule type="cellIs" dxfId="26577" priority="13254" stopIfTrue="1" operator="equal">
      <formula>"Napkin Hs"</formula>
    </cfRule>
    <cfRule type="cellIs" dxfId="26576" priority="13255" stopIfTrue="1" operator="equal">
      <formula>"Towel"</formula>
    </cfRule>
    <cfRule type="cellIs" dxfId="26575" priority="13256" stopIfTrue="1" operator="equal">
      <formula>"Napkin Hs"</formula>
    </cfRule>
    <cfRule type="cellIs" dxfId="26574" priority="13257" stopIfTrue="1" operator="equal">
      <formula>"Towel"</formula>
    </cfRule>
    <cfRule type="cellIs" dxfId="26573" priority="13258" stopIfTrue="1" operator="equal">
      <formula>"Napkin Hs"</formula>
    </cfRule>
    <cfRule type="cellIs" dxfId="26572" priority="13259" stopIfTrue="1" operator="equal">
      <formula>"Towel"</formula>
    </cfRule>
    <cfRule type="cellIs" dxfId="26571" priority="13260" stopIfTrue="1" operator="equal">
      <formula>"Napkin Hs"</formula>
    </cfRule>
    <cfRule type="cellIs" dxfId="26570" priority="13263" stopIfTrue="1" operator="equal">
      <formula>"Towel"</formula>
    </cfRule>
    <cfRule type="cellIs" dxfId="26569" priority="13264" stopIfTrue="1" operator="equal">
      <formula>"Napkin Hs"</formula>
    </cfRule>
    <cfRule type="cellIs" dxfId="26568" priority="13265" stopIfTrue="1" operator="equal">
      <formula>"Towel"</formula>
    </cfRule>
    <cfRule type="cellIs" dxfId="26567" priority="13266" stopIfTrue="1" operator="equal">
      <formula>"Napkin Hs"</formula>
    </cfRule>
    <cfRule type="cellIs" dxfId="26566" priority="13271" stopIfTrue="1" operator="equal">
      <formula>"Towel"</formula>
    </cfRule>
    <cfRule type="cellIs" dxfId="26565" priority="13272" stopIfTrue="1" operator="equal">
      <formula>"Napkin Hs"</formula>
    </cfRule>
    <cfRule type="cellIs" dxfId="26564" priority="13273" stopIfTrue="1" operator="equal">
      <formula>"Towel"</formula>
    </cfRule>
    <cfRule type="cellIs" dxfId="26563" priority="13274" stopIfTrue="1" operator="equal">
      <formula>"Napkin Hs"</formula>
    </cfRule>
    <cfRule type="cellIs" dxfId="26562" priority="13277" stopIfTrue="1" operator="equal">
      <formula>"Towel"</formula>
    </cfRule>
    <cfRule type="cellIs" dxfId="26561" priority="13278" stopIfTrue="1" operator="equal">
      <formula>"Napkin Hs"</formula>
    </cfRule>
    <cfRule type="cellIs" dxfId="26560" priority="13279" stopIfTrue="1" operator="equal">
      <formula>"Towel"</formula>
    </cfRule>
    <cfRule type="cellIs" dxfId="26559" priority="13280" stopIfTrue="1" operator="equal">
      <formula>"Napkin Hs"</formula>
    </cfRule>
    <cfRule type="cellIs" dxfId="26558" priority="13281" stopIfTrue="1" operator="equal">
      <formula>"Towel"</formula>
    </cfRule>
    <cfRule type="cellIs" dxfId="26557" priority="13282" stopIfTrue="1" operator="equal">
      <formula>"Napkin Hs"</formula>
    </cfRule>
    <cfRule type="cellIs" dxfId="26556" priority="13283" stopIfTrue="1" operator="equal">
      <formula>"Towel"</formula>
    </cfRule>
    <cfRule type="cellIs" dxfId="26555" priority="13284" stopIfTrue="1" operator="equal">
      <formula>"Napkin Hs"</formula>
    </cfRule>
    <cfRule type="cellIs" dxfId="26554" priority="13289" stopIfTrue="1" operator="equal">
      <formula>"Towel"</formula>
    </cfRule>
    <cfRule type="cellIs" dxfId="26553" priority="13290" stopIfTrue="1" operator="equal">
      <formula>"Napkin Hs"</formula>
    </cfRule>
    <cfRule type="cellIs" dxfId="26552" priority="13291" stopIfTrue="1" operator="equal">
      <formula>"Towel"</formula>
    </cfRule>
    <cfRule type="cellIs" dxfId="26551" priority="13292" stopIfTrue="1" operator="equal">
      <formula>"Napkin Hs"</formula>
    </cfRule>
    <cfRule type="cellIs" dxfId="26550" priority="13295" stopIfTrue="1" operator="equal">
      <formula>"Towel"</formula>
    </cfRule>
    <cfRule type="cellIs" dxfId="26549" priority="13296" stopIfTrue="1" operator="equal">
      <formula>"Napkin Hs"</formula>
    </cfRule>
    <cfRule type="cellIs" dxfId="26548" priority="13297" stopIfTrue="1" operator="equal">
      <formula>"Towel"</formula>
    </cfRule>
    <cfRule type="cellIs" dxfId="26547" priority="13298" stopIfTrue="1" operator="equal">
      <formula>"Napkin Hs"</formula>
    </cfRule>
    <cfRule type="cellIs" dxfId="26546" priority="13299" stopIfTrue="1" operator="equal">
      <formula>"Towel"</formula>
    </cfRule>
    <cfRule type="cellIs" dxfId="26545" priority="13300" stopIfTrue="1" operator="equal">
      <formula>"Napkin Hs"</formula>
    </cfRule>
    <cfRule type="cellIs" dxfId="26544" priority="13301" stopIfTrue="1" operator="equal">
      <formula>"Towel"</formula>
    </cfRule>
    <cfRule type="cellIs" dxfId="26543" priority="13302" stopIfTrue="1" operator="equal">
      <formula>"Napkin Hs"</formula>
    </cfRule>
    <cfRule type="cellIs" dxfId="26542" priority="13307" stopIfTrue="1" operator="equal">
      <formula>"Towel"</formula>
    </cfRule>
    <cfRule type="cellIs" dxfId="26541" priority="13308" stopIfTrue="1" operator="equal">
      <formula>"Napkin Hs"</formula>
    </cfRule>
    <cfRule type="cellIs" dxfId="26540" priority="13309" stopIfTrue="1" operator="equal">
      <formula>"Towel"</formula>
    </cfRule>
    <cfRule type="cellIs" dxfId="26539" priority="13310" stopIfTrue="1" operator="equal">
      <formula>"Napkin Hs"</formula>
    </cfRule>
    <cfRule type="cellIs" dxfId="26538" priority="13313" stopIfTrue="1" operator="equal">
      <formula>"Towel"</formula>
    </cfRule>
    <cfRule type="cellIs" dxfId="26537" priority="13314" stopIfTrue="1" operator="equal">
      <formula>"Napkin Hs"</formula>
    </cfRule>
    <cfRule type="cellIs" dxfId="26536" priority="13315" stopIfTrue="1" operator="equal">
      <formula>"Towel"</formula>
    </cfRule>
    <cfRule type="cellIs" dxfId="26535" priority="13316" stopIfTrue="1" operator="equal">
      <formula>"Napkin Hs"</formula>
    </cfRule>
  </conditionalFormatting>
  <conditionalFormatting sqref="B17:C17">
    <cfRule type="cellIs" dxfId="26534" priority="13196" stopIfTrue="1" operator="equal">
      <formula>"Towel"</formula>
    </cfRule>
  </conditionalFormatting>
  <conditionalFormatting sqref="B17:C17">
    <cfRule type="cellIs" dxfId="26533" priority="13197" stopIfTrue="1" operator="equal">
      <formula>"Napkin Hs"</formula>
    </cfRule>
    <cfRule type="cellIs" dxfId="26532" priority="13202" stopIfTrue="1" operator="equal">
      <formula>"Towel"</formula>
    </cfRule>
    <cfRule type="cellIs" dxfId="26531" priority="13203" stopIfTrue="1" operator="equal">
      <formula>"Napkin Hs"</formula>
    </cfRule>
    <cfRule type="cellIs" dxfId="26530" priority="13212" stopIfTrue="1" operator="equal">
      <formula>"Towel"</formula>
    </cfRule>
    <cfRule type="cellIs" dxfId="26529" priority="13213" stopIfTrue="1" operator="equal">
      <formula>"Napkin Hs"</formula>
    </cfRule>
    <cfRule type="cellIs" dxfId="26528" priority="13218" stopIfTrue="1" operator="equal">
      <formula>"Towel"</formula>
    </cfRule>
    <cfRule type="cellIs" dxfId="26527" priority="13219" stopIfTrue="1" operator="equal">
      <formula>"Napkin Hs"</formula>
    </cfRule>
  </conditionalFormatting>
  <conditionalFormatting sqref="C17">
    <cfRule type="cellIs" dxfId="26526" priority="13198" stopIfTrue="1" operator="equal">
      <formula>"Towel"</formula>
    </cfRule>
    <cfRule type="cellIs" dxfId="26525" priority="13199" stopIfTrue="1" operator="equal">
      <formula>"Napkin Hs"</formula>
    </cfRule>
    <cfRule type="cellIs" dxfId="26524" priority="13200" stopIfTrue="1" operator="equal">
      <formula>"Towel"</formula>
    </cfRule>
    <cfRule type="cellIs" dxfId="26523" priority="13201" stopIfTrue="1" operator="equal">
      <formula>"Napkin Hs"</formula>
    </cfRule>
    <cfRule type="cellIs" dxfId="26522" priority="13204" stopIfTrue="1" operator="equal">
      <formula>"Towel"</formula>
    </cfRule>
    <cfRule type="cellIs" dxfId="26521" priority="13205" stopIfTrue="1" operator="equal">
      <formula>"Napkin Hs"</formula>
    </cfRule>
    <cfRule type="cellIs" dxfId="26520" priority="13206" stopIfTrue="1" operator="equal">
      <formula>"Towel"</formula>
    </cfRule>
    <cfRule type="cellIs" dxfId="26519" priority="13207" stopIfTrue="1" operator="equal">
      <formula>"Napkin Hs"</formula>
    </cfRule>
    <cfRule type="cellIs" dxfId="26518" priority="13208" stopIfTrue="1" operator="equal">
      <formula>"Towel"</formula>
    </cfRule>
    <cfRule type="cellIs" dxfId="26517" priority="13209" stopIfTrue="1" operator="equal">
      <formula>"Napkin Hs"</formula>
    </cfRule>
    <cfRule type="cellIs" dxfId="26516" priority="13210" stopIfTrue="1" operator="equal">
      <formula>"Towel"</formula>
    </cfRule>
    <cfRule type="cellIs" dxfId="26515" priority="13211" stopIfTrue="1" operator="equal">
      <formula>"Napkin Hs"</formula>
    </cfRule>
    <cfRule type="cellIs" dxfId="26514" priority="13214" stopIfTrue="1" operator="equal">
      <formula>"Towel"</formula>
    </cfRule>
    <cfRule type="cellIs" dxfId="26513" priority="13215" stopIfTrue="1" operator="equal">
      <formula>"Napkin Hs"</formula>
    </cfRule>
    <cfRule type="cellIs" dxfId="26512" priority="13217" stopIfTrue="1" operator="equal">
      <formula>"Napkin Hs"</formula>
    </cfRule>
  </conditionalFormatting>
  <conditionalFormatting sqref="C17">
    <cfRule type="cellIs" dxfId="26511" priority="13216" stopIfTrue="1" operator="equal">
      <formula>"Towel"</formula>
    </cfRule>
  </conditionalFormatting>
  <conditionalFormatting sqref="B17:C17">
    <cfRule type="cellIs" dxfId="26510" priority="13194" stopIfTrue="1" operator="equal">
      <formula>"Towel"</formula>
    </cfRule>
    <cfRule type="cellIs" dxfId="26509" priority="13195" stopIfTrue="1" operator="equal">
      <formula>"Napkin Hs"</formula>
    </cfRule>
  </conditionalFormatting>
  <conditionalFormatting sqref="C17">
    <cfRule type="cellIs" dxfId="26508" priority="13193" stopIfTrue="1" operator="equal">
      <formula>"Napkin Hs"</formula>
    </cfRule>
  </conditionalFormatting>
  <conditionalFormatting sqref="C17">
    <cfRule type="cellIs" dxfId="26507" priority="13192" stopIfTrue="1" operator="equal">
      <formula>"Towel"</formula>
    </cfRule>
  </conditionalFormatting>
  <conditionalFormatting sqref="C17">
    <cfRule type="cellIs" dxfId="26506" priority="13190" stopIfTrue="1" operator="equal">
      <formula>"Towel"</formula>
    </cfRule>
  </conditionalFormatting>
  <conditionalFormatting sqref="C17">
    <cfRule type="cellIs" dxfId="26505" priority="13191" stopIfTrue="1" operator="equal">
      <formula>"Napkin Hs"</formula>
    </cfRule>
  </conditionalFormatting>
  <conditionalFormatting sqref="B17">
    <cfRule type="cellIs" dxfId="26504" priority="13094" stopIfTrue="1" operator="equal">
      <formula>"Napkin Hs"</formula>
    </cfRule>
  </conditionalFormatting>
  <conditionalFormatting sqref="B17:C17">
    <cfRule type="cellIs" dxfId="26503" priority="13093" stopIfTrue="1" operator="equal">
      <formula>"Towel"</formula>
    </cfRule>
  </conditionalFormatting>
  <conditionalFormatting sqref="B17:C17">
    <cfRule type="cellIs" dxfId="26502" priority="13104" stopIfTrue="1" operator="equal">
      <formula>"Towel"</formula>
    </cfRule>
    <cfRule type="cellIs" dxfId="26501" priority="13105" stopIfTrue="1" operator="equal">
      <formula>"Napkin Hs"</formula>
    </cfRule>
    <cfRule type="cellIs" dxfId="26500" priority="13110" stopIfTrue="1" operator="equal">
      <formula>"Towel"</formula>
    </cfRule>
    <cfRule type="cellIs" dxfId="26499" priority="13111" stopIfTrue="1" operator="equal">
      <formula>"Napkin Hs"</formula>
    </cfRule>
    <cfRule type="cellIs" dxfId="26498" priority="13116" stopIfTrue="1" operator="equal">
      <formula>"Towel"</formula>
    </cfRule>
    <cfRule type="cellIs" dxfId="26497" priority="13117" stopIfTrue="1" operator="equal">
      <formula>"Napkin Hs"</formula>
    </cfRule>
    <cfRule type="cellIs" dxfId="26496" priority="13118" stopIfTrue="1" operator="equal">
      <formula>"Towel"</formula>
    </cfRule>
    <cfRule type="cellIs" dxfId="26495" priority="13119" stopIfTrue="1" operator="equal">
      <formula>"Napkin Hs"</formula>
    </cfRule>
    <cfRule type="cellIs" dxfId="26494" priority="13124" stopIfTrue="1" operator="equal">
      <formula>"Towel"</formula>
    </cfRule>
    <cfRule type="cellIs" dxfId="26493" priority="13125" stopIfTrue="1" operator="equal">
      <formula>"Napkin Hs"</formula>
    </cfRule>
    <cfRule type="cellIs" dxfId="26492" priority="13134" stopIfTrue="1" operator="equal">
      <formula>"Towel"</formula>
    </cfRule>
    <cfRule type="cellIs" dxfId="26491" priority="13135" stopIfTrue="1" operator="equal">
      <formula>"Napkin Hs"</formula>
    </cfRule>
    <cfRule type="cellIs" dxfId="26490" priority="13140" stopIfTrue="1" operator="equal">
      <formula>"Towel"</formula>
    </cfRule>
    <cfRule type="cellIs" dxfId="26489" priority="13141" stopIfTrue="1" operator="equal">
      <formula>"Napkin Hs"</formula>
    </cfRule>
    <cfRule type="cellIs" dxfId="26488" priority="13142" stopIfTrue="1" operator="equal">
      <formula>"Towel"</formula>
    </cfRule>
    <cfRule type="cellIs" dxfId="26487" priority="13143" stopIfTrue="1" operator="equal">
      <formula>"Napkin Hs"</formula>
    </cfRule>
    <cfRule type="cellIs" dxfId="26486" priority="13148" stopIfTrue="1" operator="equal">
      <formula>"Towel"</formula>
    </cfRule>
    <cfRule type="cellIs" dxfId="26485" priority="13149" stopIfTrue="1" operator="equal">
      <formula>"Napkin Hs"</formula>
    </cfRule>
    <cfRule type="cellIs" dxfId="26484" priority="13158" stopIfTrue="1" operator="equal">
      <formula>"Towel"</formula>
    </cfRule>
    <cfRule type="cellIs" dxfId="26483" priority="13159" stopIfTrue="1" operator="equal">
      <formula>"Napkin Hs"</formula>
    </cfRule>
    <cfRule type="cellIs" dxfId="26482" priority="13160" stopIfTrue="1" operator="equal">
      <formula>"Towel"</formula>
    </cfRule>
    <cfRule type="cellIs" dxfId="26481" priority="13161" stopIfTrue="1" operator="equal">
      <formula>"Napkin Hs"</formula>
    </cfRule>
    <cfRule type="cellIs" dxfId="26480" priority="13166" stopIfTrue="1" operator="equal">
      <formula>"Towel"</formula>
    </cfRule>
    <cfRule type="cellIs" dxfId="26479" priority="13167" stopIfTrue="1" operator="equal">
      <formula>"Napkin Hs"</formula>
    </cfRule>
    <cfRule type="cellIs" dxfId="26478" priority="13176" stopIfTrue="1" operator="equal">
      <formula>"Towel"</formula>
    </cfRule>
    <cfRule type="cellIs" dxfId="26477" priority="13177" stopIfTrue="1" operator="equal">
      <formula>"Napkin Hs"</formula>
    </cfRule>
    <cfRule type="cellIs" dxfId="26476" priority="13178" stopIfTrue="1" operator="equal">
      <formula>"Towel"</formula>
    </cfRule>
    <cfRule type="cellIs" dxfId="26475" priority="13179" stopIfTrue="1" operator="equal">
      <formula>"Napkin Hs"</formula>
    </cfRule>
    <cfRule type="cellIs" dxfId="26474" priority="13185" stopIfTrue="1" operator="equal">
      <formula>"Napkin Hs"</formula>
    </cfRule>
  </conditionalFormatting>
  <conditionalFormatting sqref="B17:C17">
    <cfRule type="cellIs" dxfId="26473" priority="13184" stopIfTrue="1" operator="equal">
      <formula>"Towel"</formula>
    </cfRule>
  </conditionalFormatting>
  <conditionalFormatting sqref="C17">
    <cfRule type="cellIs" dxfId="26472" priority="13095" stopIfTrue="1" operator="equal">
      <formula>"Napkin Hs"</formula>
    </cfRule>
    <cfRule type="cellIs" dxfId="26471" priority="13096" stopIfTrue="1" operator="equal">
      <formula>"Towel"</formula>
    </cfRule>
    <cfRule type="cellIs" dxfId="26470" priority="13097" stopIfTrue="1" operator="equal">
      <formula>"Napkin Hs"</formula>
    </cfRule>
    <cfRule type="cellIs" dxfId="26469" priority="13098" stopIfTrue="1" operator="equal">
      <formula>"Towel"</formula>
    </cfRule>
    <cfRule type="cellIs" dxfId="26468" priority="13099" stopIfTrue="1" operator="equal">
      <formula>"Napkin Hs"</formula>
    </cfRule>
    <cfRule type="cellIs" dxfId="26467" priority="13100" stopIfTrue="1" operator="equal">
      <formula>"Towel"</formula>
    </cfRule>
    <cfRule type="cellIs" dxfId="26466" priority="13101" stopIfTrue="1" operator="equal">
      <formula>"Napkin Hs"</formula>
    </cfRule>
    <cfRule type="cellIs" dxfId="26465" priority="13102" stopIfTrue="1" operator="equal">
      <formula>"Towel"</formula>
    </cfRule>
    <cfRule type="cellIs" dxfId="26464" priority="13103" stopIfTrue="1" operator="equal">
      <formula>"Napkin Hs"</formula>
    </cfRule>
    <cfRule type="cellIs" dxfId="26463" priority="13106" stopIfTrue="1" operator="equal">
      <formula>"Towel"</formula>
    </cfRule>
    <cfRule type="cellIs" dxfId="26462" priority="13107" stopIfTrue="1" operator="equal">
      <formula>"Napkin Hs"</formula>
    </cfRule>
    <cfRule type="cellIs" dxfId="26461" priority="13108" stopIfTrue="1" operator="equal">
      <formula>"Towel"</formula>
    </cfRule>
    <cfRule type="cellIs" dxfId="26460" priority="13109" stopIfTrue="1" operator="equal">
      <formula>"Napkin Hs"</formula>
    </cfRule>
    <cfRule type="cellIs" dxfId="26459" priority="13112" stopIfTrue="1" operator="equal">
      <formula>"Towel"</formula>
    </cfRule>
    <cfRule type="cellIs" dxfId="26458" priority="13113" stopIfTrue="1" operator="equal">
      <formula>"Napkin Hs"</formula>
    </cfRule>
    <cfRule type="cellIs" dxfId="26457" priority="13114" stopIfTrue="1" operator="equal">
      <formula>"Towel"</formula>
    </cfRule>
    <cfRule type="cellIs" dxfId="26456" priority="13115" stopIfTrue="1" operator="equal">
      <formula>"Napkin Hs"</formula>
    </cfRule>
    <cfRule type="cellIs" dxfId="26455" priority="13120" stopIfTrue="1" operator="equal">
      <formula>"Towel"</formula>
    </cfRule>
    <cfRule type="cellIs" dxfId="26454" priority="13121" stopIfTrue="1" operator="equal">
      <formula>"Napkin Hs"</formula>
    </cfRule>
    <cfRule type="cellIs" dxfId="26453" priority="13122" stopIfTrue="1" operator="equal">
      <formula>"Towel"</formula>
    </cfRule>
    <cfRule type="cellIs" dxfId="26452" priority="13123" stopIfTrue="1" operator="equal">
      <formula>"Napkin Hs"</formula>
    </cfRule>
    <cfRule type="cellIs" dxfId="26451" priority="13126" stopIfTrue="1" operator="equal">
      <formula>"Towel"</formula>
    </cfRule>
    <cfRule type="cellIs" dxfId="26450" priority="13127" stopIfTrue="1" operator="equal">
      <formula>"Napkin Hs"</formula>
    </cfRule>
    <cfRule type="cellIs" dxfId="26449" priority="13128" stopIfTrue="1" operator="equal">
      <formula>"Towel"</formula>
    </cfRule>
    <cfRule type="cellIs" dxfId="26448" priority="13129" stopIfTrue="1" operator="equal">
      <formula>"Napkin Hs"</formula>
    </cfRule>
    <cfRule type="cellIs" dxfId="26447" priority="13130" stopIfTrue="1" operator="equal">
      <formula>"Towel"</formula>
    </cfRule>
    <cfRule type="cellIs" dxfId="26446" priority="13131" stopIfTrue="1" operator="equal">
      <formula>"Napkin Hs"</formula>
    </cfRule>
    <cfRule type="cellIs" dxfId="26445" priority="13132" stopIfTrue="1" operator="equal">
      <formula>"Towel"</formula>
    </cfRule>
    <cfRule type="cellIs" dxfId="26444" priority="13133" stopIfTrue="1" operator="equal">
      <formula>"Napkin Hs"</formula>
    </cfRule>
    <cfRule type="cellIs" dxfId="26443" priority="13136" stopIfTrue="1" operator="equal">
      <formula>"Towel"</formula>
    </cfRule>
    <cfRule type="cellIs" dxfId="26442" priority="13137" stopIfTrue="1" operator="equal">
      <formula>"Napkin Hs"</formula>
    </cfRule>
    <cfRule type="cellIs" dxfId="26441" priority="13138" stopIfTrue="1" operator="equal">
      <formula>"Towel"</formula>
    </cfRule>
    <cfRule type="cellIs" dxfId="26440" priority="13139" stopIfTrue="1" operator="equal">
      <formula>"Napkin Hs"</formula>
    </cfRule>
    <cfRule type="cellIs" dxfId="26439" priority="13144" stopIfTrue="1" operator="equal">
      <formula>"Towel"</formula>
    </cfRule>
    <cfRule type="cellIs" dxfId="26438" priority="13145" stopIfTrue="1" operator="equal">
      <formula>"Napkin Hs"</formula>
    </cfRule>
    <cfRule type="cellIs" dxfId="26437" priority="13146" stopIfTrue="1" operator="equal">
      <formula>"Towel"</formula>
    </cfRule>
    <cfRule type="cellIs" dxfId="26436" priority="13147" stopIfTrue="1" operator="equal">
      <formula>"Napkin Hs"</formula>
    </cfRule>
    <cfRule type="cellIs" dxfId="26435" priority="13150" stopIfTrue="1" operator="equal">
      <formula>"Towel"</formula>
    </cfRule>
    <cfRule type="cellIs" dxfId="26434" priority="13151" stopIfTrue="1" operator="equal">
      <formula>"Napkin Hs"</formula>
    </cfRule>
    <cfRule type="cellIs" dxfId="26433" priority="13152" stopIfTrue="1" operator="equal">
      <formula>"Towel"</formula>
    </cfRule>
    <cfRule type="cellIs" dxfId="26432" priority="13153" stopIfTrue="1" operator="equal">
      <formula>"Napkin Hs"</formula>
    </cfRule>
    <cfRule type="cellIs" dxfId="26431" priority="13154" stopIfTrue="1" operator="equal">
      <formula>"Towel"</formula>
    </cfRule>
    <cfRule type="cellIs" dxfId="26430" priority="13155" stopIfTrue="1" operator="equal">
      <formula>"Napkin Hs"</formula>
    </cfRule>
    <cfRule type="cellIs" dxfId="26429" priority="13156" stopIfTrue="1" operator="equal">
      <formula>"Towel"</formula>
    </cfRule>
    <cfRule type="cellIs" dxfId="26428" priority="13157" stopIfTrue="1" operator="equal">
      <formula>"Napkin Hs"</formula>
    </cfRule>
    <cfRule type="cellIs" dxfId="26427" priority="13162" stopIfTrue="1" operator="equal">
      <formula>"Towel"</formula>
    </cfRule>
    <cfRule type="cellIs" dxfId="26426" priority="13163" stopIfTrue="1" operator="equal">
      <formula>"Napkin Hs"</formula>
    </cfRule>
    <cfRule type="cellIs" dxfId="26425" priority="13164" stopIfTrue="1" operator="equal">
      <formula>"Towel"</formula>
    </cfRule>
    <cfRule type="cellIs" dxfId="26424" priority="13165" stopIfTrue="1" operator="equal">
      <formula>"Napkin Hs"</formula>
    </cfRule>
    <cfRule type="cellIs" dxfId="26423" priority="13168" stopIfTrue="1" operator="equal">
      <formula>"Towel"</formula>
    </cfRule>
    <cfRule type="cellIs" dxfId="26422" priority="13169" stopIfTrue="1" operator="equal">
      <formula>"Napkin Hs"</formula>
    </cfRule>
    <cfRule type="cellIs" dxfId="26421" priority="13170" stopIfTrue="1" operator="equal">
      <formula>"Towel"</formula>
    </cfRule>
    <cfRule type="cellIs" dxfId="26420" priority="13171" stopIfTrue="1" operator="equal">
      <formula>"Napkin Hs"</formula>
    </cfRule>
    <cfRule type="cellIs" dxfId="26419" priority="13172" stopIfTrue="1" operator="equal">
      <formula>"Towel"</formula>
    </cfRule>
    <cfRule type="cellIs" dxfId="26418" priority="13173" stopIfTrue="1" operator="equal">
      <formula>"Napkin Hs"</formula>
    </cfRule>
    <cfRule type="cellIs" dxfId="26417" priority="13174" stopIfTrue="1" operator="equal">
      <formula>"Towel"</formula>
    </cfRule>
    <cfRule type="cellIs" dxfId="26416" priority="13175" stopIfTrue="1" operator="equal">
      <formula>"Napkin Hs"</formula>
    </cfRule>
    <cfRule type="cellIs" dxfId="26415" priority="13180" stopIfTrue="1" operator="equal">
      <formula>"Towel"</formula>
    </cfRule>
    <cfRule type="cellIs" dxfId="26414" priority="13181" stopIfTrue="1" operator="equal">
      <formula>"Napkin Hs"</formula>
    </cfRule>
    <cfRule type="cellIs" dxfId="26413" priority="13182" stopIfTrue="1" operator="equal">
      <formula>"Towel"</formula>
    </cfRule>
    <cfRule type="cellIs" dxfId="26412" priority="13183" stopIfTrue="1" operator="equal">
      <formula>"Napkin Hs"</formula>
    </cfRule>
    <cfRule type="cellIs" dxfId="26411" priority="13186" stopIfTrue="1" operator="equal">
      <formula>"Towel"</formula>
    </cfRule>
    <cfRule type="cellIs" dxfId="26410" priority="13187" stopIfTrue="1" operator="equal">
      <formula>"Napkin Hs"</formula>
    </cfRule>
    <cfRule type="cellIs" dxfId="26409" priority="13188" stopIfTrue="1" operator="equal">
      <formula>"Towel"</formula>
    </cfRule>
    <cfRule type="cellIs" dxfId="26408" priority="13189" stopIfTrue="1" operator="equal">
      <formula>"Napkin Hs"</formula>
    </cfRule>
  </conditionalFormatting>
  <conditionalFormatting sqref="B20:C20">
    <cfRule type="cellIs" dxfId="26407" priority="13091" stopIfTrue="1" operator="equal">
      <formula>"Towel"</formula>
    </cfRule>
    <cfRule type="cellIs" dxfId="26406" priority="13092" stopIfTrue="1" operator="equal">
      <formula>"Napkin Hs"</formula>
    </cfRule>
  </conditionalFormatting>
  <conditionalFormatting sqref="C20">
    <cfRule type="cellIs" dxfId="26405" priority="13087" stopIfTrue="1" operator="equal">
      <formula>"Towel"</formula>
    </cfRule>
    <cfRule type="cellIs" dxfId="26404" priority="13088" stopIfTrue="1" operator="equal">
      <formula>"Napkin Hs"</formula>
    </cfRule>
  </conditionalFormatting>
  <conditionalFormatting sqref="C20">
    <cfRule type="cellIs" dxfId="26403" priority="13090" stopIfTrue="1" operator="equal">
      <formula>"Napkin Hs"</formula>
    </cfRule>
  </conditionalFormatting>
  <conditionalFormatting sqref="C20">
    <cfRule type="cellIs" dxfId="26402" priority="13089" stopIfTrue="1" operator="equal">
      <formula>"Towel"</formula>
    </cfRule>
  </conditionalFormatting>
  <conditionalFormatting sqref="C22">
    <cfRule type="cellIs" dxfId="26401" priority="13083" stopIfTrue="1" operator="equal">
      <formula>"Towel"</formula>
    </cfRule>
    <cfRule type="cellIs" dxfId="26400" priority="13084" stopIfTrue="1" operator="equal">
      <formula>"Napkin Hs"</formula>
    </cfRule>
  </conditionalFormatting>
  <conditionalFormatting sqref="C22">
    <cfRule type="cellIs" dxfId="26399" priority="13085" stopIfTrue="1" operator="equal">
      <formula>"Towel"</formula>
    </cfRule>
    <cfRule type="cellIs" dxfId="26398" priority="13086" stopIfTrue="1" operator="equal">
      <formula>"Napkin Hs"</formula>
    </cfRule>
  </conditionalFormatting>
  <conditionalFormatting sqref="C22">
    <cfRule type="cellIs" dxfId="26397" priority="13081" stopIfTrue="1" operator="equal">
      <formula>"Towel"</formula>
    </cfRule>
    <cfRule type="cellIs" dxfId="26396" priority="13082" stopIfTrue="1" operator="equal">
      <formula>"Napkin Hs"</formula>
    </cfRule>
  </conditionalFormatting>
  <conditionalFormatting sqref="B22">
    <cfRule type="cellIs" dxfId="26395" priority="13079" stopIfTrue="1" operator="equal">
      <formula>"Towel"</formula>
    </cfRule>
    <cfRule type="cellIs" dxfId="26394" priority="13080" stopIfTrue="1" operator="equal">
      <formula>"Napkin Hs"</formula>
    </cfRule>
  </conditionalFormatting>
  <conditionalFormatting sqref="C21">
    <cfRule type="cellIs" dxfId="26393" priority="13075" stopIfTrue="1" operator="equal">
      <formula>"Towel"</formula>
    </cfRule>
    <cfRule type="cellIs" dxfId="26392" priority="13076" stopIfTrue="1" operator="equal">
      <formula>"Napkin Hs"</formula>
    </cfRule>
  </conditionalFormatting>
  <conditionalFormatting sqref="C21">
    <cfRule type="cellIs" dxfId="26391" priority="13077" stopIfTrue="1" operator="equal">
      <formula>"Towel"</formula>
    </cfRule>
    <cfRule type="cellIs" dxfId="26390" priority="13078" stopIfTrue="1" operator="equal">
      <formula>"Napkin Hs"</formula>
    </cfRule>
  </conditionalFormatting>
  <conditionalFormatting sqref="C21">
    <cfRule type="cellIs" dxfId="26389" priority="13073" stopIfTrue="1" operator="equal">
      <formula>"Towel"</formula>
    </cfRule>
    <cfRule type="cellIs" dxfId="26388" priority="13074" stopIfTrue="1" operator="equal">
      <formula>"Napkin Hs"</formula>
    </cfRule>
  </conditionalFormatting>
  <conditionalFormatting sqref="B21">
    <cfRule type="cellIs" dxfId="26387" priority="13071" stopIfTrue="1" operator="equal">
      <formula>"Towel"</formula>
    </cfRule>
    <cfRule type="cellIs" dxfId="26386" priority="13072" stopIfTrue="1" operator="equal">
      <formula>"Napkin Hs"</formula>
    </cfRule>
  </conditionalFormatting>
  <conditionalFormatting sqref="B19:C19">
    <cfRule type="cellIs" dxfId="26385" priority="13047" stopIfTrue="1" operator="equal">
      <formula>"Towel"</formula>
    </cfRule>
  </conditionalFormatting>
  <conditionalFormatting sqref="B19:C19">
    <cfRule type="cellIs" dxfId="26384" priority="13048" stopIfTrue="1" operator="equal">
      <formula>"Napkin Hs"</formula>
    </cfRule>
    <cfRule type="cellIs" dxfId="26383" priority="13053" stopIfTrue="1" operator="equal">
      <formula>"Towel"</formula>
    </cfRule>
    <cfRule type="cellIs" dxfId="26382" priority="13054" stopIfTrue="1" operator="equal">
      <formula>"Napkin Hs"</formula>
    </cfRule>
    <cfRule type="cellIs" dxfId="26381" priority="13063" stopIfTrue="1" operator="equal">
      <formula>"Towel"</formula>
    </cfRule>
    <cfRule type="cellIs" dxfId="26380" priority="13064" stopIfTrue="1" operator="equal">
      <formula>"Napkin Hs"</formula>
    </cfRule>
    <cfRule type="cellIs" dxfId="26379" priority="13069" stopIfTrue="1" operator="equal">
      <formula>"Towel"</formula>
    </cfRule>
    <cfRule type="cellIs" dxfId="26378" priority="13070" stopIfTrue="1" operator="equal">
      <formula>"Napkin Hs"</formula>
    </cfRule>
  </conditionalFormatting>
  <conditionalFormatting sqref="C19">
    <cfRule type="cellIs" dxfId="26377" priority="13049" stopIfTrue="1" operator="equal">
      <formula>"Towel"</formula>
    </cfRule>
    <cfRule type="cellIs" dxfId="26376" priority="13050" stopIfTrue="1" operator="equal">
      <formula>"Napkin Hs"</formula>
    </cfRule>
    <cfRule type="cellIs" dxfId="26375" priority="13051" stopIfTrue="1" operator="equal">
      <formula>"Towel"</formula>
    </cfRule>
    <cfRule type="cellIs" dxfId="26374" priority="13052" stopIfTrue="1" operator="equal">
      <formula>"Napkin Hs"</formula>
    </cfRule>
    <cfRule type="cellIs" dxfId="26373" priority="13055" stopIfTrue="1" operator="equal">
      <formula>"Towel"</formula>
    </cfRule>
    <cfRule type="cellIs" dxfId="26372" priority="13056" stopIfTrue="1" operator="equal">
      <formula>"Napkin Hs"</formula>
    </cfRule>
    <cfRule type="cellIs" dxfId="26371" priority="13057" stopIfTrue="1" operator="equal">
      <formula>"Towel"</formula>
    </cfRule>
    <cfRule type="cellIs" dxfId="26370" priority="13058" stopIfTrue="1" operator="equal">
      <formula>"Napkin Hs"</formula>
    </cfRule>
    <cfRule type="cellIs" dxfId="26369" priority="13059" stopIfTrue="1" operator="equal">
      <formula>"Towel"</formula>
    </cfRule>
    <cfRule type="cellIs" dxfId="26368" priority="13060" stopIfTrue="1" operator="equal">
      <formula>"Napkin Hs"</formula>
    </cfRule>
    <cfRule type="cellIs" dxfId="26367" priority="13061" stopIfTrue="1" operator="equal">
      <formula>"Towel"</formula>
    </cfRule>
    <cfRule type="cellIs" dxfId="26366" priority="13062" stopIfTrue="1" operator="equal">
      <formula>"Napkin Hs"</formula>
    </cfRule>
    <cfRule type="cellIs" dxfId="26365" priority="13065" stopIfTrue="1" operator="equal">
      <formula>"Towel"</formula>
    </cfRule>
    <cfRule type="cellIs" dxfId="26364" priority="13066" stopIfTrue="1" operator="equal">
      <formula>"Napkin Hs"</formula>
    </cfRule>
    <cfRule type="cellIs" dxfId="26363" priority="13068" stopIfTrue="1" operator="equal">
      <formula>"Napkin Hs"</formula>
    </cfRule>
  </conditionalFormatting>
  <conditionalFormatting sqref="C19">
    <cfRule type="cellIs" dxfId="26362" priority="13067" stopIfTrue="1" operator="equal">
      <formula>"Towel"</formula>
    </cfRule>
  </conditionalFormatting>
  <conditionalFormatting sqref="B19:C19">
    <cfRule type="cellIs" dxfId="26361" priority="13045" stopIfTrue="1" operator="equal">
      <formula>"Towel"</formula>
    </cfRule>
    <cfRule type="cellIs" dxfId="26360" priority="13046" stopIfTrue="1" operator="equal">
      <formula>"Napkin Hs"</formula>
    </cfRule>
  </conditionalFormatting>
  <conditionalFormatting sqref="C19">
    <cfRule type="cellIs" dxfId="26359" priority="13044" stopIfTrue="1" operator="equal">
      <formula>"Napkin Hs"</formula>
    </cfRule>
  </conditionalFormatting>
  <conditionalFormatting sqref="C19">
    <cfRule type="cellIs" dxfId="26358" priority="13043" stopIfTrue="1" operator="equal">
      <formula>"Towel"</formula>
    </cfRule>
  </conditionalFormatting>
  <conditionalFormatting sqref="C19">
    <cfRule type="cellIs" dxfId="26357" priority="13041" stopIfTrue="1" operator="equal">
      <formula>"Towel"</formula>
    </cfRule>
  </conditionalFormatting>
  <conditionalFormatting sqref="C19">
    <cfRule type="cellIs" dxfId="26356" priority="13042" stopIfTrue="1" operator="equal">
      <formula>"Napkin Hs"</formula>
    </cfRule>
  </conditionalFormatting>
  <conditionalFormatting sqref="B19">
    <cfRule type="cellIs" dxfId="26355" priority="12945" stopIfTrue="1" operator="equal">
      <formula>"Napkin Hs"</formula>
    </cfRule>
  </conditionalFormatting>
  <conditionalFormatting sqref="B19:C19">
    <cfRule type="cellIs" dxfId="26354" priority="12944" stopIfTrue="1" operator="equal">
      <formula>"Towel"</formula>
    </cfRule>
  </conditionalFormatting>
  <conditionalFormatting sqref="B19:C19">
    <cfRule type="cellIs" dxfId="26353" priority="12955" stopIfTrue="1" operator="equal">
      <formula>"Towel"</formula>
    </cfRule>
    <cfRule type="cellIs" dxfId="26352" priority="12956" stopIfTrue="1" operator="equal">
      <formula>"Napkin Hs"</formula>
    </cfRule>
    <cfRule type="cellIs" dxfId="26351" priority="12961" stopIfTrue="1" operator="equal">
      <formula>"Towel"</formula>
    </cfRule>
    <cfRule type="cellIs" dxfId="26350" priority="12962" stopIfTrue="1" operator="equal">
      <formula>"Napkin Hs"</formula>
    </cfRule>
    <cfRule type="cellIs" dxfId="26349" priority="12967" stopIfTrue="1" operator="equal">
      <formula>"Towel"</formula>
    </cfRule>
    <cfRule type="cellIs" dxfId="26348" priority="12968" stopIfTrue="1" operator="equal">
      <formula>"Napkin Hs"</formula>
    </cfRule>
    <cfRule type="cellIs" dxfId="26347" priority="12969" stopIfTrue="1" operator="equal">
      <formula>"Towel"</formula>
    </cfRule>
    <cfRule type="cellIs" dxfId="26346" priority="12970" stopIfTrue="1" operator="equal">
      <formula>"Napkin Hs"</formula>
    </cfRule>
    <cfRule type="cellIs" dxfId="26345" priority="12975" stopIfTrue="1" operator="equal">
      <formula>"Towel"</formula>
    </cfRule>
    <cfRule type="cellIs" dxfId="26344" priority="12976" stopIfTrue="1" operator="equal">
      <formula>"Napkin Hs"</formula>
    </cfRule>
    <cfRule type="cellIs" dxfId="26343" priority="12985" stopIfTrue="1" operator="equal">
      <formula>"Towel"</formula>
    </cfRule>
    <cfRule type="cellIs" dxfId="26342" priority="12986" stopIfTrue="1" operator="equal">
      <formula>"Napkin Hs"</formula>
    </cfRule>
    <cfRule type="cellIs" dxfId="26341" priority="12991" stopIfTrue="1" operator="equal">
      <formula>"Towel"</formula>
    </cfRule>
    <cfRule type="cellIs" dxfId="26340" priority="12992" stopIfTrue="1" operator="equal">
      <formula>"Napkin Hs"</formula>
    </cfRule>
    <cfRule type="cellIs" dxfId="26339" priority="12993" stopIfTrue="1" operator="equal">
      <formula>"Towel"</formula>
    </cfRule>
    <cfRule type="cellIs" dxfId="26338" priority="12994" stopIfTrue="1" operator="equal">
      <formula>"Napkin Hs"</formula>
    </cfRule>
    <cfRule type="cellIs" dxfId="26337" priority="12999" stopIfTrue="1" operator="equal">
      <formula>"Towel"</formula>
    </cfRule>
    <cfRule type="cellIs" dxfId="26336" priority="13000" stopIfTrue="1" operator="equal">
      <formula>"Napkin Hs"</formula>
    </cfRule>
    <cfRule type="cellIs" dxfId="26335" priority="13009" stopIfTrue="1" operator="equal">
      <formula>"Towel"</formula>
    </cfRule>
    <cfRule type="cellIs" dxfId="26334" priority="13010" stopIfTrue="1" operator="equal">
      <formula>"Napkin Hs"</formula>
    </cfRule>
    <cfRule type="cellIs" dxfId="26333" priority="13011" stopIfTrue="1" operator="equal">
      <formula>"Towel"</formula>
    </cfRule>
    <cfRule type="cellIs" dxfId="26332" priority="13012" stopIfTrue="1" operator="equal">
      <formula>"Napkin Hs"</formula>
    </cfRule>
    <cfRule type="cellIs" dxfId="26331" priority="13017" stopIfTrue="1" operator="equal">
      <formula>"Towel"</formula>
    </cfRule>
    <cfRule type="cellIs" dxfId="26330" priority="13018" stopIfTrue="1" operator="equal">
      <formula>"Napkin Hs"</formula>
    </cfRule>
    <cfRule type="cellIs" dxfId="26329" priority="13027" stopIfTrue="1" operator="equal">
      <formula>"Towel"</formula>
    </cfRule>
    <cfRule type="cellIs" dxfId="26328" priority="13028" stopIfTrue="1" operator="equal">
      <formula>"Napkin Hs"</formula>
    </cfRule>
    <cfRule type="cellIs" dxfId="26327" priority="13029" stopIfTrue="1" operator="equal">
      <formula>"Towel"</formula>
    </cfRule>
    <cfRule type="cellIs" dxfId="26326" priority="13030" stopIfTrue="1" operator="equal">
      <formula>"Napkin Hs"</formula>
    </cfRule>
    <cfRule type="cellIs" dxfId="26325" priority="13036" stopIfTrue="1" operator="equal">
      <formula>"Napkin Hs"</formula>
    </cfRule>
  </conditionalFormatting>
  <conditionalFormatting sqref="B19:C19">
    <cfRule type="cellIs" dxfId="26324" priority="13035" stopIfTrue="1" operator="equal">
      <formula>"Towel"</formula>
    </cfRule>
  </conditionalFormatting>
  <conditionalFormatting sqref="C19">
    <cfRule type="cellIs" dxfId="26323" priority="12946" stopIfTrue="1" operator="equal">
      <formula>"Napkin Hs"</formula>
    </cfRule>
    <cfRule type="cellIs" dxfId="26322" priority="12947" stopIfTrue="1" operator="equal">
      <formula>"Towel"</formula>
    </cfRule>
    <cfRule type="cellIs" dxfId="26321" priority="12948" stopIfTrue="1" operator="equal">
      <formula>"Napkin Hs"</formula>
    </cfRule>
    <cfRule type="cellIs" dxfId="26320" priority="12949" stopIfTrue="1" operator="equal">
      <formula>"Towel"</formula>
    </cfRule>
    <cfRule type="cellIs" dxfId="26319" priority="12950" stopIfTrue="1" operator="equal">
      <formula>"Napkin Hs"</formula>
    </cfRule>
    <cfRule type="cellIs" dxfId="26318" priority="12951" stopIfTrue="1" operator="equal">
      <formula>"Towel"</formula>
    </cfRule>
    <cfRule type="cellIs" dxfId="26317" priority="12952" stopIfTrue="1" operator="equal">
      <formula>"Napkin Hs"</formula>
    </cfRule>
    <cfRule type="cellIs" dxfId="26316" priority="12953" stopIfTrue="1" operator="equal">
      <formula>"Towel"</formula>
    </cfRule>
    <cfRule type="cellIs" dxfId="26315" priority="12954" stopIfTrue="1" operator="equal">
      <formula>"Napkin Hs"</formula>
    </cfRule>
    <cfRule type="cellIs" dxfId="26314" priority="12957" stopIfTrue="1" operator="equal">
      <formula>"Towel"</formula>
    </cfRule>
    <cfRule type="cellIs" dxfId="26313" priority="12958" stopIfTrue="1" operator="equal">
      <formula>"Napkin Hs"</formula>
    </cfRule>
    <cfRule type="cellIs" dxfId="26312" priority="12959" stopIfTrue="1" operator="equal">
      <formula>"Towel"</formula>
    </cfRule>
    <cfRule type="cellIs" dxfId="26311" priority="12960" stopIfTrue="1" operator="equal">
      <formula>"Napkin Hs"</formula>
    </cfRule>
    <cfRule type="cellIs" dxfId="26310" priority="12963" stopIfTrue="1" operator="equal">
      <formula>"Towel"</formula>
    </cfRule>
    <cfRule type="cellIs" dxfId="26309" priority="12964" stopIfTrue="1" operator="equal">
      <formula>"Napkin Hs"</formula>
    </cfRule>
    <cfRule type="cellIs" dxfId="26308" priority="12965" stopIfTrue="1" operator="equal">
      <formula>"Towel"</formula>
    </cfRule>
    <cfRule type="cellIs" dxfId="26307" priority="12966" stopIfTrue="1" operator="equal">
      <formula>"Napkin Hs"</formula>
    </cfRule>
    <cfRule type="cellIs" dxfId="26306" priority="12971" stopIfTrue="1" operator="equal">
      <formula>"Towel"</formula>
    </cfRule>
    <cfRule type="cellIs" dxfId="26305" priority="12972" stopIfTrue="1" operator="equal">
      <formula>"Napkin Hs"</formula>
    </cfRule>
    <cfRule type="cellIs" dxfId="26304" priority="12973" stopIfTrue="1" operator="equal">
      <formula>"Towel"</formula>
    </cfRule>
    <cfRule type="cellIs" dxfId="26303" priority="12974" stopIfTrue="1" operator="equal">
      <formula>"Napkin Hs"</formula>
    </cfRule>
    <cfRule type="cellIs" dxfId="26302" priority="12977" stopIfTrue="1" operator="equal">
      <formula>"Towel"</formula>
    </cfRule>
    <cfRule type="cellIs" dxfId="26301" priority="12978" stopIfTrue="1" operator="equal">
      <formula>"Napkin Hs"</formula>
    </cfRule>
    <cfRule type="cellIs" dxfId="26300" priority="12979" stopIfTrue="1" operator="equal">
      <formula>"Towel"</formula>
    </cfRule>
    <cfRule type="cellIs" dxfId="26299" priority="12980" stopIfTrue="1" operator="equal">
      <formula>"Napkin Hs"</formula>
    </cfRule>
    <cfRule type="cellIs" dxfId="26298" priority="12981" stopIfTrue="1" operator="equal">
      <formula>"Towel"</formula>
    </cfRule>
    <cfRule type="cellIs" dxfId="26297" priority="12982" stopIfTrue="1" operator="equal">
      <formula>"Napkin Hs"</formula>
    </cfRule>
    <cfRule type="cellIs" dxfId="26296" priority="12983" stopIfTrue="1" operator="equal">
      <formula>"Towel"</formula>
    </cfRule>
    <cfRule type="cellIs" dxfId="26295" priority="12984" stopIfTrue="1" operator="equal">
      <formula>"Napkin Hs"</formula>
    </cfRule>
    <cfRule type="cellIs" dxfId="26294" priority="12987" stopIfTrue="1" operator="equal">
      <formula>"Towel"</formula>
    </cfRule>
    <cfRule type="cellIs" dxfId="26293" priority="12988" stopIfTrue="1" operator="equal">
      <formula>"Napkin Hs"</formula>
    </cfRule>
    <cfRule type="cellIs" dxfId="26292" priority="12989" stopIfTrue="1" operator="equal">
      <formula>"Towel"</formula>
    </cfRule>
    <cfRule type="cellIs" dxfId="26291" priority="12990" stopIfTrue="1" operator="equal">
      <formula>"Napkin Hs"</formula>
    </cfRule>
    <cfRule type="cellIs" dxfId="26290" priority="12995" stopIfTrue="1" operator="equal">
      <formula>"Towel"</formula>
    </cfRule>
    <cfRule type="cellIs" dxfId="26289" priority="12996" stopIfTrue="1" operator="equal">
      <formula>"Napkin Hs"</formula>
    </cfRule>
    <cfRule type="cellIs" dxfId="26288" priority="12997" stopIfTrue="1" operator="equal">
      <formula>"Towel"</formula>
    </cfRule>
    <cfRule type="cellIs" dxfId="26287" priority="12998" stopIfTrue="1" operator="equal">
      <formula>"Napkin Hs"</formula>
    </cfRule>
    <cfRule type="cellIs" dxfId="26286" priority="13001" stopIfTrue="1" operator="equal">
      <formula>"Towel"</formula>
    </cfRule>
    <cfRule type="cellIs" dxfId="26285" priority="13002" stopIfTrue="1" operator="equal">
      <formula>"Napkin Hs"</formula>
    </cfRule>
    <cfRule type="cellIs" dxfId="26284" priority="13003" stopIfTrue="1" operator="equal">
      <formula>"Towel"</formula>
    </cfRule>
    <cfRule type="cellIs" dxfId="26283" priority="13004" stopIfTrue="1" operator="equal">
      <formula>"Napkin Hs"</formula>
    </cfRule>
    <cfRule type="cellIs" dxfId="26282" priority="13005" stopIfTrue="1" operator="equal">
      <formula>"Towel"</formula>
    </cfRule>
    <cfRule type="cellIs" dxfId="26281" priority="13006" stopIfTrue="1" operator="equal">
      <formula>"Napkin Hs"</formula>
    </cfRule>
    <cfRule type="cellIs" dxfId="26280" priority="13007" stopIfTrue="1" operator="equal">
      <formula>"Towel"</formula>
    </cfRule>
    <cfRule type="cellIs" dxfId="26279" priority="13008" stopIfTrue="1" operator="equal">
      <formula>"Napkin Hs"</formula>
    </cfRule>
    <cfRule type="cellIs" dxfId="26278" priority="13013" stopIfTrue="1" operator="equal">
      <formula>"Towel"</formula>
    </cfRule>
    <cfRule type="cellIs" dxfId="26277" priority="13014" stopIfTrue="1" operator="equal">
      <formula>"Napkin Hs"</formula>
    </cfRule>
    <cfRule type="cellIs" dxfId="26276" priority="13015" stopIfTrue="1" operator="equal">
      <formula>"Towel"</formula>
    </cfRule>
    <cfRule type="cellIs" dxfId="26275" priority="13016" stopIfTrue="1" operator="equal">
      <formula>"Napkin Hs"</formula>
    </cfRule>
    <cfRule type="cellIs" dxfId="26274" priority="13019" stopIfTrue="1" operator="equal">
      <formula>"Towel"</formula>
    </cfRule>
    <cfRule type="cellIs" dxfId="26273" priority="13020" stopIfTrue="1" operator="equal">
      <formula>"Napkin Hs"</formula>
    </cfRule>
    <cfRule type="cellIs" dxfId="26272" priority="13021" stopIfTrue="1" operator="equal">
      <formula>"Towel"</formula>
    </cfRule>
    <cfRule type="cellIs" dxfId="26271" priority="13022" stopIfTrue="1" operator="equal">
      <formula>"Napkin Hs"</formula>
    </cfRule>
    <cfRule type="cellIs" dxfId="26270" priority="13023" stopIfTrue="1" operator="equal">
      <formula>"Towel"</formula>
    </cfRule>
    <cfRule type="cellIs" dxfId="26269" priority="13024" stopIfTrue="1" operator="equal">
      <formula>"Napkin Hs"</formula>
    </cfRule>
    <cfRule type="cellIs" dxfId="26268" priority="13025" stopIfTrue="1" operator="equal">
      <formula>"Towel"</formula>
    </cfRule>
    <cfRule type="cellIs" dxfId="26267" priority="13026" stopIfTrue="1" operator="equal">
      <formula>"Napkin Hs"</formula>
    </cfRule>
    <cfRule type="cellIs" dxfId="26266" priority="13031" stopIfTrue="1" operator="equal">
      <formula>"Towel"</formula>
    </cfRule>
    <cfRule type="cellIs" dxfId="26265" priority="13032" stopIfTrue="1" operator="equal">
      <formula>"Napkin Hs"</formula>
    </cfRule>
    <cfRule type="cellIs" dxfId="26264" priority="13033" stopIfTrue="1" operator="equal">
      <formula>"Towel"</formula>
    </cfRule>
    <cfRule type="cellIs" dxfId="26263" priority="13034" stopIfTrue="1" operator="equal">
      <formula>"Napkin Hs"</formula>
    </cfRule>
    <cfRule type="cellIs" dxfId="26262" priority="13037" stopIfTrue="1" operator="equal">
      <formula>"Towel"</formula>
    </cfRule>
    <cfRule type="cellIs" dxfId="26261" priority="13038" stopIfTrue="1" operator="equal">
      <formula>"Napkin Hs"</formula>
    </cfRule>
    <cfRule type="cellIs" dxfId="26260" priority="13039" stopIfTrue="1" operator="equal">
      <formula>"Towel"</formula>
    </cfRule>
    <cfRule type="cellIs" dxfId="26259" priority="13040" stopIfTrue="1" operator="equal">
      <formula>"Napkin Hs"</formula>
    </cfRule>
  </conditionalFormatting>
  <conditionalFormatting sqref="B19:C19">
    <cfRule type="cellIs" dxfId="26258" priority="12942" stopIfTrue="1" operator="equal">
      <formula>"Towel"</formula>
    </cfRule>
    <cfRule type="cellIs" dxfId="26257" priority="12943" stopIfTrue="1" operator="equal">
      <formula>"Napkin Hs"</formula>
    </cfRule>
  </conditionalFormatting>
  <conditionalFormatting sqref="C19">
    <cfRule type="cellIs" dxfId="26256" priority="12938" stopIfTrue="1" operator="equal">
      <formula>"Towel"</formula>
    </cfRule>
    <cfRule type="cellIs" dxfId="26255" priority="12939" stopIfTrue="1" operator="equal">
      <formula>"Napkin Hs"</formula>
    </cfRule>
  </conditionalFormatting>
  <conditionalFormatting sqref="C19">
    <cfRule type="cellIs" dxfId="26254" priority="12941" stopIfTrue="1" operator="equal">
      <formula>"Napkin Hs"</formula>
    </cfRule>
  </conditionalFormatting>
  <conditionalFormatting sqref="C19">
    <cfRule type="cellIs" dxfId="26253" priority="12940" stopIfTrue="1" operator="equal">
      <formula>"Towel"</formula>
    </cfRule>
  </conditionalFormatting>
  <conditionalFormatting sqref="B24:C24">
    <cfRule type="cellIs" dxfId="26252" priority="12936" stopIfTrue="1" operator="equal">
      <formula>"Towel"</formula>
    </cfRule>
    <cfRule type="cellIs" dxfId="26251" priority="12937" stopIfTrue="1" operator="equal">
      <formula>"Napkin Hs"</formula>
    </cfRule>
  </conditionalFormatting>
  <conditionalFormatting sqref="C24">
    <cfRule type="cellIs" dxfId="26250" priority="12932" stopIfTrue="1" operator="equal">
      <formula>"Towel"</formula>
    </cfRule>
    <cfRule type="cellIs" dxfId="26249" priority="12933" stopIfTrue="1" operator="equal">
      <formula>"Napkin Hs"</formula>
    </cfRule>
  </conditionalFormatting>
  <conditionalFormatting sqref="C24">
    <cfRule type="cellIs" dxfId="26248" priority="12935" stopIfTrue="1" operator="equal">
      <formula>"Napkin Hs"</formula>
    </cfRule>
  </conditionalFormatting>
  <conditionalFormatting sqref="C24">
    <cfRule type="cellIs" dxfId="26247" priority="12934" stopIfTrue="1" operator="equal">
      <formula>"Towel"</formula>
    </cfRule>
  </conditionalFormatting>
  <conditionalFormatting sqref="C26">
    <cfRule type="cellIs" dxfId="26246" priority="12928" stopIfTrue="1" operator="equal">
      <formula>"Towel"</formula>
    </cfRule>
    <cfRule type="cellIs" dxfId="26245" priority="12929" stopIfTrue="1" operator="equal">
      <formula>"Napkin Hs"</formula>
    </cfRule>
  </conditionalFormatting>
  <conditionalFormatting sqref="C26">
    <cfRule type="cellIs" dxfId="26244" priority="12930" stopIfTrue="1" operator="equal">
      <formula>"Towel"</formula>
    </cfRule>
    <cfRule type="cellIs" dxfId="26243" priority="12931" stopIfTrue="1" operator="equal">
      <formula>"Napkin Hs"</formula>
    </cfRule>
  </conditionalFormatting>
  <conditionalFormatting sqref="C26">
    <cfRule type="cellIs" dxfId="26242" priority="12926" stopIfTrue="1" operator="equal">
      <formula>"Towel"</formula>
    </cfRule>
    <cfRule type="cellIs" dxfId="26241" priority="12927" stopIfTrue="1" operator="equal">
      <formula>"Napkin Hs"</formula>
    </cfRule>
  </conditionalFormatting>
  <conditionalFormatting sqref="B26">
    <cfRule type="cellIs" dxfId="26240" priority="12924" stopIfTrue="1" operator="equal">
      <formula>"Towel"</formula>
    </cfRule>
    <cfRule type="cellIs" dxfId="26239" priority="12925" stopIfTrue="1" operator="equal">
      <formula>"Napkin Hs"</formula>
    </cfRule>
  </conditionalFormatting>
  <conditionalFormatting sqref="C25">
    <cfRule type="cellIs" dxfId="26238" priority="12920" stopIfTrue="1" operator="equal">
      <formula>"Towel"</formula>
    </cfRule>
    <cfRule type="cellIs" dxfId="26237" priority="12921" stopIfTrue="1" operator="equal">
      <formula>"Napkin Hs"</formula>
    </cfRule>
  </conditionalFormatting>
  <conditionalFormatting sqref="C25">
    <cfRule type="cellIs" dxfId="26236" priority="12922" stopIfTrue="1" operator="equal">
      <formula>"Towel"</formula>
    </cfRule>
    <cfRule type="cellIs" dxfId="26235" priority="12923" stopIfTrue="1" operator="equal">
      <formula>"Napkin Hs"</formula>
    </cfRule>
  </conditionalFormatting>
  <conditionalFormatting sqref="C25">
    <cfRule type="cellIs" dxfId="26234" priority="12918" stopIfTrue="1" operator="equal">
      <formula>"Towel"</formula>
    </cfRule>
    <cfRule type="cellIs" dxfId="26233" priority="12919" stopIfTrue="1" operator="equal">
      <formula>"Napkin Hs"</formula>
    </cfRule>
  </conditionalFormatting>
  <conditionalFormatting sqref="B25">
    <cfRule type="cellIs" dxfId="26232" priority="12916" stopIfTrue="1" operator="equal">
      <formula>"Towel"</formula>
    </cfRule>
    <cfRule type="cellIs" dxfId="26231" priority="12917" stopIfTrue="1" operator="equal">
      <formula>"Napkin Hs"</formula>
    </cfRule>
  </conditionalFormatting>
  <conditionalFormatting sqref="B23:C23">
    <cfRule type="cellIs" dxfId="26230" priority="12892" stopIfTrue="1" operator="equal">
      <formula>"Towel"</formula>
    </cfRule>
  </conditionalFormatting>
  <conditionalFormatting sqref="B23:C23">
    <cfRule type="cellIs" dxfId="26229" priority="12893" stopIfTrue="1" operator="equal">
      <formula>"Napkin Hs"</formula>
    </cfRule>
    <cfRule type="cellIs" dxfId="26228" priority="12898" stopIfTrue="1" operator="equal">
      <formula>"Towel"</formula>
    </cfRule>
    <cfRule type="cellIs" dxfId="26227" priority="12899" stopIfTrue="1" operator="equal">
      <formula>"Napkin Hs"</formula>
    </cfRule>
    <cfRule type="cellIs" dxfId="26226" priority="12908" stopIfTrue="1" operator="equal">
      <formula>"Towel"</formula>
    </cfRule>
    <cfRule type="cellIs" dxfId="26225" priority="12909" stopIfTrue="1" operator="equal">
      <formula>"Napkin Hs"</formula>
    </cfRule>
    <cfRule type="cellIs" dxfId="26224" priority="12914" stopIfTrue="1" operator="equal">
      <formula>"Towel"</formula>
    </cfRule>
    <cfRule type="cellIs" dxfId="26223" priority="12915" stopIfTrue="1" operator="equal">
      <formula>"Napkin Hs"</formula>
    </cfRule>
  </conditionalFormatting>
  <conditionalFormatting sqref="C23">
    <cfRule type="cellIs" dxfId="26222" priority="12894" stopIfTrue="1" operator="equal">
      <formula>"Towel"</formula>
    </cfRule>
    <cfRule type="cellIs" dxfId="26221" priority="12895" stopIfTrue="1" operator="equal">
      <formula>"Napkin Hs"</formula>
    </cfRule>
    <cfRule type="cellIs" dxfId="26220" priority="12896" stopIfTrue="1" operator="equal">
      <formula>"Towel"</formula>
    </cfRule>
    <cfRule type="cellIs" dxfId="26219" priority="12897" stopIfTrue="1" operator="equal">
      <formula>"Napkin Hs"</formula>
    </cfRule>
    <cfRule type="cellIs" dxfId="26218" priority="12900" stopIfTrue="1" operator="equal">
      <formula>"Towel"</formula>
    </cfRule>
    <cfRule type="cellIs" dxfId="26217" priority="12901" stopIfTrue="1" operator="equal">
      <formula>"Napkin Hs"</formula>
    </cfRule>
    <cfRule type="cellIs" dxfId="26216" priority="12902" stopIfTrue="1" operator="equal">
      <formula>"Towel"</formula>
    </cfRule>
    <cfRule type="cellIs" dxfId="26215" priority="12903" stopIfTrue="1" operator="equal">
      <formula>"Napkin Hs"</formula>
    </cfRule>
    <cfRule type="cellIs" dxfId="26214" priority="12904" stopIfTrue="1" operator="equal">
      <formula>"Towel"</formula>
    </cfRule>
    <cfRule type="cellIs" dxfId="26213" priority="12905" stopIfTrue="1" operator="equal">
      <formula>"Napkin Hs"</formula>
    </cfRule>
    <cfRule type="cellIs" dxfId="26212" priority="12906" stopIfTrue="1" operator="equal">
      <formula>"Towel"</formula>
    </cfRule>
    <cfRule type="cellIs" dxfId="26211" priority="12907" stopIfTrue="1" operator="equal">
      <formula>"Napkin Hs"</formula>
    </cfRule>
    <cfRule type="cellIs" dxfId="26210" priority="12910" stopIfTrue="1" operator="equal">
      <formula>"Towel"</formula>
    </cfRule>
    <cfRule type="cellIs" dxfId="26209" priority="12911" stopIfTrue="1" operator="equal">
      <formula>"Napkin Hs"</formula>
    </cfRule>
    <cfRule type="cellIs" dxfId="26208" priority="12913" stopIfTrue="1" operator="equal">
      <formula>"Napkin Hs"</formula>
    </cfRule>
  </conditionalFormatting>
  <conditionalFormatting sqref="C23">
    <cfRule type="cellIs" dxfId="26207" priority="12912" stopIfTrue="1" operator="equal">
      <formula>"Towel"</formula>
    </cfRule>
  </conditionalFormatting>
  <conditionalFormatting sqref="B23:C23">
    <cfRule type="cellIs" dxfId="26206" priority="12890" stopIfTrue="1" operator="equal">
      <formula>"Towel"</formula>
    </cfRule>
    <cfRule type="cellIs" dxfId="26205" priority="12891" stopIfTrue="1" operator="equal">
      <formula>"Napkin Hs"</formula>
    </cfRule>
  </conditionalFormatting>
  <conditionalFormatting sqref="C23">
    <cfRule type="cellIs" dxfId="26204" priority="12889" stopIfTrue="1" operator="equal">
      <formula>"Napkin Hs"</formula>
    </cfRule>
  </conditionalFormatting>
  <conditionalFormatting sqref="C23">
    <cfRule type="cellIs" dxfId="26203" priority="12888" stopIfTrue="1" operator="equal">
      <formula>"Towel"</formula>
    </cfRule>
  </conditionalFormatting>
  <conditionalFormatting sqref="C23">
    <cfRule type="cellIs" dxfId="26202" priority="12886" stopIfTrue="1" operator="equal">
      <formula>"Towel"</formula>
    </cfRule>
  </conditionalFormatting>
  <conditionalFormatting sqref="C23">
    <cfRule type="cellIs" dxfId="26201" priority="12887" stopIfTrue="1" operator="equal">
      <formula>"Napkin Hs"</formula>
    </cfRule>
  </conditionalFormatting>
  <conditionalFormatting sqref="B23">
    <cfRule type="cellIs" dxfId="26200" priority="12790" stopIfTrue="1" operator="equal">
      <formula>"Napkin Hs"</formula>
    </cfRule>
  </conditionalFormatting>
  <conditionalFormatting sqref="B23:C23">
    <cfRule type="cellIs" dxfId="26199" priority="12789" stopIfTrue="1" operator="equal">
      <formula>"Towel"</formula>
    </cfRule>
  </conditionalFormatting>
  <conditionalFormatting sqref="B23:C23">
    <cfRule type="cellIs" dxfId="26198" priority="12800" stopIfTrue="1" operator="equal">
      <formula>"Towel"</formula>
    </cfRule>
    <cfRule type="cellIs" dxfId="26197" priority="12801" stopIfTrue="1" operator="equal">
      <formula>"Napkin Hs"</formula>
    </cfRule>
    <cfRule type="cellIs" dxfId="26196" priority="12806" stopIfTrue="1" operator="equal">
      <formula>"Towel"</formula>
    </cfRule>
    <cfRule type="cellIs" dxfId="26195" priority="12807" stopIfTrue="1" operator="equal">
      <formula>"Napkin Hs"</formula>
    </cfRule>
    <cfRule type="cellIs" dxfId="26194" priority="12812" stopIfTrue="1" operator="equal">
      <formula>"Towel"</formula>
    </cfRule>
    <cfRule type="cellIs" dxfId="26193" priority="12813" stopIfTrue="1" operator="equal">
      <formula>"Napkin Hs"</formula>
    </cfRule>
    <cfRule type="cellIs" dxfId="26192" priority="12814" stopIfTrue="1" operator="equal">
      <formula>"Towel"</formula>
    </cfRule>
    <cfRule type="cellIs" dxfId="26191" priority="12815" stopIfTrue="1" operator="equal">
      <formula>"Napkin Hs"</formula>
    </cfRule>
    <cfRule type="cellIs" dxfId="26190" priority="12820" stopIfTrue="1" operator="equal">
      <formula>"Towel"</formula>
    </cfRule>
    <cfRule type="cellIs" dxfId="26189" priority="12821" stopIfTrue="1" operator="equal">
      <formula>"Napkin Hs"</formula>
    </cfRule>
    <cfRule type="cellIs" dxfId="26188" priority="12830" stopIfTrue="1" operator="equal">
      <formula>"Towel"</formula>
    </cfRule>
    <cfRule type="cellIs" dxfId="26187" priority="12831" stopIfTrue="1" operator="equal">
      <formula>"Napkin Hs"</formula>
    </cfRule>
    <cfRule type="cellIs" dxfId="26186" priority="12836" stopIfTrue="1" operator="equal">
      <formula>"Towel"</formula>
    </cfRule>
    <cfRule type="cellIs" dxfId="26185" priority="12837" stopIfTrue="1" operator="equal">
      <formula>"Napkin Hs"</formula>
    </cfRule>
    <cfRule type="cellIs" dxfId="26184" priority="12838" stopIfTrue="1" operator="equal">
      <formula>"Towel"</formula>
    </cfRule>
    <cfRule type="cellIs" dxfId="26183" priority="12839" stopIfTrue="1" operator="equal">
      <formula>"Napkin Hs"</formula>
    </cfRule>
    <cfRule type="cellIs" dxfId="26182" priority="12844" stopIfTrue="1" operator="equal">
      <formula>"Towel"</formula>
    </cfRule>
    <cfRule type="cellIs" dxfId="26181" priority="12845" stopIfTrue="1" operator="equal">
      <formula>"Napkin Hs"</formula>
    </cfRule>
    <cfRule type="cellIs" dxfId="26180" priority="12854" stopIfTrue="1" operator="equal">
      <formula>"Towel"</formula>
    </cfRule>
    <cfRule type="cellIs" dxfId="26179" priority="12855" stopIfTrue="1" operator="equal">
      <formula>"Napkin Hs"</formula>
    </cfRule>
    <cfRule type="cellIs" dxfId="26178" priority="12856" stopIfTrue="1" operator="equal">
      <formula>"Towel"</formula>
    </cfRule>
    <cfRule type="cellIs" dxfId="26177" priority="12857" stopIfTrue="1" operator="equal">
      <formula>"Napkin Hs"</formula>
    </cfRule>
    <cfRule type="cellIs" dxfId="26176" priority="12862" stopIfTrue="1" operator="equal">
      <formula>"Towel"</formula>
    </cfRule>
    <cfRule type="cellIs" dxfId="26175" priority="12863" stopIfTrue="1" operator="equal">
      <formula>"Napkin Hs"</formula>
    </cfRule>
    <cfRule type="cellIs" dxfId="26174" priority="12872" stopIfTrue="1" operator="equal">
      <formula>"Towel"</formula>
    </cfRule>
    <cfRule type="cellIs" dxfId="26173" priority="12873" stopIfTrue="1" operator="equal">
      <formula>"Napkin Hs"</formula>
    </cfRule>
    <cfRule type="cellIs" dxfId="26172" priority="12874" stopIfTrue="1" operator="equal">
      <formula>"Towel"</formula>
    </cfRule>
    <cfRule type="cellIs" dxfId="26171" priority="12875" stopIfTrue="1" operator="equal">
      <formula>"Napkin Hs"</formula>
    </cfRule>
    <cfRule type="cellIs" dxfId="26170" priority="12881" stopIfTrue="1" operator="equal">
      <formula>"Napkin Hs"</formula>
    </cfRule>
  </conditionalFormatting>
  <conditionalFormatting sqref="B23:C23">
    <cfRule type="cellIs" dxfId="26169" priority="12880" stopIfTrue="1" operator="equal">
      <formula>"Towel"</formula>
    </cfRule>
  </conditionalFormatting>
  <conditionalFormatting sqref="C23">
    <cfRule type="cellIs" dxfId="26168" priority="12791" stopIfTrue="1" operator="equal">
      <formula>"Napkin Hs"</formula>
    </cfRule>
    <cfRule type="cellIs" dxfId="26167" priority="12792" stopIfTrue="1" operator="equal">
      <formula>"Towel"</formula>
    </cfRule>
    <cfRule type="cellIs" dxfId="26166" priority="12793" stopIfTrue="1" operator="equal">
      <formula>"Napkin Hs"</formula>
    </cfRule>
    <cfRule type="cellIs" dxfId="26165" priority="12794" stopIfTrue="1" operator="equal">
      <formula>"Towel"</formula>
    </cfRule>
    <cfRule type="cellIs" dxfId="26164" priority="12795" stopIfTrue="1" operator="equal">
      <formula>"Napkin Hs"</formula>
    </cfRule>
    <cfRule type="cellIs" dxfId="26163" priority="12796" stopIfTrue="1" operator="equal">
      <formula>"Towel"</formula>
    </cfRule>
    <cfRule type="cellIs" dxfId="26162" priority="12797" stopIfTrue="1" operator="equal">
      <formula>"Napkin Hs"</formula>
    </cfRule>
    <cfRule type="cellIs" dxfId="26161" priority="12798" stopIfTrue="1" operator="equal">
      <formula>"Towel"</formula>
    </cfRule>
    <cfRule type="cellIs" dxfId="26160" priority="12799" stopIfTrue="1" operator="equal">
      <formula>"Napkin Hs"</formula>
    </cfRule>
    <cfRule type="cellIs" dxfId="26159" priority="12802" stopIfTrue="1" operator="equal">
      <formula>"Towel"</formula>
    </cfRule>
    <cfRule type="cellIs" dxfId="26158" priority="12803" stopIfTrue="1" operator="equal">
      <formula>"Napkin Hs"</formula>
    </cfRule>
    <cfRule type="cellIs" dxfId="26157" priority="12804" stopIfTrue="1" operator="equal">
      <formula>"Towel"</formula>
    </cfRule>
    <cfRule type="cellIs" dxfId="26156" priority="12805" stopIfTrue="1" operator="equal">
      <formula>"Napkin Hs"</formula>
    </cfRule>
    <cfRule type="cellIs" dxfId="26155" priority="12808" stopIfTrue="1" operator="equal">
      <formula>"Towel"</formula>
    </cfRule>
    <cfRule type="cellIs" dxfId="26154" priority="12809" stopIfTrue="1" operator="equal">
      <formula>"Napkin Hs"</formula>
    </cfRule>
    <cfRule type="cellIs" dxfId="26153" priority="12810" stopIfTrue="1" operator="equal">
      <formula>"Towel"</formula>
    </cfRule>
    <cfRule type="cellIs" dxfId="26152" priority="12811" stopIfTrue="1" operator="equal">
      <formula>"Napkin Hs"</formula>
    </cfRule>
    <cfRule type="cellIs" dxfId="26151" priority="12816" stopIfTrue="1" operator="equal">
      <formula>"Towel"</formula>
    </cfRule>
    <cfRule type="cellIs" dxfId="26150" priority="12817" stopIfTrue="1" operator="equal">
      <formula>"Napkin Hs"</formula>
    </cfRule>
    <cfRule type="cellIs" dxfId="26149" priority="12818" stopIfTrue="1" operator="equal">
      <formula>"Towel"</formula>
    </cfRule>
    <cfRule type="cellIs" dxfId="26148" priority="12819" stopIfTrue="1" operator="equal">
      <formula>"Napkin Hs"</formula>
    </cfRule>
    <cfRule type="cellIs" dxfId="26147" priority="12822" stopIfTrue="1" operator="equal">
      <formula>"Towel"</formula>
    </cfRule>
    <cfRule type="cellIs" dxfId="26146" priority="12823" stopIfTrue="1" operator="equal">
      <formula>"Napkin Hs"</formula>
    </cfRule>
    <cfRule type="cellIs" dxfId="26145" priority="12824" stopIfTrue="1" operator="equal">
      <formula>"Towel"</formula>
    </cfRule>
    <cfRule type="cellIs" dxfId="26144" priority="12825" stopIfTrue="1" operator="equal">
      <formula>"Napkin Hs"</formula>
    </cfRule>
    <cfRule type="cellIs" dxfId="26143" priority="12826" stopIfTrue="1" operator="equal">
      <formula>"Towel"</formula>
    </cfRule>
    <cfRule type="cellIs" dxfId="26142" priority="12827" stopIfTrue="1" operator="equal">
      <formula>"Napkin Hs"</formula>
    </cfRule>
    <cfRule type="cellIs" dxfId="26141" priority="12828" stopIfTrue="1" operator="equal">
      <formula>"Towel"</formula>
    </cfRule>
    <cfRule type="cellIs" dxfId="26140" priority="12829" stopIfTrue="1" operator="equal">
      <formula>"Napkin Hs"</formula>
    </cfRule>
    <cfRule type="cellIs" dxfId="26139" priority="12832" stopIfTrue="1" operator="equal">
      <formula>"Towel"</formula>
    </cfRule>
    <cfRule type="cellIs" dxfId="26138" priority="12833" stopIfTrue="1" operator="equal">
      <formula>"Napkin Hs"</formula>
    </cfRule>
    <cfRule type="cellIs" dxfId="26137" priority="12834" stopIfTrue="1" operator="equal">
      <formula>"Towel"</formula>
    </cfRule>
    <cfRule type="cellIs" dxfId="26136" priority="12835" stopIfTrue="1" operator="equal">
      <formula>"Napkin Hs"</formula>
    </cfRule>
    <cfRule type="cellIs" dxfId="26135" priority="12840" stopIfTrue="1" operator="equal">
      <formula>"Towel"</formula>
    </cfRule>
    <cfRule type="cellIs" dxfId="26134" priority="12841" stopIfTrue="1" operator="equal">
      <formula>"Napkin Hs"</formula>
    </cfRule>
    <cfRule type="cellIs" dxfId="26133" priority="12842" stopIfTrue="1" operator="equal">
      <formula>"Towel"</formula>
    </cfRule>
    <cfRule type="cellIs" dxfId="26132" priority="12843" stopIfTrue="1" operator="equal">
      <formula>"Napkin Hs"</formula>
    </cfRule>
    <cfRule type="cellIs" dxfId="26131" priority="12846" stopIfTrue="1" operator="equal">
      <formula>"Towel"</formula>
    </cfRule>
    <cfRule type="cellIs" dxfId="26130" priority="12847" stopIfTrue="1" operator="equal">
      <formula>"Napkin Hs"</formula>
    </cfRule>
    <cfRule type="cellIs" dxfId="26129" priority="12848" stopIfTrue="1" operator="equal">
      <formula>"Towel"</formula>
    </cfRule>
    <cfRule type="cellIs" dxfId="26128" priority="12849" stopIfTrue="1" operator="equal">
      <formula>"Napkin Hs"</formula>
    </cfRule>
    <cfRule type="cellIs" dxfId="26127" priority="12850" stopIfTrue="1" operator="equal">
      <formula>"Towel"</formula>
    </cfRule>
    <cfRule type="cellIs" dxfId="26126" priority="12851" stopIfTrue="1" operator="equal">
      <formula>"Napkin Hs"</formula>
    </cfRule>
    <cfRule type="cellIs" dxfId="26125" priority="12852" stopIfTrue="1" operator="equal">
      <formula>"Towel"</formula>
    </cfRule>
    <cfRule type="cellIs" dxfId="26124" priority="12853" stopIfTrue="1" operator="equal">
      <formula>"Napkin Hs"</formula>
    </cfRule>
    <cfRule type="cellIs" dxfId="26123" priority="12858" stopIfTrue="1" operator="equal">
      <formula>"Towel"</formula>
    </cfRule>
    <cfRule type="cellIs" dxfId="26122" priority="12859" stopIfTrue="1" operator="equal">
      <formula>"Napkin Hs"</formula>
    </cfRule>
    <cfRule type="cellIs" dxfId="26121" priority="12860" stopIfTrue="1" operator="equal">
      <formula>"Towel"</formula>
    </cfRule>
    <cfRule type="cellIs" dxfId="26120" priority="12861" stopIfTrue="1" operator="equal">
      <formula>"Napkin Hs"</formula>
    </cfRule>
    <cfRule type="cellIs" dxfId="26119" priority="12864" stopIfTrue="1" operator="equal">
      <formula>"Towel"</formula>
    </cfRule>
    <cfRule type="cellIs" dxfId="26118" priority="12865" stopIfTrue="1" operator="equal">
      <formula>"Napkin Hs"</formula>
    </cfRule>
    <cfRule type="cellIs" dxfId="26117" priority="12866" stopIfTrue="1" operator="equal">
      <formula>"Towel"</formula>
    </cfRule>
    <cfRule type="cellIs" dxfId="26116" priority="12867" stopIfTrue="1" operator="equal">
      <formula>"Napkin Hs"</formula>
    </cfRule>
    <cfRule type="cellIs" dxfId="26115" priority="12868" stopIfTrue="1" operator="equal">
      <formula>"Towel"</formula>
    </cfRule>
    <cfRule type="cellIs" dxfId="26114" priority="12869" stopIfTrue="1" operator="equal">
      <formula>"Napkin Hs"</formula>
    </cfRule>
    <cfRule type="cellIs" dxfId="26113" priority="12870" stopIfTrue="1" operator="equal">
      <formula>"Towel"</formula>
    </cfRule>
    <cfRule type="cellIs" dxfId="26112" priority="12871" stopIfTrue="1" operator="equal">
      <formula>"Napkin Hs"</formula>
    </cfRule>
    <cfRule type="cellIs" dxfId="26111" priority="12876" stopIfTrue="1" operator="equal">
      <formula>"Towel"</formula>
    </cfRule>
    <cfRule type="cellIs" dxfId="26110" priority="12877" stopIfTrue="1" operator="equal">
      <formula>"Napkin Hs"</formula>
    </cfRule>
    <cfRule type="cellIs" dxfId="26109" priority="12878" stopIfTrue="1" operator="equal">
      <formula>"Towel"</formula>
    </cfRule>
    <cfRule type="cellIs" dxfId="26108" priority="12879" stopIfTrue="1" operator="equal">
      <formula>"Napkin Hs"</formula>
    </cfRule>
    <cfRule type="cellIs" dxfId="26107" priority="12882" stopIfTrue="1" operator="equal">
      <formula>"Towel"</formula>
    </cfRule>
    <cfRule type="cellIs" dxfId="26106" priority="12883" stopIfTrue="1" operator="equal">
      <formula>"Napkin Hs"</formula>
    </cfRule>
    <cfRule type="cellIs" dxfId="26105" priority="12884" stopIfTrue="1" operator="equal">
      <formula>"Towel"</formula>
    </cfRule>
    <cfRule type="cellIs" dxfId="26104" priority="12885" stopIfTrue="1" operator="equal">
      <formula>"Napkin Hs"</formula>
    </cfRule>
  </conditionalFormatting>
  <conditionalFormatting sqref="B23:C23">
    <cfRule type="cellIs" dxfId="26103" priority="12787" stopIfTrue="1" operator="equal">
      <formula>"Towel"</formula>
    </cfRule>
    <cfRule type="cellIs" dxfId="26102" priority="12788" stopIfTrue="1" operator="equal">
      <formula>"Napkin Hs"</formula>
    </cfRule>
  </conditionalFormatting>
  <conditionalFormatting sqref="C23">
    <cfRule type="cellIs" dxfId="26101" priority="12783" stopIfTrue="1" operator="equal">
      <formula>"Towel"</formula>
    </cfRule>
    <cfRule type="cellIs" dxfId="26100" priority="12784" stopIfTrue="1" operator="equal">
      <formula>"Napkin Hs"</formula>
    </cfRule>
  </conditionalFormatting>
  <conditionalFormatting sqref="C23">
    <cfRule type="cellIs" dxfId="26099" priority="12786" stopIfTrue="1" operator="equal">
      <formula>"Napkin Hs"</formula>
    </cfRule>
  </conditionalFormatting>
  <conditionalFormatting sqref="C23">
    <cfRule type="cellIs" dxfId="26098" priority="12785" stopIfTrue="1" operator="equal">
      <formula>"Towel"</formula>
    </cfRule>
  </conditionalFormatting>
  <conditionalFormatting sqref="B29:C29">
    <cfRule type="cellIs" dxfId="26097" priority="12781" stopIfTrue="1" operator="equal">
      <formula>"Towel"</formula>
    </cfRule>
    <cfRule type="cellIs" dxfId="26096" priority="12782" stopIfTrue="1" operator="equal">
      <formula>"Napkin Hs"</formula>
    </cfRule>
  </conditionalFormatting>
  <conditionalFormatting sqref="C29">
    <cfRule type="cellIs" dxfId="26095" priority="12777" stopIfTrue="1" operator="equal">
      <formula>"Towel"</formula>
    </cfRule>
    <cfRule type="cellIs" dxfId="26094" priority="12778" stopIfTrue="1" operator="equal">
      <formula>"Napkin Hs"</formula>
    </cfRule>
  </conditionalFormatting>
  <conditionalFormatting sqref="C29">
    <cfRule type="cellIs" dxfId="26093" priority="12780" stopIfTrue="1" operator="equal">
      <formula>"Napkin Hs"</formula>
    </cfRule>
  </conditionalFormatting>
  <conditionalFormatting sqref="C29">
    <cfRule type="cellIs" dxfId="26092" priority="12779" stopIfTrue="1" operator="equal">
      <formula>"Towel"</formula>
    </cfRule>
  </conditionalFormatting>
  <conditionalFormatting sqref="C31">
    <cfRule type="cellIs" dxfId="26091" priority="12773" stopIfTrue="1" operator="equal">
      <formula>"Towel"</formula>
    </cfRule>
    <cfRule type="cellIs" dxfId="26090" priority="12774" stopIfTrue="1" operator="equal">
      <formula>"Napkin Hs"</formula>
    </cfRule>
  </conditionalFormatting>
  <conditionalFormatting sqref="C31">
    <cfRule type="cellIs" dxfId="26089" priority="12775" stopIfTrue="1" operator="equal">
      <formula>"Towel"</formula>
    </cfRule>
    <cfRule type="cellIs" dxfId="26088" priority="12776" stopIfTrue="1" operator="equal">
      <formula>"Napkin Hs"</formula>
    </cfRule>
  </conditionalFormatting>
  <conditionalFormatting sqref="C31">
    <cfRule type="cellIs" dxfId="26087" priority="12771" stopIfTrue="1" operator="equal">
      <formula>"Towel"</formula>
    </cfRule>
    <cfRule type="cellIs" dxfId="26086" priority="12772" stopIfTrue="1" operator="equal">
      <formula>"Napkin Hs"</formula>
    </cfRule>
  </conditionalFormatting>
  <conditionalFormatting sqref="B31">
    <cfRule type="cellIs" dxfId="26085" priority="12769" stopIfTrue="1" operator="equal">
      <formula>"Towel"</formula>
    </cfRule>
    <cfRule type="cellIs" dxfId="26084" priority="12770" stopIfTrue="1" operator="equal">
      <formula>"Napkin Hs"</formula>
    </cfRule>
  </conditionalFormatting>
  <conditionalFormatting sqref="C30">
    <cfRule type="cellIs" dxfId="26083" priority="12765" stopIfTrue="1" operator="equal">
      <formula>"Towel"</formula>
    </cfRule>
    <cfRule type="cellIs" dxfId="26082" priority="12766" stopIfTrue="1" operator="equal">
      <formula>"Napkin Hs"</formula>
    </cfRule>
  </conditionalFormatting>
  <conditionalFormatting sqref="C30">
    <cfRule type="cellIs" dxfId="26081" priority="12767" stopIfTrue="1" operator="equal">
      <formula>"Towel"</formula>
    </cfRule>
    <cfRule type="cellIs" dxfId="26080" priority="12768" stopIfTrue="1" operator="equal">
      <formula>"Napkin Hs"</formula>
    </cfRule>
  </conditionalFormatting>
  <conditionalFormatting sqref="C30">
    <cfRule type="cellIs" dxfId="26079" priority="12763" stopIfTrue="1" operator="equal">
      <formula>"Towel"</formula>
    </cfRule>
    <cfRule type="cellIs" dxfId="26078" priority="12764" stopIfTrue="1" operator="equal">
      <formula>"Napkin Hs"</formula>
    </cfRule>
  </conditionalFormatting>
  <conditionalFormatting sqref="B30">
    <cfRule type="cellIs" dxfId="26077" priority="12761" stopIfTrue="1" operator="equal">
      <formula>"Towel"</formula>
    </cfRule>
    <cfRule type="cellIs" dxfId="26076" priority="12762" stopIfTrue="1" operator="equal">
      <formula>"Napkin Hs"</formula>
    </cfRule>
  </conditionalFormatting>
  <conditionalFormatting sqref="B28:C28">
    <cfRule type="cellIs" dxfId="26075" priority="12737" stopIfTrue="1" operator="equal">
      <formula>"Towel"</formula>
    </cfRule>
  </conditionalFormatting>
  <conditionalFormatting sqref="B28:C28">
    <cfRule type="cellIs" dxfId="26074" priority="12738" stopIfTrue="1" operator="equal">
      <formula>"Napkin Hs"</formula>
    </cfRule>
    <cfRule type="cellIs" dxfId="26073" priority="12743" stopIfTrue="1" operator="equal">
      <formula>"Towel"</formula>
    </cfRule>
    <cfRule type="cellIs" dxfId="26072" priority="12744" stopIfTrue="1" operator="equal">
      <formula>"Napkin Hs"</formula>
    </cfRule>
    <cfRule type="cellIs" dxfId="26071" priority="12753" stopIfTrue="1" operator="equal">
      <formula>"Towel"</formula>
    </cfRule>
    <cfRule type="cellIs" dxfId="26070" priority="12754" stopIfTrue="1" operator="equal">
      <formula>"Napkin Hs"</formula>
    </cfRule>
    <cfRule type="cellIs" dxfId="26069" priority="12759" stopIfTrue="1" operator="equal">
      <formula>"Towel"</formula>
    </cfRule>
    <cfRule type="cellIs" dxfId="26068" priority="12760" stopIfTrue="1" operator="equal">
      <formula>"Napkin Hs"</formula>
    </cfRule>
  </conditionalFormatting>
  <conditionalFormatting sqref="C28">
    <cfRule type="cellIs" dxfId="26067" priority="12739" stopIfTrue="1" operator="equal">
      <formula>"Towel"</formula>
    </cfRule>
    <cfRule type="cellIs" dxfId="26066" priority="12740" stopIfTrue="1" operator="equal">
      <formula>"Napkin Hs"</formula>
    </cfRule>
    <cfRule type="cellIs" dxfId="26065" priority="12741" stopIfTrue="1" operator="equal">
      <formula>"Towel"</formula>
    </cfRule>
    <cfRule type="cellIs" dxfId="26064" priority="12742" stopIfTrue="1" operator="equal">
      <formula>"Napkin Hs"</formula>
    </cfRule>
    <cfRule type="cellIs" dxfId="26063" priority="12745" stopIfTrue="1" operator="equal">
      <formula>"Towel"</formula>
    </cfRule>
    <cfRule type="cellIs" dxfId="26062" priority="12746" stopIfTrue="1" operator="equal">
      <formula>"Napkin Hs"</formula>
    </cfRule>
    <cfRule type="cellIs" dxfId="26061" priority="12747" stopIfTrue="1" operator="equal">
      <formula>"Towel"</formula>
    </cfRule>
    <cfRule type="cellIs" dxfId="26060" priority="12748" stopIfTrue="1" operator="equal">
      <formula>"Napkin Hs"</formula>
    </cfRule>
    <cfRule type="cellIs" dxfId="26059" priority="12749" stopIfTrue="1" operator="equal">
      <formula>"Towel"</formula>
    </cfRule>
    <cfRule type="cellIs" dxfId="26058" priority="12750" stopIfTrue="1" operator="equal">
      <formula>"Napkin Hs"</formula>
    </cfRule>
    <cfRule type="cellIs" dxfId="26057" priority="12751" stopIfTrue="1" operator="equal">
      <formula>"Towel"</formula>
    </cfRule>
    <cfRule type="cellIs" dxfId="26056" priority="12752" stopIfTrue="1" operator="equal">
      <formula>"Napkin Hs"</formula>
    </cfRule>
    <cfRule type="cellIs" dxfId="26055" priority="12755" stopIfTrue="1" operator="equal">
      <formula>"Towel"</formula>
    </cfRule>
    <cfRule type="cellIs" dxfId="26054" priority="12756" stopIfTrue="1" operator="equal">
      <formula>"Napkin Hs"</formula>
    </cfRule>
    <cfRule type="cellIs" dxfId="26053" priority="12758" stopIfTrue="1" operator="equal">
      <formula>"Napkin Hs"</formula>
    </cfRule>
  </conditionalFormatting>
  <conditionalFormatting sqref="C28">
    <cfRule type="cellIs" dxfId="26052" priority="12757" stopIfTrue="1" operator="equal">
      <formula>"Towel"</formula>
    </cfRule>
  </conditionalFormatting>
  <conditionalFormatting sqref="B28:C28">
    <cfRule type="cellIs" dxfId="26051" priority="12735" stopIfTrue="1" operator="equal">
      <formula>"Towel"</formula>
    </cfRule>
    <cfRule type="cellIs" dxfId="26050" priority="12736" stopIfTrue="1" operator="equal">
      <formula>"Napkin Hs"</formula>
    </cfRule>
  </conditionalFormatting>
  <conditionalFormatting sqref="C28">
    <cfRule type="cellIs" dxfId="26049" priority="12734" stopIfTrue="1" operator="equal">
      <formula>"Napkin Hs"</formula>
    </cfRule>
  </conditionalFormatting>
  <conditionalFormatting sqref="C28">
    <cfRule type="cellIs" dxfId="26048" priority="12733" stopIfTrue="1" operator="equal">
      <formula>"Towel"</formula>
    </cfRule>
  </conditionalFormatting>
  <conditionalFormatting sqref="C28">
    <cfRule type="cellIs" dxfId="26047" priority="12731" stopIfTrue="1" operator="equal">
      <formula>"Towel"</formula>
    </cfRule>
  </conditionalFormatting>
  <conditionalFormatting sqref="C28">
    <cfRule type="cellIs" dxfId="26046" priority="12732" stopIfTrue="1" operator="equal">
      <formula>"Napkin Hs"</formula>
    </cfRule>
  </conditionalFormatting>
  <conditionalFormatting sqref="B28">
    <cfRule type="cellIs" dxfId="26045" priority="12635" stopIfTrue="1" operator="equal">
      <formula>"Napkin Hs"</formula>
    </cfRule>
  </conditionalFormatting>
  <conditionalFormatting sqref="B28:C28">
    <cfRule type="cellIs" dxfId="26044" priority="12634" stopIfTrue="1" operator="equal">
      <formula>"Towel"</formula>
    </cfRule>
  </conditionalFormatting>
  <conditionalFormatting sqref="B28:C28">
    <cfRule type="cellIs" dxfId="26043" priority="12645" stopIfTrue="1" operator="equal">
      <formula>"Towel"</formula>
    </cfRule>
    <cfRule type="cellIs" dxfId="26042" priority="12646" stopIfTrue="1" operator="equal">
      <formula>"Napkin Hs"</formula>
    </cfRule>
    <cfRule type="cellIs" dxfId="26041" priority="12651" stopIfTrue="1" operator="equal">
      <formula>"Towel"</formula>
    </cfRule>
    <cfRule type="cellIs" dxfId="26040" priority="12652" stopIfTrue="1" operator="equal">
      <formula>"Napkin Hs"</formula>
    </cfRule>
    <cfRule type="cellIs" dxfId="26039" priority="12657" stopIfTrue="1" operator="equal">
      <formula>"Towel"</formula>
    </cfRule>
    <cfRule type="cellIs" dxfId="26038" priority="12658" stopIfTrue="1" operator="equal">
      <formula>"Napkin Hs"</formula>
    </cfRule>
    <cfRule type="cellIs" dxfId="26037" priority="12659" stopIfTrue="1" operator="equal">
      <formula>"Towel"</formula>
    </cfRule>
    <cfRule type="cellIs" dxfId="26036" priority="12660" stopIfTrue="1" operator="equal">
      <formula>"Napkin Hs"</formula>
    </cfRule>
    <cfRule type="cellIs" dxfId="26035" priority="12665" stopIfTrue="1" operator="equal">
      <formula>"Towel"</formula>
    </cfRule>
    <cfRule type="cellIs" dxfId="26034" priority="12666" stopIfTrue="1" operator="equal">
      <formula>"Napkin Hs"</formula>
    </cfRule>
    <cfRule type="cellIs" dxfId="26033" priority="12675" stopIfTrue="1" operator="equal">
      <formula>"Towel"</formula>
    </cfRule>
    <cfRule type="cellIs" dxfId="26032" priority="12676" stopIfTrue="1" operator="equal">
      <formula>"Napkin Hs"</formula>
    </cfRule>
    <cfRule type="cellIs" dxfId="26031" priority="12681" stopIfTrue="1" operator="equal">
      <formula>"Towel"</formula>
    </cfRule>
    <cfRule type="cellIs" dxfId="26030" priority="12682" stopIfTrue="1" operator="equal">
      <formula>"Napkin Hs"</formula>
    </cfRule>
    <cfRule type="cellIs" dxfId="26029" priority="12683" stopIfTrue="1" operator="equal">
      <formula>"Towel"</formula>
    </cfRule>
    <cfRule type="cellIs" dxfId="26028" priority="12684" stopIfTrue="1" operator="equal">
      <formula>"Napkin Hs"</formula>
    </cfRule>
    <cfRule type="cellIs" dxfId="26027" priority="12689" stopIfTrue="1" operator="equal">
      <formula>"Towel"</formula>
    </cfRule>
    <cfRule type="cellIs" dxfId="26026" priority="12690" stopIfTrue="1" operator="equal">
      <formula>"Napkin Hs"</formula>
    </cfRule>
    <cfRule type="cellIs" dxfId="26025" priority="12699" stopIfTrue="1" operator="equal">
      <formula>"Towel"</formula>
    </cfRule>
    <cfRule type="cellIs" dxfId="26024" priority="12700" stopIfTrue="1" operator="equal">
      <formula>"Napkin Hs"</formula>
    </cfRule>
    <cfRule type="cellIs" dxfId="26023" priority="12701" stopIfTrue="1" operator="equal">
      <formula>"Towel"</formula>
    </cfRule>
    <cfRule type="cellIs" dxfId="26022" priority="12702" stopIfTrue="1" operator="equal">
      <formula>"Napkin Hs"</formula>
    </cfRule>
    <cfRule type="cellIs" dxfId="26021" priority="12707" stopIfTrue="1" operator="equal">
      <formula>"Towel"</formula>
    </cfRule>
    <cfRule type="cellIs" dxfId="26020" priority="12708" stopIfTrue="1" operator="equal">
      <formula>"Napkin Hs"</formula>
    </cfRule>
    <cfRule type="cellIs" dxfId="26019" priority="12717" stopIfTrue="1" operator="equal">
      <formula>"Towel"</formula>
    </cfRule>
    <cfRule type="cellIs" dxfId="26018" priority="12718" stopIfTrue="1" operator="equal">
      <formula>"Napkin Hs"</formula>
    </cfRule>
    <cfRule type="cellIs" dxfId="26017" priority="12719" stopIfTrue="1" operator="equal">
      <formula>"Towel"</formula>
    </cfRule>
    <cfRule type="cellIs" dxfId="26016" priority="12720" stopIfTrue="1" operator="equal">
      <formula>"Napkin Hs"</formula>
    </cfRule>
    <cfRule type="cellIs" dxfId="26015" priority="12726" stopIfTrue="1" operator="equal">
      <formula>"Napkin Hs"</formula>
    </cfRule>
  </conditionalFormatting>
  <conditionalFormatting sqref="B28:C28">
    <cfRule type="cellIs" dxfId="26014" priority="12725" stopIfTrue="1" operator="equal">
      <formula>"Towel"</formula>
    </cfRule>
  </conditionalFormatting>
  <conditionalFormatting sqref="C28">
    <cfRule type="cellIs" dxfId="26013" priority="12636" stopIfTrue="1" operator="equal">
      <formula>"Napkin Hs"</formula>
    </cfRule>
    <cfRule type="cellIs" dxfId="26012" priority="12637" stopIfTrue="1" operator="equal">
      <formula>"Towel"</formula>
    </cfRule>
    <cfRule type="cellIs" dxfId="26011" priority="12638" stopIfTrue="1" operator="equal">
      <formula>"Napkin Hs"</formula>
    </cfRule>
    <cfRule type="cellIs" dxfId="26010" priority="12639" stopIfTrue="1" operator="equal">
      <formula>"Towel"</formula>
    </cfRule>
    <cfRule type="cellIs" dxfId="26009" priority="12640" stopIfTrue="1" operator="equal">
      <formula>"Napkin Hs"</formula>
    </cfRule>
    <cfRule type="cellIs" dxfId="26008" priority="12641" stopIfTrue="1" operator="equal">
      <formula>"Towel"</formula>
    </cfRule>
    <cfRule type="cellIs" dxfId="26007" priority="12642" stopIfTrue="1" operator="equal">
      <formula>"Napkin Hs"</formula>
    </cfRule>
    <cfRule type="cellIs" dxfId="26006" priority="12643" stopIfTrue="1" operator="equal">
      <formula>"Towel"</formula>
    </cfRule>
    <cfRule type="cellIs" dxfId="26005" priority="12644" stopIfTrue="1" operator="equal">
      <formula>"Napkin Hs"</formula>
    </cfRule>
    <cfRule type="cellIs" dxfId="26004" priority="12647" stopIfTrue="1" operator="equal">
      <formula>"Towel"</formula>
    </cfRule>
    <cfRule type="cellIs" dxfId="26003" priority="12648" stopIfTrue="1" operator="equal">
      <formula>"Napkin Hs"</formula>
    </cfRule>
    <cfRule type="cellIs" dxfId="26002" priority="12649" stopIfTrue="1" operator="equal">
      <formula>"Towel"</formula>
    </cfRule>
    <cfRule type="cellIs" dxfId="26001" priority="12650" stopIfTrue="1" operator="equal">
      <formula>"Napkin Hs"</formula>
    </cfRule>
    <cfRule type="cellIs" dxfId="26000" priority="12653" stopIfTrue="1" operator="equal">
      <formula>"Towel"</formula>
    </cfRule>
    <cfRule type="cellIs" dxfId="25999" priority="12654" stopIfTrue="1" operator="equal">
      <formula>"Napkin Hs"</formula>
    </cfRule>
    <cfRule type="cellIs" dxfId="25998" priority="12655" stopIfTrue="1" operator="equal">
      <formula>"Towel"</formula>
    </cfRule>
    <cfRule type="cellIs" dxfId="25997" priority="12656" stopIfTrue="1" operator="equal">
      <formula>"Napkin Hs"</formula>
    </cfRule>
    <cfRule type="cellIs" dxfId="25996" priority="12661" stopIfTrue="1" operator="equal">
      <formula>"Towel"</formula>
    </cfRule>
    <cfRule type="cellIs" dxfId="25995" priority="12662" stopIfTrue="1" operator="equal">
      <formula>"Napkin Hs"</formula>
    </cfRule>
    <cfRule type="cellIs" dxfId="25994" priority="12663" stopIfTrue="1" operator="equal">
      <formula>"Towel"</formula>
    </cfRule>
    <cfRule type="cellIs" dxfId="25993" priority="12664" stopIfTrue="1" operator="equal">
      <formula>"Napkin Hs"</formula>
    </cfRule>
    <cfRule type="cellIs" dxfId="25992" priority="12667" stopIfTrue="1" operator="equal">
      <formula>"Towel"</formula>
    </cfRule>
    <cfRule type="cellIs" dxfId="25991" priority="12668" stopIfTrue="1" operator="equal">
      <formula>"Napkin Hs"</formula>
    </cfRule>
    <cfRule type="cellIs" dxfId="25990" priority="12669" stopIfTrue="1" operator="equal">
      <formula>"Towel"</formula>
    </cfRule>
    <cfRule type="cellIs" dxfId="25989" priority="12670" stopIfTrue="1" operator="equal">
      <formula>"Napkin Hs"</formula>
    </cfRule>
    <cfRule type="cellIs" dxfId="25988" priority="12671" stopIfTrue="1" operator="equal">
      <formula>"Towel"</formula>
    </cfRule>
    <cfRule type="cellIs" dxfId="25987" priority="12672" stopIfTrue="1" operator="equal">
      <formula>"Napkin Hs"</formula>
    </cfRule>
    <cfRule type="cellIs" dxfId="25986" priority="12673" stopIfTrue="1" operator="equal">
      <formula>"Towel"</formula>
    </cfRule>
    <cfRule type="cellIs" dxfId="25985" priority="12674" stopIfTrue="1" operator="equal">
      <formula>"Napkin Hs"</formula>
    </cfRule>
    <cfRule type="cellIs" dxfId="25984" priority="12677" stopIfTrue="1" operator="equal">
      <formula>"Towel"</formula>
    </cfRule>
    <cfRule type="cellIs" dxfId="25983" priority="12678" stopIfTrue="1" operator="equal">
      <formula>"Napkin Hs"</formula>
    </cfRule>
    <cfRule type="cellIs" dxfId="25982" priority="12679" stopIfTrue="1" operator="equal">
      <formula>"Towel"</formula>
    </cfRule>
    <cfRule type="cellIs" dxfId="25981" priority="12680" stopIfTrue="1" operator="equal">
      <formula>"Napkin Hs"</formula>
    </cfRule>
    <cfRule type="cellIs" dxfId="25980" priority="12685" stopIfTrue="1" operator="equal">
      <formula>"Towel"</formula>
    </cfRule>
    <cfRule type="cellIs" dxfId="25979" priority="12686" stopIfTrue="1" operator="equal">
      <formula>"Napkin Hs"</formula>
    </cfRule>
    <cfRule type="cellIs" dxfId="25978" priority="12687" stopIfTrue="1" operator="equal">
      <formula>"Towel"</formula>
    </cfRule>
    <cfRule type="cellIs" dxfId="25977" priority="12688" stopIfTrue="1" operator="equal">
      <formula>"Napkin Hs"</formula>
    </cfRule>
    <cfRule type="cellIs" dxfId="25976" priority="12691" stopIfTrue="1" operator="equal">
      <formula>"Towel"</formula>
    </cfRule>
    <cfRule type="cellIs" dxfId="25975" priority="12692" stopIfTrue="1" operator="equal">
      <formula>"Napkin Hs"</formula>
    </cfRule>
    <cfRule type="cellIs" dxfId="25974" priority="12693" stopIfTrue="1" operator="equal">
      <formula>"Towel"</formula>
    </cfRule>
    <cfRule type="cellIs" dxfId="25973" priority="12694" stopIfTrue="1" operator="equal">
      <formula>"Napkin Hs"</formula>
    </cfRule>
    <cfRule type="cellIs" dxfId="25972" priority="12695" stopIfTrue="1" operator="equal">
      <formula>"Towel"</formula>
    </cfRule>
    <cfRule type="cellIs" dxfId="25971" priority="12696" stopIfTrue="1" operator="equal">
      <formula>"Napkin Hs"</formula>
    </cfRule>
    <cfRule type="cellIs" dxfId="25970" priority="12697" stopIfTrue="1" operator="equal">
      <formula>"Towel"</formula>
    </cfRule>
    <cfRule type="cellIs" dxfId="25969" priority="12698" stopIfTrue="1" operator="equal">
      <formula>"Napkin Hs"</formula>
    </cfRule>
    <cfRule type="cellIs" dxfId="25968" priority="12703" stopIfTrue="1" operator="equal">
      <formula>"Towel"</formula>
    </cfRule>
    <cfRule type="cellIs" dxfId="25967" priority="12704" stopIfTrue="1" operator="equal">
      <formula>"Napkin Hs"</formula>
    </cfRule>
    <cfRule type="cellIs" dxfId="25966" priority="12705" stopIfTrue="1" operator="equal">
      <formula>"Towel"</formula>
    </cfRule>
    <cfRule type="cellIs" dxfId="25965" priority="12706" stopIfTrue="1" operator="equal">
      <formula>"Napkin Hs"</formula>
    </cfRule>
    <cfRule type="cellIs" dxfId="25964" priority="12709" stopIfTrue="1" operator="equal">
      <formula>"Towel"</formula>
    </cfRule>
    <cfRule type="cellIs" dxfId="25963" priority="12710" stopIfTrue="1" operator="equal">
      <formula>"Napkin Hs"</formula>
    </cfRule>
    <cfRule type="cellIs" dxfId="25962" priority="12711" stopIfTrue="1" operator="equal">
      <formula>"Towel"</formula>
    </cfRule>
    <cfRule type="cellIs" dxfId="25961" priority="12712" stopIfTrue="1" operator="equal">
      <formula>"Napkin Hs"</formula>
    </cfRule>
    <cfRule type="cellIs" dxfId="25960" priority="12713" stopIfTrue="1" operator="equal">
      <formula>"Towel"</formula>
    </cfRule>
    <cfRule type="cellIs" dxfId="25959" priority="12714" stopIfTrue="1" operator="equal">
      <formula>"Napkin Hs"</formula>
    </cfRule>
    <cfRule type="cellIs" dxfId="25958" priority="12715" stopIfTrue="1" operator="equal">
      <formula>"Towel"</formula>
    </cfRule>
    <cfRule type="cellIs" dxfId="25957" priority="12716" stopIfTrue="1" operator="equal">
      <formula>"Napkin Hs"</formula>
    </cfRule>
    <cfRule type="cellIs" dxfId="25956" priority="12721" stopIfTrue="1" operator="equal">
      <formula>"Towel"</formula>
    </cfRule>
    <cfRule type="cellIs" dxfId="25955" priority="12722" stopIfTrue="1" operator="equal">
      <formula>"Napkin Hs"</formula>
    </cfRule>
    <cfRule type="cellIs" dxfId="25954" priority="12723" stopIfTrue="1" operator="equal">
      <formula>"Towel"</formula>
    </cfRule>
    <cfRule type="cellIs" dxfId="25953" priority="12724" stopIfTrue="1" operator="equal">
      <formula>"Napkin Hs"</formula>
    </cfRule>
    <cfRule type="cellIs" dxfId="25952" priority="12727" stopIfTrue="1" operator="equal">
      <formula>"Towel"</formula>
    </cfRule>
    <cfRule type="cellIs" dxfId="25951" priority="12728" stopIfTrue="1" operator="equal">
      <formula>"Napkin Hs"</formula>
    </cfRule>
    <cfRule type="cellIs" dxfId="25950" priority="12729" stopIfTrue="1" operator="equal">
      <formula>"Towel"</formula>
    </cfRule>
    <cfRule type="cellIs" dxfId="25949" priority="12730" stopIfTrue="1" operator="equal">
      <formula>"Napkin Hs"</formula>
    </cfRule>
  </conditionalFormatting>
  <conditionalFormatting sqref="B28:C28">
    <cfRule type="cellIs" dxfId="25948" priority="12632" stopIfTrue="1" operator="equal">
      <formula>"Towel"</formula>
    </cfRule>
    <cfRule type="cellIs" dxfId="25947" priority="12633" stopIfTrue="1" operator="equal">
      <formula>"Napkin Hs"</formula>
    </cfRule>
  </conditionalFormatting>
  <conditionalFormatting sqref="C28">
    <cfRule type="cellIs" dxfId="25946" priority="12628" stopIfTrue="1" operator="equal">
      <formula>"Towel"</formula>
    </cfRule>
    <cfRule type="cellIs" dxfId="25945" priority="12629" stopIfTrue="1" operator="equal">
      <formula>"Napkin Hs"</formula>
    </cfRule>
  </conditionalFormatting>
  <conditionalFormatting sqref="C28">
    <cfRule type="cellIs" dxfId="25944" priority="12631" stopIfTrue="1" operator="equal">
      <formula>"Napkin Hs"</formula>
    </cfRule>
  </conditionalFormatting>
  <conditionalFormatting sqref="C28">
    <cfRule type="cellIs" dxfId="25943" priority="12630" stopIfTrue="1" operator="equal">
      <formula>"Towel"</formula>
    </cfRule>
  </conditionalFormatting>
  <conditionalFormatting sqref="B34:C34">
    <cfRule type="cellIs" dxfId="25942" priority="12626" stopIfTrue="1" operator="equal">
      <formula>"Towel"</formula>
    </cfRule>
    <cfRule type="cellIs" dxfId="25941" priority="12627" stopIfTrue="1" operator="equal">
      <formula>"Napkin Hs"</formula>
    </cfRule>
  </conditionalFormatting>
  <conditionalFormatting sqref="B35:C35">
    <cfRule type="cellIs" dxfId="25940" priority="12620" stopIfTrue="1" operator="equal">
      <formula>"Towel"</formula>
    </cfRule>
    <cfRule type="cellIs" dxfId="25939" priority="12621" stopIfTrue="1" operator="equal">
      <formula>"Napkin Hs"</formula>
    </cfRule>
  </conditionalFormatting>
  <conditionalFormatting sqref="C34">
    <cfRule type="cellIs" dxfId="25938" priority="12625" stopIfTrue="1" operator="equal">
      <formula>"Napkin Hs"</formula>
    </cfRule>
  </conditionalFormatting>
  <conditionalFormatting sqref="C34">
    <cfRule type="cellIs" dxfId="25937" priority="12624" stopIfTrue="1" operator="equal">
      <formula>"Towel"</formula>
    </cfRule>
  </conditionalFormatting>
  <conditionalFormatting sqref="C35">
    <cfRule type="cellIs" dxfId="25936" priority="12616" stopIfTrue="1" operator="equal">
      <formula>"Towel"</formula>
    </cfRule>
    <cfRule type="cellIs" dxfId="25935" priority="12617" stopIfTrue="1" operator="equal">
      <formula>"Napkin Hs"</formula>
    </cfRule>
  </conditionalFormatting>
  <conditionalFormatting sqref="C34">
    <cfRule type="cellIs" dxfId="25934" priority="12622" stopIfTrue="1" operator="equal">
      <formula>"Towel"</formula>
    </cfRule>
    <cfRule type="cellIs" dxfId="25933" priority="12623" stopIfTrue="1" operator="equal">
      <formula>"Napkin Hs"</formula>
    </cfRule>
  </conditionalFormatting>
  <conditionalFormatting sqref="C35">
    <cfRule type="cellIs" dxfId="25932" priority="12618" stopIfTrue="1" operator="equal">
      <formula>"Towel"</formula>
    </cfRule>
    <cfRule type="cellIs" dxfId="25931" priority="12619" stopIfTrue="1" operator="equal">
      <formula>"Napkin Hs"</formula>
    </cfRule>
  </conditionalFormatting>
  <conditionalFormatting sqref="B32:C33">
    <cfRule type="cellIs" dxfId="25930" priority="12614" stopIfTrue="1" operator="equal">
      <formula>"Towel"</formula>
    </cfRule>
    <cfRule type="cellIs" dxfId="25929" priority="12615" stopIfTrue="1" operator="equal">
      <formula>"Napkin Hs"</formula>
    </cfRule>
  </conditionalFormatting>
  <conditionalFormatting sqref="C32">
    <cfRule type="cellIs" dxfId="25928" priority="12606" stopIfTrue="1" operator="equal">
      <formula>"Towel"</formula>
    </cfRule>
    <cfRule type="cellIs" dxfId="25927" priority="12607" stopIfTrue="1" operator="equal">
      <formula>"Napkin Hs"</formula>
    </cfRule>
  </conditionalFormatting>
  <conditionalFormatting sqref="C32:C33">
    <cfRule type="cellIs" dxfId="25926" priority="12610" stopIfTrue="1" operator="equal">
      <formula>"Towel"</formula>
    </cfRule>
    <cfRule type="cellIs" dxfId="25925" priority="12611" stopIfTrue="1" operator="equal">
      <formula>"Napkin Hs"</formula>
    </cfRule>
  </conditionalFormatting>
  <conditionalFormatting sqref="C32:C33">
    <cfRule type="cellIs" dxfId="25924" priority="12613" stopIfTrue="1" operator="equal">
      <formula>"Napkin Hs"</formula>
    </cfRule>
  </conditionalFormatting>
  <conditionalFormatting sqref="C32">
    <cfRule type="cellIs" dxfId="25923" priority="12608" stopIfTrue="1" operator="equal">
      <formula>"Towel"</formula>
    </cfRule>
    <cfRule type="cellIs" dxfId="25922" priority="12609" stopIfTrue="1" operator="equal">
      <formula>"Napkin Hs"</formula>
    </cfRule>
  </conditionalFormatting>
  <conditionalFormatting sqref="C32:C33">
    <cfRule type="cellIs" dxfId="25921" priority="12612" stopIfTrue="1" operator="equal">
      <formula>"Towel"</formula>
    </cfRule>
  </conditionalFormatting>
  <conditionalFormatting sqref="C32">
    <cfRule type="cellIs" dxfId="25920" priority="12604" stopIfTrue="1" operator="equal">
      <formula>"Towel"</formula>
    </cfRule>
    <cfRule type="cellIs" dxfId="25919" priority="12605" stopIfTrue="1" operator="equal">
      <formula>"Napkin Hs"</formula>
    </cfRule>
  </conditionalFormatting>
  <conditionalFormatting sqref="B32">
    <cfRule type="cellIs" dxfId="25918" priority="12602" stopIfTrue="1" operator="equal">
      <formula>"Towel"</formula>
    </cfRule>
    <cfRule type="cellIs" dxfId="25917" priority="12603" stopIfTrue="1" operator="equal">
      <formula>"Napkin Hs"</formula>
    </cfRule>
  </conditionalFormatting>
  <conditionalFormatting sqref="B33:C33">
    <cfRule type="cellIs" dxfId="25916" priority="12600" stopIfTrue="1" operator="equal">
      <formula>"Towel"</formula>
    </cfRule>
    <cfRule type="cellIs" dxfId="25915" priority="12601" stopIfTrue="1" operator="equal">
      <formula>"Napkin Hs"</formula>
    </cfRule>
  </conditionalFormatting>
  <conditionalFormatting sqref="C33">
    <cfRule type="cellIs" dxfId="25914" priority="12596" stopIfTrue="1" operator="equal">
      <formula>"Towel"</formula>
    </cfRule>
    <cfRule type="cellIs" dxfId="25913" priority="12597" stopIfTrue="1" operator="equal">
      <formula>"Napkin Hs"</formula>
    </cfRule>
  </conditionalFormatting>
  <conditionalFormatting sqref="C33">
    <cfRule type="cellIs" dxfId="25912" priority="12599" stopIfTrue="1" operator="equal">
      <formula>"Napkin Hs"</formula>
    </cfRule>
  </conditionalFormatting>
  <conditionalFormatting sqref="C33">
    <cfRule type="cellIs" dxfId="25911" priority="12598" stopIfTrue="1" operator="equal">
      <formula>"Towel"</formula>
    </cfRule>
  </conditionalFormatting>
  <conditionalFormatting sqref="C35">
    <cfRule type="cellIs" dxfId="25910" priority="12592" stopIfTrue="1" operator="equal">
      <formula>"Towel"</formula>
    </cfRule>
    <cfRule type="cellIs" dxfId="25909" priority="12593" stopIfTrue="1" operator="equal">
      <formula>"Napkin Hs"</formula>
    </cfRule>
  </conditionalFormatting>
  <conditionalFormatting sqref="C35">
    <cfRule type="cellIs" dxfId="25908" priority="12594" stopIfTrue="1" operator="equal">
      <formula>"Towel"</formula>
    </cfRule>
    <cfRule type="cellIs" dxfId="25907" priority="12595" stopIfTrue="1" operator="equal">
      <formula>"Napkin Hs"</formula>
    </cfRule>
  </conditionalFormatting>
  <conditionalFormatting sqref="C35">
    <cfRule type="cellIs" dxfId="25906" priority="12590" stopIfTrue="1" operator="equal">
      <formula>"Towel"</formula>
    </cfRule>
    <cfRule type="cellIs" dxfId="25905" priority="12591" stopIfTrue="1" operator="equal">
      <formula>"Napkin Hs"</formula>
    </cfRule>
  </conditionalFormatting>
  <conditionalFormatting sqref="B35">
    <cfRule type="cellIs" dxfId="25904" priority="12588" stopIfTrue="1" operator="equal">
      <formula>"Towel"</formula>
    </cfRule>
    <cfRule type="cellIs" dxfId="25903" priority="12589" stopIfTrue="1" operator="equal">
      <formula>"Napkin Hs"</formula>
    </cfRule>
  </conditionalFormatting>
  <conditionalFormatting sqref="C34">
    <cfRule type="cellIs" dxfId="25902" priority="12584" stopIfTrue="1" operator="equal">
      <formula>"Towel"</formula>
    </cfRule>
    <cfRule type="cellIs" dxfId="25901" priority="12585" stopIfTrue="1" operator="equal">
      <formula>"Napkin Hs"</formula>
    </cfRule>
  </conditionalFormatting>
  <conditionalFormatting sqref="C34">
    <cfRule type="cellIs" dxfId="25900" priority="12586" stopIfTrue="1" operator="equal">
      <formula>"Towel"</formula>
    </cfRule>
    <cfRule type="cellIs" dxfId="25899" priority="12587" stopIfTrue="1" operator="equal">
      <formula>"Napkin Hs"</formula>
    </cfRule>
  </conditionalFormatting>
  <conditionalFormatting sqref="C34">
    <cfRule type="cellIs" dxfId="25898" priority="12582" stopIfTrue="1" operator="equal">
      <formula>"Towel"</formula>
    </cfRule>
    <cfRule type="cellIs" dxfId="25897" priority="12583" stopIfTrue="1" operator="equal">
      <formula>"Napkin Hs"</formula>
    </cfRule>
  </conditionalFormatting>
  <conditionalFormatting sqref="B34">
    <cfRule type="cellIs" dxfId="25896" priority="12580" stopIfTrue="1" operator="equal">
      <formula>"Towel"</formula>
    </cfRule>
    <cfRule type="cellIs" dxfId="25895" priority="12581" stopIfTrue="1" operator="equal">
      <formula>"Napkin Hs"</formula>
    </cfRule>
  </conditionalFormatting>
  <conditionalFormatting sqref="B32:C32">
    <cfRule type="cellIs" dxfId="25894" priority="12556" stopIfTrue="1" operator="equal">
      <formula>"Towel"</formula>
    </cfRule>
  </conditionalFormatting>
  <conditionalFormatting sqref="B32:C32">
    <cfRule type="cellIs" dxfId="25893" priority="12557" stopIfTrue="1" operator="equal">
      <formula>"Napkin Hs"</formula>
    </cfRule>
    <cfRule type="cellIs" dxfId="25892" priority="12562" stopIfTrue="1" operator="equal">
      <formula>"Towel"</formula>
    </cfRule>
    <cfRule type="cellIs" dxfId="25891" priority="12563" stopIfTrue="1" operator="equal">
      <formula>"Napkin Hs"</formula>
    </cfRule>
    <cfRule type="cellIs" dxfId="25890" priority="12572" stopIfTrue="1" operator="equal">
      <formula>"Towel"</formula>
    </cfRule>
    <cfRule type="cellIs" dxfId="25889" priority="12573" stopIfTrue="1" operator="equal">
      <formula>"Napkin Hs"</formula>
    </cfRule>
    <cfRule type="cellIs" dxfId="25888" priority="12578" stopIfTrue="1" operator="equal">
      <formula>"Towel"</formula>
    </cfRule>
    <cfRule type="cellIs" dxfId="25887" priority="12579" stopIfTrue="1" operator="equal">
      <formula>"Napkin Hs"</formula>
    </cfRule>
  </conditionalFormatting>
  <conditionalFormatting sqref="C32">
    <cfRule type="cellIs" dxfId="25886" priority="12558" stopIfTrue="1" operator="equal">
      <formula>"Towel"</formula>
    </cfRule>
    <cfRule type="cellIs" dxfId="25885" priority="12559" stopIfTrue="1" operator="equal">
      <formula>"Napkin Hs"</formula>
    </cfRule>
    <cfRule type="cellIs" dxfId="25884" priority="12560" stopIfTrue="1" operator="equal">
      <formula>"Towel"</formula>
    </cfRule>
    <cfRule type="cellIs" dxfId="25883" priority="12561" stopIfTrue="1" operator="equal">
      <formula>"Napkin Hs"</formula>
    </cfRule>
    <cfRule type="cellIs" dxfId="25882" priority="12564" stopIfTrue="1" operator="equal">
      <formula>"Towel"</formula>
    </cfRule>
    <cfRule type="cellIs" dxfId="25881" priority="12565" stopIfTrue="1" operator="equal">
      <formula>"Napkin Hs"</formula>
    </cfRule>
    <cfRule type="cellIs" dxfId="25880" priority="12566" stopIfTrue="1" operator="equal">
      <formula>"Towel"</formula>
    </cfRule>
    <cfRule type="cellIs" dxfId="25879" priority="12567" stopIfTrue="1" operator="equal">
      <formula>"Napkin Hs"</formula>
    </cfRule>
    <cfRule type="cellIs" dxfId="25878" priority="12568" stopIfTrue="1" operator="equal">
      <formula>"Towel"</formula>
    </cfRule>
    <cfRule type="cellIs" dxfId="25877" priority="12569" stopIfTrue="1" operator="equal">
      <formula>"Napkin Hs"</formula>
    </cfRule>
    <cfRule type="cellIs" dxfId="25876" priority="12570" stopIfTrue="1" operator="equal">
      <formula>"Towel"</formula>
    </cfRule>
    <cfRule type="cellIs" dxfId="25875" priority="12571" stopIfTrue="1" operator="equal">
      <formula>"Napkin Hs"</formula>
    </cfRule>
    <cfRule type="cellIs" dxfId="25874" priority="12574" stopIfTrue="1" operator="equal">
      <formula>"Towel"</formula>
    </cfRule>
    <cfRule type="cellIs" dxfId="25873" priority="12575" stopIfTrue="1" operator="equal">
      <formula>"Napkin Hs"</formula>
    </cfRule>
    <cfRule type="cellIs" dxfId="25872" priority="12577" stopIfTrue="1" operator="equal">
      <formula>"Napkin Hs"</formula>
    </cfRule>
  </conditionalFormatting>
  <conditionalFormatting sqref="C32">
    <cfRule type="cellIs" dxfId="25871" priority="12576" stopIfTrue="1" operator="equal">
      <formula>"Towel"</formula>
    </cfRule>
  </conditionalFormatting>
  <conditionalFormatting sqref="B32:C32">
    <cfRule type="cellIs" dxfId="25870" priority="12554" stopIfTrue="1" operator="equal">
      <formula>"Towel"</formula>
    </cfRule>
    <cfRule type="cellIs" dxfId="25869" priority="12555" stopIfTrue="1" operator="equal">
      <formula>"Napkin Hs"</formula>
    </cfRule>
  </conditionalFormatting>
  <conditionalFormatting sqref="C32">
    <cfRule type="cellIs" dxfId="25868" priority="12553" stopIfTrue="1" operator="equal">
      <formula>"Napkin Hs"</formula>
    </cfRule>
  </conditionalFormatting>
  <conditionalFormatting sqref="C32">
    <cfRule type="cellIs" dxfId="25867" priority="12552" stopIfTrue="1" operator="equal">
      <formula>"Towel"</formula>
    </cfRule>
  </conditionalFormatting>
  <conditionalFormatting sqref="C32">
    <cfRule type="cellIs" dxfId="25866" priority="12550" stopIfTrue="1" operator="equal">
      <formula>"Towel"</formula>
    </cfRule>
  </conditionalFormatting>
  <conditionalFormatting sqref="C32">
    <cfRule type="cellIs" dxfId="25865" priority="12551" stopIfTrue="1" operator="equal">
      <formula>"Napkin Hs"</formula>
    </cfRule>
  </conditionalFormatting>
  <conditionalFormatting sqref="B32">
    <cfRule type="cellIs" dxfId="25864" priority="12454" stopIfTrue="1" operator="equal">
      <formula>"Napkin Hs"</formula>
    </cfRule>
  </conditionalFormatting>
  <conditionalFormatting sqref="B32:C32">
    <cfRule type="cellIs" dxfId="25863" priority="12453" stopIfTrue="1" operator="equal">
      <formula>"Towel"</formula>
    </cfRule>
  </conditionalFormatting>
  <conditionalFormatting sqref="B32:C32">
    <cfRule type="cellIs" dxfId="25862" priority="12464" stopIfTrue="1" operator="equal">
      <formula>"Towel"</formula>
    </cfRule>
    <cfRule type="cellIs" dxfId="25861" priority="12465" stopIfTrue="1" operator="equal">
      <formula>"Napkin Hs"</formula>
    </cfRule>
    <cfRule type="cellIs" dxfId="25860" priority="12470" stopIfTrue="1" operator="equal">
      <formula>"Towel"</formula>
    </cfRule>
    <cfRule type="cellIs" dxfId="25859" priority="12471" stopIfTrue="1" operator="equal">
      <formula>"Napkin Hs"</formula>
    </cfRule>
    <cfRule type="cellIs" dxfId="25858" priority="12476" stopIfTrue="1" operator="equal">
      <formula>"Towel"</formula>
    </cfRule>
    <cfRule type="cellIs" dxfId="25857" priority="12477" stopIfTrue="1" operator="equal">
      <formula>"Napkin Hs"</formula>
    </cfRule>
    <cfRule type="cellIs" dxfId="25856" priority="12478" stopIfTrue="1" operator="equal">
      <formula>"Towel"</formula>
    </cfRule>
    <cfRule type="cellIs" dxfId="25855" priority="12479" stopIfTrue="1" operator="equal">
      <formula>"Napkin Hs"</formula>
    </cfRule>
    <cfRule type="cellIs" dxfId="25854" priority="12484" stopIfTrue="1" operator="equal">
      <formula>"Towel"</formula>
    </cfRule>
    <cfRule type="cellIs" dxfId="25853" priority="12485" stopIfTrue="1" operator="equal">
      <formula>"Napkin Hs"</formula>
    </cfRule>
    <cfRule type="cellIs" dxfId="25852" priority="12494" stopIfTrue="1" operator="equal">
      <formula>"Towel"</formula>
    </cfRule>
    <cfRule type="cellIs" dxfId="25851" priority="12495" stopIfTrue="1" operator="equal">
      <formula>"Napkin Hs"</formula>
    </cfRule>
    <cfRule type="cellIs" dxfId="25850" priority="12500" stopIfTrue="1" operator="equal">
      <formula>"Towel"</formula>
    </cfRule>
    <cfRule type="cellIs" dxfId="25849" priority="12501" stopIfTrue="1" operator="equal">
      <formula>"Napkin Hs"</formula>
    </cfRule>
    <cfRule type="cellIs" dxfId="25848" priority="12502" stopIfTrue="1" operator="equal">
      <formula>"Towel"</formula>
    </cfRule>
    <cfRule type="cellIs" dxfId="25847" priority="12503" stopIfTrue="1" operator="equal">
      <formula>"Napkin Hs"</formula>
    </cfRule>
    <cfRule type="cellIs" dxfId="25846" priority="12508" stopIfTrue="1" operator="equal">
      <formula>"Towel"</formula>
    </cfRule>
    <cfRule type="cellIs" dxfId="25845" priority="12509" stopIfTrue="1" operator="equal">
      <formula>"Napkin Hs"</formula>
    </cfRule>
    <cfRule type="cellIs" dxfId="25844" priority="12518" stopIfTrue="1" operator="equal">
      <formula>"Towel"</formula>
    </cfRule>
    <cfRule type="cellIs" dxfId="25843" priority="12519" stopIfTrue="1" operator="equal">
      <formula>"Napkin Hs"</formula>
    </cfRule>
    <cfRule type="cellIs" dxfId="25842" priority="12520" stopIfTrue="1" operator="equal">
      <formula>"Towel"</formula>
    </cfRule>
    <cfRule type="cellIs" dxfId="25841" priority="12521" stopIfTrue="1" operator="equal">
      <formula>"Napkin Hs"</formula>
    </cfRule>
    <cfRule type="cellIs" dxfId="25840" priority="12526" stopIfTrue="1" operator="equal">
      <formula>"Towel"</formula>
    </cfRule>
    <cfRule type="cellIs" dxfId="25839" priority="12527" stopIfTrue="1" operator="equal">
      <formula>"Napkin Hs"</formula>
    </cfRule>
    <cfRule type="cellIs" dxfId="25838" priority="12536" stopIfTrue="1" operator="equal">
      <formula>"Towel"</formula>
    </cfRule>
    <cfRule type="cellIs" dxfId="25837" priority="12537" stopIfTrue="1" operator="equal">
      <formula>"Napkin Hs"</formula>
    </cfRule>
    <cfRule type="cellIs" dxfId="25836" priority="12538" stopIfTrue="1" operator="equal">
      <formula>"Towel"</formula>
    </cfRule>
    <cfRule type="cellIs" dxfId="25835" priority="12539" stopIfTrue="1" operator="equal">
      <formula>"Napkin Hs"</formula>
    </cfRule>
    <cfRule type="cellIs" dxfId="25834" priority="12545" stopIfTrue="1" operator="equal">
      <formula>"Napkin Hs"</formula>
    </cfRule>
  </conditionalFormatting>
  <conditionalFormatting sqref="B32:C32">
    <cfRule type="cellIs" dxfId="25833" priority="12544" stopIfTrue="1" operator="equal">
      <formula>"Towel"</formula>
    </cfRule>
  </conditionalFormatting>
  <conditionalFormatting sqref="C32">
    <cfRule type="cellIs" dxfId="25832" priority="12455" stopIfTrue="1" operator="equal">
      <formula>"Napkin Hs"</formula>
    </cfRule>
    <cfRule type="cellIs" dxfId="25831" priority="12456" stopIfTrue="1" operator="equal">
      <formula>"Towel"</formula>
    </cfRule>
    <cfRule type="cellIs" dxfId="25830" priority="12457" stopIfTrue="1" operator="equal">
      <formula>"Napkin Hs"</formula>
    </cfRule>
    <cfRule type="cellIs" dxfId="25829" priority="12458" stopIfTrue="1" operator="equal">
      <formula>"Towel"</formula>
    </cfRule>
    <cfRule type="cellIs" dxfId="25828" priority="12459" stopIfTrue="1" operator="equal">
      <formula>"Napkin Hs"</formula>
    </cfRule>
    <cfRule type="cellIs" dxfId="25827" priority="12460" stopIfTrue="1" operator="equal">
      <formula>"Towel"</formula>
    </cfRule>
    <cfRule type="cellIs" dxfId="25826" priority="12461" stopIfTrue="1" operator="equal">
      <formula>"Napkin Hs"</formula>
    </cfRule>
    <cfRule type="cellIs" dxfId="25825" priority="12462" stopIfTrue="1" operator="equal">
      <formula>"Towel"</formula>
    </cfRule>
    <cfRule type="cellIs" dxfId="25824" priority="12463" stopIfTrue="1" operator="equal">
      <formula>"Napkin Hs"</formula>
    </cfRule>
    <cfRule type="cellIs" dxfId="25823" priority="12466" stopIfTrue="1" operator="equal">
      <formula>"Towel"</formula>
    </cfRule>
    <cfRule type="cellIs" dxfId="25822" priority="12467" stopIfTrue="1" operator="equal">
      <formula>"Napkin Hs"</formula>
    </cfRule>
    <cfRule type="cellIs" dxfId="25821" priority="12468" stopIfTrue="1" operator="equal">
      <formula>"Towel"</formula>
    </cfRule>
    <cfRule type="cellIs" dxfId="25820" priority="12469" stopIfTrue="1" operator="equal">
      <formula>"Napkin Hs"</formula>
    </cfRule>
    <cfRule type="cellIs" dxfId="25819" priority="12472" stopIfTrue="1" operator="equal">
      <formula>"Towel"</formula>
    </cfRule>
    <cfRule type="cellIs" dxfId="25818" priority="12473" stopIfTrue="1" operator="equal">
      <formula>"Napkin Hs"</formula>
    </cfRule>
    <cfRule type="cellIs" dxfId="25817" priority="12474" stopIfTrue="1" operator="equal">
      <formula>"Towel"</formula>
    </cfRule>
    <cfRule type="cellIs" dxfId="25816" priority="12475" stopIfTrue="1" operator="equal">
      <formula>"Napkin Hs"</formula>
    </cfRule>
    <cfRule type="cellIs" dxfId="25815" priority="12480" stopIfTrue="1" operator="equal">
      <formula>"Towel"</formula>
    </cfRule>
    <cfRule type="cellIs" dxfId="25814" priority="12481" stopIfTrue="1" operator="equal">
      <formula>"Napkin Hs"</formula>
    </cfRule>
    <cfRule type="cellIs" dxfId="25813" priority="12482" stopIfTrue="1" operator="equal">
      <formula>"Towel"</formula>
    </cfRule>
    <cfRule type="cellIs" dxfId="25812" priority="12483" stopIfTrue="1" operator="equal">
      <formula>"Napkin Hs"</formula>
    </cfRule>
    <cfRule type="cellIs" dxfId="25811" priority="12486" stopIfTrue="1" operator="equal">
      <formula>"Towel"</formula>
    </cfRule>
    <cfRule type="cellIs" dxfId="25810" priority="12487" stopIfTrue="1" operator="equal">
      <formula>"Napkin Hs"</formula>
    </cfRule>
    <cfRule type="cellIs" dxfId="25809" priority="12488" stopIfTrue="1" operator="equal">
      <formula>"Towel"</formula>
    </cfRule>
    <cfRule type="cellIs" dxfId="25808" priority="12489" stopIfTrue="1" operator="equal">
      <formula>"Napkin Hs"</formula>
    </cfRule>
    <cfRule type="cellIs" dxfId="25807" priority="12490" stopIfTrue="1" operator="equal">
      <formula>"Towel"</formula>
    </cfRule>
    <cfRule type="cellIs" dxfId="25806" priority="12491" stopIfTrue="1" operator="equal">
      <formula>"Napkin Hs"</formula>
    </cfRule>
    <cfRule type="cellIs" dxfId="25805" priority="12492" stopIfTrue="1" operator="equal">
      <formula>"Towel"</formula>
    </cfRule>
    <cfRule type="cellIs" dxfId="25804" priority="12493" stopIfTrue="1" operator="equal">
      <formula>"Napkin Hs"</formula>
    </cfRule>
    <cfRule type="cellIs" dxfId="25803" priority="12496" stopIfTrue="1" operator="equal">
      <formula>"Towel"</formula>
    </cfRule>
    <cfRule type="cellIs" dxfId="25802" priority="12497" stopIfTrue="1" operator="equal">
      <formula>"Napkin Hs"</formula>
    </cfRule>
    <cfRule type="cellIs" dxfId="25801" priority="12498" stopIfTrue="1" operator="equal">
      <formula>"Towel"</formula>
    </cfRule>
    <cfRule type="cellIs" dxfId="25800" priority="12499" stopIfTrue="1" operator="equal">
      <formula>"Napkin Hs"</formula>
    </cfRule>
    <cfRule type="cellIs" dxfId="25799" priority="12504" stopIfTrue="1" operator="equal">
      <formula>"Towel"</formula>
    </cfRule>
    <cfRule type="cellIs" dxfId="25798" priority="12505" stopIfTrue="1" operator="equal">
      <formula>"Napkin Hs"</formula>
    </cfRule>
    <cfRule type="cellIs" dxfId="25797" priority="12506" stopIfTrue="1" operator="equal">
      <formula>"Towel"</formula>
    </cfRule>
    <cfRule type="cellIs" dxfId="25796" priority="12507" stopIfTrue="1" operator="equal">
      <formula>"Napkin Hs"</formula>
    </cfRule>
    <cfRule type="cellIs" dxfId="25795" priority="12510" stopIfTrue="1" operator="equal">
      <formula>"Towel"</formula>
    </cfRule>
    <cfRule type="cellIs" dxfId="25794" priority="12511" stopIfTrue="1" operator="equal">
      <formula>"Napkin Hs"</formula>
    </cfRule>
    <cfRule type="cellIs" dxfId="25793" priority="12512" stopIfTrue="1" operator="equal">
      <formula>"Towel"</formula>
    </cfRule>
    <cfRule type="cellIs" dxfId="25792" priority="12513" stopIfTrue="1" operator="equal">
      <formula>"Napkin Hs"</formula>
    </cfRule>
    <cfRule type="cellIs" dxfId="25791" priority="12514" stopIfTrue="1" operator="equal">
      <formula>"Towel"</formula>
    </cfRule>
    <cfRule type="cellIs" dxfId="25790" priority="12515" stopIfTrue="1" operator="equal">
      <formula>"Napkin Hs"</formula>
    </cfRule>
    <cfRule type="cellIs" dxfId="25789" priority="12516" stopIfTrue="1" operator="equal">
      <formula>"Towel"</formula>
    </cfRule>
    <cfRule type="cellIs" dxfId="25788" priority="12517" stopIfTrue="1" operator="equal">
      <formula>"Napkin Hs"</formula>
    </cfRule>
    <cfRule type="cellIs" dxfId="25787" priority="12522" stopIfTrue="1" operator="equal">
      <formula>"Towel"</formula>
    </cfRule>
    <cfRule type="cellIs" dxfId="25786" priority="12523" stopIfTrue="1" operator="equal">
      <formula>"Napkin Hs"</formula>
    </cfRule>
    <cfRule type="cellIs" dxfId="25785" priority="12524" stopIfTrue="1" operator="equal">
      <formula>"Towel"</formula>
    </cfRule>
    <cfRule type="cellIs" dxfId="25784" priority="12525" stopIfTrue="1" operator="equal">
      <formula>"Napkin Hs"</formula>
    </cfRule>
    <cfRule type="cellIs" dxfId="25783" priority="12528" stopIfTrue="1" operator="equal">
      <formula>"Towel"</formula>
    </cfRule>
    <cfRule type="cellIs" dxfId="25782" priority="12529" stopIfTrue="1" operator="equal">
      <formula>"Napkin Hs"</formula>
    </cfRule>
    <cfRule type="cellIs" dxfId="25781" priority="12530" stopIfTrue="1" operator="equal">
      <formula>"Towel"</formula>
    </cfRule>
    <cfRule type="cellIs" dxfId="25780" priority="12531" stopIfTrue="1" operator="equal">
      <formula>"Napkin Hs"</formula>
    </cfRule>
    <cfRule type="cellIs" dxfId="25779" priority="12532" stopIfTrue="1" operator="equal">
      <formula>"Towel"</formula>
    </cfRule>
    <cfRule type="cellIs" dxfId="25778" priority="12533" stopIfTrue="1" operator="equal">
      <formula>"Napkin Hs"</formula>
    </cfRule>
    <cfRule type="cellIs" dxfId="25777" priority="12534" stopIfTrue="1" operator="equal">
      <formula>"Towel"</formula>
    </cfRule>
    <cfRule type="cellIs" dxfId="25776" priority="12535" stopIfTrue="1" operator="equal">
      <formula>"Napkin Hs"</formula>
    </cfRule>
    <cfRule type="cellIs" dxfId="25775" priority="12540" stopIfTrue="1" operator="equal">
      <formula>"Towel"</formula>
    </cfRule>
    <cfRule type="cellIs" dxfId="25774" priority="12541" stopIfTrue="1" operator="equal">
      <formula>"Napkin Hs"</formula>
    </cfRule>
    <cfRule type="cellIs" dxfId="25773" priority="12542" stopIfTrue="1" operator="equal">
      <formula>"Towel"</formula>
    </cfRule>
    <cfRule type="cellIs" dxfId="25772" priority="12543" stopIfTrue="1" operator="equal">
      <formula>"Napkin Hs"</formula>
    </cfRule>
    <cfRule type="cellIs" dxfId="25771" priority="12546" stopIfTrue="1" operator="equal">
      <formula>"Towel"</formula>
    </cfRule>
    <cfRule type="cellIs" dxfId="25770" priority="12547" stopIfTrue="1" operator="equal">
      <formula>"Napkin Hs"</formula>
    </cfRule>
    <cfRule type="cellIs" dxfId="25769" priority="12548" stopIfTrue="1" operator="equal">
      <formula>"Towel"</formula>
    </cfRule>
    <cfRule type="cellIs" dxfId="25768" priority="12549" stopIfTrue="1" operator="equal">
      <formula>"Napkin Hs"</formula>
    </cfRule>
  </conditionalFormatting>
  <conditionalFormatting sqref="B32:C32">
    <cfRule type="cellIs" dxfId="25767" priority="12451" stopIfTrue="1" operator="equal">
      <formula>"Towel"</formula>
    </cfRule>
    <cfRule type="cellIs" dxfId="25766" priority="12452" stopIfTrue="1" operator="equal">
      <formula>"Napkin Hs"</formula>
    </cfRule>
  </conditionalFormatting>
  <conditionalFormatting sqref="C32">
    <cfRule type="cellIs" dxfId="25765" priority="12447" stopIfTrue="1" operator="equal">
      <formula>"Towel"</formula>
    </cfRule>
    <cfRule type="cellIs" dxfId="25764" priority="12448" stopIfTrue="1" operator="equal">
      <formula>"Napkin Hs"</formula>
    </cfRule>
  </conditionalFormatting>
  <conditionalFormatting sqref="C32">
    <cfRule type="cellIs" dxfId="25763" priority="12450" stopIfTrue="1" operator="equal">
      <formula>"Napkin Hs"</formula>
    </cfRule>
  </conditionalFormatting>
  <conditionalFormatting sqref="C32">
    <cfRule type="cellIs" dxfId="25762" priority="12449" stopIfTrue="1" operator="equal">
      <formula>"Towel"</formula>
    </cfRule>
  </conditionalFormatting>
  <conditionalFormatting sqref="B39:C39">
    <cfRule type="cellIs" dxfId="25761" priority="12445" stopIfTrue="1" operator="equal">
      <formula>"Towel"</formula>
    </cfRule>
    <cfRule type="cellIs" dxfId="25760" priority="12446" stopIfTrue="1" operator="equal">
      <formula>"Napkin Hs"</formula>
    </cfRule>
  </conditionalFormatting>
  <conditionalFormatting sqref="C39">
    <cfRule type="cellIs" dxfId="25759" priority="12441" stopIfTrue="1" operator="equal">
      <formula>"Towel"</formula>
    </cfRule>
    <cfRule type="cellIs" dxfId="25758" priority="12442" stopIfTrue="1" operator="equal">
      <formula>"Napkin Hs"</formula>
    </cfRule>
  </conditionalFormatting>
  <conditionalFormatting sqref="C39">
    <cfRule type="cellIs" dxfId="25757" priority="12443" stopIfTrue="1" operator="equal">
      <formula>"Towel"</formula>
    </cfRule>
    <cfRule type="cellIs" dxfId="25756" priority="12444" stopIfTrue="1" operator="equal">
      <formula>"Napkin Hs"</formula>
    </cfRule>
  </conditionalFormatting>
  <conditionalFormatting sqref="C38">
    <cfRule type="cellIs" dxfId="25755" priority="12437" stopIfTrue="1" operator="equal">
      <formula>"Towel"</formula>
    </cfRule>
    <cfRule type="cellIs" dxfId="25754" priority="12438" stopIfTrue="1" operator="equal">
      <formula>"Napkin Hs"</formula>
    </cfRule>
  </conditionalFormatting>
  <conditionalFormatting sqref="C38">
    <cfRule type="cellIs" dxfId="25753" priority="12439" stopIfTrue="1" operator="equal">
      <formula>"Towel"</formula>
    </cfRule>
    <cfRule type="cellIs" dxfId="25752" priority="12440" stopIfTrue="1" operator="equal">
      <formula>"Napkin Hs"</formula>
    </cfRule>
  </conditionalFormatting>
  <conditionalFormatting sqref="B38:C38">
    <cfRule type="cellIs" dxfId="25751" priority="12435" stopIfTrue="1" operator="equal">
      <formula>"Towel"</formula>
    </cfRule>
    <cfRule type="cellIs" dxfId="25750" priority="12436" stopIfTrue="1" operator="equal">
      <formula>"Napkin Hs"</formula>
    </cfRule>
  </conditionalFormatting>
  <conditionalFormatting sqref="B38:C38">
    <cfRule type="cellIs" dxfId="25749" priority="12429" stopIfTrue="1" operator="equal">
      <formula>"Towel"</formula>
    </cfRule>
    <cfRule type="cellIs" dxfId="25748" priority="12430" stopIfTrue="1" operator="equal">
      <formula>"Napkin Hs"</formula>
    </cfRule>
  </conditionalFormatting>
  <conditionalFormatting sqref="C38">
    <cfRule type="cellIs" dxfId="25747" priority="12431" stopIfTrue="1" operator="equal">
      <formula>"Towel"</formula>
    </cfRule>
    <cfRule type="cellIs" dxfId="25746" priority="12432" stopIfTrue="1" operator="equal">
      <formula>"Napkin Hs"</formula>
    </cfRule>
  </conditionalFormatting>
  <conditionalFormatting sqref="C38">
    <cfRule type="cellIs" dxfId="25745" priority="12433" stopIfTrue="1" operator="equal">
      <formula>"Towel"</formula>
    </cfRule>
    <cfRule type="cellIs" dxfId="25744" priority="12434" stopIfTrue="1" operator="equal">
      <formula>"Napkin Hs"</formula>
    </cfRule>
  </conditionalFormatting>
  <conditionalFormatting sqref="C36">
    <cfRule type="cellIs" dxfId="25743" priority="12421" stopIfTrue="1" operator="equal">
      <formula>"Towel"</formula>
    </cfRule>
    <cfRule type="cellIs" dxfId="25742" priority="12422" stopIfTrue="1" operator="equal">
      <formula>"Napkin Hs"</formula>
    </cfRule>
  </conditionalFormatting>
  <conditionalFormatting sqref="B36:C36">
    <cfRule type="cellIs" dxfId="25741" priority="12423" stopIfTrue="1" operator="equal">
      <formula>"Towel"</formula>
    </cfRule>
    <cfRule type="cellIs" dxfId="25740" priority="12424" stopIfTrue="1" operator="equal">
      <formula>"Napkin Hs"</formula>
    </cfRule>
  </conditionalFormatting>
  <conditionalFormatting sqref="C36">
    <cfRule type="cellIs" dxfId="25739" priority="12419" stopIfTrue="1" operator="equal">
      <formula>"Towel"</formula>
    </cfRule>
    <cfRule type="cellIs" dxfId="25738" priority="12420" stopIfTrue="1" operator="equal">
      <formula>"Napkin Hs"</formula>
    </cfRule>
  </conditionalFormatting>
  <conditionalFormatting sqref="B36:C36">
    <cfRule type="cellIs" dxfId="25737" priority="12417" stopIfTrue="1" operator="equal">
      <formula>"Towel"</formula>
    </cfRule>
    <cfRule type="cellIs" dxfId="25736" priority="12418" stopIfTrue="1" operator="equal">
      <formula>"Napkin Hs"</formula>
    </cfRule>
  </conditionalFormatting>
  <conditionalFormatting sqref="C36">
    <cfRule type="cellIs" dxfId="25735" priority="12425" stopIfTrue="1" operator="equal">
      <formula>"Towel"</formula>
    </cfRule>
    <cfRule type="cellIs" dxfId="25734" priority="12426" stopIfTrue="1" operator="equal">
      <formula>"Napkin Hs"</formula>
    </cfRule>
  </conditionalFormatting>
  <conditionalFormatting sqref="C36">
    <cfRule type="cellIs" dxfId="25733" priority="12427" stopIfTrue="1" operator="equal">
      <formula>"Towel"</formula>
    </cfRule>
    <cfRule type="cellIs" dxfId="25732" priority="12428" stopIfTrue="1" operator="equal">
      <formula>"Napkin Hs"</formula>
    </cfRule>
  </conditionalFormatting>
  <conditionalFormatting sqref="B44:C44">
    <cfRule type="cellIs" dxfId="25731" priority="12415" stopIfTrue="1" operator="equal">
      <formula>"Towel"</formula>
    </cfRule>
    <cfRule type="cellIs" dxfId="25730" priority="12416" stopIfTrue="1" operator="equal">
      <formula>"Napkin Hs"</formula>
    </cfRule>
  </conditionalFormatting>
  <conditionalFormatting sqref="C44">
    <cfRule type="cellIs" dxfId="25729" priority="12411" stopIfTrue="1" operator="equal">
      <formula>"Towel"</formula>
    </cfRule>
    <cfRule type="cellIs" dxfId="25728" priority="12412" stopIfTrue="1" operator="equal">
      <formula>"Napkin Hs"</formula>
    </cfRule>
  </conditionalFormatting>
  <conditionalFormatting sqref="C44">
    <cfRule type="cellIs" dxfId="25727" priority="12413" stopIfTrue="1" operator="equal">
      <formula>"Towel"</formula>
    </cfRule>
    <cfRule type="cellIs" dxfId="25726" priority="12414" stopIfTrue="1" operator="equal">
      <formula>"Napkin Hs"</formula>
    </cfRule>
  </conditionalFormatting>
  <conditionalFormatting sqref="C41">
    <cfRule type="cellIs" dxfId="25725" priority="12403" stopIfTrue="1" operator="equal">
      <formula>"Towel"</formula>
    </cfRule>
    <cfRule type="cellIs" dxfId="25724" priority="12404" stopIfTrue="1" operator="equal">
      <formula>"Napkin Hs"</formula>
    </cfRule>
  </conditionalFormatting>
  <conditionalFormatting sqref="B41:C41">
    <cfRule type="cellIs" dxfId="25723" priority="12405" stopIfTrue="1" operator="equal">
      <formula>"Towel"</formula>
    </cfRule>
    <cfRule type="cellIs" dxfId="25722" priority="12406" stopIfTrue="1" operator="equal">
      <formula>"Napkin Hs"</formula>
    </cfRule>
  </conditionalFormatting>
  <conditionalFormatting sqref="C41">
    <cfRule type="cellIs" dxfId="25721" priority="12401" stopIfTrue="1" operator="equal">
      <formula>"Towel"</formula>
    </cfRule>
    <cfRule type="cellIs" dxfId="25720" priority="12402" stopIfTrue="1" operator="equal">
      <formula>"Napkin Hs"</formula>
    </cfRule>
  </conditionalFormatting>
  <conditionalFormatting sqref="B41:C41">
    <cfRule type="cellIs" dxfId="25719" priority="12399" stopIfTrue="1" operator="equal">
      <formula>"Towel"</formula>
    </cfRule>
    <cfRule type="cellIs" dxfId="25718" priority="12400" stopIfTrue="1" operator="equal">
      <formula>"Napkin Hs"</formula>
    </cfRule>
  </conditionalFormatting>
  <conditionalFormatting sqref="C41">
    <cfRule type="cellIs" dxfId="25717" priority="12407" stopIfTrue="1" operator="equal">
      <formula>"Towel"</formula>
    </cfRule>
    <cfRule type="cellIs" dxfId="25716" priority="12408" stopIfTrue="1" operator="equal">
      <formula>"Napkin Hs"</formula>
    </cfRule>
  </conditionalFormatting>
  <conditionalFormatting sqref="C41">
    <cfRule type="cellIs" dxfId="25715" priority="12409" stopIfTrue="1" operator="equal">
      <formula>"Towel"</formula>
    </cfRule>
    <cfRule type="cellIs" dxfId="25714" priority="12410" stopIfTrue="1" operator="equal">
      <formula>"Napkin Hs"</formula>
    </cfRule>
  </conditionalFormatting>
  <conditionalFormatting sqref="C45">
    <cfRule type="cellIs" dxfId="25713" priority="12391" stopIfTrue="1" operator="equal">
      <formula>"Towel"</formula>
    </cfRule>
    <cfRule type="cellIs" dxfId="25712" priority="12392" stopIfTrue="1" operator="equal">
      <formula>"Napkin Hs"</formula>
    </cfRule>
  </conditionalFormatting>
  <conditionalFormatting sqref="B45:C45">
    <cfRule type="cellIs" dxfId="25711" priority="12393" stopIfTrue="1" operator="equal">
      <formula>"Towel"</formula>
    </cfRule>
    <cfRule type="cellIs" dxfId="25710" priority="12394" stopIfTrue="1" operator="equal">
      <formula>"Napkin Hs"</formula>
    </cfRule>
  </conditionalFormatting>
  <conditionalFormatting sqref="C45">
    <cfRule type="cellIs" dxfId="25709" priority="12389" stopIfTrue="1" operator="equal">
      <formula>"Towel"</formula>
    </cfRule>
    <cfRule type="cellIs" dxfId="25708" priority="12390" stopIfTrue="1" operator="equal">
      <formula>"Napkin Hs"</formula>
    </cfRule>
  </conditionalFormatting>
  <conditionalFormatting sqref="B45:C45">
    <cfRule type="cellIs" dxfId="25707" priority="12387" stopIfTrue="1" operator="equal">
      <formula>"Towel"</formula>
    </cfRule>
    <cfRule type="cellIs" dxfId="25706" priority="12388" stopIfTrue="1" operator="equal">
      <formula>"Napkin Hs"</formula>
    </cfRule>
  </conditionalFormatting>
  <conditionalFormatting sqref="C45">
    <cfRule type="cellIs" dxfId="25705" priority="12395" stopIfTrue="1" operator="equal">
      <formula>"Towel"</formula>
    </cfRule>
    <cfRule type="cellIs" dxfId="25704" priority="12396" stopIfTrue="1" operator="equal">
      <formula>"Napkin Hs"</formula>
    </cfRule>
  </conditionalFormatting>
  <conditionalFormatting sqref="C45">
    <cfRule type="cellIs" dxfId="25703" priority="12397" stopIfTrue="1" operator="equal">
      <formula>"Towel"</formula>
    </cfRule>
    <cfRule type="cellIs" dxfId="25702" priority="12398" stopIfTrue="1" operator="equal">
      <formula>"Napkin Hs"</formula>
    </cfRule>
  </conditionalFormatting>
  <conditionalFormatting sqref="C43">
    <cfRule type="cellIs" dxfId="25701" priority="12379" stopIfTrue="1" operator="equal">
      <formula>"Towel"</formula>
    </cfRule>
    <cfRule type="cellIs" dxfId="25700" priority="12380" stopIfTrue="1" operator="equal">
      <formula>"Napkin Hs"</formula>
    </cfRule>
  </conditionalFormatting>
  <conditionalFormatting sqref="B43:C43">
    <cfRule type="cellIs" dxfId="25699" priority="12381" stopIfTrue="1" operator="equal">
      <formula>"Towel"</formula>
    </cfRule>
    <cfRule type="cellIs" dxfId="25698" priority="12382" stopIfTrue="1" operator="equal">
      <formula>"Napkin Hs"</formula>
    </cfRule>
  </conditionalFormatting>
  <conditionalFormatting sqref="C43">
    <cfRule type="cellIs" dxfId="25697" priority="12377" stopIfTrue="1" operator="equal">
      <formula>"Towel"</formula>
    </cfRule>
    <cfRule type="cellIs" dxfId="25696" priority="12378" stopIfTrue="1" operator="equal">
      <formula>"Napkin Hs"</formula>
    </cfRule>
  </conditionalFormatting>
  <conditionalFormatting sqref="B43:C43">
    <cfRule type="cellIs" dxfId="25695" priority="12375" stopIfTrue="1" operator="equal">
      <formula>"Towel"</formula>
    </cfRule>
    <cfRule type="cellIs" dxfId="25694" priority="12376" stopIfTrue="1" operator="equal">
      <formula>"Napkin Hs"</formula>
    </cfRule>
  </conditionalFormatting>
  <conditionalFormatting sqref="C43">
    <cfRule type="cellIs" dxfId="25693" priority="12383" stopIfTrue="1" operator="equal">
      <formula>"Towel"</formula>
    </cfRule>
    <cfRule type="cellIs" dxfId="25692" priority="12384" stopIfTrue="1" operator="equal">
      <formula>"Napkin Hs"</formula>
    </cfRule>
  </conditionalFormatting>
  <conditionalFormatting sqref="C43">
    <cfRule type="cellIs" dxfId="25691" priority="12385" stopIfTrue="1" operator="equal">
      <formula>"Towel"</formula>
    </cfRule>
    <cfRule type="cellIs" dxfId="25690" priority="12386" stopIfTrue="1" operator="equal">
      <formula>"Napkin Hs"</formula>
    </cfRule>
  </conditionalFormatting>
  <conditionalFormatting sqref="C41">
    <cfRule type="cellIs" dxfId="25689" priority="12367" stopIfTrue="1" operator="equal">
      <formula>"Towel"</formula>
    </cfRule>
    <cfRule type="cellIs" dxfId="25688" priority="12368" stopIfTrue="1" operator="equal">
      <formula>"Napkin Hs"</formula>
    </cfRule>
  </conditionalFormatting>
  <conditionalFormatting sqref="B41:C41">
    <cfRule type="cellIs" dxfId="25687" priority="12369" stopIfTrue="1" operator="equal">
      <formula>"Towel"</formula>
    </cfRule>
    <cfRule type="cellIs" dxfId="25686" priority="12370" stopIfTrue="1" operator="equal">
      <formula>"Napkin Hs"</formula>
    </cfRule>
  </conditionalFormatting>
  <conditionalFormatting sqref="C41">
    <cfRule type="cellIs" dxfId="25685" priority="12365" stopIfTrue="1" operator="equal">
      <formula>"Towel"</formula>
    </cfRule>
    <cfRule type="cellIs" dxfId="25684" priority="12366" stopIfTrue="1" operator="equal">
      <formula>"Napkin Hs"</formula>
    </cfRule>
  </conditionalFormatting>
  <conditionalFormatting sqref="B41:C41">
    <cfRule type="cellIs" dxfId="25683" priority="12363" stopIfTrue="1" operator="equal">
      <formula>"Towel"</formula>
    </cfRule>
    <cfRule type="cellIs" dxfId="25682" priority="12364" stopIfTrue="1" operator="equal">
      <formula>"Napkin Hs"</formula>
    </cfRule>
  </conditionalFormatting>
  <conditionalFormatting sqref="C41">
    <cfRule type="cellIs" dxfId="25681" priority="12371" stopIfTrue="1" operator="equal">
      <formula>"Towel"</formula>
    </cfRule>
    <cfRule type="cellIs" dxfId="25680" priority="12372" stopIfTrue="1" operator="equal">
      <formula>"Napkin Hs"</formula>
    </cfRule>
  </conditionalFormatting>
  <conditionalFormatting sqref="C41">
    <cfRule type="cellIs" dxfId="25679" priority="12373" stopIfTrue="1" operator="equal">
      <formula>"Towel"</formula>
    </cfRule>
    <cfRule type="cellIs" dxfId="25678" priority="12374" stopIfTrue="1" operator="equal">
      <formula>"Napkin Hs"</formula>
    </cfRule>
  </conditionalFormatting>
  <conditionalFormatting sqref="B36:C36">
    <cfRule type="cellIs" dxfId="25677" priority="12361" stopIfTrue="1" operator="equal">
      <formula>"Towel"</formula>
    </cfRule>
    <cfRule type="cellIs" dxfId="25676" priority="12362" stopIfTrue="1" operator="equal">
      <formula>"Napkin Hs"</formula>
    </cfRule>
  </conditionalFormatting>
  <conditionalFormatting sqref="C36">
    <cfRule type="cellIs" dxfId="25675" priority="12353" stopIfTrue="1" operator="equal">
      <formula>"Towel"</formula>
    </cfRule>
    <cfRule type="cellIs" dxfId="25674" priority="12354" stopIfTrue="1" operator="equal">
      <formula>"Napkin Hs"</formula>
    </cfRule>
  </conditionalFormatting>
  <conditionalFormatting sqref="C36">
    <cfRule type="cellIs" dxfId="25673" priority="12357" stopIfTrue="1" operator="equal">
      <formula>"Towel"</formula>
    </cfRule>
    <cfRule type="cellIs" dxfId="25672" priority="12358" stopIfTrue="1" operator="equal">
      <formula>"Napkin Hs"</formula>
    </cfRule>
  </conditionalFormatting>
  <conditionalFormatting sqref="C36">
    <cfRule type="cellIs" dxfId="25671" priority="12360" stopIfTrue="1" operator="equal">
      <formula>"Napkin Hs"</formula>
    </cfRule>
  </conditionalFormatting>
  <conditionalFormatting sqref="C36">
    <cfRule type="cellIs" dxfId="25670" priority="12355" stopIfTrue="1" operator="equal">
      <formula>"Towel"</formula>
    </cfRule>
    <cfRule type="cellIs" dxfId="25669" priority="12356" stopIfTrue="1" operator="equal">
      <formula>"Napkin Hs"</formula>
    </cfRule>
  </conditionalFormatting>
  <conditionalFormatting sqref="C36">
    <cfRule type="cellIs" dxfId="25668" priority="12359" stopIfTrue="1" operator="equal">
      <formula>"Towel"</formula>
    </cfRule>
  </conditionalFormatting>
  <conditionalFormatting sqref="C36">
    <cfRule type="cellIs" dxfId="25667" priority="12351" stopIfTrue="1" operator="equal">
      <formula>"Towel"</formula>
    </cfRule>
    <cfRule type="cellIs" dxfId="25666" priority="12352" stopIfTrue="1" operator="equal">
      <formula>"Napkin Hs"</formula>
    </cfRule>
  </conditionalFormatting>
  <conditionalFormatting sqref="B36">
    <cfRule type="cellIs" dxfId="25665" priority="12349" stopIfTrue="1" operator="equal">
      <formula>"Towel"</formula>
    </cfRule>
    <cfRule type="cellIs" dxfId="25664" priority="12350" stopIfTrue="1" operator="equal">
      <formula>"Napkin Hs"</formula>
    </cfRule>
  </conditionalFormatting>
  <conditionalFormatting sqref="B38:C38">
    <cfRule type="cellIs" dxfId="25663" priority="12347" stopIfTrue="1" operator="equal">
      <formula>"Towel"</formula>
    </cfRule>
    <cfRule type="cellIs" dxfId="25662" priority="12348" stopIfTrue="1" operator="equal">
      <formula>"Napkin Hs"</formula>
    </cfRule>
  </conditionalFormatting>
  <conditionalFormatting sqref="B39:C39">
    <cfRule type="cellIs" dxfId="25661" priority="12341" stopIfTrue="1" operator="equal">
      <formula>"Towel"</formula>
    </cfRule>
    <cfRule type="cellIs" dxfId="25660" priority="12342" stopIfTrue="1" operator="equal">
      <formula>"Napkin Hs"</formula>
    </cfRule>
  </conditionalFormatting>
  <conditionalFormatting sqref="C38">
    <cfRule type="cellIs" dxfId="25659" priority="12346" stopIfTrue="1" operator="equal">
      <formula>"Napkin Hs"</formula>
    </cfRule>
  </conditionalFormatting>
  <conditionalFormatting sqref="C38">
    <cfRule type="cellIs" dxfId="25658" priority="12345" stopIfTrue="1" operator="equal">
      <formula>"Towel"</formula>
    </cfRule>
  </conditionalFormatting>
  <conditionalFormatting sqref="C39">
    <cfRule type="cellIs" dxfId="25657" priority="12337" stopIfTrue="1" operator="equal">
      <formula>"Towel"</formula>
    </cfRule>
    <cfRule type="cellIs" dxfId="25656" priority="12338" stopIfTrue="1" operator="equal">
      <formula>"Napkin Hs"</formula>
    </cfRule>
  </conditionalFormatting>
  <conditionalFormatting sqref="C38">
    <cfRule type="cellIs" dxfId="25655" priority="12343" stopIfTrue="1" operator="equal">
      <formula>"Towel"</formula>
    </cfRule>
    <cfRule type="cellIs" dxfId="25654" priority="12344" stopIfTrue="1" operator="equal">
      <formula>"Napkin Hs"</formula>
    </cfRule>
  </conditionalFormatting>
  <conditionalFormatting sqref="C39">
    <cfRule type="cellIs" dxfId="25653" priority="12339" stopIfTrue="1" operator="equal">
      <formula>"Towel"</formula>
    </cfRule>
    <cfRule type="cellIs" dxfId="25652" priority="12340" stopIfTrue="1" operator="equal">
      <formula>"Napkin Hs"</formula>
    </cfRule>
  </conditionalFormatting>
  <conditionalFormatting sqref="B36:C36">
    <cfRule type="cellIs" dxfId="25651" priority="12335" stopIfTrue="1" operator="equal">
      <formula>"Towel"</formula>
    </cfRule>
    <cfRule type="cellIs" dxfId="25650" priority="12336" stopIfTrue="1" operator="equal">
      <formula>"Napkin Hs"</formula>
    </cfRule>
  </conditionalFormatting>
  <conditionalFormatting sqref="C36">
    <cfRule type="cellIs" dxfId="25649" priority="12327" stopIfTrue="1" operator="equal">
      <formula>"Towel"</formula>
    </cfRule>
    <cfRule type="cellIs" dxfId="25648" priority="12328" stopIfTrue="1" operator="equal">
      <formula>"Napkin Hs"</formula>
    </cfRule>
  </conditionalFormatting>
  <conditionalFormatting sqref="C36">
    <cfRule type="cellIs" dxfId="25647" priority="12331" stopIfTrue="1" operator="equal">
      <formula>"Towel"</formula>
    </cfRule>
    <cfRule type="cellIs" dxfId="25646" priority="12332" stopIfTrue="1" operator="equal">
      <formula>"Napkin Hs"</formula>
    </cfRule>
  </conditionalFormatting>
  <conditionalFormatting sqref="C36">
    <cfRule type="cellIs" dxfId="25645" priority="12334" stopIfTrue="1" operator="equal">
      <formula>"Napkin Hs"</formula>
    </cfRule>
  </conditionalFormatting>
  <conditionalFormatting sqref="C36">
    <cfRule type="cellIs" dxfId="25644" priority="12329" stopIfTrue="1" operator="equal">
      <formula>"Towel"</formula>
    </cfRule>
    <cfRule type="cellIs" dxfId="25643" priority="12330" stopIfTrue="1" operator="equal">
      <formula>"Napkin Hs"</formula>
    </cfRule>
  </conditionalFormatting>
  <conditionalFormatting sqref="C36">
    <cfRule type="cellIs" dxfId="25642" priority="12333" stopIfTrue="1" operator="equal">
      <formula>"Towel"</formula>
    </cfRule>
  </conditionalFormatting>
  <conditionalFormatting sqref="C36">
    <cfRule type="cellIs" dxfId="25641" priority="12325" stopIfTrue="1" operator="equal">
      <formula>"Towel"</formula>
    </cfRule>
    <cfRule type="cellIs" dxfId="25640" priority="12326" stopIfTrue="1" operator="equal">
      <formula>"Napkin Hs"</formula>
    </cfRule>
  </conditionalFormatting>
  <conditionalFormatting sqref="B36">
    <cfRule type="cellIs" dxfId="25639" priority="12323" stopIfTrue="1" operator="equal">
      <formula>"Towel"</formula>
    </cfRule>
    <cfRule type="cellIs" dxfId="25638" priority="12324" stopIfTrue="1" operator="equal">
      <formula>"Napkin Hs"</formula>
    </cfRule>
  </conditionalFormatting>
  <conditionalFormatting sqref="C39">
    <cfRule type="cellIs" dxfId="25637" priority="12319" stopIfTrue="1" operator="equal">
      <formula>"Towel"</formula>
    </cfRule>
    <cfRule type="cellIs" dxfId="25636" priority="12320" stopIfTrue="1" operator="equal">
      <formula>"Napkin Hs"</formula>
    </cfRule>
  </conditionalFormatting>
  <conditionalFormatting sqref="C39">
    <cfRule type="cellIs" dxfId="25635" priority="12321" stopIfTrue="1" operator="equal">
      <formula>"Towel"</formula>
    </cfRule>
    <cfRule type="cellIs" dxfId="25634" priority="12322" stopIfTrue="1" operator="equal">
      <formula>"Napkin Hs"</formula>
    </cfRule>
  </conditionalFormatting>
  <conditionalFormatting sqref="C39">
    <cfRule type="cellIs" dxfId="25633" priority="12317" stopIfTrue="1" operator="equal">
      <formula>"Towel"</formula>
    </cfRule>
    <cfRule type="cellIs" dxfId="25632" priority="12318" stopIfTrue="1" operator="equal">
      <formula>"Napkin Hs"</formula>
    </cfRule>
  </conditionalFormatting>
  <conditionalFormatting sqref="B39">
    <cfRule type="cellIs" dxfId="25631" priority="12315" stopIfTrue="1" operator="equal">
      <formula>"Towel"</formula>
    </cfRule>
    <cfRule type="cellIs" dxfId="25630" priority="12316" stopIfTrue="1" operator="equal">
      <formula>"Napkin Hs"</formula>
    </cfRule>
  </conditionalFormatting>
  <conditionalFormatting sqref="C38">
    <cfRule type="cellIs" dxfId="25629" priority="12311" stopIfTrue="1" operator="equal">
      <formula>"Towel"</formula>
    </cfRule>
    <cfRule type="cellIs" dxfId="25628" priority="12312" stopIfTrue="1" operator="equal">
      <formula>"Napkin Hs"</formula>
    </cfRule>
  </conditionalFormatting>
  <conditionalFormatting sqref="C38">
    <cfRule type="cellIs" dxfId="25627" priority="12313" stopIfTrue="1" operator="equal">
      <formula>"Towel"</formula>
    </cfRule>
    <cfRule type="cellIs" dxfId="25626" priority="12314" stopIfTrue="1" operator="equal">
      <formula>"Napkin Hs"</formula>
    </cfRule>
  </conditionalFormatting>
  <conditionalFormatting sqref="C38">
    <cfRule type="cellIs" dxfId="25625" priority="12309" stopIfTrue="1" operator="equal">
      <formula>"Towel"</formula>
    </cfRule>
    <cfRule type="cellIs" dxfId="25624" priority="12310" stopIfTrue="1" operator="equal">
      <formula>"Napkin Hs"</formula>
    </cfRule>
  </conditionalFormatting>
  <conditionalFormatting sqref="B38">
    <cfRule type="cellIs" dxfId="25623" priority="12307" stopIfTrue="1" operator="equal">
      <formula>"Towel"</formula>
    </cfRule>
    <cfRule type="cellIs" dxfId="25622" priority="12308" stopIfTrue="1" operator="equal">
      <formula>"Napkin Hs"</formula>
    </cfRule>
  </conditionalFormatting>
  <conditionalFormatting sqref="B36:C36">
    <cfRule type="cellIs" dxfId="25621" priority="12283" stopIfTrue="1" operator="equal">
      <formula>"Towel"</formula>
    </cfRule>
  </conditionalFormatting>
  <conditionalFormatting sqref="B36:C36">
    <cfRule type="cellIs" dxfId="25620" priority="12284" stopIfTrue="1" operator="equal">
      <formula>"Napkin Hs"</formula>
    </cfRule>
    <cfRule type="cellIs" dxfId="25619" priority="12289" stopIfTrue="1" operator="equal">
      <formula>"Towel"</formula>
    </cfRule>
    <cfRule type="cellIs" dxfId="25618" priority="12290" stopIfTrue="1" operator="equal">
      <formula>"Napkin Hs"</formula>
    </cfRule>
    <cfRule type="cellIs" dxfId="25617" priority="12299" stopIfTrue="1" operator="equal">
      <formula>"Towel"</formula>
    </cfRule>
    <cfRule type="cellIs" dxfId="25616" priority="12300" stopIfTrue="1" operator="equal">
      <formula>"Napkin Hs"</formula>
    </cfRule>
    <cfRule type="cellIs" dxfId="25615" priority="12305" stopIfTrue="1" operator="equal">
      <formula>"Towel"</formula>
    </cfRule>
    <cfRule type="cellIs" dxfId="25614" priority="12306" stopIfTrue="1" operator="equal">
      <formula>"Napkin Hs"</formula>
    </cfRule>
  </conditionalFormatting>
  <conditionalFormatting sqref="C36">
    <cfRule type="cellIs" dxfId="25613" priority="12285" stopIfTrue="1" operator="equal">
      <formula>"Towel"</formula>
    </cfRule>
    <cfRule type="cellIs" dxfId="25612" priority="12286" stopIfTrue="1" operator="equal">
      <formula>"Napkin Hs"</formula>
    </cfRule>
    <cfRule type="cellIs" dxfId="25611" priority="12287" stopIfTrue="1" operator="equal">
      <formula>"Towel"</formula>
    </cfRule>
    <cfRule type="cellIs" dxfId="25610" priority="12288" stopIfTrue="1" operator="equal">
      <formula>"Napkin Hs"</formula>
    </cfRule>
    <cfRule type="cellIs" dxfId="25609" priority="12291" stopIfTrue="1" operator="equal">
      <formula>"Towel"</formula>
    </cfRule>
    <cfRule type="cellIs" dxfId="25608" priority="12292" stopIfTrue="1" operator="equal">
      <formula>"Napkin Hs"</formula>
    </cfRule>
    <cfRule type="cellIs" dxfId="25607" priority="12293" stopIfTrue="1" operator="equal">
      <formula>"Towel"</formula>
    </cfRule>
    <cfRule type="cellIs" dxfId="25606" priority="12294" stopIfTrue="1" operator="equal">
      <formula>"Napkin Hs"</formula>
    </cfRule>
    <cfRule type="cellIs" dxfId="25605" priority="12295" stopIfTrue="1" operator="equal">
      <formula>"Towel"</formula>
    </cfRule>
    <cfRule type="cellIs" dxfId="25604" priority="12296" stopIfTrue="1" operator="equal">
      <formula>"Napkin Hs"</formula>
    </cfRule>
    <cfRule type="cellIs" dxfId="25603" priority="12297" stopIfTrue="1" operator="equal">
      <formula>"Towel"</formula>
    </cfRule>
    <cfRule type="cellIs" dxfId="25602" priority="12298" stopIfTrue="1" operator="equal">
      <formula>"Napkin Hs"</formula>
    </cfRule>
    <cfRule type="cellIs" dxfId="25601" priority="12301" stopIfTrue="1" operator="equal">
      <formula>"Towel"</formula>
    </cfRule>
    <cfRule type="cellIs" dxfId="25600" priority="12302" stopIfTrue="1" operator="equal">
      <formula>"Napkin Hs"</formula>
    </cfRule>
    <cfRule type="cellIs" dxfId="25599" priority="12304" stopIfTrue="1" operator="equal">
      <formula>"Napkin Hs"</formula>
    </cfRule>
  </conditionalFormatting>
  <conditionalFormatting sqref="C36">
    <cfRule type="cellIs" dxfId="25598" priority="12303" stopIfTrue="1" operator="equal">
      <formula>"Towel"</formula>
    </cfRule>
  </conditionalFormatting>
  <conditionalFormatting sqref="B36:C36">
    <cfRule type="cellIs" dxfId="25597" priority="12281" stopIfTrue="1" operator="equal">
      <formula>"Towel"</formula>
    </cfRule>
    <cfRule type="cellIs" dxfId="25596" priority="12282" stopIfTrue="1" operator="equal">
      <formula>"Napkin Hs"</formula>
    </cfRule>
  </conditionalFormatting>
  <conditionalFormatting sqref="C36">
    <cfRule type="cellIs" dxfId="25595" priority="12280" stopIfTrue="1" operator="equal">
      <formula>"Napkin Hs"</formula>
    </cfRule>
  </conditionalFormatting>
  <conditionalFormatting sqref="C36">
    <cfRule type="cellIs" dxfId="25594" priority="12279" stopIfTrue="1" operator="equal">
      <formula>"Towel"</formula>
    </cfRule>
  </conditionalFormatting>
  <conditionalFormatting sqref="C36">
    <cfRule type="cellIs" dxfId="25593" priority="12277" stopIfTrue="1" operator="equal">
      <formula>"Towel"</formula>
    </cfRule>
  </conditionalFormatting>
  <conditionalFormatting sqref="C36">
    <cfRule type="cellIs" dxfId="25592" priority="12278" stopIfTrue="1" operator="equal">
      <formula>"Napkin Hs"</formula>
    </cfRule>
  </conditionalFormatting>
  <conditionalFormatting sqref="B36">
    <cfRule type="cellIs" dxfId="25591" priority="12181" stopIfTrue="1" operator="equal">
      <formula>"Napkin Hs"</formula>
    </cfRule>
  </conditionalFormatting>
  <conditionalFormatting sqref="B36:C36">
    <cfRule type="cellIs" dxfId="25590" priority="12180" stopIfTrue="1" operator="equal">
      <formula>"Towel"</formula>
    </cfRule>
  </conditionalFormatting>
  <conditionalFormatting sqref="B36:C36">
    <cfRule type="cellIs" dxfId="25589" priority="12191" stopIfTrue="1" operator="equal">
      <formula>"Towel"</formula>
    </cfRule>
    <cfRule type="cellIs" dxfId="25588" priority="12192" stopIfTrue="1" operator="equal">
      <formula>"Napkin Hs"</formula>
    </cfRule>
    <cfRule type="cellIs" dxfId="25587" priority="12197" stopIfTrue="1" operator="equal">
      <formula>"Towel"</formula>
    </cfRule>
    <cfRule type="cellIs" dxfId="25586" priority="12198" stopIfTrue="1" operator="equal">
      <formula>"Napkin Hs"</formula>
    </cfRule>
    <cfRule type="cellIs" dxfId="25585" priority="12203" stopIfTrue="1" operator="equal">
      <formula>"Towel"</formula>
    </cfRule>
    <cfRule type="cellIs" dxfId="25584" priority="12204" stopIfTrue="1" operator="equal">
      <formula>"Napkin Hs"</formula>
    </cfRule>
    <cfRule type="cellIs" dxfId="25583" priority="12205" stopIfTrue="1" operator="equal">
      <formula>"Towel"</formula>
    </cfRule>
    <cfRule type="cellIs" dxfId="25582" priority="12206" stopIfTrue="1" operator="equal">
      <formula>"Napkin Hs"</formula>
    </cfRule>
    <cfRule type="cellIs" dxfId="25581" priority="12211" stopIfTrue="1" operator="equal">
      <formula>"Towel"</formula>
    </cfRule>
    <cfRule type="cellIs" dxfId="25580" priority="12212" stopIfTrue="1" operator="equal">
      <formula>"Napkin Hs"</formula>
    </cfRule>
    <cfRule type="cellIs" dxfId="25579" priority="12221" stopIfTrue="1" operator="equal">
      <formula>"Towel"</formula>
    </cfRule>
    <cfRule type="cellIs" dxfId="25578" priority="12222" stopIfTrue="1" operator="equal">
      <formula>"Napkin Hs"</formula>
    </cfRule>
    <cfRule type="cellIs" dxfId="25577" priority="12227" stopIfTrue="1" operator="equal">
      <formula>"Towel"</formula>
    </cfRule>
    <cfRule type="cellIs" dxfId="25576" priority="12228" stopIfTrue="1" operator="equal">
      <formula>"Napkin Hs"</formula>
    </cfRule>
    <cfRule type="cellIs" dxfId="25575" priority="12229" stopIfTrue="1" operator="equal">
      <formula>"Towel"</formula>
    </cfRule>
    <cfRule type="cellIs" dxfId="25574" priority="12230" stopIfTrue="1" operator="equal">
      <formula>"Napkin Hs"</formula>
    </cfRule>
    <cfRule type="cellIs" dxfId="25573" priority="12235" stopIfTrue="1" operator="equal">
      <formula>"Towel"</formula>
    </cfRule>
    <cfRule type="cellIs" dxfId="25572" priority="12236" stopIfTrue="1" operator="equal">
      <formula>"Napkin Hs"</formula>
    </cfRule>
    <cfRule type="cellIs" dxfId="25571" priority="12245" stopIfTrue="1" operator="equal">
      <formula>"Towel"</formula>
    </cfRule>
    <cfRule type="cellIs" dxfId="25570" priority="12246" stopIfTrue="1" operator="equal">
      <formula>"Napkin Hs"</formula>
    </cfRule>
    <cfRule type="cellIs" dxfId="25569" priority="12247" stopIfTrue="1" operator="equal">
      <formula>"Towel"</formula>
    </cfRule>
    <cfRule type="cellIs" dxfId="25568" priority="12248" stopIfTrue="1" operator="equal">
      <formula>"Napkin Hs"</formula>
    </cfRule>
    <cfRule type="cellIs" dxfId="25567" priority="12253" stopIfTrue="1" operator="equal">
      <formula>"Towel"</formula>
    </cfRule>
    <cfRule type="cellIs" dxfId="25566" priority="12254" stopIfTrue="1" operator="equal">
      <formula>"Napkin Hs"</formula>
    </cfRule>
    <cfRule type="cellIs" dxfId="25565" priority="12263" stopIfTrue="1" operator="equal">
      <formula>"Towel"</formula>
    </cfRule>
    <cfRule type="cellIs" dxfId="25564" priority="12264" stopIfTrue="1" operator="equal">
      <formula>"Napkin Hs"</formula>
    </cfRule>
    <cfRule type="cellIs" dxfId="25563" priority="12265" stopIfTrue="1" operator="equal">
      <formula>"Towel"</formula>
    </cfRule>
    <cfRule type="cellIs" dxfId="25562" priority="12266" stopIfTrue="1" operator="equal">
      <formula>"Napkin Hs"</formula>
    </cfRule>
    <cfRule type="cellIs" dxfId="25561" priority="12272" stopIfTrue="1" operator="equal">
      <formula>"Napkin Hs"</formula>
    </cfRule>
  </conditionalFormatting>
  <conditionalFormatting sqref="B36:C36">
    <cfRule type="cellIs" dxfId="25560" priority="12271" stopIfTrue="1" operator="equal">
      <formula>"Towel"</formula>
    </cfRule>
  </conditionalFormatting>
  <conditionalFormatting sqref="C36">
    <cfRule type="cellIs" dxfId="25559" priority="12182" stopIfTrue="1" operator="equal">
      <formula>"Napkin Hs"</formula>
    </cfRule>
    <cfRule type="cellIs" dxfId="25558" priority="12183" stopIfTrue="1" operator="equal">
      <formula>"Towel"</formula>
    </cfRule>
    <cfRule type="cellIs" dxfId="25557" priority="12184" stopIfTrue="1" operator="equal">
      <formula>"Napkin Hs"</formula>
    </cfRule>
    <cfRule type="cellIs" dxfId="25556" priority="12185" stopIfTrue="1" operator="equal">
      <formula>"Towel"</formula>
    </cfRule>
    <cfRule type="cellIs" dxfId="25555" priority="12186" stopIfTrue="1" operator="equal">
      <formula>"Napkin Hs"</formula>
    </cfRule>
    <cfRule type="cellIs" dxfId="25554" priority="12187" stopIfTrue="1" operator="equal">
      <formula>"Towel"</formula>
    </cfRule>
    <cfRule type="cellIs" dxfId="25553" priority="12188" stopIfTrue="1" operator="equal">
      <formula>"Napkin Hs"</formula>
    </cfRule>
    <cfRule type="cellIs" dxfId="25552" priority="12189" stopIfTrue="1" operator="equal">
      <formula>"Towel"</formula>
    </cfRule>
    <cfRule type="cellIs" dxfId="25551" priority="12190" stopIfTrue="1" operator="equal">
      <formula>"Napkin Hs"</formula>
    </cfRule>
    <cfRule type="cellIs" dxfId="25550" priority="12193" stopIfTrue="1" operator="equal">
      <formula>"Towel"</formula>
    </cfRule>
    <cfRule type="cellIs" dxfId="25549" priority="12194" stopIfTrue="1" operator="equal">
      <formula>"Napkin Hs"</formula>
    </cfRule>
    <cfRule type="cellIs" dxfId="25548" priority="12195" stopIfTrue="1" operator="equal">
      <formula>"Towel"</formula>
    </cfRule>
    <cfRule type="cellIs" dxfId="25547" priority="12196" stopIfTrue="1" operator="equal">
      <formula>"Napkin Hs"</formula>
    </cfRule>
    <cfRule type="cellIs" dxfId="25546" priority="12199" stopIfTrue="1" operator="equal">
      <formula>"Towel"</formula>
    </cfRule>
    <cfRule type="cellIs" dxfId="25545" priority="12200" stopIfTrue="1" operator="equal">
      <formula>"Napkin Hs"</formula>
    </cfRule>
    <cfRule type="cellIs" dxfId="25544" priority="12201" stopIfTrue="1" operator="equal">
      <formula>"Towel"</formula>
    </cfRule>
    <cfRule type="cellIs" dxfId="25543" priority="12202" stopIfTrue="1" operator="equal">
      <formula>"Napkin Hs"</formula>
    </cfRule>
    <cfRule type="cellIs" dxfId="25542" priority="12207" stopIfTrue="1" operator="equal">
      <formula>"Towel"</formula>
    </cfRule>
    <cfRule type="cellIs" dxfId="25541" priority="12208" stopIfTrue="1" operator="equal">
      <formula>"Napkin Hs"</formula>
    </cfRule>
    <cfRule type="cellIs" dxfId="25540" priority="12209" stopIfTrue="1" operator="equal">
      <formula>"Towel"</formula>
    </cfRule>
    <cfRule type="cellIs" dxfId="25539" priority="12210" stopIfTrue="1" operator="equal">
      <formula>"Napkin Hs"</formula>
    </cfRule>
    <cfRule type="cellIs" dxfId="25538" priority="12213" stopIfTrue="1" operator="equal">
      <formula>"Towel"</formula>
    </cfRule>
    <cfRule type="cellIs" dxfId="25537" priority="12214" stopIfTrue="1" operator="equal">
      <formula>"Napkin Hs"</formula>
    </cfRule>
    <cfRule type="cellIs" dxfId="25536" priority="12215" stopIfTrue="1" operator="equal">
      <formula>"Towel"</formula>
    </cfRule>
    <cfRule type="cellIs" dxfId="25535" priority="12216" stopIfTrue="1" operator="equal">
      <formula>"Napkin Hs"</formula>
    </cfRule>
    <cfRule type="cellIs" dxfId="25534" priority="12217" stopIfTrue="1" operator="equal">
      <formula>"Towel"</formula>
    </cfRule>
    <cfRule type="cellIs" dxfId="25533" priority="12218" stopIfTrue="1" operator="equal">
      <formula>"Napkin Hs"</formula>
    </cfRule>
    <cfRule type="cellIs" dxfId="25532" priority="12219" stopIfTrue="1" operator="equal">
      <formula>"Towel"</formula>
    </cfRule>
    <cfRule type="cellIs" dxfId="25531" priority="12220" stopIfTrue="1" operator="equal">
      <formula>"Napkin Hs"</formula>
    </cfRule>
    <cfRule type="cellIs" dxfId="25530" priority="12223" stopIfTrue="1" operator="equal">
      <formula>"Towel"</formula>
    </cfRule>
    <cfRule type="cellIs" dxfId="25529" priority="12224" stopIfTrue="1" operator="equal">
      <formula>"Napkin Hs"</formula>
    </cfRule>
    <cfRule type="cellIs" dxfId="25528" priority="12225" stopIfTrue="1" operator="equal">
      <formula>"Towel"</formula>
    </cfRule>
    <cfRule type="cellIs" dxfId="25527" priority="12226" stopIfTrue="1" operator="equal">
      <formula>"Napkin Hs"</formula>
    </cfRule>
    <cfRule type="cellIs" dxfId="25526" priority="12231" stopIfTrue="1" operator="equal">
      <formula>"Towel"</formula>
    </cfRule>
    <cfRule type="cellIs" dxfId="25525" priority="12232" stopIfTrue="1" operator="equal">
      <formula>"Napkin Hs"</formula>
    </cfRule>
    <cfRule type="cellIs" dxfId="25524" priority="12233" stopIfTrue="1" operator="equal">
      <formula>"Towel"</formula>
    </cfRule>
    <cfRule type="cellIs" dxfId="25523" priority="12234" stopIfTrue="1" operator="equal">
      <formula>"Napkin Hs"</formula>
    </cfRule>
    <cfRule type="cellIs" dxfId="25522" priority="12237" stopIfTrue="1" operator="equal">
      <formula>"Towel"</formula>
    </cfRule>
    <cfRule type="cellIs" dxfId="25521" priority="12238" stopIfTrue="1" operator="equal">
      <formula>"Napkin Hs"</formula>
    </cfRule>
    <cfRule type="cellIs" dxfId="25520" priority="12239" stopIfTrue="1" operator="equal">
      <formula>"Towel"</formula>
    </cfRule>
    <cfRule type="cellIs" dxfId="25519" priority="12240" stopIfTrue="1" operator="equal">
      <formula>"Napkin Hs"</formula>
    </cfRule>
    <cfRule type="cellIs" dxfId="25518" priority="12241" stopIfTrue="1" operator="equal">
      <formula>"Towel"</formula>
    </cfRule>
    <cfRule type="cellIs" dxfId="25517" priority="12242" stopIfTrue="1" operator="equal">
      <formula>"Napkin Hs"</formula>
    </cfRule>
    <cfRule type="cellIs" dxfId="25516" priority="12243" stopIfTrue="1" operator="equal">
      <formula>"Towel"</formula>
    </cfRule>
    <cfRule type="cellIs" dxfId="25515" priority="12244" stopIfTrue="1" operator="equal">
      <formula>"Napkin Hs"</formula>
    </cfRule>
    <cfRule type="cellIs" dxfId="25514" priority="12249" stopIfTrue="1" operator="equal">
      <formula>"Towel"</formula>
    </cfRule>
    <cfRule type="cellIs" dxfId="25513" priority="12250" stopIfTrue="1" operator="equal">
      <formula>"Napkin Hs"</formula>
    </cfRule>
    <cfRule type="cellIs" dxfId="25512" priority="12251" stopIfTrue="1" operator="equal">
      <formula>"Towel"</formula>
    </cfRule>
    <cfRule type="cellIs" dxfId="25511" priority="12252" stopIfTrue="1" operator="equal">
      <formula>"Napkin Hs"</formula>
    </cfRule>
    <cfRule type="cellIs" dxfId="25510" priority="12255" stopIfTrue="1" operator="equal">
      <formula>"Towel"</formula>
    </cfRule>
    <cfRule type="cellIs" dxfId="25509" priority="12256" stopIfTrue="1" operator="equal">
      <formula>"Napkin Hs"</formula>
    </cfRule>
    <cfRule type="cellIs" dxfId="25508" priority="12257" stopIfTrue="1" operator="equal">
      <formula>"Towel"</formula>
    </cfRule>
    <cfRule type="cellIs" dxfId="25507" priority="12258" stopIfTrue="1" operator="equal">
      <formula>"Napkin Hs"</formula>
    </cfRule>
    <cfRule type="cellIs" dxfId="25506" priority="12259" stopIfTrue="1" operator="equal">
      <formula>"Towel"</formula>
    </cfRule>
    <cfRule type="cellIs" dxfId="25505" priority="12260" stopIfTrue="1" operator="equal">
      <formula>"Napkin Hs"</formula>
    </cfRule>
    <cfRule type="cellIs" dxfId="25504" priority="12261" stopIfTrue="1" operator="equal">
      <formula>"Towel"</formula>
    </cfRule>
    <cfRule type="cellIs" dxfId="25503" priority="12262" stopIfTrue="1" operator="equal">
      <formula>"Napkin Hs"</formula>
    </cfRule>
    <cfRule type="cellIs" dxfId="25502" priority="12267" stopIfTrue="1" operator="equal">
      <formula>"Towel"</formula>
    </cfRule>
    <cfRule type="cellIs" dxfId="25501" priority="12268" stopIfTrue="1" operator="equal">
      <formula>"Napkin Hs"</formula>
    </cfRule>
    <cfRule type="cellIs" dxfId="25500" priority="12269" stopIfTrue="1" operator="equal">
      <formula>"Towel"</formula>
    </cfRule>
    <cfRule type="cellIs" dxfId="25499" priority="12270" stopIfTrue="1" operator="equal">
      <formula>"Napkin Hs"</formula>
    </cfRule>
    <cfRule type="cellIs" dxfId="25498" priority="12273" stopIfTrue="1" operator="equal">
      <formula>"Towel"</formula>
    </cfRule>
    <cfRule type="cellIs" dxfId="25497" priority="12274" stopIfTrue="1" operator="equal">
      <formula>"Napkin Hs"</formula>
    </cfRule>
    <cfRule type="cellIs" dxfId="25496" priority="12275" stopIfTrue="1" operator="equal">
      <formula>"Towel"</formula>
    </cfRule>
    <cfRule type="cellIs" dxfId="25495" priority="12276" stopIfTrue="1" operator="equal">
      <formula>"Napkin Hs"</formula>
    </cfRule>
  </conditionalFormatting>
  <conditionalFormatting sqref="B36:C36">
    <cfRule type="cellIs" dxfId="25494" priority="12178" stopIfTrue="1" operator="equal">
      <formula>"Towel"</formula>
    </cfRule>
    <cfRule type="cellIs" dxfId="25493" priority="12179" stopIfTrue="1" operator="equal">
      <formula>"Napkin Hs"</formula>
    </cfRule>
  </conditionalFormatting>
  <conditionalFormatting sqref="C36">
    <cfRule type="cellIs" dxfId="25492" priority="12174" stopIfTrue="1" operator="equal">
      <formula>"Towel"</formula>
    </cfRule>
    <cfRule type="cellIs" dxfId="25491" priority="12175" stopIfTrue="1" operator="equal">
      <formula>"Napkin Hs"</formula>
    </cfRule>
  </conditionalFormatting>
  <conditionalFormatting sqref="C36">
    <cfRule type="cellIs" dxfId="25490" priority="12177" stopIfTrue="1" operator="equal">
      <formula>"Napkin Hs"</formula>
    </cfRule>
  </conditionalFormatting>
  <conditionalFormatting sqref="C36">
    <cfRule type="cellIs" dxfId="25489" priority="12176" stopIfTrue="1" operator="equal">
      <formula>"Towel"</formula>
    </cfRule>
  </conditionalFormatting>
  <conditionalFormatting sqref="B44:C44">
    <cfRule type="cellIs" dxfId="25488" priority="12172" stopIfTrue="1" operator="equal">
      <formula>"Towel"</formula>
    </cfRule>
    <cfRule type="cellIs" dxfId="25487" priority="12173" stopIfTrue="1" operator="equal">
      <formula>"Napkin Hs"</formula>
    </cfRule>
  </conditionalFormatting>
  <conditionalFormatting sqref="C44">
    <cfRule type="cellIs" dxfId="25486" priority="12170" stopIfTrue="1" operator="equal">
      <formula>"Towel"</formula>
    </cfRule>
    <cfRule type="cellIs" dxfId="25485" priority="12171" stopIfTrue="1" operator="equal">
      <formula>"Napkin Hs"</formula>
    </cfRule>
  </conditionalFormatting>
  <conditionalFormatting sqref="C44">
    <cfRule type="cellIs" dxfId="25484" priority="12168" stopIfTrue="1" operator="equal">
      <formula>"Towel"</formula>
    </cfRule>
    <cfRule type="cellIs" dxfId="25483" priority="12169" stopIfTrue="1" operator="equal">
      <formula>"Napkin Hs"</formula>
    </cfRule>
  </conditionalFormatting>
  <conditionalFormatting sqref="B43:C43">
    <cfRule type="cellIs" dxfId="25482" priority="12166" stopIfTrue="1" operator="equal">
      <formula>"Towel"</formula>
    </cfRule>
    <cfRule type="cellIs" dxfId="25481" priority="12167" stopIfTrue="1" operator="equal">
      <formula>"Napkin Hs"</formula>
    </cfRule>
  </conditionalFormatting>
  <conditionalFormatting sqref="C43">
    <cfRule type="cellIs" dxfId="25480" priority="12162" stopIfTrue="1" operator="equal">
      <formula>"Towel"</formula>
    </cfRule>
    <cfRule type="cellIs" dxfId="25479" priority="12163" stopIfTrue="1" operator="equal">
      <formula>"Napkin Hs"</formula>
    </cfRule>
  </conditionalFormatting>
  <conditionalFormatting sqref="C43">
    <cfRule type="cellIs" dxfId="25478" priority="12164" stopIfTrue="1" operator="equal">
      <formula>"Towel"</formula>
    </cfRule>
    <cfRule type="cellIs" dxfId="25477" priority="12165" stopIfTrue="1" operator="equal">
      <formula>"Napkin Hs"</formula>
    </cfRule>
  </conditionalFormatting>
  <conditionalFormatting sqref="C41">
    <cfRule type="cellIs" dxfId="25476" priority="12154" stopIfTrue="1" operator="equal">
      <formula>"Towel"</formula>
    </cfRule>
    <cfRule type="cellIs" dxfId="25475" priority="12155" stopIfTrue="1" operator="equal">
      <formula>"Napkin Hs"</formula>
    </cfRule>
  </conditionalFormatting>
  <conditionalFormatting sqref="B41:C41">
    <cfRule type="cellIs" dxfId="25474" priority="12156" stopIfTrue="1" operator="equal">
      <formula>"Towel"</formula>
    </cfRule>
    <cfRule type="cellIs" dxfId="25473" priority="12157" stopIfTrue="1" operator="equal">
      <formula>"Napkin Hs"</formula>
    </cfRule>
  </conditionalFormatting>
  <conditionalFormatting sqref="C41">
    <cfRule type="cellIs" dxfId="25472" priority="12152" stopIfTrue="1" operator="equal">
      <formula>"Towel"</formula>
    </cfRule>
    <cfRule type="cellIs" dxfId="25471" priority="12153" stopIfTrue="1" operator="equal">
      <formula>"Napkin Hs"</formula>
    </cfRule>
  </conditionalFormatting>
  <conditionalFormatting sqref="B41:C41">
    <cfRule type="cellIs" dxfId="25470" priority="12150" stopIfTrue="1" operator="equal">
      <formula>"Towel"</formula>
    </cfRule>
    <cfRule type="cellIs" dxfId="25469" priority="12151" stopIfTrue="1" operator="equal">
      <formula>"Napkin Hs"</formula>
    </cfRule>
  </conditionalFormatting>
  <conditionalFormatting sqref="C41">
    <cfRule type="cellIs" dxfId="25468" priority="12158" stopIfTrue="1" operator="equal">
      <formula>"Towel"</formula>
    </cfRule>
    <cfRule type="cellIs" dxfId="25467" priority="12159" stopIfTrue="1" operator="equal">
      <formula>"Napkin Hs"</formula>
    </cfRule>
  </conditionalFormatting>
  <conditionalFormatting sqref="C41">
    <cfRule type="cellIs" dxfId="25466" priority="12160" stopIfTrue="1" operator="equal">
      <formula>"Towel"</formula>
    </cfRule>
    <cfRule type="cellIs" dxfId="25465" priority="12161" stopIfTrue="1" operator="equal">
      <formula>"Napkin Hs"</formula>
    </cfRule>
  </conditionalFormatting>
  <conditionalFormatting sqref="B43:C43">
    <cfRule type="cellIs" dxfId="25464" priority="12148" stopIfTrue="1" operator="equal">
      <formula>"Towel"</formula>
    </cfRule>
    <cfRule type="cellIs" dxfId="25463" priority="12149" stopIfTrue="1" operator="equal">
      <formula>"Napkin Hs"</formula>
    </cfRule>
  </conditionalFormatting>
  <conditionalFormatting sqref="C43">
    <cfRule type="cellIs" dxfId="25462" priority="12144" stopIfTrue="1" operator="equal">
      <formula>"Towel"</formula>
    </cfRule>
    <cfRule type="cellIs" dxfId="25461" priority="12145" stopIfTrue="1" operator="equal">
      <formula>"Napkin Hs"</formula>
    </cfRule>
  </conditionalFormatting>
  <conditionalFormatting sqref="C43">
    <cfRule type="cellIs" dxfId="25460" priority="12146" stopIfTrue="1" operator="equal">
      <formula>"Towel"</formula>
    </cfRule>
    <cfRule type="cellIs" dxfId="25459" priority="12147" stopIfTrue="1" operator="equal">
      <formula>"Napkin Hs"</formula>
    </cfRule>
  </conditionalFormatting>
  <conditionalFormatting sqref="C44">
    <cfRule type="cellIs" dxfId="25458" priority="12136" stopIfTrue="1" operator="equal">
      <formula>"Towel"</formula>
    </cfRule>
    <cfRule type="cellIs" dxfId="25457" priority="12137" stopIfTrue="1" operator="equal">
      <formula>"Napkin Hs"</formula>
    </cfRule>
  </conditionalFormatting>
  <conditionalFormatting sqref="B44:C44">
    <cfRule type="cellIs" dxfId="25456" priority="12138" stopIfTrue="1" operator="equal">
      <formula>"Towel"</formula>
    </cfRule>
    <cfRule type="cellIs" dxfId="25455" priority="12139" stopIfTrue="1" operator="equal">
      <formula>"Napkin Hs"</formula>
    </cfRule>
  </conditionalFormatting>
  <conditionalFormatting sqref="C44">
    <cfRule type="cellIs" dxfId="25454" priority="12134" stopIfTrue="1" operator="equal">
      <formula>"Towel"</formula>
    </cfRule>
    <cfRule type="cellIs" dxfId="25453" priority="12135" stopIfTrue="1" operator="equal">
      <formula>"Napkin Hs"</formula>
    </cfRule>
  </conditionalFormatting>
  <conditionalFormatting sqref="B44:C44">
    <cfRule type="cellIs" dxfId="25452" priority="12132" stopIfTrue="1" operator="equal">
      <formula>"Towel"</formula>
    </cfRule>
    <cfRule type="cellIs" dxfId="25451" priority="12133" stopIfTrue="1" operator="equal">
      <formula>"Napkin Hs"</formula>
    </cfRule>
  </conditionalFormatting>
  <conditionalFormatting sqref="C44">
    <cfRule type="cellIs" dxfId="25450" priority="12140" stopIfTrue="1" operator="equal">
      <formula>"Towel"</formula>
    </cfRule>
    <cfRule type="cellIs" dxfId="25449" priority="12141" stopIfTrue="1" operator="equal">
      <formula>"Napkin Hs"</formula>
    </cfRule>
  </conditionalFormatting>
  <conditionalFormatting sqref="C44">
    <cfRule type="cellIs" dxfId="25448" priority="12142" stopIfTrue="1" operator="equal">
      <formula>"Towel"</formula>
    </cfRule>
    <cfRule type="cellIs" dxfId="25447" priority="12143" stopIfTrue="1" operator="equal">
      <formula>"Napkin Hs"</formula>
    </cfRule>
  </conditionalFormatting>
  <conditionalFormatting sqref="B41:C41">
    <cfRule type="cellIs" dxfId="25446" priority="12130" stopIfTrue="1" operator="equal">
      <formula>"Towel"</formula>
    </cfRule>
    <cfRule type="cellIs" dxfId="25445" priority="12131" stopIfTrue="1" operator="equal">
      <formula>"Napkin Hs"</formula>
    </cfRule>
  </conditionalFormatting>
  <conditionalFormatting sqref="C41">
    <cfRule type="cellIs" dxfId="25444" priority="12126" stopIfTrue="1" operator="equal">
      <formula>"Towel"</formula>
    </cfRule>
    <cfRule type="cellIs" dxfId="25443" priority="12127" stopIfTrue="1" operator="equal">
      <formula>"Napkin Hs"</formula>
    </cfRule>
  </conditionalFormatting>
  <conditionalFormatting sqref="C41">
    <cfRule type="cellIs" dxfId="25442" priority="12129" stopIfTrue="1" operator="equal">
      <formula>"Napkin Hs"</formula>
    </cfRule>
  </conditionalFormatting>
  <conditionalFormatting sqref="C41">
    <cfRule type="cellIs" dxfId="25441" priority="12128" stopIfTrue="1" operator="equal">
      <formula>"Towel"</formula>
    </cfRule>
  </conditionalFormatting>
  <conditionalFormatting sqref="B44:C44">
    <cfRule type="cellIs" dxfId="25440" priority="12124" stopIfTrue="1" operator="equal">
      <formula>"Towel"</formula>
    </cfRule>
    <cfRule type="cellIs" dxfId="25439" priority="12125" stopIfTrue="1" operator="equal">
      <formula>"Napkin Hs"</formula>
    </cfRule>
  </conditionalFormatting>
  <conditionalFormatting sqref="C44">
    <cfRule type="cellIs" dxfId="25438" priority="12116" stopIfTrue="1" operator="equal">
      <formula>"Towel"</formula>
    </cfRule>
    <cfRule type="cellIs" dxfId="25437" priority="12117" stopIfTrue="1" operator="equal">
      <formula>"Napkin Hs"</formula>
    </cfRule>
  </conditionalFormatting>
  <conditionalFormatting sqref="C44">
    <cfRule type="cellIs" dxfId="25436" priority="12120" stopIfTrue="1" operator="equal">
      <formula>"Towel"</formula>
    </cfRule>
    <cfRule type="cellIs" dxfId="25435" priority="12121" stopIfTrue="1" operator="equal">
      <formula>"Napkin Hs"</formula>
    </cfRule>
  </conditionalFormatting>
  <conditionalFormatting sqref="C44">
    <cfRule type="cellIs" dxfId="25434" priority="12123" stopIfTrue="1" operator="equal">
      <formula>"Napkin Hs"</formula>
    </cfRule>
  </conditionalFormatting>
  <conditionalFormatting sqref="C44">
    <cfRule type="cellIs" dxfId="25433" priority="12118" stopIfTrue="1" operator="equal">
      <formula>"Towel"</formula>
    </cfRule>
    <cfRule type="cellIs" dxfId="25432" priority="12119" stopIfTrue="1" operator="equal">
      <formula>"Napkin Hs"</formula>
    </cfRule>
  </conditionalFormatting>
  <conditionalFormatting sqref="C44">
    <cfRule type="cellIs" dxfId="25431" priority="12122" stopIfTrue="1" operator="equal">
      <formula>"Towel"</formula>
    </cfRule>
  </conditionalFormatting>
  <conditionalFormatting sqref="C44">
    <cfRule type="cellIs" dxfId="25430" priority="12114" stopIfTrue="1" operator="equal">
      <formula>"Towel"</formula>
    </cfRule>
    <cfRule type="cellIs" dxfId="25429" priority="12115" stopIfTrue="1" operator="equal">
      <formula>"Napkin Hs"</formula>
    </cfRule>
  </conditionalFormatting>
  <conditionalFormatting sqref="B44">
    <cfRule type="cellIs" dxfId="25428" priority="12112" stopIfTrue="1" operator="equal">
      <formula>"Towel"</formula>
    </cfRule>
    <cfRule type="cellIs" dxfId="25427" priority="12113" stopIfTrue="1" operator="equal">
      <formula>"Napkin Hs"</formula>
    </cfRule>
  </conditionalFormatting>
  <conditionalFormatting sqref="B41:C41">
    <cfRule type="cellIs" dxfId="25426" priority="12110" stopIfTrue="1" operator="equal">
      <formula>"Towel"</formula>
    </cfRule>
    <cfRule type="cellIs" dxfId="25425" priority="12111" stopIfTrue="1" operator="equal">
      <formula>"Napkin Hs"</formula>
    </cfRule>
  </conditionalFormatting>
  <conditionalFormatting sqref="C41">
    <cfRule type="cellIs" dxfId="25424" priority="12106" stopIfTrue="1" operator="equal">
      <formula>"Towel"</formula>
    </cfRule>
    <cfRule type="cellIs" dxfId="25423" priority="12107" stopIfTrue="1" operator="equal">
      <formula>"Napkin Hs"</formula>
    </cfRule>
  </conditionalFormatting>
  <conditionalFormatting sqref="C41">
    <cfRule type="cellIs" dxfId="25422" priority="12109" stopIfTrue="1" operator="equal">
      <formula>"Napkin Hs"</formula>
    </cfRule>
  </conditionalFormatting>
  <conditionalFormatting sqref="C41">
    <cfRule type="cellIs" dxfId="25421" priority="12108" stopIfTrue="1" operator="equal">
      <formula>"Towel"</formula>
    </cfRule>
  </conditionalFormatting>
  <conditionalFormatting sqref="C43">
    <cfRule type="cellIs" dxfId="25420" priority="12102" stopIfTrue="1" operator="equal">
      <formula>"Towel"</formula>
    </cfRule>
    <cfRule type="cellIs" dxfId="25419" priority="12103" stopIfTrue="1" operator="equal">
      <formula>"Napkin Hs"</formula>
    </cfRule>
  </conditionalFormatting>
  <conditionalFormatting sqref="C43">
    <cfRule type="cellIs" dxfId="25418" priority="12104" stopIfTrue="1" operator="equal">
      <formula>"Towel"</formula>
    </cfRule>
    <cfRule type="cellIs" dxfId="25417" priority="12105" stopIfTrue="1" operator="equal">
      <formula>"Napkin Hs"</formula>
    </cfRule>
  </conditionalFormatting>
  <conditionalFormatting sqref="C43">
    <cfRule type="cellIs" dxfId="25416" priority="12100" stopIfTrue="1" operator="equal">
      <formula>"Towel"</formula>
    </cfRule>
    <cfRule type="cellIs" dxfId="25415" priority="12101" stopIfTrue="1" operator="equal">
      <formula>"Napkin Hs"</formula>
    </cfRule>
  </conditionalFormatting>
  <conditionalFormatting sqref="B43">
    <cfRule type="cellIs" dxfId="25414" priority="12098" stopIfTrue="1" operator="equal">
      <formula>"Towel"</formula>
    </cfRule>
    <cfRule type="cellIs" dxfId="25413" priority="12099" stopIfTrue="1" operator="equal">
      <formula>"Napkin Hs"</formula>
    </cfRule>
  </conditionalFormatting>
  <conditionalFormatting sqref="C37">
    <cfRule type="cellIs" dxfId="25412" priority="12090" stopIfTrue="1" operator="equal">
      <formula>"Towel"</formula>
    </cfRule>
    <cfRule type="cellIs" dxfId="25411" priority="12091" stopIfTrue="1" operator="equal">
      <formula>"Napkin Hs"</formula>
    </cfRule>
  </conditionalFormatting>
  <conditionalFormatting sqref="B37:C37">
    <cfRule type="cellIs" dxfId="25410" priority="12092" stopIfTrue="1" operator="equal">
      <formula>"Towel"</formula>
    </cfRule>
    <cfRule type="cellIs" dxfId="25409" priority="12093" stopIfTrue="1" operator="equal">
      <formula>"Napkin Hs"</formula>
    </cfRule>
  </conditionalFormatting>
  <conditionalFormatting sqref="C37">
    <cfRule type="cellIs" dxfId="25408" priority="12088" stopIfTrue="1" operator="equal">
      <formula>"Towel"</formula>
    </cfRule>
    <cfRule type="cellIs" dxfId="25407" priority="12089" stopIfTrue="1" operator="equal">
      <formula>"Napkin Hs"</formula>
    </cfRule>
  </conditionalFormatting>
  <conditionalFormatting sqref="B37:C37">
    <cfRule type="cellIs" dxfId="25406" priority="12086" stopIfTrue="1" operator="equal">
      <formula>"Towel"</formula>
    </cfRule>
    <cfRule type="cellIs" dxfId="25405" priority="12087" stopIfTrue="1" operator="equal">
      <formula>"Napkin Hs"</formula>
    </cfRule>
  </conditionalFormatting>
  <conditionalFormatting sqref="C37">
    <cfRule type="cellIs" dxfId="25404" priority="12094" stopIfTrue="1" operator="equal">
      <formula>"Towel"</formula>
    </cfRule>
    <cfRule type="cellIs" dxfId="25403" priority="12095" stopIfTrue="1" operator="equal">
      <formula>"Napkin Hs"</formula>
    </cfRule>
  </conditionalFormatting>
  <conditionalFormatting sqref="C37">
    <cfRule type="cellIs" dxfId="25402" priority="12096" stopIfTrue="1" operator="equal">
      <formula>"Towel"</formula>
    </cfRule>
    <cfRule type="cellIs" dxfId="25401" priority="12097" stopIfTrue="1" operator="equal">
      <formula>"Napkin Hs"</formula>
    </cfRule>
  </conditionalFormatting>
  <conditionalFormatting sqref="B37:C37">
    <cfRule type="cellIs" dxfId="25400" priority="12084" stopIfTrue="1" operator="equal">
      <formula>"Towel"</formula>
    </cfRule>
    <cfRule type="cellIs" dxfId="25399" priority="12085" stopIfTrue="1" operator="equal">
      <formula>"Napkin Hs"</formula>
    </cfRule>
  </conditionalFormatting>
  <conditionalFormatting sqref="C37">
    <cfRule type="cellIs" dxfId="25398" priority="12076" stopIfTrue="1" operator="equal">
      <formula>"Towel"</formula>
    </cfRule>
    <cfRule type="cellIs" dxfId="25397" priority="12077" stopIfTrue="1" operator="equal">
      <formula>"Napkin Hs"</formula>
    </cfRule>
  </conditionalFormatting>
  <conditionalFormatting sqref="C37">
    <cfRule type="cellIs" dxfId="25396" priority="12080" stopIfTrue="1" operator="equal">
      <formula>"Towel"</formula>
    </cfRule>
    <cfRule type="cellIs" dxfId="25395" priority="12081" stopIfTrue="1" operator="equal">
      <formula>"Napkin Hs"</formula>
    </cfRule>
  </conditionalFormatting>
  <conditionalFormatting sqref="C37">
    <cfRule type="cellIs" dxfId="25394" priority="12083" stopIfTrue="1" operator="equal">
      <formula>"Napkin Hs"</formula>
    </cfRule>
  </conditionalFormatting>
  <conditionalFormatting sqref="C37">
    <cfRule type="cellIs" dxfId="25393" priority="12078" stopIfTrue="1" operator="equal">
      <formula>"Towel"</formula>
    </cfRule>
    <cfRule type="cellIs" dxfId="25392" priority="12079" stopIfTrue="1" operator="equal">
      <formula>"Napkin Hs"</formula>
    </cfRule>
  </conditionalFormatting>
  <conditionalFormatting sqref="C37">
    <cfRule type="cellIs" dxfId="25391" priority="12082" stopIfTrue="1" operator="equal">
      <formula>"Towel"</formula>
    </cfRule>
  </conditionalFormatting>
  <conditionalFormatting sqref="C37">
    <cfRule type="cellIs" dxfId="25390" priority="12074" stopIfTrue="1" operator="equal">
      <formula>"Towel"</formula>
    </cfRule>
    <cfRule type="cellIs" dxfId="25389" priority="12075" stopIfTrue="1" operator="equal">
      <formula>"Napkin Hs"</formula>
    </cfRule>
  </conditionalFormatting>
  <conditionalFormatting sqref="B37">
    <cfRule type="cellIs" dxfId="25388" priority="12072" stopIfTrue="1" operator="equal">
      <formula>"Towel"</formula>
    </cfRule>
    <cfRule type="cellIs" dxfId="25387" priority="12073" stopIfTrue="1" operator="equal">
      <formula>"Napkin Hs"</formula>
    </cfRule>
  </conditionalFormatting>
  <conditionalFormatting sqref="B37:C37">
    <cfRule type="cellIs" dxfId="25386" priority="12070" stopIfTrue="1" operator="equal">
      <formula>"Towel"</formula>
    </cfRule>
    <cfRule type="cellIs" dxfId="25385" priority="12071" stopIfTrue="1" operator="equal">
      <formula>"Napkin Hs"</formula>
    </cfRule>
  </conditionalFormatting>
  <conditionalFormatting sqref="C37">
    <cfRule type="cellIs" dxfId="25384" priority="12062" stopIfTrue="1" operator="equal">
      <formula>"Towel"</formula>
    </cfRule>
    <cfRule type="cellIs" dxfId="25383" priority="12063" stopIfTrue="1" operator="equal">
      <formula>"Napkin Hs"</formula>
    </cfRule>
  </conditionalFormatting>
  <conditionalFormatting sqref="C37">
    <cfRule type="cellIs" dxfId="25382" priority="12066" stopIfTrue="1" operator="equal">
      <formula>"Towel"</formula>
    </cfRule>
    <cfRule type="cellIs" dxfId="25381" priority="12067" stopIfTrue="1" operator="equal">
      <formula>"Napkin Hs"</formula>
    </cfRule>
  </conditionalFormatting>
  <conditionalFormatting sqref="C37">
    <cfRule type="cellIs" dxfId="25380" priority="12069" stopIfTrue="1" operator="equal">
      <formula>"Napkin Hs"</formula>
    </cfRule>
  </conditionalFormatting>
  <conditionalFormatting sqref="C37">
    <cfRule type="cellIs" dxfId="25379" priority="12064" stopIfTrue="1" operator="equal">
      <formula>"Towel"</formula>
    </cfRule>
    <cfRule type="cellIs" dxfId="25378" priority="12065" stopIfTrue="1" operator="equal">
      <formula>"Napkin Hs"</formula>
    </cfRule>
  </conditionalFormatting>
  <conditionalFormatting sqref="C37">
    <cfRule type="cellIs" dxfId="25377" priority="12068" stopIfTrue="1" operator="equal">
      <formula>"Towel"</formula>
    </cfRule>
  </conditionalFormatting>
  <conditionalFormatting sqref="C37">
    <cfRule type="cellIs" dxfId="25376" priority="12060" stopIfTrue="1" operator="equal">
      <formula>"Towel"</formula>
    </cfRule>
    <cfRule type="cellIs" dxfId="25375" priority="12061" stopIfTrue="1" operator="equal">
      <formula>"Napkin Hs"</formula>
    </cfRule>
  </conditionalFormatting>
  <conditionalFormatting sqref="B37">
    <cfRule type="cellIs" dxfId="25374" priority="12058" stopIfTrue="1" operator="equal">
      <formula>"Towel"</formula>
    </cfRule>
    <cfRule type="cellIs" dxfId="25373" priority="12059" stopIfTrue="1" operator="equal">
      <formula>"Napkin Hs"</formula>
    </cfRule>
  </conditionalFormatting>
  <conditionalFormatting sqref="B37:C37">
    <cfRule type="cellIs" dxfId="25372" priority="12034" stopIfTrue="1" operator="equal">
      <formula>"Towel"</formula>
    </cfRule>
  </conditionalFormatting>
  <conditionalFormatting sqref="B37:C37">
    <cfRule type="cellIs" dxfId="25371" priority="12035" stopIfTrue="1" operator="equal">
      <formula>"Napkin Hs"</formula>
    </cfRule>
    <cfRule type="cellIs" dxfId="25370" priority="12040" stopIfTrue="1" operator="equal">
      <formula>"Towel"</formula>
    </cfRule>
    <cfRule type="cellIs" dxfId="25369" priority="12041" stopIfTrue="1" operator="equal">
      <formula>"Napkin Hs"</formula>
    </cfRule>
    <cfRule type="cellIs" dxfId="25368" priority="12050" stopIfTrue="1" operator="equal">
      <formula>"Towel"</formula>
    </cfRule>
    <cfRule type="cellIs" dxfId="25367" priority="12051" stopIfTrue="1" operator="equal">
      <formula>"Napkin Hs"</formula>
    </cfRule>
    <cfRule type="cellIs" dxfId="25366" priority="12056" stopIfTrue="1" operator="equal">
      <formula>"Towel"</formula>
    </cfRule>
    <cfRule type="cellIs" dxfId="25365" priority="12057" stopIfTrue="1" operator="equal">
      <formula>"Napkin Hs"</formula>
    </cfRule>
  </conditionalFormatting>
  <conditionalFormatting sqref="C37">
    <cfRule type="cellIs" dxfId="25364" priority="12036" stopIfTrue="1" operator="equal">
      <formula>"Towel"</formula>
    </cfRule>
    <cfRule type="cellIs" dxfId="25363" priority="12037" stopIfTrue="1" operator="equal">
      <formula>"Napkin Hs"</formula>
    </cfRule>
    <cfRule type="cellIs" dxfId="25362" priority="12038" stopIfTrue="1" operator="equal">
      <formula>"Towel"</formula>
    </cfRule>
    <cfRule type="cellIs" dxfId="25361" priority="12039" stopIfTrue="1" operator="equal">
      <formula>"Napkin Hs"</formula>
    </cfRule>
    <cfRule type="cellIs" dxfId="25360" priority="12042" stopIfTrue="1" operator="equal">
      <formula>"Towel"</formula>
    </cfRule>
    <cfRule type="cellIs" dxfId="25359" priority="12043" stopIfTrue="1" operator="equal">
      <formula>"Napkin Hs"</formula>
    </cfRule>
    <cfRule type="cellIs" dxfId="25358" priority="12044" stopIfTrue="1" operator="equal">
      <formula>"Towel"</formula>
    </cfRule>
    <cfRule type="cellIs" dxfId="25357" priority="12045" stopIfTrue="1" operator="equal">
      <formula>"Napkin Hs"</formula>
    </cfRule>
    <cfRule type="cellIs" dxfId="25356" priority="12046" stopIfTrue="1" operator="equal">
      <formula>"Towel"</formula>
    </cfRule>
    <cfRule type="cellIs" dxfId="25355" priority="12047" stopIfTrue="1" operator="equal">
      <formula>"Napkin Hs"</formula>
    </cfRule>
    <cfRule type="cellIs" dxfId="25354" priority="12048" stopIfTrue="1" operator="equal">
      <formula>"Towel"</formula>
    </cfRule>
    <cfRule type="cellIs" dxfId="25353" priority="12049" stopIfTrue="1" operator="equal">
      <formula>"Napkin Hs"</formula>
    </cfRule>
    <cfRule type="cellIs" dxfId="25352" priority="12052" stopIfTrue="1" operator="equal">
      <formula>"Towel"</formula>
    </cfRule>
    <cfRule type="cellIs" dxfId="25351" priority="12053" stopIfTrue="1" operator="equal">
      <formula>"Napkin Hs"</formula>
    </cfRule>
    <cfRule type="cellIs" dxfId="25350" priority="12055" stopIfTrue="1" operator="equal">
      <formula>"Napkin Hs"</formula>
    </cfRule>
  </conditionalFormatting>
  <conditionalFormatting sqref="C37">
    <cfRule type="cellIs" dxfId="25349" priority="12054" stopIfTrue="1" operator="equal">
      <formula>"Towel"</formula>
    </cfRule>
  </conditionalFormatting>
  <conditionalFormatting sqref="B37:C37">
    <cfRule type="cellIs" dxfId="25348" priority="12032" stopIfTrue="1" operator="equal">
      <formula>"Towel"</formula>
    </cfRule>
    <cfRule type="cellIs" dxfId="25347" priority="12033" stopIfTrue="1" operator="equal">
      <formula>"Napkin Hs"</formula>
    </cfRule>
  </conditionalFormatting>
  <conditionalFormatting sqref="C37">
    <cfRule type="cellIs" dxfId="25346" priority="12031" stopIfTrue="1" operator="equal">
      <formula>"Napkin Hs"</formula>
    </cfRule>
  </conditionalFormatting>
  <conditionalFormatting sqref="C37">
    <cfRule type="cellIs" dxfId="25345" priority="12030" stopIfTrue="1" operator="equal">
      <formula>"Towel"</formula>
    </cfRule>
  </conditionalFormatting>
  <conditionalFormatting sqref="C37">
    <cfRule type="cellIs" dxfId="25344" priority="12028" stopIfTrue="1" operator="equal">
      <formula>"Towel"</formula>
    </cfRule>
  </conditionalFormatting>
  <conditionalFormatting sqref="C37">
    <cfRule type="cellIs" dxfId="25343" priority="12029" stopIfTrue="1" operator="equal">
      <formula>"Napkin Hs"</formula>
    </cfRule>
  </conditionalFormatting>
  <conditionalFormatting sqref="B37">
    <cfRule type="cellIs" dxfId="25342" priority="11932" stopIfTrue="1" operator="equal">
      <formula>"Napkin Hs"</formula>
    </cfRule>
  </conditionalFormatting>
  <conditionalFormatting sqref="B37:C37">
    <cfRule type="cellIs" dxfId="25341" priority="11931" stopIfTrue="1" operator="equal">
      <formula>"Towel"</formula>
    </cfRule>
  </conditionalFormatting>
  <conditionalFormatting sqref="B37:C37">
    <cfRule type="cellIs" dxfId="25340" priority="11942" stopIfTrue="1" operator="equal">
      <formula>"Towel"</formula>
    </cfRule>
    <cfRule type="cellIs" dxfId="25339" priority="11943" stopIfTrue="1" operator="equal">
      <formula>"Napkin Hs"</formula>
    </cfRule>
    <cfRule type="cellIs" dxfId="25338" priority="11948" stopIfTrue="1" operator="equal">
      <formula>"Towel"</formula>
    </cfRule>
    <cfRule type="cellIs" dxfId="25337" priority="11949" stopIfTrue="1" operator="equal">
      <formula>"Napkin Hs"</formula>
    </cfRule>
    <cfRule type="cellIs" dxfId="25336" priority="11954" stopIfTrue="1" operator="equal">
      <formula>"Towel"</formula>
    </cfRule>
    <cfRule type="cellIs" dxfId="25335" priority="11955" stopIfTrue="1" operator="equal">
      <formula>"Napkin Hs"</formula>
    </cfRule>
    <cfRule type="cellIs" dxfId="25334" priority="11956" stopIfTrue="1" operator="equal">
      <formula>"Towel"</formula>
    </cfRule>
    <cfRule type="cellIs" dxfId="25333" priority="11957" stopIfTrue="1" operator="equal">
      <formula>"Napkin Hs"</formula>
    </cfRule>
    <cfRule type="cellIs" dxfId="25332" priority="11962" stopIfTrue="1" operator="equal">
      <formula>"Towel"</formula>
    </cfRule>
    <cfRule type="cellIs" dxfId="25331" priority="11963" stopIfTrue="1" operator="equal">
      <formula>"Napkin Hs"</formula>
    </cfRule>
    <cfRule type="cellIs" dxfId="25330" priority="11972" stopIfTrue="1" operator="equal">
      <formula>"Towel"</formula>
    </cfRule>
    <cfRule type="cellIs" dxfId="25329" priority="11973" stopIfTrue="1" operator="equal">
      <formula>"Napkin Hs"</formula>
    </cfRule>
    <cfRule type="cellIs" dxfId="25328" priority="11978" stopIfTrue="1" operator="equal">
      <formula>"Towel"</formula>
    </cfRule>
    <cfRule type="cellIs" dxfId="25327" priority="11979" stopIfTrue="1" operator="equal">
      <formula>"Napkin Hs"</formula>
    </cfRule>
    <cfRule type="cellIs" dxfId="25326" priority="11980" stopIfTrue="1" operator="equal">
      <formula>"Towel"</formula>
    </cfRule>
    <cfRule type="cellIs" dxfId="25325" priority="11981" stopIfTrue="1" operator="equal">
      <formula>"Napkin Hs"</formula>
    </cfRule>
    <cfRule type="cellIs" dxfId="25324" priority="11986" stopIfTrue="1" operator="equal">
      <formula>"Towel"</formula>
    </cfRule>
    <cfRule type="cellIs" dxfId="25323" priority="11987" stopIfTrue="1" operator="equal">
      <formula>"Napkin Hs"</formula>
    </cfRule>
    <cfRule type="cellIs" dxfId="25322" priority="11996" stopIfTrue="1" operator="equal">
      <formula>"Towel"</formula>
    </cfRule>
    <cfRule type="cellIs" dxfId="25321" priority="11997" stopIfTrue="1" operator="equal">
      <formula>"Napkin Hs"</formula>
    </cfRule>
    <cfRule type="cellIs" dxfId="25320" priority="11998" stopIfTrue="1" operator="equal">
      <formula>"Towel"</formula>
    </cfRule>
    <cfRule type="cellIs" dxfId="25319" priority="11999" stopIfTrue="1" operator="equal">
      <formula>"Napkin Hs"</formula>
    </cfRule>
    <cfRule type="cellIs" dxfId="25318" priority="12004" stopIfTrue="1" operator="equal">
      <formula>"Towel"</formula>
    </cfRule>
    <cfRule type="cellIs" dxfId="25317" priority="12005" stopIfTrue="1" operator="equal">
      <formula>"Napkin Hs"</formula>
    </cfRule>
    <cfRule type="cellIs" dxfId="25316" priority="12014" stopIfTrue="1" operator="equal">
      <formula>"Towel"</formula>
    </cfRule>
    <cfRule type="cellIs" dxfId="25315" priority="12015" stopIfTrue="1" operator="equal">
      <formula>"Napkin Hs"</formula>
    </cfRule>
    <cfRule type="cellIs" dxfId="25314" priority="12016" stopIfTrue="1" operator="equal">
      <formula>"Towel"</formula>
    </cfRule>
    <cfRule type="cellIs" dxfId="25313" priority="12017" stopIfTrue="1" operator="equal">
      <formula>"Napkin Hs"</formula>
    </cfRule>
    <cfRule type="cellIs" dxfId="25312" priority="12023" stopIfTrue="1" operator="equal">
      <formula>"Napkin Hs"</formula>
    </cfRule>
  </conditionalFormatting>
  <conditionalFormatting sqref="B37:C37">
    <cfRule type="cellIs" dxfId="25311" priority="12022" stopIfTrue="1" operator="equal">
      <formula>"Towel"</formula>
    </cfRule>
  </conditionalFormatting>
  <conditionalFormatting sqref="C37">
    <cfRule type="cellIs" dxfId="25310" priority="11933" stopIfTrue="1" operator="equal">
      <formula>"Napkin Hs"</formula>
    </cfRule>
    <cfRule type="cellIs" dxfId="25309" priority="11934" stopIfTrue="1" operator="equal">
      <formula>"Towel"</formula>
    </cfRule>
    <cfRule type="cellIs" dxfId="25308" priority="11935" stopIfTrue="1" operator="equal">
      <formula>"Napkin Hs"</formula>
    </cfRule>
    <cfRule type="cellIs" dxfId="25307" priority="11936" stopIfTrue="1" operator="equal">
      <formula>"Towel"</formula>
    </cfRule>
    <cfRule type="cellIs" dxfId="25306" priority="11937" stopIfTrue="1" operator="equal">
      <formula>"Napkin Hs"</formula>
    </cfRule>
    <cfRule type="cellIs" dxfId="25305" priority="11938" stopIfTrue="1" operator="equal">
      <formula>"Towel"</formula>
    </cfRule>
    <cfRule type="cellIs" dxfId="25304" priority="11939" stopIfTrue="1" operator="equal">
      <formula>"Napkin Hs"</formula>
    </cfRule>
    <cfRule type="cellIs" dxfId="25303" priority="11940" stopIfTrue="1" operator="equal">
      <formula>"Towel"</formula>
    </cfRule>
    <cfRule type="cellIs" dxfId="25302" priority="11941" stopIfTrue="1" operator="equal">
      <formula>"Napkin Hs"</formula>
    </cfRule>
    <cfRule type="cellIs" dxfId="25301" priority="11944" stopIfTrue="1" operator="equal">
      <formula>"Towel"</formula>
    </cfRule>
    <cfRule type="cellIs" dxfId="25300" priority="11945" stopIfTrue="1" operator="equal">
      <formula>"Napkin Hs"</formula>
    </cfRule>
    <cfRule type="cellIs" dxfId="25299" priority="11946" stopIfTrue="1" operator="equal">
      <formula>"Towel"</formula>
    </cfRule>
    <cfRule type="cellIs" dxfId="25298" priority="11947" stopIfTrue="1" operator="equal">
      <formula>"Napkin Hs"</formula>
    </cfRule>
    <cfRule type="cellIs" dxfId="25297" priority="11950" stopIfTrue="1" operator="equal">
      <formula>"Towel"</formula>
    </cfRule>
    <cfRule type="cellIs" dxfId="25296" priority="11951" stopIfTrue="1" operator="equal">
      <formula>"Napkin Hs"</formula>
    </cfRule>
    <cfRule type="cellIs" dxfId="25295" priority="11952" stopIfTrue="1" operator="equal">
      <formula>"Towel"</formula>
    </cfRule>
    <cfRule type="cellIs" dxfId="25294" priority="11953" stopIfTrue="1" operator="equal">
      <formula>"Napkin Hs"</formula>
    </cfRule>
    <cfRule type="cellIs" dxfId="25293" priority="11958" stopIfTrue="1" operator="equal">
      <formula>"Towel"</formula>
    </cfRule>
    <cfRule type="cellIs" dxfId="25292" priority="11959" stopIfTrue="1" operator="equal">
      <formula>"Napkin Hs"</formula>
    </cfRule>
    <cfRule type="cellIs" dxfId="25291" priority="11960" stopIfTrue="1" operator="equal">
      <formula>"Towel"</formula>
    </cfRule>
    <cfRule type="cellIs" dxfId="25290" priority="11961" stopIfTrue="1" operator="equal">
      <formula>"Napkin Hs"</formula>
    </cfRule>
    <cfRule type="cellIs" dxfId="25289" priority="11964" stopIfTrue="1" operator="equal">
      <formula>"Towel"</formula>
    </cfRule>
    <cfRule type="cellIs" dxfId="25288" priority="11965" stopIfTrue="1" operator="equal">
      <formula>"Napkin Hs"</formula>
    </cfRule>
    <cfRule type="cellIs" dxfId="25287" priority="11966" stopIfTrue="1" operator="equal">
      <formula>"Towel"</formula>
    </cfRule>
    <cfRule type="cellIs" dxfId="25286" priority="11967" stopIfTrue="1" operator="equal">
      <formula>"Napkin Hs"</formula>
    </cfRule>
    <cfRule type="cellIs" dxfId="25285" priority="11968" stopIfTrue="1" operator="equal">
      <formula>"Towel"</formula>
    </cfRule>
    <cfRule type="cellIs" dxfId="25284" priority="11969" stopIfTrue="1" operator="equal">
      <formula>"Napkin Hs"</formula>
    </cfRule>
    <cfRule type="cellIs" dxfId="25283" priority="11970" stopIfTrue="1" operator="equal">
      <formula>"Towel"</formula>
    </cfRule>
    <cfRule type="cellIs" dxfId="25282" priority="11971" stopIfTrue="1" operator="equal">
      <formula>"Napkin Hs"</formula>
    </cfRule>
    <cfRule type="cellIs" dxfId="25281" priority="11974" stopIfTrue="1" operator="equal">
      <formula>"Towel"</formula>
    </cfRule>
    <cfRule type="cellIs" dxfId="25280" priority="11975" stopIfTrue="1" operator="equal">
      <formula>"Napkin Hs"</formula>
    </cfRule>
    <cfRule type="cellIs" dxfId="25279" priority="11976" stopIfTrue="1" operator="equal">
      <formula>"Towel"</formula>
    </cfRule>
    <cfRule type="cellIs" dxfId="25278" priority="11977" stopIfTrue="1" operator="equal">
      <formula>"Napkin Hs"</formula>
    </cfRule>
    <cfRule type="cellIs" dxfId="25277" priority="11982" stopIfTrue="1" operator="equal">
      <formula>"Towel"</formula>
    </cfRule>
    <cfRule type="cellIs" dxfId="25276" priority="11983" stopIfTrue="1" operator="equal">
      <formula>"Napkin Hs"</formula>
    </cfRule>
    <cfRule type="cellIs" dxfId="25275" priority="11984" stopIfTrue="1" operator="equal">
      <formula>"Towel"</formula>
    </cfRule>
    <cfRule type="cellIs" dxfId="25274" priority="11985" stopIfTrue="1" operator="equal">
      <formula>"Napkin Hs"</formula>
    </cfRule>
    <cfRule type="cellIs" dxfId="25273" priority="11988" stopIfTrue="1" operator="equal">
      <formula>"Towel"</formula>
    </cfRule>
    <cfRule type="cellIs" dxfId="25272" priority="11989" stopIfTrue="1" operator="equal">
      <formula>"Napkin Hs"</formula>
    </cfRule>
    <cfRule type="cellIs" dxfId="25271" priority="11990" stopIfTrue="1" operator="equal">
      <formula>"Towel"</formula>
    </cfRule>
    <cfRule type="cellIs" dxfId="25270" priority="11991" stopIfTrue="1" operator="equal">
      <formula>"Napkin Hs"</formula>
    </cfRule>
    <cfRule type="cellIs" dxfId="25269" priority="11992" stopIfTrue="1" operator="equal">
      <formula>"Towel"</formula>
    </cfRule>
    <cfRule type="cellIs" dxfId="25268" priority="11993" stopIfTrue="1" operator="equal">
      <formula>"Napkin Hs"</formula>
    </cfRule>
    <cfRule type="cellIs" dxfId="25267" priority="11994" stopIfTrue="1" operator="equal">
      <formula>"Towel"</formula>
    </cfRule>
    <cfRule type="cellIs" dxfId="25266" priority="11995" stopIfTrue="1" operator="equal">
      <formula>"Napkin Hs"</formula>
    </cfRule>
    <cfRule type="cellIs" dxfId="25265" priority="12000" stopIfTrue="1" operator="equal">
      <formula>"Towel"</formula>
    </cfRule>
    <cfRule type="cellIs" dxfId="25264" priority="12001" stopIfTrue="1" operator="equal">
      <formula>"Napkin Hs"</formula>
    </cfRule>
    <cfRule type="cellIs" dxfId="25263" priority="12002" stopIfTrue="1" operator="equal">
      <formula>"Towel"</formula>
    </cfRule>
    <cfRule type="cellIs" dxfId="25262" priority="12003" stopIfTrue="1" operator="equal">
      <formula>"Napkin Hs"</formula>
    </cfRule>
    <cfRule type="cellIs" dxfId="25261" priority="12006" stopIfTrue="1" operator="equal">
      <formula>"Towel"</formula>
    </cfRule>
    <cfRule type="cellIs" dxfId="25260" priority="12007" stopIfTrue="1" operator="equal">
      <formula>"Napkin Hs"</formula>
    </cfRule>
    <cfRule type="cellIs" dxfId="25259" priority="12008" stopIfTrue="1" operator="equal">
      <formula>"Towel"</formula>
    </cfRule>
    <cfRule type="cellIs" dxfId="25258" priority="12009" stopIfTrue="1" operator="equal">
      <formula>"Napkin Hs"</formula>
    </cfRule>
    <cfRule type="cellIs" dxfId="25257" priority="12010" stopIfTrue="1" operator="equal">
      <formula>"Towel"</formula>
    </cfRule>
    <cfRule type="cellIs" dxfId="25256" priority="12011" stopIfTrue="1" operator="equal">
      <formula>"Napkin Hs"</formula>
    </cfRule>
    <cfRule type="cellIs" dxfId="25255" priority="12012" stopIfTrue="1" operator="equal">
      <formula>"Towel"</formula>
    </cfRule>
    <cfRule type="cellIs" dxfId="25254" priority="12013" stopIfTrue="1" operator="equal">
      <formula>"Napkin Hs"</formula>
    </cfRule>
    <cfRule type="cellIs" dxfId="25253" priority="12018" stopIfTrue="1" operator="equal">
      <formula>"Towel"</formula>
    </cfRule>
    <cfRule type="cellIs" dxfId="25252" priority="12019" stopIfTrue="1" operator="equal">
      <formula>"Napkin Hs"</formula>
    </cfRule>
    <cfRule type="cellIs" dxfId="25251" priority="12020" stopIfTrue="1" operator="equal">
      <formula>"Towel"</formula>
    </cfRule>
    <cfRule type="cellIs" dxfId="25250" priority="12021" stopIfTrue="1" operator="equal">
      <formula>"Napkin Hs"</formula>
    </cfRule>
    <cfRule type="cellIs" dxfId="25249" priority="12024" stopIfTrue="1" operator="equal">
      <formula>"Towel"</formula>
    </cfRule>
    <cfRule type="cellIs" dxfId="25248" priority="12025" stopIfTrue="1" operator="equal">
      <formula>"Napkin Hs"</formula>
    </cfRule>
    <cfRule type="cellIs" dxfId="25247" priority="12026" stopIfTrue="1" operator="equal">
      <formula>"Towel"</formula>
    </cfRule>
    <cfRule type="cellIs" dxfId="25246" priority="12027" stopIfTrue="1" operator="equal">
      <formula>"Napkin Hs"</formula>
    </cfRule>
  </conditionalFormatting>
  <conditionalFormatting sqref="B37:C37">
    <cfRule type="cellIs" dxfId="25245" priority="11929" stopIfTrue="1" operator="equal">
      <formula>"Towel"</formula>
    </cfRule>
    <cfRule type="cellIs" dxfId="25244" priority="11930" stopIfTrue="1" operator="equal">
      <formula>"Napkin Hs"</formula>
    </cfRule>
  </conditionalFormatting>
  <conditionalFormatting sqref="C37">
    <cfRule type="cellIs" dxfId="25243" priority="11925" stopIfTrue="1" operator="equal">
      <formula>"Towel"</formula>
    </cfRule>
    <cfRule type="cellIs" dxfId="25242" priority="11926" stopIfTrue="1" operator="equal">
      <formula>"Napkin Hs"</formula>
    </cfRule>
  </conditionalFormatting>
  <conditionalFormatting sqref="C37">
    <cfRule type="cellIs" dxfId="25241" priority="11928" stopIfTrue="1" operator="equal">
      <formula>"Napkin Hs"</formula>
    </cfRule>
  </conditionalFormatting>
  <conditionalFormatting sqref="C37">
    <cfRule type="cellIs" dxfId="25240" priority="11927" stopIfTrue="1" operator="equal">
      <formula>"Towel"</formula>
    </cfRule>
  </conditionalFormatting>
  <conditionalFormatting sqref="C40:C42">
    <cfRule type="cellIs" dxfId="25239" priority="11917" stopIfTrue="1" operator="equal">
      <formula>"Towel"</formula>
    </cfRule>
    <cfRule type="cellIs" dxfId="25238" priority="11918" stopIfTrue="1" operator="equal">
      <formula>"Napkin Hs"</formula>
    </cfRule>
  </conditionalFormatting>
  <conditionalFormatting sqref="B40:C42">
    <cfRule type="cellIs" dxfId="25237" priority="11919" stopIfTrue="1" operator="equal">
      <formula>"Towel"</formula>
    </cfRule>
    <cfRule type="cellIs" dxfId="25236" priority="11920" stopIfTrue="1" operator="equal">
      <formula>"Napkin Hs"</formula>
    </cfRule>
  </conditionalFormatting>
  <conditionalFormatting sqref="C40:C42">
    <cfRule type="cellIs" dxfId="25235" priority="11915" stopIfTrue="1" operator="equal">
      <formula>"Towel"</formula>
    </cfRule>
    <cfRule type="cellIs" dxfId="25234" priority="11916" stopIfTrue="1" operator="equal">
      <formula>"Napkin Hs"</formula>
    </cfRule>
  </conditionalFormatting>
  <conditionalFormatting sqref="B40:C42">
    <cfRule type="cellIs" dxfId="25233" priority="11913" stopIfTrue="1" operator="equal">
      <formula>"Towel"</formula>
    </cfRule>
    <cfRule type="cellIs" dxfId="25232" priority="11914" stopIfTrue="1" operator="equal">
      <formula>"Napkin Hs"</formula>
    </cfRule>
  </conditionalFormatting>
  <conditionalFormatting sqref="C40:C42">
    <cfRule type="cellIs" dxfId="25231" priority="11921" stopIfTrue="1" operator="equal">
      <formula>"Towel"</formula>
    </cfRule>
    <cfRule type="cellIs" dxfId="25230" priority="11922" stopIfTrue="1" operator="equal">
      <formula>"Napkin Hs"</formula>
    </cfRule>
  </conditionalFormatting>
  <conditionalFormatting sqref="C40:C42">
    <cfRule type="cellIs" dxfId="25229" priority="11923" stopIfTrue="1" operator="equal">
      <formula>"Towel"</formula>
    </cfRule>
    <cfRule type="cellIs" dxfId="25228" priority="11924" stopIfTrue="1" operator="equal">
      <formula>"Napkin Hs"</formula>
    </cfRule>
  </conditionalFormatting>
  <conditionalFormatting sqref="B40:C42">
    <cfRule type="cellIs" dxfId="25227" priority="11911" stopIfTrue="1" operator="equal">
      <formula>"Towel"</formula>
    </cfRule>
    <cfRule type="cellIs" dxfId="25226" priority="11912" stopIfTrue="1" operator="equal">
      <formula>"Napkin Hs"</formula>
    </cfRule>
  </conditionalFormatting>
  <conditionalFormatting sqref="C40:C42">
    <cfRule type="cellIs" dxfId="25225" priority="11903" stopIfTrue="1" operator="equal">
      <formula>"Towel"</formula>
    </cfRule>
    <cfRule type="cellIs" dxfId="25224" priority="11904" stopIfTrue="1" operator="equal">
      <formula>"Napkin Hs"</formula>
    </cfRule>
  </conditionalFormatting>
  <conditionalFormatting sqref="C40:C42">
    <cfRule type="cellIs" dxfId="25223" priority="11907" stopIfTrue="1" operator="equal">
      <formula>"Towel"</formula>
    </cfRule>
    <cfRule type="cellIs" dxfId="25222" priority="11908" stopIfTrue="1" operator="equal">
      <formula>"Napkin Hs"</formula>
    </cfRule>
  </conditionalFormatting>
  <conditionalFormatting sqref="C40:C42">
    <cfRule type="cellIs" dxfId="25221" priority="11910" stopIfTrue="1" operator="equal">
      <formula>"Napkin Hs"</formula>
    </cfRule>
  </conditionalFormatting>
  <conditionalFormatting sqref="C40:C42">
    <cfRule type="cellIs" dxfId="25220" priority="11905" stopIfTrue="1" operator="equal">
      <formula>"Towel"</formula>
    </cfRule>
    <cfRule type="cellIs" dxfId="25219" priority="11906" stopIfTrue="1" operator="equal">
      <formula>"Napkin Hs"</formula>
    </cfRule>
  </conditionalFormatting>
  <conditionalFormatting sqref="C40:C42">
    <cfRule type="cellIs" dxfId="25218" priority="11909" stopIfTrue="1" operator="equal">
      <formula>"Towel"</formula>
    </cfRule>
  </conditionalFormatting>
  <conditionalFormatting sqref="C40:C42">
    <cfRule type="cellIs" dxfId="25217" priority="11901" stopIfTrue="1" operator="equal">
      <formula>"Towel"</formula>
    </cfRule>
    <cfRule type="cellIs" dxfId="25216" priority="11902" stopIfTrue="1" operator="equal">
      <formula>"Napkin Hs"</formula>
    </cfRule>
  </conditionalFormatting>
  <conditionalFormatting sqref="B40:B42">
    <cfRule type="cellIs" dxfId="25215" priority="11899" stopIfTrue="1" operator="equal">
      <formula>"Towel"</formula>
    </cfRule>
    <cfRule type="cellIs" dxfId="25214" priority="11900" stopIfTrue="1" operator="equal">
      <formula>"Napkin Hs"</formula>
    </cfRule>
  </conditionalFormatting>
  <conditionalFormatting sqref="B40:C42">
    <cfRule type="cellIs" dxfId="25213" priority="11897" stopIfTrue="1" operator="equal">
      <formula>"Towel"</formula>
    </cfRule>
    <cfRule type="cellIs" dxfId="25212" priority="11898" stopIfTrue="1" operator="equal">
      <formula>"Napkin Hs"</formula>
    </cfRule>
  </conditionalFormatting>
  <conditionalFormatting sqref="C40:C42">
    <cfRule type="cellIs" dxfId="25211" priority="11889" stopIfTrue="1" operator="equal">
      <formula>"Towel"</formula>
    </cfRule>
    <cfRule type="cellIs" dxfId="25210" priority="11890" stopIfTrue="1" operator="equal">
      <formula>"Napkin Hs"</formula>
    </cfRule>
  </conditionalFormatting>
  <conditionalFormatting sqref="C40:C42">
    <cfRule type="cellIs" dxfId="25209" priority="11893" stopIfTrue="1" operator="equal">
      <formula>"Towel"</formula>
    </cfRule>
    <cfRule type="cellIs" dxfId="25208" priority="11894" stopIfTrue="1" operator="equal">
      <formula>"Napkin Hs"</formula>
    </cfRule>
  </conditionalFormatting>
  <conditionalFormatting sqref="C40:C42">
    <cfRule type="cellIs" dxfId="25207" priority="11896" stopIfTrue="1" operator="equal">
      <formula>"Napkin Hs"</formula>
    </cfRule>
  </conditionalFormatting>
  <conditionalFormatting sqref="C40:C42">
    <cfRule type="cellIs" dxfId="25206" priority="11891" stopIfTrue="1" operator="equal">
      <formula>"Towel"</formula>
    </cfRule>
    <cfRule type="cellIs" dxfId="25205" priority="11892" stopIfTrue="1" operator="equal">
      <formula>"Napkin Hs"</formula>
    </cfRule>
  </conditionalFormatting>
  <conditionalFormatting sqref="C40:C42">
    <cfRule type="cellIs" dxfId="25204" priority="11895" stopIfTrue="1" operator="equal">
      <formula>"Towel"</formula>
    </cfRule>
  </conditionalFormatting>
  <conditionalFormatting sqref="C40:C42">
    <cfRule type="cellIs" dxfId="25203" priority="11887" stopIfTrue="1" operator="equal">
      <formula>"Towel"</formula>
    </cfRule>
    <cfRule type="cellIs" dxfId="25202" priority="11888" stopIfTrue="1" operator="equal">
      <formula>"Napkin Hs"</formula>
    </cfRule>
  </conditionalFormatting>
  <conditionalFormatting sqref="B40:B42">
    <cfRule type="cellIs" dxfId="25201" priority="11885" stopIfTrue="1" operator="equal">
      <formula>"Towel"</formula>
    </cfRule>
    <cfRule type="cellIs" dxfId="25200" priority="11886" stopIfTrue="1" operator="equal">
      <formula>"Napkin Hs"</formula>
    </cfRule>
  </conditionalFormatting>
  <conditionalFormatting sqref="B40:C42">
    <cfRule type="cellIs" dxfId="25199" priority="11861" stopIfTrue="1" operator="equal">
      <formula>"Towel"</formula>
    </cfRule>
  </conditionalFormatting>
  <conditionalFormatting sqref="B40:C42">
    <cfRule type="cellIs" dxfId="25198" priority="11862" stopIfTrue="1" operator="equal">
      <formula>"Napkin Hs"</formula>
    </cfRule>
    <cfRule type="cellIs" dxfId="25197" priority="11867" stopIfTrue="1" operator="equal">
      <formula>"Towel"</formula>
    </cfRule>
    <cfRule type="cellIs" dxfId="25196" priority="11868" stopIfTrue="1" operator="equal">
      <formula>"Napkin Hs"</formula>
    </cfRule>
    <cfRule type="cellIs" dxfId="25195" priority="11877" stopIfTrue="1" operator="equal">
      <formula>"Towel"</formula>
    </cfRule>
    <cfRule type="cellIs" dxfId="25194" priority="11878" stopIfTrue="1" operator="equal">
      <formula>"Napkin Hs"</formula>
    </cfRule>
    <cfRule type="cellIs" dxfId="25193" priority="11883" stopIfTrue="1" operator="equal">
      <formula>"Towel"</formula>
    </cfRule>
    <cfRule type="cellIs" dxfId="25192" priority="11884" stopIfTrue="1" operator="equal">
      <formula>"Napkin Hs"</formula>
    </cfRule>
  </conditionalFormatting>
  <conditionalFormatting sqref="C40:C42">
    <cfRule type="cellIs" dxfId="25191" priority="11863" stopIfTrue="1" operator="equal">
      <formula>"Towel"</formula>
    </cfRule>
    <cfRule type="cellIs" dxfId="25190" priority="11864" stopIfTrue="1" operator="equal">
      <formula>"Napkin Hs"</formula>
    </cfRule>
    <cfRule type="cellIs" dxfId="25189" priority="11865" stopIfTrue="1" operator="equal">
      <formula>"Towel"</formula>
    </cfRule>
    <cfRule type="cellIs" dxfId="25188" priority="11866" stopIfTrue="1" operator="equal">
      <formula>"Napkin Hs"</formula>
    </cfRule>
    <cfRule type="cellIs" dxfId="25187" priority="11869" stopIfTrue="1" operator="equal">
      <formula>"Towel"</formula>
    </cfRule>
    <cfRule type="cellIs" dxfId="25186" priority="11870" stopIfTrue="1" operator="equal">
      <formula>"Napkin Hs"</formula>
    </cfRule>
    <cfRule type="cellIs" dxfId="25185" priority="11871" stopIfTrue="1" operator="equal">
      <formula>"Towel"</formula>
    </cfRule>
    <cfRule type="cellIs" dxfId="25184" priority="11872" stopIfTrue="1" operator="equal">
      <formula>"Napkin Hs"</formula>
    </cfRule>
    <cfRule type="cellIs" dxfId="25183" priority="11873" stopIfTrue="1" operator="equal">
      <formula>"Towel"</formula>
    </cfRule>
    <cfRule type="cellIs" dxfId="25182" priority="11874" stopIfTrue="1" operator="equal">
      <formula>"Napkin Hs"</formula>
    </cfRule>
    <cfRule type="cellIs" dxfId="25181" priority="11875" stopIfTrue="1" operator="equal">
      <formula>"Towel"</formula>
    </cfRule>
    <cfRule type="cellIs" dxfId="25180" priority="11876" stopIfTrue="1" operator="equal">
      <formula>"Napkin Hs"</formula>
    </cfRule>
    <cfRule type="cellIs" dxfId="25179" priority="11879" stopIfTrue="1" operator="equal">
      <formula>"Towel"</formula>
    </cfRule>
    <cfRule type="cellIs" dxfId="25178" priority="11880" stopIfTrue="1" operator="equal">
      <formula>"Napkin Hs"</formula>
    </cfRule>
    <cfRule type="cellIs" dxfId="25177" priority="11882" stopIfTrue="1" operator="equal">
      <formula>"Napkin Hs"</formula>
    </cfRule>
  </conditionalFormatting>
  <conditionalFormatting sqref="C40:C42">
    <cfRule type="cellIs" dxfId="25176" priority="11881" stopIfTrue="1" operator="equal">
      <formula>"Towel"</formula>
    </cfRule>
  </conditionalFormatting>
  <conditionalFormatting sqref="B40:C42">
    <cfRule type="cellIs" dxfId="25175" priority="11859" stopIfTrue="1" operator="equal">
      <formula>"Towel"</formula>
    </cfRule>
    <cfRule type="cellIs" dxfId="25174" priority="11860" stopIfTrue="1" operator="equal">
      <formula>"Napkin Hs"</formula>
    </cfRule>
  </conditionalFormatting>
  <conditionalFormatting sqref="C40:C42">
    <cfRule type="cellIs" dxfId="25173" priority="11858" stopIfTrue="1" operator="equal">
      <formula>"Napkin Hs"</formula>
    </cfRule>
  </conditionalFormatting>
  <conditionalFormatting sqref="C40:C42">
    <cfRule type="cellIs" dxfId="25172" priority="11857" stopIfTrue="1" operator="equal">
      <formula>"Towel"</formula>
    </cfRule>
  </conditionalFormatting>
  <conditionalFormatting sqref="C40:C42">
    <cfRule type="cellIs" dxfId="25171" priority="11855" stopIfTrue="1" operator="equal">
      <formula>"Towel"</formula>
    </cfRule>
  </conditionalFormatting>
  <conditionalFormatting sqref="C40:C42">
    <cfRule type="cellIs" dxfId="25170" priority="11856" stopIfTrue="1" operator="equal">
      <formula>"Napkin Hs"</formula>
    </cfRule>
  </conditionalFormatting>
  <conditionalFormatting sqref="B40:B42">
    <cfRule type="cellIs" dxfId="25169" priority="11759" stopIfTrue="1" operator="equal">
      <formula>"Napkin Hs"</formula>
    </cfRule>
  </conditionalFormatting>
  <conditionalFormatting sqref="B40:C42">
    <cfRule type="cellIs" dxfId="25168" priority="11758" stopIfTrue="1" operator="equal">
      <formula>"Towel"</formula>
    </cfRule>
  </conditionalFormatting>
  <conditionalFormatting sqref="B40:C42">
    <cfRule type="cellIs" dxfId="25167" priority="11769" stopIfTrue="1" operator="equal">
      <formula>"Towel"</formula>
    </cfRule>
    <cfRule type="cellIs" dxfId="25166" priority="11770" stopIfTrue="1" operator="equal">
      <formula>"Napkin Hs"</formula>
    </cfRule>
    <cfRule type="cellIs" dxfId="25165" priority="11775" stopIfTrue="1" operator="equal">
      <formula>"Towel"</formula>
    </cfRule>
    <cfRule type="cellIs" dxfId="25164" priority="11776" stopIfTrue="1" operator="equal">
      <formula>"Napkin Hs"</formula>
    </cfRule>
    <cfRule type="cellIs" dxfId="25163" priority="11781" stopIfTrue="1" operator="equal">
      <formula>"Towel"</formula>
    </cfRule>
    <cfRule type="cellIs" dxfId="25162" priority="11782" stopIfTrue="1" operator="equal">
      <formula>"Napkin Hs"</formula>
    </cfRule>
    <cfRule type="cellIs" dxfId="25161" priority="11783" stopIfTrue="1" operator="equal">
      <formula>"Towel"</formula>
    </cfRule>
    <cfRule type="cellIs" dxfId="25160" priority="11784" stopIfTrue="1" operator="equal">
      <formula>"Napkin Hs"</formula>
    </cfRule>
    <cfRule type="cellIs" dxfId="25159" priority="11789" stopIfTrue="1" operator="equal">
      <formula>"Towel"</formula>
    </cfRule>
    <cfRule type="cellIs" dxfId="25158" priority="11790" stopIfTrue="1" operator="equal">
      <formula>"Napkin Hs"</formula>
    </cfRule>
    <cfRule type="cellIs" dxfId="25157" priority="11799" stopIfTrue="1" operator="equal">
      <formula>"Towel"</formula>
    </cfRule>
    <cfRule type="cellIs" dxfId="25156" priority="11800" stopIfTrue="1" operator="equal">
      <formula>"Napkin Hs"</formula>
    </cfRule>
    <cfRule type="cellIs" dxfId="25155" priority="11805" stopIfTrue="1" operator="equal">
      <formula>"Towel"</formula>
    </cfRule>
    <cfRule type="cellIs" dxfId="25154" priority="11806" stopIfTrue="1" operator="equal">
      <formula>"Napkin Hs"</formula>
    </cfRule>
    <cfRule type="cellIs" dxfId="25153" priority="11807" stopIfTrue="1" operator="equal">
      <formula>"Towel"</formula>
    </cfRule>
    <cfRule type="cellIs" dxfId="25152" priority="11808" stopIfTrue="1" operator="equal">
      <formula>"Napkin Hs"</formula>
    </cfRule>
    <cfRule type="cellIs" dxfId="25151" priority="11813" stopIfTrue="1" operator="equal">
      <formula>"Towel"</formula>
    </cfRule>
    <cfRule type="cellIs" dxfId="25150" priority="11814" stopIfTrue="1" operator="equal">
      <formula>"Napkin Hs"</formula>
    </cfRule>
    <cfRule type="cellIs" dxfId="25149" priority="11823" stopIfTrue="1" operator="equal">
      <formula>"Towel"</formula>
    </cfRule>
    <cfRule type="cellIs" dxfId="25148" priority="11824" stopIfTrue="1" operator="equal">
      <formula>"Napkin Hs"</formula>
    </cfRule>
    <cfRule type="cellIs" dxfId="25147" priority="11825" stopIfTrue="1" operator="equal">
      <formula>"Towel"</formula>
    </cfRule>
    <cfRule type="cellIs" dxfId="25146" priority="11826" stopIfTrue="1" operator="equal">
      <formula>"Napkin Hs"</formula>
    </cfRule>
    <cfRule type="cellIs" dxfId="25145" priority="11831" stopIfTrue="1" operator="equal">
      <formula>"Towel"</formula>
    </cfRule>
    <cfRule type="cellIs" dxfId="25144" priority="11832" stopIfTrue="1" operator="equal">
      <formula>"Napkin Hs"</formula>
    </cfRule>
    <cfRule type="cellIs" dxfId="25143" priority="11841" stopIfTrue="1" operator="equal">
      <formula>"Towel"</formula>
    </cfRule>
    <cfRule type="cellIs" dxfId="25142" priority="11842" stopIfTrue="1" operator="equal">
      <formula>"Napkin Hs"</formula>
    </cfRule>
    <cfRule type="cellIs" dxfId="25141" priority="11843" stopIfTrue="1" operator="equal">
      <formula>"Towel"</formula>
    </cfRule>
    <cfRule type="cellIs" dxfId="25140" priority="11844" stopIfTrue="1" operator="equal">
      <formula>"Napkin Hs"</formula>
    </cfRule>
    <cfRule type="cellIs" dxfId="25139" priority="11850" stopIfTrue="1" operator="equal">
      <formula>"Napkin Hs"</formula>
    </cfRule>
  </conditionalFormatting>
  <conditionalFormatting sqref="B40:C42">
    <cfRule type="cellIs" dxfId="25138" priority="11849" stopIfTrue="1" operator="equal">
      <formula>"Towel"</formula>
    </cfRule>
  </conditionalFormatting>
  <conditionalFormatting sqref="C40:C42">
    <cfRule type="cellIs" dxfId="25137" priority="11760" stopIfTrue="1" operator="equal">
      <formula>"Napkin Hs"</formula>
    </cfRule>
    <cfRule type="cellIs" dxfId="25136" priority="11761" stopIfTrue="1" operator="equal">
      <formula>"Towel"</formula>
    </cfRule>
    <cfRule type="cellIs" dxfId="25135" priority="11762" stopIfTrue="1" operator="equal">
      <formula>"Napkin Hs"</formula>
    </cfRule>
    <cfRule type="cellIs" dxfId="25134" priority="11763" stopIfTrue="1" operator="equal">
      <formula>"Towel"</formula>
    </cfRule>
    <cfRule type="cellIs" dxfId="25133" priority="11764" stopIfTrue="1" operator="equal">
      <formula>"Napkin Hs"</formula>
    </cfRule>
    <cfRule type="cellIs" dxfId="25132" priority="11765" stopIfTrue="1" operator="equal">
      <formula>"Towel"</formula>
    </cfRule>
    <cfRule type="cellIs" dxfId="25131" priority="11766" stopIfTrue="1" operator="equal">
      <formula>"Napkin Hs"</formula>
    </cfRule>
    <cfRule type="cellIs" dxfId="25130" priority="11767" stopIfTrue="1" operator="equal">
      <formula>"Towel"</formula>
    </cfRule>
    <cfRule type="cellIs" dxfId="25129" priority="11768" stopIfTrue="1" operator="equal">
      <formula>"Napkin Hs"</formula>
    </cfRule>
    <cfRule type="cellIs" dxfId="25128" priority="11771" stopIfTrue="1" operator="equal">
      <formula>"Towel"</formula>
    </cfRule>
    <cfRule type="cellIs" dxfId="25127" priority="11772" stopIfTrue="1" operator="equal">
      <formula>"Napkin Hs"</formula>
    </cfRule>
    <cfRule type="cellIs" dxfId="25126" priority="11773" stopIfTrue="1" operator="equal">
      <formula>"Towel"</formula>
    </cfRule>
    <cfRule type="cellIs" dxfId="25125" priority="11774" stopIfTrue="1" operator="equal">
      <formula>"Napkin Hs"</formula>
    </cfRule>
    <cfRule type="cellIs" dxfId="25124" priority="11777" stopIfTrue="1" operator="equal">
      <formula>"Towel"</formula>
    </cfRule>
    <cfRule type="cellIs" dxfId="25123" priority="11778" stopIfTrue="1" operator="equal">
      <formula>"Napkin Hs"</formula>
    </cfRule>
    <cfRule type="cellIs" dxfId="25122" priority="11779" stopIfTrue="1" operator="equal">
      <formula>"Towel"</formula>
    </cfRule>
    <cfRule type="cellIs" dxfId="25121" priority="11780" stopIfTrue="1" operator="equal">
      <formula>"Napkin Hs"</formula>
    </cfRule>
    <cfRule type="cellIs" dxfId="25120" priority="11785" stopIfTrue="1" operator="equal">
      <formula>"Towel"</formula>
    </cfRule>
    <cfRule type="cellIs" dxfId="25119" priority="11786" stopIfTrue="1" operator="equal">
      <formula>"Napkin Hs"</formula>
    </cfRule>
    <cfRule type="cellIs" dxfId="25118" priority="11787" stopIfTrue="1" operator="equal">
      <formula>"Towel"</formula>
    </cfRule>
    <cfRule type="cellIs" dxfId="25117" priority="11788" stopIfTrue="1" operator="equal">
      <formula>"Napkin Hs"</formula>
    </cfRule>
    <cfRule type="cellIs" dxfId="25116" priority="11791" stopIfTrue="1" operator="equal">
      <formula>"Towel"</formula>
    </cfRule>
    <cfRule type="cellIs" dxfId="25115" priority="11792" stopIfTrue="1" operator="equal">
      <formula>"Napkin Hs"</formula>
    </cfRule>
    <cfRule type="cellIs" dxfId="25114" priority="11793" stopIfTrue="1" operator="equal">
      <formula>"Towel"</formula>
    </cfRule>
    <cfRule type="cellIs" dxfId="25113" priority="11794" stopIfTrue="1" operator="equal">
      <formula>"Napkin Hs"</formula>
    </cfRule>
    <cfRule type="cellIs" dxfId="25112" priority="11795" stopIfTrue="1" operator="equal">
      <formula>"Towel"</formula>
    </cfRule>
    <cfRule type="cellIs" dxfId="25111" priority="11796" stopIfTrue="1" operator="equal">
      <formula>"Napkin Hs"</formula>
    </cfRule>
    <cfRule type="cellIs" dxfId="25110" priority="11797" stopIfTrue="1" operator="equal">
      <formula>"Towel"</formula>
    </cfRule>
    <cfRule type="cellIs" dxfId="25109" priority="11798" stopIfTrue="1" operator="equal">
      <formula>"Napkin Hs"</formula>
    </cfRule>
    <cfRule type="cellIs" dxfId="25108" priority="11801" stopIfTrue="1" operator="equal">
      <formula>"Towel"</formula>
    </cfRule>
    <cfRule type="cellIs" dxfId="25107" priority="11802" stopIfTrue="1" operator="equal">
      <formula>"Napkin Hs"</formula>
    </cfRule>
    <cfRule type="cellIs" dxfId="25106" priority="11803" stopIfTrue="1" operator="equal">
      <formula>"Towel"</formula>
    </cfRule>
    <cfRule type="cellIs" dxfId="25105" priority="11804" stopIfTrue="1" operator="equal">
      <formula>"Napkin Hs"</formula>
    </cfRule>
    <cfRule type="cellIs" dxfId="25104" priority="11809" stopIfTrue="1" operator="equal">
      <formula>"Towel"</formula>
    </cfRule>
    <cfRule type="cellIs" dxfId="25103" priority="11810" stopIfTrue="1" operator="equal">
      <formula>"Napkin Hs"</formula>
    </cfRule>
    <cfRule type="cellIs" dxfId="25102" priority="11811" stopIfTrue="1" operator="equal">
      <formula>"Towel"</formula>
    </cfRule>
    <cfRule type="cellIs" dxfId="25101" priority="11812" stopIfTrue="1" operator="equal">
      <formula>"Napkin Hs"</formula>
    </cfRule>
    <cfRule type="cellIs" dxfId="25100" priority="11815" stopIfTrue="1" operator="equal">
      <formula>"Towel"</formula>
    </cfRule>
    <cfRule type="cellIs" dxfId="25099" priority="11816" stopIfTrue="1" operator="equal">
      <formula>"Napkin Hs"</formula>
    </cfRule>
    <cfRule type="cellIs" dxfId="25098" priority="11817" stopIfTrue="1" operator="equal">
      <formula>"Towel"</formula>
    </cfRule>
    <cfRule type="cellIs" dxfId="25097" priority="11818" stopIfTrue="1" operator="equal">
      <formula>"Napkin Hs"</formula>
    </cfRule>
    <cfRule type="cellIs" dxfId="25096" priority="11819" stopIfTrue="1" operator="equal">
      <formula>"Towel"</formula>
    </cfRule>
    <cfRule type="cellIs" dxfId="25095" priority="11820" stopIfTrue="1" operator="equal">
      <formula>"Napkin Hs"</formula>
    </cfRule>
    <cfRule type="cellIs" dxfId="25094" priority="11821" stopIfTrue="1" operator="equal">
      <formula>"Towel"</formula>
    </cfRule>
    <cfRule type="cellIs" dxfId="25093" priority="11822" stopIfTrue="1" operator="equal">
      <formula>"Napkin Hs"</formula>
    </cfRule>
    <cfRule type="cellIs" dxfId="25092" priority="11827" stopIfTrue="1" operator="equal">
      <formula>"Towel"</formula>
    </cfRule>
    <cfRule type="cellIs" dxfId="25091" priority="11828" stopIfTrue="1" operator="equal">
      <formula>"Napkin Hs"</formula>
    </cfRule>
    <cfRule type="cellIs" dxfId="25090" priority="11829" stopIfTrue="1" operator="equal">
      <formula>"Towel"</formula>
    </cfRule>
    <cfRule type="cellIs" dxfId="25089" priority="11830" stopIfTrue="1" operator="equal">
      <formula>"Napkin Hs"</formula>
    </cfRule>
    <cfRule type="cellIs" dxfId="25088" priority="11833" stopIfTrue="1" operator="equal">
      <formula>"Towel"</formula>
    </cfRule>
    <cfRule type="cellIs" dxfId="25087" priority="11834" stopIfTrue="1" operator="equal">
      <formula>"Napkin Hs"</formula>
    </cfRule>
    <cfRule type="cellIs" dxfId="25086" priority="11835" stopIfTrue="1" operator="equal">
      <formula>"Towel"</formula>
    </cfRule>
    <cfRule type="cellIs" dxfId="25085" priority="11836" stopIfTrue="1" operator="equal">
      <formula>"Napkin Hs"</formula>
    </cfRule>
    <cfRule type="cellIs" dxfId="25084" priority="11837" stopIfTrue="1" operator="equal">
      <formula>"Towel"</formula>
    </cfRule>
    <cfRule type="cellIs" dxfId="25083" priority="11838" stopIfTrue="1" operator="equal">
      <formula>"Napkin Hs"</formula>
    </cfRule>
    <cfRule type="cellIs" dxfId="25082" priority="11839" stopIfTrue="1" operator="equal">
      <formula>"Towel"</formula>
    </cfRule>
    <cfRule type="cellIs" dxfId="25081" priority="11840" stopIfTrue="1" operator="equal">
      <formula>"Napkin Hs"</formula>
    </cfRule>
    <cfRule type="cellIs" dxfId="25080" priority="11845" stopIfTrue="1" operator="equal">
      <formula>"Towel"</formula>
    </cfRule>
    <cfRule type="cellIs" dxfId="25079" priority="11846" stopIfTrue="1" operator="equal">
      <formula>"Napkin Hs"</formula>
    </cfRule>
    <cfRule type="cellIs" dxfId="25078" priority="11847" stopIfTrue="1" operator="equal">
      <formula>"Towel"</formula>
    </cfRule>
    <cfRule type="cellIs" dxfId="25077" priority="11848" stopIfTrue="1" operator="equal">
      <formula>"Napkin Hs"</formula>
    </cfRule>
    <cfRule type="cellIs" dxfId="25076" priority="11851" stopIfTrue="1" operator="equal">
      <formula>"Towel"</formula>
    </cfRule>
    <cfRule type="cellIs" dxfId="25075" priority="11852" stopIfTrue="1" operator="equal">
      <formula>"Napkin Hs"</formula>
    </cfRule>
    <cfRule type="cellIs" dxfId="25074" priority="11853" stopIfTrue="1" operator="equal">
      <formula>"Towel"</formula>
    </cfRule>
    <cfRule type="cellIs" dxfId="25073" priority="11854" stopIfTrue="1" operator="equal">
      <formula>"Napkin Hs"</formula>
    </cfRule>
  </conditionalFormatting>
  <conditionalFormatting sqref="B40:C42">
    <cfRule type="cellIs" dxfId="25072" priority="11756" stopIfTrue="1" operator="equal">
      <formula>"Towel"</formula>
    </cfRule>
    <cfRule type="cellIs" dxfId="25071" priority="11757" stopIfTrue="1" operator="equal">
      <formula>"Napkin Hs"</formula>
    </cfRule>
  </conditionalFormatting>
  <conditionalFormatting sqref="C40:C42">
    <cfRule type="cellIs" dxfId="25070" priority="11752" stopIfTrue="1" operator="equal">
      <formula>"Towel"</formula>
    </cfRule>
    <cfRule type="cellIs" dxfId="25069" priority="11753" stopIfTrue="1" operator="equal">
      <formula>"Napkin Hs"</formula>
    </cfRule>
  </conditionalFormatting>
  <conditionalFormatting sqref="C40:C42">
    <cfRule type="cellIs" dxfId="25068" priority="11755" stopIfTrue="1" operator="equal">
      <formula>"Napkin Hs"</formula>
    </cfRule>
  </conditionalFormatting>
  <conditionalFormatting sqref="C40:C42">
    <cfRule type="cellIs" dxfId="25067" priority="11754" stopIfTrue="1" operator="equal">
      <formula>"Towel"</formula>
    </cfRule>
  </conditionalFormatting>
  <conditionalFormatting sqref="C42">
    <cfRule type="cellIs" dxfId="25066" priority="11744" stopIfTrue="1" operator="equal">
      <formula>"Towel"</formula>
    </cfRule>
    <cfRule type="cellIs" dxfId="25065" priority="11745" stopIfTrue="1" operator="equal">
      <formula>"Napkin Hs"</formula>
    </cfRule>
  </conditionalFormatting>
  <conditionalFormatting sqref="B42:C42">
    <cfRule type="cellIs" dxfId="25064" priority="11746" stopIfTrue="1" operator="equal">
      <formula>"Towel"</formula>
    </cfRule>
    <cfRule type="cellIs" dxfId="25063" priority="11747" stopIfTrue="1" operator="equal">
      <formula>"Napkin Hs"</formula>
    </cfRule>
  </conditionalFormatting>
  <conditionalFormatting sqref="C42">
    <cfRule type="cellIs" dxfId="25062" priority="11742" stopIfTrue="1" operator="equal">
      <formula>"Towel"</formula>
    </cfRule>
    <cfRule type="cellIs" dxfId="25061" priority="11743" stopIfTrue="1" operator="equal">
      <formula>"Napkin Hs"</formula>
    </cfRule>
  </conditionalFormatting>
  <conditionalFormatting sqref="B42:C42">
    <cfRule type="cellIs" dxfId="25060" priority="11740" stopIfTrue="1" operator="equal">
      <formula>"Towel"</formula>
    </cfRule>
    <cfRule type="cellIs" dxfId="25059" priority="11741" stopIfTrue="1" operator="equal">
      <formula>"Napkin Hs"</formula>
    </cfRule>
  </conditionalFormatting>
  <conditionalFormatting sqref="C42">
    <cfRule type="cellIs" dxfId="25058" priority="11748" stopIfTrue="1" operator="equal">
      <formula>"Towel"</formula>
    </cfRule>
    <cfRule type="cellIs" dxfId="25057" priority="11749" stopIfTrue="1" operator="equal">
      <formula>"Napkin Hs"</formula>
    </cfRule>
  </conditionalFormatting>
  <conditionalFormatting sqref="C42">
    <cfRule type="cellIs" dxfId="25056" priority="11750" stopIfTrue="1" operator="equal">
      <formula>"Towel"</formula>
    </cfRule>
    <cfRule type="cellIs" dxfId="25055" priority="11751" stopIfTrue="1" operator="equal">
      <formula>"Napkin Hs"</formula>
    </cfRule>
  </conditionalFormatting>
  <conditionalFormatting sqref="C42">
    <cfRule type="cellIs" dxfId="25054" priority="11732" stopIfTrue="1" operator="equal">
      <formula>"Towel"</formula>
    </cfRule>
    <cfRule type="cellIs" dxfId="25053" priority="11733" stopIfTrue="1" operator="equal">
      <formula>"Napkin Hs"</formula>
    </cfRule>
  </conditionalFormatting>
  <conditionalFormatting sqref="B42:C42">
    <cfRule type="cellIs" dxfId="25052" priority="11734" stopIfTrue="1" operator="equal">
      <formula>"Towel"</formula>
    </cfRule>
    <cfRule type="cellIs" dxfId="25051" priority="11735" stopIfTrue="1" operator="equal">
      <formula>"Napkin Hs"</formula>
    </cfRule>
  </conditionalFormatting>
  <conditionalFormatting sqref="C42">
    <cfRule type="cellIs" dxfId="25050" priority="11730" stopIfTrue="1" operator="equal">
      <formula>"Towel"</formula>
    </cfRule>
    <cfRule type="cellIs" dxfId="25049" priority="11731" stopIfTrue="1" operator="equal">
      <formula>"Napkin Hs"</formula>
    </cfRule>
  </conditionalFormatting>
  <conditionalFormatting sqref="B42:C42">
    <cfRule type="cellIs" dxfId="25048" priority="11728" stopIfTrue="1" operator="equal">
      <formula>"Towel"</formula>
    </cfRule>
    <cfRule type="cellIs" dxfId="25047" priority="11729" stopIfTrue="1" operator="equal">
      <formula>"Napkin Hs"</formula>
    </cfRule>
  </conditionalFormatting>
  <conditionalFormatting sqref="C42">
    <cfRule type="cellIs" dxfId="25046" priority="11736" stopIfTrue="1" operator="equal">
      <formula>"Towel"</formula>
    </cfRule>
    <cfRule type="cellIs" dxfId="25045" priority="11737" stopIfTrue="1" operator="equal">
      <formula>"Napkin Hs"</formula>
    </cfRule>
  </conditionalFormatting>
  <conditionalFormatting sqref="C42">
    <cfRule type="cellIs" dxfId="25044" priority="11738" stopIfTrue="1" operator="equal">
      <formula>"Towel"</formula>
    </cfRule>
    <cfRule type="cellIs" dxfId="25043" priority="11739" stopIfTrue="1" operator="equal">
      <formula>"Napkin Hs"</formula>
    </cfRule>
  </conditionalFormatting>
  <conditionalFormatting sqref="C42">
    <cfRule type="cellIs" dxfId="25042" priority="11720" stopIfTrue="1" operator="equal">
      <formula>"Towel"</formula>
    </cfRule>
    <cfRule type="cellIs" dxfId="25041" priority="11721" stopIfTrue="1" operator="equal">
      <formula>"Napkin Hs"</formula>
    </cfRule>
  </conditionalFormatting>
  <conditionalFormatting sqref="B42:C42">
    <cfRule type="cellIs" dxfId="25040" priority="11722" stopIfTrue="1" operator="equal">
      <formula>"Towel"</formula>
    </cfRule>
    <cfRule type="cellIs" dxfId="25039" priority="11723" stopIfTrue="1" operator="equal">
      <formula>"Napkin Hs"</formula>
    </cfRule>
  </conditionalFormatting>
  <conditionalFormatting sqref="C42">
    <cfRule type="cellIs" dxfId="25038" priority="11718" stopIfTrue="1" operator="equal">
      <formula>"Towel"</formula>
    </cfRule>
    <cfRule type="cellIs" dxfId="25037" priority="11719" stopIfTrue="1" operator="equal">
      <formula>"Napkin Hs"</formula>
    </cfRule>
  </conditionalFormatting>
  <conditionalFormatting sqref="B42:C42">
    <cfRule type="cellIs" dxfId="25036" priority="11716" stopIfTrue="1" operator="equal">
      <formula>"Towel"</formula>
    </cfRule>
    <cfRule type="cellIs" dxfId="25035" priority="11717" stopIfTrue="1" operator="equal">
      <formula>"Napkin Hs"</formula>
    </cfRule>
  </conditionalFormatting>
  <conditionalFormatting sqref="C42">
    <cfRule type="cellIs" dxfId="25034" priority="11724" stopIfTrue="1" operator="equal">
      <formula>"Towel"</formula>
    </cfRule>
    <cfRule type="cellIs" dxfId="25033" priority="11725" stopIfTrue="1" operator="equal">
      <formula>"Napkin Hs"</formula>
    </cfRule>
  </conditionalFormatting>
  <conditionalFormatting sqref="C42">
    <cfRule type="cellIs" dxfId="25032" priority="11726" stopIfTrue="1" operator="equal">
      <formula>"Towel"</formula>
    </cfRule>
    <cfRule type="cellIs" dxfId="25031" priority="11727" stopIfTrue="1" operator="equal">
      <formula>"Napkin Hs"</formula>
    </cfRule>
  </conditionalFormatting>
  <conditionalFormatting sqref="B42:C42">
    <cfRule type="cellIs" dxfId="25030" priority="11714" stopIfTrue="1" operator="equal">
      <formula>"Towel"</formula>
    </cfRule>
    <cfRule type="cellIs" dxfId="25029" priority="11715" stopIfTrue="1" operator="equal">
      <formula>"Napkin Hs"</formula>
    </cfRule>
  </conditionalFormatting>
  <conditionalFormatting sqref="C42">
    <cfRule type="cellIs" dxfId="25028" priority="11710" stopIfTrue="1" operator="equal">
      <formula>"Towel"</formula>
    </cfRule>
    <cfRule type="cellIs" dxfId="25027" priority="11711" stopIfTrue="1" operator="equal">
      <formula>"Napkin Hs"</formula>
    </cfRule>
  </conditionalFormatting>
  <conditionalFormatting sqref="C42">
    <cfRule type="cellIs" dxfId="25026" priority="11713" stopIfTrue="1" operator="equal">
      <formula>"Napkin Hs"</formula>
    </cfRule>
  </conditionalFormatting>
  <conditionalFormatting sqref="C42">
    <cfRule type="cellIs" dxfId="25025" priority="11712" stopIfTrue="1" operator="equal">
      <formula>"Towel"</formula>
    </cfRule>
  </conditionalFormatting>
  <conditionalFormatting sqref="B42:C42">
    <cfRule type="cellIs" dxfId="25024" priority="11708" stopIfTrue="1" operator="equal">
      <formula>"Towel"</formula>
    </cfRule>
    <cfRule type="cellIs" dxfId="25023" priority="11709" stopIfTrue="1" operator="equal">
      <formula>"Napkin Hs"</formula>
    </cfRule>
  </conditionalFormatting>
  <conditionalFormatting sqref="C42">
    <cfRule type="cellIs" dxfId="25022" priority="11704" stopIfTrue="1" operator="equal">
      <formula>"Towel"</formula>
    </cfRule>
    <cfRule type="cellIs" dxfId="25021" priority="11705" stopIfTrue="1" operator="equal">
      <formula>"Napkin Hs"</formula>
    </cfRule>
  </conditionalFormatting>
  <conditionalFormatting sqref="C42">
    <cfRule type="cellIs" dxfId="25020" priority="11707" stopIfTrue="1" operator="equal">
      <formula>"Napkin Hs"</formula>
    </cfRule>
  </conditionalFormatting>
  <conditionalFormatting sqref="C42">
    <cfRule type="cellIs" dxfId="25019" priority="11706" stopIfTrue="1" operator="equal">
      <formula>"Towel"</formula>
    </cfRule>
  </conditionalFormatting>
  <conditionalFormatting sqref="C42">
    <cfRule type="cellIs" dxfId="25018" priority="11696" stopIfTrue="1" operator="equal">
      <formula>"Towel"</formula>
    </cfRule>
    <cfRule type="cellIs" dxfId="25017" priority="11697" stopIfTrue="1" operator="equal">
      <formula>"Napkin Hs"</formula>
    </cfRule>
  </conditionalFormatting>
  <conditionalFormatting sqref="B42:C42">
    <cfRule type="cellIs" dxfId="25016" priority="11698" stopIfTrue="1" operator="equal">
      <formula>"Towel"</formula>
    </cfRule>
    <cfRule type="cellIs" dxfId="25015" priority="11699" stopIfTrue="1" operator="equal">
      <formula>"Napkin Hs"</formula>
    </cfRule>
  </conditionalFormatting>
  <conditionalFormatting sqref="C42">
    <cfRule type="cellIs" dxfId="25014" priority="11694" stopIfTrue="1" operator="equal">
      <formula>"Towel"</formula>
    </cfRule>
    <cfRule type="cellIs" dxfId="25013" priority="11695" stopIfTrue="1" operator="equal">
      <formula>"Napkin Hs"</formula>
    </cfRule>
  </conditionalFormatting>
  <conditionalFormatting sqref="B42:C42">
    <cfRule type="cellIs" dxfId="25012" priority="11692" stopIfTrue="1" operator="equal">
      <formula>"Towel"</formula>
    </cfRule>
    <cfRule type="cellIs" dxfId="25011" priority="11693" stopIfTrue="1" operator="equal">
      <formula>"Napkin Hs"</formula>
    </cfRule>
  </conditionalFormatting>
  <conditionalFormatting sqref="C42">
    <cfRule type="cellIs" dxfId="25010" priority="11700" stopIfTrue="1" operator="equal">
      <formula>"Towel"</formula>
    </cfRule>
    <cfRule type="cellIs" dxfId="25009" priority="11701" stopIfTrue="1" operator="equal">
      <formula>"Napkin Hs"</formula>
    </cfRule>
  </conditionalFormatting>
  <conditionalFormatting sqref="C42">
    <cfRule type="cellIs" dxfId="25008" priority="11702" stopIfTrue="1" operator="equal">
      <formula>"Towel"</formula>
    </cfRule>
    <cfRule type="cellIs" dxfId="25007" priority="11703" stopIfTrue="1" operator="equal">
      <formula>"Napkin Hs"</formula>
    </cfRule>
  </conditionalFormatting>
  <conditionalFormatting sqref="B42:C42">
    <cfRule type="cellIs" dxfId="25006" priority="11690" stopIfTrue="1" operator="equal">
      <formula>"Towel"</formula>
    </cfRule>
    <cfRule type="cellIs" dxfId="25005" priority="11691" stopIfTrue="1" operator="equal">
      <formula>"Napkin Hs"</formula>
    </cfRule>
  </conditionalFormatting>
  <conditionalFormatting sqref="C42">
    <cfRule type="cellIs" dxfId="25004" priority="11682" stopIfTrue="1" operator="equal">
      <formula>"Towel"</formula>
    </cfRule>
    <cfRule type="cellIs" dxfId="25003" priority="11683" stopIfTrue="1" operator="equal">
      <formula>"Napkin Hs"</formula>
    </cfRule>
  </conditionalFormatting>
  <conditionalFormatting sqref="C42">
    <cfRule type="cellIs" dxfId="25002" priority="11686" stopIfTrue="1" operator="equal">
      <formula>"Towel"</formula>
    </cfRule>
    <cfRule type="cellIs" dxfId="25001" priority="11687" stopIfTrue="1" operator="equal">
      <formula>"Napkin Hs"</formula>
    </cfRule>
  </conditionalFormatting>
  <conditionalFormatting sqref="C42">
    <cfRule type="cellIs" dxfId="25000" priority="11689" stopIfTrue="1" operator="equal">
      <formula>"Napkin Hs"</formula>
    </cfRule>
  </conditionalFormatting>
  <conditionalFormatting sqref="C42">
    <cfRule type="cellIs" dxfId="24999" priority="11684" stopIfTrue="1" operator="equal">
      <formula>"Towel"</formula>
    </cfRule>
    <cfRule type="cellIs" dxfId="24998" priority="11685" stopIfTrue="1" operator="equal">
      <formula>"Napkin Hs"</formula>
    </cfRule>
  </conditionalFormatting>
  <conditionalFormatting sqref="C42">
    <cfRule type="cellIs" dxfId="24997" priority="11688" stopIfTrue="1" operator="equal">
      <formula>"Towel"</formula>
    </cfRule>
  </conditionalFormatting>
  <conditionalFormatting sqref="C42">
    <cfRule type="cellIs" dxfId="24996" priority="11680" stopIfTrue="1" operator="equal">
      <formula>"Towel"</formula>
    </cfRule>
    <cfRule type="cellIs" dxfId="24995" priority="11681" stopIfTrue="1" operator="equal">
      <formula>"Napkin Hs"</formula>
    </cfRule>
  </conditionalFormatting>
  <conditionalFormatting sqref="B42">
    <cfRule type="cellIs" dxfId="24994" priority="11678" stopIfTrue="1" operator="equal">
      <formula>"Towel"</formula>
    </cfRule>
    <cfRule type="cellIs" dxfId="24993" priority="11679" stopIfTrue="1" operator="equal">
      <formula>"Napkin Hs"</formula>
    </cfRule>
  </conditionalFormatting>
  <conditionalFormatting sqref="B42:C42">
    <cfRule type="cellIs" dxfId="24992" priority="11676" stopIfTrue="1" operator="equal">
      <formula>"Towel"</formula>
    </cfRule>
    <cfRule type="cellIs" dxfId="24991" priority="11677" stopIfTrue="1" operator="equal">
      <formula>"Napkin Hs"</formula>
    </cfRule>
  </conditionalFormatting>
  <conditionalFormatting sqref="C42">
    <cfRule type="cellIs" dxfId="24990" priority="11668" stopIfTrue="1" operator="equal">
      <formula>"Towel"</formula>
    </cfRule>
    <cfRule type="cellIs" dxfId="24989" priority="11669" stopIfTrue="1" operator="equal">
      <formula>"Napkin Hs"</formula>
    </cfRule>
  </conditionalFormatting>
  <conditionalFormatting sqref="C42">
    <cfRule type="cellIs" dxfId="24988" priority="11672" stopIfTrue="1" operator="equal">
      <formula>"Towel"</formula>
    </cfRule>
    <cfRule type="cellIs" dxfId="24987" priority="11673" stopIfTrue="1" operator="equal">
      <formula>"Napkin Hs"</formula>
    </cfRule>
  </conditionalFormatting>
  <conditionalFormatting sqref="C42">
    <cfRule type="cellIs" dxfId="24986" priority="11675" stopIfTrue="1" operator="equal">
      <formula>"Napkin Hs"</formula>
    </cfRule>
  </conditionalFormatting>
  <conditionalFormatting sqref="C42">
    <cfRule type="cellIs" dxfId="24985" priority="11670" stopIfTrue="1" operator="equal">
      <formula>"Towel"</formula>
    </cfRule>
    <cfRule type="cellIs" dxfId="24984" priority="11671" stopIfTrue="1" operator="equal">
      <formula>"Napkin Hs"</formula>
    </cfRule>
  </conditionalFormatting>
  <conditionalFormatting sqref="C42">
    <cfRule type="cellIs" dxfId="24983" priority="11674" stopIfTrue="1" operator="equal">
      <formula>"Towel"</formula>
    </cfRule>
  </conditionalFormatting>
  <conditionalFormatting sqref="C42">
    <cfRule type="cellIs" dxfId="24982" priority="11666" stopIfTrue="1" operator="equal">
      <formula>"Towel"</formula>
    </cfRule>
    <cfRule type="cellIs" dxfId="24981" priority="11667" stopIfTrue="1" operator="equal">
      <formula>"Napkin Hs"</formula>
    </cfRule>
  </conditionalFormatting>
  <conditionalFormatting sqref="B42">
    <cfRule type="cellIs" dxfId="24980" priority="11664" stopIfTrue="1" operator="equal">
      <formula>"Towel"</formula>
    </cfRule>
    <cfRule type="cellIs" dxfId="24979" priority="11665" stopIfTrue="1" operator="equal">
      <formula>"Napkin Hs"</formula>
    </cfRule>
  </conditionalFormatting>
  <conditionalFormatting sqref="B42:C42">
    <cfRule type="cellIs" dxfId="24978" priority="11640" stopIfTrue="1" operator="equal">
      <formula>"Towel"</formula>
    </cfRule>
  </conditionalFormatting>
  <conditionalFormatting sqref="B42:C42">
    <cfRule type="cellIs" dxfId="24977" priority="11641" stopIfTrue="1" operator="equal">
      <formula>"Napkin Hs"</formula>
    </cfRule>
    <cfRule type="cellIs" dxfId="24976" priority="11646" stopIfTrue="1" operator="equal">
      <formula>"Towel"</formula>
    </cfRule>
    <cfRule type="cellIs" dxfId="24975" priority="11647" stopIfTrue="1" operator="equal">
      <formula>"Napkin Hs"</formula>
    </cfRule>
    <cfRule type="cellIs" dxfId="24974" priority="11656" stopIfTrue="1" operator="equal">
      <formula>"Towel"</formula>
    </cfRule>
    <cfRule type="cellIs" dxfId="24973" priority="11657" stopIfTrue="1" operator="equal">
      <formula>"Napkin Hs"</formula>
    </cfRule>
    <cfRule type="cellIs" dxfId="24972" priority="11662" stopIfTrue="1" operator="equal">
      <formula>"Towel"</formula>
    </cfRule>
    <cfRule type="cellIs" dxfId="24971" priority="11663" stopIfTrue="1" operator="equal">
      <formula>"Napkin Hs"</formula>
    </cfRule>
  </conditionalFormatting>
  <conditionalFormatting sqref="C42">
    <cfRule type="cellIs" dxfId="24970" priority="11642" stopIfTrue="1" operator="equal">
      <formula>"Towel"</formula>
    </cfRule>
    <cfRule type="cellIs" dxfId="24969" priority="11643" stopIfTrue="1" operator="equal">
      <formula>"Napkin Hs"</formula>
    </cfRule>
    <cfRule type="cellIs" dxfId="24968" priority="11644" stopIfTrue="1" operator="equal">
      <formula>"Towel"</formula>
    </cfRule>
    <cfRule type="cellIs" dxfId="24967" priority="11645" stopIfTrue="1" operator="equal">
      <formula>"Napkin Hs"</formula>
    </cfRule>
    <cfRule type="cellIs" dxfId="24966" priority="11648" stopIfTrue="1" operator="equal">
      <formula>"Towel"</formula>
    </cfRule>
    <cfRule type="cellIs" dxfId="24965" priority="11649" stopIfTrue="1" operator="equal">
      <formula>"Napkin Hs"</formula>
    </cfRule>
    <cfRule type="cellIs" dxfId="24964" priority="11650" stopIfTrue="1" operator="equal">
      <formula>"Towel"</formula>
    </cfRule>
    <cfRule type="cellIs" dxfId="24963" priority="11651" stopIfTrue="1" operator="equal">
      <formula>"Napkin Hs"</formula>
    </cfRule>
    <cfRule type="cellIs" dxfId="24962" priority="11652" stopIfTrue="1" operator="equal">
      <formula>"Towel"</formula>
    </cfRule>
    <cfRule type="cellIs" dxfId="24961" priority="11653" stopIfTrue="1" operator="equal">
      <formula>"Napkin Hs"</formula>
    </cfRule>
    <cfRule type="cellIs" dxfId="24960" priority="11654" stopIfTrue="1" operator="equal">
      <formula>"Towel"</formula>
    </cfRule>
    <cfRule type="cellIs" dxfId="24959" priority="11655" stopIfTrue="1" operator="equal">
      <formula>"Napkin Hs"</formula>
    </cfRule>
    <cfRule type="cellIs" dxfId="24958" priority="11658" stopIfTrue="1" operator="equal">
      <formula>"Towel"</formula>
    </cfRule>
    <cfRule type="cellIs" dxfId="24957" priority="11659" stopIfTrue="1" operator="equal">
      <formula>"Napkin Hs"</formula>
    </cfRule>
    <cfRule type="cellIs" dxfId="24956" priority="11661" stopIfTrue="1" operator="equal">
      <formula>"Napkin Hs"</formula>
    </cfRule>
  </conditionalFormatting>
  <conditionalFormatting sqref="C42">
    <cfRule type="cellIs" dxfId="24955" priority="11660" stopIfTrue="1" operator="equal">
      <formula>"Towel"</formula>
    </cfRule>
  </conditionalFormatting>
  <conditionalFormatting sqref="B42:C42">
    <cfRule type="cellIs" dxfId="24954" priority="11638" stopIfTrue="1" operator="equal">
      <formula>"Towel"</formula>
    </cfRule>
    <cfRule type="cellIs" dxfId="24953" priority="11639" stopIfTrue="1" operator="equal">
      <formula>"Napkin Hs"</formula>
    </cfRule>
  </conditionalFormatting>
  <conditionalFormatting sqref="C42">
    <cfRule type="cellIs" dxfId="24952" priority="11637" stopIfTrue="1" operator="equal">
      <formula>"Napkin Hs"</formula>
    </cfRule>
  </conditionalFormatting>
  <conditionalFormatting sqref="C42">
    <cfRule type="cellIs" dxfId="24951" priority="11636" stopIfTrue="1" operator="equal">
      <formula>"Towel"</formula>
    </cfRule>
  </conditionalFormatting>
  <conditionalFormatting sqref="C42">
    <cfRule type="cellIs" dxfId="24950" priority="11634" stopIfTrue="1" operator="equal">
      <formula>"Towel"</formula>
    </cfRule>
  </conditionalFormatting>
  <conditionalFormatting sqref="C42">
    <cfRule type="cellIs" dxfId="24949" priority="11635" stopIfTrue="1" operator="equal">
      <formula>"Napkin Hs"</formula>
    </cfRule>
  </conditionalFormatting>
  <conditionalFormatting sqref="B42">
    <cfRule type="cellIs" dxfId="24948" priority="11538" stopIfTrue="1" operator="equal">
      <formula>"Napkin Hs"</formula>
    </cfRule>
  </conditionalFormatting>
  <conditionalFormatting sqref="B42:C42">
    <cfRule type="cellIs" dxfId="24947" priority="11537" stopIfTrue="1" operator="equal">
      <formula>"Towel"</formula>
    </cfRule>
  </conditionalFormatting>
  <conditionalFormatting sqref="B42:C42">
    <cfRule type="cellIs" dxfId="24946" priority="11548" stopIfTrue="1" operator="equal">
      <formula>"Towel"</formula>
    </cfRule>
    <cfRule type="cellIs" dxfId="24945" priority="11549" stopIfTrue="1" operator="equal">
      <formula>"Napkin Hs"</formula>
    </cfRule>
    <cfRule type="cellIs" dxfId="24944" priority="11554" stopIfTrue="1" operator="equal">
      <formula>"Towel"</formula>
    </cfRule>
    <cfRule type="cellIs" dxfId="24943" priority="11555" stopIfTrue="1" operator="equal">
      <formula>"Napkin Hs"</formula>
    </cfRule>
    <cfRule type="cellIs" dxfId="24942" priority="11560" stopIfTrue="1" operator="equal">
      <formula>"Towel"</formula>
    </cfRule>
    <cfRule type="cellIs" dxfId="24941" priority="11561" stopIfTrue="1" operator="equal">
      <formula>"Napkin Hs"</formula>
    </cfRule>
    <cfRule type="cellIs" dxfId="24940" priority="11562" stopIfTrue="1" operator="equal">
      <formula>"Towel"</formula>
    </cfRule>
    <cfRule type="cellIs" dxfId="24939" priority="11563" stopIfTrue="1" operator="equal">
      <formula>"Napkin Hs"</formula>
    </cfRule>
    <cfRule type="cellIs" dxfId="24938" priority="11568" stopIfTrue="1" operator="equal">
      <formula>"Towel"</formula>
    </cfRule>
    <cfRule type="cellIs" dxfId="24937" priority="11569" stopIfTrue="1" operator="equal">
      <formula>"Napkin Hs"</formula>
    </cfRule>
    <cfRule type="cellIs" dxfId="24936" priority="11578" stopIfTrue="1" operator="equal">
      <formula>"Towel"</formula>
    </cfRule>
    <cfRule type="cellIs" dxfId="24935" priority="11579" stopIfTrue="1" operator="equal">
      <formula>"Napkin Hs"</formula>
    </cfRule>
    <cfRule type="cellIs" dxfId="24934" priority="11584" stopIfTrue="1" operator="equal">
      <formula>"Towel"</formula>
    </cfRule>
    <cfRule type="cellIs" dxfId="24933" priority="11585" stopIfTrue="1" operator="equal">
      <formula>"Napkin Hs"</formula>
    </cfRule>
    <cfRule type="cellIs" dxfId="24932" priority="11586" stopIfTrue="1" operator="equal">
      <formula>"Towel"</formula>
    </cfRule>
    <cfRule type="cellIs" dxfId="24931" priority="11587" stopIfTrue="1" operator="equal">
      <formula>"Napkin Hs"</formula>
    </cfRule>
    <cfRule type="cellIs" dxfId="24930" priority="11592" stopIfTrue="1" operator="equal">
      <formula>"Towel"</formula>
    </cfRule>
    <cfRule type="cellIs" dxfId="24929" priority="11593" stopIfTrue="1" operator="equal">
      <formula>"Napkin Hs"</formula>
    </cfRule>
    <cfRule type="cellIs" dxfId="24928" priority="11602" stopIfTrue="1" operator="equal">
      <formula>"Towel"</formula>
    </cfRule>
    <cfRule type="cellIs" dxfId="24927" priority="11603" stopIfTrue="1" operator="equal">
      <formula>"Napkin Hs"</formula>
    </cfRule>
    <cfRule type="cellIs" dxfId="24926" priority="11604" stopIfTrue="1" operator="equal">
      <formula>"Towel"</formula>
    </cfRule>
    <cfRule type="cellIs" dxfId="24925" priority="11605" stopIfTrue="1" operator="equal">
      <formula>"Napkin Hs"</formula>
    </cfRule>
    <cfRule type="cellIs" dxfId="24924" priority="11610" stopIfTrue="1" operator="equal">
      <formula>"Towel"</formula>
    </cfRule>
    <cfRule type="cellIs" dxfId="24923" priority="11611" stopIfTrue="1" operator="equal">
      <formula>"Napkin Hs"</formula>
    </cfRule>
    <cfRule type="cellIs" dxfId="24922" priority="11620" stopIfTrue="1" operator="equal">
      <formula>"Towel"</formula>
    </cfRule>
    <cfRule type="cellIs" dxfId="24921" priority="11621" stopIfTrue="1" operator="equal">
      <formula>"Napkin Hs"</formula>
    </cfRule>
    <cfRule type="cellIs" dxfId="24920" priority="11622" stopIfTrue="1" operator="equal">
      <formula>"Towel"</formula>
    </cfRule>
    <cfRule type="cellIs" dxfId="24919" priority="11623" stopIfTrue="1" operator="equal">
      <formula>"Napkin Hs"</formula>
    </cfRule>
    <cfRule type="cellIs" dxfId="24918" priority="11629" stopIfTrue="1" operator="equal">
      <formula>"Napkin Hs"</formula>
    </cfRule>
  </conditionalFormatting>
  <conditionalFormatting sqref="B42:C42">
    <cfRule type="cellIs" dxfId="24917" priority="11628" stopIfTrue="1" operator="equal">
      <formula>"Towel"</formula>
    </cfRule>
  </conditionalFormatting>
  <conditionalFormatting sqref="C42">
    <cfRule type="cellIs" dxfId="24916" priority="11539" stopIfTrue="1" operator="equal">
      <formula>"Napkin Hs"</formula>
    </cfRule>
    <cfRule type="cellIs" dxfId="24915" priority="11540" stopIfTrue="1" operator="equal">
      <formula>"Towel"</formula>
    </cfRule>
    <cfRule type="cellIs" dxfId="24914" priority="11541" stopIfTrue="1" operator="equal">
      <formula>"Napkin Hs"</formula>
    </cfRule>
    <cfRule type="cellIs" dxfId="24913" priority="11542" stopIfTrue="1" operator="equal">
      <formula>"Towel"</formula>
    </cfRule>
    <cfRule type="cellIs" dxfId="24912" priority="11543" stopIfTrue="1" operator="equal">
      <formula>"Napkin Hs"</formula>
    </cfRule>
    <cfRule type="cellIs" dxfId="24911" priority="11544" stopIfTrue="1" operator="equal">
      <formula>"Towel"</formula>
    </cfRule>
    <cfRule type="cellIs" dxfId="24910" priority="11545" stopIfTrue="1" operator="equal">
      <formula>"Napkin Hs"</formula>
    </cfRule>
    <cfRule type="cellIs" dxfId="24909" priority="11546" stopIfTrue="1" operator="equal">
      <formula>"Towel"</formula>
    </cfRule>
    <cfRule type="cellIs" dxfId="24908" priority="11547" stopIfTrue="1" operator="equal">
      <formula>"Napkin Hs"</formula>
    </cfRule>
    <cfRule type="cellIs" dxfId="24907" priority="11550" stopIfTrue="1" operator="equal">
      <formula>"Towel"</formula>
    </cfRule>
    <cfRule type="cellIs" dxfId="24906" priority="11551" stopIfTrue="1" operator="equal">
      <formula>"Napkin Hs"</formula>
    </cfRule>
    <cfRule type="cellIs" dxfId="24905" priority="11552" stopIfTrue="1" operator="equal">
      <formula>"Towel"</formula>
    </cfRule>
    <cfRule type="cellIs" dxfId="24904" priority="11553" stopIfTrue="1" operator="equal">
      <formula>"Napkin Hs"</formula>
    </cfRule>
    <cfRule type="cellIs" dxfId="24903" priority="11556" stopIfTrue="1" operator="equal">
      <formula>"Towel"</formula>
    </cfRule>
    <cfRule type="cellIs" dxfId="24902" priority="11557" stopIfTrue="1" operator="equal">
      <formula>"Napkin Hs"</formula>
    </cfRule>
    <cfRule type="cellIs" dxfId="24901" priority="11558" stopIfTrue="1" operator="equal">
      <formula>"Towel"</formula>
    </cfRule>
    <cfRule type="cellIs" dxfId="24900" priority="11559" stopIfTrue="1" operator="equal">
      <formula>"Napkin Hs"</formula>
    </cfRule>
    <cfRule type="cellIs" dxfId="24899" priority="11564" stopIfTrue="1" operator="equal">
      <formula>"Towel"</formula>
    </cfRule>
    <cfRule type="cellIs" dxfId="24898" priority="11565" stopIfTrue="1" operator="equal">
      <formula>"Napkin Hs"</formula>
    </cfRule>
    <cfRule type="cellIs" dxfId="24897" priority="11566" stopIfTrue="1" operator="equal">
      <formula>"Towel"</formula>
    </cfRule>
    <cfRule type="cellIs" dxfId="24896" priority="11567" stopIfTrue="1" operator="equal">
      <formula>"Napkin Hs"</formula>
    </cfRule>
    <cfRule type="cellIs" dxfId="24895" priority="11570" stopIfTrue="1" operator="equal">
      <formula>"Towel"</formula>
    </cfRule>
    <cfRule type="cellIs" dxfId="24894" priority="11571" stopIfTrue="1" operator="equal">
      <formula>"Napkin Hs"</formula>
    </cfRule>
    <cfRule type="cellIs" dxfId="24893" priority="11572" stopIfTrue="1" operator="equal">
      <formula>"Towel"</formula>
    </cfRule>
    <cfRule type="cellIs" dxfId="24892" priority="11573" stopIfTrue="1" operator="equal">
      <formula>"Napkin Hs"</formula>
    </cfRule>
    <cfRule type="cellIs" dxfId="24891" priority="11574" stopIfTrue="1" operator="equal">
      <formula>"Towel"</formula>
    </cfRule>
    <cfRule type="cellIs" dxfId="24890" priority="11575" stopIfTrue="1" operator="equal">
      <formula>"Napkin Hs"</formula>
    </cfRule>
    <cfRule type="cellIs" dxfId="24889" priority="11576" stopIfTrue="1" operator="equal">
      <formula>"Towel"</formula>
    </cfRule>
    <cfRule type="cellIs" dxfId="24888" priority="11577" stopIfTrue="1" operator="equal">
      <formula>"Napkin Hs"</formula>
    </cfRule>
    <cfRule type="cellIs" dxfId="24887" priority="11580" stopIfTrue="1" operator="equal">
      <formula>"Towel"</formula>
    </cfRule>
    <cfRule type="cellIs" dxfId="24886" priority="11581" stopIfTrue="1" operator="equal">
      <formula>"Napkin Hs"</formula>
    </cfRule>
    <cfRule type="cellIs" dxfId="24885" priority="11582" stopIfTrue="1" operator="equal">
      <formula>"Towel"</formula>
    </cfRule>
    <cfRule type="cellIs" dxfId="24884" priority="11583" stopIfTrue="1" operator="equal">
      <formula>"Napkin Hs"</formula>
    </cfRule>
    <cfRule type="cellIs" dxfId="24883" priority="11588" stopIfTrue="1" operator="equal">
      <formula>"Towel"</formula>
    </cfRule>
    <cfRule type="cellIs" dxfId="24882" priority="11589" stopIfTrue="1" operator="equal">
      <formula>"Napkin Hs"</formula>
    </cfRule>
    <cfRule type="cellIs" dxfId="24881" priority="11590" stopIfTrue="1" operator="equal">
      <formula>"Towel"</formula>
    </cfRule>
    <cfRule type="cellIs" dxfId="24880" priority="11591" stopIfTrue="1" operator="equal">
      <formula>"Napkin Hs"</formula>
    </cfRule>
    <cfRule type="cellIs" dxfId="24879" priority="11594" stopIfTrue="1" operator="equal">
      <formula>"Towel"</formula>
    </cfRule>
    <cfRule type="cellIs" dxfId="24878" priority="11595" stopIfTrue="1" operator="equal">
      <formula>"Napkin Hs"</formula>
    </cfRule>
    <cfRule type="cellIs" dxfId="24877" priority="11596" stopIfTrue="1" operator="equal">
      <formula>"Towel"</formula>
    </cfRule>
    <cfRule type="cellIs" dxfId="24876" priority="11597" stopIfTrue="1" operator="equal">
      <formula>"Napkin Hs"</formula>
    </cfRule>
    <cfRule type="cellIs" dxfId="24875" priority="11598" stopIfTrue="1" operator="equal">
      <formula>"Towel"</formula>
    </cfRule>
    <cfRule type="cellIs" dxfId="24874" priority="11599" stopIfTrue="1" operator="equal">
      <formula>"Napkin Hs"</formula>
    </cfRule>
    <cfRule type="cellIs" dxfId="24873" priority="11600" stopIfTrue="1" operator="equal">
      <formula>"Towel"</formula>
    </cfRule>
    <cfRule type="cellIs" dxfId="24872" priority="11601" stopIfTrue="1" operator="equal">
      <formula>"Napkin Hs"</formula>
    </cfRule>
    <cfRule type="cellIs" dxfId="24871" priority="11606" stopIfTrue="1" operator="equal">
      <formula>"Towel"</formula>
    </cfRule>
    <cfRule type="cellIs" dxfId="24870" priority="11607" stopIfTrue="1" operator="equal">
      <formula>"Napkin Hs"</formula>
    </cfRule>
    <cfRule type="cellIs" dxfId="24869" priority="11608" stopIfTrue="1" operator="equal">
      <formula>"Towel"</formula>
    </cfRule>
    <cfRule type="cellIs" dxfId="24868" priority="11609" stopIfTrue="1" operator="equal">
      <formula>"Napkin Hs"</formula>
    </cfRule>
    <cfRule type="cellIs" dxfId="24867" priority="11612" stopIfTrue="1" operator="equal">
      <formula>"Towel"</formula>
    </cfRule>
    <cfRule type="cellIs" dxfId="24866" priority="11613" stopIfTrue="1" operator="equal">
      <formula>"Napkin Hs"</formula>
    </cfRule>
    <cfRule type="cellIs" dxfId="24865" priority="11614" stopIfTrue="1" operator="equal">
      <formula>"Towel"</formula>
    </cfRule>
    <cfRule type="cellIs" dxfId="24864" priority="11615" stopIfTrue="1" operator="equal">
      <formula>"Napkin Hs"</formula>
    </cfRule>
    <cfRule type="cellIs" dxfId="24863" priority="11616" stopIfTrue="1" operator="equal">
      <formula>"Towel"</formula>
    </cfRule>
    <cfRule type="cellIs" dxfId="24862" priority="11617" stopIfTrue="1" operator="equal">
      <formula>"Napkin Hs"</formula>
    </cfRule>
    <cfRule type="cellIs" dxfId="24861" priority="11618" stopIfTrue="1" operator="equal">
      <formula>"Towel"</formula>
    </cfRule>
    <cfRule type="cellIs" dxfId="24860" priority="11619" stopIfTrue="1" operator="equal">
      <formula>"Napkin Hs"</formula>
    </cfRule>
    <cfRule type="cellIs" dxfId="24859" priority="11624" stopIfTrue="1" operator="equal">
      <formula>"Towel"</formula>
    </cfRule>
    <cfRule type="cellIs" dxfId="24858" priority="11625" stopIfTrue="1" operator="equal">
      <formula>"Napkin Hs"</formula>
    </cfRule>
    <cfRule type="cellIs" dxfId="24857" priority="11626" stopIfTrue="1" operator="equal">
      <formula>"Towel"</formula>
    </cfRule>
    <cfRule type="cellIs" dxfId="24856" priority="11627" stopIfTrue="1" operator="equal">
      <formula>"Napkin Hs"</formula>
    </cfRule>
    <cfRule type="cellIs" dxfId="24855" priority="11630" stopIfTrue="1" operator="equal">
      <formula>"Towel"</formula>
    </cfRule>
    <cfRule type="cellIs" dxfId="24854" priority="11631" stopIfTrue="1" operator="equal">
      <formula>"Napkin Hs"</formula>
    </cfRule>
    <cfRule type="cellIs" dxfId="24853" priority="11632" stopIfTrue="1" operator="equal">
      <formula>"Towel"</formula>
    </cfRule>
    <cfRule type="cellIs" dxfId="24852" priority="11633" stopIfTrue="1" operator="equal">
      <formula>"Napkin Hs"</formula>
    </cfRule>
  </conditionalFormatting>
  <conditionalFormatting sqref="B42:C42">
    <cfRule type="cellIs" dxfId="24851" priority="11535" stopIfTrue="1" operator="equal">
      <formula>"Towel"</formula>
    </cfRule>
    <cfRule type="cellIs" dxfId="24850" priority="11536" stopIfTrue="1" operator="equal">
      <formula>"Napkin Hs"</formula>
    </cfRule>
  </conditionalFormatting>
  <conditionalFormatting sqref="C42">
    <cfRule type="cellIs" dxfId="24849" priority="11531" stopIfTrue="1" operator="equal">
      <formula>"Towel"</formula>
    </cfRule>
    <cfRule type="cellIs" dxfId="24848" priority="11532" stopIfTrue="1" operator="equal">
      <formula>"Napkin Hs"</formula>
    </cfRule>
  </conditionalFormatting>
  <conditionalFormatting sqref="C42">
    <cfRule type="cellIs" dxfId="24847" priority="11534" stopIfTrue="1" operator="equal">
      <formula>"Napkin Hs"</formula>
    </cfRule>
  </conditionalFormatting>
  <conditionalFormatting sqref="C42">
    <cfRule type="cellIs" dxfId="24846" priority="11533" stopIfTrue="1" operator="equal">
      <formula>"Towel"</formula>
    </cfRule>
  </conditionalFormatting>
  <conditionalFormatting sqref="B40:C40">
    <cfRule type="cellIs" dxfId="24845" priority="11529" stopIfTrue="1" operator="equal">
      <formula>"Towel"</formula>
    </cfRule>
    <cfRule type="cellIs" dxfId="24844" priority="11530" stopIfTrue="1" operator="equal">
      <formula>"Napkin Hs"</formula>
    </cfRule>
  </conditionalFormatting>
  <conditionalFormatting sqref="C40">
    <cfRule type="cellIs" dxfId="24843" priority="11525" stopIfTrue="1" operator="equal">
      <formula>"Towel"</formula>
    </cfRule>
    <cfRule type="cellIs" dxfId="24842" priority="11526" stopIfTrue="1" operator="equal">
      <formula>"Napkin Hs"</formula>
    </cfRule>
  </conditionalFormatting>
  <conditionalFormatting sqref="C40">
    <cfRule type="cellIs" dxfId="24841" priority="11527" stopIfTrue="1" operator="equal">
      <formula>"Towel"</formula>
    </cfRule>
    <cfRule type="cellIs" dxfId="24840" priority="11528" stopIfTrue="1" operator="equal">
      <formula>"Napkin Hs"</formula>
    </cfRule>
  </conditionalFormatting>
  <conditionalFormatting sqref="C42">
    <cfRule type="cellIs" dxfId="24839" priority="11517" stopIfTrue="1" operator="equal">
      <formula>"Towel"</formula>
    </cfRule>
    <cfRule type="cellIs" dxfId="24838" priority="11518" stopIfTrue="1" operator="equal">
      <formula>"Napkin Hs"</formula>
    </cfRule>
  </conditionalFormatting>
  <conditionalFormatting sqref="B42:C42">
    <cfRule type="cellIs" dxfId="24837" priority="11519" stopIfTrue="1" operator="equal">
      <formula>"Towel"</formula>
    </cfRule>
    <cfRule type="cellIs" dxfId="24836" priority="11520" stopIfTrue="1" operator="equal">
      <formula>"Napkin Hs"</formula>
    </cfRule>
  </conditionalFormatting>
  <conditionalFormatting sqref="C42">
    <cfRule type="cellIs" dxfId="24835" priority="11515" stopIfTrue="1" operator="equal">
      <formula>"Towel"</formula>
    </cfRule>
    <cfRule type="cellIs" dxfId="24834" priority="11516" stopIfTrue="1" operator="equal">
      <formula>"Napkin Hs"</formula>
    </cfRule>
  </conditionalFormatting>
  <conditionalFormatting sqref="B42:C42">
    <cfRule type="cellIs" dxfId="24833" priority="11513" stopIfTrue="1" operator="equal">
      <formula>"Towel"</formula>
    </cfRule>
    <cfRule type="cellIs" dxfId="24832" priority="11514" stopIfTrue="1" operator="equal">
      <formula>"Napkin Hs"</formula>
    </cfRule>
  </conditionalFormatting>
  <conditionalFormatting sqref="C42">
    <cfRule type="cellIs" dxfId="24831" priority="11521" stopIfTrue="1" operator="equal">
      <formula>"Towel"</formula>
    </cfRule>
    <cfRule type="cellIs" dxfId="24830" priority="11522" stopIfTrue="1" operator="equal">
      <formula>"Napkin Hs"</formula>
    </cfRule>
  </conditionalFormatting>
  <conditionalFormatting sqref="C42">
    <cfRule type="cellIs" dxfId="24829" priority="11523" stopIfTrue="1" operator="equal">
      <formula>"Towel"</formula>
    </cfRule>
    <cfRule type="cellIs" dxfId="24828" priority="11524" stopIfTrue="1" operator="equal">
      <formula>"Napkin Hs"</formula>
    </cfRule>
  </conditionalFormatting>
  <conditionalFormatting sqref="C42">
    <cfRule type="cellIs" dxfId="24827" priority="11505" stopIfTrue="1" operator="equal">
      <formula>"Towel"</formula>
    </cfRule>
    <cfRule type="cellIs" dxfId="24826" priority="11506" stopIfTrue="1" operator="equal">
      <formula>"Napkin Hs"</formula>
    </cfRule>
  </conditionalFormatting>
  <conditionalFormatting sqref="B42:C42">
    <cfRule type="cellIs" dxfId="24825" priority="11507" stopIfTrue="1" operator="equal">
      <formula>"Towel"</formula>
    </cfRule>
    <cfRule type="cellIs" dxfId="24824" priority="11508" stopIfTrue="1" operator="equal">
      <formula>"Napkin Hs"</formula>
    </cfRule>
  </conditionalFormatting>
  <conditionalFormatting sqref="C42">
    <cfRule type="cellIs" dxfId="24823" priority="11503" stopIfTrue="1" operator="equal">
      <formula>"Towel"</formula>
    </cfRule>
    <cfRule type="cellIs" dxfId="24822" priority="11504" stopIfTrue="1" operator="equal">
      <formula>"Napkin Hs"</formula>
    </cfRule>
  </conditionalFormatting>
  <conditionalFormatting sqref="B42:C42">
    <cfRule type="cellIs" dxfId="24821" priority="11501" stopIfTrue="1" operator="equal">
      <formula>"Towel"</formula>
    </cfRule>
    <cfRule type="cellIs" dxfId="24820" priority="11502" stopIfTrue="1" operator="equal">
      <formula>"Napkin Hs"</formula>
    </cfRule>
  </conditionalFormatting>
  <conditionalFormatting sqref="C42">
    <cfRule type="cellIs" dxfId="24819" priority="11509" stopIfTrue="1" operator="equal">
      <formula>"Towel"</formula>
    </cfRule>
    <cfRule type="cellIs" dxfId="24818" priority="11510" stopIfTrue="1" operator="equal">
      <formula>"Napkin Hs"</formula>
    </cfRule>
  </conditionalFormatting>
  <conditionalFormatting sqref="C42">
    <cfRule type="cellIs" dxfId="24817" priority="11511" stopIfTrue="1" operator="equal">
      <formula>"Towel"</formula>
    </cfRule>
    <cfRule type="cellIs" dxfId="24816" priority="11512" stopIfTrue="1" operator="equal">
      <formula>"Napkin Hs"</formula>
    </cfRule>
  </conditionalFormatting>
  <conditionalFormatting sqref="B40:C40">
    <cfRule type="cellIs" dxfId="24815" priority="11499" stopIfTrue="1" operator="equal">
      <formula>"Towel"</formula>
    </cfRule>
    <cfRule type="cellIs" dxfId="24814" priority="11500" stopIfTrue="1" operator="equal">
      <formula>"Napkin Hs"</formula>
    </cfRule>
  </conditionalFormatting>
  <conditionalFormatting sqref="C40">
    <cfRule type="cellIs" dxfId="24813" priority="11495" stopIfTrue="1" operator="equal">
      <formula>"Towel"</formula>
    </cfRule>
    <cfRule type="cellIs" dxfId="24812" priority="11496" stopIfTrue="1" operator="equal">
      <formula>"Napkin Hs"</formula>
    </cfRule>
  </conditionalFormatting>
  <conditionalFormatting sqref="C40">
    <cfRule type="cellIs" dxfId="24811" priority="11497" stopIfTrue="1" operator="equal">
      <formula>"Towel"</formula>
    </cfRule>
    <cfRule type="cellIs" dxfId="24810" priority="11498" stopIfTrue="1" operator="equal">
      <formula>"Napkin Hs"</formula>
    </cfRule>
  </conditionalFormatting>
  <conditionalFormatting sqref="C40">
    <cfRule type="cellIs" dxfId="24809" priority="11491" stopIfTrue="1" operator="equal">
      <formula>"Towel"</formula>
    </cfRule>
    <cfRule type="cellIs" dxfId="24808" priority="11492" stopIfTrue="1" operator="equal">
      <formula>"Napkin Hs"</formula>
    </cfRule>
  </conditionalFormatting>
  <conditionalFormatting sqref="C40">
    <cfRule type="cellIs" dxfId="24807" priority="11493" stopIfTrue="1" operator="equal">
      <formula>"Towel"</formula>
    </cfRule>
    <cfRule type="cellIs" dxfId="24806" priority="11494" stopIfTrue="1" operator="equal">
      <formula>"Napkin Hs"</formula>
    </cfRule>
  </conditionalFormatting>
  <conditionalFormatting sqref="C40">
    <cfRule type="cellIs" dxfId="24805" priority="11489" stopIfTrue="1" operator="equal">
      <formula>"Towel"</formula>
    </cfRule>
    <cfRule type="cellIs" dxfId="24804" priority="11490" stopIfTrue="1" operator="equal">
      <formula>"Napkin Hs"</formula>
    </cfRule>
  </conditionalFormatting>
  <conditionalFormatting sqref="B40">
    <cfRule type="cellIs" dxfId="24803" priority="11487" stopIfTrue="1" operator="equal">
      <formula>"Towel"</formula>
    </cfRule>
    <cfRule type="cellIs" dxfId="24802" priority="11488" stopIfTrue="1" operator="equal">
      <formula>"Napkin Hs"</formula>
    </cfRule>
  </conditionalFormatting>
  <conditionalFormatting sqref="C42">
    <cfRule type="cellIs" dxfId="24801" priority="11479" stopIfTrue="1" operator="equal">
      <formula>"Towel"</formula>
    </cfRule>
    <cfRule type="cellIs" dxfId="24800" priority="11480" stopIfTrue="1" operator="equal">
      <formula>"Napkin Hs"</formula>
    </cfRule>
  </conditionalFormatting>
  <conditionalFormatting sqref="B42:C42">
    <cfRule type="cellIs" dxfId="24799" priority="11481" stopIfTrue="1" operator="equal">
      <formula>"Towel"</formula>
    </cfRule>
    <cfRule type="cellIs" dxfId="24798" priority="11482" stopIfTrue="1" operator="equal">
      <formula>"Napkin Hs"</formula>
    </cfRule>
  </conditionalFormatting>
  <conditionalFormatting sqref="C42">
    <cfRule type="cellIs" dxfId="24797" priority="11477" stopIfTrue="1" operator="equal">
      <formula>"Towel"</formula>
    </cfRule>
    <cfRule type="cellIs" dxfId="24796" priority="11478" stopIfTrue="1" operator="equal">
      <formula>"Napkin Hs"</formula>
    </cfRule>
  </conditionalFormatting>
  <conditionalFormatting sqref="B42:C42">
    <cfRule type="cellIs" dxfId="24795" priority="11475" stopIfTrue="1" operator="equal">
      <formula>"Towel"</formula>
    </cfRule>
    <cfRule type="cellIs" dxfId="24794" priority="11476" stopIfTrue="1" operator="equal">
      <formula>"Napkin Hs"</formula>
    </cfRule>
  </conditionalFormatting>
  <conditionalFormatting sqref="C42">
    <cfRule type="cellIs" dxfId="24793" priority="11483" stopIfTrue="1" operator="equal">
      <formula>"Towel"</formula>
    </cfRule>
    <cfRule type="cellIs" dxfId="24792" priority="11484" stopIfTrue="1" operator="equal">
      <formula>"Napkin Hs"</formula>
    </cfRule>
  </conditionalFormatting>
  <conditionalFormatting sqref="C42">
    <cfRule type="cellIs" dxfId="24791" priority="11485" stopIfTrue="1" operator="equal">
      <formula>"Towel"</formula>
    </cfRule>
    <cfRule type="cellIs" dxfId="24790" priority="11486" stopIfTrue="1" operator="equal">
      <formula>"Napkin Hs"</formula>
    </cfRule>
  </conditionalFormatting>
  <conditionalFormatting sqref="B42:C42">
    <cfRule type="cellIs" dxfId="24789" priority="11473" stopIfTrue="1" operator="equal">
      <formula>"Towel"</formula>
    </cfRule>
    <cfRule type="cellIs" dxfId="24788" priority="11474" stopIfTrue="1" operator="equal">
      <formula>"Napkin Hs"</formula>
    </cfRule>
  </conditionalFormatting>
  <conditionalFormatting sqref="C42">
    <cfRule type="cellIs" dxfId="24787" priority="11469" stopIfTrue="1" operator="equal">
      <formula>"Towel"</formula>
    </cfRule>
    <cfRule type="cellIs" dxfId="24786" priority="11470" stopIfTrue="1" operator="equal">
      <formula>"Napkin Hs"</formula>
    </cfRule>
  </conditionalFormatting>
  <conditionalFormatting sqref="C42">
    <cfRule type="cellIs" dxfId="24785" priority="11472" stopIfTrue="1" operator="equal">
      <formula>"Napkin Hs"</formula>
    </cfRule>
  </conditionalFormatting>
  <conditionalFormatting sqref="C42">
    <cfRule type="cellIs" dxfId="24784" priority="11471" stopIfTrue="1" operator="equal">
      <formula>"Towel"</formula>
    </cfRule>
  </conditionalFormatting>
  <conditionalFormatting sqref="B42:C42">
    <cfRule type="cellIs" dxfId="24783" priority="11467" stopIfTrue="1" operator="equal">
      <formula>"Towel"</formula>
    </cfRule>
    <cfRule type="cellIs" dxfId="24782" priority="11468" stopIfTrue="1" operator="equal">
      <formula>"Napkin Hs"</formula>
    </cfRule>
  </conditionalFormatting>
  <conditionalFormatting sqref="C42">
    <cfRule type="cellIs" dxfId="24781" priority="11463" stopIfTrue="1" operator="equal">
      <formula>"Towel"</formula>
    </cfRule>
    <cfRule type="cellIs" dxfId="24780" priority="11464" stopIfTrue="1" operator="equal">
      <formula>"Napkin Hs"</formula>
    </cfRule>
  </conditionalFormatting>
  <conditionalFormatting sqref="C42">
    <cfRule type="cellIs" dxfId="24779" priority="11466" stopIfTrue="1" operator="equal">
      <formula>"Napkin Hs"</formula>
    </cfRule>
  </conditionalFormatting>
  <conditionalFormatting sqref="C42">
    <cfRule type="cellIs" dxfId="24778" priority="11465" stopIfTrue="1" operator="equal">
      <formula>"Towel"</formula>
    </cfRule>
  </conditionalFormatting>
  <conditionalFormatting sqref="C43">
    <cfRule type="cellIs" dxfId="24777" priority="11455" stopIfTrue="1" operator="equal">
      <formula>"Towel"</formula>
    </cfRule>
    <cfRule type="cellIs" dxfId="24776" priority="11456" stopIfTrue="1" operator="equal">
      <formula>"Napkin Hs"</formula>
    </cfRule>
  </conditionalFormatting>
  <conditionalFormatting sqref="B43:C43">
    <cfRule type="cellIs" dxfId="24775" priority="11457" stopIfTrue="1" operator="equal">
      <formula>"Towel"</formula>
    </cfRule>
    <cfRule type="cellIs" dxfId="24774" priority="11458" stopIfTrue="1" operator="equal">
      <formula>"Napkin Hs"</formula>
    </cfRule>
  </conditionalFormatting>
  <conditionalFormatting sqref="C43">
    <cfRule type="cellIs" dxfId="24773" priority="11453" stopIfTrue="1" operator="equal">
      <formula>"Towel"</formula>
    </cfRule>
    <cfRule type="cellIs" dxfId="24772" priority="11454" stopIfTrue="1" operator="equal">
      <formula>"Napkin Hs"</formula>
    </cfRule>
  </conditionalFormatting>
  <conditionalFormatting sqref="B43:C43">
    <cfRule type="cellIs" dxfId="24771" priority="11451" stopIfTrue="1" operator="equal">
      <formula>"Towel"</formula>
    </cfRule>
    <cfRule type="cellIs" dxfId="24770" priority="11452" stopIfTrue="1" operator="equal">
      <formula>"Napkin Hs"</formula>
    </cfRule>
  </conditionalFormatting>
  <conditionalFormatting sqref="C43">
    <cfRule type="cellIs" dxfId="24769" priority="11459" stopIfTrue="1" operator="equal">
      <formula>"Towel"</formula>
    </cfRule>
    <cfRule type="cellIs" dxfId="24768" priority="11460" stopIfTrue="1" operator="equal">
      <formula>"Napkin Hs"</formula>
    </cfRule>
  </conditionalFormatting>
  <conditionalFormatting sqref="C43">
    <cfRule type="cellIs" dxfId="24767" priority="11461" stopIfTrue="1" operator="equal">
      <formula>"Towel"</formula>
    </cfRule>
    <cfRule type="cellIs" dxfId="24766" priority="11462" stopIfTrue="1" operator="equal">
      <formula>"Napkin Hs"</formula>
    </cfRule>
  </conditionalFormatting>
  <conditionalFormatting sqref="C43">
    <cfRule type="cellIs" dxfId="24765" priority="11443" stopIfTrue="1" operator="equal">
      <formula>"Towel"</formula>
    </cfRule>
    <cfRule type="cellIs" dxfId="24764" priority="11444" stopIfTrue="1" operator="equal">
      <formula>"Napkin Hs"</formula>
    </cfRule>
  </conditionalFormatting>
  <conditionalFormatting sqref="B43:C43">
    <cfRule type="cellIs" dxfId="24763" priority="11445" stopIfTrue="1" operator="equal">
      <formula>"Towel"</formula>
    </cfRule>
    <cfRule type="cellIs" dxfId="24762" priority="11446" stopIfTrue="1" operator="equal">
      <formula>"Napkin Hs"</formula>
    </cfRule>
  </conditionalFormatting>
  <conditionalFormatting sqref="C43">
    <cfRule type="cellIs" dxfId="24761" priority="11441" stopIfTrue="1" operator="equal">
      <formula>"Towel"</formula>
    </cfRule>
    <cfRule type="cellIs" dxfId="24760" priority="11442" stopIfTrue="1" operator="equal">
      <formula>"Napkin Hs"</formula>
    </cfRule>
  </conditionalFormatting>
  <conditionalFormatting sqref="B43:C43">
    <cfRule type="cellIs" dxfId="24759" priority="11439" stopIfTrue="1" operator="equal">
      <formula>"Towel"</formula>
    </cfRule>
    <cfRule type="cellIs" dxfId="24758" priority="11440" stopIfTrue="1" operator="equal">
      <formula>"Napkin Hs"</formula>
    </cfRule>
  </conditionalFormatting>
  <conditionalFormatting sqref="C43">
    <cfRule type="cellIs" dxfId="24757" priority="11447" stopIfTrue="1" operator="equal">
      <formula>"Towel"</formula>
    </cfRule>
    <cfRule type="cellIs" dxfId="24756" priority="11448" stopIfTrue="1" operator="equal">
      <formula>"Napkin Hs"</formula>
    </cfRule>
  </conditionalFormatting>
  <conditionalFormatting sqref="C43">
    <cfRule type="cellIs" dxfId="24755" priority="11449" stopIfTrue="1" operator="equal">
      <formula>"Towel"</formula>
    </cfRule>
    <cfRule type="cellIs" dxfId="24754" priority="11450" stopIfTrue="1" operator="equal">
      <formula>"Napkin Hs"</formula>
    </cfRule>
  </conditionalFormatting>
  <conditionalFormatting sqref="C43">
    <cfRule type="cellIs" dxfId="24753" priority="11431" stopIfTrue="1" operator="equal">
      <formula>"Towel"</formula>
    </cfRule>
    <cfRule type="cellIs" dxfId="24752" priority="11432" stopIfTrue="1" operator="equal">
      <formula>"Napkin Hs"</formula>
    </cfRule>
  </conditionalFormatting>
  <conditionalFormatting sqref="B43:C43">
    <cfRule type="cellIs" dxfId="24751" priority="11433" stopIfTrue="1" operator="equal">
      <formula>"Towel"</formula>
    </cfRule>
    <cfRule type="cellIs" dxfId="24750" priority="11434" stopIfTrue="1" operator="equal">
      <formula>"Napkin Hs"</formula>
    </cfRule>
  </conditionalFormatting>
  <conditionalFormatting sqref="C43">
    <cfRule type="cellIs" dxfId="24749" priority="11429" stopIfTrue="1" operator="equal">
      <formula>"Towel"</formula>
    </cfRule>
    <cfRule type="cellIs" dxfId="24748" priority="11430" stopIfTrue="1" operator="equal">
      <formula>"Napkin Hs"</formula>
    </cfRule>
  </conditionalFormatting>
  <conditionalFormatting sqref="B43:C43">
    <cfRule type="cellIs" dxfId="24747" priority="11427" stopIfTrue="1" operator="equal">
      <formula>"Towel"</formula>
    </cfRule>
    <cfRule type="cellIs" dxfId="24746" priority="11428" stopIfTrue="1" operator="equal">
      <formula>"Napkin Hs"</formula>
    </cfRule>
  </conditionalFormatting>
  <conditionalFormatting sqref="C43">
    <cfRule type="cellIs" dxfId="24745" priority="11435" stopIfTrue="1" operator="equal">
      <formula>"Towel"</formula>
    </cfRule>
    <cfRule type="cellIs" dxfId="24744" priority="11436" stopIfTrue="1" operator="equal">
      <formula>"Napkin Hs"</formula>
    </cfRule>
  </conditionalFormatting>
  <conditionalFormatting sqref="C43">
    <cfRule type="cellIs" dxfId="24743" priority="11437" stopIfTrue="1" operator="equal">
      <formula>"Towel"</formula>
    </cfRule>
    <cfRule type="cellIs" dxfId="24742" priority="11438" stopIfTrue="1" operator="equal">
      <formula>"Napkin Hs"</formula>
    </cfRule>
  </conditionalFormatting>
  <conditionalFormatting sqref="B43:C43">
    <cfRule type="cellIs" dxfId="24741" priority="11425" stopIfTrue="1" operator="equal">
      <formula>"Towel"</formula>
    </cfRule>
    <cfRule type="cellIs" dxfId="24740" priority="11426" stopIfTrue="1" operator="equal">
      <formula>"Napkin Hs"</formula>
    </cfRule>
  </conditionalFormatting>
  <conditionalFormatting sqref="C43">
    <cfRule type="cellIs" dxfId="24739" priority="11421" stopIfTrue="1" operator="equal">
      <formula>"Towel"</formula>
    </cfRule>
    <cfRule type="cellIs" dxfId="24738" priority="11422" stopIfTrue="1" operator="equal">
      <formula>"Napkin Hs"</formula>
    </cfRule>
  </conditionalFormatting>
  <conditionalFormatting sqref="C43">
    <cfRule type="cellIs" dxfId="24737" priority="11424" stopIfTrue="1" operator="equal">
      <formula>"Napkin Hs"</formula>
    </cfRule>
  </conditionalFormatting>
  <conditionalFormatting sqref="C43">
    <cfRule type="cellIs" dxfId="24736" priority="11423" stopIfTrue="1" operator="equal">
      <formula>"Towel"</formula>
    </cfRule>
  </conditionalFormatting>
  <conditionalFormatting sqref="B43:C43">
    <cfRule type="cellIs" dxfId="24735" priority="11419" stopIfTrue="1" operator="equal">
      <formula>"Towel"</formula>
    </cfRule>
    <cfRule type="cellIs" dxfId="24734" priority="11420" stopIfTrue="1" operator="equal">
      <formula>"Napkin Hs"</formula>
    </cfRule>
  </conditionalFormatting>
  <conditionalFormatting sqref="C43">
    <cfRule type="cellIs" dxfId="24733" priority="11415" stopIfTrue="1" operator="equal">
      <formula>"Towel"</formula>
    </cfRule>
    <cfRule type="cellIs" dxfId="24732" priority="11416" stopIfTrue="1" operator="equal">
      <formula>"Napkin Hs"</formula>
    </cfRule>
  </conditionalFormatting>
  <conditionalFormatting sqref="C43">
    <cfRule type="cellIs" dxfId="24731" priority="11418" stopIfTrue="1" operator="equal">
      <formula>"Napkin Hs"</formula>
    </cfRule>
  </conditionalFormatting>
  <conditionalFormatting sqref="C43">
    <cfRule type="cellIs" dxfId="24730" priority="11417" stopIfTrue="1" operator="equal">
      <formula>"Towel"</formula>
    </cfRule>
  </conditionalFormatting>
  <conditionalFormatting sqref="C43">
    <cfRule type="cellIs" dxfId="24729" priority="11407" stopIfTrue="1" operator="equal">
      <formula>"Towel"</formula>
    </cfRule>
    <cfRule type="cellIs" dxfId="24728" priority="11408" stopIfTrue="1" operator="equal">
      <formula>"Napkin Hs"</formula>
    </cfRule>
  </conditionalFormatting>
  <conditionalFormatting sqref="B43:C43">
    <cfRule type="cellIs" dxfId="24727" priority="11409" stopIfTrue="1" operator="equal">
      <formula>"Towel"</formula>
    </cfRule>
    <cfRule type="cellIs" dxfId="24726" priority="11410" stopIfTrue="1" operator="equal">
      <formula>"Napkin Hs"</formula>
    </cfRule>
  </conditionalFormatting>
  <conditionalFormatting sqref="C43">
    <cfRule type="cellIs" dxfId="24725" priority="11405" stopIfTrue="1" operator="equal">
      <formula>"Towel"</formula>
    </cfRule>
    <cfRule type="cellIs" dxfId="24724" priority="11406" stopIfTrue="1" operator="equal">
      <formula>"Napkin Hs"</formula>
    </cfRule>
  </conditionalFormatting>
  <conditionalFormatting sqref="B43:C43">
    <cfRule type="cellIs" dxfId="24723" priority="11403" stopIfTrue="1" operator="equal">
      <formula>"Towel"</formula>
    </cfRule>
    <cfRule type="cellIs" dxfId="24722" priority="11404" stopIfTrue="1" operator="equal">
      <formula>"Napkin Hs"</formula>
    </cfRule>
  </conditionalFormatting>
  <conditionalFormatting sqref="C43">
    <cfRule type="cellIs" dxfId="24721" priority="11411" stopIfTrue="1" operator="equal">
      <formula>"Towel"</formula>
    </cfRule>
    <cfRule type="cellIs" dxfId="24720" priority="11412" stopIfTrue="1" operator="equal">
      <formula>"Napkin Hs"</formula>
    </cfRule>
  </conditionalFormatting>
  <conditionalFormatting sqref="C43">
    <cfRule type="cellIs" dxfId="24719" priority="11413" stopIfTrue="1" operator="equal">
      <formula>"Towel"</formula>
    </cfRule>
    <cfRule type="cellIs" dxfId="24718" priority="11414" stopIfTrue="1" operator="equal">
      <formula>"Napkin Hs"</formula>
    </cfRule>
  </conditionalFormatting>
  <conditionalFormatting sqref="B43:C43">
    <cfRule type="cellIs" dxfId="24717" priority="11401" stopIfTrue="1" operator="equal">
      <formula>"Towel"</formula>
    </cfRule>
    <cfRule type="cellIs" dxfId="24716" priority="11402" stopIfTrue="1" operator="equal">
      <formula>"Napkin Hs"</formula>
    </cfRule>
  </conditionalFormatting>
  <conditionalFormatting sqref="C43">
    <cfRule type="cellIs" dxfId="24715" priority="11393" stopIfTrue="1" operator="equal">
      <formula>"Towel"</formula>
    </cfRule>
    <cfRule type="cellIs" dxfId="24714" priority="11394" stopIfTrue="1" operator="equal">
      <formula>"Napkin Hs"</formula>
    </cfRule>
  </conditionalFormatting>
  <conditionalFormatting sqref="C43">
    <cfRule type="cellIs" dxfId="24713" priority="11397" stopIfTrue="1" operator="equal">
      <formula>"Towel"</formula>
    </cfRule>
    <cfRule type="cellIs" dxfId="24712" priority="11398" stopIfTrue="1" operator="equal">
      <formula>"Napkin Hs"</formula>
    </cfRule>
  </conditionalFormatting>
  <conditionalFormatting sqref="C43">
    <cfRule type="cellIs" dxfId="24711" priority="11400" stopIfTrue="1" operator="equal">
      <formula>"Napkin Hs"</formula>
    </cfRule>
  </conditionalFormatting>
  <conditionalFormatting sqref="C43">
    <cfRule type="cellIs" dxfId="24710" priority="11395" stopIfTrue="1" operator="equal">
      <formula>"Towel"</formula>
    </cfRule>
    <cfRule type="cellIs" dxfId="24709" priority="11396" stopIfTrue="1" operator="equal">
      <formula>"Napkin Hs"</formula>
    </cfRule>
  </conditionalFormatting>
  <conditionalFormatting sqref="C43">
    <cfRule type="cellIs" dxfId="24708" priority="11399" stopIfTrue="1" operator="equal">
      <formula>"Towel"</formula>
    </cfRule>
  </conditionalFormatting>
  <conditionalFormatting sqref="C43">
    <cfRule type="cellIs" dxfId="24707" priority="11391" stopIfTrue="1" operator="equal">
      <formula>"Towel"</formula>
    </cfRule>
    <cfRule type="cellIs" dxfId="24706" priority="11392" stopIfTrue="1" operator="equal">
      <formula>"Napkin Hs"</formula>
    </cfRule>
  </conditionalFormatting>
  <conditionalFormatting sqref="B43">
    <cfRule type="cellIs" dxfId="24705" priority="11389" stopIfTrue="1" operator="equal">
      <formula>"Towel"</formula>
    </cfRule>
    <cfRule type="cellIs" dxfId="24704" priority="11390" stopIfTrue="1" operator="equal">
      <formula>"Napkin Hs"</formula>
    </cfRule>
  </conditionalFormatting>
  <conditionalFormatting sqref="B43:C43">
    <cfRule type="cellIs" dxfId="24703" priority="11387" stopIfTrue="1" operator="equal">
      <formula>"Towel"</formula>
    </cfRule>
    <cfRule type="cellIs" dxfId="24702" priority="11388" stopIfTrue="1" operator="equal">
      <formula>"Napkin Hs"</formula>
    </cfRule>
  </conditionalFormatting>
  <conditionalFormatting sqref="C43">
    <cfRule type="cellIs" dxfId="24701" priority="11379" stopIfTrue="1" operator="equal">
      <formula>"Towel"</formula>
    </cfRule>
    <cfRule type="cellIs" dxfId="24700" priority="11380" stopIfTrue="1" operator="equal">
      <formula>"Napkin Hs"</formula>
    </cfRule>
  </conditionalFormatting>
  <conditionalFormatting sqref="C43">
    <cfRule type="cellIs" dxfId="24699" priority="11383" stopIfTrue="1" operator="equal">
      <formula>"Towel"</formula>
    </cfRule>
    <cfRule type="cellIs" dxfId="24698" priority="11384" stopIfTrue="1" operator="equal">
      <formula>"Napkin Hs"</formula>
    </cfRule>
  </conditionalFormatting>
  <conditionalFormatting sqref="C43">
    <cfRule type="cellIs" dxfId="24697" priority="11386" stopIfTrue="1" operator="equal">
      <formula>"Napkin Hs"</formula>
    </cfRule>
  </conditionalFormatting>
  <conditionalFormatting sqref="C43">
    <cfRule type="cellIs" dxfId="24696" priority="11381" stopIfTrue="1" operator="equal">
      <formula>"Towel"</formula>
    </cfRule>
    <cfRule type="cellIs" dxfId="24695" priority="11382" stopIfTrue="1" operator="equal">
      <formula>"Napkin Hs"</formula>
    </cfRule>
  </conditionalFormatting>
  <conditionalFormatting sqref="C43">
    <cfRule type="cellIs" dxfId="24694" priority="11385" stopIfTrue="1" operator="equal">
      <formula>"Towel"</formula>
    </cfRule>
  </conditionalFormatting>
  <conditionalFormatting sqref="C43">
    <cfRule type="cellIs" dxfId="24693" priority="11377" stopIfTrue="1" operator="equal">
      <formula>"Towel"</formula>
    </cfRule>
    <cfRule type="cellIs" dxfId="24692" priority="11378" stopIfTrue="1" operator="equal">
      <formula>"Napkin Hs"</formula>
    </cfRule>
  </conditionalFormatting>
  <conditionalFormatting sqref="B43">
    <cfRule type="cellIs" dxfId="24691" priority="11375" stopIfTrue="1" operator="equal">
      <formula>"Towel"</formula>
    </cfRule>
    <cfRule type="cellIs" dxfId="24690" priority="11376" stopIfTrue="1" operator="equal">
      <formula>"Napkin Hs"</formula>
    </cfRule>
  </conditionalFormatting>
  <conditionalFormatting sqref="B43:C43">
    <cfRule type="cellIs" dxfId="24689" priority="11351" stopIfTrue="1" operator="equal">
      <formula>"Towel"</formula>
    </cfRule>
  </conditionalFormatting>
  <conditionalFormatting sqref="B43:C43">
    <cfRule type="cellIs" dxfId="24688" priority="11352" stopIfTrue="1" operator="equal">
      <formula>"Napkin Hs"</formula>
    </cfRule>
    <cfRule type="cellIs" dxfId="24687" priority="11357" stopIfTrue="1" operator="equal">
      <formula>"Towel"</formula>
    </cfRule>
    <cfRule type="cellIs" dxfId="24686" priority="11358" stopIfTrue="1" operator="equal">
      <formula>"Napkin Hs"</formula>
    </cfRule>
    <cfRule type="cellIs" dxfId="24685" priority="11367" stopIfTrue="1" operator="equal">
      <formula>"Towel"</formula>
    </cfRule>
    <cfRule type="cellIs" dxfId="24684" priority="11368" stopIfTrue="1" operator="equal">
      <formula>"Napkin Hs"</formula>
    </cfRule>
    <cfRule type="cellIs" dxfId="24683" priority="11373" stopIfTrue="1" operator="equal">
      <formula>"Towel"</formula>
    </cfRule>
    <cfRule type="cellIs" dxfId="24682" priority="11374" stopIfTrue="1" operator="equal">
      <formula>"Napkin Hs"</formula>
    </cfRule>
  </conditionalFormatting>
  <conditionalFormatting sqref="C43">
    <cfRule type="cellIs" dxfId="24681" priority="11353" stopIfTrue="1" operator="equal">
      <formula>"Towel"</formula>
    </cfRule>
    <cfRule type="cellIs" dxfId="24680" priority="11354" stopIfTrue="1" operator="equal">
      <formula>"Napkin Hs"</formula>
    </cfRule>
    <cfRule type="cellIs" dxfId="24679" priority="11355" stopIfTrue="1" operator="equal">
      <formula>"Towel"</formula>
    </cfRule>
    <cfRule type="cellIs" dxfId="24678" priority="11356" stopIfTrue="1" operator="equal">
      <formula>"Napkin Hs"</formula>
    </cfRule>
    <cfRule type="cellIs" dxfId="24677" priority="11359" stopIfTrue="1" operator="equal">
      <formula>"Towel"</formula>
    </cfRule>
    <cfRule type="cellIs" dxfId="24676" priority="11360" stopIfTrue="1" operator="equal">
      <formula>"Napkin Hs"</formula>
    </cfRule>
    <cfRule type="cellIs" dxfId="24675" priority="11361" stopIfTrue="1" operator="equal">
      <formula>"Towel"</formula>
    </cfRule>
    <cfRule type="cellIs" dxfId="24674" priority="11362" stopIfTrue="1" operator="equal">
      <formula>"Napkin Hs"</formula>
    </cfRule>
    <cfRule type="cellIs" dxfId="24673" priority="11363" stopIfTrue="1" operator="equal">
      <formula>"Towel"</formula>
    </cfRule>
    <cfRule type="cellIs" dxfId="24672" priority="11364" stopIfTrue="1" operator="equal">
      <formula>"Napkin Hs"</formula>
    </cfRule>
    <cfRule type="cellIs" dxfId="24671" priority="11365" stopIfTrue="1" operator="equal">
      <formula>"Towel"</formula>
    </cfRule>
    <cfRule type="cellIs" dxfId="24670" priority="11366" stopIfTrue="1" operator="equal">
      <formula>"Napkin Hs"</formula>
    </cfRule>
    <cfRule type="cellIs" dxfId="24669" priority="11369" stopIfTrue="1" operator="equal">
      <formula>"Towel"</formula>
    </cfRule>
    <cfRule type="cellIs" dxfId="24668" priority="11370" stopIfTrue="1" operator="equal">
      <formula>"Napkin Hs"</formula>
    </cfRule>
    <cfRule type="cellIs" dxfId="24667" priority="11372" stopIfTrue="1" operator="equal">
      <formula>"Napkin Hs"</formula>
    </cfRule>
  </conditionalFormatting>
  <conditionalFormatting sqref="C43">
    <cfRule type="cellIs" dxfId="24666" priority="11371" stopIfTrue="1" operator="equal">
      <formula>"Towel"</formula>
    </cfRule>
  </conditionalFormatting>
  <conditionalFormatting sqref="B43:C43">
    <cfRule type="cellIs" dxfId="24665" priority="11349" stopIfTrue="1" operator="equal">
      <formula>"Towel"</formula>
    </cfRule>
    <cfRule type="cellIs" dxfId="24664" priority="11350" stopIfTrue="1" operator="equal">
      <formula>"Napkin Hs"</formula>
    </cfRule>
  </conditionalFormatting>
  <conditionalFormatting sqref="C43">
    <cfRule type="cellIs" dxfId="24663" priority="11348" stopIfTrue="1" operator="equal">
      <formula>"Napkin Hs"</formula>
    </cfRule>
  </conditionalFormatting>
  <conditionalFormatting sqref="C43">
    <cfRule type="cellIs" dxfId="24662" priority="11347" stopIfTrue="1" operator="equal">
      <formula>"Towel"</formula>
    </cfRule>
  </conditionalFormatting>
  <conditionalFormatting sqref="C43">
    <cfRule type="cellIs" dxfId="24661" priority="11345" stopIfTrue="1" operator="equal">
      <formula>"Towel"</formula>
    </cfRule>
  </conditionalFormatting>
  <conditionalFormatting sqref="C43">
    <cfRule type="cellIs" dxfId="24660" priority="11346" stopIfTrue="1" operator="equal">
      <formula>"Napkin Hs"</formula>
    </cfRule>
  </conditionalFormatting>
  <conditionalFormatting sqref="B43">
    <cfRule type="cellIs" dxfId="24659" priority="11249" stopIfTrue="1" operator="equal">
      <formula>"Napkin Hs"</formula>
    </cfRule>
  </conditionalFormatting>
  <conditionalFormatting sqref="B43:C43">
    <cfRule type="cellIs" dxfId="24658" priority="11248" stopIfTrue="1" operator="equal">
      <formula>"Towel"</formula>
    </cfRule>
  </conditionalFormatting>
  <conditionalFormatting sqref="B43:C43">
    <cfRule type="cellIs" dxfId="24657" priority="11259" stopIfTrue="1" operator="equal">
      <formula>"Towel"</formula>
    </cfRule>
    <cfRule type="cellIs" dxfId="24656" priority="11260" stopIfTrue="1" operator="equal">
      <formula>"Napkin Hs"</formula>
    </cfRule>
    <cfRule type="cellIs" dxfId="24655" priority="11265" stopIfTrue="1" operator="equal">
      <formula>"Towel"</formula>
    </cfRule>
    <cfRule type="cellIs" dxfId="24654" priority="11266" stopIfTrue="1" operator="equal">
      <formula>"Napkin Hs"</formula>
    </cfRule>
    <cfRule type="cellIs" dxfId="24653" priority="11271" stopIfTrue="1" operator="equal">
      <formula>"Towel"</formula>
    </cfRule>
    <cfRule type="cellIs" dxfId="24652" priority="11272" stopIfTrue="1" operator="equal">
      <formula>"Napkin Hs"</formula>
    </cfRule>
    <cfRule type="cellIs" dxfId="24651" priority="11273" stopIfTrue="1" operator="equal">
      <formula>"Towel"</formula>
    </cfRule>
    <cfRule type="cellIs" dxfId="24650" priority="11274" stopIfTrue="1" operator="equal">
      <formula>"Napkin Hs"</formula>
    </cfRule>
    <cfRule type="cellIs" dxfId="24649" priority="11279" stopIfTrue="1" operator="equal">
      <formula>"Towel"</formula>
    </cfRule>
    <cfRule type="cellIs" dxfId="24648" priority="11280" stopIfTrue="1" operator="equal">
      <formula>"Napkin Hs"</formula>
    </cfRule>
    <cfRule type="cellIs" dxfId="24647" priority="11289" stopIfTrue="1" operator="equal">
      <formula>"Towel"</formula>
    </cfRule>
    <cfRule type="cellIs" dxfId="24646" priority="11290" stopIfTrue="1" operator="equal">
      <formula>"Napkin Hs"</formula>
    </cfRule>
    <cfRule type="cellIs" dxfId="24645" priority="11295" stopIfTrue="1" operator="equal">
      <formula>"Towel"</formula>
    </cfRule>
    <cfRule type="cellIs" dxfId="24644" priority="11296" stopIfTrue="1" operator="equal">
      <formula>"Napkin Hs"</formula>
    </cfRule>
    <cfRule type="cellIs" dxfId="24643" priority="11297" stopIfTrue="1" operator="equal">
      <formula>"Towel"</formula>
    </cfRule>
    <cfRule type="cellIs" dxfId="24642" priority="11298" stopIfTrue="1" operator="equal">
      <formula>"Napkin Hs"</formula>
    </cfRule>
    <cfRule type="cellIs" dxfId="24641" priority="11303" stopIfTrue="1" operator="equal">
      <formula>"Towel"</formula>
    </cfRule>
    <cfRule type="cellIs" dxfId="24640" priority="11304" stopIfTrue="1" operator="equal">
      <formula>"Napkin Hs"</formula>
    </cfRule>
    <cfRule type="cellIs" dxfId="24639" priority="11313" stopIfTrue="1" operator="equal">
      <formula>"Towel"</formula>
    </cfRule>
    <cfRule type="cellIs" dxfId="24638" priority="11314" stopIfTrue="1" operator="equal">
      <formula>"Napkin Hs"</formula>
    </cfRule>
    <cfRule type="cellIs" dxfId="24637" priority="11315" stopIfTrue="1" operator="equal">
      <formula>"Towel"</formula>
    </cfRule>
    <cfRule type="cellIs" dxfId="24636" priority="11316" stopIfTrue="1" operator="equal">
      <formula>"Napkin Hs"</formula>
    </cfRule>
    <cfRule type="cellIs" dxfId="24635" priority="11321" stopIfTrue="1" operator="equal">
      <formula>"Towel"</formula>
    </cfRule>
    <cfRule type="cellIs" dxfId="24634" priority="11322" stopIfTrue="1" operator="equal">
      <formula>"Napkin Hs"</formula>
    </cfRule>
    <cfRule type="cellIs" dxfId="24633" priority="11331" stopIfTrue="1" operator="equal">
      <formula>"Towel"</formula>
    </cfRule>
    <cfRule type="cellIs" dxfId="24632" priority="11332" stopIfTrue="1" operator="equal">
      <formula>"Napkin Hs"</formula>
    </cfRule>
    <cfRule type="cellIs" dxfId="24631" priority="11333" stopIfTrue="1" operator="equal">
      <formula>"Towel"</formula>
    </cfRule>
    <cfRule type="cellIs" dxfId="24630" priority="11334" stopIfTrue="1" operator="equal">
      <formula>"Napkin Hs"</formula>
    </cfRule>
    <cfRule type="cellIs" dxfId="24629" priority="11340" stopIfTrue="1" operator="equal">
      <formula>"Napkin Hs"</formula>
    </cfRule>
  </conditionalFormatting>
  <conditionalFormatting sqref="B43:C43">
    <cfRule type="cellIs" dxfId="24628" priority="11339" stopIfTrue="1" operator="equal">
      <formula>"Towel"</formula>
    </cfRule>
  </conditionalFormatting>
  <conditionalFormatting sqref="C43">
    <cfRule type="cellIs" dxfId="24627" priority="11250" stopIfTrue="1" operator="equal">
      <formula>"Napkin Hs"</formula>
    </cfRule>
    <cfRule type="cellIs" dxfId="24626" priority="11251" stopIfTrue="1" operator="equal">
      <formula>"Towel"</formula>
    </cfRule>
    <cfRule type="cellIs" dxfId="24625" priority="11252" stopIfTrue="1" operator="equal">
      <formula>"Napkin Hs"</formula>
    </cfRule>
    <cfRule type="cellIs" dxfId="24624" priority="11253" stopIfTrue="1" operator="equal">
      <formula>"Towel"</formula>
    </cfRule>
    <cfRule type="cellIs" dxfId="24623" priority="11254" stopIfTrue="1" operator="equal">
      <formula>"Napkin Hs"</formula>
    </cfRule>
    <cfRule type="cellIs" dxfId="24622" priority="11255" stopIfTrue="1" operator="equal">
      <formula>"Towel"</formula>
    </cfRule>
    <cfRule type="cellIs" dxfId="24621" priority="11256" stopIfTrue="1" operator="equal">
      <formula>"Napkin Hs"</formula>
    </cfRule>
    <cfRule type="cellIs" dxfId="24620" priority="11257" stopIfTrue="1" operator="equal">
      <formula>"Towel"</formula>
    </cfRule>
    <cfRule type="cellIs" dxfId="24619" priority="11258" stopIfTrue="1" operator="equal">
      <formula>"Napkin Hs"</formula>
    </cfRule>
    <cfRule type="cellIs" dxfId="24618" priority="11261" stopIfTrue="1" operator="equal">
      <formula>"Towel"</formula>
    </cfRule>
    <cfRule type="cellIs" dxfId="24617" priority="11262" stopIfTrue="1" operator="equal">
      <formula>"Napkin Hs"</formula>
    </cfRule>
    <cfRule type="cellIs" dxfId="24616" priority="11263" stopIfTrue="1" operator="equal">
      <formula>"Towel"</formula>
    </cfRule>
    <cfRule type="cellIs" dxfId="24615" priority="11264" stopIfTrue="1" operator="equal">
      <formula>"Napkin Hs"</formula>
    </cfRule>
    <cfRule type="cellIs" dxfId="24614" priority="11267" stopIfTrue="1" operator="equal">
      <formula>"Towel"</formula>
    </cfRule>
    <cfRule type="cellIs" dxfId="24613" priority="11268" stopIfTrue="1" operator="equal">
      <formula>"Napkin Hs"</formula>
    </cfRule>
    <cfRule type="cellIs" dxfId="24612" priority="11269" stopIfTrue="1" operator="equal">
      <formula>"Towel"</formula>
    </cfRule>
    <cfRule type="cellIs" dxfId="24611" priority="11270" stopIfTrue="1" operator="equal">
      <formula>"Napkin Hs"</formula>
    </cfRule>
    <cfRule type="cellIs" dxfId="24610" priority="11275" stopIfTrue="1" operator="equal">
      <formula>"Towel"</formula>
    </cfRule>
    <cfRule type="cellIs" dxfId="24609" priority="11276" stopIfTrue="1" operator="equal">
      <formula>"Napkin Hs"</formula>
    </cfRule>
    <cfRule type="cellIs" dxfId="24608" priority="11277" stopIfTrue="1" operator="equal">
      <formula>"Towel"</formula>
    </cfRule>
    <cfRule type="cellIs" dxfId="24607" priority="11278" stopIfTrue="1" operator="equal">
      <formula>"Napkin Hs"</formula>
    </cfRule>
    <cfRule type="cellIs" dxfId="24606" priority="11281" stopIfTrue="1" operator="equal">
      <formula>"Towel"</formula>
    </cfRule>
    <cfRule type="cellIs" dxfId="24605" priority="11282" stopIfTrue="1" operator="equal">
      <formula>"Napkin Hs"</formula>
    </cfRule>
    <cfRule type="cellIs" dxfId="24604" priority="11283" stopIfTrue="1" operator="equal">
      <formula>"Towel"</formula>
    </cfRule>
    <cfRule type="cellIs" dxfId="24603" priority="11284" stopIfTrue="1" operator="equal">
      <formula>"Napkin Hs"</formula>
    </cfRule>
    <cfRule type="cellIs" dxfId="24602" priority="11285" stopIfTrue="1" operator="equal">
      <formula>"Towel"</formula>
    </cfRule>
    <cfRule type="cellIs" dxfId="24601" priority="11286" stopIfTrue="1" operator="equal">
      <formula>"Napkin Hs"</formula>
    </cfRule>
    <cfRule type="cellIs" dxfId="24600" priority="11287" stopIfTrue="1" operator="equal">
      <formula>"Towel"</formula>
    </cfRule>
    <cfRule type="cellIs" dxfId="24599" priority="11288" stopIfTrue="1" operator="equal">
      <formula>"Napkin Hs"</formula>
    </cfRule>
    <cfRule type="cellIs" dxfId="24598" priority="11291" stopIfTrue="1" operator="equal">
      <formula>"Towel"</formula>
    </cfRule>
    <cfRule type="cellIs" dxfId="24597" priority="11292" stopIfTrue="1" operator="equal">
      <formula>"Napkin Hs"</formula>
    </cfRule>
    <cfRule type="cellIs" dxfId="24596" priority="11293" stopIfTrue="1" operator="equal">
      <formula>"Towel"</formula>
    </cfRule>
    <cfRule type="cellIs" dxfId="24595" priority="11294" stopIfTrue="1" operator="equal">
      <formula>"Napkin Hs"</formula>
    </cfRule>
    <cfRule type="cellIs" dxfId="24594" priority="11299" stopIfTrue="1" operator="equal">
      <formula>"Towel"</formula>
    </cfRule>
    <cfRule type="cellIs" dxfId="24593" priority="11300" stopIfTrue="1" operator="equal">
      <formula>"Napkin Hs"</formula>
    </cfRule>
    <cfRule type="cellIs" dxfId="24592" priority="11301" stopIfTrue="1" operator="equal">
      <formula>"Towel"</formula>
    </cfRule>
    <cfRule type="cellIs" dxfId="24591" priority="11302" stopIfTrue="1" operator="equal">
      <formula>"Napkin Hs"</formula>
    </cfRule>
    <cfRule type="cellIs" dxfId="24590" priority="11305" stopIfTrue="1" operator="equal">
      <formula>"Towel"</formula>
    </cfRule>
    <cfRule type="cellIs" dxfId="24589" priority="11306" stopIfTrue="1" operator="equal">
      <formula>"Napkin Hs"</formula>
    </cfRule>
    <cfRule type="cellIs" dxfId="24588" priority="11307" stopIfTrue="1" operator="equal">
      <formula>"Towel"</formula>
    </cfRule>
    <cfRule type="cellIs" dxfId="24587" priority="11308" stopIfTrue="1" operator="equal">
      <formula>"Napkin Hs"</formula>
    </cfRule>
    <cfRule type="cellIs" dxfId="24586" priority="11309" stopIfTrue="1" operator="equal">
      <formula>"Towel"</formula>
    </cfRule>
    <cfRule type="cellIs" dxfId="24585" priority="11310" stopIfTrue="1" operator="equal">
      <formula>"Napkin Hs"</formula>
    </cfRule>
    <cfRule type="cellIs" dxfId="24584" priority="11311" stopIfTrue="1" operator="equal">
      <formula>"Towel"</formula>
    </cfRule>
    <cfRule type="cellIs" dxfId="24583" priority="11312" stopIfTrue="1" operator="equal">
      <formula>"Napkin Hs"</formula>
    </cfRule>
    <cfRule type="cellIs" dxfId="24582" priority="11317" stopIfTrue="1" operator="equal">
      <formula>"Towel"</formula>
    </cfRule>
    <cfRule type="cellIs" dxfId="24581" priority="11318" stopIfTrue="1" operator="equal">
      <formula>"Napkin Hs"</formula>
    </cfRule>
    <cfRule type="cellIs" dxfId="24580" priority="11319" stopIfTrue="1" operator="equal">
      <formula>"Towel"</formula>
    </cfRule>
    <cfRule type="cellIs" dxfId="24579" priority="11320" stopIfTrue="1" operator="equal">
      <formula>"Napkin Hs"</formula>
    </cfRule>
    <cfRule type="cellIs" dxfId="24578" priority="11323" stopIfTrue="1" operator="equal">
      <formula>"Towel"</formula>
    </cfRule>
    <cfRule type="cellIs" dxfId="24577" priority="11324" stopIfTrue="1" operator="equal">
      <formula>"Napkin Hs"</formula>
    </cfRule>
    <cfRule type="cellIs" dxfId="24576" priority="11325" stopIfTrue="1" operator="equal">
      <formula>"Towel"</formula>
    </cfRule>
    <cfRule type="cellIs" dxfId="24575" priority="11326" stopIfTrue="1" operator="equal">
      <formula>"Napkin Hs"</formula>
    </cfRule>
    <cfRule type="cellIs" dxfId="24574" priority="11327" stopIfTrue="1" operator="equal">
      <formula>"Towel"</formula>
    </cfRule>
    <cfRule type="cellIs" dxfId="24573" priority="11328" stopIfTrue="1" operator="equal">
      <formula>"Napkin Hs"</formula>
    </cfRule>
    <cfRule type="cellIs" dxfId="24572" priority="11329" stopIfTrue="1" operator="equal">
      <formula>"Towel"</formula>
    </cfRule>
    <cfRule type="cellIs" dxfId="24571" priority="11330" stopIfTrue="1" operator="equal">
      <formula>"Napkin Hs"</formula>
    </cfRule>
    <cfRule type="cellIs" dxfId="24570" priority="11335" stopIfTrue="1" operator="equal">
      <formula>"Towel"</formula>
    </cfRule>
    <cfRule type="cellIs" dxfId="24569" priority="11336" stopIfTrue="1" operator="equal">
      <formula>"Napkin Hs"</formula>
    </cfRule>
    <cfRule type="cellIs" dxfId="24568" priority="11337" stopIfTrue="1" operator="equal">
      <formula>"Towel"</formula>
    </cfRule>
    <cfRule type="cellIs" dxfId="24567" priority="11338" stopIfTrue="1" operator="equal">
      <formula>"Napkin Hs"</formula>
    </cfRule>
    <cfRule type="cellIs" dxfId="24566" priority="11341" stopIfTrue="1" operator="equal">
      <formula>"Towel"</formula>
    </cfRule>
    <cfRule type="cellIs" dxfId="24565" priority="11342" stopIfTrue="1" operator="equal">
      <formula>"Napkin Hs"</formula>
    </cfRule>
    <cfRule type="cellIs" dxfId="24564" priority="11343" stopIfTrue="1" operator="equal">
      <formula>"Towel"</formula>
    </cfRule>
    <cfRule type="cellIs" dxfId="24563" priority="11344" stopIfTrue="1" operator="equal">
      <formula>"Napkin Hs"</formula>
    </cfRule>
  </conditionalFormatting>
  <conditionalFormatting sqref="B43:C43">
    <cfRule type="cellIs" dxfId="24562" priority="11246" stopIfTrue="1" operator="equal">
      <formula>"Towel"</formula>
    </cfRule>
    <cfRule type="cellIs" dxfId="24561" priority="11247" stopIfTrue="1" operator="equal">
      <formula>"Napkin Hs"</formula>
    </cfRule>
  </conditionalFormatting>
  <conditionalFormatting sqref="C43">
    <cfRule type="cellIs" dxfId="24560" priority="11242" stopIfTrue="1" operator="equal">
      <formula>"Towel"</formula>
    </cfRule>
    <cfRule type="cellIs" dxfId="24559" priority="11243" stopIfTrue="1" operator="equal">
      <formula>"Napkin Hs"</formula>
    </cfRule>
  </conditionalFormatting>
  <conditionalFormatting sqref="C43">
    <cfRule type="cellIs" dxfId="24558" priority="11245" stopIfTrue="1" operator="equal">
      <formula>"Napkin Hs"</formula>
    </cfRule>
  </conditionalFormatting>
  <conditionalFormatting sqref="C43">
    <cfRule type="cellIs" dxfId="24557" priority="11244" stopIfTrue="1" operator="equal">
      <formula>"Towel"</formula>
    </cfRule>
  </conditionalFormatting>
  <conditionalFormatting sqref="B48:C48">
    <cfRule type="cellIs" dxfId="24556" priority="11240" stopIfTrue="1" operator="equal">
      <formula>"Towel"</formula>
    </cfRule>
    <cfRule type="cellIs" dxfId="24555" priority="11241" stopIfTrue="1" operator="equal">
      <formula>"Napkin Hs"</formula>
    </cfRule>
  </conditionalFormatting>
  <conditionalFormatting sqref="B49:C49">
    <cfRule type="cellIs" dxfId="24554" priority="11234" stopIfTrue="1" operator="equal">
      <formula>"Towel"</formula>
    </cfRule>
    <cfRule type="cellIs" dxfId="24553" priority="11235" stopIfTrue="1" operator="equal">
      <formula>"Napkin Hs"</formula>
    </cfRule>
  </conditionalFormatting>
  <conditionalFormatting sqref="C48">
    <cfRule type="cellIs" dxfId="24552" priority="11239" stopIfTrue="1" operator="equal">
      <formula>"Napkin Hs"</formula>
    </cfRule>
  </conditionalFormatting>
  <conditionalFormatting sqref="C48">
    <cfRule type="cellIs" dxfId="24551" priority="11238" stopIfTrue="1" operator="equal">
      <formula>"Towel"</formula>
    </cfRule>
  </conditionalFormatting>
  <conditionalFormatting sqref="C48">
    <cfRule type="cellIs" dxfId="24550" priority="11236" stopIfTrue="1" operator="equal">
      <formula>"Towel"</formula>
    </cfRule>
    <cfRule type="cellIs" dxfId="24549" priority="11237" stopIfTrue="1" operator="equal">
      <formula>"Napkin Hs"</formula>
    </cfRule>
  </conditionalFormatting>
  <conditionalFormatting sqref="C49">
    <cfRule type="cellIs" dxfId="24548" priority="11230" stopIfTrue="1" operator="equal">
      <formula>"Towel"</formula>
    </cfRule>
    <cfRule type="cellIs" dxfId="24547" priority="11231" stopIfTrue="1" operator="equal">
      <formula>"Napkin Hs"</formula>
    </cfRule>
  </conditionalFormatting>
  <conditionalFormatting sqref="C49">
    <cfRule type="cellIs" dxfId="24546" priority="11232" stopIfTrue="1" operator="equal">
      <formula>"Towel"</formula>
    </cfRule>
    <cfRule type="cellIs" dxfId="24545" priority="11233" stopIfTrue="1" operator="equal">
      <formula>"Napkin Hs"</formula>
    </cfRule>
  </conditionalFormatting>
  <conditionalFormatting sqref="C47">
    <cfRule type="cellIs" dxfId="24544" priority="11222" stopIfTrue="1" operator="equal">
      <formula>"Towel"</formula>
    </cfRule>
    <cfRule type="cellIs" dxfId="24543" priority="11223" stopIfTrue="1" operator="equal">
      <formula>"Napkin Hs"</formula>
    </cfRule>
  </conditionalFormatting>
  <conditionalFormatting sqref="C47">
    <cfRule type="cellIs" dxfId="24542" priority="11224" stopIfTrue="1" operator="equal">
      <formula>"Towel"</formula>
    </cfRule>
    <cfRule type="cellIs" dxfId="24541" priority="11225" stopIfTrue="1" operator="equal">
      <formula>"Napkin Hs"</formula>
    </cfRule>
  </conditionalFormatting>
  <conditionalFormatting sqref="C47">
    <cfRule type="cellIs" dxfId="24540" priority="11220" stopIfTrue="1" operator="equal">
      <formula>"Towel"</formula>
    </cfRule>
    <cfRule type="cellIs" dxfId="24539" priority="11221" stopIfTrue="1" operator="equal">
      <formula>"Napkin Hs"</formula>
    </cfRule>
  </conditionalFormatting>
  <conditionalFormatting sqref="C47">
    <cfRule type="cellIs" dxfId="24538" priority="11218" stopIfTrue="1" operator="equal">
      <formula>"Towel"</formula>
    </cfRule>
    <cfRule type="cellIs" dxfId="24537" priority="11219" stopIfTrue="1" operator="equal">
      <formula>"Napkin Hs"</formula>
    </cfRule>
  </conditionalFormatting>
  <conditionalFormatting sqref="C47">
    <cfRule type="cellIs" dxfId="24536" priority="11226" stopIfTrue="1" operator="equal">
      <formula>"Towel"</formula>
    </cfRule>
    <cfRule type="cellIs" dxfId="24535" priority="11227" stopIfTrue="1" operator="equal">
      <formula>"Napkin Hs"</formula>
    </cfRule>
  </conditionalFormatting>
  <conditionalFormatting sqref="C47">
    <cfRule type="cellIs" dxfId="24534" priority="11228" stopIfTrue="1" operator="equal">
      <formula>"Towel"</formula>
    </cfRule>
    <cfRule type="cellIs" dxfId="24533" priority="11229" stopIfTrue="1" operator="equal">
      <formula>"Napkin Hs"</formula>
    </cfRule>
  </conditionalFormatting>
  <conditionalFormatting sqref="B47">
    <cfRule type="cellIs" dxfId="24532" priority="11216" stopIfTrue="1" operator="equal">
      <formula>"Towel"</formula>
    </cfRule>
    <cfRule type="cellIs" dxfId="24531" priority="11217" stopIfTrue="1" operator="equal">
      <formula>"Napkin Hs"</formula>
    </cfRule>
  </conditionalFormatting>
  <conditionalFormatting sqref="B47">
    <cfRule type="cellIs" dxfId="24530" priority="11214" stopIfTrue="1" operator="equal">
      <formula>"Towel"</formula>
    </cfRule>
    <cfRule type="cellIs" dxfId="24529" priority="11215" stopIfTrue="1" operator="equal">
      <formula>"Napkin Hs"</formula>
    </cfRule>
  </conditionalFormatting>
  <conditionalFormatting sqref="B49:C49">
    <cfRule type="cellIs" dxfId="24528" priority="11212" stopIfTrue="1" operator="equal">
      <formula>"Towel"</formula>
    </cfRule>
    <cfRule type="cellIs" dxfId="24527" priority="11213" stopIfTrue="1" operator="equal">
      <formula>"Napkin Hs"</formula>
    </cfRule>
  </conditionalFormatting>
  <conditionalFormatting sqref="C49">
    <cfRule type="cellIs" dxfId="24526" priority="11208" stopIfTrue="1" operator="equal">
      <formula>"Towel"</formula>
    </cfRule>
    <cfRule type="cellIs" dxfId="24525" priority="11209" stopIfTrue="1" operator="equal">
      <formula>"Napkin Hs"</formula>
    </cfRule>
  </conditionalFormatting>
  <conditionalFormatting sqref="C49">
    <cfRule type="cellIs" dxfId="24524" priority="11210" stopIfTrue="1" operator="equal">
      <formula>"Towel"</formula>
    </cfRule>
    <cfRule type="cellIs" dxfId="24523" priority="11211" stopIfTrue="1" operator="equal">
      <formula>"Napkin Hs"</formula>
    </cfRule>
  </conditionalFormatting>
  <conditionalFormatting sqref="C48">
    <cfRule type="cellIs" dxfId="24522" priority="11200" stopIfTrue="1" operator="equal">
      <formula>"Towel"</formula>
    </cfRule>
    <cfRule type="cellIs" dxfId="24521" priority="11201" stopIfTrue="1" operator="equal">
      <formula>"Napkin Hs"</formula>
    </cfRule>
  </conditionalFormatting>
  <conditionalFormatting sqref="B48:C48">
    <cfRule type="cellIs" dxfId="24520" priority="11202" stopIfTrue="1" operator="equal">
      <formula>"Towel"</formula>
    </cfRule>
    <cfRule type="cellIs" dxfId="24519" priority="11203" stopIfTrue="1" operator="equal">
      <formula>"Napkin Hs"</formula>
    </cfRule>
  </conditionalFormatting>
  <conditionalFormatting sqref="C48">
    <cfRule type="cellIs" dxfId="24518" priority="11198" stopIfTrue="1" operator="equal">
      <formula>"Towel"</formula>
    </cfRule>
    <cfRule type="cellIs" dxfId="24517" priority="11199" stopIfTrue="1" operator="equal">
      <formula>"Napkin Hs"</formula>
    </cfRule>
  </conditionalFormatting>
  <conditionalFormatting sqref="B48:C48">
    <cfRule type="cellIs" dxfId="24516" priority="11196" stopIfTrue="1" operator="equal">
      <formula>"Towel"</formula>
    </cfRule>
    <cfRule type="cellIs" dxfId="24515" priority="11197" stopIfTrue="1" operator="equal">
      <formula>"Napkin Hs"</formula>
    </cfRule>
  </conditionalFormatting>
  <conditionalFormatting sqref="C48">
    <cfRule type="cellIs" dxfId="24514" priority="11204" stopIfTrue="1" operator="equal">
      <formula>"Towel"</formula>
    </cfRule>
    <cfRule type="cellIs" dxfId="24513" priority="11205" stopIfTrue="1" operator="equal">
      <formula>"Napkin Hs"</formula>
    </cfRule>
  </conditionalFormatting>
  <conditionalFormatting sqref="C48">
    <cfRule type="cellIs" dxfId="24512" priority="11206" stopIfTrue="1" operator="equal">
      <formula>"Towel"</formula>
    </cfRule>
    <cfRule type="cellIs" dxfId="24511" priority="11207" stopIfTrue="1" operator="equal">
      <formula>"Napkin Hs"</formula>
    </cfRule>
  </conditionalFormatting>
  <conditionalFormatting sqref="B49:C49">
    <cfRule type="cellIs" dxfId="24510" priority="11194" stopIfTrue="1" operator="equal">
      <formula>"Towel"</formula>
    </cfRule>
    <cfRule type="cellIs" dxfId="24509" priority="11195" stopIfTrue="1" operator="equal">
      <formula>"Napkin Hs"</formula>
    </cfRule>
  </conditionalFormatting>
  <conditionalFormatting sqref="C49">
    <cfRule type="cellIs" dxfId="24508" priority="11192" stopIfTrue="1" operator="equal">
      <formula>"Towel"</formula>
    </cfRule>
    <cfRule type="cellIs" dxfId="24507" priority="11193" stopIfTrue="1" operator="equal">
      <formula>"Napkin Hs"</formula>
    </cfRule>
  </conditionalFormatting>
  <conditionalFormatting sqref="C49">
    <cfRule type="cellIs" dxfId="24506" priority="11190" stopIfTrue="1" operator="equal">
      <formula>"Towel"</formula>
    </cfRule>
    <cfRule type="cellIs" dxfId="24505" priority="11191" stopIfTrue="1" operator="equal">
      <formula>"Napkin Hs"</formula>
    </cfRule>
  </conditionalFormatting>
  <conditionalFormatting sqref="B48:C48">
    <cfRule type="cellIs" dxfId="24504" priority="11188" stopIfTrue="1" operator="equal">
      <formula>"Towel"</formula>
    </cfRule>
    <cfRule type="cellIs" dxfId="24503" priority="11189" stopIfTrue="1" operator="equal">
      <formula>"Napkin Hs"</formula>
    </cfRule>
  </conditionalFormatting>
  <conditionalFormatting sqref="C48">
    <cfRule type="cellIs" dxfId="24502" priority="11184" stopIfTrue="1" operator="equal">
      <formula>"Towel"</formula>
    </cfRule>
    <cfRule type="cellIs" dxfId="24501" priority="11185" stopIfTrue="1" operator="equal">
      <formula>"Napkin Hs"</formula>
    </cfRule>
  </conditionalFormatting>
  <conditionalFormatting sqref="C48">
    <cfRule type="cellIs" dxfId="24500" priority="11186" stopIfTrue="1" operator="equal">
      <formula>"Towel"</formula>
    </cfRule>
    <cfRule type="cellIs" dxfId="24499" priority="11187" stopIfTrue="1" operator="equal">
      <formula>"Napkin Hs"</formula>
    </cfRule>
  </conditionalFormatting>
  <conditionalFormatting sqref="B48:C48">
    <cfRule type="cellIs" dxfId="24498" priority="11182" stopIfTrue="1" operator="equal">
      <formula>"Towel"</formula>
    </cfRule>
    <cfRule type="cellIs" dxfId="24497" priority="11183" stopIfTrue="1" operator="equal">
      <formula>"Napkin Hs"</formula>
    </cfRule>
  </conditionalFormatting>
  <conditionalFormatting sqref="C48">
    <cfRule type="cellIs" dxfId="24496" priority="11178" stopIfTrue="1" operator="equal">
      <formula>"Towel"</formula>
    </cfRule>
    <cfRule type="cellIs" dxfId="24495" priority="11179" stopIfTrue="1" operator="equal">
      <formula>"Napkin Hs"</formula>
    </cfRule>
  </conditionalFormatting>
  <conditionalFormatting sqref="C48">
    <cfRule type="cellIs" dxfId="24494" priority="11180" stopIfTrue="1" operator="equal">
      <formula>"Towel"</formula>
    </cfRule>
    <cfRule type="cellIs" dxfId="24493" priority="11181" stopIfTrue="1" operator="equal">
      <formula>"Napkin Hs"</formula>
    </cfRule>
  </conditionalFormatting>
  <conditionalFormatting sqref="C49">
    <cfRule type="cellIs" dxfId="24492" priority="11170" stopIfTrue="1" operator="equal">
      <formula>"Towel"</formula>
    </cfRule>
    <cfRule type="cellIs" dxfId="24491" priority="11171" stopIfTrue="1" operator="equal">
      <formula>"Napkin Hs"</formula>
    </cfRule>
  </conditionalFormatting>
  <conditionalFormatting sqref="B49:C49">
    <cfRule type="cellIs" dxfId="24490" priority="11172" stopIfTrue="1" operator="equal">
      <formula>"Towel"</formula>
    </cfRule>
    <cfRule type="cellIs" dxfId="24489" priority="11173" stopIfTrue="1" operator="equal">
      <formula>"Napkin Hs"</formula>
    </cfRule>
  </conditionalFormatting>
  <conditionalFormatting sqref="C49">
    <cfRule type="cellIs" dxfId="24488" priority="11168" stopIfTrue="1" operator="equal">
      <formula>"Towel"</formula>
    </cfRule>
    <cfRule type="cellIs" dxfId="24487" priority="11169" stopIfTrue="1" operator="equal">
      <formula>"Napkin Hs"</formula>
    </cfRule>
  </conditionalFormatting>
  <conditionalFormatting sqref="B49:C49">
    <cfRule type="cellIs" dxfId="24486" priority="11166" stopIfTrue="1" operator="equal">
      <formula>"Towel"</formula>
    </cfRule>
    <cfRule type="cellIs" dxfId="24485" priority="11167" stopIfTrue="1" operator="equal">
      <formula>"Napkin Hs"</formula>
    </cfRule>
  </conditionalFormatting>
  <conditionalFormatting sqref="C49">
    <cfRule type="cellIs" dxfId="24484" priority="11174" stopIfTrue="1" operator="equal">
      <formula>"Towel"</formula>
    </cfRule>
    <cfRule type="cellIs" dxfId="24483" priority="11175" stopIfTrue="1" operator="equal">
      <formula>"Napkin Hs"</formula>
    </cfRule>
  </conditionalFormatting>
  <conditionalFormatting sqref="C49">
    <cfRule type="cellIs" dxfId="24482" priority="11176" stopIfTrue="1" operator="equal">
      <formula>"Towel"</formula>
    </cfRule>
    <cfRule type="cellIs" dxfId="24481" priority="11177" stopIfTrue="1" operator="equal">
      <formula>"Napkin Hs"</formula>
    </cfRule>
  </conditionalFormatting>
  <conditionalFormatting sqref="B49:C49">
    <cfRule type="cellIs" dxfId="24480" priority="11164" stopIfTrue="1" operator="equal">
      <formula>"Towel"</formula>
    </cfRule>
    <cfRule type="cellIs" dxfId="24479" priority="11165" stopIfTrue="1" operator="equal">
      <formula>"Napkin Hs"</formula>
    </cfRule>
  </conditionalFormatting>
  <conditionalFormatting sqref="C49">
    <cfRule type="cellIs" dxfId="24478" priority="11156" stopIfTrue="1" operator="equal">
      <formula>"Towel"</formula>
    </cfRule>
    <cfRule type="cellIs" dxfId="24477" priority="11157" stopIfTrue="1" operator="equal">
      <formula>"Napkin Hs"</formula>
    </cfRule>
  </conditionalFormatting>
  <conditionalFormatting sqref="C49">
    <cfRule type="cellIs" dxfId="24476" priority="11160" stopIfTrue="1" operator="equal">
      <formula>"Towel"</formula>
    </cfRule>
    <cfRule type="cellIs" dxfId="24475" priority="11161" stopIfTrue="1" operator="equal">
      <formula>"Napkin Hs"</formula>
    </cfRule>
  </conditionalFormatting>
  <conditionalFormatting sqref="C49">
    <cfRule type="cellIs" dxfId="24474" priority="11163" stopIfTrue="1" operator="equal">
      <formula>"Napkin Hs"</formula>
    </cfRule>
  </conditionalFormatting>
  <conditionalFormatting sqref="C49">
    <cfRule type="cellIs" dxfId="24473" priority="11158" stopIfTrue="1" operator="equal">
      <formula>"Towel"</formula>
    </cfRule>
    <cfRule type="cellIs" dxfId="24472" priority="11159" stopIfTrue="1" operator="equal">
      <formula>"Napkin Hs"</formula>
    </cfRule>
  </conditionalFormatting>
  <conditionalFormatting sqref="C49">
    <cfRule type="cellIs" dxfId="24471" priority="11162" stopIfTrue="1" operator="equal">
      <formula>"Towel"</formula>
    </cfRule>
  </conditionalFormatting>
  <conditionalFormatting sqref="C49">
    <cfRule type="cellIs" dxfId="24470" priority="11154" stopIfTrue="1" operator="equal">
      <formula>"Towel"</formula>
    </cfRule>
    <cfRule type="cellIs" dxfId="24469" priority="11155" stopIfTrue="1" operator="equal">
      <formula>"Napkin Hs"</formula>
    </cfRule>
  </conditionalFormatting>
  <conditionalFormatting sqref="B49">
    <cfRule type="cellIs" dxfId="24468" priority="11152" stopIfTrue="1" operator="equal">
      <formula>"Towel"</formula>
    </cfRule>
    <cfRule type="cellIs" dxfId="24467" priority="11153" stopIfTrue="1" operator="equal">
      <formula>"Napkin Hs"</formula>
    </cfRule>
  </conditionalFormatting>
  <conditionalFormatting sqref="C48">
    <cfRule type="cellIs" dxfId="24466" priority="11148" stopIfTrue="1" operator="equal">
      <formula>"Towel"</formula>
    </cfRule>
    <cfRule type="cellIs" dxfId="24465" priority="11149" stopIfTrue="1" operator="equal">
      <formula>"Napkin Hs"</formula>
    </cfRule>
  </conditionalFormatting>
  <conditionalFormatting sqref="C48">
    <cfRule type="cellIs" dxfId="24464" priority="11150" stopIfTrue="1" operator="equal">
      <formula>"Towel"</formula>
    </cfRule>
    <cfRule type="cellIs" dxfId="24463" priority="11151" stopIfTrue="1" operator="equal">
      <formula>"Napkin Hs"</formula>
    </cfRule>
  </conditionalFormatting>
  <conditionalFormatting sqref="C48">
    <cfRule type="cellIs" dxfId="24462" priority="11146" stopIfTrue="1" operator="equal">
      <formula>"Towel"</formula>
    </cfRule>
    <cfRule type="cellIs" dxfId="24461" priority="11147" stopIfTrue="1" operator="equal">
      <formula>"Napkin Hs"</formula>
    </cfRule>
  </conditionalFormatting>
  <conditionalFormatting sqref="B48">
    <cfRule type="cellIs" dxfId="24460" priority="11144" stopIfTrue="1" operator="equal">
      <formula>"Towel"</formula>
    </cfRule>
    <cfRule type="cellIs" dxfId="24459" priority="11145" stopIfTrue="1" operator="equal">
      <formula>"Napkin Hs"</formula>
    </cfRule>
  </conditionalFormatting>
  <conditionalFormatting sqref="C47">
    <cfRule type="cellIs" dxfId="24458" priority="11136" stopIfTrue="1" operator="equal">
      <formula>"Towel"</formula>
    </cfRule>
    <cfRule type="cellIs" dxfId="24457" priority="11137" stopIfTrue="1" operator="equal">
      <formula>"Napkin Hs"</formula>
    </cfRule>
  </conditionalFormatting>
  <conditionalFormatting sqref="B47:C47">
    <cfRule type="cellIs" dxfId="24456" priority="11138" stopIfTrue="1" operator="equal">
      <formula>"Towel"</formula>
    </cfRule>
    <cfRule type="cellIs" dxfId="24455" priority="11139" stopIfTrue="1" operator="equal">
      <formula>"Napkin Hs"</formula>
    </cfRule>
  </conditionalFormatting>
  <conditionalFormatting sqref="C47">
    <cfRule type="cellIs" dxfId="24454" priority="11134" stopIfTrue="1" operator="equal">
      <formula>"Towel"</formula>
    </cfRule>
    <cfRule type="cellIs" dxfId="24453" priority="11135" stopIfTrue="1" operator="equal">
      <formula>"Napkin Hs"</formula>
    </cfRule>
  </conditionalFormatting>
  <conditionalFormatting sqref="B47:C47">
    <cfRule type="cellIs" dxfId="24452" priority="11132" stopIfTrue="1" operator="equal">
      <formula>"Towel"</formula>
    </cfRule>
    <cfRule type="cellIs" dxfId="24451" priority="11133" stopIfTrue="1" operator="equal">
      <formula>"Napkin Hs"</formula>
    </cfRule>
  </conditionalFormatting>
  <conditionalFormatting sqref="C47">
    <cfRule type="cellIs" dxfId="24450" priority="11140" stopIfTrue="1" operator="equal">
      <formula>"Towel"</formula>
    </cfRule>
    <cfRule type="cellIs" dxfId="24449" priority="11141" stopIfTrue="1" operator="equal">
      <formula>"Napkin Hs"</formula>
    </cfRule>
  </conditionalFormatting>
  <conditionalFormatting sqref="C47">
    <cfRule type="cellIs" dxfId="24448" priority="11142" stopIfTrue="1" operator="equal">
      <formula>"Towel"</formula>
    </cfRule>
    <cfRule type="cellIs" dxfId="24447" priority="11143" stopIfTrue="1" operator="equal">
      <formula>"Napkin Hs"</formula>
    </cfRule>
  </conditionalFormatting>
  <conditionalFormatting sqref="B47:C47">
    <cfRule type="cellIs" dxfId="24446" priority="11130" stopIfTrue="1" operator="equal">
      <formula>"Towel"</formula>
    </cfRule>
    <cfRule type="cellIs" dxfId="24445" priority="11131" stopIfTrue="1" operator="equal">
      <formula>"Napkin Hs"</formula>
    </cfRule>
  </conditionalFormatting>
  <conditionalFormatting sqref="C47">
    <cfRule type="cellIs" dxfId="24444" priority="11122" stopIfTrue="1" operator="equal">
      <formula>"Towel"</formula>
    </cfRule>
    <cfRule type="cellIs" dxfId="24443" priority="11123" stopIfTrue="1" operator="equal">
      <formula>"Napkin Hs"</formula>
    </cfRule>
  </conditionalFormatting>
  <conditionalFormatting sqref="C47">
    <cfRule type="cellIs" dxfId="24442" priority="11126" stopIfTrue="1" operator="equal">
      <formula>"Towel"</formula>
    </cfRule>
    <cfRule type="cellIs" dxfId="24441" priority="11127" stopIfTrue="1" operator="equal">
      <formula>"Napkin Hs"</formula>
    </cfRule>
  </conditionalFormatting>
  <conditionalFormatting sqref="C47">
    <cfRule type="cellIs" dxfId="24440" priority="11129" stopIfTrue="1" operator="equal">
      <formula>"Napkin Hs"</formula>
    </cfRule>
  </conditionalFormatting>
  <conditionalFormatting sqref="C47">
    <cfRule type="cellIs" dxfId="24439" priority="11124" stopIfTrue="1" operator="equal">
      <formula>"Towel"</formula>
    </cfRule>
    <cfRule type="cellIs" dxfId="24438" priority="11125" stopIfTrue="1" operator="equal">
      <formula>"Napkin Hs"</formula>
    </cfRule>
  </conditionalFormatting>
  <conditionalFormatting sqref="C47">
    <cfRule type="cellIs" dxfId="24437" priority="11128" stopIfTrue="1" operator="equal">
      <formula>"Towel"</formula>
    </cfRule>
  </conditionalFormatting>
  <conditionalFormatting sqref="C47">
    <cfRule type="cellIs" dxfId="24436" priority="11120" stopIfTrue="1" operator="equal">
      <formula>"Towel"</formula>
    </cfRule>
    <cfRule type="cellIs" dxfId="24435" priority="11121" stopIfTrue="1" operator="equal">
      <formula>"Napkin Hs"</formula>
    </cfRule>
  </conditionalFormatting>
  <conditionalFormatting sqref="B47">
    <cfRule type="cellIs" dxfId="24434" priority="11118" stopIfTrue="1" operator="equal">
      <formula>"Towel"</formula>
    </cfRule>
    <cfRule type="cellIs" dxfId="24433" priority="11119" stopIfTrue="1" operator="equal">
      <formula>"Napkin Hs"</formula>
    </cfRule>
  </conditionalFormatting>
  <conditionalFormatting sqref="B47:C47">
    <cfRule type="cellIs" dxfId="24432" priority="11116" stopIfTrue="1" operator="equal">
      <formula>"Towel"</formula>
    </cfRule>
    <cfRule type="cellIs" dxfId="24431" priority="11117" stopIfTrue="1" operator="equal">
      <formula>"Napkin Hs"</formula>
    </cfRule>
  </conditionalFormatting>
  <conditionalFormatting sqref="C47">
    <cfRule type="cellIs" dxfId="24430" priority="11108" stopIfTrue="1" operator="equal">
      <formula>"Towel"</formula>
    </cfRule>
    <cfRule type="cellIs" dxfId="24429" priority="11109" stopIfTrue="1" operator="equal">
      <formula>"Napkin Hs"</formula>
    </cfRule>
  </conditionalFormatting>
  <conditionalFormatting sqref="C47">
    <cfRule type="cellIs" dxfId="24428" priority="11112" stopIfTrue="1" operator="equal">
      <formula>"Towel"</formula>
    </cfRule>
    <cfRule type="cellIs" dxfId="24427" priority="11113" stopIfTrue="1" operator="equal">
      <formula>"Napkin Hs"</formula>
    </cfRule>
  </conditionalFormatting>
  <conditionalFormatting sqref="C47">
    <cfRule type="cellIs" dxfId="24426" priority="11115" stopIfTrue="1" operator="equal">
      <formula>"Napkin Hs"</formula>
    </cfRule>
  </conditionalFormatting>
  <conditionalFormatting sqref="C47">
    <cfRule type="cellIs" dxfId="24425" priority="11110" stopIfTrue="1" operator="equal">
      <formula>"Towel"</formula>
    </cfRule>
    <cfRule type="cellIs" dxfId="24424" priority="11111" stopIfTrue="1" operator="equal">
      <formula>"Napkin Hs"</formula>
    </cfRule>
  </conditionalFormatting>
  <conditionalFormatting sqref="C47">
    <cfRule type="cellIs" dxfId="24423" priority="11114" stopIfTrue="1" operator="equal">
      <formula>"Towel"</formula>
    </cfRule>
  </conditionalFormatting>
  <conditionalFormatting sqref="C47">
    <cfRule type="cellIs" dxfId="24422" priority="11106" stopIfTrue="1" operator="equal">
      <formula>"Towel"</formula>
    </cfRule>
    <cfRule type="cellIs" dxfId="24421" priority="11107" stopIfTrue="1" operator="equal">
      <formula>"Napkin Hs"</formula>
    </cfRule>
  </conditionalFormatting>
  <conditionalFormatting sqref="B47">
    <cfRule type="cellIs" dxfId="24420" priority="11104" stopIfTrue="1" operator="equal">
      <formula>"Towel"</formula>
    </cfRule>
    <cfRule type="cellIs" dxfId="24419" priority="11105" stopIfTrue="1" operator="equal">
      <formula>"Napkin Hs"</formula>
    </cfRule>
  </conditionalFormatting>
  <conditionalFormatting sqref="B47:C47">
    <cfRule type="cellIs" dxfId="24418" priority="11080" stopIfTrue="1" operator="equal">
      <formula>"Towel"</formula>
    </cfRule>
  </conditionalFormatting>
  <conditionalFormatting sqref="B47:C47">
    <cfRule type="cellIs" dxfId="24417" priority="11081" stopIfTrue="1" operator="equal">
      <formula>"Napkin Hs"</formula>
    </cfRule>
    <cfRule type="cellIs" dxfId="24416" priority="11086" stopIfTrue="1" operator="equal">
      <formula>"Towel"</formula>
    </cfRule>
    <cfRule type="cellIs" dxfId="24415" priority="11087" stopIfTrue="1" operator="equal">
      <formula>"Napkin Hs"</formula>
    </cfRule>
    <cfRule type="cellIs" dxfId="24414" priority="11096" stopIfTrue="1" operator="equal">
      <formula>"Towel"</formula>
    </cfRule>
    <cfRule type="cellIs" dxfId="24413" priority="11097" stopIfTrue="1" operator="equal">
      <formula>"Napkin Hs"</formula>
    </cfRule>
    <cfRule type="cellIs" dxfId="24412" priority="11102" stopIfTrue="1" operator="equal">
      <formula>"Towel"</formula>
    </cfRule>
    <cfRule type="cellIs" dxfId="24411" priority="11103" stopIfTrue="1" operator="equal">
      <formula>"Napkin Hs"</formula>
    </cfRule>
  </conditionalFormatting>
  <conditionalFormatting sqref="C47">
    <cfRule type="cellIs" dxfId="24410" priority="11082" stopIfTrue="1" operator="equal">
      <formula>"Towel"</formula>
    </cfRule>
    <cfRule type="cellIs" dxfId="24409" priority="11083" stopIfTrue="1" operator="equal">
      <formula>"Napkin Hs"</formula>
    </cfRule>
    <cfRule type="cellIs" dxfId="24408" priority="11084" stopIfTrue="1" operator="equal">
      <formula>"Towel"</formula>
    </cfRule>
    <cfRule type="cellIs" dxfId="24407" priority="11085" stopIfTrue="1" operator="equal">
      <formula>"Napkin Hs"</formula>
    </cfRule>
    <cfRule type="cellIs" dxfId="24406" priority="11088" stopIfTrue="1" operator="equal">
      <formula>"Towel"</formula>
    </cfRule>
    <cfRule type="cellIs" dxfId="24405" priority="11089" stopIfTrue="1" operator="equal">
      <formula>"Napkin Hs"</formula>
    </cfRule>
    <cfRule type="cellIs" dxfId="24404" priority="11090" stopIfTrue="1" operator="equal">
      <formula>"Towel"</formula>
    </cfRule>
    <cfRule type="cellIs" dxfId="24403" priority="11091" stopIfTrue="1" operator="equal">
      <formula>"Napkin Hs"</formula>
    </cfRule>
    <cfRule type="cellIs" dxfId="24402" priority="11092" stopIfTrue="1" operator="equal">
      <formula>"Towel"</formula>
    </cfRule>
    <cfRule type="cellIs" dxfId="24401" priority="11093" stopIfTrue="1" operator="equal">
      <formula>"Napkin Hs"</formula>
    </cfRule>
    <cfRule type="cellIs" dxfId="24400" priority="11094" stopIfTrue="1" operator="equal">
      <formula>"Towel"</formula>
    </cfRule>
    <cfRule type="cellIs" dxfId="24399" priority="11095" stopIfTrue="1" operator="equal">
      <formula>"Napkin Hs"</formula>
    </cfRule>
    <cfRule type="cellIs" dxfId="24398" priority="11098" stopIfTrue="1" operator="equal">
      <formula>"Towel"</formula>
    </cfRule>
    <cfRule type="cellIs" dxfId="24397" priority="11099" stopIfTrue="1" operator="equal">
      <formula>"Napkin Hs"</formula>
    </cfRule>
    <cfRule type="cellIs" dxfId="24396" priority="11101" stopIfTrue="1" operator="equal">
      <formula>"Napkin Hs"</formula>
    </cfRule>
  </conditionalFormatting>
  <conditionalFormatting sqref="C47">
    <cfRule type="cellIs" dxfId="24395" priority="11100" stopIfTrue="1" operator="equal">
      <formula>"Towel"</formula>
    </cfRule>
  </conditionalFormatting>
  <conditionalFormatting sqref="B47:C47">
    <cfRule type="cellIs" dxfId="24394" priority="11078" stopIfTrue="1" operator="equal">
      <formula>"Towel"</formula>
    </cfRule>
    <cfRule type="cellIs" dxfId="24393" priority="11079" stopIfTrue="1" operator="equal">
      <formula>"Napkin Hs"</formula>
    </cfRule>
  </conditionalFormatting>
  <conditionalFormatting sqref="C47">
    <cfRule type="cellIs" dxfId="24392" priority="11077" stopIfTrue="1" operator="equal">
      <formula>"Napkin Hs"</formula>
    </cfRule>
  </conditionalFormatting>
  <conditionalFormatting sqref="C47">
    <cfRule type="cellIs" dxfId="24391" priority="11076" stopIfTrue="1" operator="equal">
      <formula>"Towel"</formula>
    </cfRule>
  </conditionalFormatting>
  <conditionalFormatting sqref="C47">
    <cfRule type="cellIs" dxfId="24390" priority="11074" stopIfTrue="1" operator="equal">
      <formula>"Towel"</formula>
    </cfRule>
  </conditionalFormatting>
  <conditionalFormatting sqref="C47">
    <cfRule type="cellIs" dxfId="24389" priority="11075" stopIfTrue="1" operator="equal">
      <formula>"Napkin Hs"</formula>
    </cfRule>
  </conditionalFormatting>
  <conditionalFormatting sqref="B47">
    <cfRule type="cellIs" dxfId="24388" priority="10978" stopIfTrue="1" operator="equal">
      <formula>"Napkin Hs"</formula>
    </cfRule>
  </conditionalFormatting>
  <conditionalFormatting sqref="B47:C47">
    <cfRule type="cellIs" dxfId="24387" priority="10977" stopIfTrue="1" operator="equal">
      <formula>"Towel"</formula>
    </cfRule>
  </conditionalFormatting>
  <conditionalFormatting sqref="B47:C47">
    <cfRule type="cellIs" dxfId="24386" priority="10988" stopIfTrue="1" operator="equal">
      <formula>"Towel"</formula>
    </cfRule>
    <cfRule type="cellIs" dxfId="24385" priority="10989" stopIfTrue="1" operator="equal">
      <formula>"Napkin Hs"</formula>
    </cfRule>
    <cfRule type="cellIs" dxfId="24384" priority="10994" stopIfTrue="1" operator="equal">
      <formula>"Towel"</formula>
    </cfRule>
    <cfRule type="cellIs" dxfId="24383" priority="10995" stopIfTrue="1" operator="equal">
      <formula>"Napkin Hs"</formula>
    </cfRule>
    <cfRule type="cellIs" dxfId="24382" priority="11000" stopIfTrue="1" operator="equal">
      <formula>"Towel"</formula>
    </cfRule>
    <cfRule type="cellIs" dxfId="24381" priority="11001" stopIfTrue="1" operator="equal">
      <formula>"Napkin Hs"</formula>
    </cfRule>
    <cfRule type="cellIs" dxfId="24380" priority="11002" stopIfTrue="1" operator="equal">
      <formula>"Towel"</formula>
    </cfRule>
    <cfRule type="cellIs" dxfId="24379" priority="11003" stopIfTrue="1" operator="equal">
      <formula>"Napkin Hs"</formula>
    </cfRule>
    <cfRule type="cellIs" dxfId="24378" priority="11008" stopIfTrue="1" operator="equal">
      <formula>"Towel"</formula>
    </cfRule>
    <cfRule type="cellIs" dxfId="24377" priority="11009" stopIfTrue="1" operator="equal">
      <formula>"Napkin Hs"</formula>
    </cfRule>
    <cfRule type="cellIs" dxfId="24376" priority="11018" stopIfTrue="1" operator="equal">
      <formula>"Towel"</formula>
    </cfRule>
    <cfRule type="cellIs" dxfId="24375" priority="11019" stopIfTrue="1" operator="equal">
      <formula>"Napkin Hs"</formula>
    </cfRule>
    <cfRule type="cellIs" dxfId="24374" priority="11024" stopIfTrue="1" operator="equal">
      <formula>"Towel"</formula>
    </cfRule>
    <cfRule type="cellIs" dxfId="24373" priority="11025" stopIfTrue="1" operator="equal">
      <formula>"Napkin Hs"</formula>
    </cfRule>
    <cfRule type="cellIs" dxfId="24372" priority="11026" stopIfTrue="1" operator="equal">
      <formula>"Towel"</formula>
    </cfRule>
    <cfRule type="cellIs" dxfId="24371" priority="11027" stopIfTrue="1" operator="equal">
      <formula>"Napkin Hs"</formula>
    </cfRule>
    <cfRule type="cellIs" dxfId="24370" priority="11032" stopIfTrue="1" operator="equal">
      <formula>"Towel"</formula>
    </cfRule>
    <cfRule type="cellIs" dxfId="24369" priority="11033" stopIfTrue="1" operator="equal">
      <formula>"Napkin Hs"</formula>
    </cfRule>
    <cfRule type="cellIs" dxfId="24368" priority="11042" stopIfTrue="1" operator="equal">
      <formula>"Towel"</formula>
    </cfRule>
    <cfRule type="cellIs" dxfId="24367" priority="11043" stopIfTrue="1" operator="equal">
      <formula>"Napkin Hs"</formula>
    </cfRule>
    <cfRule type="cellIs" dxfId="24366" priority="11044" stopIfTrue="1" operator="equal">
      <formula>"Towel"</formula>
    </cfRule>
    <cfRule type="cellIs" dxfId="24365" priority="11045" stopIfTrue="1" operator="equal">
      <formula>"Napkin Hs"</formula>
    </cfRule>
    <cfRule type="cellIs" dxfId="24364" priority="11050" stopIfTrue="1" operator="equal">
      <formula>"Towel"</formula>
    </cfRule>
    <cfRule type="cellIs" dxfId="24363" priority="11051" stopIfTrue="1" operator="equal">
      <formula>"Napkin Hs"</formula>
    </cfRule>
    <cfRule type="cellIs" dxfId="24362" priority="11060" stopIfTrue="1" operator="equal">
      <formula>"Towel"</formula>
    </cfRule>
    <cfRule type="cellIs" dxfId="24361" priority="11061" stopIfTrue="1" operator="equal">
      <formula>"Napkin Hs"</formula>
    </cfRule>
    <cfRule type="cellIs" dxfId="24360" priority="11062" stopIfTrue="1" operator="equal">
      <formula>"Towel"</formula>
    </cfRule>
    <cfRule type="cellIs" dxfId="24359" priority="11063" stopIfTrue="1" operator="equal">
      <formula>"Napkin Hs"</formula>
    </cfRule>
    <cfRule type="cellIs" dxfId="24358" priority="11069" stopIfTrue="1" operator="equal">
      <formula>"Napkin Hs"</formula>
    </cfRule>
  </conditionalFormatting>
  <conditionalFormatting sqref="B47:C47">
    <cfRule type="cellIs" dxfId="24357" priority="11068" stopIfTrue="1" operator="equal">
      <formula>"Towel"</formula>
    </cfRule>
  </conditionalFormatting>
  <conditionalFormatting sqref="C47">
    <cfRule type="cellIs" dxfId="24356" priority="10979" stopIfTrue="1" operator="equal">
      <formula>"Napkin Hs"</formula>
    </cfRule>
    <cfRule type="cellIs" dxfId="24355" priority="10980" stopIfTrue="1" operator="equal">
      <formula>"Towel"</formula>
    </cfRule>
    <cfRule type="cellIs" dxfId="24354" priority="10981" stopIfTrue="1" operator="equal">
      <formula>"Napkin Hs"</formula>
    </cfRule>
    <cfRule type="cellIs" dxfId="24353" priority="10982" stopIfTrue="1" operator="equal">
      <formula>"Towel"</formula>
    </cfRule>
    <cfRule type="cellIs" dxfId="24352" priority="10983" stopIfTrue="1" operator="equal">
      <formula>"Napkin Hs"</formula>
    </cfRule>
    <cfRule type="cellIs" dxfId="24351" priority="10984" stopIfTrue="1" operator="equal">
      <formula>"Towel"</formula>
    </cfRule>
    <cfRule type="cellIs" dxfId="24350" priority="10985" stopIfTrue="1" operator="equal">
      <formula>"Napkin Hs"</formula>
    </cfRule>
    <cfRule type="cellIs" dxfId="24349" priority="10986" stopIfTrue="1" operator="equal">
      <formula>"Towel"</formula>
    </cfRule>
    <cfRule type="cellIs" dxfId="24348" priority="10987" stopIfTrue="1" operator="equal">
      <formula>"Napkin Hs"</formula>
    </cfRule>
    <cfRule type="cellIs" dxfId="24347" priority="10990" stopIfTrue="1" operator="equal">
      <formula>"Towel"</formula>
    </cfRule>
    <cfRule type="cellIs" dxfId="24346" priority="10991" stopIfTrue="1" operator="equal">
      <formula>"Napkin Hs"</formula>
    </cfRule>
    <cfRule type="cellIs" dxfId="24345" priority="10992" stopIfTrue="1" operator="equal">
      <formula>"Towel"</formula>
    </cfRule>
    <cfRule type="cellIs" dxfId="24344" priority="10993" stopIfTrue="1" operator="equal">
      <formula>"Napkin Hs"</formula>
    </cfRule>
    <cfRule type="cellIs" dxfId="24343" priority="10996" stopIfTrue="1" operator="equal">
      <formula>"Towel"</formula>
    </cfRule>
    <cfRule type="cellIs" dxfId="24342" priority="10997" stopIfTrue="1" operator="equal">
      <formula>"Napkin Hs"</formula>
    </cfRule>
    <cfRule type="cellIs" dxfId="24341" priority="10998" stopIfTrue="1" operator="equal">
      <formula>"Towel"</formula>
    </cfRule>
    <cfRule type="cellIs" dxfId="24340" priority="10999" stopIfTrue="1" operator="equal">
      <formula>"Napkin Hs"</formula>
    </cfRule>
    <cfRule type="cellIs" dxfId="24339" priority="11004" stopIfTrue="1" operator="equal">
      <formula>"Towel"</formula>
    </cfRule>
    <cfRule type="cellIs" dxfId="24338" priority="11005" stopIfTrue="1" operator="equal">
      <formula>"Napkin Hs"</formula>
    </cfRule>
    <cfRule type="cellIs" dxfId="24337" priority="11006" stopIfTrue="1" operator="equal">
      <formula>"Towel"</formula>
    </cfRule>
    <cfRule type="cellIs" dxfId="24336" priority="11007" stopIfTrue="1" operator="equal">
      <formula>"Napkin Hs"</formula>
    </cfRule>
    <cfRule type="cellIs" dxfId="24335" priority="11010" stopIfTrue="1" operator="equal">
      <formula>"Towel"</formula>
    </cfRule>
    <cfRule type="cellIs" dxfId="24334" priority="11011" stopIfTrue="1" operator="equal">
      <formula>"Napkin Hs"</formula>
    </cfRule>
    <cfRule type="cellIs" dxfId="24333" priority="11012" stopIfTrue="1" operator="equal">
      <formula>"Towel"</formula>
    </cfRule>
    <cfRule type="cellIs" dxfId="24332" priority="11013" stopIfTrue="1" operator="equal">
      <formula>"Napkin Hs"</formula>
    </cfRule>
    <cfRule type="cellIs" dxfId="24331" priority="11014" stopIfTrue="1" operator="equal">
      <formula>"Towel"</formula>
    </cfRule>
    <cfRule type="cellIs" dxfId="24330" priority="11015" stopIfTrue="1" operator="equal">
      <formula>"Napkin Hs"</formula>
    </cfRule>
    <cfRule type="cellIs" dxfId="24329" priority="11016" stopIfTrue="1" operator="equal">
      <formula>"Towel"</formula>
    </cfRule>
    <cfRule type="cellIs" dxfId="24328" priority="11017" stopIfTrue="1" operator="equal">
      <formula>"Napkin Hs"</formula>
    </cfRule>
    <cfRule type="cellIs" dxfId="24327" priority="11020" stopIfTrue="1" operator="equal">
      <formula>"Towel"</formula>
    </cfRule>
    <cfRule type="cellIs" dxfId="24326" priority="11021" stopIfTrue="1" operator="equal">
      <formula>"Napkin Hs"</formula>
    </cfRule>
    <cfRule type="cellIs" dxfId="24325" priority="11022" stopIfTrue="1" operator="equal">
      <formula>"Towel"</formula>
    </cfRule>
    <cfRule type="cellIs" dxfId="24324" priority="11023" stopIfTrue="1" operator="equal">
      <formula>"Napkin Hs"</formula>
    </cfRule>
    <cfRule type="cellIs" dxfId="24323" priority="11028" stopIfTrue="1" operator="equal">
      <formula>"Towel"</formula>
    </cfRule>
    <cfRule type="cellIs" dxfId="24322" priority="11029" stopIfTrue="1" operator="equal">
      <formula>"Napkin Hs"</formula>
    </cfRule>
    <cfRule type="cellIs" dxfId="24321" priority="11030" stopIfTrue="1" operator="equal">
      <formula>"Towel"</formula>
    </cfRule>
    <cfRule type="cellIs" dxfId="24320" priority="11031" stopIfTrue="1" operator="equal">
      <formula>"Napkin Hs"</formula>
    </cfRule>
    <cfRule type="cellIs" dxfId="24319" priority="11034" stopIfTrue="1" operator="equal">
      <formula>"Towel"</formula>
    </cfRule>
    <cfRule type="cellIs" dxfId="24318" priority="11035" stopIfTrue="1" operator="equal">
      <formula>"Napkin Hs"</formula>
    </cfRule>
    <cfRule type="cellIs" dxfId="24317" priority="11036" stopIfTrue="1" operator="equal">
      <formula>"Towel"</formula>
    </cfRule>
    <cfRule type="cellIs" dxfId="24316" priority="11037" stopIfTrue="1" operator="equal">
      <formula>"Napkin Hs"</formula>
    </cfRule>
    <cfRule type="cellIs" dxfId="24315" priority="11038" stopIfTrue="1" operator="equal">
      <formula>"Towel"</formula>
    </cfRule>
    <cfRule type="cellIs" dxfId="24314" priority="11039" stopIfTrue="1" operator="equal">
      <formula>"Napkin Hs"</formula>
    </cfRule>
    <cfRule type="cellIs" dxfId="24313" priority="11040" stopIfTrue="1" operator="equal">
      <formula>"Towel"</formula>
    </cfRule>
    <cfRule type="cellIs" dxfId="24312" priority="11041" stopIfTrue="1" operator="equal">
      <formula>"Napkin Hs"</formula>
    </cfRule>
    <cfRule type="cellIs" dxfId="24311" priority="11046" stopIfTrue="1" operator="equal">
      <formula>"Towel"</formula>
    </cfRule>
    <cfRule type="cellIs" dxfId="24310" priority="11047" stopIfTrue="1" operator="equal">
      <formula>"Napkin Hs"</formula>
    </cfRule>
    <cfRule type="cellIs" dxfId="24309" priority="11048" stopIfTrue="1" operator="equal">
      <formula>"Towel"</formula>
    </cfRule>
    <cfRule type="cellIs" dxfId="24308" priority="11049" stopIfTrue="1" operator="equal">
      <formula>"Napkin Hs"</formula>
    </cfRule>
    <cfRule type="cellIs" dxfId="24307" priority="11052" stopIfTrue="1" operator="equal">
      <formula>"Towel"</formula>
    </cfRule>
    <cfRule type="cellIs" dxfId="24306" priority="11053" stopIfTrue="1" operator="equal">
      <formula>"Napkin Hs"</formula>
    </cfRule>
    <cfRule type="cellIs" dxfId="24305" priority="11054" stopIfTrue="1" operator="equal">
      <formula>"Towel"</formula>
    </cfRule>
    <cfRule type="cellIs" dxfId="24304" priority="11055" stopIfTrue="1" operator="equal">
      <formula>"Napkin Hs"</formula>
    </cfRule>
    <cfRule type="cellIs" dxfId="24303" priority="11056" stopIfTrue="1" operator="equal">
      <formula>"Towel"</formula>
    </cfRule>
    <cfRule type="cellIs" dxfId="24302" priority="11057" stopIfTrue="1" operator="equal">
      <formula>"Napkin Hs"</formula>
    </cfRule>
    <cfRule type="cellIs" dxfId="24301" priority="11058" stopIfTrue="1" operator="equal">
      <formula>"Towel"</formula>
    </cfRule>
    <cfRule type="cellIs" dxfId="24300" priority="11059" stopIfTrue="1" operator="equal">
      <formula>"Napkin Hs"</formula>
    </cfRule>
    <cfRule type="cellIs" dxfId="24299" priority="11064" stopIfTrue="1" operator="equal">
      <formula>"Towel"</formula>
    </cfRule>
    <cfRule type="cellIs" dxfId="24298" priority="11065" stopIfTrue="1" operator="equal">
      <formula>"Napkin Hs"</formula>
    </cfRule>
    <cfRule type="cellIs" dxfId="24297" priority="11066" stopIfTrue="1" operator="equal">
      <formula>"Towel"</formula>
    </cfRule>
    <cfRule type="cellIs" dxfId="24296" priority="11067" stopIfTrue="1" operator="equal">
      <formula>"Napkin Hs"</formula>
    </cfRule>
    <cfRule type="cellIs" dxfId="24295" priority="11070" stopIfTrue="1" operator="equal">
      <formula>"Towel"</formula>
    </cfRule>
    <cfRule type="cellIs" dxfId="24294" priority="11071" stopIfTrue="1" operator="equal">
      <formula>"Napkin Hs"</formula>
    </cfRule>
    <cfRule type="cellIs" dxfId="24293" priority="11072" stopIfTrue="1" operator="equal">
      <formula>"Towel"</formula>
    </cfRule>
    <cfRule type="cellIs" dxfId="24292" priority="11073" stopIfTrue="1" operator="equal">
      <formula>"Napkin Hs"</formula>
    </cfRule>
  </conditionalFormatting>
  <conditionalFormatting sqref="B47:C47">
    <cfRule type="cellIs" dxfId="24291" priority="10975" stopIfTrue="1" operator="equal">
      <formula>"Towel"</formula>
    </cfRule>
    <cfRule type="cellIs" dxfId="24290" priority="10976" stopIfTrue="1" operator="equal">
      <formula>"Napkin Hs"</formula>
    </cfRule>
  </conditionalFormatting>
  <conditionalFormatting sqref="C47">
    <cfRule type="cellIs" dxfId="24289" priority="10971" stopIfTrue="1" operator="equal">
      <formula>"Towel"</formula>
    </cfRule>
    <cfRule type="cellIs" dxfId="24288" priority="10972" stopIfTrue="1" operator="equal">
      <formula>"Napkin Hs"</formula>
    </cfRule>
  </conditionalFormatting>
  <conditionalFormatting sqref="C47">
    <cfRule type="cellIs" dxfId="24287" priority="10974" stopIfTrue="1" operator="equal">
      <formula>"Napkin Hs"</formula>
    </cfRule>
  </conditionalFormatting>
  <conditionalFormatting sqref="C47">
    <cfRule type="cellIs" dxfId="24286" priority="10973" stopIfTrue="1" operator="equal">
      <formula>"Towel"</formula>
    </cfRule>
  </conditionalFormatting>
  <conditionalFormatting sqref="C47">
    <cfRule type="cellIs" dxfId="24285" priority="10963" stopIfTrue="1" operator="equal">
      <formula>"Towel"</formula>
    </cfRule>
    <cfRule type="cellIs" dxfId="24284" priority="10964" stopIfTrue="1" operator="equal">
      <formula>"Napkin Hs"</formula>
    </cfRule>
  </conditionalFormatting>
  <conditionalFormatting sqref="B47:C47">
    <cfRule type="cellIs" dxfId="24283" priority="10965" stopIfTrue="1" operator="equal">
      <formula>"Towel"</formula>
    </cfRule>
    <cfRule type="cellIs" dxfId="24282" priority="10966" stopIfTrue="1" operator="equal">
      <formula>"Napkin Hs"</formula>
    </cfRule>
  </conditionalFormatting>
  <conditionalFormatting sqref="C47">
    <cfRule type="cellIs" dxfId="24281" priority="10961" stopIfTrue="1" operator="equal">
      <formula>"Towel"</formula>
    </cfRule>
    <cfRule type="cellIs" dxfId="24280" priority="10962" stopIfTrue="1" operator="equal">
      <formula>"Napkin Hs"</formula>
    </cfRule>
  </conditionalFormatting>
  <conditionalFormatting sqref="B47:C47">
    <cfRule type="cellIs" dxfId="24279" priority="10959" stopIfTrue="1" operator="equal">
      <formula>"Towel"</formula>
    </cfRule>
    <cfRule type="cellIs" dxfId="24278" priority="10960" stopIfTrue="1" operator="equal">
      <formula>"Napkin Hs"</formula>
    </cfRule>
  </conditionalFormatting>
  <conditionalFormatting sqref="C47">
    <cfRule type="cellIs" dxfId="24277" priority="10967" stopIfTrue="1" operator="equal">
      <formula>"Towel"</formula>
    </cfRule>
    <cfRule type="cellIs" dxfId="24276" priority="10968" stopIfTrue="1" operator="equal">
      <formula>"Napkin Hs"</formula>
    </cfRule>
  </conditionalFormatting>
  <conditionalFormatting sqref="C47">
    <cfRule type="cellIs" dxfId="24275" priority="10969" stopIfTrue="1" operator="equal">
      <formula>"Towel"</formula>
    </cfRule>
    <cfRule type="cellIs" dxfId="24274" priority="10970" stopIfTrue="1" operator="equal">
      <formula>"Napkin Hs"</formula>
    </cfRule>
  </conditionalFormatting>
  <conditionalFormatting sqref="C47">
    <cfRule type="cellIs" dxfId="24273" priority="10951" stopIfTrue="1" operator="equal">
      <formula>"Towel"</formula>
    </cfRule>
    <cfRule type="cellIs" dxfId="24272" priority="10952" stopIfTrue="1" operator="equal">
      <formula>"Napkin Hs"</formula>
    </cfRule>
  </conditionalFormatting>
  <conditionalFormatting sqref="B47:C47">
    <cfRule type="cellIs" dxfId="24271" priority="10953" stopIfTrue="1" operator="equal">
      <formula>"Towel"</formula>
    </cfRule>
    <cfRule type="cellIs" dxfId="24270" priority="10954" stopIfTrue="1" operator="equal">
      <formula>"Napkin Hs"</formula>
    </cfRule>
  </conditionalFormatting>
  <conditionalFormatting sqref="C47">
    <cfRule type="cellIs" dxfId="24269" priority="10949" stopIfTrue="1" operator="equal">
      <formula>"Towel"</formula>
    </cfRule>
    <cfRule type="cellIs" dxfId="24268" priority="10950" stopIfTrue="1" operator="equal">
      <formula>"Napkin Hs"</formula>
    </cfRule>
  </conditionalFormatting>
  <conditionalFormatting sqref="B47:C47">
    <cfRule type="cellIs" dxfId="24267" priority="10947" stopIfTrue="1" operator="equal">
      <formula>"Towel"</formula>
    </cfRule>
    <cfRule type="cellIs" dxfId="24266" priority="10948" stopIfTrue="1" operator="equal">
      <formula>"Napkin Hs"</formula>
    </cfRule>
  </conditionalFormatting>
  <conditionalFormatting sqref="C47">
    <cfRule type="cellIs" dxfId="24265" priority="10955" stopIfTrue="1" operator="equal">
      <formula>"Towel"</formula>
    </cfRule>
    <cfRule type="cellIs" dxfId="24264" priority="10956" stopIfTrue="1" operator="equal">
      <formula>"Napkin Hs"</formula>
    </cfRule>
  </conditionalFormatting>
  <conditionalFormatting sqref="C47">
    <cfRule type="cellIs" dxfId="24263" priority="10957" stopIfTrue="1" operator="equal">
      <formula>"Towel"</formula>
    </cfRule>
    <cfRule type="cellIs" dxfId="24262" priority="10958" stopIfTrue="1" operator="equal">
      <formula>"Napkin Hs"</formula>
    </cfRule>
  </conditionalFormatting>
  <conditionalFormatting sqref="C47">
    <cfRule type="cellIs" dxfId="24261" priority="10939" stopIfTrue="1" operator="equal">
      <formula>"Towel"</formula>
    </cfRule>
    <cfRule type="cellIs" dxfId="24260" priority="10940" stopIfTrue="1" operator="equal">
      <formula>"Napkin Hs"</formula>
    </cfRule>
  </conditionalFormatting>
  <conditionalFormatting sqref="B47:C47">
    <cfRule type="cellIs" dxfId="24259" priority="10941" stopIfTrue="1" operator="equal">
      <formula>"Towel"</formula>
    </cfRule>
    <cfRule type="cellIs" dxfId="24258" priority="10942" stopIfTrue="1" operator="equal">
      <formula>"Napkin Hs"</formula>
    </cfRule>
  </conditionalFormatting>
  <conditionalFormatting sqref="C47">
    <cfRule type="cellIs" dxfId="24257" priority="10937" stopIfTrue="1" operator="equal">
      <formula>"Towel"</formula>
    </cfRule>
    <cfRule type="cellIs" dxfId="24256" priority="10938" stopIfTrue="1" operator="equal">
      <formula>"Napkin Hs"</formula>
    </cfRule>
  </conditionalFormatting>
  <conditionalFormatting sqref="B47:C47">
    <cfRule type="cellIs" dxfId="24255" priority="10935" stopIfTrue="1" operator="equal">
      <formula>"Towel"</formula>
    </cfRule>
    <cfRule type="cellIs" dxfId="24254" priority="10936" stopIfTrue="1" operator="equal">
      <formula>"Napkin Hs"</formula>
    </cfRule>
  </conditionalFormatting>
  <conditionalFormatting sqref="C47">
    <cfRule type="cellIs" dxfId="24253" priority="10943" stopIfTrue="1" operator="equal">
      <formula>"Towel"</formula>
    </cfRule>
    <cfRule type="cellIs" dxfId="24252" priority="10944" stopIfTrue="1" operator="equal">
      <formula>"Napkin Hs"</formula>
    </cfRule>
  </conditionalFormatting>
  <conditionalFormatting sqref="C47">
    <cfRule type="cellIs" dxfId="24251" priority="10945" stopIfTrue="1" operator="equal">
      <formula>"Towel"</formula>
    </cfRule>
    <cfRule type="cellIs" dxfId="24250" priority="10946" stopIfTrue="1" operator="equal">
      <formula>"Napkin Hs"</formula>
    </cfRule>
  </conditionalFormatting>
  <conditionalFormatting sqref="B47:C47">
    <cfRule type="cellIs" dxfId="24249" priority="10933" stopIfTrue="1" operator="equal">
      <formula>"Towel"</formula>
    </cfRule>
    <cfRule type="cellIs" dxfId="24248" priority="10934" stopIfTrue="1" operator="equal">
      <formula>"Napkin Hs"</formula>
    </cfRule>
  </conditionalFormatting>
  <conditionalFormatting sqref="C47">
    <cfRule type="cellIs" dxfId="24247" priority="10929" stopIfTrue="1" operator="equal">
      <formula>"Towel"</formula>
    </cfRule>
    <cfRule type="cellIs" dxfId="24246" priority="10930" stopIfTrue="1" operator="equal">
      <formula>"Napkin Hs"</formula>
    </cfRule>
  </conditionalFormatting>
  <conditionalFormatting sqref="C47">
    <cfRule type="cellIs" dxfId="24245" priority="10932" stopIfTrue="1" operator="equal">
      <formula>"Napkin Hs"</formula>
    </cfRule>
  </conditionalFormatting>
  <conditionalFormatting sqref="C47">
    <cfRule type="cellIs" dxfId="24244" priority="10931" stopIfTrue="1" operator="equal">
      <formula>"Towel"</formula>
    </cfRule>
  </conditionalFormatting>
  <conditionalFormatting sqref="B47:C47">
    <cfRule type="cellIs" dxfId="24243" priority="10927" stopIfTrue="1" operator="equal">
      <formula>"Towel"</formula>
    </cfRule>
    <cfRule type="cellIs" dxfId="24242" priority="10928" stopIfTrue="1" operator="equal">
      <formula>"Napkin Hs"</formula>
    </cfRule>
  </conditionalFormatting>
  <conditionalFormatting sqref="C47">
    <cfRule type="cellIs" dxfId="24241" priority="10923" stopIfTrue="1" operator="equal">
      <formula>"Towel"</formula>
    </cfRule>
    <cfRule type="cellIs" dxfId="24240" priority="10924" stopIfTrue="1" operator="equal">
      <formula>"Napkin Hs"</formula>
    </cfRule>
  </conditionalFormatting>
  <conditionalFormatting sqref="C47">
    <cfRule type="cellIs" dxfId="24239" priority="10926" stopIfTrue="1" operator="equal">
      <formula>"Napkin Hs"</formula>
    </cfRule>
  </conditionalFormatting>
  <conditionalFormatting sqref="C47">
    <cfRule type="cellIs" dxfId="24238" priority="10925" stopIfTrue="1" operator="equal">
      <formula>"Towel"</formula>
    </cfRule>
  </conditionalFormatting>
  <conditionalFormatting sqref="C47">
    <cfRule type="cellIs" dxfId="24237" priority="10915" stopIfTrue="1" operator="equal">
      <formula>"Towel"</formula>
    </cfRule>
    <cfRule type="cellIs" dxfId="24236" priority="10916" stopIfTrue="1" operator="equal">
      <formula>"Napkin Hs"</formula>
    </cfRule>
  </conditionalFormatting>
  <conditionalFormatting sqref="B47:C47">
    <cfRule type="cellIs" dxfId="24235" priority="10917" stopIfTrue="1" operator="equal">
      <formula>"Towel"</formula>
    </cfRule>
    <cfRule type="cellIs" dxfId="24234" priority="10918" stopIfTrue="1" operator="equal">
      <formula>"Napkin Hs"</formula>
    </cfRule>
  </conditionalFormatting>
  <conditionalFormatting sqref="C47">
    <cfRule type="cellIs" dxfId="24233" priority="10913" stopIfTrue="1" operator="equal">
      <formula>"Towel"</formula>
    </cfRule>
    <cfRule type="cellIs" dxfId="24232" priority="10914" stopIfTrue="1" operator="equal">
      <formula>"Napkin Hs"</formula>
    </cfRule>
  </conditionalFormatting>
  <conditionalFormatting sqref="B47:C47">
    <cfRule type="cellIs" dxfId="24231" priority="10911" stopIfTrue="1" operator="equal">
      <formula>"Towel"</formula>
    </cfRule>
    <cfRule type="cellIs" dxfId="24230" priority="10912" stopIfTrue="1" operator="equal">
      <formula>"Napkin Hs"</formula>
    </cfRule>
  </conditionalFormatting>
  <conditionalFormatting sqref="C47">
    <cfRule type="cellIs" dxfId="24229" priority="10919" stopIfTrue="1" operator="equal">
      <formula>"Towel"</formula>
    </cfRule>
    <cfRule type="cellIs" dxfId="24228" priority="10920" stopIfTrue="1" operator="equal">
      <formula>"Napkin Hs"</formula>
    </cfRule>
  </conditionalFormatting>
  <conditionalFormatting sqref="C47">
    <cfRule type="cellIs" dxfId="24227" priority="10921" stopIfTrue="1" operator="equal">
      <formula>"Towel"</formula>
    </cfRule>
    <cfRule type="cellIs" dxfId="24226" priority="10922" stopIfTrue="1" operator="equal">
      <formula>"Napkin Hs"</formula>
    </cfRule>
  </conditionalFormatting>
  <conditionalFormatting sqref="B47:C47">
    <cfRule type="cellIs" dxfId="24225" priority="10909" stopIfTrue="1" operator="equal">
      <formula>"Towel"</formula>
    </cfRule>
    <cfRule type="cellIs" dxfId="24224" priority="10910" stopIfTrue="1" operator="equal">
      <formula>"Napkin Hs"</formula>
    </cfRule>
  </conditionalFormatting>
  <conditionalFormatting sqref="C47">
    <cfRule type="cellIs" dxfId="24223" priority="10901" stopIfTrue="1" operator="equal">
      <formula>"Towel"</formula>
    </cfRule>
    <cfRule type="cellIs" dxfId="24222" priority="10902" stopIfTrue="1" operator="equal">
      <formula>"Napkin Hs"</formula>
    </cfRule>
  </conditionalFormatting>
  <conditionalFormatting sqref="C47">
    <cfRule type="cellIs" dxfId="24221" priority="10905" stopIfTrue="1" operator="equal">
      <formula>"Towel"</formula>
    </cfRule>
    <cfRule type="cellIs" dxfId="24220" priority="10906" stopIfTrue="1" operator="equal">
      <formula>"Napkin Hs"</formula>
    </cfRule>
  </conditionalFormatting>
  <conditionalFormatting sqref="C47">
    <cfRule type="cellIs" dxfId="24219" priority="10908" stopIfTrue="1" operator="equal">
      <formula>"Napkin Hs"</formula>
    </cfRule>
  </conditionalFormatting>
  <conditionalFormatting sqref="C47">
    <cfRule type="cellIs" dxfId="24218" priority="10903" stopIfTrue="1" operator="equal">
      <formula>"Towel"</formula>
    </cfRule>
    <cfRule type="cellIs" dxfId="24217" priority="10904" stopIfTrue="1" operator="equal">
      <formula>"Napkin Hs"</formula>
    </cfRule>
  </conditionalFormatting>
  <conditionalFormatting sqref="C47">
    <cfRule type="cellIs" dxfId="24216" priority="10907" stopIfTrue="1" operator="equal">
      <formula>"Towel"</formula>
    </cfRule>
  </conditionalFormatting>
  <conditionalFormatting sqref="C47">
    <cfRule type="cellIs" dxfId="24215" priority="10899" stopIfTrue="1" operator="equal">
      <formula>"Towel"</formula>
    </cfRule>
    <cfRule type="cellIs" dxfId="24214" priority="10900" stopIfTrue="1" operator="equal">
      <formula>"Napkin Hs"</formula>
    </cfRule>
  </conditionalFormatting>
  <conditionalFormatting sqref="B47">
    <cfRule type="cellIs" dxfId="24213" priority="10897" stopIfTrue="1" operator="equal">
      <formula>"Towel"</formula>
    </cfRule>
    <cfRule type="cellIs" dxfId="24212" priority="10898" stopIfTrue="1" operator="equal">
      <formula>"Napkin Hs"</formula>
    </cfRule>
  </conditionalFormatting>
  <conditionalFormatting sqref="B47:C47">
    <cfRule type="cellIs" dxfId="24211" priority="10895" stopIfTrue="1" operator="equal">
      <formula>"Towel"</formula>
    </cfRule>
    <cfRule type="cellIs" dxfId="24210" priority="10896" stopIfTrue="1" operator="equal">
      <formula>"Napkin Hs"</formula>
    </cfRule>
  </conditionalFormatting>
  <conditionalFormatting sqref="C47">
    <cfRule type="cellIs" dxfId="24209" priority="10887" stopIfTrue="1" operator="equal">
      <formula>"Towel"</formula>
    </cfRule>
    <cfRule type="cellIs" dxfId="24208" priority="10888" stopIfTrue="1" operator="equal">
      <formula>"Napkin Hs"</formula>
    </cfRule>
  </conditionalFormatting>
  <conditionalFormatting sqref="C47">
    <cfRule type="cellIs" dxfId="24207" priority="10891" stopIfTrue="1" operator="equal">
      <formula>"Towel"</formula>
    </cfRule>
    <cfRule type="cellIs" dxfId="24206" priority="10892" stopIfTrue="1" operator="equal">
      <formula>"Napkin Hs"</formula>
    </cfRule>
  </conditionalFormatting>
  <conditionalFormatting sqref="C47">
    <cfRule type="cellIs" dxfId="24205" priority="10894" stopIfTrue="1" operator="equal">
      <formula>"Napkin Hs"</formula>
    </cfRule>
  </conditionalFormatting>
  <conditionalFormatting sqref="C47">
    <cfRule type="cellIs" dxfId="24204" priority="10889" stopIfTrue="1" operator="equal">
      <formula>"Towel"</formula>
    </cfRule>
    <cfRule type="cellIs" dxfId="24203" priority="10890" stopIfTrue="1" operator="equal">
      <formula>"Napkin Hs"</formula>
    </cfRule>
  </conditionalFormatting>
  <conditionalFormatting sqref="C47">
    <cfRule type="cellIs" dxfId="24202" priority="10893" stopIfTrue="1" operator="equal">
      <formula>"Towel"</formula>
    </cfRule>
  </conditionalFormatting>
  <conditionalFormatting sqref="C47">
    <cfRule type="cellIs" dxfId="24201" priority="10885" stopIfTrue="1" operator="equal">
      <formula>"Towel"</formula>
    </cfRule>
    <cfRule type="cellIs" dxfId="24200" priority="10886" stopIfTrue="1" operator="equal">
      <formula>"Napkin Hs"</formula>
    </cfRule>
  </conditionalFormatting>
  <conditionalFormatting sqref="B47">
    <cfRule type="cellIs" dxfId="24199" priority="10883" stopIfTrue="1" operator="equal">
      <formula>"Towel"</formula>
    </cfRule>
    <cfRule type="cellIs" dxfId="24198" priority="10884" stopIfTrue="1" operator="equal">
      <formula>"Napkin Hs"</formula>
    </cfRule>
  </conditionalFormatting>
  <conditionalFormatting sqref="B47:C47">
    <cfRule type="cellIs" dxfId="24197" priority="10859" stopIfTrue="1" operator="equal">
      <formula>"Towel"</formula>
    </cfRule>
  </conditionalFormatting>
  <conditionalFormatting sqref="B47:C47">
    <cfRule type="cellIs" dxfId="24196" priority="10860" stopIfTrue="1" operator="equal">
      <formula>"Napkin Hs"</formula>
    </cfRule>
    <cfRule type="cellIs" dxfId="24195" priority="10865" stopIfTrue="1" operator="equal">
      <formula>"Towel"</formula>
    </cfRule>
    <cfRule type="cellIs" dxfId="24194" priority="10866" stopIfTrue="1" operator="equal">
      <formula>"Napkin Hs"</formula>
    </cfRule>
    <cfRule type="cellIs" dxfId="24193" priority="10875" stopIfTrue="1" operator="equal">
      <formula>"Towel"</formula>
    </cfRule>
    <cfRule type="cellIs" dxfId="24192" priority="10876" stopIfTrue="1" operator="equal">
      <formula>"Napkin Hs"</formula>
    </cfRule>
    <cfRule type="cellIs" dxfId="24191" priority="10881" stopIfTrue="1" operator="equal">
      <formula>"Towel"</formula>
    </cfRule>
    <cfRule type="cellIs" dxfId="24190" priority="10882" stopIfTrue="1" operator="equal">
      <formula>"Napkin Hs"</formula>
    </cfRule>
  </conditionalFormatting>
  <conditionalFormatting sqref="C47">
    <cfRule type="cellIs" dxfId="24189" priority="10861" stopIfTrue="1" operator="equal">
      <formula>"Towel"</formula>
    </cfRule>
    <cfRule type="cellIs" dxfId="24188" priority="10862" stopIfTrue="1" operator="equal">
      <formula>"Napkin Hs"</formula>
    </cfRule>
    <cfRule type="cellIs" dxfId="24187" priority="10863" stopIfTrue="1" operator="equal">
      <formula>"Towel"</formula>
    </cfRule>
    <cfRule type="cellIs" dxfId="24186" priority="10864" stopIfTrue="1" operator="equal">
      <formula>"Napkin Hs"</formula>
    </cfRule>
    <cfRule type="cellIs" dxfId="24185" priority="10867" stopIfTrue="1" operator="equal">
      <formula>"Towel"</formula>
    </cfRule>
    <cfRule type="cellIs" dxfId="24184" priority="10868" stopIfTrue="1" operator="equal">
      <formula>"Napkin Hs"</formula>
    </cfRule>
    <cfRule type="cellIs" dxfId="24183" priority="10869" stopIfTrue="1" operator="equal">
      <formula>"Towel"</formula>
    </cfRule>
    <cfRule type="cellIs" dxfId="24182" priority="10870" stopIfTrue="1" operator="equal">
      <formula>"Napkin Hs"</formula>
    </cfRule>
    <cfRule type="cellIs" dxfId="24181" priority="10871" stopIfTrue="1" operator="equal">
      <formula>"Towel"</formula>
    </cfRule>
    <cfRule type="cellIs" dxfId="24180" priority="10872" stopIfTrue="1" operator="equal">
      <formula>"Napkin Hs"</formula>
    </cfRule>
    <cfRule type="cellIs" dxfId="24179" priority="10873" stopIfTrue="1" operator="equal">
      <formula>"Towel"</formula>
    </cfRule>
    <cfRule type="cellIs" dxfId="24178" priority="10874" stopIfTrue="1" operator="equal">
      <formula>"Napkin Hs"</formula>
    </cfRule>
    <cfRule type="cellIs" dxfId="24177" priority="10877" stopIfTrue="1" operator="equal">
      <formula>"Towel"</formula>
    </cfRule>
    <cfRule type="cellIs" dxfId="24176" priority="10878" stopIfTrue="1" operator="equal">
      <formula>"Napkin Hs"</formula>
    </cfRule>
    <cfRule type="cellIs" dxfId="24175" priority="10880" stopIfTrue="1" operator="equal">
      <formula>"Napkin Hs"</formula>
    </cfRule>
  </conditionalFormatting>
  <conditionalFormatting sqref="C47">
    <cfRule type="cellIs" dxfId="24174" priority="10879" stopIfTrue="1" operator="equal">
      <formula>"Towel"</formula>
    </cfRule>
  </conditionalFormatting>
  <conditionalFormatting sqref="B47:C47">
    <cfRule type="cellIs" dxfId="24173" priority="10857" stopIfTrue="1" operator="equal">
      <formula>"Towel"</formula>
    </cfRule>
    <cfRule type="cellIs" dxfId="24172" priority="10858" stopIfTrue="1" operator="equal">
      <formula>"Napkin Hs"</formula>
    </cfRule>
  </conditionalFormatting>
  <conditionalFormatting sqref="C47">
    <cfRule type="cellIs" dxfId="24171" priority="10856" stopIfTrue="1" operator="equal">
      <formula>"Napkin Hs"</formula>
    </cfRule>
  </conditionalFormatting>
  <conditionalFormatting sqref="C47">
    <cfRule type="cellIs" dxfId="24170" priority="10855" stopIfTrue="1" operator="equal">
      <formula>"Towel"</formula>
    </cfRule>
  </conditionalFormatting>
  <conditionalFormatting sqref="C47">
    <cfRule type="cellIs" dxfId="24169" priority="10853" stopIfTrue="1" operator="equal">
      <formula>"Towel"</formula>
    </cfRule>
  </conditionalFormatting>
  <conditionalFormatting sqref="C47">
    <cfRule type="cellIs" dxfId="24168" priority="10854" stopIfTrue="1" operator="equal">
      <formula>"Napkin Hs"</formula>
    </cfRule>
  </conditionalFormatting>
  <conditionalFormatting sqref="B47">
    <cfRule type="cellIs" dxfId="24167" priority="10757" stopIfTrue="1" operator="equal">
      <formula>"Napkin Hs"</formula>
    </cfRule>
  </conditionalFormatting>
  <conditionalFormatting sqref="B47:C47">
    <cfRule type="cellIs" dxfId="24166" priority="10756" stopIfTrue="1" operator="equal">
      <formula>"Towel"</formula>
    </cfRule>
  </conditionalFormatting>
  <conditionalFormatting sqref="B47:C47">
    <cfRule type="cellIs" dxfId="24165" priority="10767" stopIfTrue="1" operator="equal">
      <formula>"Towel"</formula>
    </cfRule>
    <cfRule type="cellIs" dxfId="24164" priority="10768" stopIfTrue="1" operator="equal">
      <formula>"Napkin Hs"</formula>
    </cfRule>
    <cfRule type="cellIs" dxfId="24163" priority="10773" stopIfTrue="1" operator="equal">
      <formula>"Towel"</formula>
    </cfRule>
    <cfRule type="cellIs" dxfId="24162" priority="10774" stopIfTrue="1" operator="equal">
      <formula>"Napkin Hs"</formula>
    </cfRule>
    <cfRule type="cellIs" dxfId="24161" priority="10779" stopIfTrue="1" operator="equal">
      <formula>"Towel"</formula>
    </cfRule>
    <cfRule type="cellIs" dxfId="24160" priority="10780" stopIfTrue="1" operator="equal">
      <formula>"Napkin Hs"</formula>
    </cfRule>
    <cfRule type="cellIs" dxfId="24159" priority="10781" stopIfTrue="1" operator="equal">
      <formula>"Towel"</formula>
    </cfRule>
    <cfRule type="cellIs" dxfId="24158" priority="10782" stopIfTrue="1" operator="equal">
      <formula>"Napkin Hs"</formula>
    </cfRule>
    <cfRule type="cellIs" dxfId="24157" priority="10787" stopIfTrue="1" operator="equal">
      <formula>"Towel"</formula>
    </cfRule>
    <cfRule type="cellIs" dxfId="24156" priority="10788" stopIfTrue="1" operator="equal">
      <formula>"Napkin Hs"</formula>
    </cfRule>
    <cfRule type="cellIs" dxfId="24155" priority="10797" stopIfTrue="1" operator="equal">
      <formula>"Towel"</formula>
    </cfRule>
    <cfRule type="cellIs" dxfId="24154" priority="10798" stopIfTrue="1" operator="equal">
      <formula>"Napkin Hs"</formula>
    </cfRule>
    <cfRule type="cellIs" dxfId="24153" priority="10803" stopIfTrue="1" operator="equal">
      <formula>"Towel"</formula>
    </cfRule>
    <cfRule type="cellIs" dxfId="24152" priority="10804" stopIfTrue="1" operator="equal">
      <formula>"Napkin Hs"</formula>
    </cfRule>
    <cfRule type="cellIs" dxfId="24151" priority="10805" stopIfTrue="1" operator="equal">
      <formula>"Towel"</formula>
    </cfRule>
    <cfRule type="cellIs" dxfId="24150" priority="10806" stopIfTrue="1" operator="equal">
      <formula>"Napkin Hs"</formula>
    </cfRule>
    <cfRule type="cellIs" dxfId="24149" priority="10811" stopIfTrue="1" operator="equal">
      <formula>"Towel"</formula>
    </cfRule>
    <cfRule type="cellIs" dxfId="24148" priority="10812" stopIfTrue="1" operator="equal">
      <formula>"Napkin Hs"</formula>
    </cfRule>
    <cfRule type="cellIs" dxfId="24147" priority="10821" stopIfTrue="1" operator="equal">
      <formula>"Towel"</formula>
    </cfRule>
    <cfRule type="cellIs" dxfId="24146" priority="10822" stopIfTrue="1" operator="equal">
      <formula>"Napkin Hs"</formula>
    </cfRule>
    <cfRule type="cellIs" dxfId="24145" priority="10823" stopIfTrue="1" operator="equal">
      <formula>"Towel"</formula>
    </cfRule>
    <cfRule type="cellIs" dxfId="24144" priority="10824" stopIfTrue="1" operator="equal">
      <formula>"Napkin Hs"</formula>
    </cfRule>
    <cfRule type="cellIs" dxfId="24143" priority="10829" stopIfTrue="1" operator="equal">
      <formula>"Towel"</formula>
    </cfRule>
    <cfRule type="cellIs" dxfId="24142" priority="10830" stopIfTrue="1" operator="equal">
      <formula>"Napkin Hs"</formula>
    </cfRule>
    <cfRule type="cellIs" dxfId="24141" priority="10839" stopIfTrue="1" operator="equal">
      <formula>"Towel"</formula>
    </cfRule>
    <cfRule type="cellIs" dxfId="24140" priority="10840" stopIfTrue="1" operator="equal">
      <formula>"Napkin Hs"</formula>
    </cfRule>
    <cfRule type="cellIs" dxfId="24139" priority="10841" stopIfTrue="1" operator="equal">
      <formula>"Towel"</formula>
    </cfRule>
    <cfRule type="cellIs" dxfId="24138" priority="10842" stopIfTrue="1" operator="equal">
      <formula>"Napkin Hs"</formula>
    </cfRule>
    <cfRule type="cellIs" dxfId="24137" priority="10848" stopIfTrue="1" operator="equal">
      <formula>"Napkin Hs"</formula>
    </cfRule>
  </conditionalFormatting>
  <conditionalFormatting sqref="B47:C47">
    <cfRule type="cellIs" dxfId="24136" priority="10847" stopIfTrue="1" operator="equal">
      <formula>"Towel"</formula>
    </cfRule>
  </conditionalFormatting>
  <conditionalFormatting sqref="C47">
    <cfRule type="cellIs" dxfId="24135" priority="10758" stopIfTrue="1" operator="equal">
      <formula>"Napkin Hs"</formula>
    </cfRule>
    <cfRule type="cellIs" dxfId="24134" priority="10759" stopIfTrue="1" operator="equal">
      <formula>"Towel"</formula>
    </cfRule>
    <cfRule type="cellIs" dxfId="24133" priority="10760" stopIfTrue="1" operator="equal">
      <formula>"Napkin Hs"</formula>
    </cfRule>
    <cfRule type="cellIs" dxfId="24132" priority="10761" stopIfTrue="1" operator="equal">
      <formula>"Towel"</formula>
    </cfRule>
    <cfRule type="cellIs" dxfId="24131" priority="10762" stopIfTrue="1" operator="equal">
      <formula>"Napkin Hs"</formula>
    </cfRule>
    <cfRule type="cellIs" dxfId="24130" priority="10763" stopIfTrue="1" operator="equal">
      <formula>"Towel"</formula>
    </cfRule>
    <cfRule type="cellIs" dxfId="24129" priority="10764" stopIfTrue="1" operator="equal">
      <formula>"Napkin Hs"</formula>
    </cfRule>
    <cfRule type="cellIs" dxfId="24128" priority="10765" stopIfTrue="1" operator="equal">
      <formula>"Towel"</formula>
    </cfRule>
    <cfRule type="cellIs" dxfId="24127" priority="10766" stopIfTrue="1" operator="equal">
      <formula>"Napkin Hs"</formula>
    </cfRule>
    <cfRule type="cellIs" dxfId="24126" priority="10769" stopIfTrue="1" operator="equal">
      <formula>"Towel"</formula>
    </cfRule>
    <cfRule type="cellIs" dxfId="24125" priority="10770" stopIfTrue="1" operator="equal">
      <formula>"Napkin Hs"</formula>
    </cfRule>
    <cfRule type="cellIs" dxfId="24124" priority="10771" stopIfTrue="1" operator="equal">
      <formula>"Towel"</formula>
    </cfRule>
    <cfRule type="cellIs" dxfId="24123" priority="10772" stopIfTrue="1" operator="equal">
      <formula>"Napkin Hs"</formula>
    </cfRule>
    <cfRule type="cellIs" dxfId="24122" priority="10775" stopIfTrue="1" operator="equal">
      <formula>"Towel"</formula>
    </cfRule>
    <cfRule type="cellIs" dxfId="24121" priority="10776" stopIfTrue="1" operator="equal">
      <formula>"Napkin Hs"</formula>
    </cfRule>
    <cfRule type="cellIs" dxfId="24120" priority="10777" stopIfTrue="1" operator="equal">
      <formula>"Towel"</formula>
    </cfRule>
    <cfRule type="cellIs" dxfId="24119" priority="10778" stopIfTrue="1" operator="equal">
      <formula>"Napkin Hs"</formula>
    </cfRule>
    <cfRule type="cellIs" dxfId="24118" priority="10783" stopIfTrue="1" operator="equal">
      <formula>"Towel"</formula>
    </cfRule>
    <cfRule type="cellIs" dxfId="24117" priority="10784" stopIfTrue="1" operator="equal">
      <formula>"Napkin Hs"</formula>
    </cfRule>
    <cfRule type="cellIs" dxfId="24116" priority="10785" stopIfTrue="1" operator="equal">
      <formula>"Towel"</formula>
    </cfRule>
    <cfRule type="cellIs" dxfId="24115" priority="10786" stopIfTrue="1" operator="equal">
      <formula>"Napkin Hs"</formula>
    </cfRule>
    <cfRule type="cellIs" dxfId="24114" priority="10789" stopIfTrue="1" operator="equal">
      <formula>"Towel"</formula>
    </cfRule>
    <cfRule type="cellIs" dxfId="24113" priority="10790" stopIfTrue="1" operator="equal">
      <formula>"Napkin Hs"</formula>
    </cfRule>
    <cfRule type="cellIs" dxfId="24112" priority="10791" stopIfTrue="1" operator="equal">
      <formula>"Towel"</formula>
    </cfRule>
    <cfRule type="cellIs" dxfId="24111" priority="10792" stopIfTrue="1" operator="equal">
      <formula>"Napkin Hs"</formula>
    </cfRule>
    <cfRule type="cellIs" dxfId="24110" priority="10793" stopIfTrue="1" operator="equal">
      <formula>"Towel"</formula>
    </cfRule>
    <cfRule type="cellIs" dxfId="24109" priority="10794" stopIfTrue="1" operator="equal">
      <formula>"Napkin Hs"</formula>
    </cfRule>
    <cfRule type="cellIs" dxfId="24108" priority="10795" stopIfTrue="1" operator="equal">
      <formula>"Towel"</formula>
    </cfRule>
    <cfRule type="cellIs" dxfId="24107" priority="10796" stopIfTrue="1" operator="equal">
      <formula>"Napkin Hs"</formula>
    </cfRule>
    <cfRule type="cellIs" dxfId="24106" priority="10799" stopIfTrue="1" operator="equal">
      <formula>"Towel"</formula>
    </cfRule>
    <cfRule type="cellIs" dxfId="24105" priority="10800" stopIfTrue="1" operator="equal">
      <formula>"Napkin Hs"</formula>
    </cfRule>
    <cfRule type="cellIs" dxfId="24104" priority="10801" stopIfTrue="1" operator="equal">
      <formula>"Towel"</formula>
    </cfRule>
    <cfRule type="cellIs" dxfId="24103" priority="10802" stopIfTrue="1" operator="equal">
      <formula>"Napkin Hs"</formula>
    </cfRule>
    <cfRule type="cellIs" dxfId="24102" priority="10807" stopIfTrue="1" operator="equal">
      <formula>"Towel"</formula>
    </cfRule>
    <cfRule type="cellIs" dxfId="24101" priority="10808" stopIfTrue="1" operator="equal">
      <formula>"Napkin Hs"</formula>
    </cfRule>
    <cfRule type="cellIs" dxfId="24100" priority="10809" stopIfTrue="1" operator="equal">
      <formula>"Towel"</formula>
    </cfRule>
    <cfRule type="cellIs" dxfId="24099" priority="10810" stopIfTrue="1" operator="equal">
      <formula>"Napkin Hs"</formula>
    </cfRule>
    <cfRule type="cellIs" dxfId="24098" priority="10813" stopIfTrue="1" operator="equal">
      <formula>"Towel"</formula>
    </cfRule>
    <cfRule type="cellIs" dxfId="24097" priority="10814" stopIfTrue="1" operator="equal">
      <formula>"Napkin Hs"</formula>
    </cfRule>
    <cfRule type="cellIs" dxfId="24096" priority="10815" stopIfTrue="1" operator="equal">
      <formula>"Towel"</formula>
    </cfRule>
    <cfRule type="cellIs" dxfId="24095" priority="10816" stopIfTrue="1" operator="equal">
      <formula>"Napkin Hs"</formula>
    </cfRule>
    <cfRule type="cellIs" dxfId="24094" priority="10817" stopIfTrue="1" operator="equal">
      <formula>"Towel"</formula>
    </cfRule>
    <cfRule type="cellIs" dxfId="24093" priority="10818" stopIfTrue="1" operator="equal">
      <formula>"Napkin Hs"</formula>
    </cfRule>
    <cfRule type="cellIs" dxfId="24092" priority="10819" stopIfTrue="1" operator="equal">
      <formula>"Towel"</formula>
    </cfRule>
    <cfRule type="cellIs" dxfId="24091" priority="10820" stopIfTrue="1" operator="equal">
      <formula>"Napkin Hs"</formula>
    </cfRule>
    <cfRule type="cellIs" dxfId="24090" priority="10825" stopIfTrue="1" operator="equal">
      <formula>"Towel"</formula>
    </cfRule>
    <cfRule type="cellIs" dxfId="24089" priority="10826" stopIfTrue="1" operator="equal">
      <formula>"Napkin Hs"</formula>
    </cfRule>
    <cfRule type="cellIs" dxfId="24088" priority="10827" stopIfTrue="1" operator="equal">
      <formula>"Towel"</formula>
    </cfRule>
    <cfRule type="cellIs" dxfId="24087" priority="10828" stopIfTrue="1" operator="equal">
      <formula>"Napkin Hs"</formula>
    </cfRule>
    <cfRule type="cellIs" dxfId="24086" priority="10831" stopIfTrue="1" operator="equal">
      <formula>"Towel"</formula>
    </cfRule>
    <cfRule type="cellIs" dxfId="24085" priority="10832" stopIfTrue="1" operator="equal">
      <formula>"Napkin Hs"</formula>
    </cfRule>
    <cfRule type="cellIs" dxfId="24084" priority="10833" stopIfTrue="1" operator="equal">
      <formula>"Towel"</formula>
    </cfRule>
    <cfRule type="cellIs" dxfId="24083" priority="10834" stopIfTrue="1" operator="equal">
      <formula>"Napkin Hs"</formula>
    </cfRule>
    <cfRule type="cellIs" dxfId="24082" priority="10835" stopIfTrue="1" operator="equal">
      <formula>"Towel"</formula>
    </cfRule>
    <cfRule type="cellIs" dxfId="24081" priority="10836" stopIfTrue="1" operator="equal">
      <formula>"Napkin Hs"</formula>
    </cfRule>
    <cfRule type="cellIs" dxfId="24080" priority="10837" stopIfTrue="1" operator="equal">
      <formula>"Towel"</formula>
    </cfRule>
    <cfRule type="cellIs" dxfId="24079" priority="10838" stopIfTrue="1" operator="equal">
      <formula>"Napkin Hs"</formula>
    </cfRule>
    <cfRule type="cellIs" dxfId="24078" priority="10843" stopIfTrue="1" operator="equal">
      <formula>"Towel"</formula>
    </cfRule>
    <cfRule type="cellIs" dxfId="24077" priority="10844" stopIfTrue="1" operator="equal">
      <formula>"Napkin Hs"</formula>
    </cfRule>
    <cfRule type="cellIs" dxfId="24076" priority="10845" stopIfTrue="1" operator="equal">
      <formula>"Towel"</formula>
    </cfRule>
    <cfRule type="cellIs" dxfId="24075" priority="10846" stopIfTrue="1" operator="equal">
      <formula>"Napkin Hs"</formula>
    </cfRule>
    <cfRule type="cellIs" dxfId="24074" priority="10849" stopIfTrue="1" operator="equal">
      <formula>"Towel"</formula>
    </cfRule>
    <cfRule type="cellIs" dxfId="24073" priority="10850" stopIfTrue="1" operator="equal">
      <formula>"Napkin Hs"</formula>
    </cfRule>
    <cfRule type="cellIs" dxfId="24072" priority="10851" stopIfTrue="1" operator="equal">
      <formula>"Towel"</formula>
    </cfRule>
    <cfRule type="cellIs" dxfId="24071" priority="10852" stopIfTrue="1" operator="equal">
      <formula>"Napkin Hs"</formula>
    </cfRule>
  </conditionalFormatting>
  <conditionalFormatting sqref="B47:C47">
    <cfRule type="cellIs" dxfId="24070" priority="10754" stopIfTrue="1" operator="equal">
      <formula>"Towel"</formula>
    </cfRule>
    <cfRule type="cellIs" dxfId="24069" priority="10755" stopIfTrue="1" operator="equal">
      <formula>"Napkin Hs"</formula>
    </cfRule>
  </conditionalFormatting>
  <conditionalFormatting sqref="C47">
    <cfRule type="cellIs" dxfId="24068" priority="10750" stopIfTrue="1" operator="equal">
      <formula>"Towel"</formula>
    </cfRule>
    <cfRule type="cellIs" dxfId="24067" priority="10751" stopIfTrue="1" operator="equal">
      <formula>"Napkin Hs"</formula>
    </cfRule>
  </conditionalFormatting>
  <conditionalFormatting sqref="C47">
    <cfRule type="cellIs" dxfId="24066" priority="10753" stopIfTrue="1" operator="equal">
      <formula>"Napkin Hs"</formula>
    </cfRule>
  </conditionalFormatting>
  <conditionalFormatting sqref="C47">
    <cfRule type="cellIs" dxfId="24065" priority="10752" stopIfTrue="1" operator="equal">
      <formula>"Towel"</formula>
    </cfRule>
  </conditionalFormatting>
  <conditionalFormatting sqref="C47">
    <cfRule type="cellIs" dxfId="24064" priority="10742" stopIfTrue="1" operator="equal">
      <formula>"Towel"</formula>
    </cfRule>
    <cfRule type="cellIs" dxfId="24063" priority="10743" stopIfTrue="1" operator="equal">
      <formula>"Napkin Hs"</formula>
    </cfRule>
  </conditionalFormatting>
  <conditionalFormatting sqref="B47:C47">
    <cfRule type="cellIs" dxfId="24062" priority="10744" stopIfTrue="1" operator="equal">
      <formula>"Towel"</formula>
    </cfRule>
    <cfRule type="cellIs" dxfId="24061" priority="10745" stopIfTrue="1" operator="equal">
      <formula>"Napkin Hs"</formula>
    </cfRule>
  </conditionalFormatting>
  <conditionalFormatting sqref="C47">
    <cfRule type="cellIs" dxfId="24060" priority="10740" stopIfTrue="1" operator="equal">
      <formula>"Towel"</formula>
    </cfRule>
    <cfRule type="cellIs" dxfId="24059" priority="10741" stopIfTrue="1" operator="equal">
      <formula>"Napkin Hs"</formula>
    </cfRule>
  </conditionalFormatting>
  <conditionalFormatting sqref="B47:C47">
    <cfRule type="cellIs" dxfId="24058" priority="10738" stopIfTrue="1" operator="equal">
      <formula>"Towel"</formula>
    </cfRule>
    <cfRule type="cellIs" dxfId="24057" priority="10739" stopIfTrue="1" operator="equal">
      <formula>"Napkin Hs"</formula>
    </cfRule>
  </conditionalFormatting>
  <conditionalFormatting sqref="C47">
    <cfRule type="cellIs" dxfId="24056" priority="10746" stopIfTrue="1" operator="equal">
      <formula>"Towel"</formula>
    </cfRule>
    <cfRule type="cellIs" dxfId="24055" priority="10747" stopIfTrue="1" operator="equal">
      <formula>"Napkin Hs"</formula>
    </cfRule>
  </conditionalFormatting>
  <conditionalFormatting sqref="C47">
    <cfRule type="cellIs" dxfId="24054" priority="10748" stopIfTrue="1" operator="equal">
      <formula>"Towel"</formula>
    </cfRule>
    <cfRule type="cellIs" dxfId="24053" priority="10749" stopIfTrue="1" operator="equal">
      <formula>"Napkin Hs"</formula>
    </cfRule>
  </conditionalFormatting>
  <conditionalFormatting sqref="C47">
    <cfRule type="cellIs" dxfId="24052" priority="10730" stopIfTrue="1" operator="equal">
      <formula>"Towel"</formula>
    </cfRule>
    <cfRule type="cellIs" dxfId="24051" priority="10731" stopIfTrue="1" operator="equal">
      <formula>"Napkin Hs"</formula>
    </cfRule>
  </conditionalFormatting>
  <conditionalFormatting sqref="B47:C47">
    <cfRule type="cellIs" dxfId="24050" priority="10732" stopIfTrue="1" operator="equal">
      <formula>"Towel"</formula>
    </cfRule>
    <cfRule type="cellIs" dxfId="24049" priority="10733" stopIfTrue="1" operator="equal">
      <formula>"Napkin Hs"</formula>
    </cfRule>
  </conditionalFormatting>
  <conditionalFormatting sqref="C47">
    <cfRule type="cellIs" dxfId="24048" priority="10728" stopIfTrue="1" operator="equal">
      <formula>"Towel"</formula>
    </cfRule>
    <cfRule type="cellIs" dxfId="24047" priority="10729" stopIfTrue="1" operator="equal">
      <formula>"Napkin Hs"</formula>
    </cfRule>
  </conditionalFormatting>
  <conditionalFormatting sqref="B47:C47">
    <cfRule type="cellIs" dxfId="24046" priority="10726" stopIfTrue="1" operator="equal">
      <formula>"Towel"</formula>
    </cfRule>
    <cfRule type="cellIs" dxfId="24045" priority="10727" stopIfTrue="1" operator="equal">
      <formula>"Napkin Hs"</formula>
    </cfRule>
  </conditionalFormatting>
  <conditionalFormatting sqref="C47">
    <cfRule type="cellIs" dxfId="24044" priority="10734" stopIfTrue="1" operator="equal">
      <formula>"Towel"</formula>
    </cfRule>
    <cfRule type="cellIs" dxfId="24043" priority="10735" stopIfTrue="1" operator="equal">
      <formula>"Napkin Hs"</formula>
    </cfRule>
  </conditionalFormatting>
  <conditionalFormatting sqref="C47">
    <cfRule type="cellIs" dxfId="24042" priority="10736" stopIfTrue="1" operator="equal">
      <formula>"Towel"</formula>
    </cfRule>
    <cfRule type="cellIs" dxfId="24041" priority="10737" stopIfTrue="1" operator="equal">
      <formula>"Napkin Hs"</formula>
    </cfRule>
  </conditionalFormatting>
  <conditionalFormatting sqref="C47">
    <cfRule type="cellIs" dxfId="24040" priority="10718" stopIfTrue="1" operator="equal">
      <formula>"Towel"</formula>
    </cfRule>
    <cfRule type="cellIs" dxfId="24039" priority="10719" stopIfTrue="1" operator="equal">
      <formula>"Napkin Hs"</formula>
    </cfRule>
  </conditionalFormatting>
  <conditionalFormatting sqref="B47:C47">
    <cfRule type="cellIs" dxfId="24038" priority="10720" stopIfTrue="1" operator="equal">
      <formula>"Towel"</formula>
    </cfRule>
    <cfRule type="cellIs" dxfId="24037" priority="10721" stopIfTrue="1" operator="equal">
      <formula>"Napkin Hs"</formula>
    </cfRule>
  </conditionalFormatting>
  <conditionalFormatting sqref="C47">
    <cfRule type="cellIs" dxfId="24036" priority="10716" stopIfTrue="1" operator="equal">
      <formula>"Towel"</formula>
    </cfRule>
    <cfRule type="cellIs" dxfId="24035" priority="10717" stopIfTrue="1" operator="equal">
      <formula>"Napkin Hs"</formula>
    </cfRule>
  </conditionalFormatting>
  <conditionalFormatting sqref="B47:C47">
    <cfRule type="cellIs" dxfId="24034" priority="10714" stopIfTrue="1" operator="equal">
      <formula>"Towel"</formula>
    </cfRule>
    <cfRule type="cellIs" dxfId="24033" priority="10715" stopIfTrue="1" operator="equal">
      <formula>"Napkin Hs"</formula>
    </cfRule>
  </conditionalFormatting>
  <conditionalFormatting sqref="C47">
    <cfRule type="cellIs" dxfId="24032" priority="10722" stopIfTrue="1" operator="equal">
      <formula>"Towel"</formula>
    </cfRule>
    <cfRule type="cellIs" dxfId="24031" priority="10723" stopIfTrue="1" operator="equal">
      <formula>"Napkin Hs"</formula>
    </cfRule>
  </conditionalFormatting>
  <conditionalFormatting sqref="C47">
    <cfRule type="cellIs" dxfId="24030" priority="10724" stopIfTrue="1" operator="equal">
      <formula>"Towel"</formula>
    </cfRule>
    <cfRule type="cellIs" dxfId="24029" priority="10725" stopIfTrue="1" operator="equal">
      <formula>"Napkin Hs"</formula>
    </cfRule>
  </conditionalFormatting>
  <conditionalFormatting sqref="B47:C47">
    <cfRule type="cellIs" dxfId="24028" priority="10712" stopIfTrue="1" operator="equal">
      <formula>"Towel"</formula>
    </cfRule>
    <cfRule type="cellIs" dxfId="24027" priority="10713" stopIfTrue="1" operator="equal">
      <formula>"Napkin Hs"</formula>
    </cfRule>
  </conditionalFormatting>
  <conditionalFormatting sqref="C47">
    <cfRule type="cellIs" dxfId="24026" priority="10708" stopIfTrue="1" operator="equal">
      <formula>"Towel"</formula>
    </cfRule>
    <cfRule type="cellIs" dxfId="24025" priority="10709" stopIfTrue="1" operator="equal">
      <formula>"Napkin Hs"</formula>
    </cfRule>
  </conditionalFormatting>
  <conditionalFormatting sqref="C47">
    <cfRule type="cellIs" dxfId="24024" priority="10711" stopIfTrue="1" operator="equal">
      <formula>"Napkin Hs"</formula>
    </cfRule>
  </conditionalFormatting>
  <conditionalFormatting sqref="C47">
    <cfRule type="cellIs" dxfId="24023" priority="10710" stopIfTrue="1" operator="equal">
      <formula>"Towel"</formula>
    </cfRule>
  </conditionalFormatting>
  <conditionalFormatting sqref="B47:C47">
    <cfRule type="cellIs" dxfId="24022" priority="10706" stopIfTrue="1" operator="equal">
      <formula>"Towel"</formula>
    </cfRule>
    <cfRule type="cellIs" dxfId="24021" priority="10707" stopIfTrue="1" operator="equal">
      <formula>"Napkin Hs"</formula>
    </cfRule>
  </conditionalFormatting>
  <conditionalFormatting sqref="C47">
    <cfRule type="cellIs" dxfId="24020" priority="10702" stopIfTrue="1" operator="equal">
      <formula>"Towel"</formula>
    </cfRule>
    <cfRule type="cellIs" dxfId="24019" priority="10703" stopIfTrue="1" operator="equal">
      <formula>"Napkin Hs"</formula>
    </cfRule>
  </conditionalFormatting>
  <conditionalFormatting sqref="C47">
    <cfRule type="cellIs" dxfId="24018" priority="10705" stopIfTrue="1" operator="equal">
      <formula>"Napkin Hs"</formula>
    </cfRule>
  </conditionalFormatting>
  <conditionalFormatting sqref="C47">
    <cfRule type="cellIs" dxfId="24017" priority="10704" stopIfTrue="1" operator="equal">
      <formula>"Towel"</formula>
    </cfRule>
  </conditionalFormatting>
  <conditionalFormatting sqref="C48">
    <cfRule type="cellIs" dxfId="24016" priority="10694" stopIfTrue="1" operator="equal">
      <formula>"Towel"</formula>
    </cfRule>
    <cfRule type="cellIs" dxfId="24015" priority="10695" stopIfTrue="1" operator="equal">
      <formula>"Napkin Hs"</formula>
    </cfRule>
  </conditionalFormatting>
  <conditionalFormatting sqref="B48:C48">
    <cfRule type="cellIs" dxfId="24014" priority="10696" stopIfTrue="1" operator="equal">
      <formula>"Towel"</formula>
    </cfRule>
    <cfRule type="cellIs" dxfId="24013" priority="10697" stopIfTrue="1" operator="equal">
      <formula>"Napkin Hs"</formula>
    </cfRule>
  </conditionalFormatting>
  <conditionalFormatting sqref="C48">
    <cfRule type="cellIs" dxfId="24012" priority="10692" stopIfTrue="1" operator="equal">
      <formula>"Towel"</formula>
    </cfRule>
    <cfRule type="cellIs" dxfId="24011" priority="10693" stopIfTrue="1" operator="equal">
      <formula>"Napkin Hs"</formula>
    </cfRule>
  </conditionalFormatting>
  <conditionalFormatting sqref="B48:C48">
    <cfRule type="cellIs" dxfId="24010" priority="10690" stopIfTrue="1" operator="equal">
      <formula>"Towel"</formula>
    </cfRule>
    <cfRule type="cellIs" dxfId="24009" priority="10691" stopIfTrue="1" operator="equal">
      <formula>"Napkin Hs"</formula>
    </cfRule>
  </conditionalFormatting>
  <conditionalFormatting sqref="C48">
    <cfRule type="cellIs" dxfId="24008" priority="10698" stopIfTrue="1" operator="equal">
      <formula>"Towel"</formula>
    </cfRule>
    <cfRule type="cellIs" dxfId="24007" priority="10699" stopIfTrue="1" operator="equal">
      <formula>"Napkin Hs"</formula>
    </cfRule>
  </conditionalFormatting>
  <conditionalFormatting sqref="C48">
    <cfRule type="cellIs" dxfId="24006" priority="10700" stopIfTrue="1" operator="equal">
      <formula>"Towel"</formula>
    </cfRule>
    <cfRule type="cellIs" dxfId="24005" priority="10701" stopIfTrue="1" operator="equal">
      <formula>"Napkin Hs"</formula>
    </cfRule>
  </conditionalFormatting>
  <conditionalFormatting sqref="C48">
    <cfRule type="cellIs" dxfId="24004" priority="10682" stopIfTrue="1" operator="equal">
      <formula>"Towel"</formula>
    </cfRule>
    <cfRule type="cellIs" dxfId="24003" priority="10683" stopIfTrue="1" operator="equal">
      <formula>"Napkin Hs"</formula>
    </cfRule>
  </conditionalFormatting>
  <conditionalFormatting sqref="B48:C48">
    <cfRule type="cellIs" dxfId="24002" priority="10684" stopIfTrue="1" operator="equal">
      <formula>"Towel"</formula>
    </cfRule>
    <cfRule type="cellIs" dxfId="24001" priority="10685" stopIfTrue="1" operator="equal">
      <formula>"Napkin Hs"</formula>
    </cfRule>
  </conditionalFormatting>
  <conditionalFormatting sqref="C48">
    <cfRule type="cellIs" dxfId="24000" priority="10680" stopIfTrue="1" operator="equal">
      <formula>"Towel"</formula>
    </cfRule>
    <cfRule type="cellIs" dxfId="23999" priority="10681" stopIfTrue="1" operator="equal">
      <formula>"Napkin Hs"</formula>
    </cfRule>
  </conditionalFormatting>
  <conditionalFormatting sqref="B48:C48">
    <cfRule type="cellIs" dxfId="23998" priority="10678" stopIfTrue="1" operator="equal">
      <formula>"Towel"</formula>
    </cfRule>
    <cfRule type="cellIs" dxfId="23997" priority="10679" stopIfTrue="1" operator="equal">
      <formula>"Napkin Hs"</formula>
    </cfRule>
  </conditionalFormatting>
  <conditionalFormatting sqref="C48">
    <cfRule type="cellIs" dxfId="23996" priority="10686" stopIfTrue="1" operator="equal">
      <formula>"Towel"</formula>
    </cfRule>
    <cfRule type="cellIs" dxfId="23995" priority="10687" stopIfTrue="1" operator="equal">
      <formula>"Napkin Hs"</formula>
    </cfRule>
  </conditionalFormatting>
  <conditionalFormatting sqref="C48">
    <cfRule type="cellIs" dxfId="23994" priority="10688" stopIfTrue="1" operator="equal">
      <formula>"Towel"</formula>
    </cfRule>
    <cfRule type="cellIs" dxfId="23993" priority="10689" stopIfTrue="1" operator="equal">
      <formula>"Napkin Hs"</formula>
    </cfRule>
  </conditionalFormatting>
  <conditionalFormatting sqref="C48">
    <cfRule type="cellIs" dxfId="23992" priority="10670" stopIfTrue="1" operator="equal">
      <formula>"Towel"</formula>
    </cfRule>
    <cfRule type="cellIs" dxfId="23991" priority="10671" stopIfTrue="1" operator="equal">
      <formula>"Napkin Hs"</formula>
    </cfRule>
  </conditionalFormatting>
  <conditionalFormatting sqref="B48:C48">
    <cfRule type="cellIs" dxfId="23990" priority="10672" stopIfTrue="1" operator="equal">
      <formula>"Towel"</formula>
    </cfRule>
    <cfRule type="cellIs" dxfId="23989" priority="10673" stopIfTrue="1" operator="equal">
      <formula>"Napkin Hs"</formula>
    </cfRule>
  </conditionalFormatting>
  <conditionalFormatting sqref="C48">
    <cfRule type="cellIs" dxfId="23988" priority="10668" stopIfTrue="1" operator="equal">
      <formula>"Towel"</formula>
    </cfRule>
    <cfRule type="cellIs" dxfId="23987" priority="10669" stopIfTrue="1" operator="equal">
      <formula>"Napkin Hs"</formula>
    </cfRule>
  </conditionalFormatting>
  <conditionalFormatting sqref="B48:C48">
    <cfRule type="cellIs" dxfId="23986" priority="10666" stopIfTrue="1" operator="equal">
      <formula>"Towel"</formula>
    </cfRule>
    <cfRule type="cellIs" dxfId="23985" priority="10667" stopIfTrue="1" operator="equal">
      <formula>"Napkin Hs"</formula>
    </cfRule>
  </conditionalFormatting>
  <conditionalFormatting sqref="C48">
    <cfRule type="cellIs" dxfId="23984" priority="10674" stopIfTrue="1" operator="equal">
      <formula>"Towel"</formula>
    </cfRule>
    <cfRule type="cellIs" dxfId="23983" priority="10675" stopIfTrue="1" operator="equal">
      <formula>"Napkin Hs"</formula>
    </cfRule>
  </conditionalFormatting>
  <conditionalFormatting sqref="C48">
    <cfRule type="cellIs" dxfId="23982" priority="10676" stopIfTrue="1" operator="equal">
      <formula>"Towel"</formula>
    </cfRule>
    <cfRule type="cellIs" dxfId="23981" priority="10677" stopIfTrue="1" operator="equal">
      <formula>"Napkin Hs"</formula>
    </cfRule>
  </conditionalFormatting>
  <conditionalFormatting sqref="B48:C48">
    <cfRule type="cellIs" dxfId="23980" priority="10664" stopIfTrue="1" operator="equal">
      <formula>"Towel"</formula>
    </cfRule>
    <cfRule type="cellIs" dxfId="23979" priority="10665" stopIfTrue="1" operator="equal">
      <formula>"Napkin Hs"</formula>
    </cfRule>
  </conditionalFormatting>
  <conditionalFormatting sqref="C48">
    <cfRule type="cellIs" dxfId="23978" priority="10660" stopIfTrue="1" operator="equal">
      <formula>"Towel"</formula>
    </cfRule>
    <cfRule type="cellIs" dxfId="23977" priority="10661" stopIfTrue="1" operator="equal">
      <formula>"Napkin Hs"</formula>
    </cfRule>
  </conditionalFormatting>
  <conditionalFormatting sqref="C48">
    <cfRule type="cellIs" dxfId="23976" priority="10663" stopIfTrue="1" operator="equal">
      <formula>"Napkin Hs"</formula>
    </cfRule>
  </conditionalFormatting>
  <conditionalFormatting sqref="C48">
    <cfRule type="cellIs" dxfId="23975" priority="10662" stopIfTrue="1" operator="equal">
      <formula>"Towel"</formula>
    </cfRule>
  </conditionalFormatting>
  <conditionalFormatting sqref="B48:C48">
    <cfRule type="cellIs" dxfId="23974" priority="10658" stopIfTrue="1" operator="equal">
      <formula>"Towel"</formula>
    </cfRule>
    <cfRule type="cellIs" dxfId="23973" priority="10659" stopIfTrue="1" operator="equal">
      <formula>"Napkin Hs"</formula>
    </cfRule>
  </conditionalFormatting>
  <conditionalFormatting sqref="C48">
    <cfRule type="cellIs" dxfId="23972" priority="10654" stopIfTrue="1" operator="equal">
      <formula>"Towel"</formula>
    </cfRule>
    <cfRule type="cellIs" dxfId="23971" priority="10655" stopIfTrue="1" operator="equal">
      <formula>"Napkin Hs"</formula>
    </cfRule>
  </conditionalFormatting>
  <conditionalFormatting sqref="C48">
    <cfRule type="cellIs" dxfId="23970" priority="10657" stopIfTrue="1" operator="equal">
      <formula>"Napkin Hs"</formula>
    </cfRule>
  </conditionalFormatting>
  <conditionalFormatting sqref="C48">
    <cfRule type="cellIs" dxfId="23969" priority="10656" stopIfTrue="1" operator="equal">
      <formula>"Towel"</formula>
    </cfRule>
  </conditionalFormatting>
  <conditionalFormatting sqref="C48">
    <cfRule type="cellIs" dxfId="23968" priority="10646" stopIfTrue="1" operator="equal">
      <formula>"Towel"</formula>
    </cfRule>
    <cfRule type="cellIs" dxfId="23967" priority="10647" stopIfTrue="1" operator="equal">
      <formula>"Napkin Hs"</formula>
    </cfRule>
  </conditionalFormatting>
  <conditionalFormatting sqref="B48:C48">
    <cfRule type="cellIs" dxfId="23966" priority="10648" stopIfTrue="1" operator="equal">
      <formula>"Towel"</formula>
    </cfRule>
    <cfRule type="cellIs" dxfId="23965" priority="10649" stopIfTrue="1" operator="equal">
      <formula>"Napkin Hs"</formula>
    </cfRule>
  </conditionalFormatting>
  <conditionalFormatting sqref="C48">
    <cfRule type="cellIs" dxfId="23964" priority="10644" stopIfTrue="1" operator="equal">
      <formula>"Towel"</formula>
    </cfRule>
    <cfRule type="cellIs" dxfId="23963" priority="10645" stopIfTrue="1" operator="equal">
      <formula>"Napkin Hs"</formula>
    </cfRule>
  </conditionalFormatting>
  <conditionalFormatting sqref="B48:C48">
    <cfRule type="cellIs" dxfId="23962" priority="10642" stopIfTrue="1" operator="equal">
      <formula>"Towel"</formula>
    </cfRule>
    <cfRule type="cellIs" dxfId="23961" priority="10643" stopIfTrue="1" operator="equal">
      <formula>"Napkin Hs"</formula>
    </cfRule>
  </conditionalFormatting>
  <conditionalFormatting sqref="C48">
    <cfRule type="cellIs" dxfId="23960" priority="10650" stopIfTrue="1" operator="equal">
      <formula>"Towel"</formula>
    </cfRule>
    <cfRule type="cellIs" dxfId="23959" priority="10651" stopIfTrue="1" operator="equal">
      <formula>"Napkin Hs"</formula>
    </cfRule>
  </conditionalFormatting>
  <conditionalFormatting sqref="C48">
    <cfRule type="cellIs" dxfId="23958" priority="10652" stopIfTrue="1" operator="equal">
      <formula>"Towel"</formula>
    </cfRule>
    <cfRule type="cellIs" dxfId="23957" priority="10653" stopIfTrue="1" operator="equal">
      <formula>"Napkin Hs"</formula>
    </cfRule>
  </conditionalFormatting>
  <conditionalFormatting sqref="B48:C48">
    <cfRule type="cellIs" dxfId="23956" priority="10640" stopIfTrue="1" operator="equal">
      <formula>"Towel"</formula>
    </cfRule>
    <cfRule type="cellIs" dxfId="23955" priority="10641" stopIfTrue="1" operator="equal">
      <formula>"Napkin Hs"</formula>
    </cfRule>
  </conditionalFormatting>
  <conditionalFormatting sqref="C48">
    <cfRule type="cellIs" dxfId="23954" priority="10632" stopIfTrue="1" operator="equal">
      <formula>"Towel"</formula>
    </cfRule>
    <cfRule type="cellIs" dxfId="23953" priority="10633" stopIfTrue="1" operator="equal">
      <formula>"Napkin Hs"</formula>
    </cfRule>
  </conditionalFormatting>
  <conditionalFormatting sqref="C48">
    <cfRule type="cellIs" dxfId="23952" priority="10636" stopIfTrue="1" operator="equal">
      <formula>"Towel"</formula>
    </cfRule>
    <cfRule type="cellIs" dxfId="23951" priority="10637" stopIfTrue="1" operator="equal">
      <formula>"Napkin Hs"</formula>
    </cfRule>
  </conditionalFormatting>
  <conditionalFormatting sqref="C48">
    <cfRule type="cellIs" dxfId="23950" priority="10639" stopIfTrue="1" operator="equal">
      <formula>"Napkin Hs"</formula>
    </cfRule>
  </conditionalFormatting>
  <conditionalFormatting sqref="C48">
    <cfRule type="cellIs" dxfId="23949" priority="10634" stopIfTrue="1" operator="equal">
      <formula>"Towel"</formula>
    </cfRule>
    <cfRule type="cellIs" dxfId="23948" priority="10635" stopIfTrue="1" operator="equal">
      <formula>"Napkin Hs"</formula>
    </cfRule>
  </conditionalFormatting>
  <conditionalFormatting sqref="C48">
    <cfRule type="cellIs" dxfId="23947" priority="10638" stopIfTrue="1" operator="equal">
      <formula>"Towel"</formula>
    </cfRule>
  </conditionalFormatting>
  <conditionalFormatting sqref="C48">
    <cfRule type="cellIs" dxfId="23946" priority="10630" stopIfTrue="1" operator="equal">
      <formula>"Towel"</formula>
    </cfRule>
    <cfRule type="cellIs" dxfId="23945" priority="10631" stopIfTrue="1" operator="equal">
      <formula>"Napkin Hs"</formula>
    </cfRule>
  </conditionalFormatting>
  <conditionalFormatting sqref="B48">
    <cfRule type="cellIs" dxfId="23944" priority="10628" stopIfTrue="1" operator="equal">
      <formula>"Towel"</formula>
    </cfRule>
    <cfRule type="cellIs" dxfId="23943" priority="10629" stopIfTrue="1" operator="equal">
      <formula>"Napkin Hs"</formula>
    </cfRule>
  </conditionalFormatting>
  <conditionalFormatting sqref="B48:C48">
    <cfRule type="cellIs" dxfId="23942" priority="10626" stopIfTrue="1" operator="equal">
      <formula>"Towel"</formula>
    </cfRule>
    <cfRule type="cellIs" dxfId="23941" priority="10627" stopIfTrue="1" operator="equal">
      <formula>"Napkin Hs"</formula>
    </cfRule>
  </conditionalFormatting>
  <conditionalFormatting sqref="C48">
    <cfRule type="cellIs" dxfId="23940" priority="10618" stopIfTrue="1" operator="equal">
      <formula>"Towel"</formula>
    </cfRule>
    <cfRule type="cellIs" dxfId="23939" priority="10619" stopIfTrue="1" operator="equal">
      <formula>"Napkin Hs"</formula>
    </cfRule>
  </conditionalFormatting>
  <conditionalFormatting sqref="C48">
    <cfRule type="cellIs" dxfId="23938" priority="10622" stopIfTrue="1" operator="equal">
      <formula>"Towel"</formula>
    </cfRule>
    <cfRule type="cellIs" dxfId="23937" priority="10623" stopIfTrue="1" operator="equal">
      <formula>"Napkin Hs"</formula>
    </cfRule>
  </conditionalFormatting>
  <conditionalFormatting sqref="C48">
    <cfRule type="cellIs" dxfId="23936" priority="10625" stopIfTrue="1" operator="equal">
      <formula>"Napkin Hs"</formula>
    </cfRule>
  </conditionalFormatting>
  <conditionalFormatting sqref="C48">
    <cfRule type="cellIs" dxfId="23935" priority="10620" stopIfTrue="1" operator="equal">
      <formula>"Towel"</formula>
    </cfRule>
    <cfRule type="cellIs" dxfId="23934" priority="10621" stopIfTrue="1" operator="equal">
      <formula>"Napkin Hs"</formula>
    </cfRule>
  </conditionalFormatting>
  <conditionalFormatting sqref="C48">
    <cfRule type="cellIs" dxfId="23933" priority="10624" stopIfTrue="1" operator="equal">
      <formula>"Towel"</formula>
    </cfRule>
  </conditionalFormatting>
  <conditionalFormatting sqref="C48">
    <cfRule type="cellIs" dxfId="23932" priority="10616" stopIfTrue="1" operator="equal">
      <formula>"Towel"</formula>
    </cfRule>
    <cfRule type="cellIs" dxfId="23931" priority="10617" stopIfTrue="1" operator="equal">
      <formula>"Napkin Hs"</formula>
    </cfRule>
  </conditionalFormatting>
  <conditionalFormatting sqref="B48">
    <cfRule type="cellIs" dxfId="23930" priority="10614" stopIfTrue="1" operator="equal">
      <formula>"Towel"</formula>
    </cfRule>
    <cfRule type="cellIs" dxfId="23929" priority="10615" stopIfTrue="1" operator="equal">
      <formula>"Napkin Hs"</formula>
    </cfRule>
  </conditionalFormatting>
  <conditionalFormatting sqref="B48:C48">
    <cfRule type="cellIs" dxfId="23928" priority="10590" stopIfTrue="1" operator="equal">
      <formula>"Towel"</formula>
    </cfRule>
  </conditionalFormatting>
  <conditionalFormatting sqref="B48:C48">
    <cfRule type="cellIs" dxfId="23927" priority="10591" stopIfTrue="1" operator="equal">
      <formula>"Napkin Hs"</formula>
    </cfRule>
    <cfRule type="cellIs" dxfId="23926" priority="10596" stopIfTrue="1" operator="equal">
      <formula>"Towel"</formula>
    </cfRule>
    <cfRule type="cellIs" dxfId="23925" priority="10597" stopIfTrue="1" operator="equal">
      <formula>"Napkin Hs"</formula>
    </cfRule>
    <cfRule type="cellIs" dxfId="23924" priority="10606" stopIfTrue="1" operator="equal">
      <formula>"Towel"</formula>
    </cfRule>
    <cfRule type="cellIs" dxfId="23923" priority="10607" stopIfTrue="1" operator="equal">
      <formula>"Napkin Hs"</formula>
    </cfRule>
    <cfRule type="cellIs" dxfId="23922" priority="10612" stopIfTrue="1" operator="equal">
      <formula>"Towel"</formula>
    </cfRule>
    <cfRule type="cellIs" dxfId="23921" priority="10613" stopIfTrue="1" operator="equal">
      <formula>"Napkin Hs"</formula>
    </cfRule>
  </conditionalFormatting>
  <conditionalFormatting sqref="C48">
    <cfRule type="cellIs" dxfId="23920" priority="10592" stopIfTrue="1" operator="equal">
      <formula>"Towel"</formula>
    </cfRule>
    <cfRule type="cellIs" dxfId="23919" priority="10593" stopIfTrue="1" operator="equal">
      <formula>"Napkin Hs"</formula>
    </cfRule>
    <cfRule type="cellIs" dxfId="23918" priority="10594" stopIfTrue="1" operator="equal">
      <formula>"Towel"</formula>
    </cfRule>
    <cfRule type="cellIs" dxfId="23917" priority="10595" stopIfTrue="1" operator="equal">
      <formula>"Napkin Hs"</formula>
    </cfRule>
    <cfRule type="cellIs" dxfId="23916" priority="10598" stopIfTrue="1" operator="equal">
      <formula>"Towel"</formula>
    </cfRule>
    <cfRule type="cellIs" dxfId="23915" priority="10599" stopIfTrue="1" operator="equal">
      <formula>"Napkin Hs"</formula>
    </cfRule>
    <cfRule type="cellIs" dxfId="23914" priority="10600" stopIfTrue="1" operator="equal">
      <formula>"Towel"</formula>
    </cfRule>
    <cfRule type="cellIs" dxfId="23913" priority="10601" stopIfTrue="1" operator="equal">
      <formula>"Napkin Hs"</formula>
    </cfRule>
    <cfRule type="cellIs" dxfId="23912" priority="10602" stopIfTrue="1" operator="equal">
      <formula>"Towel"</formula>
    </cfRule>
    <cfRule type="cellIs" dxfId="23911" priority="10603" stopIfTrue="1" operator="equal">
      <formula>"Napkin Hs"</formula>
    </cfRule>
    <cfRule type="cellIs" dxfId="23910" priority="10604" stopIfTrue="1" operator="equal">
      <formula>"Towel"</formula>
    </cfRule>
    <cfRule type="cellIs" dxfId="23909" priority="10605" stopIfTrue="1" operator="equal">
      <formula>"Napkin Hs"</formula>
    </cfRule>
    <cfRule type="cellIs" dxfId="23908" priority="10608" stopIfTrue="1" operator="equal">
      <formula>"Towel"</formula>
    </cfRule>
    <cfRule type="cellIs" dxfId="23907" priority="10609" stopIfTrue="1" operator="equal">
      <formula>"Napkin Hs"</formula>
    </cfRule>
    <cfRule type="cellIs" dxfId="23906" priority="10611" stopIfTrue="1" operator="equal">
      <formula>"Napkin Hs"</formula>
    </cfRule>
  </conditionalFormatting>
  <conditionalFormatting sqref="C48">
    <cfRule type="cellIs" dxfId="23905" priority="10610" stopIfTrue="1" operator="equal">
      <formula>"Towel"</formula>
    </cfRule>
  </conditionalFormatting>
  <conditionalFormatting sqref="B48:C48">
    <cfRule type="cellIs" dxfId="23904" priority="10588" stopIfTrue="1" operator="equal">
      <formula>"Towel"</formula>
    </cfRule>
    <cfRule type="cellIs" dxfId="23903" priority="10589" stopIfTrue="1" operator="equal">
      <formula>"Napkin Hs"</formula>
    </cfRule>
  </conditionalFormatting>
  <conditionalFormatting sqref="C48">
    <cfRule type="cellIs" dxfId="23902" priority="10587" stopIfTrue="1" operator="equal">
      <formula>"Napkin Hs"</formula>
    </cfRule>
  </conditionalFormatting>
  <conditionalFormatting sqref="C48">
    <cfRule type="cellIs" dxfId="23901" priority="10586" stopIfTrue="1" operator="equal">
      <formula>"Towel"</formula>
    </cfRule>
  </conditionalFormatting>
  <conditionalFormatting sqref="C48">
    <cfRule type="cellIs" dxfId="23900" priority="10584" stopIfTrue="1" operator="equal">
      <formula>"Towel"</formula>
    </cfRule>
  </conditionalFormatting>
  <conditionalFormatting sqref="C48">
    <cfRule type="cellIs" dxfId="23899" priority="10585" stopIfTrue="1" operator="equal">
      <formula>"Napkin Hs"</formula>
    </cfRule>
  </conditionalFormatting>
  <conditionalFormatting sqref="B48">
    <cfRule type="cellIs" dxfId="23898" priority="10488" stopIfTrue="1" operator="equal">
      <formula>"Napkin Hs"</formula>
    </cfRule>
  </conditionalFormatting>
  <conditionalFormatting sqref="B48:C48">
    <cfRule type="cellIs" dxfId="23897" priority="10487" stopIfTrue="1" operator="equal">
      <formula>"Towel"</formula>
    </cfRule>
  </conditionalFormatting>
  <conditionalFormatting sqref="B48:C48">
    <cfRule type="cellIs" dxfId="23896" priority="10498" stopIfTrue="1" operator="equal">
      <formula>"Towel"</formula>
    </cfRule>
    <cfRule type="cellIs" dxfId="23895" priority="10499" stopIfTrue="1" operator="equal">
      <formula>"Napkin Hs"</formula>
    </cfRule>
    <cfRule type="cellIs" dxfId="23894" priority="10504" stopIfTrue="1" operator="equal">
      <formula>"Towel"</formula>
    </cfRule>
    <cfRule type="cellIs" dxfId="23893" priority="10505" stopIfTrue="1" operator="equal">
      <formula>"Napkin Hs"</formula>
    </cfRule>
    <cfRule type="cellIs" dxfId="23892" priority="10510" stopIfTrue="1" operator="equal">
      <formula>"Towel"</formula>
    </cfRule>
    <cfRule type="cellIs" dxfId="23891" priority="10511" stopIfTrue="1" operator="equal">
      <formula>"Napkin Hs"</formula>
    </cfRule>
    <cfRule type="cellIs" dxfId="23890" priority="10512" stopIfTrue="1" operator="equal">
      <formula>"Towel"</formula>
    </cfRule>
    <cfRule type="cellIs" dxfId="23889" priority="10513" stopIfTrue="1" operator="equal">
      <formula>"Napkin Hs"</formula>
    </cfRule>
    <cfRule type="cellIs" dxfId="23888" priority="10518" stopIfTrue="1" operator="equal">
      <formula>"Towel"</formula>
    </cfRule>
    <cfRule type="cellIs" dxfId="23887" priority="10519" stopIfTrue="1" operator="equal">
      <formula>"Napkin Hs"</formula>
    </cfRule>
    <cfRule type="cellIs" dxfId="23886" priority="10528" stopIfTrue="1" operator="equal">
      <formula>"Towel"</formula>
    </cfRule>
    <cfRule type="cellIs" dxfId="23885" priority="10529" stopIfTrue="1" operator="equal">
      <formula>"Napkin Hs"</formula>
    </cfRule>
    <cfRule type="cellIs" dxfId="23884" priority="10534" stopIfTrue="1" operator="equal">
      <formula>"Towel"</formula>
    </cfRule>
    <cfRule type="cellIs" dxfId="23883" priority="10535" stopIfTrue="1" operator="equal">
      <formula>"Napkin Hs"</formula>
    </cfRule>
    <cfRule type="cellIs" dxfId="23882" priority="10536" stopIfTrue="1" operator="equal">
      <formula>"Towel"</formula>
    </cfRule>
    <cfRule type="cellIs" dxfId="23881" priority="10537" stopIfTrue="1" operator="equal">
      <formula>"Napkin Hs"</formula>
    </cfRule>
    <cfRule type="cellIs" dxfId="23880" priority="10542" stopIfTrue="1" operator="equal">
      <formula>"Towel"</formula>
    </cfRule>
    <cfRule type="cellIs" dxfId="23879" priority="10543" stopIfTrue="1" operator="equal">
      <formula>"Napkin Hs"</formula>
    </cfRule>
    <cfRule type="cellIs" dxfId="23878" priority="10552" stopIfTrue="1" operator="equal">
      <formula>"Towel"</formula>
    </cfRule>
    <cfRule type="cellIs" dxfId="23877" priority="10553" stopIfTrue="1" operator="equal">
      <formula>"Napkin Hs"</formula>
    </cfRule>
    <cfRule type="cellIs" dxfId="23876" priority="10554" stopIfTrue="1" operator="equal">
      <formula>"Towel"</formula>
    </cfRule>
    <cfRule type="cellIs" dxfId="23875" priority="10555" stopIfTrue="1" operator="equal">
      <formula>"Napkin Hs"</formula>
    </cfRule>
    <cfRule type="cellIs" dxfId="23874" priority="10560" stopIfTrue="1" operator="equal">
      <formula>"Towel"</formula>
    </cfRule>
    <cfRule type="cellIs" dxfId="23873" priority="10561" stopIfTrue="1" operator="equal">
      <formula>"Napkin Hs"</formula>
    </cfRule>
    <cfRule type="cellIs" dxfId="23872" priority="10570" stopIfTrue="1" operator="equal">
      <formula>"Towel"</formula>
    </cfRule>
    <cfRule type="cellIs" dxfId="23871" priority="10571" stopIfTrue="1" operator="equal">
      <formula>"Napkin Hs"</formula>
    </cfRule>
    <cfRule type="cellIs" dxfId="23870" priority="10572" stopIfTrue="1" operator="equal">
      <formula>"Towel"</formula>
    </cfRule>
    <cfRule type="cellIs" dxfId="23869" priority="10573" stopIfTrue="1" operator="equal">
      <formula>"Napkin Hs"</formula>
    </cfRule>
    <cfRule type="cellIs" dxfId="23868" priority="10579" stopIfTrue="1" operator="equal">
      <formula>"Napkin Hs"</formula>
    </cfRule>
  </conditionalFormatting>
  <conditionalFormatting sqref="B48:C48">
    <cfRule type="cellIs" dxfId="23867" priority="10578" stopIfTrue="1" operator="equal">
      <formula>"Towel"</formula>
    </cfRule>
  </conditionalFormatting>
  <conditionalFormatting sqref="C48">
    <cfRule type="cellIs" dxfId="23866" priority="10489" stopIfTrue="1" operator="equal">
      <formula>"Napkin Hs"</formula>
    </cfRule>
    <cfRule type="cellIs" dxfId="23865" priority="10490" stopIfTrue="1" operator="equal">
      <formula>"Towel"</formula>
    </cfRule>
    <cfRule type="cellIs" dxfId="23864" priority="10491" stopIfTrue="1" operator="equal">
      <formula>"Napkin Hs"</formula>
    </cfRule>
    <cfRule type="cellIs" dxfId="23863" priority="10492" stopIfTrue="1" operator="equal">
      <formula>"Towel"</formula>
    </cfRule>
    <cfRule type="cellIs" dxfId="23862" priority="10493" stopIfTrue="1" operator="equal">
      <formula>"Napkin Hs"</formula>
    </cfRule>
    <cfRule type="cellIs" dxfId="23861" priority="10494" stopIfTrue="1" operator="equal">
      <formula>"Towel"</formula>
    </cfRule>
    <cfRule type="cellIs" dxfId="23860" priority="10495" stopIfTrue="1" operator="equal">
      <formula>"Napkin Hs"</formula>
    </cfRule>
    <cfRule type="cellIs" dxfId="23859" priority="10496" stopIfTrue="1" operator="equal">
      <formula>"Towel"</formula>
    </cfRule>
    <cfRule type="cellIs" dxfId="23858" priority="10497" stopIfTrue="1" operator="equal">
      <formula>"Napkin Hs"</formula>
    </cfRule>
    <cfRule type="cellIs" dxfId="23857" priority="10500" stopIfTrue="1" operator="equal">
      <formula>"Towel"</formula>
    </cfRule>
    <cfRule type="cellIs" dxfId="23856" priority="10501" stopIfTrue="1" operator="equal">
      <formula>"Napkin Hs"</formula>
    </cfRule>
    <cfRule type="cellIs" dxfId="23855" priority="10502" stopIfTrue="1" operator="equal">
      <formula>"Towel"</formula>
    </cfRule>
    <cfRule type="cellIs" dxfId="23854" priority="10503" stopIfTrue="1" operator="equal">
      <formula>"Napkin Hs"</formula>
    </cfRule>
    <cfRule type="cellIs" dxfId="23853" priority="10506" stopIfTrue="1" operator="equal">
      <formula>"Towel"</formula>
    </cfRule>
    <cfRule type="cellIs" dxfId="23852" priority="10507" stopIfTrue="1" operator="equal">
      <formula>"Napkin Hs"</formula>
    </cfRule>
    <cfRule type="cellIs" dxfId="23851" priority="10508" stopIfTrue="1" operator="equal">
      <formula>"Towel"</formula>
    </cfRule>
    <cfRule type="cellIs" dxfId="23850" priority="10509" stopIfTrue="1" operator="equal">
      <formula>"Napkin Hs"</formula>
    </cfRule>
    <cfRule type="cellIs" dxfId="23849" priority="10514" stopIfTrue="1" operator="equal">
      <formula>"Towel"</formula>
    </cfRule>
    <cfRule type="cellIs" dxfId="23848" priority="10515" stopIfTrue="1" operator="equal">
      <formula>"Napkin Hs"</formula>
    </cfRule>
    <cfRule type="cellIs" dxfId="23847" priority="10516" stopIfTrue="1" operator="equal">
      <formula>"Towel"</formula>
    </cfRule>
    <cfRule type="cellIs" dxfId="23846" priority="10517" stopIfTrue="1" operator="equal">
      <formula>"Napkin Hs"</formula>
    </cfRule>
    <cfRule type="cellIs" dxfId="23845" priority="10520" stopIfTrue="1" operator="equal">
      <formula>"Towel"</formula>
    </cfRule>
    <cfRule type="cellIs" dxfId="23844" priority="10521" stopIfTrue="1" operator="equal">
      <formula>"Napkin Hs"</formula>
    </cfRule>
    <cfRule type="cellIs" dxfId="23843" priority="10522" stopIfTrue="1" operator="equal">
      <formula>"Towel"</formula>
    </cfRule>
    <cfRule type="cellIs" dxfId="23842" priority="10523" stopIfTrue="1" operator="equal">
      <formula>"Napkin Hs"</formula>
    </cfRule>
    <cfRule type="cellIs" dxfId="23841" priority="10524" stopIfTrue="1" operator="equal">
      <formula>"Towel"</formula>
    </cfRule>
    <cfRule type="cellIs" dxfId="23840" priority="10525" stopIfTrue="1" operator="equal">
      <formula>"Napkin Hs"</formula>
    </cfRule>
    <cfRule type="cellIs" dxfId="23839" priority="10526" stopIfTrue="1" operator="equal">
      <formula>"Towel"</formula>
    </cfRule>
    <cfRule type="cellIs" dxfId="23838" priority="10527" stopIfTrue="1" operator="equal">
      <formula>"Napkin Hs"</formula>
    </cfRule>
    <cfRule type="cellIs" dxfId="23837" priority="10530" stopIfTrue="1" operator="equal">
      <formula>"Towel"</formula>
    </cfRule>
    <cfRule type="cellIs" dxfId="23836" priority="10531" stopIfTrue="1" operator="equal">
      <formula>"Napkin Hs"</formula>
    </cfRule>
    <cfRule type="cellIs" dxfId="23835" priority="10532" stopIfTrue="1" operator="equal">
      <formula>"Towel"</formula>
    </cfRule>
    <cfRule type="cellIs" dxfId="23834" priority="10533" stopIfTrue="1" operator="equal">
      <formula>"Napkin Hs"</formula>
    </cfRule>
    <cfRule type="cellIs" dxfId="23833" priority="10538" stopIfTrue="1" operator="equal">
      <formula>"Towel"</formula>
    </cfRule>
    <cfRule type="cellIs" dxfId="23832" priority="10539" stopIfTrue="1" operator="equal">
      <formula>"Napkin Hs"</formula>
    </cfRule>
    <cfRule type="cellIs" dxfId="23831" priority="10540" stopIfTrue="1" operator="equal">
      <formula>"Towel"</formula>
    </cfRule>
    <cfRule type="cellIs" dxfId="23830" priority="10541" stopIfTrue="1" operator="equal">
      <formula>"Napkin Hs"</formula>
    </cfRule>
    <cfRule type="cellIs" dxfId="23829" priority="10544" stopIfTrue="1" operator="equal">
      <formula>"Towel"</formula>
    </cfRule>
    <cfRule type="cellIs" dxfId="23828" priority="10545" stopIfTrue="1" operator="equal">
      <formula>"Napkin Hs"</formula>
    </cfRule>
    <cfRule type="cellIs" dxfId="23827" priority="10546" stopIfTrue="1" operator="equal">
      <formula>"Towel"</formula>
    </cfRule>
    <cfRule type="cellIs" dxfId="23826" priority="10547" stopIfTrue="1" operator="equal">
      <formula>"Napkin Hs"</formula>
    </cfRule>
    <cfRule type="cellIs" dxfId="23825" priority="10548" stopIfTrue="1" operator="equal">
      <formula>"Towel"</formula>
    </cfRule>
    <cfRule type="cellIs" dxfId="23824" priority="10549" stopIfTrue="1" operator="equal">
      <formula>"Napkin Hs"</formula>
    </cfRule>
    <cfRule type="cellIs" dxfId="23823" priority="10550" stopIfTrue="1" operator="equal">
      <formula>"Towel"</formula>
    </cfRule>
    <cfRule type="cellIs" dxfId="23822" priority="10551" stopIfTrue="1" operator="equal">
      <formula>"Napkin Hs"</formula>
    </cfRule>
    <cfRule type="cellIs" dxfId="23821" priority="10556" stopIfTrue="1" operator="equal">
      <formula>"Towel"</formula>
    </cfRule>
    <cfRule type="cellIs" dxfId="23820" priority="10557" stopIfTrue="1" operator="equal">
      <formula>"Napkin Hs"</formula>
    </cfRule>
    <cfRule type="cellIs" dxfId="23819" priority="10558" stopIfTrue="1" operator="equal">
      <formula>"Towel"</formula>
    </cfRule>
    <cfRule type="cellIs" dxfId="23818" priority="10559" stopIfTrue="1" operator="equal">
      <formula>"Napkin Hs"</formula>
    </cfRule>
    <cfRule type="cellIs" dxfId="23817" priority="10562" stopIfTrue="1" operator="equal">
      <formula>"Towel"</formula>
    </cfRule>
    <cfRule type="cellIs" dxfId="23816" priority="10563" stopIfTrue="1" operator="equal">
      <formula>"Napkin Hs"</formula>
    </cfRule>
    <cfRule type="cellIs" dxfId="23815" priority="10564" stopIfTrue="1" operator="equal">
      <formula>"Towel"</formula>
    </cfRule>
    <cfRule type="cellIs" dxfId="23814" priority="10565" stopIfTrue="1" operator="equal">
      <formula>"Napkin Hs"</formula>
    </cfRule>
    <cfRule type="cellIs" dxfId="23813" priority="10566" stopIfTrue="1" operator="equal">
      <formula>"Towel"</formula>
    </cfRule>
    <cfRule type="cellIs" dxfId="23812" priority="10567" stopIfTrue="1" operator="equal">
      <formula>"Napkin Hs"</formula>
    </cfRule>
    <cfRule type="cellIs" dxfId="23811" priority="10568" stopIfTrue="1" operator="equal">
      <formula>"Towel"</formula>
    </cfRule>
    <cfRule type="cellIs" dxfId="23810" priority="10569" stopIfTrue="1" operator="equal">
      <formula>"Napkin Hs"</formula>
    </cfRule>
    <cfRule type="cellIs" dxfId="23809" priority="10574" stopIfTrue="1" operator="equal">
      <formula>"Towel"</formula>
    </cfRule>
    <cfRule type="cellIs" dxfId="23808" priority="10575" stopIfTrue="1" operator="equal">
      <formula>"Napkin Hs"</formula>
    </cfRule>
    <cfRule type="cellIs" dxfId="23807" priority="10576" stopIfTrue="1" operator="equal">
      <formula>"Towel"</formula>
    </cfRule>
    <cfRule type="cellIs" dxfId="23806" priority="10577" stopIfTrue="1" operator="equal">
      <formula>"Napkin Hs"</formula>
    </cfRule>
    <cfRule type="cellIs" dxfId="23805" priority="10580" stopIfTrue="1" operator="equal">
      <formula>"Towel"</formula>
    </cfRule>
    <cfRule type="cellIs" dxfId="23804" priority="10581" stopIfTrue="1" operator="equal">
      <formula>"Napkin Hs"</formula>
    </cfRule>
    <cfRule type="cellIs" dxfId="23803" priority="10582" stopIfTrue="1" operator="equal">
      <formula>"Towel"</formula>
    </cfRule>
    <cfRule type="cellIs" dxfId="23802" priority="10583" stopIfTrue="1" operator="equal">
      <formula>"Napkin Hs"</formula>
    </cfRule>
  </conditionalFormatting>
  <conditionalFormatting sqref="B48:C48">
    <cfRule type="cellIs" dxfId="23801" priority="10485" stopIfTrue="1" operator="equal">
      <formula>"Towel"</formula>
    </cfRule>
    <cfRule type="cellIs" dxfId="23800" priority="10486" stopIfTrue="1" operator="equal">
      <formula>"Napkin Hs"</formula>
    </cfRule>
  </conditionalFormatting>
  <conditionalFormatting sqref="C48">
    <cfRule type="cellIs" dxfId="23799" priority="10481" stopIfTrue="1" operator="equal">
      <formula>"Towel"</formula>
    </cfRule>
    <cfRule type="cellIs" dxfId="23798" priority="10482" stopIfTrue="1" operator="equal">
      <formula>"Napkin Hs"</formula>
    </cfRule>
  </conditionalFormatting>
  <conditionalFormatting sqref="C48">
    <cfRule type="cellIs" dxfId="23797" priority="10484" stopIfTrue="1" operator="equal">
      <formula>"Napkin Hs"</formula>
    </cfRule>
  </conditionalFormatting>
  <conditionalFormatting sqref="C48">
    <cfRule type="cellIs" dxfId="23796" priority="10483" stopIfTrue="1" operator="equal">
      <formula>"Towel"</formula>
    </cfRule>
  </conditionalFormatting>
  <conditionalFormatting sqref="B46:C46">
    <cfRule type="cellIs" dxfId="23795" priority="10479" stopIfTrue="1" operator="equal">
      <formula>"Towel"</formula>
    </cfRule>
    <cfRule type="cellIs" dxfId="23794" priority="10480" stopIfTrue="1" operator="equal">
      <formula>"Napkin Hs"</formula>
    </cfRule>
  </conditionalFormatting>
  <conditionalFormatting sqref="C46">
    <cfRule type="cellIs" dxfId="23793" priority="10478" stopIfTrue="1" operator="equal">
      <formula>"Napkin Hs"</formula>
    </cfRule>
  </conditionalFormatting>
  <conditionalFormatting sqref="C46">
    <cfRule type="cellIs" dxfId="23792" priority="10477" stopIfTrue="1" operator="equal">
      <formula>"Towel"</formula>
    </cfRule>
  </conditionalFormatting>
  <conditionalFormatting sqref="C46">
    <cfRule type="cellIs" dxfId="23791" priority="10475" stopIfTrue="1" operator="equal">
      <formula>"Towel"</formula>
    </cfRule>
    <cfRule type="cellIs" dxfId="23790" priority="10476" stopIfTrue="1" operator="equal">
      <formula>"Napkin Hs"</formula>
    </cfRule>
  </conditionalFormatting>
  <conditionalFormatting sqref="C46">
    <cfRule type="cellIs" dxfId="23789" priority="10467" stopIfTrue="1" operator="equal">
      <formula>"Towel"</formula>
    </cfRule>
    <cfRule type="cellIs" dxfId="23788" priority="10468" stopIfTrue="1" operator="equal">
      <formula>"Napkin Hs"</formula>
    </cfRule>
  </conditionalFormatting>
  <conditionalFormatting sqref="B46:C46">
    <cfRule type="cellIs" dxfId="23787" priority="10469" stopIfTrue="1" operator="equal">
      <formula>"Towel"</formula>
    </cfRule>
    <cfRule type="cellIs" dxfId="23786" priority="10470" stopIfTrue="1" operator="equal">
      <formula>"Napkin Hs"</formula>
    </cfRule>
  </conditionalFormatting>
  <conditionalFormatting sqref="C46">
    <cfRule type="cellIs" dxfId="23785" priority="10465" stopIfTrue="1" operator="equal">
      <formula>"Towel"</formula>
    </cfRule>
    <cfRule type="cellIs" dxfId="23784" priority="10466" stopIfTrue="1" operator="equal">
      <formula>"Napkin Hs"</formula>
    </cfRule>
  </conditionalFormatting>
  <conditionalFormatting sqref="B46:C46">
    <cfRule type="cellIs" dxfId="23783" priority="10463" stopIfTrue="1" operator="equal">
      <formula>"Towel"</formula>
    </cfRule>
    <cfRule type="cellIs" dxfId="23782" priority="10464" stopIfTrue="1" operator="equal">
      <formula>"Napkin Hs"</formula>
    </cfRule>
  </conditionalFormatting>
  <conditionalFormatting sqref="C46">
    <cfRule type="cellIs" dxfId="23781" priority="10471" stopIfTrue="1" operator="equal">
      <formula>"Towel"</formula>
    </cfRule>
    <cfRule type="cellIs" dxfId="23780" priority="10472" stopIfTrue="1" operator="equal">
      <formula>"Napkin Hs"</formula>
    </cfRule>
  </conditionalFormatting>
  <conditionalFormatting sqref="C46">
    <cfRule type="cellIs" dxfId="23779" priority="10473" stopIfTrue="1" operator="equal">
      <formula>"Towel"</formula>
    </cfRule>
    <cfRule type="cellIs" dxfId="23778" priority="10474" stopIfTrue="1" operator="equal">
      <formula>"Napkin Hs"</formula>
    </cfRule>
  </conditionalFormatting>
  <conditionalFormatting sqref="B46:C46">
    <cfRule type="cellIs" dxfId="23777" priority="10461" stopIfTrue="1" operator="equal">
      <formula>"Towel"</formula>
    </cfRule>
    <cfRule type="cellIs" dxfId="23776" priority="10462" stopIfTrue="1" operator="equal">
      <formula>"Napkin Hs"</formula>
    </cfRule>
  </conditionalFormatting>
  <conditionalFormatting sqref="C46">
    <cfRule type="cellIs" dxfId="23775" priority="10457" stopIfTrue="1" operator="equal">
      <formula>"Towel"</formula>
    </cfRule>
    <cfRule type="cellIs" dxfId="23774" priority="10458" stopIfTrue="1" operator="equal">
      <formula>"Napkin Hs"</formula>
    </cfRule>
  </conditionalFormatting>
  <conditionalFormatting sqref="C46">
    <cfRule type="cellIs" dxfId="23773" priority="10459" stopIfTrue="1" operator="equal">
      <formula>"Towel"</formula>
    </cfRule>
    <cfRule type="cellIs" dxfId="23772" priority="10460" stopIfTrue="1" operator="equal">
      <formula>"Napkin Hs"</formula>
    </cfRule>
  </conditionalFormatting>
  <conditionalFormatting sqref="B46:C46">
    <cfRule type="cellIs" dxfId="23771" priority="10455" stopIfTrue="1" operator="equal">
      <formula>"Towel"</formula>
    </cfRule>
    <cfRule type="cellIs" dxfId="23770" priority="10456" stopIfTrue="1" operator="equal">
      <formula>"Napkin Hs"</formula>
    </cfRule>
  </conditionalFormatting>
  <conditionalFormatting sqref="C46">
    <cfRule type="cellIs" dxfId="23769" priority="10451" stopIfTrue="1" operator="equal">
      <formula>"Towel"</formula>
    </cfRule>
    <cfRule type="cellIs" dxfId="23768" priority="10452" stopIfTrue="1" operator="equal">
      <formula>"Napkin Hs"</formula>
    </cfRule>
  </conditionalFormatting>
  <conditionalFormatting sqref="C46">
    <cfRule type="cellIs" dxfId="23767" priority="10453" stopIfTrue="1" operator="equal">
      <formula>"Towel"</formula>
    </cfRule>
    <cfRule type="cellIs" dxfId="23766" priority="10454" stopIfTrue="1" operator="equal">
      <formula>"Napkin Hs"</formula>
    </cfRule>
  </conditionalFormatting>
  <conditionalFormatting sqref="C46">
    <cfRule type="cellIs" dxfId="23765" priority="10447" stopIfTrue="1" operator="equal">
      <formula>"Towel"</formula>
    </cfRule>
    <cfRule type="cellIs" dxfId="23764" priority="10448" stopIfTrue="1" operator="equal">
      <formula>"Napkin Hs"</formula>
    </cfRule>
  </conditionalFormatting>
  <conditionalFormatting sqref="C46">
    <cfRule type="cellIs" dxfId="23763" priority="10449" stopIfTrue="1" operator="equal">
      <formula>"Towel"</formula>
    </cfRule>
    <cfRule type="cellIs" dxfId="23762" priority="10450" stopIfTrue="1" operator="equal">
      <formula>"Napkin Hs"</formula>
    </cfRule>
  </conditionalFormatting>
  <conditionalFormatting sqref="C46">
    <cfRule type="cellIs" dxfId="23761" priority="10445" stopIfTrue="1" operator="equal">
      <formula>"Towel"</formula>
    </cfRule>
    <cfRule type="cellIs" dxfId="23760" priority="10446" stopIfTrue="1" operator="equal">
      <formula>"Napkin Hs"</formula>
    </cfRule>
  </conditionalFormatting>
  <conditionalFormatting sqref="B46">
    <cfRule type="cellIs" dxfId="23759" priority="10443" stopIfTrue="1" operator="equal">
      <formula>"Towel"</formula>
    </cfRule>
    <cfRule type="cellIs" dxfId="23758" priority="10444" stopIfTrue="1" operator="equal">
      <formula>"Napkin Hs"</formula>
    </cfRule>
  </conditionalFormatting>
  <conditionalFormatting sqref="C46">
    <cfRule type="cellIs" dxfId="23757" priority="10435" stopIfTrue="1" operator="equal">
      <formula>"Towel"</formula>
    </cfRule>
    <cfRule type="cellIs" dxfId="23756" priority="10436" stopIfTrue="1" operator="equal">
      <formula>"Napkin Hs"</formula>
    </cfRule>
  </conditionalFormatting>
  <conditionalFormatting sqref="B46:C46">
    <cfRule type="cellIs" dxfId="23755" priority="10437" stopIfTrue="1" operator="equal">
      <formula>"Towel"</formula>
    </cfRule>
    <cfRule type="cellIs" dxfId="23754" priority="10438" stopIfTrue="1" operator="equal">
      <formula>"Napkin Hs"</formula>
    </cfRule>
  </conditionalFormatting>
  <conditionalFormatting sqref="C46">
    <cfRule type="cellIs" dxfId="23753" priority="10433" stopIfTrue="1" operator="equal">
      <formula>"Towel"</formula>
    </cfRule>
    <cfRule type="cellIs" dxfId="23752" priority="10434" stopIfTrue="1" operator="equal">
      <formula>"Napkin Hs"</formula>
    </cfRule>
  </conditionalFormatting>
  <conditionalFormatting sqref="B46:C46">
    <cfRule type="cellIs" dxfId="23751" priority="10431" stopIfTrue="1" operator="equal">
      <formula>"Towel"</formula>
    </cfRule>
    <cfRule type="cellIs" dxfId="23750" priority="10432" stopIfTrue="1" operator="equal">
      <formula>"Napkin Hs"</formula>
    </cfRule>
  </conditionalFormatting>
  <conditionalFormatting sqref="C46">
    <cfRule type="cellIs" dxfId="23749" priority="10439" stopIfTrue="1" operator="equal">
      <formula>"Towel"</formula>
    </cfRule>
    <cfRule type="cellIs" dxfId="23748" priority="10440" stopIfTrue="1" operator="equal">
      <formula>"Napkin Hs"</formula>
    </cfRule>
  </conditionalFormatting>
  <conditionalFormatting sqref="C46">
    <cfRule type="cellIs" dxfId="23747" priority="10441" stopIfTrue="1" operator="equal">
      <formula>"Towel"</formula>
    </cfRule>
    <cfRule type="cellIs" dxfId="23746" priority="10442" stopIfTrue="1" operator="equal">
      <formula>"Napkin Hs"</formula>
    </cfRule>
  </conditionalFormatting>
  <conditionalFormatting sqref="C46">
    <cfRule type="cellIs" dxfId="23745" priority="10423" stopIfTrue="1" operator="equal">
      <formula>"Towel"</formula>
    </cfRule>
    <cfRule type="cellIs" dxfId="23744" priority="10424" stopIfTrue="1" operator="equal">
      <formula>"Napkin Hs"</formula>
    </cfRule>
  </conditionalFormatting>
  <conditionalFormatting sqref="B46:C46">
    <cfRule type="cellIs" dxfId="23743" priority="10425" stopIfTrue="1" operator="equal">
      <formula>"Towel"</formula>
    </cfRule>
    <cfRule type="cellIs" dxfId="23742" priority="10426" stopIfTrue="1" operator="equal">
      <formula>"Napkin Hs"</formula>
    </cfRule>
  </conditionalFormatting>
  <conditionalFormatting sqref="C46">
    <cfRule type="cellIs" dxfId="23741" priority="10421" stopIfTrue="1" operator="equal">
      <formula>"Towel"</formula>
    </cfRule>
    <cfRule type="cellIs" dxfId="23740" priority="10422" stopIfTrue="1" operator="equal">
      <formula>"Napkin Hs"</formula>
    </cfRule>
  </conditionalFormatting>
  <conditionalFormatting sqref="B46:C46">
    <cfRule type="cellIs" dxfId="23739" priority="10419" stopIfTrue="1" operator="equal">
      <formula>"Towel"</formula>
    </cfRule>
    <cfRule type="cellIs" dxfId="23738" priority="10420" stopIfTrue="1" operator="equal">
      <formula>"Napkin Hs"</formula>
    </cfRule>
  </conditionalFormatting>
  <conditionalFormatting sqref="C46">
    <cfRule type="cellIs" dxfId="23737" priority="10427" stopIfTrue="1" operator="equal">
      <formula>"Towel"</formula>
    </cfRule>
    <cfRule type="cellIs" dxfId="23736" priority="10428" stopIfTrue="1" operator="equal">
      <formula>"Napkin Hs"</formula>
    </cfRule>
  </conditionalFormatting>
  <conditionalFormatting sqref="C46">
    <cfRule type="cellIs" dxfId="23735" priority="10429" stopIfTrue="1" operator="equal">
      <formula>"Towel"</formula>
    </cfRule>
    <cfRule type="cellIs" dxfId="23734" priority="10430" stopIfTrue="1" operator="equal">
      <formula>"Napkin Hs"</formula>
    </cfRule>
  </conditionalFormatting>
  <conditionalFormatting sqref="C46">
    <cfRule type="cellIs" dxfId="23733" priority="10411" stopIfTrue="1" operator="equal">
      <formula>"Towel"</formula>
    </cfRule>
    <cfRule type="cellIs" dxfId="23732" priority="10412" stopIfTrue="1" operator="equal">
      <formula>"Napkin Hs"</formula>
    </cfRule>
  </conditionalFormatting>
  <conditionalFormatting sqref="B46:C46">
    <cfRule type="cellIs" dxfId="23731" priority="10413" stopIfTrue="1" operator="equal">
      <formula>"Towel"</formula>
    </cfRule>
    <cfRule type="cellIs" dxfId="23730" priority="10414" stopIfTrue="1" operator="equal">
      <formula>"Napkin Hs"</formula>
    </cfRule>
  </conditionalFormatting>
  <conditionalFormatting sqref="C46">
    <cfRule type="cellIs" dxfId="23729" priority="10409" stopIfTrue="1" operator="equal">
      <formula>"Towel"</formula>
    </cfRule>
    <cfRule type="cellIs" dxfId="23728" priority="10410" stopIfTrue="1" operator="equal">
      <formula>"Napkin Hs"</formula>
    </cfRule>
  </conditionalFormatting>
  <conditionalFormatting sqref="B46:C46">
    <cfRule type="cellIs" dxfId="23727" priority="10407" stopIfTrue="1" operator="equal">
      <formula>"Towel"</formula>
    </cfRule>
    <cfRule type="cellIs" dxfId="23726" priority="10408" stopIfTrue="1" operator="equal">
      <formula>"Napkin Hs"</formula>
    </cfRule>
  </conditionalFormatting>
  <conditionalFormatting sqref="C46">
    <cfRule type="cellIs" dxfId="23725" priority="10415" stopIfTrue="1" operator="equal">
      <formula>"Towel"</formula>
    </cfRule>
    <cfRule type="cellIs" dxfId="23724" priority="10416" stopIfTrue="1" operator="equal">
      <formula>"Napkin Hs"</formula>
    </cfRule>
  </conditionalFormatting>
  <conditionalFormatting sqref="C46">
    <cfRule type="cellIs" dxfId="23723" priority="10417" stopIfTrue="1" operator="equal">
      <formula>"Towel"</formula>
    </cfRule>
    <cfRule type="cellIs" dxfId="23722" priority="10418" stopIfTrue="1" operator="equal">
      <formula>"Napkin Hs"</formula>
    </cfRule>
  </conditionalFormatting>
  <conditionalFormatting sqref="B46:C46">
    <cfRule type="cellIs" dxfId="23721" priority="10405" stopIfTrue="1" operator="equal">
      <formula>"Towel"</formula>
    </cfRule>
    <cfRule type="cellIs" dxfId="23720" priority="10406" stopIfTrue="1" operator="equal">
      <formula>"Napkin Hs"</formula>
    </cfRule>
  </conditionalFormatting>
  <conditionalFormatting sqref="C46">
    <cfRule type="cellIs" dxfId="23719" priority="10401" stopIfTrue="1" operator="equal">
      <formula>"Towel"</formula>
    </cfRule>
    <cfRule type="cellIs" dxfId="23718" priority="10402" stopIfTrue="1" operator="equal">
      <formula>"Napkin Hs"</formula>
    </cfRule>
  </conditionalFormatting>
  <conditionalFormatting sqref="C46">
    <cfRule type="cellIs" dxfId="23717" priority="10404" stopIfTrue="1" operator="equal">
      <formula>"Napkin Hs"</formula>
    </cfRule>
  </conditionalFormatting>
  <conditionalFormatting sqref="C46">
    <cfRule type="cellIs" dxfId="23716" priority="10403" stopIfTrue="1" operator="equal">
      <formula>"Towel"</formula>
    </cfRule>
  </conditionalFormatting>
  <conditionalFormatting sqref="B46:C46">
    <cfRule type="cellIs" dxfId="23715" priority="10399" stopIfTrue="1" operator="equal">
      <formula>"Towel"</formula>
    </cfRule>
    <cfRule type="cellIs" dxfId="23714" priority="10400" stopIfTrue="1" operator="equal">
      <formula>"Napkin Hs"</formula>
    </cfRule>
  </conditionalFormatting>
  <conditionalFormatting sqref="C46">
    <cfRule type="cellIs" dxfId="23713" priority="10395" stopIfTrue="1" operator="equal">
      <formula>"Towel"</formula>
    </cfRule>
    <cfRule type="cellIs" dxfId="23712" priority="10396" stopIfTrue="1" operator="equal">
      <formula>"Napkin Hs"</formula>
    </cfRule>
  </conditionalFormatting>
  <conditionalFormatting sqref="C46">
    <cfRule type="cellIs" dxfId="23711" priority="10398" stopIfTrue="1" operator="equal">
      <formula>"Napkin Hs"</formula>
    </cfRule>
  </conditionalFormatting>
  <conditionalFormatting sqref="C46">
    <cfRule type="cellIs" dxfId="23710" priority="10397" stopIfTrue="1" operator="equal">
      <formula>"Towel"</formula>
    </cfRule>
  </conditionalFormatting>
  <conditionalFormatting sqref="C46">
    <cfRule type="cellIs" dxfId="23709" priority="10387" stopIfTrue="1" operator="equal">
      <formula>"Towel"</formula>
    </cfRule>
    <cfRule type="cellIs" dxfId="23708" priority="10388" stopIfTrue="1" operator="equal">
      <formula>"Napkin Hs"</formula>
    </cfRule>
  </conditionalFormatting>
  <conditionalFormatting sqref="B46:C46">
    <cfRule type="cellIs" dxfId="23707" priority="10389" stopIfTrue="1" operator="equal">
      <formula>"Towel"</formula>
    </cfRule>
    <cfRule type="cellIs" dxfId="23706" priority="10390" stopIfTrue="1" operator="equal">
      <formula>"Napkin Hs"</formula>
    </cfRule>
  </conditionalFormatting>
  <conditionalFormatting sqref="C46">
    <cfRule type="cellIs" dxfId="23705" priority="10385" stopIfTrue="1" operator="equal">
      <formula>"Towel"</formula>
    </cfRule>
    <cfRule type="cellIs" dxfId="23704" priority="10386" stopIfTrue="1" operator="equal">
      <formula>"Napkin Hs"</formula>
    </cfRule>
  </conditionalFormatting>
  <conditionalFormatting sqref="B46:C46">
    <cfRule type="cellIs" dxfId="23703" priority="10383" stopIfTrue="1" operator="equal">
      <formula>"Towel"</formula>
    </cfRule>
    <cfRule type="cellIs" dxfId="23702" priority="10384" stopIfTrue="1" operator="equal">
      <formula>"Napkin Hs"</formula>
    </cfRule>
  </conditionalFormatting>
  <conditionalFormatting sqref="C46">
    <cfRule type="cellIs" dxfId="23701" priority="10391" stopIfTrue="1" operator="equal">
      <formula>"Towel"</formula>
    </cfRule>
    <cfRule type="cellIs" dxfId="23700" priority="10392" stopIfTrue="1" operator="equal">
      <formula>"Napkin Hs"</formula>
    </cfRule>
  </conditionalFormatting>
  <conditionalFormatting sqref="C46">
    <cfRule type="cellIs" dxfId="23699" priority="10393" stopIfTrue="1" operator="equal">
      <formula>"Towel"</formula>
    </cfRule>
    <cfRule type="cellIs" dxfId="23698" priority="10394" stopIfTrue="1" operator="equal">
      <formula>"Napkin Hs"</formula>
    </cfRule>
  </conditionalFormatting>
  <conditionalFormatting sqref="B46:C46">
    <cfRule type="cellIs" dxfId="23697" priority="10381" stopIfTrue="1" operator="equal">
      <formula>"Towel"</formula>
    </cfRule>
    <cfRule type="cellIs" dxfId="23696" priority="10382" stopIfTrue="1" operator="equal">
      <formula>"Napkin Hs"</formula>
    </cfRule>
  </conditionalFormatting>
  <conditionalFormatting sqref="C46">
    <cfRule type="cellIs" dxfId="23695" priority="10373" stopIfTrue="1" operator="equal">
      <formula>"Towel"</formula>
    </cfRule>
    <cfRule type="cellIs" dxfId="23694" priority="10374" stopIfTrue="1" operator="equal">
      <formula>"Napkin Hs"</formula>
    </cfRule>
  </conditionalFormatting>
  <conditionalFormatting sqref="C46">
    <cfRule type="cellIs" dxfId="23693" priority="10377" stopIfTrue="1" operator="equal">
      <formula>"Towel"</formula>
    </cfRule>
    <cfRule type="cellIs" dxfId="23692" priority="10378" stopIfTrue="1" operator="equal">
      <formula>"Napkin Hs"</formula>
    </cfRule>
  </conditionalFormatting>
  <conditionalFormatting sqref="C46">
    <cfRule type="cellIs" dxfId="23691" priority="10380" stopIfTrue="1" operator="equal">
      <formula>"Napkin Hs"</formula>
    </cfRule>
  </conditionalFormatting>
  <conditionalFormatting sqref="C46">
    <cfRule type="cellIs" dxfId="23690" priority="10375" stopIfTrue="1" operator="equal">
      <formula>"Towel"</formula>
    </cfRule>
    <cfRule type="cellIs" dxfId="23689" priority="10376" stopIfTrue="1" operator="equal">
      <formula>"Napkin Hs"</formula>
    </cfRule>
  </conditionalFormatting>
  <conditionalFormatting sqref="C46">
    <cfRule type="cellIs" dxfId="23688" priority="10379" stopIfTrue="1" operator="equal">
      <formula>"Towel"</formula>
    </cfRule>
  </conditionalFormatting>
  <conditionalFormatting sqref="C46">
    <cfRule type="cellIs" dxfId="23687" priority="10371" stopIfTrue="1" operator="equal">
      <formula>"Towel"</formula>
    </cfRule>
    <cfRule type="cellIs" dxfId="23686" priority="10372" stopIfTrue="1" operator="equal">
      <formula>"Napkin Hs"</formula>
    </cfRule>
  </conditionalFormatting>
  <conditionalFormatting sqref="B46">
    <cfRule type="cellIs" dxfId="23685" priority="10369" stopIfTrue="1" operator="equal">
      <formula>"Towel"</formula>
    </cfRule>
    <cfRule type="cellIs" dxfId="23684" priority="10370" stopIfTrue="1" operator="equal">
      <formula>"Napkin Hs"</formula>
    </cfRule>
  </conditionalFormatting>
  <conditionalFormatting sqref="B46:C46">
    <cfRule type="cellIs" dxfId="23683" priority="10367" stopIfTrue="1" operator="equal">
      <formula>"Towel"</formula>
    </cfRule>
    <cfRule type="cellIs" dxfId="23682" priority="10368" stopIfTrue="1" operator="equal">
      <formula>"Napkin Hs"</formula>
    </cfRule>
  </conditionalFormatting>
  <conditionalFormatting sqref="C46">
    <cfRule type="cellIs" dxfId="23681" priority="10359" stopIfTrue="1" operator="equal">
      <formula>"Towel"</formula>
    </cfRule>
    <cfRule type="cellIs" dxfId="23680" priority="10360" stopIfTrue="1" operator="equal">
      <formula>"Napkin Hs"</formula>
    </cfRule>
  </conditionalFormatting>
  <conditionalFormatting sqref="C46">
    <cfRule type="cellIs" dxfId="23679" priority="10363" stopIfTrue="1" operator="equal">
      <formula>"Towel"</formula>
    </cfRule>
    <cfRule type="cellIs" dxfId="23678" priority="10364" stopIfTrue="1" operator="equal">
      <formula>"Napkin Hs"</formula>
    </cfRule>
  </conditionalFormatting>
  <conditionalFormatting sqref="C46">
    <cfRule type="cellIs" dxfId="23677" priority="10366" stopIfTrue="1" operator="equal">
      <formula>"Napkin Hs"</formula>
    </cfRule>
  </conditionalFormatting>
  <conditionalFormatting sqref="C46">
    <cfRule type="cellIs" dxfId="23676" priority="10361" stopIfTrue="1" operator="equal">
      <formula>"Towel"</formula>
    </cfRule>
    <cfRule type="cellIs" dxfId="23675" priority="10362" stopIfTrue="1" operator="equal">
      <formula>"Napkin Hs"</formula>
    </cfRule>
  </conditionalFormatting>
  <conditionalFormatting sqref="C46">
    <cfRule type="cellIs" dxfId="23674" priority="10365" stopIfTrue="1" operator="equal">
      <formula>"Towel"</formula>
    </cfRule>
  </conditionalFormatting>
  <conditionalFormatting sqref="C46">
    <cfRule type="cellIs" dxfId="23673" priority="10357" stopIfTrue="1" operator="equal">
      <formula>"Towel"</formula>
    </cfRule>
    <cfRule type="cellIs" dxfId="23672" priority="10358" stopIfTrue="1" operator="equal">
      <formula>"Napkin Hs"</formula>
    </cfRule>
  </conditionalFormatting>
  <conditionalFormatting sqref="B46">
    <cfRule type="cellIs" dxfId="23671" priority="10355" stopIfTrue="1" operator="equal">
      <formula>"Towel"</formula>
    </cfRule>
    <cfRule type="cellIs" dxfId="23670" priority="10356" stopIfTrue="1" operator="equal">
      <formula>"Napkin Hs"</formula>
    </cfRule>
  </conditionalFormatting>
  <conditionalFormatting sqref="B46:C46">
    <cfRule type="cellIs" dxfId="23669" priority="10331" stopIfTrue="1" operator="equal">
      <formula>"Towel"</formula>
    </cfRule>
  </conditionalFormatting>
  <conditionalFormatting sqref="B46:C46">
    <cfRule type="cellIs" dxfId="23668" priority="10332" stopIfTrue="1" operator="equal">
      <formula>"Napkin Hs"</formula>
    </cfRule>
    <cfRule type="cellIs" dxfId="23667" priority="10337" stopIfTrue="1" operator="equal">
      <formula>"Towel"</formula>
    </cfRule>
    <cfRule type="cellIs" dxfId="23666" priority="10338" stopIfTrue="1" operator="equal">
      <formula>"Napkin Hs"</formula>
    </cfRule>
    <cfRule type="cellIs" dxfId="23665" priority="10347" stopIfTrue="1" operator="equal">
      <formula>"Towel"</formula>
    </cfRule>
    <cfRule type="cellIs" dxfId="23664" priority="10348" stopIfTrue="1" operator="equal">
      <formula>"Napkin Hs"</formula>
    </cfRule>
    <cfRule type="cellIs" dxfId="23663" priority="10353" stopIfTrue="1" operator="equal">
      <formula>"Towel"</formula>
    </cfRule>
    <cfRule type="cellIs" dxfId="23662" priority="10354" stopIfTrue="1" operator="equal">
      <formula>"Napkin Hs"</formula>
    </cfRule>
  </conditionalFormatting>
  <conditionalFormatting sqref="C46">
    <cfRule type="cellIs" dxfId="23661" priority="10333" stopIfTrue="1" operator="equal">
      <formula>"Towel"</formula>
    </cfRule>
    <cfRule type="cellIs" dxfId="23660" priority="10334" stopIfTrue="1" operator="equal">
      <formula>"Napkin Hs"</formula>
    </cfRule>
    <cfRule type="cellIs" dxfId="23659" priority="10335" stopIfTrue="1" operator="equal">
      <formula>"Towel"</formula>
    </cfRule>
    <cfRule type="cellIs" dxfId="23658" priority="10336" stopIfTrue="1" operator="equal">
      <formula>"Napkin Hs"</formula>
    </cfRule>
    <cfRule type="cellIs" dxfId="23657" priority="10339" stopIfTrue="1" operator="equal">
      <formula>"Towel"</formula>
    </cfRule>
    <cfRule type="cellIs" dxfId="23656" priority="10340" stopIfTrue="1" operator="equal">
      <formula>"Napkin Hs"</formula>
    </cfRule>
    <cfRule type="cellIs" dxfId="23655" priority="10341" stopIfTrue="1" operator="equal">
      <formula>"Towel"</formula>
    </cfRule>
    <cfRule type="cellIs" dxfId="23654" priority="10342" stopIfTrue="1" operator="equal">
      <formula>"Napkin Hs"</formula>
    </cfRule>
    <cfRule type="cellIs" dxfId="23653" priority="10343" stopIfTrue="1" operator="equal">
      <formula>"Towel"</formula>
    </cfRule>
    <cfRule type="cellIs" dxfId="23652" priority="10344" stopIfTrue="1" operator="equal">
      <formula>"Napkin Hs"</formula>
    </cfRule>
    <cfRule type="cellIs" dxfId="23651" priority="10345" stopIfTrue="1" operator="equal">
      <formula>"Towel"</formula>
    </cfRule>
    <cfRule type="cellIs" dxfId="23650" priority="10346" stopIfTrue="1" operator="equal">
      <formula>"Napkin Hs"</formula>
    </cfRule>
    <cfRule type="cellIs" dxfId="23649" priority="10349" stopIfTrue="1" operator="equal">
      <formula>"Towel"</formula>
    </cfRule>
    <cfRule type="cellIs" dxfId="23648" priority="10350" stopIfTrue="1" operator="equal">
      <formula>"Napkin Hs"</formula>
    </cfRule>
    <cfRule type="cellIs" dxfId="23647" priority="10352" stopIfTrue="1" operator="equal">
      <formula>"Napkin Hs"</formula>
    </cfRule>
  </conditionalFormatting>
  <conditionalFormatting sqref="C46">
    <cfRule type="cellIs" dxfId="23646" priority="10351" stopIfTrue="1" operator="equal">
      <formula>"Towel"</formula>
    </cfRule>
  </conditionalFormatting>
  <conditionalFormatting sqref="B46:C46">
    <cfRule type="cellIs" dxfId="23645" priority="10329" stopIfTrue="1" operator="equal">
      <formula>"Towel"</formula>
    </cfRule>
    <cfRule type="cellIs" dxfId="23644" priority="10330" stopIfTrue="1" operator="equal">
      <formula>"Napkin Hs"</formula>
    </cfRule>
  </conditionalFormatting>
  <conditionalFormatting sqref="C46">
    <cfRule type="cellIs" dxfId="23643" priority="10328" stopIfTrue="1" operator="equal">
      <formula>"Napkin Hs"</formula>
    </cfRule>
  </conditionalFormatting>
  <conditionalFormatting sqref="C46">
    <cfRule type="cellIs" dxfId="23642" priority="10327" stopIfTrue="1" operator="equal">
      <formula>"Towel"</formula>
    </cfRule>
  </conditionalFormatting>
  <conditionalFormatting sqref="C46">
    <cfRule type="cellIs" dxfId="23641" priority="10325" stopIfTrue="1" operator="equal">
      <formula>"Towel"</formula>
    </cfRule>
  </conditionalFormatting>
  <conditionalFormatting sqref="C46">
    <cfRule type="cellIs" dxfId="23640" priority="10326" stopIfTrue="1" operator="equal">
      <formula>"Napkin Hs"</formula>
    </cfRule>
  </conditionalFormatting>
  <conditionalFormatting sqref="B46">
    <cfRule type="cellIs" dxfId="23639" priority="10229" stopIfTrue="1" operator="equal">
      <formula>"Napkin Hs"</formula>
    </cfRule>
  </conditionalFormatting>
  <conditionalFormatting sqref="B46:C46">
    <cfRule type="cellIs" dxfId="23638" priority="10228" stopIfTrue="1" operator="equal">
      <formula>"Towel"</formula>
    </cfRule>
  </conditionalFormatting>
  <conditionalFormatting sqref="B46:C46">
    <cfRule type="cellIs" dxfId="23637" priority="10239" stopIfTrue="1" operator="equal">
      <formula>"Towel"</formula>
    </cfRule>
    <cfRule type="cellIs" dxfId="23636" priority="10240" stopIfTrue="1" operator="equal">
      <formula>"Napkin Hs"</formula>
    </cfRule>
    <cfRule type="cellIs" dxfId="23635" priority="10245" stopIfTrue="1" operator="equal">
      <formula>"Towel"</formula>
    </cfRule>
    <cfRule type="cellIs" dxfId="23634" priority="10246" stopIfTrue="1" operator="equal">
      <formula>"Napkin Hs"</formula>
    </cfRule>
    <cfRule type="cellIs" dxfId="23633" priority="10251" stopIfTrue="1" operator="equal">
      <formula>"Towel"</formula>
    </cfRule>
    <cfRule type="cellIs" dxfId="23632" priority="10252" stopIfTrue="1" operator="equal">
      <formula>"Napkin Hs"</formula>
    </cfRule>
    <cfRule type="cellIs" dxfId="23631" priority="10253" stopIfTrue="1" operator="equal">
      <formula>"Towel"</formula>
    </cfRule>
    <cfRule type="cellIs" dxfId="23630" priority="10254" stopIfTrue="1" operator="equal">
      <formula>"Napkin Hs"</formula>
    </cfRule>
    <cfRule type="cellIs" dxfId="23629" priority="10259" stopIfTrue="1" operator="equal">
      <formula>"Towel"</formula>
    </cfRule>
    <cfRule type="cellIs" dxfId="23628" priority="10260" stopIfTrue="1" operator="equal">
      <formula>"Napkin Hs"</formula>
    </cfRule>
    <cfRule type="cellIs" dxfId="23627" priority="10269" stopIfTrue="1" operator="equal">
      <formula>"Towel"</formula>
    </cfRule>
    <cfRule type="cellIs" dxfId="23626" priority="10270" stopIfTrue="1" operator="equal">
      <formula>"Napkin Hs"</formula>
    </cfRule>
    <cfRule type="cellIs" dxfId="23625" priority="10275" stopIfTrue="1" operator="equal">
      <formula>"Towel"</formula>
    </cfRule>
    <cfRule type="cellIs" dxfId="23624" priority="10276" stopIfTrue="1" operator="equal">
      <formula>"Napkin Hs"</formula>
    </cfRule>
    <cfRule type="cellIs" dxfId="23623" priority="10277" stopIfTrue="1" operator="equal">
      <formula>"Towel"</formula>
    </cfRule>
    <cfRule type="cellIs" dxfId="23622" priority="10278" stopIfTrue="1" operator="equal">
      <formula>"Napkin Hs"</formula>
    </cfRule>
    <cfRule type="cellIs" dxfId="23621" priority="10283" stopIfTrue="1" operator="equal">
      <formula>"Towel"</formula>
    </cfRule>
    <cfRule type="cellIs" dxfId="23620" priority="10284" stopIfTrue="1" operator="equal">
      <formula>"Napkin Hs"</formula>
    </cfRule>
    <cfRule type="cellIs" dxfId="23619" priority="10293" stopIfTrue="1" operator="equal">
      <formula>"Towel"</formula>
    </cfRule>
    <cfRule type="cellIs" dxfId="23618" priority="10294" stopIfTrue="1" operator="equal">
      <formula>"Napkin Hs"</formula>
    </cfRule>
    <cfRule type="cellIs" dxfId="23617" priority="10295" stopIfTrue="1" operator="equal">
      <formula>"Towel"</formula>
    </cfRule>
    <cfRule type="cellIs" dxfId="23616" priority="10296" stopIfTrue="1" operator="equal">
      <formula>"Napkin Hs"</formula>
    </cfRule>
    <cfRule type="cellIs" dxfId="23615" priority="10301" stopIfTrue="1" operator="equal">
      <formula>"Towel"</formula>
    </cfRule>
    <cfRule type="cellIs" dxfId="23614" priority="10302" stopIfTrue="1" operator="equal">
      <formula>"Napkin Hs"</formula>
    </cfRule>
    <cfRule type="cellIs" dxfId="23613" priority="10311" stopIfTrue="1" operator="equal">
      <formula>"Towel"</formula>
    </cfRule>
    <cfRule type="cellIs" dxfId="23612" priority="10312" stopIfTrue="1" operator="equal">
      <formula>"Napkin Hs"</formula>
    </cfRule>
    <cfRule type="cellIs" dxfId="23611" priority="10313" stopIfTrue="1" operator="equal">
      <formula>"Towel"</formula>
    </cfRule>
    <cfRule type="cellIs" dxfId="23610" priority="10314" stopIfTrue="1" operator="equal">
      <formula>"Napkin Hs"</formula>
    </cfRule>
    <cfRule type="cellIs" dxfId="23609" priority="10320" stopIfTrue="1" operator="equal">
      <formula>"Napkin Hs"</formula>
    </cfRule>
  </conditionalFormatting>
  <conditionalFormatting sqref="B46:C46">
    <cfRule type="cellIs" dxfId="23608" priority="10319" stopIfTrue="1" operator="equal">
      <formula>"Towel"</formula>
    </cfRule>
  </conditionalFormatting>
  <conditionalFormatting sqref="C46">
    <cfRule type="cellIs" dxfId="23607" priority="10230" stopIfTrue="1" operator="equal">
      <formula>"Napkin Hs"</formula>
    </cfRule>
    <cfRule type="cellIs" dxfId="23606" priority="10231" stopIfTrue="1" operator="equal">
      <formula>"Towel"</formula>
    </cfRule>
    <cfRule type="cellIs" dxfId="23605" priority="10232" stopIfTrue="1" operator="equal">
      <formula>"Napkin Hs"</formula>
    </cfRule>
    <cfRule type="cellIs" dxfId="23604" priority="10233" stopIfTrue="1" operator="equal">
      <formula>"Towel"</formula>
    </cfRule>
    <cfRule type="cellIs" dxfId="23603" priority="10234" stopIfTrue="1" operator="equal">
      <formula>"Napkin Hs"</formula>
    </cfRule>
    <cfRule type="cellIs" dxfId="23602" priority="10235" stopIfTrue="1" operator="equal">
      <formula>"Towel"</formula>
    </cfRule>
    <cfRule type="cellIs" dxfId="23601" priority="10236" stopIfTrue="1" operator="equal">
      <formula>"Napkin Hs"</formula>
    </cfRule>
    <cfRule type="cellIs" dxfId="23600" priority="10237" stopIfTrue="1" operator="equal">
      <formula>"Towel"</formula>
    </cfRule>
    <cfRule type="cellIs" dxfId="23599" priority="10238" stopIfTrue="1" operator="equal">
      <formula>"Napkin Hs"</formula>
    </cfRule>
    <cfRule type="cellIs" dxfId="23598" priority="10241" stopIfTrue="1" operator="equal">
      <formula>"Towel"</formula>
    </cfRule>
    <cfRule type="cellIs" dxfId="23597" priority="10242" stopIfTrue="1" operator="equal">
      <formula>"Napkin Hs"</formula>
    </cfRule>
    <cfRule type="cellIs" dxfId="23596" priority="10243" stopIfTrue="1" operator="equal">
      <formula>"Towel"</formula>
    </cfRule>
    <cfRule type="cellIs" dxfId="23595" priority="10244" stopIfTrue="1" operator="equal">
      <formula>"Napkin Hs"</formula>
    </cfRule>
    <cfRule type="cellIs" dxfId="23594" priority="10247" stopIfTrue="1" operator="equal">
      <formula>"Towel"</formula>
    </cfRule>
    <cfRule type="cellIs" dxfId="23593" priority="10248" stopIfTrue="1" operator="equal">
      <formula>"Napkin Hs"</formula>
    </cfRule>
    <cfRule type="cellIs" dxfId="23592" priority="10249" stopIfTrue="1" operator="equal">
      <formula>"Towel"</formula>
    </cfRule>
    <cfRule type="cellIs" dxfId="23591" priority="10250" stopIfTrue="1" operator="equal">
      <formula>"Napkin Hs"</formula>
    </cfRule>
    <cfRule type="cellIs" dxfId="23590" priority="10255" stopIfTrue="1" operator="equal">
      <formula>"Towel"</formula>
    </cfRule>
    <cfRule type="cellIs" dxfId="23589" priority="10256" stopIfTrue="1" operator="equal">
      <formula>"Napkin Hs"</formula>
    </cfRule>
    <cfRule type="cellIs" dxfId="23588" priority="10257" stopIfTrue="1" operator="equal">
      <formula>"Towel"</formula>
    </cfRule>
    <cfRule type="cellIs" dxfId="23587" priority="10258" stopIfTrue="1" operator="equal">
      <formula>"Napkin Hs"</formula>
    </cfRule>
    <cfRule type="cellIs" dxfId="23586" priority="10261" stopIfTrue="1" operator="equal">
      <formula>"Towel"</formula>
    </cfRule>
    <cfRule type="cellIs" dxfId="23585" priority="10262" stopIfTrue="1" operator="equal">
      <formula>"Napkin Hs"</formula>
    </cfRule>
    <cfRule type="cellIs" dxfId="23584" priority="10263" stopIfTrue="1" operator="equal">
      <formula>"Towel"</formula>
    </cfRule>
    <cfRule type="cellIs" dxfId="23583" priority="10264" stopIfTrue="1" operator="equal">
      <formula>"Napkin Hs"</formula>
    </cfRule>
    <cfRule type="cellIs" dxfId="23582" priority="10265" stopIfTrue="1" operator="equal">
      <formula>"Towel"</formula>
    </cfRule>
    <cfRule type="cellIs" dxfId="23581" priority="10266" stopIfTrue="1" operator="equal">
      <formula>"Napkin Hs"</formula>
    </cfRule>
    <cfRule type="cellIs" dxfId="23580" priority="10267" stopIfTrue="1" operator="equal">
      <formula>"Towel"</formula>
    </cfRule>
    <cfRule type="cellIs" dxfId="23579" priority="10268" stopIfTrue="1" operator="equal">
      <formula>"Napkin Hs"</formula>
    </cfRule>
    <cfRule type="cellIs" dxfId="23578" priority="10271" stopIfTrue="1" operator="equal">
      <formula>"Towel"</formula>
    </cfRule>
    <cfRule type="cellIs" dxfId="23577" priority="10272" stopIfTrue="1" operator="equal">
      <formula>"Napkin Hs"</formula>
    </cfRule>
    <cfRule type="cellIs" dxfId="23576" priority="10273" stopIfTrue="1" operator="equal">
      <formula>"Towel"</formula>
    </cfRule>
    <cfRule type="cellIs" dxfId="23575" priority="10274" stopIfTrue="1" operator="equal">
      <formula>"Napkin Hs"</formula>
    </cfRule>
    <cfRule type="cellIs" dxfId="23574" priority="10279" stopIfTrue="1" operator="equal">
      <formula>"Towel"</formula>
    </cfRule>
    <cfRule type="cellIs" dxfId="23573" priority="10280" stopIfTrue="1" operator="equal">
      <formula>"Napkin Hs"</formula>
    </cfRule>
    <cfRule type="cellIs" dxfId="23572" priority="10281" stopIfTrue="1" operator="equal">
      <formula>"Towel"</formula>
    </cfRule>
    <cfRule type="cellIs" dxfId="23571" priority="10282" stopIfTrue="1" operator="equal">
      <formula>"Napkin Hs"</formula>
    </cfRule>
    <cfRule type="cellIs" dxfId="23570" priority="10285" stopIfTrue="1" operator="equal">
      <formula>"Towel"</formula>
    </cfRule>
    <cfRule type="cellIs" dxfId="23569" priority="10286" stopIfTrue="1" operator="equal">
      <formula>"Napkin Hs"</formula>
    </cfRule>
    <cfRule type="cellIs" dxfId="23568" priority="10287" stopIfTrue="1" operator="equal">
      <formula>"Towel"</formula>
    </cfRule>
    <cfRule type="cellIs" dxfId="23567" priority="10288" stopIfTrue="1" operator="equal">
      <formula>"Napkin Hs"</formula>
    </cfRule>
    <cfRule type="cellIs" dxfId="23566" priority="10289" stopIfTrue="1" operator="equal">
      <formula>"Towel"</formula>
    </cfRule>
    <cfRule type="cellIs" dxfId="23565" priority="10290" stopIfTrue="1" operator="equal">
      <formula>"Napkin Hs"</formula>
    </cfRule>
    <cfRule type="cellIs" dxfId="23564" priority="10291" stopIfTrue="1" operator="equal">
      <formula>"Towel"</formula>
    </cfRule>
    <cfRule type="cellIs" dxfId="23563" priority="10292" stopIfTrue="1" operator="equal">
      <formula>"Napkin Hs"</formula>
    </cfRule>
    <cfRule type="cellIs" dxfId="23562" priority="10297" stopIfTrue="1" operator="equal">
      <formula>"Towel"</formula>
    </cfRule>
    <cfRule type="cellIs" dxfId="23561" priority="10298" stopIfTrue="1" operator="equal">
      <formula>"Napkin Hs"</formula>
    </cfRule>
    <cfRule type="cellIs" dxfId="23560" priority="10299" stopIfTrue="1" operator="equal">
      <formula>"Towel"</formula>
    </cfRule>
    <cfRule type="cellIs" dxfId="23559" priority="10300" stopIfTrue="1" operator="equal">
      <formula>"Napkin Hs"</formula>
    </cfRule>
    <cfRule type="cellIs" dxfId="23558" priority="10303" stopIfTrue="1" operator="equal">
      <formula>"Towel"</formula>
    </cfRule>
    <cfRule type="cellIs" dxfId="23557" priority="10304" stopIfTrue="1" operator="equal">
      <formula>"Napkin Hs"</formula>
    </cfRule>
    <cfRule type="cellIs" dxfId="23556" priority="10305" stopIfTrue="1" operator="equal">
      <formula>"Towel"</formula>
    </cfRule>
    <cfRule type="cellIs" dxfId="23555" priority="10306" stopIfTrue="1" operator="equal">
      <formula>"Napkin Hs"</formula>
    </cfRule>
    <cfRule type="cellIs" dxfId="23554" priority="10307" stopIfTrue="1" operator="equal">
      <formula>"Towel"</formula>
    </cfRule>
    <cfRule type="cellIs" dxfId="23553" priority="10308" stopIfTrue="1" operator="equal">
      <formula>"Napkin Hs"</formula>
    </cfRule>
    <cfRule type="cellIs" dxfId="23552" priority="10309" stopIfTrue="1" operator="equal">
      <formula>"Towel"</formula>
    </cfRule>
    <cfRule type="cellIs" dxfId="23551" priority="10310" stopIfTrue="1" operator="equal">
      <formula>"Napkin Hs"</formula>
    </cfRule>
    <cfRule type="cellIs" dxfId="23550" priority="10315" stopIfTrue="1" operator="equal">
      <formula>"Towel"</formula>
    </cfRule>
    <cfRule type="cellIs" dxfId="23549" priority="10316" stopIfTrue="1" operator="equal">
      <formula>"Napkin Hs"</formula>
    </cfRule>
    <cfRule type="cellIs" dxfId="23548" priority="10317" stopIfTrue="1" operator="equal">
      <formula>"Towel"</formula>
    </cfRule>
    <cfRule type="cellIs" dxfId="23547" priority="10318" stopIfTrue="1" operator="equal">
      <formula>"Napkin Hs"</formula>
    </cfRule>
    <cfRule type="cellIs" dxfId="23546" priority="10321" stopIfTrue="1" operator="equal">
      <formula>"Towel"</formula>
    </cfRule>
    <cfRule type="cellIs" dxfId="23545" priority="10322" stopIfTrue="1" operator="equal">
      <formula>"Napkin Hs"</formula>
    </cfRule>
    <cfRule type="cellIs" dxfId="23544" priority="10323" stopIfTrue="1" operator="equal">
      <formula>"Towel"</formula>
    </cfRule>
    <cfRule type="cellIs" dxfId="23543" priority="10324" stopIfTrue="1" operator="equal">
      <formula>"Napkin Hs"</formula>
    </cfRule>
  </conditionalFormatting>
  <conditionalFormatting sqref="B46:C46">
    <cfRule type="cellIs" dxfId="23542" priority="10226" stopIfTrue="1" operator="equal">
      <formula>"Towel"</formula>
    </cfRule>
    <cfRule type="cellIs" dxfId="23541" priority="10227" stopIfTrue="1" operator="equal">
      <formula>"Napkin Hs"</formula>
    </cfRule>
  </conditionalFormatting>
  <conditionalFormatting sqref="C46">
    <cfRule type="cellIs" dxfId="23540" priority="10222" stopIfTrue="1" operator="equal">
      <formula>"Towel"</formula>
    </cfRule>
    <cfRule type="cellIs" dxfId="23539" priority="10223" stopIfTrue="1" operator="equal">
      <formula>"Napkin Hs"</formula>
    </cfRule>
  </conditionalFormatting>
  <conditionalFormatting sqref="C46">
    <cfRule type="cellIs" dxfId="23538" priority="10225" stopIfTrue="1" operator="equal">
      <formula>"Napkin Hs"</formula>
    </cfRule>
  </conditionalFormatting>
  <conditionalFormatting sqref="C46">
    <cfRule type="cellIs" dxfId="23537" priority="10224" stopIfTrue="1" operator="equal">
      <formula>"Towel"</formula>
    </cfRule>
  </conditionalFormatting>
  <conditionalFormatting sqref="B53:C53">
    <cfRule type="cellIs" dxfId="23536" priority="10220" stopIfTrue="1" operator="equal">
      <formula>"Towel"</formula>
    </cfRule>
    <cfRule type="cellIs" dxfId="23535" priority="10221" stopIfTrue="1" operator="equal">
      <formula>"Napkin Hs"</formula>
    </cfRule>
  </conditionalFormatting>
  <conditionalFormatting sqref="C50">
    <cfRule type="cellIs" dxfId="23534" priority="10184" stopIfTrue="1" operator="equal">
      <formula>"Towel"</formula>
    </cfRule>
    <cfRule type="cellIs" dxfId="23533" priority="10185" stopIfTrue="1" operator="equal">
      <formula>"Napkin Hs"</formula>
    </cfRule>
  </conditionalFormatting>
  <conditionalFormatting sqref="B54:C54">
    <cfRule type="cellIs" dxfId="23532" priority="10214" stopIfTrue="1" operator="equal">
      <formula>"Towel"</formula>
    </cfRule>
    <cfRule type="cellIs" dxfId="23531" priority="10215" stopIfTrue="1" operator="equal">
      <formula>"Napkin Hs"</formula>
    </cfRule>
  </conditionalFormatting>
  <conditionalFormatting sqref="C53">
    <cfRule type="cellIs" dxfId="23530" priority="10219" stopIfTrue="1" operator="equal">
      <formula>"Napkin Hs"</formula>
    </cfRule>
  </conditionalFormatting>
  <conditionalFormatting sqref="C50">
    <cfRule type="cellIs" dxfId="23529" priority="10182" stopIfTrue="1" operator="equal">
      <formula>"Towel"</formula>
    </cfRule>
    <cfRule type="cellIs" dxfId="23528" priority="10183" stopIfTrue="1" operator="equal">
      <formula>"Napkin Hs"</formula>
    </cfRule>
  </conditionalFormatting>
  <conditionalFormatting sqref="C53">
    <cfRule type="cellIs" dxfId="23527" priority="10218" stopIfTrue="1" operator="equal">
      <formula>"Towel"</formula>
    </cfRule>
  </conditionalFormatting>
  <conditionalFormatting sqref="C53">
    <cfRule type="cellIs" dxfId="23526" priority="10216" stopIfTrue="1" operator="equal">
      <formula>"Towel"</formula>
    </cfRule>
    <cfRule type="cellIs" dxfId="23525" priority="10217" stopIfTrue="1" operator="equal">
      <formula>"Napkin Hs"</formula>
    </cfRule>
  </conditionalFormatting>
  <conditionalFormatting sqref="C54">
    <cfRule type="cellIs" dxfId="23524" priority="10212" stopIfTrue="1" operator="equal">
      <formula>"Towel"</formula>
    </cfRule>
    <cfRule type="cellIs" dxfId="23523" priority="10213" stopIfTrue="1" operator="equal">
      <formula>"Napkin Hs"</formula>
    </cfRule>
  </conditionalFormatting>
  <conditionalFormatting sqref="C54">
    <cfRule type="cellIs" dxfId="23522" priority="10210" stopIfTrue="1" operator="equal">
      <formula>"Towel"</formula>
    </cfRule>
    <cfRule type="cellIs" dxfId="23521" priority="10211" stopIfTrue="1" operator="equal">
      <formula>"Napkin Hs"</formula>
    </cfRule>
  </conditionalFormatting>
  <conditionalFormatting sqref="B52:C52">
    <cfRule type="cellIs" dxfId="23520" priority="10156" stopIfTrue="1" operator="equal">
      <formula>"Towel"</formula>
    </cfRule>
    <cfRule type="cellIs" dxfId="23519" priority="10157" stopIfTrue="1" operator="equal">
      <formula>"Napkin Hs"</formula>
    </cfRule>
  </conditionalFormatting>
  <conditionalFormatting sqref="C50">
    <cfRule type="cellIs" dxfId="23518" priority="10202" stopIfTrue="1" operator="equal">
      <formula>"Towel"</formula>
    </cfRule>
    <cfRule type="cellIs" dxfId="23517" priority="10203" stopIfTrue="1" operator="equal">
      <formula>"Napkin Hs"</formula>
    </cfRule>
  </conditionalFormatting>
  <conditionalFormatting sqref="B50:C50">
    <cfRule type="cellIs" dxfId="23516" priority="10204" stopIfTrue="1" operator="equal">
      <formula>"Towel"</formula>
    </cfRule>
    <cfRule type="cellIs" dxfId="23515" priority="10205" stopIfTrue="1" operator="equal">
      <formula>"Napkin Hs"</formula>
    </cfRule>
  </conditionalFormatting>
  <conditionalFormatting sqref="C50">
    <cfRule type="cellIs" dxfId="23514" priority="10200" stopIfTrue="1" operator="equal">
      <formula>"Towel"</formula>
    </cfRule>
    <cfRule type="cellIs" dxfId="23513" priority="10201" stopIfTrue="1" operator="equal">
      <formula>"Napkin Hs"</formula>
    </cfRule>
  </conditionalFormatting>
  <conditionalFormatting sqref="B50:C50">
    <cfRule type="cellIs" dxfId="23512" priority="10198" stopIfTrue="1" operator="equal">
      <formula>"Towel"</formula>
    </cfRule>
    <cfRule type="cellIs" dxfId="23511" priority="10199" stopIfTrue="1" operator="equal">
      <formula>"Napkin Hs"</formula>
    </cfRule>
  </conditionalFormatting>
  <conditionalFormatting sqref="C50">
    <cfRule type="cellIs" dxfId="23510" priority="10206" stopIfTrue="1" operator="equal">
      <formula>"Towel"</formula>
    </cfRule>
    <cfRule type="cellIs" dxfId="23509" priority="10207" stopIfTrue="1" operator="equal">
      <formula>"Napkin Hs"</formula>
    </cfRule>
  </conditionalFormatting>
  <conditionalFormatting sqref="C50">
    <cfRule type="cellIs" dxfId="23508" priority="10208" stopIfTrue="1" operator="equal">
      <formula>"Towel"</formula>
    </cfRule>
    <cfRule type="cellIs" dxfId="23507" priority="10209" stopIfTrue="1" operator="equal">
      <formula>"Napkin Hs"</formula>
    </cfRule>
  </conditionalFormatting>
  <conditionalFormatting sqref="C51">
    <cfRule type="cellIs" dxfId="23506" priority="10190" stopIfTrue="1" operator="equal">
      <formula>"Towel"</formula>
    </cfRule>
    <cfRule type="cellIs" dxfId="23505" priority="10191" stopIfTrue="1" operator="equal">
      <formula>"Napkin Hs"</formula>
    </cfRule>
  </conditionalFormatting>
  <conditionalFormatting sqref="B51:C51">
    <cfRule type="cellIs" dxfId="23504" priority="10192" stopIfTrue="1" operator="equal">
      <formula>"Towel"</formula>
    </cfRule>
    <cfRule type="cellIs" dxfId="23503" priority="10193" stopIfTrue="1" operator="equal">
      <formula>"Napkin Hs"</formula>
    </cfRule>
  </conditionalFormatting>
  <conditionalFormatting sqref="C51">
    <cfRule type="cellIs" dxfId="23502" priority="10188" stopIfTrue="1" operator="equal">
      <formula>"Towel"</formula>
    </cfRule>
    <cfRule type="cellIs" dxfId="23501" priority="10189" stopIfTrue="1" operator="equal">
      <formula>"Napkin Hs"</formula>
    </cfRule>
  </conditionalFormatting>
  <conditionalFormatting sqref="B51:C51">
    <cfRule type="cellIs" dxfId="23500" priority="10186" stopIfTrue="1" operator="equal">
      <formula>"Towel"</formula>
    </cfRule>
    <cfRule type="cellIs" dxfId="23499" priority="10187" stopIfTrue="1" operator="equal">
      <formula>"Napkin Hs"</formula>
    </cfRule>
  </conditionalFormatting>
  <conditionalFormatting sqref="C51">
    <cfRule type="cellIs" dxfId="23498" priority="10194" stopIfTrue="1" operator="equal">
      <formula>"Towel"</formula>
    </cfRule>
    <cfRule type="cellIs" dxfId="23497" priority="10195" stopIfTrue="1" operator="equal">
      <formula>"Napkin Hs"</formula>
    </cfRule>
  </conditionalFormatting>
  <conditionalFormatting sqref="C51">
    <cfRule type="cellIs" dxfId="23496" priority="10196" stopIfTrue="1" operator="equal">
      <formula>"Towel"</formula>
    </cfRule>
    <cfRule type="cellIs" dxfId="23495" priority="10197" stopIfTrue="1" operator="equal">
      <formula>"Napkin Hs"</formula>
    </cfRule>
  </conditionalFormatting>
  <conditionalFormatting sqref="C50">
    <cfRule type="cellIs" dxfId="23494" priority="10178" stopIfTrue="1" operator="equal">
      <formula>"Towel"</formula>
    </cfRule>
    <cfRule type="cellIs" dxfId="23493" priority="10179" stopIfTrue="1" operator="equal">
      <formula>"Napkin Hs"</formula>
    </cfRule>
  </conditionalFormatting>
  <conditionalFormatting sqref="B50:C50">
    <cfRule type="cellIs" dxfId="23492" priority="10180" stopIfTrue="1" operator="equal">
      <formula>"Towel"</formula>
    </cfRule>
    <cfRule type="cellIs" dxfId="23491" priority="10181" stopIfTrue="1" operator="equal">
      <formula>"Napkin Hs"</formula>
    </cfRule>
  </conditionalFormatting>
  <conditionalFormatting sqref="C50">
    <cfRule type="cellIs" dxfId="23490" priority="10176" stopIfTrue="1" operator="equal">
      <formula>"Towel"</formula>
    </cfRule>
    <cfRule type="cellIs" dxfId="23489" priority="10177" stopIfTrue="1" operator="equal">
      <formula>"Napkin Hs"</formula>
    </cfRule>
  </conditionalFormatting>
  <conditionalFormatting sqref="B50:C50">
    <cfRule type="cellIs" dxfId="23488" priority="10174" stopIfTrue="1" operator="equal">
      <formula>"Towel"</formula>
    </cfRule>
    <cfRule type="cellIs" dxfId="23487" priority="10175" stopIfTrue="1" operator="equal">
      <formula>"Napkin Hs"</formula>
    </cfRule>
  </conditionalFormatting>
  <conditionalFormatting sqref="C51">
    <cfRule type="cellIs" dxfId="23486" priority="10166" stopIfTrue="1" operator="equal">
      <formula>"Towel"</formula>
    </cfRule>
    <cfRule type="cellIs" dxfId="23485" priority="10167" stopIfTrue="1" operator="equal">
      <formula>"Napkin Hs"</formula>
    </cfRule>
  </conditionalFormatting>
  <conditionalFormatting sqref="B51:C51">
    <cfRule type="cellIs" dxfId="23484" priority="10168" stopIfTrue="1" operator="equal">
      <formula>"Towel"</formula>
    </cfRule>
    <cfRule type="cellIs" dxfId="23483" priority="10169" stopIfTrue="1" operator="equal">
      <formula>"Napkin Hs"</formula>
    </cfRule>
  </conditionalFormatting>
  <conditionalFormatting sqref="C51">
    <cfRule type="cellIs" dxfId="23482" priority="10164" stopIfTrue="1" operator="equal">
      <formula>"Towel"</formula>
    </cfRule>
    <cfRule type="cellIs" dxfId="23481" priority="10165" stopIfTrue="1" operator="equal">
      <formula>"Napkin Hs"</formula>
    </cfRule>
  </conditionalFormatting>
  <conditionalFormatting sqref="B51:C51">
    <cfRule type="cellIs" dxfId="23480" priority="10162" stopIfTrue="1" operator="equal">
      <formula>"Towel"</formula>
    </cfRule>
    <cfRule type="cellIs" dxfId="23479" priority="10163" stopIfTrue="1" operator="equal">
      <formula>"Napkin Hs"</formula>
    </cfRule>
  </conditionalFormatting>
  <conditionalFormatting sqref="C51">
    <cfRule type="cellIs" dxfId="23478" priority="10170" stopIfTrue="1" operator="equal">
      <formula>"Towel"</formula>
    </cfRule>
    <cfRule type="cellIs" dxfId="23477" priority="10171" stopIfTrue="1" operator="equal">
      <formula>"Napkin Hs"</formula>
    </cfRule>
  </conditionalFormatting>
  <conditionalFormatting sqref="C51">
    <cfRule type="cellIs" dxfId="23476" priority="10172" stopIfTrue="1" operator="equal">
      <formula>"Towel"</formula>
    </cfRule>
    <cfRule type="cellIs" dxfId="23475" priority="10173" stopIfTrue="1" operator="equal">
      <formula>"Napkin Hs"</formula>
    </cfRule>
  </conditionalFormatting>
  <conditionalFormatting sqref="C52">
    <cfRule type="cellIs" dxfId="23474" priority="10154" stopIfTrue="1" operator="equal">
      <formula>"Towel"</formula>
    </cfRule>
    <cfRule type="cellIs" dxfId="23473" priority="10155" stopIfTrue="1" operator="equal">
      <formula>"Napkin Hs"</formula>
    </cfRule>
  </conditionalFormatting>
  <conditionalFormatting sqref="C52">
    <cfRule type="cellIs" dxfId="23472" priority="10152" stopIfTrue="1" operator="equal">
      <formula>"Towel"</formula>
    </cfRule>
    <cfRule type="cellIs" dxfId="23471" priority="10153" stopIfTrue="1" operator="equal">
      <formula>"Napkin Hs"</formula>
    </cfRule>
  </conditionalFormatting>
  <conditionalFormatting sqref="B52:C52">
    <cfRule type="cellIs" dxfId="23470" priority="10150" stopIfTrue="1" operator="equal">
      <formula>"Towel"</formula>
    </cfRule>
    <cfRule type="cellIs" dxfId="23469" priority="10151" stopIfTrue="1" operator="equal">
      <formula>"Napkin Hs"</formula>
    </cfRule>
  </conditionalFormatting>
  <conditionalFormatting sqref="C52">
    <cfRule type="cellIs" dxfId="23468" priority="10158" stopIfTrue="1" operator="equal">
      <formula>"Towel"</formula>
    </cfRule>
    <cfRule type="cellIs" dxfId="23467" priority="10159" stopIfTrue="1" operator="equal">
      <formula>"Napkin Hs"</formula>
    </cfRule>
  </conditionalFormatting>
  <conditionalFormatting sqref="C52">
    <cfRule type="cellIs" dxfId="23466" priority="10160" stopIfTrue="1" operator="equal">
      <formula>"Towel"</formula>
    </cfRule>
    <cfRule type="cellIs" dxfId="23465" priority="10161" stopIfTrue="1" operator="equal">
      <formula>"Napkin Hs"</formula>
    </cfRule>
  </conditionalFormatting>
  <conditionalFormatting sqref="C50">
    <cfRule type="cellIs" dxfId="23464" priority="10142" stopIfTrue="1" operator="equal">
      <formula>"Towel"</formula>
    </cfRule>
    <cfRule type="cellIs" dxfId="23463" priority="10143" stopIfTrue="1" operator="equal">
      <formula>"Napkin Hs"</formula>
    </cfRule>
  </conditionalFormatting>
  <conditionalFormatting sqref="B50:C50">
    <cfRule type="cellIs" dxfId="23462" priority="10144" stopIfTrue="1" operator="equal">
      <formula>"Towel"</formula>
    </cfRule>
    <cfRule type="cellIs" dxfId="23461" priority="10145" stopIfTrue="1" operator="equal">
      <formula>"Napkin Hs"</formula>
    </cfRule>
  </conditionalFormatting>
  <conditionalFormatting sqref="C50">
    <cfRule type="cellIs" dxfId="23460" priority="10140" stopIfTrue="1" operator="equal">
      <formula>"Towel"</formula>
    </cfRule>
    <cfRule type="cellIs" dxfId="23459" priority="10141" stopIfTrue="1" operator="equal">
      <formula>"Napkin Hs"</formula>
    </cfRule>
  </conditionalFormatting>
  <conditionalFormatting sqref="B50:C50">
    <cfRule type="cellIs" dxfId="23458" priority="10138" stopIfTrue="1" operator="equal">
      <formula>"Towel"</formula>
    </cfRule>
    <cfRule type="cellIs" dxfId="23457" priority="10139" stopIfTrue="1" operator="equal">
      <formula>"Napkin Hs"</formula>
    </cfRule>
  </conditionalFormatting>
  <conditionalFormatting sqref="C50">
    <cfRule type="cellIs" dxfId="23456" priority="10146" stopIfTrue="1" operator="equal">
      <formula>"Towel"</formula>
    </cfRule>
    <cfRule type="cellIs" dxfId="23455" priority="10147" stopIfTrue="1" operator="equal">
      <formula>"Napkin Hs"</formula>
    </cfRule>
  </conditionalFormatting>
  <conditionalFormatting sqref="C50">
    <cfRule type="cellIs" dxfId="23454" priority="10148" stopIfTrue="1" operator="equal">
      <formula>"Towel"</formula>
    </cfRule>
    <cfRule type="cellIs" dxfId="23453" priority="10149" stopIfTrue="1" operator="equal">
      <formula>"Napkin Hs"</formula>
    </cfRule>
  </conditionalFormatting>
  <conditionalFormatting sqref="C51">
    <cfRule type="cellIs" dxfId="23452" priority="10130" stopIfTrue="1" operator="equal">
      <formula>"Towel"</formula>
    </cfRule>
    <cfRule type="cellIs" dxfId="23451" priority="10131" stopIfTrue="1" operator="equal">
      <formula>"Napkin Hs"</formula>
    </cfRule>
  </conditionalFormatting>
  <conditionalFormatting sqref="B51:C51">
    <cfRule type="cellIs" dxfId="23450" priority="10132" stopIfTrue="1" operator="equal">
      <formula>"Towel"</formula>
    </cfRule>
    <cfRule type="cellIs" dxfId="23449" priority="10133" stopIfTrue="1" operator="equal">
      <formula>"Napkin Hs"</formula>
    </cfRule>
  </conditionalFormatting>
  <conditionalFormatting sqref="C51">
    <cfRule type="cellIs" dxfId="23448" priority="10128" stopIfTrue="1" operator="equal">
      <formula>"Towel"</formula>
    </cfRule>
    <cfRule type="cellIs" dxfId="23447" priority="10129" stopIfTrue="1" operator="equal">
      <formula>"Napkin Hs"</formula>
    </cfRule>
  </conditionalFormatting>
  <conditionalFormatting sqref="B51:C51">
    <cfRule type="cellIs" dxfId="23446" priority="10126" stopIfTrue="1" operator="equal">
      <formula>"Towel"</formula>
    </cfRule>
    <cfRule type="cellIs" dxfId="23445" priority="10127" stopIfTrue="1" operator="equal">
      <formula>"Napkin Hs"</formula>
    </cfRule>
  </conditionalFormatting>
  <conditionalFormatting sqref="C51">
    <cfRule type="cellIs" dxfId="23444" priority="10134" stopIfTrue="1" operator="equal">
      <formula>"Towel"</formula>
    </cfRule>
    <cfRule type="cellIs" dxfId="23443" priority="10135" stopIfTrue="1" operator="equal">
      <formula>"Napkin Hs"</formula>
    </cfRule>
  </conditionalFormatting>
  <conditionalFormatting sqref="C51">
    <cfRule type="cellIs" dxfId="23442" priority="10136" stopIfTrue="1" operator="equal">
      <formula>"Towel"</formula>
    </cfRule>
    <cfRule type="cellIs" dxfId="23441" priority="10137" stopIfTrue="1" operator="equal">
      <formula>"Napkin Hs"</formula>
    </cfRule>
  </conditionalFormatting>
  <conditionalFormatting sqref="B52:C52">
    <cfRule type="cellIs" dxfId="23440" priority="10124" stopIfTrue="1" operator="equal">
      <formula>"Towel"</formula>
    </cfRule>
    <cfRule type="cellIs" dxfId="23439" priority="10125" stopIfTrue="1" operator="equal">
      <formula>"Napkin Hs"</formula>
    </cfRule>
  </conditionalFormatting>
  <conditionalFormatting sqref="C54">
    <cfRule type="cellIs" dxfId="23438" priority="10084" stopIfTrue="1" operator="equal">
      <formula>"Towel"</formula>
    </cfRule>
    <cfRule type="cellIs" dxfId="23437" priority="10085" stopIfTrue="1" operator="equal">
      <formula>"Napkin Hs"</formula>
    </cfRule>
  </conditionalFormatting>
  <conditionalFormatting sqref="B53:C53">
    <cfRule type="cellIs" dxfId="23436" priority="10118" stopIfTrue="1" operator="equal">
      <formula>"Towel"</formula>
    </cfRule>
    <cfRule type="cellIs" dxfId="23435" priority="10119" stopIfTrue="1" operator="equal">
      <formula>"Napkin Hs"</formula>
    </cfRule>
  </conditionalFormatting>
  <conditionalFormatting sqref="C52">
    <cfRule type="cellIs" dxfId="23434" priority="10123" stopIfTrue="1" operator="equal">
      <formula>"Napkin Hs"</formula>
    </cfRule>
  </conditionalFormatting>
  <conditionalFormatting sqref="C54">
    <cfRule type="cellIs" dxfId="23433" priority="10082" stopIfTrue="1" operator="equal">
      <formula>"Towel"</formula>
    </cfRule>
    <cfRule type="cellIs" dxfId="23432" priority="10083" stopIfTrue="1" operator="equal">
      <formula>"Napkin Hs"</formula>
    </cfRule>
  </conditionalFormatting>
  <conditionalFormatting sqref="C52">
    <cfRule type="cellIs" dxfId="23431" priority="10122" stopIfTrue="1" operator="equal">
      <formula>"Towel"</formula>
    </cfRule>
  </conditionalFormatting>
  <conditionalFormatting sqref="C52">
    <cfRule type="cellIs" dxfId="23430" priority="10120" stopIfTrue="1" operator="equal">
      <formula>"Towel"</formula>
    </cfRule>
    <cfRule type="cellIs" dxfId="23429" priority="10121" stopIfTrue="1" operator="equal">
      <formula>"Napkin Hs"</formula>
    </cfRule>
  </conditionalFormatting>
  <conditionalFormatting sqref="C53">
    <cfRule type="cellIs" dxfId="23428" priority="10114" stopIfTrue="1" operator="equal">
      <formula>"Towel"</formula>
    </cfRule>
    <cfRule type="cellIs" dxfId="23427" priority="10115" stopIfTrue="1" operator="equal">
      <formula>"Napkin Hs"</formula>
    </cfRule>
  </conditionalFormatting>
  <conditionalFormatting sqref="C53">
    <cfRule type="cellIs" dxfId="23426" priority="10116" stopIfTrue="1" operator="equal">
      <formula>"Towel"</formula>
    </cfRule>
    <cfRule type="cellIs" dxfId="23425" priority="10117" stopIfTrue="1" operator="equal">
      <formula>"Napkin Hs"</formula>
    </cfRule>
  </conditionalFormatting>
  <conditionalFormatting sqref="C51">
    <cfRule type="cellIs" dxfId="23424" priority="10106" stopIfTrue="1" operator="equal">
      <formula>"Towel"</formula>
    </cfRule>
    <cfRule type="cellIs" dxfId="23423" priority="10107" stopIfTrue="1" operator="equal">
      <formula>"Napkin Hs"</formula>
    </cfRule>
  </conditionalFormatting>
  <conditionalFormatting sqref="C51">
    <cfRule type="cellIs" dxfId="23422" priority="10108" stopIfTrue="1" operator="equal">
      <formula>"Towel"</formula>
    </cfRule>
    <cfRule type="cellIs" dxfId="23421" priority="10109" stopIfTrue="1" operator="equal">
      <formula>"Napkin Hs"</formula>
    </cfRule>
  </conditionalFormatting>
  <conditionalFormatting sqref="C51">
    <cfRule type="cellIs" dxfId="23420" priority="10104" stopIfTrue="1" operator="equal">
      <formula>"Towel"</formula>
    </cfRule>
    <cfRule type="cellIs" dxfId="23419" priority="10105" stopIfTrue="1" operator="equal">
      <formula>"Napkin Hs"</formula>
    </cfRule>
  </conditionalFormatting>
  <conditionalFormatting sqref="C51">
    <cfRule type="cellIs" dxfId="23418" priority="10102" stopIfTrue="1" operator="equal">
      <formula>"Towel"</formula>
    </cfRule>
    <cfRule type="cellIs" dxfId="23417" priority="10103" stopIfTrue="1" operator="equal">
      <formula>"Napkin Hs"</formula>
    </cfRule>
  </conditionalFormatting>
  <conditionalFormatting sqref="C51">
    <cfRule type="cellIs" dxfId="23416" priority="10110" stopIfTrue="1" operator="equal">
      <formula>"Towel"</formula>
    </cfRule>
    <cfRule type="cellIs" dxfId="23415" priority="10111" stopIfTrue="1" operator="equal">
      <formula>"Napkin Hs"</formula>
    </cfRule>
  </conditionalFormatting>
  <conditionalFormatting sqref="C51">
    <cfRule type="cellIs" dxfId="23414" priority="10112" stopIfTrue="1" operator="equal">
      <formula>"Towel"</formula>
    </cfRule>
    <cfRule type="cellIs" dxfId="23413" priority="10113" stopIfTrue="1" operator="equal">
      <formula>"Napkin Hs"</formula>
    </cfRule>
  </conditionalFormatting>
  <conditionalFormatting sqref="B51">
    <cfRule type="cellIs" dxfId="23412" priority="10100" stopIfTrue="1" operator="equal">
      <formula>"Towel"</formula>
    </cfRule>
    <cfRule type="cellIs" dxfId="23411" priority="10101" stopIfTrue="1" operator="equal">
      <formula>"Napkin Hs"</formula>
    </cfRule>
  </conditionalFormatting>
  <conditionalFormatting sqref="B51">
    <cfRule type="cellIs" dxfId="23410" priority="10098" stopIfTrue="1" operator="equal">
      <formula>"Towel"</formula>
    </cfRule>
    <cfRule type="cellIs" dxfId="23409" priority="10099" stopIfTrue="1" operator="equal">
      <formula>"Napkin Hs"</formula>
    </cfRule>
  </conditionalFormatting>
  <conditionalFormatting sqref="C54">
    <cfRule type="cellIs" dxfId="23408" priority="10090" stopIfTrue="1" operator="equal">
      <formula>"Towel"</formula>
    </cfRule>
    <cfRule type="cellIs" dxfId="23407" priority="10091" stopIfTrue="1" operator="equal">
      <formula>"Napkin Hs"</formula>
    </cfRule>
  </conditionalFormatting>
  <conditionalFormatting sqref="B54:C54">
    <cfRule type="cellIs" dxfId="23406" priority="10092" stopIfTrue="1" operator="equal">
      <formula>"Towel"</formula>
    </cfRule>
    <cfRule type="cellIs" dxfId="23405" priority="10093" stopIfTrue="1" operator="equal">
      <formula>"Napkin Hs"</formula>
    </cfRule>
  </conditionalFormatting>
  <conditionalFormatting sqref="C54">
    <cfRule type="cellIs" dxfId="23404" priority="10088" stopIfTrue="1" operator="equal">
      <formula>"Towel"</formula>
    </cfRule>
    <cfRule type="cellIs" dxfId="23403" priority="10089" stopIfTrue="1" operator="equal">
      <formula>"Napkin Hs"</formula>
    </cfRule>
  </conditionalFormatting>
  <conditionalFormatting sqref="B54:C54">
    <cfRule type="cellIs" dxfId="23402" priority="10086" stopIfTrue="1" operator="equal">
      <formula>"Towel"</formula>
    </cfRule>
    <cfRule type="cellIs" dxfId="23401" priority="10087" stopIfTrue="1" operator="equal">
      <formula>"Napkin Hs"</formula>
    </cfRule>
  </conditionalFormatting>
  <conditionalFormatting sqref="C54">
    <cfRule type="cellIs" dxfId="23400" priority="10094" stopIfTrue="1" operator="equal">
      <formula>"Towel"</formula>
    </cfRule>
    <cfRule type="cellIs" dxfId="23399" priority="10095" stopIfTrue="1" operator="equal">
      <formula>"Napkin Hs"</formula>
    </cfRule>
  </conditionalFormatting>
  <conditionalFormatting sqref="C54">
    <cfRule type="cellIs" dxfId="23398" priority="10096" stopIfTrue="1" operator="equal">
      <formula>"Towel"</formula>
    </cfRule>
    <cfRule type="cellIs" dxfId="23397" priority="10097" stopIfTrue="1" operator="equal">
      <formula>"Napkin Hs"</formula>
    </cfRule>
  </conditionalFormatting>
  <conditionalFormatting sqref="C54">
    <cfRule type="cellIs" dxfId="23396" priority="10078" stopIfTrue="1" operator="equal">
      <formula>"Towel"</formula>
    </cfRule>
    <cfRule type="cellIs" dxfId="23395" priority="10079" stopIfTrue="1" operator="equal">
      <formula>"Napkin Hs"</formula>
    </cfRule>
  </conditionalFormatting>
  <conditionalFormatting sqref="B54:C54">
    <cfRule type="cellIs" dxfId="23394" priority="10080" stopIfTrue="1" operator="equal">
      <formula>"Towel"</formula>
    </cfRule>
    <cfRule type="cellIs" dxfId="23393" priority="10081" stopIfTrue="1" operator="equal">
      <formula>"Napkin Hs"</formula>
    </cfRule>
  </conditionalFormatting>
  <conditionalFormatting sqref="C54">
    <cfRule type="cellIs" dxfId="23392" priority="10076" stopIfTrue="1" operator="equal">
      <formula>"Towel"</formula>
    </cfRule>
    <cfRule type="cellIs" dxfId="23391" priority="10077" stopIfTrue="1" operator="equal">
      <formula>"Napkin Hs"</formula>
    </cfRule>
  </conditionalFormatting>
  <conditionalFormatting sqref="B54:C54">
    <cfRule type="cellIs" dxfId="23390" priority="10074" stopIfTrue="1" operator="equal">
      <formula>"Towel"</formula>
    </cfRule>
    <cfRule type="cellIs" dxfId="23389" priority="10075" stopIfTrue="1" operator="equal">
      <formula>"Napkin Hs"</formula>
    </cfRule>
  </conditionalFormatting>
  <conditionalFormatting sqref="B53:C53">
    <cfRule type="cellIs" dxfId="23388" priority="10072" stopIfTrue="1" operator="equal">
      <formula>"Towel"</formula>
    </cfRule>
    <cfRule type="cellIs" dxfId="23387" priority="10073" stopIfTrue="1" operator="equal">
      <formula>"Napkin Hs"</formula>
    </cfRule>
  </conditionalFormatting>
  <conditionalFormatting sqref="C53">
    <cfRule type="cellIs" dxfId="23386" priority="10068" stopIfTrue="1" operator="equal">
      <formula>"Towel"</formula>
    </cfRule>
    <cfRule type="cellIs" dxfId="23385" priority="10069" stopIfTrue="1" operator="equal">
      <formula>"Napkin Hs"</formula>
    </cfRule>
  </conditionalFormatting>
  <conditionalFormatting sqref="C53">
    <cfRule type="cellIs" dxfId="23384" priority="10070" stopIfTrue="1" operator="equal">
      <formula>"Towel"</formula>
    </cfRule>
    <cfRule type="cellIs" dxfId="23383" priority="10071" stopIfTrue="1" operator="equal">
      <formula>"Napkin Hs"</formula>
    </cfRule>
  </conditionalFormatting>
  <conditionalFormatting sqref="C54">
    <cfRule type="cellIs" dxfId="23382" priority="10060" stopIfTrue="1" operator="equal">
      <formula>"Towel"</formula>
    </cfRule>
    <cfRule type="cellIs" dxfId="23381" priority="10061" stopIfTrue="1" operator="equal">
      <formula>"Napkin Hs"</formula>
    </cfRule>
  </conditionalFormatting>
  <conditionalFormatting sqref="B54:C54">
    <cfRule type="cellIs" dxfId="23380" priority="10062" stopIfTrue="1" operator="equal">
      <formula>"Towel"</formula>
    </cfRule>
    <cfRule type="cellIs" dxfId="23379" priority="10063" stopIfTrue="1" operator="equal">
      <formula>"Napkin Hs"</formula>
    </cfRule>
  </conditionalFormatting>
  <conditionalFormatting sqref="C54">
    <cfRule type="cellIs" dxfId="23378" priority="10058" stopIfTrue="1" operator="equal">
      <formula>"Towel"</formula>
    </cfRule>
    <cfRule type="cellIs" dxfId="23377" priority="10059" stopIfTrue="1" operator="equal">
      <formula>"Napkin Hs"</formula>
    </cfRule>
  </conditionalFormatting>
  <conditionalFormatting sqref="B54:C54">
    <cfRule type="cellIs" dxfId="23376" priority="10056" stopIfTrue="1" operator="equal">
      <formula>"Towel"</formula>
    </cfRule>
    <cfRule type="cellIs" dxfId="23375" priority="10057" stopIfTrue="1" operator="equal">
      <formula>"Napkin Hs"</formula>
    </cfRule>
  </conditionalFormatting>
  <conditionalFormatting sqref="C54">
    <cfRule type="cellIs" dxfId="23374" priority="10064" stopIfTrue="1" operator="equal">
      <formula>"Towel"</formula>
    </cfRule>
    <cfRule type="cellIs" dxfId="23373" priority="10065" stopIfTrue="1" operator="equal">
      <formula>"Napkin Hs"</formula>
    </cfRule>
  </conditionalFormatting>
  <conditionalFormatting sqref="C54">
    <cfRule type="cellIs" dxfId="23372" priority="10066" stopIfTrue="1" operator="equal">
      <formula>"Towel"</formula>
    </cfRule>
    <cfRule type="cellIs" dxfId="23371" priority="10067" stopIfTrue="1" operator="equal">
      <formula>"Napkin Hs"</formula>
    </cfRule>
  </conditionalFormatting>
  <conditionalFormatting sqref="C52">
    <cfRule type="cellIs" dxfId="23370" priority="10048" stopIfTrue="1" operator="equal">
      <formula>"Towel"</formula>
    </cfRule>
    <cfRule type="cellIs" dxfId="23369" priority="10049" stopIfTrue="1" operator="equal">
      <formula>"Napkin Hs"</formula>
    </cfRule>
  </conditionalFormatting>
  <conditionalFormatting sqref="B52:C52">
    <cfRule type="cellIs" dxfId="23368" priority="10050" stopIfTrue="1" operator="equal">
      <formula>"Towel"</formula>
    </cfRule>
    <cfRule type="cellIs" dxfId="23367" priority="10051" stopIfTrue="1" operator="equal">
      <formula>"Napkin Hs"</formula>
    </cfRule>
  </conditionalFormatting>
  <conditionalFormatting sqref="C52">
    <cfRule type="cellIs" dxfId="23366" priority="10046" stopIfTrue="1" operator="equal">
      <formula>"Towel"</formula>
    </cfRule>
    <cfRule type="cellIs" dxfId="23365" priority="10047" stopIfTrue="1" operator="equal">
      <formula>"Napkin Hs"</formula>
    </cfRule>
  </conditionalFormatting>
  <conditionalFormatting sqref="B52:C52">
    <cfRule type="cellIs" dxfId="23364" priority="10044" stopIfTrue="1" operator="equal">
      <formula>"Towel"</formula>
    </cfRule>
    <cfRule type="cellIs" dxfId="23363" priority="10045" stopIfTrue="1" operator="equal">
      <formula>"Napkin Hs"</formula>
    </cfRule>
  </conditionalFormatting>
  <conditionalFormatting sqref="C52">
    <cfRule type="cellIs" dxfId="23362" priority="10052" stopIfTrue="1" operator="equal">
      <formula>"Towel"</formula>
    </cfRule>
    <cfRule type="cellIs" dxfId="23361" priority="10053" stopIfTrue="1" operator="equal">
      <formula>"Napkin Hs"</formula>
    </cfRule>
  </conditionalFormatting>
  <conditionalFormatting sqref="C52">
    <cfRule type="cellIs" dxfId="23360" priority="10054" stopIfTrue="1" operator="equal">
      <formula>"Towel"</formula>
    </cfRule>
    <cfRule type="cellIs" dxfId="23359" priority="10055" stopIfTrue="1" operator="equal">
      <formula>"Napkin Hs"</formula>
    </cfRule>
  </conditionalFormatting>
  <conditionalFormatting sqref="B53:C53">
    <cfRule type="cellIs" dxfId="23358" priority="10042" stopIfTrue="1" operator="equal">
      <formula>"Towel"</formula>
    </cfRule>
    <cfRule type="cellIs" dxfId="23357" priority="10043" stopIfTrue="1" operator="equal">
      <formula>"Napkin Hs"</formula>
    </cfRule>
  </conditionalFormatting>
  <conditionalFormatting sqref="C53">
    <cfRule type="cellIs" dxfId="23356" priority="10040" stopIfTrue="1" operator="equal">
      <formula>"Towel"</formula>
    </cfRule>
    <cfRule type="cellIs" dxfId="23355" priority="10041" stopIfTrue="1" operator="equal">
      <formula>"Napkin Hs"</formula>
    </cfRule>
  </conditionalFormatting>
  <conditionalFormatting sqref="C53">
    <cfRule type="cellIs" dxfId="23354" priority="10038" stopIfTrue="1" operator="equal">
      <formula>"Towel"</formula>
    </cfRule>
    <cfRule type="cellIs" dxfId="23353" priority="10039" stopIfTrue="1" operator="equal">
      <formula>"Napkin Hs"</formula>
    </cfRule>
  </conditionalFormatting>
  <conditionalFormatting sqref="B52:C52">
    <cfRule type="cellIs" dxfId="23352" priority="10036" stopIfTrue="1" operator="equal">
      <formula>"Towel"</formula>
    </cfRule>
    <cfRule type="cellIs" dxfId="23351" priority="10037" stopIfTrue="1" operator="equal">
      <formula>"Napkin Hs"</formula>
    </cfRule>
  </conditionalFormatting>
  <conditionalFormatting sqref="C52">
    <cfRule type="cellIs" dxfId="23350" priority="10032" stopIfTrue="1" operator="equal">
      <formula>"Towel"</formula>
    </cfRule>
    <cfRule type="cellIs" dxfId="23349" priority="10033" stopIfTrue="1" operator="equal">
      <formula>"Napkin Hs"</formula>
    </cfRule>
  </conditionalFormatting>
  <conditionalFormatting sqref="C52">
    <cfRule type="cellIs" dxfId="23348" priority="10034" stopIfTrue="1" operator="equal">
      <formula>"Towel"</formula>
    </cfRule>
    <cfRule type="cellIs" dxfId="23347" priority="10035" stopIfTrue="1" operator="equal">
      <formula>"Napkin Hs"</formula>
    </cfRule>
  </conditionalFormatting>
  <conditionalFormatting sqref="B52:C52">
    <cfRule type="cellIs" dxfId="23346" priority="10030" stopIfTrue="1" operator="equal">
      <formula>"Towel"</formula>
    </cfRule>
    <cfRule type="cellIs" dxfId="23345" priority="10031" stopIfTrue="1" operator="equal">
      <formula>"Napkin Hs"</formula>
    </cfRule>
  </conditionalFormatting>
  <conditionalFormatting sqref="C52">
    <cfRule type="cellIs" dxfId="23344" priority="10026" stopIfTrue="1" operator="equal">
      <formula>"Towel"</formula>
    </cfRule>
    <cfRule type="cellIs" dxfId="23343" priority="10027" stopIfTrue="1" operator="equal">
      <formula>"Napkin Hs"</formula>
    </cfRule>
  </conditionalFormatting>
  <conditionalFormatting sqref="C52">
    <cfRule type="cellIs" dxfId="23342" priority="10028" stopIfTrue="1" operator="equal">
      <formula>"Towel"</formula>
    </cfRule>
    <cfRule type="cellIs" dxfId="23341" priority="10029" stopIfTrue="1" operator="equal">
      <formula>"Napkin Hs"</formula>
    </cfRule>
  </conditionalFormatting>
  <conditionalFormatting sqref="C53">
    <cfRule type="cellIs" dxfId="23340" priority="10018" stopIfTrue="1" operator="equal">
      <formula>"Towel"</formula>
    </cfRule>
    <cfRule type="cellIs" dxfId="23339" priority="10019" stopIfTrue="1" operator="equal">
      <formula>"Napkin Hs"</formula>
    </cfRule>
  </conditionalFormatting>
  <conditionalFormatting sqref="B53:C53">
    <cfRule type="cellIs" dxfId="23338" priority="10020" stopIfTrue="1" operator="equal">
      <formula>"Towel"</formula>
    </cfRule>
    <cfRule type="cellIs" dxfId="23337" priority="10021" stopIfTrue="1" operator="equal">
      <formula>"Napkin Hs"</formula>
    </cfRule>
  </conditionalFormatting>
  <conditionalFormatting sqref="C53">
    <cfRule type="cellIs" dxfId="23336" priority="10016" stopIfTrue="1" operator="equal">
      <formula>"Towel"</formula>
    </cfRule>
    <cfRule type="cellIs" dxfId="23335" priority="10017" stopIfTrue="1" operator="equal">
      <formula>"Napkin Hs"</formula>
    </cfRule>
  </conditionalFormatting>
  <conditionalFormatting sqref="B53:C53">
    <cfRule type="cellIs" dxfId="23334" priority="10014" stopIfTrue="1" operator="equal">
      <formula>"Towel"</formula>
    </cfRule>
    <cfRule type="cellIs" dxfId="23333" priority="10015" stopIfTrue="1" operator="equal">
      <formula>"Napkin Hs"</formula>
    </cfRule>
  </conditionalFormatting>
  <conditionalFormatting sqref="C53">
    <cfRule type="cellIs" dxfId="23332" priority="10022" stopIfTrue="1" operator="equal">
      <formula>"Towel"</formula>
    </cfRule>
    <cfRule type="cellIs" dxfId="23331" priority="10023" stopIfTrue="1" operator="equal">
      <formula>"Napkin Hs"</formula>
    </cfRule>
  </conditionalFormatting>
  <conditionalFormatting sqref="C53">
    <cfRule type="cellIs" dxfId="23330" priority="10024" stopIfTrue="1" operator="equal">
      <formula>"Towel"</formula>
    </cfRule>
    <cfRule type="cellIs" dxfId="23329" priority="10025" stopIfTrue="1" operator="equal">
      <formula>"Napkin Hs"</formula>
    </cfRule>
  </conditionalFormatting>
  <conditionalFormatting sqref="B53:C53">
    <cfRule type="cellIs" dxfId="23328" priority="10012" stopIfTrue="1" operator="equal">
      <formula>"Towel"</formula>
    </cfRule>
    <cfRule type="cellIs" dxfId="23327" priority="10013" stopIfTrue="1" operator="equal">
      <formula>"Napkin Hs"</formula>
    </cfRule>
  </conditionalFormatting>
  <conditionalFormatting sqref="C53">
    <cfRule type="cellIs" dxfId="23326" priority="10004" stopIfTrue="1" operator="equal">
      <formula>"Towel"</formula>
    </cfRule>
    <cfRule type="cellIs" dxfId="23325" priority="10005" stopIfTrue="1" operator="equal">
      <formula>"Napkin Hs"</formula>
    </cfRule>
  </conditionalFormatting>
  <conditionalFormatting sqref="C53">
    <cfRule type="cellIs" dxfId="23324" priority="10008" stopIfTrue="1" operator="equal">
      <formula>"Towel"</formula>
    </cfRule>
    <cfRule type="cellIs" dxfId="23323" priority="10009" stopIfTrue="1" operator="equal">
      <formula>"Napkin Hs"</formula>
    </cfRule>
  </conditionalFormatting>
  <conditionalFormatting sqref="C53">
    <cfRule type="cellIs" dxfId="23322" priority="10011" stopIfTrue="1" operator="equal">
      <formula>"Napkin Hs"</formula>
    </cfRule>
  </conditionalFormatting>
  <conditionalFormatting sqref="C53">
    <cfRule type="cellIs" dxfId="23321" priority="10006" stopIfTrue="1" operator="equal">
      <formula>"Towel"</formula>
    </cfRule>
    <cfRule type="cellIs" dxfId="23320" priority="10007" stopIfTrue="1" operator="equal">
      <formula>"Napkin Hs"</formula>
    </cfRule>
  </conditionalFormatting>
  <conditionalFormatting sqref="C53">
    <cfRule type="cellIs" dxfId="23319" priority="10010" stopIfTrue="1" operator="equal">
      <formula>"Towel"</formula>
    </cfRule>
  </conditionalFormatting>
  <conditionalFormatting sqref="C53">
    <cfRule type="cellIs" dxfId="23318" priority="10002" stopIfTrue="1" operator="equal">
      <formula>"Towel"</formula>
    </cfRule>
    <cfRule type="cellIs" dxfId="23317" priority="10003" stopIfTrue="1" operator="equal">
      <formula>"Napkin Hs"</formula>
    </cfRule>
  </conditionalFormatting>
  <conditionalFormatting sqref="B53">
    <cfRule type="cellIs" dxfId="23316" priority="10000" stopIfTrue="1" operator="equal">
      <formula>"Towel"</formula>
    </cfRule>
    <cfRule type="cellIs" dxfId="23315" priority="10001" stopIfTrue="1" operator="equal">
      <formula>"Napkin Hs"</formula>
    </cfRule>
  </conditionalFormatting>
  <conditionalFormatting sqref="C52">
    <cfRule type="cellIs" dxfId="23314" priority="9996" stopIfTrue="1" operator="equal">
      <formula>"Towel"</formula>
    </cfRule>
    <cfRule type="cellIs" dxfId="23313" priority="9997" stopIfTrue="1" operator="equal">
      <formula>"Napkin Hs"</formula>
    </cfRule>
  </conditionalFormatting>
  <conditionalFormatting sqref="C52">
    <cfRule type="cellIs" dxfId="23312" priority="9998" stopIfTrue="1" operator="equal">
      <formula>"Towel"</formula>
    </cfRule>
    <cfRule type="cellIs" dxfId="23311" priority="9999" stopIfTrue="1" operator="equal">
      <formula>"Napkin Hs"</formula>
    </cfRule>
  </conditionalFormatting>
  <conditionalFormatting sqref="C52">
    <cfRule type="cellIs" dxfId="23310" priority="9994" stopIfTrue="1" operator="equal">
      <formula>"Towel"</formula>
    </cfRule>
    <cfRule type="cellIs" dxfId="23309" priority="9995" stopIfTrue="1" operator="equal">
      <formula>"Napkin Hs"</formula>
    </cfRule>
  </conditionalFormatting>
  <conditionalFormatting sqref="B52">
    <cfRule type="cellIs" dxfId="23308" priority="9992" stopIfTrue="1" operator="equal">
      <formula>"Towel"</formula>
    </cfRule>
    <cfRule type="cellIs" dxfId="23307" priority="9993" stopIfTrue="1" operator="equal">
      <formula>"Napkin Hs"</formula>
    </cfRule>
  </conditionalFormatting>
  <conditionalFormatting sqref="C51">
    <cfRule type="cellIs" dxfId="23306" priority="9984" stopIfTrue="1" operator="equal">
      <formula>"Towel"</formula>
    </cfRule>
    <cfRule type="cellIs" dxfId="23305" priority="9985" stopIfTrue="1" operator="equal">
      <formula>"Napkin Hs"</formula>
    </cfRule>
  </conditionalFormatting>
  <conditionalFormatting sqref="B51:C51">
    <cfRule type="cellIs" dxfId="23304" priority="9986" stopIfTrue="1" operator="equal">
      <formula>"Towel"</formula>
    </cfRule>
    <cfRule type="cellIs" dxfId="23303" priority="9987" stopIfTrue="1" operator="equal">
      <formula>"Napkin Hs"</formula>
    </cfRule>
  </conditionalFormatting>
  <conditionalFormatting sqref="C51">
    <cfRule type="cellIs" dxfId="23302" priority="9982" stopIfTrue="1" operator="equal">
      <formula>"Towel"</formula>
    </cfRule>
    <cfRule type="cellIs" dxfId="23301" priority="9983" stopIfTrue="1" operator="equal">
      <formula>"Napkin Hs"</formula>
    </cfRule>
  </conditionalFormatting>
  <conditionalFormatting sqref="B51:C51">
    <cfRule type="cellIs" dxfId="23300" priority="9980" stopIfTrue="1" operator="equal">
      <formula>"Towel"</formula>
    </cfRule>
    <cfRule type="cellIs" dxfId="23299" priority="9981" stopIfTrue="1" operator="equal">
      <formula>"Napkin Hs"</formula>
    </cfRule>
  </conditionalFormatting>
  <conditionalFormatting sqref="C51">
    <cfRule type="cellIs" dxfId="23298" priority="9988" stopIfTrue="1" operator="equal">
      <formula>"Towel"</formula>
    </cfRule>
    <cfRule type="cellIs" dxfId="23297" priority="9989" stopIfTrue="1" operator="equal">
      <formula>"Napkin Hs"</formula>
    </cfRule>
  </conditionalFormatting>
  <conditionalFormatting sqref="C51">
    <cfRule type="cellIs" dxfId="23296" priority="9990" stopIfTrue="1" operator="equal">
      <formula>"Towel"</formula>
    </cfRule>
    <cfRule type="cellIs" dxfId="23295" priority="9991" stopIfTrue="1" operator="equal">
      <formula>"Napkin Hs"</formula>
    </cfRule>
  </conditionalFormatting>
  <conditionalFormatting sqref="B51:C51">
    <cfRule type="cellIs" dxfId="23294" priority="9978" stopIfTrue="1" operator="equal">
      <formula>"Towel"</formula>
    </cfRule>
    <cfRule type="cellIs" dxfId="23293" priority="9979" stopIfTrue="1" operator="equal">
      <formula>"Napkin Hs"</formula>
    </cfRule>
  </conditionalFormatting>
  <conditionalFormatting sqref="C51">
    <cfRule type="cellIs" dxfId="23292" priority="9970" stopIfTrue="1" operator="equal">
      <formula>"Towel"</formula>
    </cfRule>
    <cfRule type="cellIs" dxfId="23291" priority="9971" stopIfTrue="1" operator="equal">
      <formula>"Napkin Hs"</formula>
    </cfRule>
  </conditionalFormatting>
  <conditionalFormatting sqref="C51">
    <cfRule type="cellIs" dxfId="23290" priority="9974" stopIfTrue="1" operator="equal">
      <formula>"Towel"</formula>
    </cfRule>
    <cfRule type="cellIs" dxfId="23289" priority="9975" stopIfTrue="1" operator="equal">
      <formula>"Napkin Hs"</formula>
    </cfRule>
  </conditionalFormatting>
  <conditionalFormatting sqref="C51">
    <cfRule type="cellIs" dxfId="23288" priority="9977" stopIfTrue="1" operator="equal">
      <formula>"Napkin Hs"</formula>
    </cfRule>
  </conditionalFormatting>
  <conditionalFormatting sqref="C51">
    <cfRule type="cellIs" dxfId="23287" priority="9972" stopIfTrue="1" operator="equal">
      <formula>"Towel"</formula>
    </cfRule>
    <cfRule type="cellIs" dxfId="23286" priority="9973" stopIfTrue="1" operator="equal">
      <formula>"Napkin Hs"</formula>
    </cfRule>
  </conditionalFormatting>
  <conditionalFormatting sqref="C51">
    <cfRule type="cellIs" dxfId="23285" priority="9976" stopIfTrue="1" operator="equal">
      <formula>"Towel"</formula>
    </cfRule>
  </conditionalFormatting>
  <conditionalFormatting sqref="C51">
    <cfRule type="cellIs" dxfId="23284" priority="9968" stopIfTrue="1" operator="equal">
      <formula>"Towel"</formula>
    </cfRule>
    <cfRule type="cellIs" dxfId="23283" priority="9969" stopIfTrue="1" operator="equal">
      <formula>"Napkin Hs"</formula>
    </cfRule>
  </conditionalFormatting>
  <conditionalFormatting sqref="B51">
    <cfRule type="cellIs" dxfId="23282" priority="9966" stopIfTrue="1" operator="equal">
      <formula>"Towel"</formula>
    </cfRule>
    <cfRule type="cellIs" dxfId="23281" priority="9967" stopIfTrue="1" operator="equal">
      <formula>"Napkin Hs"</formula>
    </cfRule>
  </conditionalFormatting>
  <conditionalFormatting sqref="B51:C51">
    <cfRule type="cellIs" dxfId="23280" priority="9964" stopIfTrue="1" operator="equal">
      <formula>"Towel"</formula>
    </cfRule>
    <cfRule type="cellIs" dxfId="23279" priority="9965" stopIfTrue="1" operator="equal">
      <formula>"Napkin Hs"</formula>
    </cfRule>
  </conditionalFormatting>
  <conditionalFormatting sqref="C51">
    <cfRule type="cellIs" dxfId="23278" priority="9956" stopIfTrue="1" operator="equal">
      <formula>"Towel"</formula>
    </cfRule>
    <cfRule type="cellIs" dxfId="23277" priority="9957" stopIfTrue="1" operator="equal">
      <formula>"Napkin Hs"</formula>
    </cfRule>
  </conditionalFormatting>
  <conditionalFormatting sqref="C51">
    <cfRule type="cellIs" dxfId="23276" priority="9960" stopIfTrue="1" operator="equal">
      <formula>"Towel"</formula>
    </cfRule>
    <cfRule type="cellIs" dxfId="23275" priority="9961" stopIfTrue="1" operator="equal">
      <formula>"Napkin Hs"</formula>
    </cfRule>
  </conditionalFormatting>
  <conditionalFormatting sqref="C51">
    <cfRule type="cellIs" dxfId="23274" priority="9963" stopIfTrue="1" operator="equal">
      <formula>"Napkin Hs"</formula>
    </cfRule>
  </conditionalFormatting>
  <conditionalFormatting sqref="C51">
    <cfRule type="cellIs" dxfId="23273" priority="9958" stopIfTrue="1" operator="equal">
      <formula>"Towel"</formula>
    </cfRule>
    <cfRule type="cellIs" dxfId="23272" priority="9959" stopIfTrue="1" operator="equal">
      <formula>"Napkin Hs"</formula>
    </cfRule>
  </conditionalFormatting>
  <conditionalFormatting sqref="C51">
    <cfRule type="cellIs" dxfId="23271" priority="9962" stopIfTrue="1" operator="equal">
      <formula>"Towel"</formula>
    </cfRule>
  </conditionalFormatting>
  <conditionalFormatting sqref="C51">
    <cfRule type="cellIs" dxfId="23270" priority="9954" stopIfTrue="1" operator="equal">
      <formula>"Towel"</formula>
    </cfRule>
    <cfRule type="cellIs" dxfId="23269" priority="9955" stopIfTrue="1" operator="equal">
      <formula>"Napkin Hs"</formula>
    </cfRule>
  </conditionalFormatting>
  <conditionalFormatting sqref="B51">
    <cfRule type="cellIs" dxfId="23268" priority="9952" stopIfTrue="1" operator="equal">
      <formula>"Towel"</formula>
    </cfRule>
    <cfRule type="cellIs" dxfId="23267" priority="9953" stopIfTrue="1" operator="equal">
      <formula>"Napkin Hs"</formula>
    </cfRule>
  </conditionalFormatting>
  <conditionalFormatting sqref="B51:C51">
    <cfRule type="cellIs" dxfId="23266" priority="9928" stopIfTrue="1" operator="equal">
      <formula>"Towel"</formula>
    </cfRule>
  </conditionalFormatting>
  <conditionalFormatting sqref="B51:C51">
    <cfRule type="cellIs" dxfId="23265" priority="9929" stopIfTrue="1" operator="equal">
      <formula>"Napkin Hs"</formula>
    </cfRule>
    <cfRule type="cellIs" dxfId="23264" priority="9934" stopIfTrue="1" operator="equal">
      <formula>"Towel"</formula>
    </cfRule>
    <cfRule type="cellIs" dxfId="23263" priority="9935" stopIfTrue="1" operator="equal">
      <formula>"Napkin Hs"</formula>
    </cfRule>
    <cfRule type="cellIs" dxfId="23262" priority="9944" stopIfTrue="1" operator="equal">
      <formula>"Towel"</formula>
    </cfRule>
    <cfRule type="cellIs" dxfId="23261" priority="9945" stopIfTrue="1" operator="equal">
      <formula>"Napkin Hs"</formula>
    </cfRule>
    <cfRule type="cellIs" dxfId="23260" priority="9950" stopIfTrue="1" operator="equal">
      <formula>"Towel"</formula>
    </cfRule>
    <cfRule type="cellIs" dxfId="23259" priority="9951" stopIfTrue="1" operator="equal">
      <formula>"Napkin Hs"</formula>
    </cfRule>
  </conditionalFormatting>
  <conditionalFormatting sqref="C51">
    <cfRule type="cellIs" dxfId="23258" priority="9930" stopIfTrue="1" operator="equal">
      <formula>"Towel"</formula>
    </cfRule>
    <cfRule type="cellIs" dxfId="23257" priority="9931" stopIfTrue="1" operator="equal">
      <formula>"Napkin Hs"</formula>
    </cfRule>
    <cfRule type="cellIs" dxfId="23256" priority="9932" stopIfTrue="1" operator="equal">
      <formula>"Towel"</formula>
    </cfRule>
    <cfRule type="cellIs" dxfId="23255" priority="9933" stopIfTrue="1" operator="equal">
      <formula>"Napkin Hs"</formula>
    </cfRule>
    <cfRule type="cellIs" dxfId="23254" priority="9936" stopIfTrue="1" operator="equal">
      <formula>"Towel"</formula>
    </cfRule>
    <cfRule type="cellIs" dxfId="23253" priority="9937" stopIfTrue="1" operator="equal">
      <formula>"Napkin Hs"</formula>
    </cfRule>
    <cfRule type="cellIs" dxfId="23252" priority="9938" stopIfTrue="1" operator="equal">
      <formula>"Towel"</formula>
    </cfRule>
    <cfRule type="cellIs" dxfId="23251" priority="9939" stopIfTrue="1" operator="equal">
      <formula>"Napkin Hs"</formula>
    </cfRule>
    <cfRule type="cellIs" dxfId="23250" priority="9940" stopIfTrue="1" operator="equal">
      <formula>"Towel"</formula>
    </cfRule>
    <cfRule type="cellIs" dxfId="23249" priority="9941" stopIfTrue="1" operator="equal">
      <formula>"Napkin Hs"</formula>
    </cfRule>
    <cfRule type="cellIs" dxfId="23248" priority="9942" stopIfTrue="1" operator="equal">
      <formula>"Towel"</formula>
    </cfRule>
    <cfRule type="cellIs" dxfId="23247" priority="9943" stopIfTrue="1" operator="equal">
      <formula>"Napkin Hs"</formula>
    </cfRule>
    <cfRule type="cellIs" dxfId="23246" priority="9946" stopIfTrue="1" operator="equal">
      <formula>"Towel"</formula>
    </cfRule>
    <cfRule type="cellIs" dxfId="23245" priority="9947" stopIfTrue="1" operator="equal">
      <formula>"Napkin Hs"</formula>
    </cfRule>
    <cfRule type="cellIs" dxfId="23244" priority="9949" stopIfTrue="1" operator="equal">
      <formula>"Napkin Hs"</formula>
    </cfRule>
  </conditionalFormatting>
  <conditionalFormatting sqref="C51">
    <cfRule type="cellIs" dxfId="23243" priority="9948" stopIfTrue="1" operator="equal">
      <formula>"Towel"</formula>
    </cfRule>
  </conditionalFormatting>
  <conditionalFormatting sqref="B51:C51">
    <cfRule type="cellIs" dxfId="23242" priority="9926" stopIfTrue="1" operator="equal">
      <formula>"Towel"</formula>
    </cfRule>
    <cfRule type="cellIs" dxfId="23241" priority="9927" stopIfTrue="1" operator="equal">
      <formula>"Napkin Hs"</formula>
    </cfRule>
  </conditionalFormatting>
  <conditionalFormatting sqref="C51">
    <cfRule type="cellIs" dxfId="23240" priority="9925" stopIfTrue="1" operator="equal">
      <formula>"Napkin Hs"</formula>
    </cfRule>
  </conditionalFormatting>
  <conditionalFormatting sqref="C51">
    <cfRule type="cellIs" dxfId="23239" priority="9924" stopIfTrue="1" operator="equal">
      <formula>"Towel"</formula>
    </cfRule>
  </conditionalFormatting>
  <conditionalFormatting sqref="C51">
    <cfRule type="cellIs" dxfId="23238" priority="9922" stopIfTrue="1" operator="equal">
      <formula>"Towel"</formula>
    </cfRule>
  </conditionalFormatting>
  <conditionalFormatting sqref="C51">
    <cfRule type="cellIs" dxfId="23237" priority="9923" stopIfTrue="1" operator="equal">
      <formula>"Napkin Hs"</formula>
    </cfRule>
  </conditionalFormatting>
  <conditionalFormatting sqref="B51">
    <cfRule type="cellIs" dxfId="23236" priority="9826" stopIfTrue="1" operator="equal">
      <formula>"Napkin Hs"</formula>
    </cfRule>
  </conditionalFormatting>
  <conditionalFormatting sqref="B51:C51">
    <cfRule type="cellIs" dxfId="23235" priority="9825" stopIfTrue="1" operator="equal">
      <formula>"Towel"</formula>
    </cfRule>
  </conditionalFormatting>
  <conditionalFormatting sqref="B51:C51">
    <cfRule type="cellIs" dxfId="23234" priority="9836" stopIfTrue="1" operator="equal">
      <formula>"Towel"</formula>
    </cfRule>
    <cfRule type="cellIs" dxfId="23233" priority="9837" stopIfTrue="1" operator="equal">
      <formula>"Napkin Hs"</formula>
    </cfRule>
    <cfRule type="cellIs" dxfId="23232" priority="9842" stopIfTrue="1" operator="equal">
      <formula>"Towel"</formula>
    </cfRule>
    <cfRule type="cellIs" dxfId="23231" priority="9843" stopIfTrue="1" operator="equal">
      <formula>"Napkin Hs"</formula>
    </cfRule>
    <cfRule type="cellIs" dxfId="23230" priority="9848" stopIfTrue="1" operator="equal">
      <formula>"Towel"</formula>
    </cfRule>
    <cfRule type="cellIs" dxfId="23229" priority="9849" stopIfTrue="1" operator="equal">
      <formula>"Napkin Hs"</formula>
    </cfRule>
    <cfRule type="cellIs" dxfId="23228" priority="9850" stopIfTrue="1" operator="equal">
      <formula>"Towel"</formula>
    </cfRule>
    <cfRule type="cellIs" dxfId="23227" priority="9851" stopIfTrue="1" operator="equal">
      <formula>"Napkin Hs"</formula>
    </cfRule>
    <cfRule type="cellIs" dxfId="23226" priority="9856" stopIfTrue="1" operator="equal">
      <formula>"Towel"</formula>
    </cfRule>
    <cfRule type="cellIs" dxfId="23225" priority="9857" stopIfTrue="1" operator="equal">
      <formula>"Napkin Hs"</formula>
    </cfRule>
    <cfRule type="cellIs" dxfId="23224" priority="9866" stopIfTrue="1" operator="equal">
      <formula>"Towel"</formula>
    </cfRule>
    <cfRule type="cellIs" dxfId="23223" priority="9867" stopIfTrue="1" operator="equal">
      <formula>"Napkin Hs"</formula>
    </cfRule>
    <cfRule type="cellIs" dxfId="23222" priority="9872" stopIfTrue="1" operator="equal">
      <formula>"Towel"</formula>
    </cfRule>
    <cfRule type="cellIs" dxfId="23221" priority="9873" stopIfTrue="1" operator="equal">
      <formula>"Napkin Hs"</formula>
    </cfRule>
    <cfRule type="cellIs" dxfId="23220" priority="9874" stopIfTrue="1" operator="equal">
      <formula>"Towel"</formula>
    </cfRule>
    <cfRule type="cellIs" dxfId="23219" priority="9875" stopIfTrue="1" operator="equal">
      <formula>"Napkin Hs"</formula>
    </cfRule>
    <cfRule type="cellIs" dxfId="23218" priority="9880" stopIfTrue="1" operator="equal">
      <formula>"Towel"</formula>
    </cfRule>
    <cfRule type="cellIs" dxfId="23217" priority="9881" stopIfTrue="1" operator="equal">
      <formula>"Napkin Hs"</formula>
    </cfRule>
    <cfRule type="cellIs" dxfId="23216" priority="9890" stopIfTrue="1" operator="equal">
      <formula>"Towel"</formula>
    </cfRule>
    <cfRule type="cellIs" dxfId="23215" priority="9891" stopIfTrue="1" operator="equal">
      <formula>"Napkin Hs"</formula>
    </cfRule>
    <cfRule type="cellIs" dxfId="23214" priority="9892" stopIfTrue="1" operator="equal">
      <formula>"Towel"</formula>
    </cfRule>
    <cfRule type="cellIs" dxfId="23213" priority="9893" stopIfTrue="1" operator="equal">
      <formula>"Napkin Hs"</formula>
    </cfRule>
    <cfRule type="cellIs" dxfId="23212" priority="9898" stopIfTrue="1" operator="equal">
      <formula>"Towel"</formula>
    </cfRule>
    <cfRule type="cellIs" dxfId="23211" priority="9899" stopIfTrue="1" operator="equal">
      <formula>"Napkin Hs"</formula>
    </cfRule>
    <cfRule type="cellIs" dxfId="23210" priority="9908" stopIfTrue="1" operator="equal">
      <formula>"Towel"</formula>
    </cfRule>
    <cfRule type="cellIs" dxfId="23209" priority="9909" stopIfTrue="1" operator="equal">
      <formula>"Napkin Hs"</formula>
    </cfRule>
    <cfRule type="cellIs" dxfId="23208" priority="9910" stopIfTrue="1" operator="equal">
      <formula>"Towel"</formula>
    </cfRule>
    <cfRule type="cellIs" dxfId="23207" priority="9911" stopIfTrue="1" operator="equal">
      <formula>"Napkin Hs"</formula>
    </cfRule>
    <cfRule type="cellIs" dxfId="23206" priority="9917" stopIfTrue="1" operator="equal">
      <formula>"Napkin Hs"</formula>
    </cfRule>
  </conditionalFormatting>
  <conditionalFormatting sqref="B51:C51">
    <cfRule type="cellIs" dxfId="23205" priority="9916" stopIfTrue="1" operator="equal">
      <formula>"Towel"</formula>
    </cfRule>
  </conditionalFormatting>
  <conditionalFormatting sqref="C51">
    <cfRule type="cellIs" dxfId="23204" priority="9827" stopIfTrue="1" operator="equal">
      <formula>"Napkin Hs"</formula>
    </cfRule>
    <cfRule type="cellIs" dxfId="23203" priority="9828" stopIfTrue="1" operator="equal">
      <formula>"Towel"</formula>
    </cfRule>
    <cfRule type="cellIs" dxfId="23202" priority="9829" stopIfTrue="1" operator="equal">
      <formula>"Napkin Hs"</formula>
    </cfRule>
    <cfRule type="cellIs" dxfId="23201" priority="9830" stopIfTrue="1" operator="equal">
      <formula>"Towel"</formula>
    </cfRule>
    <cfRule type="cellIs" dxfId="23200" priority="9831" stopIfTrue="1" operator="equal">
      <formula>"Napkin Hs"</formula>
    </cfRule>
    <cfRule type="cellIs" dxfId="23199" priority="9832" stopIfTrue="1" operator="equal">
      <formula>"Towel"</formula>
    </cfRule>
    <cfRule type="cellIs" dxfId="23198" priority="9833" stopIfTrue="1" operator="equal">
      <formula>"Napkin Hs"</formula>
    </cfRule>
    <cfRule type="cellIs" dxfId="23197" priority="9834" stopIfTrue="1" operator="equal">
      <formula>"Towel"</formula>
    </cfRule>
    <cfRule type="cellIs" dxfId="23196" priority="9835" stopIfTrue="1" operator="equal">
      <formula>"Napkin Hs"</formula>
    </cfRule>
    <cfRule type="cellIs" dxfId="23195" priority="9838" stopIfTrue="1" operator="equal">
      <formula>"Towel"</formula>
    </cfRule>
    <cfRule type="cellIs" dxfId="23194" priority="9839" stopIfTrue="1" operator="equal">
      <formula>"Napkin Hs"</formula>
    </cfRule>
    <cfRule type="cellIs" dxfId="23193" priority="9840" stopIfTrue="1" operator="equal">
      <formula>"Towel"</formula>
    </cfRule>
    <cfRule type="cellIs" dxfId="23192" priority="9841" stopIfTrue="1" operator="equal">
      <formula>"Napkin Hs"</formula>
    </cfRule>
    <cfRule type="cellIs" dxfId="23191" priority="9844" stopIfTrue="1" operator="equal">
      <formula>"Towel"</formula>
    </cfRule>
    <cfRule type="cellIs" dxfId="23190" priority="9845" stopIfTrue="1" operator="equal">
      <formula>"Napkin Hs"</formula>
    </cfRule>
    <cfRule type="cellIs" dxfId="23189" priority="9846" stopIfTrue="1" operator="equal">
      <formula>"Towel"</formula>
    </cfRule>
    <cfRule type="cellIs" dxfId="23188" priority="9847" stopIfTrue="1" operator="equal">
      <formula>"Napkin Hs"</formula>
    </cfRule>
    <cfRule type="cellIs" dxfId="23187" priority="9852" stopIfTrue="1" operator="equal">
      <formula>"Towel"</formula>
    </cfRule>
    <cfRule type="cellIs" dxfId="23186" priority="9853" stopIfTrue="1" operator="equal">
      <formula>"Napkin Hs"</formula>
    </cfRule>
    <cfRule type="cellIs" dxfId="23185" priority="9854" stopIfTrue="1" operator="equal">
      <formula>"Towel"</formula>
    </cfRule>
    <cfRule type="cellIs" dxfId="23184" priority="9855" stopIfTrue="1" operator="equal">
      <formula>"Napkin Hs"</formula>
    </cfRule>
    <cfRule type="cellIs" dxfId="23183" priority="9858" stopIfTrue="1" operator="equal">
      <formula>"Towel"</formula>
    </cfRule>
    <cfRule type="cellIs" dxfId="23182" priority="9859" stopIfTrue="1" operator="equal">
      <formula>"Napkin Hs"</formula>
    </cfRule>
    <cfRule type="cellIs" dxfId="23181" priority="9860" stopIfTrue="1" operator="equal">
      <formula>"Towel"</formula>
    </cfRule>
    <cfRule type="cellIs" dxfId="23180" priority="9861" stopIfTrue="1" operator="equal">
      <formula>"Napkin Hs"</formula>
    </cfRule>
    <cfRule type="cellIs" dxfId="23179" priority="9862" stopIfTrue="1" operator="equal">
      <formula>"Towel"</formula>
    </cfRule>
    <cfRule type="cellIs" dxfId="23178" priority="9863" stopIfTrue="1" operator="equal">
      <formula>"Napkin Hs"</formula>
    </cfRule>
    <cfRule type="cellIs" dxfId="23177" priority="9864" stopIfTrue="1" operator="equal">
      <formula>"Towel"</formula>
    </cfRule>
    <cfRule type="cellIs" dxfId="23176" priority="9865" stopIfTrue="1" operator="equal">
      <formula>"Napkin Hs"</formula>
    </cfRule>
    <cfRule type="cellIs" dxfId="23175" priority="9868" stopIfTrue="1" operator="equal">
      <formula>"Towel"</formula>
    </cfRule>
    <cfRule type="cellIs" dxfId="23174" priority="9869" stopIfTrue="1" operator="equal">
      <formula>"Napkin Hs"</formula>
    </cfRule>
    <cfRule type="cellIs" dxfId="23173" priority="9870" stopIfTrue="1" operator="equal">
      <formula>"Towel"</formula>
    </cfRule>
    <cfRule type="cellIs" dxfId="23172" priority="9871" stopIfTrue="1" operator="equal">
      <formula>"Napkin Hs"</formula>
    </cfRule>
    <cfRule type="cellIs" dxfId="23171" priority="9876" stopIfTrue="1" operator="equal">
      <formula>"Towel"</formula>
    </cfRule>
    <cfRule type="cellIs" dxfId="23170" priority="9877" stopIfTrue="1" operator="equal">
      <formula>"Napkin Hs"</formula>
    </cfRule>
    <cfRule type="cellIs" dxfId="23169" priority="9878" stopIfTrue="1" operator="equal">
      <formula>"Towel"</formula>
    </cfRule>
    <cfRule type="cellIs" dxfId="23168" priority="9879" stopIfTrue="1" operator="equal">
      <formula>"Napkin Hs"</formula>
    </cfRule>
    <cfRule type="cellIs" dxfId="23167" priority="9882" stopIfTrue="1" operator="equal">
      <formula>"Towel"</formula>
    </cfRule>
    <cfRule type="cellIs" dxfId="23166" priority="9883" stopIfTrue="1" operator="equal">
      <formula>"Napkin Hs"</formula>
    </cfRule>
    <cfRule type="cellIs" dxfId="23165" priority="9884" stopIfTrue="1" operator="equal">
      <formula>"Towel"</formula>
    </cfRule>
    <cfRule type="cellIs" dxfId="23164" priority="9885" stopIfTrue="1" operator="equal">
      <formula>"Napkin Hs"</formula>
    </cfRule>
    <cfRule type="cellIs" dxfId="23163" priority="9886" stopIfTrue="1" operator="equal">
      <formula>"Towel"</formula>
    </cfRule>
    <cfRule type="cellIs" dxfId="23162" priority="9887" stopIfTrue="1" operator="equal">
      <formula>"Napkin Hs"</formula>
    </cfRule>
    <cfRule type="cellIs" dxfId="23161" priority="9888" stopIfTrue="1" operator="equal">
      <formula>"Towel"</formula>
    </cfRule>
    <cfRule type="cellIs" dxfId="23160" priority="9889" stopIfTrue="1" operator="equal">
      <formula>"Napkin Hs"</formula>
    </cfRule>
    <cfRule type="cellIs" dxfId="23159" priority="9894" stopIfTrue="1" operator="equal">
      <formula>"Towel"</formula>
    </cfRule>
    <cfRule type="cellIs" dxfId="23158" priority="9895" stopIfTrue="1" operator="equal">
      <formula>"Napkin Hs"</formula>
    </cfRule>
    <cfRule type="cellIs" dxfId="23157" priority="9896" stopIfTrue="1" operator="equal">
      <formula>"Towel"</formula>
    </cfRule>
    <cfRule type="cellIs" dxfId="23156" priority="9897" stopIfTrue="1" operator="equal">
      <formula>"Napkin Hs"</formula>
    </cfRule>
    <cfRule type="cellIs" dxfId="23155" priority="9900" stopIfTrue="1" operator="equal">
      <formula>"Towel"</formula>
    </cfRule>
    <cfRule type="cellIs" dxfId="23154" priority="9901" stopIfTrue="1" operator="equal">
      <formula>"Napkin Hs"</formula>
    </cfRule>
    <cfRule type="cellIs" dxfId="23153" priority="9902" stopIfTrue="1" operator="equal">
      <formula>"Towel"</formula>
    </cfRule>
    <cfRule type="cellIs" dxfId="23152" priority="9903" stopIfTrue="1" operator="equal">
      <formula>"Napkin Hs"</formula>
    </cfRule>
    <cfRule type="cellIs" dxfId="23151" priority="9904" stopIfTrue="1" operator="equal">
      <formula>"Towel"</formula>
    </cfRule>
    <cfRule type="cellIs" dxfId="23150" priority="9905" stopIfTrue="1" operator="equal">
      <formula>"Napkin Hs"</formula>
    </cfRule>
    <cfRule type="cellIs" dxfId="23149" priority="9906" stopIfTrue="1" operator="equal">
      <formula>"Towel"</formula>
    </cfRule>
    <cfRule type="cellIs" dxfId="23148" priority="9907" stopIfTrue="1" operator="equal">
      <formula>"Napkin Hs"</formula>
    </cfRule>
    <cfRule type="cellIs" dxfId="23147" priority="9912" stopIfTrue="1" operator="equal">
      <formula>"Towel"</formula>
    </cfRule>
    <cfRule type="cellIs" dxfId="23146" priority="9913" stopIfTrue="1" operator="equal">
      <formula>"Napkin Hs"</formula>
    </cfRule>
    <cfRule type="cellIs" dxfId="23145" priority="9914" stopIfTrue="1" operator="equal">
      <formula>"Towel"</formula>
    </cfRule>
    <cfRule type="cellIs" dxfId="23144" priority="9915" stopIfTrue="1" operator="equal">
      <formula>"Napkin Hs"</formula>
    </cfRule>
    <cfRule type="cellIs" dxfId="23143" priority="9918" stopIfTrue="1" operator="equal">
      <formula>"Towel"</formula>
    </cfRule>
    <cfRule type="cellIs" dxfId="23142" priority="9919" stopIfTrue="1" operator="equal">
      <formula>"Napkin Hs"</formula>
    </cfRule>
    <cfRule type="cellIs" dxfId="23141" priority="9920" stopIfTrue="1" operator="equal">
      <formula>"Towel"</formula>
    </cfRule>
    <cfRule type="cellIs" dxfId="23140" priority="9921" stopIfTrue="1" operator="equal">
      <formula>"Napkin Hs"</formula>
    </cfRule>
  </conditionalFormatting>
  <conditionalFormatting sqref="B51:C51">
    <cfRule type="cellIs" dxfId="23139" priority="9823" stopIfTrue="1" operator="equal">
      <formula>"Towel"</formula>
    </cfRule>
    <cfRule type="cellIs" dxfId="23138" priority="9824" stopIfTrue="1" operator="equal">
      <formula>"Napkin Hs"</formula>
    </cfRule>
  </conditionalFormatting>
  <conditionalFormatting sqref="C51">
    <cfRule type="cellIs" dxfId="23137" priority="9819" stopIfTrue="1" operator="equal">
      <formula>"Towel"</formula>
    </cfRule>
    <cfRule type="cellIs" dxfId="23136" priority="9820" stopIfTrue="1" operator="equal">
      <formula>"Napkin Hs"</formula>
    </cfRule>
  </conditionalFormatting>
  <conditionalFormatting sqref="C51">
    <cfRule type="cellIs" dxfId="23135" priority="9822" stopIfTrue="1" operator="equal">
      <formula>"Napkin Hs"</formula>
    </cfRule>
  </conditionalFormatting>
  <conditionalFormatting sqref="C51">
    <cfRule type="cellIs" dxfId="23134" priority="9821" stopIfTrue="1" operator="equal">
      <formula>"Towel"</formula>
    </cfRule>
  </conditionalFormatting>
  <conditionalFormatting sqref="C51">
    <cfRule type="cellIs" dxfId="23133" priority="9811" stopIfTrue="1" operator="equal">
      <formula>"Towel"</formula>
    </cfRule>
    <cfRule type="cellIs" dxfId="23132" priority="9812" stopIfTrue="1" operator="equal">
      <formula>"Napkin Hs"</formula>
    </cfRule>
  </conditionalFormatting>
  <conditionalFormatting sqref="B51:C51">
    <cfRule type="cellIs" dxfId="23131" priority="9813" stopIfTrue="1" operator="equal">
      <formula>"Towel"</formula>
    </cfRule>
    <cfRule type="cellIs" dxfId="23130" priority="9814" stopIfTrue="1" operator="equal">
      <formula>"Napkin Hs"</formula>
    </cfRule>
  </conditionalFormatting>
  <conditionalFormatting sqref="C51">
    <cfRule type="cellIs" dxfId="23129" priority="9809" stopIfTrue="1" operator="equal">
      <formula>"Towel"</formula>
    </cfRule>
    <cfRule type="cellIs" dxfId="23128" priority="9810" stopIfTrue="1" operator="equal">
      <formula>"Napkin Hs"</formula>
    </cfRule>
  </conditionalFormatting>
  <conditionalFormatting sqref="B51:C51">
    <cfRule type="cellIs" dxfId="23127" priority="9807" stopIfTrue="1" operator="equal">
      <formula>"Towel"</formula>
    </cfRule>
    <cfRule type="cellIs" dxfId="23126" priority="9808" stopIfTrue="1" operator="equal">
      <formula>"Napkin Hs"</formula>
    </cfRule>
  </conditionalFormatting>
  <conditionalFormatting sqref="C51">
    <cfRule type="cellIs" dxfId="23125" priority="9815" stopIfTrue="1" operator="equal">
      <formula>"Towel"</formula>
    </cfRule>
    <cfRule type="cellIs" dxfId="23124" priority="9816" stopIfTrue="1" operator="equal">
      <formula>"Napkin Hs"</formula>
    </cfRule>
  </conditionalFormatting>
  <conditionalFormatting sqref="C51">
    <cfRule type="cellIs" dxfId="23123" priority="9817" stopIfTrue="1" operator="equal">
      <formula>"Towel"</formula>
    </cfRule>
    <cfRule type="cellIs" dxfId="23122" priority="9818" stopIfTrue="1" operator="equal">
      <formula>"Napkin Hs"</formula>
    </cfRule>
  </conditionalFormatting>
  <conditionalFormatting sqref="C51">
    <cfRule type="cellIs" dxfId="23121" priority="9799" stopIfTrue="1" operator="equal">
      <formula>"Towel"</formula>
    </cfRule>
    <cfRule type="cellIs" dxfId="23120" priority="9800" stopIfTrue="1" operator="equal">
      <formula>"Napkin Hs"</formula>
    </cfRule>
  </conditionalFormatting>
  <conditionalFormatting sqref="B51:C51">
    <cfRule type="cellIs" dxfId="23119" priority="9801" stopIfTrue="1" operator="equal">
      <formula>"Towel"</formula>
    </cfRule>
    <cfRule type="cellIs" dxfId="23118" priority="9802" stopIfTrue="1" operator="equal">
      <formula>"Napkin Hs"</formula>
    </cfRule>
  </conditionalFormatting>
  <conditionalFormatting sqref="C51">
    <cfRule type="cellIs" dxfId="23117" priority="9797" stopIfTrue="1" operator="equal">
      <formula>"Towel"</formula>
    </cfRule>
    <cfRule type="cellIs" dxfId="23116" priority="9798" stopIfTrue="1" operator="equal">
      <formula>"Napkin Hs"</formula>
    </cfRule>
  </conditionalFormatting>
  <conditionalFormatting sqref="B51:C51">
    <cfRule type="cellIs" dxfId="23115" priority="9795" stopIfTrue="1" operator="equal">
      <formula>"Towel"</formula>
    </cfRule>
    <cfRule type="cellIs" dxfId="23114" priority="9796" stopIfTrue="1" operator="equal">
      <formula>"Napkin Hs"</formula>
    </cfRule>
  </conditionalFormatting>
  <conditionalFormatting sqref="C51">
    <cfRule type="cellIs" dxfId="23113" priority="9803" stopIfTrue="1" operator="equal">
      <formula>"Towel"</formula>
    </cfRule>
    <cfRule type="cellIs" dxfId="23112" priority="9804" stopIfTrue="1" operator="equal">
      <formula>"Napkin Hs"</formula>
    </cfRule>
  </conditionalFormatting>
  <conditionalFormatting sqref="C51">
    <cfRule type="cellIs" dxfId="23111" priority="9805" stopIfTrue="1" operator="equal">
      <formula>"Towel"</formula>
    </cfRule>
    <cfRule type="cellIs" dxfId="23110" priority="9806" stopIfTrue="1" operator="equal">
      <formula>"Napkin Hs"</formula>
    </cfRule>
  </conditionalFormatting>
  <conditionalFormatting sqref="C51">
    <cfRule type="cellIs" dxfId="23109" priority="9787" stopIfTrue="1" operator="equal">
      <formula>"Towel"</formula>
    </cfRule>
    <cfRule type="cellIs" dxfId="23108" priority="9788" stopIfTrue="1" operator="equal">
      <formula>"Napkin Hs"</formula>
    </cfRule>
  </conditionalFormatting>
  <conditionalFormatting sqref="B51:C51">
    <cfRule type="cellIs" dxfId="23107" priority="9789" stopIfTrue="1" operator="equal">
      <formula>"Towel"</formula>
    </cfRule>
    <cfRule type="cellIs" dxfId="23106" priority="9790" stopIfTrue="1" operator="equal">
      <formula>"Napkin Hs"</formula>
    </cfRule>
  </conditionalFormatting>
  <conditionalFormatting sqref="C51">
    <cfRule type="cellIs" dxfId="23105" priority="9785" stopIfTrue="1" operator="equal">
      <formula>"Towel"</formula>
    </cfRule>
    <cfRule type="cellIs" dxfId="23104" priority="9786" stopIfTrue="1" operator="equal">
      <formula>"Napkin Hs"</formula>
    </cfRule>
  </conditionalFormatting>
  <conditionalFormatting sqref="B51:C51">
    <cfRule type="cellIs" dxfId="23103" priority="9783" stopIfTrue="1" operator="equal">
      <formula>"Towel"</formula>
    </cfRule>
    <cfRule type="cellIs" dxfId="23102" priority="9784" stopIfTrue="1" operator="equal">
      <formula>"Napkin Hs"</formula>
    </cfRule>
  </conditionalFormatting>
  <conditionalFormatting sqref="C51">
    <cfRule type="cellIs" dxfId="23101" priority="9791" stopIfTrue="1" operator="equal">
      <formula>"Towel"</formula>
    </cfRule>
    <cfRule type="cellIs" dxfId="23100" priority="9792" stopIfTrue="1" operator="equal">
      <formula>"Napkin Hs"</formula>
    </cfRule>
  </conditionalFormatting>
  <conditionalFormatting sqref="C51">
    <cfRule type="cellIs" dxfId="23099" priority="9793" stopIfTrue="1" operator="equal">
      <formula>"Towel"</formula>
    </cfRule>
    <cfRule type="cellIs" dxfId="23098" priority="9794" stopIfTrue="1" operator="equal">
      <formula>"Napkin Hs"</formula>
    </cfRule>
  </conditionalFormatting>
  <conditionalFormatting sqref="B51:C51">
    <cfRule type="cellIs" dxfId="23097" priority="9781" stopIfTrue="1" operator="equal">
      <formula>"Towel"</formula>
    </cfRule>
    <cfRule type="cellIs" dxfId="23096" priority="9782" stopIfTrue="1" operator="equal">
      <formula>"Napkin Hs"</formula>
    </cfRule>
  </conditionalFormatting>
  <conditionalFormatting sqref="C51">
    <cfRule type="cellIs" dxfId="23095" priority="9777" stopIfTrue="1" operator="equal">
      <formula>"Towel"</formula>
    </cfRule>
    <cfRule type="cellIs" dxfId="23094" priority="9778" stopIfTrue="1" operator="equal">
      <formula>"Napkin Hs"</formula>
    </cfRule>
  </conditionalFormatting>
  <conditionalFormatting sqref="C51">
    <cfRule type="cellIs" dxfId="23093" priority="9780" stopIfTrue="1" operator="equal">
      <formula>"Napkin Hs"</formula>
    </cfRule>
  </conditionalFormatting>
  <conditionalFormatting sqref="C51">
    <cfRule type="cellIs" dxfId="23092" priority="9779" stopIfTrue="1" operator="equal">
      <formula>"Towel"</formula>
    </cfRule>
  </conditionalFormatting>
  <conditionalFormatting sqref="B51:C51">
    <cfRule type="cellIs" dxfId="23091" priority="9775" stopIfTrue="1" operator="equal">
      <formula>"Towel"</formula>
    </cfRule>
    <cfRule type="cellIs" dxfId="23090" priority="9776" stopIfTrue="1" operator="equal">
      <formula>"Napkin Hs"</formula>
    </cfRule>
  </conditionalFormatting>
  <conditionalFormatting sqref="C51">
    <cfRule type="cellIs" dxfId="23089" priority="9771" stopIfTrue="1" operator="equal">
      <formula>"Towel"</formula>
    </cfRule>
    <cfRule type="cellIs" dxfId="23088" priority="9772" stopIfTrue="1" operator="equal">
      <formula>"Napkin Hs"</formula>
    </cfRule>
  </conditionalFormatting>
  <conditionalFormatting sqref="C51">
    <cfRule type="cellIs" dxfId="23087" priority="9774" stopIfTrue="1" operator="equal">
      <formula>"Napkin Hs"</formula>
    </cfRule>
  </conditionalFormatting>
  <conditionalFormatting sqref="C51">
    <cfRule type="cellIs" dxfId="23086" priority="9773" stopIfTrue="1" operator="equal">
      <formula>"Towel"</formula>
    </cfRule>
  </conditionalFormatting>
  <conditionalFormatting sqref="C51">
    <cfRule type="cellIs" dxfId="23085" priority="9763" stopIfTrue="1" operator="equal">
      <formula>"Towel"</formula>
    </cfRule>
    <cfRule type="cellIs" dxfId="23084" priority="9764" stopIfTrue="1" operator="equal">
      <formula>"Napkin Hs"</formula>
    </cfRule>
  </conditionalFormatting>
  <conditionalFormatting sqref="B51:C51">
    <cfRule type="cellIs" dxfId="23083" priority="9765" stopIfTrue="1" operator="equal">
      <formula>"Towel"</formula>
    </cfRule>
    <cfRule type="cellIs" dxfId="23082" priority="9766" stopIfTrue="1" operator="equal">
      <formula>"Napkin Hs"</formula>
    </cfRule>
  </conditionalFormatting>
  <conditionalFormatting sqref="C51">
    <cfRule type="cellIs" dxfId="23081" priority="9761" stopIfTrue="1" operator="equal">
      <formula>"Towel"</formula>
    </cfRule>
    <cfRule type="cellIs" dxfId="23080" priority="9762" stopIfTrue="1" operator="equal">
      <formula>"Napkin Hs"</formula>
    </cfRule>
  </conditionalFormatting>
  <conditionalFormatting sqref="B51:C51">
    <cfRule type="cellIs" dxfId="23079" priority="9759" stopIfTrue="1" operator="equal">
      <formula>"Towel"</formula>
    </cfRule>
    <cfRule type="cellIs" dxfId="23078" priority="9760" stopIfTrue="1" operator="equal">
      <formula>"Napkin Hs"</formula>
    </cfRule>
  </conditionalFormatting>
  <conditionalFormatting sqref="C51">
    <cfRule type="cellIs" dxfId="23077" priority="9767" stopIfTrue="1" operator="equal">
      <formula>"Towel"</formula>
    </cfRule>
    <cfRule type="cellIs" dxfId="23076" priority="9768" stopIfTrue="1" operator="equal">
      <formula>"Napkin Hs"</formula>
    </cfRule>
  </conditionalFormatting>
  <conditionalFormatting sqref="C51">
    <cfRule type="cellIs" dxfId="23075" priority="9769" stopIfTrue="1" operator="equal">
      <formula>"Towel"</formula>
    </cfRule>
    <cfRule type="cellIs" dxfId="23074" priority="9770" stopIfTrue="1" operator="equal">
      <formula>"Napkin Hs"</formula>
    </cfRule>
  </conditionalFormatting>
  <conditionalFormatting sqref="B51:C51">
    <cfRule type="cellIs" dxfId="23073" priority="9757" stopIfTrue="1" operator="equal">
      <formula>"Towel"</formula>
    </cfRule>
    <cfRule type="cellIs" dxfId="23072" priority="9758" stopIfTrue="1" operator="equal">
      <formula>"Napkin Hs"</formula>
    </cfRule>
  </conditionalFormatting>
  <conditionalFormatting sqref="C51">
    <cfRule type="cellIs" dxfId="23071" priority="9749" stopIfTrue="1" operator="equal">
      <formula>"Towel"</formula>
    </cfRule>
    <cfRule type="cellIs" dxfId="23070" priority="9750" stopIfTrue="1" operator="equal">
      <formula>"Napkin Hs"</formula>
    </cfRule>
  </conditionalFormatting>
  <conditionalFormatting sqref="C51">
    <cfRule type="cellIs" dxfId="23069" priority="9753" stopIfTrue="1" operator="equal">
      <formula>"Towel"</formula>
    </cfRule>
    <cfRule type="cellIs" dxfId="23068" priority="9754" stopIfTrue="1" operator="equal">
      <formula>"Napkin Hs"</formula>
    </cfRule>
  </conditionalFormatting>
  <conditionalFormatting sqref="C51">
    <cfRule type="cellIs" dxfId="23067" priority="9756" stopIfTrue="1" operator="equal">
      <formula>"Napkin Hs"</formula>
    </cfRule>
  </conditionalFormatting>
  <conditionalFormatting sqref="C51">
    <cfRule type="cellIs" dxfId="23066" priority="9751" stopIfTrue="1" operator="equal">
      <formula>"Towel"</formula>
    </cfRule>
    <cfRule type="cellIs" dxfId="23065" priority="9752" stopIfTrue="1" operator="equal">
      <formula>"Napkin Hs"</formula>
    </cfRule>
  </conditionalFormatting>
  <conditionalFormatting sqref="C51">
    <cfRule type="cellIs" dxfId="23064" priority="9755" stopIfTrue="1" operator="equal">
      <formula>"Towel"</formula>
    </cfRule>
  </conditionalFormatting>
  <conditionalFormatting sqref="C51">
    <cfRule type="cellIs" dxfId="23063" priority="9747" stopIfTrue="1" operator="equal">
      <formula>"Towel"</formula>
    </cfRule>
    <cfRule type="cellIs" dxfId="23062" priority="9748" stopIfTrue="1" operator="equal">
      <formula>"Napkin Hs"</formula>
    </cfRule>
  </conditionalFormatting>
  <conditionalFormatting sqref="B51">
    <cfRule type="cellIs" dxfId="23061" priority="9745" stopIfTrue="1" operator="equal">
      <formula>"Towel"</formula>
    </cfRule>
    <cfRule type="cellIs" dxfId="23060" priority="9746" stopIfTrue="1" operator="equal">
      <formula>"Napkin Hs"</formula>
    </cfRule>
  </conditionalFormatting>
  <conditionalFormatting sqref="B51:C51">
    <cfRule type="cellIs" dxfId="23059" priority="9743" stopIfTrue="1" operator="equal">
      <formula>"Towel"</formula>
    </cfRule>
    <cfRule type="cellIs" dxfId="23058" priority="9744" stopIfTrue="1" operator="equal">
      <formula>"Napkin Hs"</formula>
    </cfRule>
  </conditionalFormatting>
  <conditionalFormatting sqref="C51">
    <cfRule type="cellIs" dxfId="23057" priority="9735" stopIfTrue="1" operator="equal">
      <formula>"Towel"</formula>
    </cfRule>
    <cfRule type="cellIs" dxfId="23056" priority="9736" stopIfTrue="1" operator="equal">
      <formula>"Napkin Hs"</formula>
    </cfRule>
  </conditionalFormatting>
  <conditionalFormatting sqref="C51">
    <cfRule type="cellIs" dxfId="23055" priority="9739" stopIfTrue="1" operator="equal">
      <formula>"Towel"</formula>
    </cfRule>
    <cfRule type="cellIs" dxfId="23054" priority="9740" stopIfTrue="1" operator="equal">
      <formula>"Napkin Hs"</formula>
    </cfRule>
  </conditionalFormatting>
  <conditionalFormatting sqref="C51">
    <cfRule type="cellIs" dxfId="23053" priority="9742" stopIfTrue="1" operator="equal">
      <formula>"Napkin Hs"</formula>
    </cfRule>
  </conditionalFormatting>
  <conditionalFormatting sqref="C51">
    <cfRule type="cellIs" dxfId="23052" priority="9737" stopIfTrue="1" operator="equal">
      <formula>"Towel"</formula>
    </cfRule>
    <cfRule type="cellIs" dxfId="23051" priority="9738" stopIfTrue="1" operator="equal">
      <formula>"Napkin Hs"</formula>
    </cfRule>
  </conditionalFormatting>
  <conditionalFormatting sqref="C51">
    <cfRule type="cellIs" dxfId="23050" priority="9741" stopIfTrue="1" operator="equal">
      <formula>"Towel"</formula>
    </cfRule>
  </conditionalFormatting>
  <conditionalFormatting sqref="C51">
    <cfRule type="cellIs" dxfId="23049" priority="9733" stopIfTrue="1" operator="equal">
      <formula>"Towel"</formula>
    </cfRule>
    <cfRule type="cellIs" dxfId="23048" priority="9734" stopIfTrue="1" operator="equal">
      <formula>"Napkin Hs"</formula>
    </cfRule>
  </conditionalFormatting>
  <conditionalFormatting sqref="B51">
    <cfRule type="cellIs" dxfId="23047" priority="9731" stopIfTrue="1" operator="equal">
      <formula>"Towel"</formula>
    </cfRule>
    <cfRule type="cellIs" dxfId="23046" priority="9732" stopIfTrue="1" operator="equal">
      <formula>"Napkin Hs"</formula>
    </cfRule>
  </conditionalFormatting>
  <conditionalFormatting sqref="B51:C51">
    <cfRule type="cellIs" dxfId="23045" priority="9707" stopIfTrue="1" operator="equal">
      <formula>"Towel"</formula>
    </cfRule>
  </conditionalFormatting>
  <conditionalFormatting sqref="B51:C51">
    <cfRule type="cellIs" dxfId="23044" priority="9708" stopIfTrue="1" operator="equal">
      <formula>"Napkin Hs"</formula>
    </cfRule>
    <cfRule type="cellIs" dxfId="23043" priority="9713" stopIfTrue="1" operator="equal">
      <formula>"Towel"</formula>
    </cfRule>
    <cfRule type="cellIs" dxfId="23042" priority="9714" stopIfTrue="1" operator="equal">
      <formula>"Napkin Hs"</formula>
    </cfRule>
    <cfRule type="cellIs" dxfId="23041" priority="9723" stopIfTrue="1" operator="equal">
      <formula>"Towel"</formula>
    </cfRule>
    <cfRule type="cellIs" dxfId="23040" priority="9724" stopIfTrue="1" operator="equal">
      <formula>"Napkin Hs"</formula>
    </cfRule>
    <cfRule type="cellIs" dxfId="23039" priority="9729" stopIfTrue="1" operator="equal">
      <formula>"Towel"</formula>
    </cfRule>
    <cfRule type="cellIs" dxfId="23038" priority="9730" stopIfTrue="1" operator="equal">
      <formula>"Napkin Hs"</formula>
    </cfRule>
  </conditionalFormatting>
  <conditionalFormatting sqref="C51">
    <cfRule type="cellIs" dxfId="23037" priority="9709" stopIfTrue="1" operator="equal">
      <formula>"Towel"</formula>
    </cfRule>
    <cfRule type="cellIs" dxfId="23036" priority="9710" stopIfTrue="1" operator="equal">
      <formula>"Napkin Hs"</formula>
    </cfRule>
    <cfRule type="cellIs" dxfId="23035" priority="9711" stopIfTrue="1" operator="equal">
      <formula>"Towel"</formula>
    </cfRule>
    <cfRule type="cellIs" dxfId="23034" priority="9712" stopIfTrue="1" operator="equal">
      <formula>"Napkin Hs"</formula>
    </cfRule>
    <cfRule type="cellIs" dxfId="23033" priority="9715" stopIfTrue="1" operator="equal">
      <formula>"Towel"</formula>
    </cfRule>
    <cfRule type="cellIs" dxfId="23032" priority="9716" stopIfTrue="1" operator="equal">
      <formula>"Napkin Hs"</formula>
    </cfRule>
    <cfRule type="cellIs" dxfId="23031" priority="9717" stopIfTrue="1" operator="equal">
      <formula>"Towel"</formula>
    </cfRule>
    <cfRule type="cellIs" dxfId="23030" priority="9718" stopIfTrue="1" operator="equal">
      <formula>"Napkin Hs"</formula>
    </cfRule>
    <cfRule type="cellIs" dxfId="23029" priority="9719" stopIfTrue="1" operator="equal">
      <formula>"Towel"</formula>
    </cfRule>
    <cfRule type="cellIs" dxfId="23028" priority="9720" stopIfTrue="1" operator="equal">
      <formula>"Napkin Hs"</formula>
    </cfRule>
    <cfRule type="cellIs" dxfId="23027" priority="9721" stopIfTrue="1" operator="equal">
      <formula>"Towel"</formula>
    </cfRule>
    <cfRule type="cellIs" dxfId="23026" priority="9722" stopIfTrue="1" operator="equal">
      <formula>"Napkin Hs"</formula>
    </cfRule>
    <cfRule type="cellIs" dxfId="23025" priority="9725" stopIfTrue="1" operator="equal">
      <formula>"Towel"</formula>
    </cfRule>
    <cfRule type="cellIs" dxfId="23024" priority="9726" stopIfTrue="1" operator="equal">
      <formula>"Napkin Hs"</formula>
    </cfRule>
    <cfRule type="cellIs" dxfId="23023" priority="9728" stopIfTrue="1" operator="equal">
      <formula>"Napkin Hs"</formula>
    </cfRule>
  </conditionalFormatting>
  <conditionalFormatting sqref="C51">
    <cfRule type="cellIs" dxfId="23022" priority="9727" stopIfTrue="1" operator="equal">
      <formula>"Towel"</formula>
    </cfRule>
  </conditionalFormatting>
  <conditionalFormatting sqref="B51:C51">
    <cfRule type="cellIs" dxfId="23021" priority="9705" stopIfTrue="1" operator="equal">
      <formula>"Towel"</formula>
    </cfRule>
    <cfRule type="cellIs" dxfId="23020" priority="9706" stopIfTrue="1" operator="equal">
      <formula>"Napkin Hs"</formula>
    </cfRule>
  </conditionalFormatting>
  <conditionalFormatting sqref="C51">
    <cfRule type="cellIs" dxfId="23019" priority="9704" stopIfTrue="1" operator="equal">
      <formula>"Napkin Hs"</formula>
    </cfRule>
  </conditionalFormatting>
  <conditionalFormatting sqref="C51">
    <cfRule type="cellIs" dxfId="23018" priority="9703" stopIfTrue="1" operator="equal">
      <formula>"Towel"</formula>
    </cfRule>
  </conditionalFormatting>
  <conditionalFormatting sqref="C51">
    <cfRule type="cellIs" dxfId="23017" priority="9701" stopIfTrue="1" operator="equal">
      <formula>"Towel"</formula>
    </cfRule>
  </conditionalFormatting>
  <conditionalFormatting sqref="C51">
    <cfRule type="cellIs" dxfId="23016" priority="9702" stopIfTrue="1" operator="equal">
      <formula>"Napkin Hs"</formula>
    </cfRule>
  </conditionalFormatting>
  <conditionalFormatting sqref="B51">
    <cfRule type="cellIs" dxfId="23015" priority="9605" stopIfTrue="1" operator="equal">
      <formula>"Napkin Hs"</formula>
    </cfRule>
  </conditionalFormatting>
  <conditionalFormatting sqref="B51:C51">
    <cfRule type="cellIs" dxfId="23014" priority="9604" stopIfTrue="1" operator="equal">
      <formula>"Towel"</formula>
    </cfRule>
  </conditionalFormatting>
  <conditionalFormatting sqref="B51:C51">
    <cfRule type="cellIs" dxfId="23013" priority="9615" stopIfTrue="1" operator="equal">
      <formula>"Towel"</formula>
    </cfRule>
    <cfRule type="cellIs" dxfId="23012" priority="9616" stopIfTrue="1" operator="equal">
      <formula>"Napkin Hs"</formula>
    </cfRule>
    <cfRule type="cellIs" dxfId="23011" priority="9621" stopIfTrue="1" operator="equal">
      <formula>"Towel"</formula>
    </cfRule>
    <cfRule type="cellIs" dxfId="23010" priority="9622" stopIfTrue="1" operator="equal">
      <formula>"Napkin Hs"</formula>
    </cfRule>
    <cfRule type="cellIs" dxfId="23009" priority="9627" stopIfTrue="1" operator="equal">
      <formula>"Towel"</formula>
    </cfRule>
    <cfRule type="cellIs" dxfId="23008" priority="9628" stopIfTrue="1" operator="equal">
      <formula>"Napkin Hs"</formula>
    </cfRule>
    <cfRule type="cellIs" dxfId="23007" priority="9629" stopIfTrue="1" operator="equal">
      <formula>"Towel"</formula>
    </cfRule>
    <cfRule type="cellIs" dxfId="23006" priority="9630" stopIfTrue="1" operator="equal">
      <formula>"Napkin Hs"</formula>
    </cfRule>
    <cfRule type="cellIs" dxfId="23005" priority="9635" stopIfTrue="1" operator="equal">
      <formula>"Towel"</formula>
    </cfRule>
    <cfRule type="cellIs" dxfId="23004" priority="9636" stopIfTrue="1" operator="equal">
      <formula>"Napkin Hs"</formula>
    </cfRule>
    <cfRule type="cellIs" dxfId="23003" priority="9645" stopIfTrue="1" operator="equal">
      <formula>"Towel"</formula>
    </cfRule>
    <cfRule type="cellIs" dxfId="23002" priority="9646" stopIfTrue="1" operator="equal">
      <formula>"Napkin Hs"</formula>
    </cfRule>
    <cfRule type="cellIs" dxfId="23001" priority="9651" stopIfTrue="1" operator="equal">
      <formula>"Towel"</formula>
    </cfRule>
    <cfRule type="cellIs" dxfId="23000" priority="9652" stopIfTrue="1" operator="equal">
      <formula>"Napkin Hs"</formula>
    </cfRule>
    <cfRule type="cellIs" dxfId="22999" priority="9653" stopIfTrue="1" operator="equal">
      <formula>"Towel"</formula>
    </cfRule>
    <cfRule type="cellIs" dxfId="22998" priority="9654" stopIfTrue="1" operator="equal">
      <formula>"Napkin Hs"</formula>
    </cfRule>
    <cfRule type="cellIs" dxfId="22997" priority="9659" stopIfTrue="1" operator="equal">
      <formula>"Towel"</formula>
    </cfRule>
    <cfRule type="cellIs" dxfId="22996" priority="9660" stopIfTrue="1" operator="equal">
      <formula>"Napkin Hs"</formula>
    </cfRule>
    <cfRule type="cellIs" dxfId="22995" priority="9669" stopIfTrue="1" operator="equal">
      <formula>"Towel"</formula>
    </cfRule>
    <cfRule type="cellIs" dxfId="22994" priority="9670" stopIfTrue="1" operator="equal">
      <formula>"Napkin Hs"</formula>
    </cfRule>
    <cfRule type="cellIs" dxfId="22993" priority="9671" stopIfTrue="1" operator="equal">
      <formula>"Towel"</formula>
    </cfRule>
    <cfRule type="cellIs" dxfId="22992" priority="9672" stopIfTrue="1" operator="equal">
      <formula>"Napkin Hs"</formula>
    </cfRule>
    <cfRule type="cellIs" dxfId="22991" priority="9677" stopIfTrue="1" operator="equal">
      <formula>"Towel"</formula>
    </cfRule>
    <cfRule type="cellIs" dxfId="22990" priority="9678" stopIfTrue="1" operator="equal">
      <formula>"Napkin Hs"</formula>
    </cfRule>
    <cfRule type="cellIs" dxfId="22989" priority="9687" stopIfTrue="1" operator="equal">
      <formula>"Towel"</formula>
    </cfRule>
    <cfRule type="cellIs" dxfId="22988" priority="9688" stopIfTrue="1" operator="equal">
      <formula>"Napkin Hs"</formula>
    </cfRule>
    <cfRule type="cellIs" dxfId="22987" priority="9689" stopIfTrue="1" operator="equal">
      <formula>"Towel"</formula>
    </cfRule>
    <cfRule type="cellIs" dxfId="22986" priority="9690" stopIfTrue="1" operator="equal">
      <formula>"Napkin Hs"</formula>
    </cfRule>
    <cfRule type="cellIs" dxfId="22985" priority="9696" stopIfTrue="1" operator="equal">
      <formula>"Napkin Hs"</formula>
    </cfRule>
  </conditionalFormatting>
  <conditionalFormatting sqref="B51:C51">
    <cfRule type="cellIs" dxfId="22984" priority="9695" stopIfTrue="1" operator="equal">
      <formula>"Towel"</formula>
    </cfRule>
  </conditionalFormatting>
  <conditionalFormatting sqref="C51">
    <cfRule type="cellIs" dxfId="22983" priority="9606" stopIfTrue="1" operator="equal">
      <formula>"Napkin Hs"</formula>
    </cfRule>
    <cfRule type="cellIs" dxfId="22982" priority="9607" stopIfTrue="1" operator="equal">
      <formula>"Towel"</formula>
    </cfRule>
    <cfRule type="cellIs" dxfId="22981" priority="9608" stopIfTrue="1" operator="equal">
      <formula>"Napkin Hs"</formula>
    </cfRule>
    <cfRule type="cellIs" dxfId="22980" priority="9609" stopIfTrue="1" operator="equal">
      <formula>"Towel"</formula>
    </cfRule>
    <cfRule type="cellIs" dxfId="22979" priority="9610" stopIfTrue="1" operator="equal">
      <formula>"Napkin Hs"</formula>
    </cfRule>
    <cfRule type="cellIs" dxfId="22978" priority="9611" stopIfTrue="1" operator="equal">
      <formula>"Towel"</formula>
    </cfRule>
    <cfRule type="cellIs" dxfId="22977" priority="9612" stopIfTrue="1" operator="equal">
      <formula>"Napkin Hs"</formula>
    </cfRule>
    <cfRule type="cellIs" dxfId="22976" priority="9613" stopIfTrue="1" operator="equal">
      <formula>"Towel"</formula>
    </cfRule>
    <cfRule type="cellIs" dxfId="22975" priority="9614" stopIfTrue="1" operator="equal">
      <formula>"Napkin Hs"</formula>
    </cfRule>
    <cfRule type="cellIs" dxfId="22974" priority="9617" stopIfTrue="1" operator="equal">
      <formula>"Towel"</formula>
    </cfRule>
    <cfRule type="cellIs" dxfId="22973" priority="9618" stopIfTrue="1" operator="equal">
      <formula>"Napkin Hs"</formula>
    </cfRule>
    <cfRule type="cellIs" dxfId="22972" priority="9619" stopIfTrue="1" operator="equal">
      <formula>"Towel"</formula>
    </cfRule>
    <cfRule type="cellIs" dxfId="22971" priority="9620" stopIfTrue="1" operator="equal">
      <formula>"Napkin Hs"</formula>
    </cfRule>
    <cfRule type="cellIs" dxfId="22970" priority="9623" stopIfTrue="1" operator="equal">
      <formula>"Towel"</formula>
    </cfRule>
    <cfRule type="cellIs" dxfId="22969" priority="9624" stopIfTrue="1" operator="equal">
      <formula>"Napkin Hs"</formula>
    </cfRule>
    <cfRule type="cellIs" dxfId="22968" priority="9625" stopIfTrue="1" operator="equal">
      <formula>"Towel"</formula>
    </cfRule>
    <cfRule type="cellIs" dxfId="22967" priority="9626" stopIfTrue="1" operator="equal">
      <formula>"Napkin Hs"</formula>
    </cfRule>
    <cfRule type="cellIs" dxfId="22966" priority="9631" stopIfTrue="1" operator="equal">
      <formula>"Towel"</formula>
    </cfRule>
    <cfRule type="cellIs" dxfId="22965" priority="9632" stopIfTrue="1" operator="equal">
      <formula>"Napkin Hs"</formula>
    </cfRule>
    <cfRule type="cellIs" dxfId="22964" priority="9633" stopIfTrue="1" operator="equal">
      <formula>"Towel"</formula>
    </cfRule>
    <cfRule type="cellIs" dxfId="22963" priority="9634" stopIfTrue="1" operator="equal">
      <formula>"Napkin Hs"</formula>
    </cfRule>
    <cfRule type="cellIs" dxfId="22962" priority="9637" stopIfTrue="1" operator="equal">
      <formula>"Towel"</formula>
    </cfRule>
    <cfRule type="cellIs" dxfId="22961" priority="9638" stopIfTrue="1" operator="equal">
      <formula>"Napkin Hs"</formula>
    </cfRule>
    <cfRule type="cellIs" dxfId="22960" priority="9639" stopIfTrue="1" operator="equal">
      <formula>"Towel"</formula>
    </cfRule>
    <cfRule type="cellIs" dxfId="22959" priority="9640" stopIfTrue="1" operator="equal">
      <formula>"Napkin Hs"</formula>
    </cfRule>
    <cfRule type="cellIs" dxfId="22958" priority="9641" stopIfTrue="1" operator="equal">
      <formula>"Towel"</formula>
    </cfRule>
    <cfRule type="cellIs" dxfId="22957" priority="9642" stopIfTrue="1" operator="equal">
      <formula>"Napkin Hs"</formula>
    </cfRule>
    <cfRule type="cellIs" dxfId="22956" priority="9643" stopIfTrue="1" operator="equal">
      <formula>"Towel"</formula>
    </cfRule>
    <cfRule type="cellIs" dxfId="22955" priority="9644" stopIfTrue="1" operator="equal">
      <formula>"Napkin Hs"</formula>
    </cfRule>
    <cfRule type="cellIs" dxfId="22954" priority="9647" stopIfTrue="1" operator="equal">
      <formula>"Towel"</formula>
    </cfRule>
    <cfRule type="cellIs" dxfId="22953" priority="9648" stopIfTrue="1" operator="equal">
      <formula>"Napkin Hs"</formula>
    </cfRule>
    <cfRule type="cellIs" dxfId="22952" priority="9649" stopIfTrue="1" operator="equal">
      <formula>"Towel"</formula>
    </cfRule>
    <cfRule type="cellIs" dxfId="22951" priority="9650" stopIfTrue="1" operator="equal">
      <formula>"Napkin Hs"</formula>
    </cfRule>
    <cfRule type="cellIs" dxfId="22950" priority="9655" stopIfTrue="1" operator="equal">
      <formula>"Towel"</formula>
    </cfRule>
    <cfRule type="cellIs" dxfId="22949" priority="9656" stopIfTrue="1" operator="equal">
      <formula>"Napkin Hs"</formula>
    </cfRule>
    <cfRule type="cellIs" dxfId="22948" priority="9657" stopIfTrue="1" operator="equal">
      <formula>"Towel"</formula>
    </cfRule>
    <cfRule type="cellIs" dxfId="22947" priority="9658" stopIfTrue="1" operator="equal">
      <formula>"Napkin Hs"</formula>
    </cfRule>
    <cfRule type="cellIs" dxfId="22946" priority="9661" stopIfTrue="1" operator="equal">
      <formula>"Towel"</formula>
    </cfRule>
    <cfRule type="cellIs" dxfId="22945" priority="9662" stopIfTrue="1" operator="equal">
      <formula>"Napkin Hs"</formula>
    </cfRule>
    <cfRule type="cellIs" dxfId="22944" priority="9663" stopIfTrue="1" operator="equal">
      <formula>"Towel"</formula>
    </cfRule>
    <cfRule type="cellIs" dxfId="22943" priority="9664" stopIfTrue="1" operator="equal">
      <formula>"Napkin Hs"</formula>
    </cfRule>
    <cfRule type="cellIs" dxfId="22942" priority="9665" stopIfTrue="1" operator="equal">
      <formula>"Towel"</formula>
    </cfRule>
    <cfRule type="cellIs" dxfId="22941" priority="9666" stopIfTrue="1" operator="equal">
      <formula>"Napkin Hs"</formula>
    </cfRule>
    <cfRule type="cellIs" dxfId="22940" priority="9667" stopIfTrue="1" operator="equal">
      <formula>"Towel"</formula>
    </cfRule>
    <cfRule type="cellIs" dxfId="22939" priority="9668" stopIfTrue="1" operator="equal">
      <formula>"Napkin Hs"</formula>
    </cfRule>
    <cfRule type="cellIs" dxfId="22938" priority="9673" stopIfTrue="1" operator="equal">
      <formula>"Towel"</formula>
    </cfRule>
    <cfRule type="cellIs" dxfId="22937" priority="9674" stopIfTrue="1" operator="equal">
      <formula>"Napkin Hs"</formula>
    </cfRule>
    <cfRule type="cellIs" dxfId="22936" priority="9675" stopIfTrue="1" operator="equal">
      <formula>"Towel"</formula>
    </cfRule>
    <cfRule type="cellIs" dxfId="22935" priority="9676" stopIfTrue="1" operator="equal">
      <formula>"Napkin Hs"</formula>
    </cfRule>
    <cfRule type="cellIs" dxfId="22934" priority="9679" stopIfTrue="1" operator="equal">
      <formula>"Towel"</formula>
    </cfRule>
    <cfRule type="cellIs" dxfId="22933" priority="9680" stopIfTrue="1" operator="equal">
      <formula>"Napkin Hs"</formula>
    </cfRule>
    <cfRule type="cellIs" dxfId="22932" priority="9681" stopIfTrue="1" operator="equal">
      <formula>"Towel"</formula>
    </cfRule>
    <cfRule type="cellIs" dxfId="22931" priority="9682" stopIfTrue="1" operator="equal">
      <formula>"Napkin Hs"</formula>
    </cfRule>
    <cfRule type="cellIs" dxfId="22930" priority="9683" stopIfTrue="1" operator="equal">
      <formula>"Towel"</formula>
    </cfRule>
    <cfRule type="cellIs" dxfId="22929" priority="9684" stopIfTrue="1" operator="equal">
      <formula>"Napkin Hs"</formula>
    </cfRule>
    <cfRule type="cellIs" dxfId="22928" priority="9685" stopIfTrue="1" operator="equal">
      <formula>"Towel"</formula>
    </cfRule>
    <cfRule type="cellIs" dxfId="22927" priority="9686" stopIfTrue="1" operator="equal">
      <formula>"Napkin Hs"</formula>
    </cfRule>
    <cfRule type="cellIs" dxfId="22926" priority="9691" stopIfTrue="1" operator="equal">
      <formula>"Towel"</formula>
    </cfRule>
    <cfRule type="cellIs" dxfId="22925" priority="9692" stopIfTrue="1" operator="equal">
      <formula>"Napkin Hs"</formula>
    </cfRule>
    <cfRule type="cellIs" dxfId="22924" priority="9693" stopIfTrue="1" operator="equal">
      <formula>"Towel"</formula>
    </cfRule>
    <cfRule type="cellIs" dxfId="22923" priority="9694" stopIfTrue="1" operator="equal">
      <formula>"Napkin Hs"</formula>
    </cfRule>
    <cfRule type="cellIs" dxfId="22922" priority="9697" stopIfTrue="1" operator="equal">
      <formula>"Towel"</formula>
    </cfRule>
    <cfRule type="cellIs" dxfId="22921" priority="9698" stopIfTrue="1" operator="equal">
      <formula>"Napkin Hs"</formula>
    </cfRule>
    <cfRule type="cellIs" dxfId="22920" priority="9699" stopIfTrue="1" operator="equal">
      <formula>"Towel"</formula>
    </cfRule>
    <cfRule type="cellIs" dxfId="22919" priority="9700" stopIfTrue="1" operator="equal">
      <formula>"Napkin Hs"</formula>
    </cfRule>
  </conditionalFormatting>
  <conditionalFormatting sqref="B51:C51">
    <cfRule type="cellIs" dxfId="22918" priority="9602" stopIfTrue="1" operator="equal">
      <formula>"Towel"</formula>
    </cfRule>
    <cfRule type="cellIs" dxfId="22917" priority="9603" stopIfTrue="1" operator="equal">
      <formula>"Napkin Hs"</formula>
    </cfRule>
  </conditionalFormatting>
  <conditionalFormatting sqref="C51">
    <cfRule type="cellIs" dxfId="22916" priority="9598" stopIfTrue="1" operator="equal">
      <formula>"Towel"</formula>
    </cfRule>
    <cfRule type="cellIs" dxfId="22915" priority="9599" stopIfTrue="1" operator="equal">
      <formula>"Napkin Hs"</formula>
    </cfRule>
  </conditionalFormatting>
  <conditionalFormatting sqref="C51">
    <cfRule type="cellIs" dxfId="22914" priority="9601" stopIfTrue="1" operator="equal">
      <formula>"Napkin Hs"</formula>
    </cfRule>
  </conditionalFormatting>
  <conditionalFormatting sqref="C51">
    <cfRule type="cellIs" dxfId="22913" priority="9600" stopIfTrue="1" operator="equal">
      <formula>"Towel"</formula>
    </cfRule>
  </conditionalFormatting>
  <conditionalFormatting sqref="C51">
    <cfRule type="cellIs" dxfId="22912" priority="9590" stopIfTrue="1" operator="equal">
      <formula>"Towel"</formula>
    </cfRule>
    <cfRule type="cellIs" dxfId="22911" priority="9591" stopIfTrue="1" operator="equal">
      <formula>"Napkin Hs"</formula>
    </cfRule>
  </conditionalFormatting>
  <conditionalFormatting sqref="B51:C51">
    <cfRule type="cellIs" dxfId="22910" priority="9592" stopIfTrue="1" operator="equal">
      <formula>"Towel"</formula>
    </cfRule>
    <cfRule type="cellIs" dxfId="22909" priority="9593" stopIfTrue="1" operator="equal">
      <formula>"Napkin Hs"</formula>
    </cfRule>
  </conditionalFormatting>
  <conditionalFormatting sqref="C51">
    <cfRule type="cellIs" dxfId="22908" priority="9588" stopIfTrue="1" operator="equal">
      <formula>"Towel"</formula>
    </cfRule>
    <cfRule type="cellIs" dxfId="22907" priority="9589" stopIfTrue="1" operator="equal">
      <formula>"Napkin Hs"</formula>
    </cfRule>
  </conditionalFormatting>
  <conditionalFormatting sqref="B51:C51">
    <cfRule type="cellIs" dxfId="22906" priority="9586" stopIfTrue="1" operator="equal">
      <formula>"Towel"</formula>
    </cfRule>
    <cfRule type="cellIs" dxfId="22905" priority="9587" stopIfTrue="1" operator="equal">
      <formula>"Napkin Hs"</formula>
    </cfRule>
  </conditionalFormatting>
  <conditionalFormatting sqref="C51">
    <cfRule type="cellIs" dxfId="22904" priority="9594" stopIfTrue="1" operator="equal">
      <formula>"Towel"</formula>
    </cfRule>
    <cfRule type="cellIs" dxfId="22903" priority="9595" stopIfTrue="1" operator="equal">
      <formula>"Napkin Hs"</formula>
    </cfRule>
  </conditionalFormatting>
  <conditionalFormatting sqref="C51">
    <cfRule type="cellIs" dxfId="22902" priority="9596" stopIfTrue="1" operator="equal">
      <formula>"Towel"</formula>
    </cfRule>
    <cfRule type="cellIs" dxfId="22901" priority="9597" stopIfTrue="1" operator="equal">
      <formula>"Napkin Hs"</formula>
    </cfRule>
  </conditionalFormatting>
  <conditionalFormatting sqref="C51">
    <cfRule type="cellIs" dxfId="22900" priority="9578" stopIfTrue="1" operator="equal">
      <formula>"Towel"</formula>
    </cfRule>
    <cfRule type="cellIs" dxfId="22899" priority="9579" stopIfTrue="1" operator="equal">
      <formula>"Napkin Hs"</formula>
    </cfRule>
  </conditionalFormatting>
  <conditionalFormatting sqref="B51:C51">
    <cfRule type="cellIs" dxfId="22898" priority="9580" stopIfTrue="1" operator="equal">
      <formula>"Towel"</formula>
    </cfRule>
    <cfRule type="cellIs" dxfId="22897" priority="9581" stopIfTrue="1" operator="equal">
      <formula>"Napkin Hs"</formula>
    </cfRule>
  </conditionalFormatting>
  <conditionalFormatting sqref="C51">
    <cfRule type="cellIs" dxfId="22896" priority="9576" stopIfTrue="1" operator="equal">
      <formula>"Towel"</formula>
    </cfRule>
    <cfRule type="cellIs" dxfId="22895" priority="9577" stopIfTrue="1" operator="equal">
      <formula>"Napkin Hs"</formula>
    </cfRule>
  </conditionalFormatting>
  <conditionalFormatting sqref="B51:C51">
    <cfRule type="cellIs" dxfId="22894" priority="9574" stopIfTrue="1" operator="equal">
      <formula>"Towel"</formula>
    </cfRule>
    <cfRule type="cellIs" dxfId="22893" priority="9575" stopIfTrue="1" operator="equal">
      <formula>"Napkin Hs"</formula>
    </cfRule>
  </conditionalFormatting>
  <conditionalFormatting sqref="C51">
    <cfRule type="cellIs" dxfId="22892" priority="9582" stopIfTrue="1" operator="equal">
      <formula>"Towel"</formula>
    </cfRule>
    <cfRule type="cellIs" dxfId="22891" priority="9583" stopIfTrue="1" operator="equal">
      <formula>"Napkin Hs"</formula>
    </cfRule>
  </conditionalFormatting>
  <conditionalFormatting sqref="C51">
    <cfRule type="cellIs" dxfId="22890" priority="9584" stopIfTrue="1" operator="equal">
      <formula>"Towel"</formula>
    </cfRule>
    <cfRule type="cellIs" dxfId="22889" priority="9585" stopIfTrue="1" operator="equal">
      <formula>"Napkin Hs"</formula>
    </cfRule>
  </conditionalFormatting>
  <conditionalFormatting sqref="C51">
    <cfRule type="cellIs" dxfId="22888" priority="9566" stopIfTrue="1" operator="equal">
      <formula>"Towel"</formula>
    </cfRule>
    <cfRule type="cellIs" dxfId="22887" priority="9567" stopIfTrue="1" operator="equal">
      <formula>"Napkin Hs"</formula>
    </cfRule>
  </conditionalFormatting>
  <conditionalFormatting sqref="B51:C51">
    <cfRule type="cellIs" dxfId="22886" priority="9568" stopIfTrue="1" operator="equal">
      <formula>"Towel"</formula>
    </cfRule>
    <cfRule type="cellIs" dxfId="22885" priority="9569" stopIfTrue="1" operator="equal">
      <formula>"Napkin Hs"</formula>
    </cfRule>
  </conditionalFormatting>
  <conditionalFormatting sqref="C51">
    <cfRule type="cellIs" dxfId="22884" priority="9564" stopIfTrue="1" operator="equal">
      <formula>"Towel"</formula>
    </cfRule>
    <cfRule type="cellIs" dxfId="22883" priority="9565" stopIfTrue="1" operator="equal">
      <formula>"Napkin Hs"</formula>
    </cfRule>
  </conditionalFormatting>
  <conditionalFormatting sqref="B51:C51">
    <cfRule type="cellIs" dxfId="22882" priority="9562" stopIfTrue="1" operator="equal">
      <formula>"Towel"</formula>
    </cfRule>
    <cfRule type="cellIs" dxfId="22881" priority="9563" stopIfTrue="1" operator="equal">
      <formula>"Napkin Hs"</formula>
    </cfRule>
  </conditionalFormatting>
  <conditionalFormatting sqref="C51">
    <cfRule type="cellIs" dxfId="22880" priority="9570" stopIfTrue="1" operator="equal">
      <formula>"Towel"</formula>
    </cfRule>
    <cfRule type="cellIs" dxfId="22879" priority="9571" stopIfTrue="1" operator="equal">
      <formula>"Napkin Hs"</formula>
    </cfRule>
  </conditionalFormatting>
  <conditionalFormatting sqref="C51">
    <cfRule type="cellIs" dxfId="22878" priority="9572" stopIfTrue="1" operator="equal">
      <formula>"Towel"</formula>
    </cfRule>
    <cfRule type="cellIs" dxfId="22877" priority="9573" stopIfTrue="1" operator="equal">
      <formula>"Napkin Hs"</formula>
    </cfRule>
  </conditionalFormatting>
  <conditionalFormatting sqref="B51:C51">
    <cfRule type="cellIs" dxfId="22876" priority="9560" stopIfTrue="1" operator="equal">
      <formula>"Towel"</formula>
    </cfRule>
    <cfRule type="cellIs" dxfId="22875" priority="9561" stopIfTrue="1" operator="equal">
      <formula>"Napkin Hs"</formula>
    </cfRule>
  </conditionalFormatting>
  <conditionalFormatting sqref="C51">
    <cfRule type="cellIs" dxfId="22874" priority="9556" stopIfTrue="1" operator="equal">
      <formula>"Towel"</formula>
    </cfRule>
    <cfRule type="cellIs" dxfId="22873" priority="9557" stopIfTrue="1" operator="equal">
      <formula>"Napkin Hs"</formula>
    </cfRule>
  </conditionalFormatting>
  <conditionalFormatting sqref="C51">
    <cfRule type="cellIs" dxfId="22872" priority="9559" stopIfTrue="1" operator="equal">
      <formula>"Napkin Hs"</formula>
    </cfRule>
  </conditionalFormatting>
  <conditionalFormatting sqref="C51">
    <cfRule type="cellIs" dxfId="22871" priority="9558" stopIfTrue="1" operator="equal">
      <formula>"Towel"</formula>
    </cfRule>
  </conditionalFormatting>
  <conditionalFormatting sqref="B51:C51">
    <cfRule type="cellIs" dxfId="22870" priority="9554" stopIfTrue="1" operator="equal">
      <formula>"Towel"</formula>
    </cfRule>
    <cfRule type="cellIs" dxfId="22869" priority="9555" stopIfTrue="1" operator="equal">
      <formula>"Napkin Hs"</formula>
    </cfRule>
  </conditionalFormatting>
  <conditionalFormatting sqref="C51">
    <cfRule type="cellIs" dxfId="22868" priority="9550" stopIfTrue="1" operator="equal">
      <formula>"Towel"</formula>
    </cfRule>
    <cfRule type="cellIs" dxfId="22867" priority="9551" stopIfTrue="1" operator="equal">
      <formula>"Napkin Hs"</formula>
    </cfRule>
  </conditionalFormatting>
  <conditionalFormatting sqref="C51">
    <cfRule type="cellIs" dxfId="22866" priority="9553" stopIfTrue="1" operator="equal">
      <formula>"Napkin Hs"</formula>
    </cfRule>
  </conditionalFormatting>
  <conditionalFormatting sqref="C51">
    <cfRule type="cellIs" dxfId="22865" priority="9552" stopIfTrue="1" operator="equal">
      <formula>"Towel"</formula>
    </cfRule>
  </conditionalFormatting>
  <conditionalFormatting sqref="C52">
    <cfRule type="cellIs" dxfId="22864" priority="9542" stopIfTrue="1" operator="equal">
      <formula>"Towel"</formula>
    </cfRule>
    <cfRule type="cellIs" dxfId="22863" priority="9543" stopIfTrue="1" operator="equal">
      <formula>"Napkin Hs"</formula>
    </cfRule>
  </conditionalFormatting>
  <conditionalFormatting sqref="B52:C52">
    <cfRule type="cellIs" dxfId="22862" priority="9544" stopIfTrue="1" operator="equal">
      <formula>"Towel"</formula>
    </cfRule>
    <cfRule type="cellIs" dxfId="22861" priority="9545" stopIfTrue="1" operator="equal">
      <formula>"Napkin Hs"</formula>
    </cfRule>
  </conditionalFormatting>
  <conditionalFormatting sqref="C52">
    <cfRule type="cellIs" dxfId="22860" priority="9540" stopIfTrue="1" operator="equal">
      <formula>"Towel"</formula>
    </cfRule>
    <cfRule type="cellIs" dxfId="22859" priority="9541" stopIfTrue="1" operator="equal">
      <formula>"Napkin Hs"</formula>
    </cfRule>
  </conditionalFormatting>
  <conditionalFormatting sqref="B52:C52">
    <cfRule type="cellIs" dxfId="22858" priority="9538" stopIfTrue="1" operator="equal">
      <formula>"Towel"</formula>
    </cfRule>
    <cfRule type="cellIs" dxfId="22857" priority="9539" stopIfTrue="1" operator="equal">
      <formula>"Napkin Hs"</formula>
    </cfRule>
  </conditionalFormatting>
  <conditionalFormatting sqref="C52">
    <cfRule type="cellIs" dxfId="22856" priority="9546" stopIfTrue="1" operator="equal">
      <formula>"Towel"</formula>
    </cfRule>
    <cfRule type="cellIs" dxfId="22855" priority="9547" stopIfTrue="1" operator="equal">
      <formula>"Napkin Hs"</formula>
    </cfRule>
  </conditionalFormatting>
  <conditionalFormatting sqref="C52">
    <cfRule type="cellIs" dxfId="22854" priority="9548" stopIfTrue="1" operator="equal">
      <formula>"Towel"</formula>
    </cfRule>
    <cfRule type="cellIs" dxfId="22853" priority="9549" stopIfTrue="1" operator="equal">
      <formula>"Napkin Hs"</formula>
    </cfRule>
  </conditionalFormatting>
  <conditionalFormatting sqref="C52">
    <cfRule type="cellIs" dxfId="22852" priority="9530" stopIfTrue="1" operator="equal">
      <formula>"Towel"</formula>
    </cfRule>
    <cfRule type="cellIs" dxfId="22851" priority="9531" stopIfTrue="1" operator="equal">
      <formula>"Napkin Hs"</formula>
    </cfRule>
  </conditionalFormatting>
  <conditionalFormatting sqref="B52:C52">
    <cfRule type="cellIs" dxfId="22850" priority="9532" stopIfTrue="1" operator="equal">
      <formula>"Towel"</formula>
    </cfRule>
    <cfRule type="cellIs" dxfId="22849" priority="9533" stopIfTrue="1" operator="equal">
      <formula>"Napkin Hs"</formula>
    </cfRule>
  </conditionalFormatting>
  <conditionalFormatting sqref="C52">
    <cfRule type="cellIs" dxfId="22848" priority="9528" stopIfTrue="1" operator="equal">
      <formula>"Towel"</formula>
    </cfRule>
    <cfRule type="cellIs" dxfId="22847" priority="9529" stopIfTrue="1" operator="equal">
      <formula>"Napkin Hs"</formula>
    </cfRule>
  </conditionalFormatting>
  <conditionalFormatting sqref="B52:C52">
    <cfRule type="cellIs" dxfId="22846" priority="9526" stopIfTrue="1" operator="equal">
      <formula>"Towel"</formula>
    </cfRule>
    <cfRule type="cellIs" dxfId="22845" priority="9527" stopIfTrue="1" operator="equal">
      <formula>"Napkin Hs"</formula>
    </cfRule>
  </conditionalFormatting>
  <conditionalFormatting sqref="C52">
    <cfRule type="cellIs" dxfId="22844" priority="9534" stopIfTrue="1" operator="equal">
      <formula>"Towel"</formula>
    </cfRule>
    <cfRule type="cellIs" dxfId="22843" priority="9535" stopIfTrue="1" operator="equal">
      <formula>"Napkin Hs"</formula>
    </cfRule>
  </conditionalFormatting>
  <conditionalFormatting sqref="C52">
    <cfRule type="cellIs" dxfId="22842" priority="9536" stopIfTrue="1" operator="equal">
      <formula>"Towel"</formula>
    </cfRule>
    <cfRule type="cellIs" dxfId="22841" priority="9537" stopIfTrue="1" operator="equal">
      <formula>"Napkin Hs"</formula>
    </cfRule>
  </conditionalFormatting>
  <conditionalFormatting sqref="C52">
    <cfRule type="cellIs" dxfId="22840" priority="9518" stopIfTrue="1" operator="equal">
      <formula>"Towel"</formula>
    </cfRule>
    <cfRule type="cellIs" dxfId="22839" priority="9519" stopIfTrue="1" operator="equal">
      <formula>"Napkin Hs"</formula>
    </cfRule>
  </conditionalFormatting>
  <conditionalFormatting sqref="B52:C52">
    <cfRule type="cellIs" dxfId="22838" priority="9520" stopIfTrue="1" operator="equal">
      <formula>"Towel"</formula>
    </cfRule>
    <cfRule type="cellIs" dxfId="22837" priority="9521" stopIfTrue="1" operator="equal">
      <formula>"Napkin Hs"</formula>
    </cfRule>
  </conditionalFormatting>
  <conditionalFormatting sqref="C52">
    <cfRule type="cellIs" dxfId="22836" priority="9516" stopIfTrue="1" operator="equal">
      <formula>"Towel"</formula>
    </cfRule>
    <cfRule type="cellIs" dxfId="22835" priority="9517" stopIfTrue="1" operator="equal">
      <formula>"Napkin Hs"</formula>
    </cfRule>
  </conditionalFormatting>
  <conditionalFormatting sqref="B52:C52">
    <cfRule type="cellIs" dxfId="22834" priority="9514" stopIfTrue="1" operator="equal">
      <formula>"Towel"</formula>
    </cfRule>
    <cfRule type="cellIs" dxfId="22833" priority="9515" stopIfTrue="1" operator="equal">
      <formula>"Napkin Hs"</formula>
    </cfRule>
  </conditionalFormatting>
  <conditionalFormatting sqref="C52">
    <cfRule type="cellIs" dxfId="22832" priority="9522" stopIfTrue="1" operator="equal">
      <formula>"Towel"</formula>
    </cfRule>
    <cfRule type="cellIs" dxfId="22831" priority="9523" stopIfTrue="1" operator="equal">
      <formula>"Napkin Hs"</formula>
    </cfRule>
  </conditionalFormatting>
  <conditionalFormatting sqref="C52">
    <cfRule type="cellIs" dxfId="22830" priority="9524" stopIfTrue="1" operator="equal">
      <formula>"Towel"</formula>
    </cfRule>
    <cfRule type="cellIs" dxfId="22829" priority="9525" stopIfTrue="1" operator="equal">
      <formula>"Napkin Hs"</formula>
    </cfRule>
  </conditionalFormatting>
  <conditionalFormatting sqref="B52:C52">
    <cfRule type="cellIs" dxfId="22828" priority="9512" stopIfTrue="1" operator="equal">
      <formula>"Towel"</formula>
    </cfRule>
    <cfRule type="cellIs" dxfId="22827" priority="9513" stopIfTrue="1" operator="equal">
      <formula>"Napkin Hs"</formula>
    </cfRule>
  </conditionalFormatting>
  <conditionalFormatting sqref="C52">
    <cfRule type="cellIs" dxfId="22826" priority="9508" stopIfTrue="1" operator="equal">
      <formula>"Towel"</formula>
    </cfRule>
    <cfRule type="cellIs" dxfId="22825" priority="9509" stopIfTrue="1" operator="equal">
      <formula>"Napkin Hs"</formula>
    </cfRule>
  </conditionalFormatting>
  <conditionalFormatting sqref="C52">
    <cfRule type="cellIs" dxfId="22824" priority="9511" stopIfTrue="1" operator="equal">
      <formula>"Napkin Hs"</formula>
    </cfRule>
  </conditionalFormatting>
  <conditionalFormatting sqref="C52">
    <cfRule type="cellIs" dxfId="22823" priority="9510" stopIfTrue="1" operator="equal">
      <formula>"Towel"</formula>
    </cfRule>
  </conditionalFormatting>
  <conditionalFormatting sqref="B52:C52">
    <cfRule type="cellIs" dxfId="22822" priority="9506" stopIfTrue="1" operator="equal">
      <formula>"Towel"</formula>
    </cfRule>
    <cfRule type="cellIs" dxfId="22821" priority="9507" stopIfTrue="1" operator="equal">
      <formula>"Napkin Hs"</formula>
    </cfRule>
  </conditionalFormatting>
  <conditionalFormatting sqref="C52">
    <cfRule type="cellIs" dxfId="22820" priority="9502" stopIfTrue="1" operator="equal">
      <formula>"Towel"</formula>
    </cfRule>
    <cfRule type="cellIs" dxfId="22819" priority="9503" stopIfTrue="1" operator="equal">
      <formula>"Napkin Hs"</formula>
    </cfRule>
  </conditionalFormatting>
  <conditionalFormatting sqref="C52">
    <cfRule type="cellIs" dxfId="22818" priority="9505" stopIfTrue="1" operator="equal">
      <formula>"Napkin Hs"</formula>
    </cfRule>
  </conditionalFormatting>
  <conditionalFormatting sqref="C52">
    <cfRule type="cellIs" dxfId="22817" priority="9504" stopIfTrue="1" operator="equal">
      <formula>"Towel"</formula>
    </cfRule>
  </conditionalFormatting>
  <conditionalFormatting sqref="C52">
    <cfRule type="cellIs" dxfId="22816" priority="9494" stopIfTrue="1" operator="equal">
      <formula>"Towel"</formula>
    </cfRule>
    <cfRule type="cellIs" dxfId="22815" priority="9495" stopIfTrue="1" operator="equal">
      <formula>"Napkin Hs"</formula>
    </cfRule>
  </conditionalFormatting>
  <conditionalFormatting sqref="B52:C52">
    <cfRule type="cellIs" dxfId="22814" priority="9496" stopIfTrue="1" operator="equal">
      <formula>"Towel"</formula>
    </cfRule>
    <cfRule type="cellIs" dxfId="22813" priority="9497" stopIfTrue="1" operator="equal">
      <formula>"Napkin Hs"</formula>
    </cfRule>
  </conditionalFormatting>
  <conditionalFormatting sqref="C52">
    <cfRule type="cellIs" dxfId="22812" priority="9492" stopIfTrue="1" operator="equal">
      <formula>"Towel"</formula>
    </cfRule>
    <cfRule type="cellIs" dxfId="22811" priority="9493" stopIfTrue="1" operator="equal">
      <formula>"Napkin Hs"</formula>
    </cfRule>
  </conditionalFormatting>
  <conditionalFormatting sqref="B52:C52">
    <cfRule type="cellIs" dxfId="22810" priority="9490" stopIfTrue="1" operator="equal">
      <formula>"Towel"</formula>
    </cfRule>
    <cfRule type="cellIs" dxfId="22809" priority="9491" stopIfTrue="1" operator="equal">
      <formula>"Napkin Hs"</formula>
    </cfRule>
  </conditionalFormatting>
  <conditionalFormatting sqref="C52">
    <cfRule type="cellIs" dxfId="22808" priority="9498" stopIfTrue="1" operator="equal">
      <formula>"Towel"</formula>
    </cfRule>
    <cfRule type="cellIs" dxfId="22807" priority="9499" stopIfTrue="1" operator="equal">
      <formula>"Napkin Hs"</formula>
    </cfRule>
  </conditionalFormatting>
  <conditionalFormatting sqref="C52">
    <cfRule type="cellIs" dxfId="22806" priority="9500" stopIfTrue="1" operator="equal">
      <formula>"Towel"</formula>
    </cfRule>
    <cfRule type="cellIs" dxfId="22805" priority="9501" stopIfTrue="1" operator="equal">
      <formula>"Napkin Hs"</formula>
    </cfRule>
  </conditionalFormatting>
  <conditionalFormatting sqref="B52:C52">
    <cfRule type="cellIs" dxfId="22804" priority="9488" stopIfTrue="1" operator="equal">
      <formula>"Towel"</formula>
    </cfRule>
    <cfRule type="cellIs" dxfId="22803" priority="9489" stopIfTrue="1" operator="equal">
      <formula>"Napkin Hs"</formula>
    </cfRule>
  </conditionalFormatting>
  <conditionalFormatting sqref="C52">
    <cfRule type="cellIs" dxfId="22802" priority="9480" stopIfTrue="1" operator="equal">
      <formula>"Towel"</formula>
    </cfRule>
    <cfRule type="cellIs" dxfId="22801" priority="9481" stopIfTrue="1" operator="equal">
      <formula>"Napkin Hs"</formula>
    </cfRule>
  </conditionalFormatting>
  <conditionalFormatting sqref="C52">
    <cfRule type="cellIs" dxfId="22800" priority="9484" stopIfTrue="1" operator="equal">
      <formula>"Towel"</formula>
    </cfRule>
    <cfRule type="cellIs" dxfId="22799" priority="9485" stopIfTrue="1" operator="equal">
      <formula>"Napkin Hs"</formula>
    </cfRule>
  </conditionalFormatting>
  <conditionalFormatting sqref="C52">
    <cfRule type="cellIs" dxfId="22798" priority="9487" stopIfTrue="1" operator="equal">
      <formula>"Napkin Hs"</formula>
    </cfRule>
  </conditionalFormatting>
  <conditionalFormatting sqref="C52">
    <cfRule type="cellIs" dxfId="22797" priority="9482" stopIfTrue="1" operator="equal">
      <formula>"Towel"</formula>
    </cfRule>
    <cfRule type="cellIs" dxfId="22796" priority="9483" stopIfTrue="1" operator="equal">
      <formula>"Napkin Hs"</formula>
    </cfRule>
  </conditionalFormatting>
  <conditionalFormatting sqref="C52">
    <cfRule type="cellIs" dxfId="22795" priority="9486" stopIfTrue="1" operator="equal">
      <formula>"Towel"</formula>
    </cfRule>
  </conditionalFormatting>
  <conditionalFormatting sqref="C52">
    <cfRule type="cellIs" dxfId="22794" priority="9478" stopIfTrue="1" operator="equal">
      <formula>"Towel"</formula>
    </cfRule>
    <cfRule type="cellIs" dxfId="22793" priority="9479" stopIfTrue="1" operator="equal">
      <formula>"Napkin Hs"</formula>
    </cfRule>
  </conditionalFormatting>
  <conditionalFormatting sqref="B52">
    <cfRule type="cellIs" dxfId="22792" priority="9476" stopIfTrue="1" operator="equal">
      <formula>"Towel"</formula>
    </cfRule>
    <cfRule type="cellIs" dxfId="22791" priority="9477" stopIfTrue="1" operator="equal">
      <formula>"Napkin Hs"</formula>
    </cfRule>
  </conditionalFormatting>
  <conditionalFormatting sqref="B52:C52">
    <cfRule type="cellIs" dxfId="22790" priority="9474" stopIfTrue="1" operator="equal">
      <formula>"Towel"</formula>
    </cfRule>
    <cfRule type="cellIs" dxfId="22789" priority="9475" stopIfTrue="1" operator="equal">
      <formula>"Napkin Hs"</formula>
    </cfRule>
  </conditionalFormatting>
  <conditionalFormatting sqref="C52">
    <cfRule type="cellIs" dxfId="22788" priority="9466" stopIfTrue="1" operator="equal">
      <formula>"Towel"</formula>
    </cfRule>
    <cfRule type="cellIs" dxfId="22787" priority="9467" stopIfTrue="1" operator="equal">
      <formula>"Napkin Hs"</formula>
    </cfRule>
  </conditionalFormatting>
  <conditionalFormatting sqref="C52">
    <cfRule type="cellIs" dxfId="22786" priority="9470" stopIfTrue="1" operator="equal">
      <formula>"Towel"</formula>
    </cfRule>
    <cfRule type="cellIs" dxfId="22785" priority="9471" stopIfTrue="1" operator="equal">
      <formula>"Napkin Hs"</formula>
    </cfRule>
  </conditionalFormatting>
  <conditionalFormatting sqref="C52">
    <cfRule type="cellIs" dxfId="22784" priority="9473" stopIfTrue="1" operator="equal">
      <formula>"Napkin Hs"</formula>
    </cfRule>
  </conditionalFormatting>
  <conditionalFormatting sqref="C52">
    <cfRule type="cellIs" dxfId="22783" priority="9468" stopIfTrue="1" operator="equal">
      <formula>"Towel"</formula>
    </cfRule>
    <cfRule type="cellIs" dxfId="22782" priority="9469" stopIfTrue="1" operator="equal">
      <formula>"Napkin Hs"</formula>
    </cfRule>
  </conditionalFormatting>
  <conditionalFormatting sqref="C52">
    <cfRule type="cellIs" dxfId="22781" priority="9472" stopIfTrue="1" operator="equal">
      <formula>"Towel"</formula>
    </cfRule>
  </conditionalFormatting>
  <conditionalFormatting sqref="C52">
    <cfRule type="cellIs" dxfId="22780" priority="9464" stopIfTrue="1" operator="equal">
      <formula>"Towel"</formula>
    </cfRule>
    <cfRule type="cellIs" dxfId="22779" priority="9465" stopIfTrue="1" operator="equal">
      <formula>"Napkin Hs"</formula>
    </cfRule>
  </conditionalFormatting>
  <conditionalFormatting sqref="B52">
    <cfRule type="cellIs" dxfId="22778" priority="9462" stopIfTrue="1" operator="equal">
      <formula>"Towel"</formula>
    </cfRule>
    <cfRule type="cellIs" dxfId="22777" priority="9463" stopIfTrue="1" operator="equal">
      <formula>"Napkin Hs"</formula>
    </cfRule>
  </conditionalFormatting>
  <conditionalFormatting sqref="B52:C52">
    <cfRule type="cellIs" dxfId="22776" priority="9438" stopIfTrue="1" operator="equal">
      <formula>"Towel"</formula>
    </cfRule>
  </conditionalFormatting>
  <conditionalFormatting sqref="B52:C52">
    <cfRule type="cellIs" dxfId="22775" priority="9439" stopIfTrue="1" operator="equal">
      <formula>"Napkin Hs"</formula>
    </cfRule>
    <cfRule type="cellIs" dxfId="22774" priority="9444" stopIfTrue="1" operator="equal">
      <formula>"Towel"</formula>
    </cfRule>
    <cfRule type="cellIs" dxfId="22773" priority="9445" stopIfTrue="1" operator="equal">
      <formula>"Napkin Hs"</formula>
    </cfRule>
    <cfRule type="cellIs" dxfId="22772" priority="9454" stopIfTrue="1" operator="equal">
      <formula>"Towel"</formula>
    </cfRule>
    <cfRule type="cellIs" dxfId="22771" priority="9455" stopIfTrue="1" operator="equal">
      <formula>"Napkin Hs"</formula>
    </cfRule>
    <cfRule type="cellIs" dxfId="22770" priority="9460" stopIfTrue="1" operator="equal">
      <formula>"Towel"</formula>
    </cfRule>
    <cfRule type="cellIs" dxfId="22769" priority="9461" stopIfTrue="1" operator="equal">
      <formula>"Napkin Hs"</formula>
    </cfRule>
  </conditionalFormatting>
  <conditionalFormatting sqref="C52">
    <cfRule type="cellIs" dxfId="22768" priority="9440" stopIfTrue="1" operator="equal">
      <formula>"Towel"</formula>
    </cfRule>
    <cfRule type="cellIs" dxfId="22767" priority="9441" stopIfTrue="1" operator="equal">
      <formula>"Napkin Hs"</formula>
    </cfRule>
    <cfRule type="cellIs" dxfId="22766" priority="9442" stopIfTrue="1" operator="equal">
      <formula>"Towel"</formula>
    </cfRule>
    <cfRule type="cellIs" dxfId="22765" priority="9443" stopIfTrue="1" operator="equal">
      <formula>"Napkin Hs"</formula>
    </cfRule>
    <cfRule type="cellIs" dxfId="22764" priority="9446" stopIfTrue="1" operator="equal">
      <formula>"Towel"</formula>
    </cfRule>
    <cfRule type="cellIs" dxfId="22763" priority="9447" stopIfTrue="1" operator="equal">
      <formula>"Napkin Hs"</formula>
    </cfRule>
    <cfRule type="cellIs" dxfId="22762" priority="9448" stopIfTrue="1" operator="equal">
      <formula>"Towel"</formula>
    </cfRule>
    <cfRule type="cellIs" dxfId="22761" priority="9449" stopIfTrue="1" operator="equal">
      <formula>"Napkin Hs"</formula>
    </cfRule>
    <cfRule type="cellIs" dxfId="22760" priority="9450" stopIfTrue="1" operator="equal">
      <formula>"Towel"</formula>
    </cfRule>
    <cfRule type="cellIs" dxfId="22759" priority="9451" stopIfTrue="1" operator="equal">
      <formula>"Napkin Hs"</formula>
    </cfRule>
    <cfRule type="cellIs" dxfId="22758" priority="9452" stopIfTrue="1" operator="equal">
      <formula>"Towel"</formula>
    </cfRule>
    <cfRule type="cellIs" dxfId="22757" priority="9453" stopIfTrue="1" operator="equal">
      <formula>"Napkin Hs"</formula>
    </cfRule>
    <cfRule type="cellIs" dxfId="22756" priority="9456" stopIfTrue="1" operator="equal">
      <formula>"Towel"</formula>
    </cfRule>
    <cfRule type="cellIs" dxfId="22755" priority="9457" stopIfTrue="1" operator="equal">
      <formula>"Napkin Hs"</formula>
    </cfRule>
    <cfRule type="cellIs" dxfId="22754" priority="9459" stopIfTrue="1" operator="equal">
      <formula>"Napkin Hs"</formula>
    </cfRule>
  </conditionalFormatting>
  <conditionalFormatting sqref="C52">
    <cfRule type="cellIs" dxfId="22753" priority="9458" stopIfTrue="1" operator="equal">
      <formula>"Towel"</formula>
    </cfRule>
  </conditionalFormatting>
  <conditionalFormatting sqref="B52:C52">
    <cfRule type="cellIs" dxfId="22752" priority="9436" stopIfTrue="1" operator="equal">
      <formula>"Towel"</formula>
    </cfRule>
    <cfRule type="cellIs" dxfId="22751" priority="9437" stopIfTrue="1" operator="equal">
      <formula>"Napkin Hs"</formula>
    </cfRule>
  </conditionalFormatting>
  <conditionalFormatting sqref="C52">
    <cfRule type="cellIs" dxfId="22750" priority="9435" stopIfTrue="1" operator="equal">
      <formula>"Napkin Hs"</formula>
    </cfRule>
  </conditionalFormatting>
  <conditionalFormatting sqref="C52">
    <cfRule type="cellIs" dxfId="22749" priority="9434" stopIfTrue="1" operator="equal">
      <formula>"Towel"</formula>
    </cfRule>
  </conditionalFormatting>
  <conditionalFormatting sqref="C52">
    <cfRule type="cellIs" dxfId="22748" priority="9432" stopIfTrue="1" operator="equal">
      <formula>"Towel"</formula>
    </cfRule>
  </conditionalFormatting>
  <conditionalFormatting sqref="C52">
    <cfRule type="cellIs" dxfId="22747" priority="9433" stopIfTrue="1" operator="equal">
      <formula>"Napkin Hs"</formula>
    </cfRule>
  </conditionalFormatting>
  <conditionalFormatting sqref="B52">
    <cfRule type="cellIs" dxfId="22746" priority="9336" stopIfTrue="1" operator="equal">
      <formula>"Napkin Hs"</formula>
    </cfRule>
  </conditionalFormatting>
  <conditionalFormatting sqref="B52:C52">
    <cfRule type="cellIs" dxfId="22745" priority="9335" stopIfTrue="1" operator="equal">
      <formula>"Towel"</formula>
    </cfRule>
  </conditionalFormatting>
  <conditionalFormatting sqref="B52:C52">
    <cfRule type="cellIs" dxfId="22744" priority="9346" stopIfTrue="1" operator="equal">
      <formula>"Towel"</formula>
    </cfRule>
    <cfRule type="cellIs" dxfId="22743" priority="9347" stopIfTrue="1" operator="equal">
      <formula>"Napkin Hs"</formula>
    </cfRule>
    <cfRule type="cellIs" dxfId="22742" priority="9352" stopIfTrue="1" operator="equal">
      <formula>"Towel"</formula>
    </cfRule>
    <cfRule type="cellIs" dxfId="22741" priority="9353" stopIfTrue="1" operator="equal">
      <formula>"Napkin Hs"</formula>
    </cfRule>
    <cfRule type="cellIs" dxfId="22740" priority="9358" stopIfTrue="1" operator="equal">
      <formula>"Towel"</formula>
    </cfRule>
    <cfRule type="cellIs" dxfId="22739" priority="9359" stopIfTrue="1" operator="equal">
      <formula>"Napkin Hs"</formula>
    </cfRule>
    <cfRule type="cellIs" dxfId="22738" priority="9360" stopIfTrue="1" operator="equal">
      <formula>"Towel"</formula>
    </cfRule>
    <cfRule type="cellIs" dxfId="22737" priority="9361" stopIfTrue="1" operator="equal">
      <formula>"Napkin Hs"</formula>
    </cfRule>
    <cfRule type="cellIs" dxfId="22736" priority="9366" stopIfTrue="1" operator="equal">
      <formula>"Towel"</formula>
    </cfRule>
    <cfRule type="cellIs" dxfId="22735" priority="9367" stopIfTrue="1" operator="equal">
      <formula>"Napkin Hs"</formula>
    </cfRule>
    <cfRule type="cellIs" dxfId="22734" priority="9376" stopIfTrue="1" operator="equal">
      <formula>"Towel"</formula>
    </cfRule>
    <cfRule type="cellIs" dxfId="22733" priority="9377" stopIfTrue="1" operator="equal">
      <formula>"Napkin Hs"</formula>
    </cfRule>
    <cfRule type="cellIs" dxfId="22732" priority="9382" stopIfTrue="1" operator="equal">
      <formula>"Towel"</formula>
    </cfRule>
    <cfRule type="cellIs" dxfId="22731" priority="9383" stopIfTrue="1" operator="equal">
      <formula>"Napkin Hs"</formula>
    </cfRule>
    <cfRule type="cellIs" dxfId="22730" priority="9384" stopIfTrue="1" operator="equal">
      <formula>"Towel"</formula>
    </cfRule>
    <cfRule type="cellIs" dxfId="22729" priority="9385" stopIfTrue="1" operator="equal">
      <formula>"Napkin Hs"</formula>
    </cfRule>
    <cfRule type="cellIs" dxfId="22728" priority="9390" stopIfTrue="1" operator="equal">
      <formula>"Towel"</formula>
    </cfRule>
    <cfRule type="cellIs" dxfId="22727" priority="9391" stopIfTrue="1" operator="equal">
      <formula>"Napkin Hs"</formula>
    </cfRule>
    <cfRule type="cellIs" dxfId="22726" priority="9400" stopIfTrue="1" operator="equal">
      <formula>"Towel"</formula>
    </cfRule>
    <cfRule type="cellIs" dxfId="22725" priority="9401" stopIfTrue="1" operator="equal">
      <formula>"Napkin Hs"</formula>
    </cfRule>
    <cfRule type="cellIs" dxfId="22724" priority="9402" stopIfTrue="1" operator="equal">
      <formula>"Towel"</formula>
    </cfRule>
    <cfRule type="cellIs" dxfId="22723" priority="9403" stopIfTrue="1" operator="equal">
      <formula>"Napkin Hs"</formula>
    </cfRule>
    <cfRule type="cellIs" dxfId="22722" priority="9408" stopIfTrue="1" operator="equal">
      <formula>"Towel"</formula>
    </cfRule>
    <cfRule type="cellIs" dxfId="22721" priority="9409" stopIfTrue="1" operator="equal">
      <formula>"Napkin Hs"</formula>
    </cfRule>
    <cfRule type="cellIs" dxfId="22720" priority="9418" stopIfTrue="1" operator="equal">
      <formula>"Towel"</formula>
    </cfRule>
    <cfRule type="cellIs" dxfId="22719" priority="9419" stopIfTrue="1" operator="equal">
      <formula>"Napkin Hs"</formula>
    </cfRule>
    <cfRule type="cellIs" dxfId="22718" priority="9420" stopIfTrue="1" operator="equal">
      <formula>"Towel"</formula>
    </cfRule>
    <cfRule type="cellIs" dxfId="22717" priority="9421" stopIfTrue="1" operator="equal">
      <formula>"Napkin Hs"</formula>
    </cfRule>
    <cfRule type="cellIs" dxfId="22716" priority="9427" stopIfTrue="1" operator="equal">
      <formula>"Napkin Hs"</formula>
    </cfRule>
  </conditionalFormatting>
  <conditionalFormatting sqref="B52:C52">
    <cfRule type="cellIs" dxfId="22715" priority="9426" stopIfTrue="1" operator="equal">
      <formula>"Towel"</formula>
    </cfRule>
  </conditionalFormatting>
  <conditionalFormatting sqref="C52">
    <cfRule type="cellIs" dxfId="22714" priority="9337" stopIfTrue="1" operator="equal">
      <formula>"Napkin Hs"</formula>
    </cfRule>
    <cfRule type="cellIs" dxfId="22713" priority="9338" stopIfTrue="1" operator="equal">
      <formula>"Towel"</formula>
    </cfRule>
    <cfRule type="cellIs" dxfId="22712" priority="9339" stopIfTrue="1" operator="equal">
      <formula>"Napkin Hs"</formula>
    </cfRule>
    <cfRule type="cellIs" dxfId="22711" priority="9340" stopIfTrue="1" operator="equal">
      <formula>"Towel"</formula>
    </cfRule>
    <cfRule type="cellIs" dxfId="22710" priority="9341" stopIfTrue="1" operator="equal">
      <formula>"Napkin Hs"</formula>
    </cfRule>
    <cfRule type="cellIs" dxfId="22709" priority="9342" stopIfTrue="1" operator="equal">
      <formula>"Towel"</formula>
    </cfRule>
    <cfRule type="cellIs" dxfId="22708" priority="9343" stopIfTrue="1" operator="equal">
      <formula>"Napkin Hs"</formula>
    </cfRule>
    <cfRule type="cellIs" dxfId="22707" priority="9344" stopIfTrue="1" operator="equal">
      <formula>"Towel"</formula>
    </cfRule>
    <cfRule type="cellIs" dxfId="22706" priority="9345" stopIfTrue="1" operator="equal">
      <formula>"Napkin Hs"</formula>
    </cfRule>
    <cfRule type="cellIs" dxfId="22705" priority="9348" stopIfTrue="1" operator="equal">
      <formula>"Towel"</formula>
    </cfRule>
    <cfRule type="cellIs" dxfId="22704" priority="9349" stopIfTrue="1" operator="equal">
      <formula>"Napkin Hs"</formula>
    </cfRule>
    <cfRule type="cellIs" dxfId="22703" priority="9350" stopIfTrue="1" operator="equal">
      <formula>"Towel"</formula>
    </cfRule>
    <cfRule type="cellIs" dxfId="22702" priority="9351" stopIfTrue="1" operator="equal">
      <formula>"Napkin Hs"</formula>
    </cfRule>
    <cfRule type="cellIs" dxfId="22701" priority="9354" stopIfTrue="1" operator="equal">
      <formula>"Towel"</formula>
    </cfRule>
    <cfRule type="cellIs" dxfId="22700" priority="9355" stopIfTrue="1" operator="equal">
      <formula>"Napkin Hs"</formula>
    </cfRule>
    <cfRule type="cellIs" dxfId="22699" priority="9356" stopIfTrue="1" operator="equal">
      <formula>"Towel"</formula>
    </cfRule>
    <cfRule type="cellIs" dxfId="22698" priority="9357" stopIfTrue="1" operator="equal">
      <formula>"Napkin Hs"</formula>
    </cfRule>
    <cfRule type="cellIs" dxfId="22697" priority="9362" stopIfTrue="1" operator="equal">
      <formula>"Towel"</formula>
    </cfRule>
    <cfRule type="cellIs" dxfId="22696" priority="9363" stopIfTrue="1" operator="equal">
      <formula>"Napkin Hs"</formula>
    </cfRule>
    <cfRule type="cellIs" dxfId="22695" priority="9364" stopIfTrue="1" operator="equal">
      <formula>"Towel"</formula>
    </cfRule>
    <cfRule type="cellIs" dxfId="22694" priority="9365" stopIfTrue="1" operator="equal">
      <formula>"Napkin Hs"</formula>
    </cfRule>
    <cfRule type="cellIs" dxfId="22693" priority="9368" stopIfTrue="1" operator="equal">
      <formula>"Towel"</formula>
    </cfRule>
    <cfRule type="cellIs" dxfId="22692" priority="9369" stopIfTrue="1" operator="equal">
      <formula>"Napkin Hs"</formula>
    </cfRule>
    <cfRule type="cellIs" dxfId="22691" priority="9370" stopIfTrue="1" operator="equal">
      <formula>"Towel"</formula>
    </cfRule>
    <cfRule type="cellIs" dxfId="22690" priority="9371" stopIfTrue="1" operator="equal">
      <formula>"Napkin Hs"</formula>
    </cfRule>
    <cfRule type="cellIs" dxfId="22689" priority="9372" stopIfTrue="1" operator="equal">
      <formula>"Towel"</formula>
    </cfRule>
    <cfRule type="cellIs" dxfId="22688" priority="9373" stopIfTrue="1" operator="equal">
      <formula>"Napkin Hs"</formula>
    </cfRule>
    <cfRule type="cellIs" dxfId="22687" priority="9374" stopIfTrue="1" operator="equal">
      <formula>"Towel"</formula>
    </cfRule>
    <cfRule type="cellIs" dxfId="22686" priority="9375" stopIfTrue="1" operator="equal">
      <formula>"Napkin Hs"</formula>
    </cfRule>
    <cfRule type="cellIs" dxfId="22685" priority="9378" stopIfTrue="1" operator="equal">
      <formula>"Towel"</formula>
    </cfRule>
    <cfRule type="cellIs" dxfId="22684" priority="9379" stopIfTrue="1" operator="equal">
      <formula>"Napkin Hs"</formula>
    </cfRule>
    <cfRule type="cellIs" dxfId="22683" priority="9380" stopIfTrue="1" operator="equal">
      <formula>"Towel"</formula>
    </cfRule>
    <cfRule type="cellIs" dxfId="22682" priority="9381" stopIfTrue="1" operator="equal">
      <formula>"Napkin Hs"</formula>
    </cfRule>
    <cfRule type="cellIs" dxfId="22681" priority="9386" stopIfTrue="1" operator="equal">
      <formula>"Towel"</formula>
    </cfRule>
    <cfRule type="cellIs" dxfId="22680" priority="9387" stopIfTrue="1" operator="equal">
      <formula>"Napkin Hs"</formula>
    </cfRule>
    <cfRule type="cellIs" dxfId="22679" priority="9388" stopIfTrue="1" operator="equal">
      <formula>"Towel"</formula>
    </cfRule>
    <cfRule type="cellIs" dxfId="22678" priority="9389" stopIfTrue="1" operator="equal">
      <formula>"Napkin Hs"</formula>
    </cfRule>
    <cfRule type="cellIs" dxfId="22677" priority="9392" stopIfTrue="1" operator="equal">
      <formula>"Towel"</formula>
    </cfRule>
    <cfRule type="cellIs" dxfId="22676" priority="9393" stopIfTrue="1" operator="equal">
      <formula>"Napkin Hs"</formula>
    </cfRule>
    <cfRule type="cellIs" dxfId="22675" priority="9394" stopIfTrue="1" operator="equal">
      <formula>"Towel"</formula>
    </cfRule>
    <cfRule type="cellIs" dxfId="22674" priority="9395" stopIfTrue="1" operator="equal">
      <formula>"Napkin Hs"</formula>
    </cfRule>
    <cfRule type="cellIs" dxfId="22673" priority="9396" stopIfTrue="1" operator="equal">
      <formula>"Towel"</formula>
    </cfRule>
    <cfRule type="cellIs" dxfId="22672" priority="9397" stopIfTrue="1" operator="equal">
      <formula>"Napkin Hs"</formula>
    </cfRule>
    <cfRule type="cellIs" dxfId="22671" priority="9398" stopIfTrue="1" operator="equal">
      <formula>"Towel"</formula>
    </cfRule>
    <cfRule type="cellIs" dxfId="22670" priority="9399" stopIfTrue="1" operator="equal">
      <formula>"Napkin Hs"</formula>
    </cfRule>
    <cfRule type="cellIs" dxfId="22669" priority="9404" stopIfTrue="1" operator="equal">
      <formula>"Towel"</formula>
    </cfRule>
    <cfRule type="cellIs" dxfId="22668" priority="9405" stopIfTrue="1" operator="equal">
      <formula>"Napkin Hs"</formula>
    </cfRule>
    <cfRule type="cellIs" dxfId="22667" priority="9406" stopIfTrue="1" operator="equal">
      <formula>"Towel"</formula>
    </cfRule>
    <cfRule type="cellIs" dxfId="22666" priority="9407" stopIfTrue="1" operator="equal">
      <formula>"Napkin Hs"</formula>
    </cfRule>
    <cfRule type="cellIs" dxfId="22665" priority="9410" stopIfTrue="1" operator="equal">
      <formula>"Towel"</formula>
    </cfRule>
    <cfRule type="cellIs" dxfId="22664" priority="9411" stopIfTrue="1" operator="equal">
      <formula>"Napkin Hs"</formula>
    </cfRule>
    <cfRule type="cellIs" dxfId="22663" priority="9412" stopIfTrue="1" operator="equal">
      <formula>"Towel"</formula>
    </cfRule>
    <cfRule type="cellIs" dxfId="22662" priority="9413" stopIfTrue="1" operator="equal">
      <formula>"Napkin Hs"</formula>
    </cfRule>
    <cfRule type="cellIs" dxfId="22661" priority="9414" stopIfTrue="1" operator="equal">
      <formula>"Towel"</formula>
    </cfRule>
    <cfRule type="cellIs" dxfId="22660" priority="9415" stopIfTrue="1" operator="equal">
      <formula>"Napkin Hs"</formula>
    </cfRule>
    <cfRule type="cellIs" dxfId="22659" priority="9416" stopIfTrue="1" operator="equal">
      <formula>"Towel"</formula>
    </cfRule>
    <cfRule type="cellIs" dxfId="22658" priority="9417" stopIfTrue="1" operator="equal">
      <formula>"Napkin Hs"</formula>
    </cfRule>
    <cfRule type="cellIs" dxfId="22657" priority="9422" stopIfTrue="1" operator="equal">
      <formula>"Towel"</formula>
    </cfRule>
    <cfRule type="cellIs" dxfId="22656" priority="9423" stopIfTrue="1" operator="equal">
      <formula>"Napkin Hs"</formula>
    </cfRule>
    <cfRule type="cellIs" dxfId="22655" priority="9424" stopIfTrue="1" operator="equal">
      <formula>"Towel"</formula>
    </cfRule>
    <cfRule type="cellIs" dxfId="22654" priority="9425" stopIfTrue="1" operator="equal">
      <formula>"Napkin Hs"</formula>
    </cfRule>
    <cfRule type="cellIs" dxfId="22653" priority="9428" stopIfTrue="1" operator="equal">
      <formula>"Towel"</formula>
    </cfRule>
    <cfRule type="cellIs" dxfId="22652" priority="9429" stopIfTrue="1" operator="equal">
      <formula>"Napkin Hs"</formula>
    </cfRule>
    <cfRule type="cellIs" dxfId="22651" priority="9430" stopIfTrue="1" operator="equal">
      <formula>"Towel"</formula>
    </cfRule>
    <cfRule type="cellIs" dxfId="22650" priority="9431" stopIfTrue="1" operator="equal">
      <formula>"Napkin Hs"</formula>
    </cfRule>
  </conditionalFormatting>
  <conditionalFormatting sqref="B52:C52">
    <cfRule type="cellIs" dxfId="22649" priority="9333" stopIfTrue="1" operator="equal">
      <formula>"Towel"</formula>
    </cfRule>
    <cfRule type="cellIs" dxfId="22648" priority="9334" stopIfTrue="1" operator="equal">
      <formula>"Napkin Hs"</formula>
    </cfRule>
  </conditionalFormatting>
  <conditionalFormatting sqref="C52">
    <cfRule type="cellIs" dxfId="22647" priority="9329" stopIfTrue="1" operator="equal">
      <formula>"Towel"</formula>
    </cfRule>
    <cfRule type="cellIs" dxfId="22646" priority="9330" stopIfTrue="1" operator="equal">
      <formula>"Napkin Hs"</formula>
    </cfRule>
  </conditionalFormatting>
  <conditionalFormatting sqref="C52">
    <cfRule type="cellIs" dxfId="22645" priority="9332" stopIfTrue="1" operator="equal">
      <formula>"Napkin Hs"</formula>
    </cfRule>
  </conditionalFormatting>
  <conditionalFormatting sqref="C52">
    <cfRule type="cellIs" dxfId="22644" priority="9331" stopIfTrue="1" operator="equal">
      <formula>"Towel"</formula>
    </cfRule>
  </conditionalFormatting>
  <conditionalFormatting sqref="B50:C50">
    <cfRule type="cellIs" dxfId="22643" priority="9327" stopIfTrue="1" operator="equal">
      <formula>"Towel"</formula>
    </cfRule>
    <cfRule type="cellIs" dxfId="22642" priority="9328" stopIfTrue="1" operator="equal">
      <formula>"Napkin Hs"</formula>
    </cfRule>
  </conditionalFormatting>
  <conditionalFormatting sqref="C50">
    <cfRule type="cellIs" dxfId="22641" priority="9326" stopIfTrue="1" operator="equal">
      <formula>"Napkin Hs"</formula>
    </cfRule>
  </conditionalFormatting>
  <conditionalFormatting sqref="C50">
    <cfRule type="cellIs" dxfId="22640" priority="9325" stopIfTrue="1" operator="equal">
      <formula>"Towel"</formula>
    </cfRule>
  </conditionalFormatting>
  <conditionalFormatting sqref="C50">
    <cfRule type="cellIs" dxfId="22639" priority="9323" stopIfTrue="1" operator="equal">
      <formula>"Towel"</formula>
    </cfRule>
    <cfRule type="cellIs" dxfId="22638" priority="9324" stopIfTrue="1" operator="equal">
      <formula>"Napkin Hs"</formula>
    </cfRule>
  </conditionalFormatting>
  <conditionalFormatting sqref="C50">
    <cfRule type="cellIs" dxfId="22637" priority="9315" stopIfTrue="1" operator="equal">
      <formula>"Towel"</formula>
    </cfRule>
    <cfRule type="cellIs" dxfId="22636" priority="9316" stopIfTrue="1" operator="equal">
      <formula>"Napkin Hs"</formula>
    </cfRule>
  </conditionalFormatting>
  <conditionalFormatting sqref="B50:C50">
    <cfRule type="cellIs" dxfId="22635" priority="9317" stopIfTrue="1" operator="equal">
      <formula>"Towel"</formula>
    </cfRule>
    <cfRule type="cellIs" dxfId="22634" priority="9318" stopIfTrue="1" operator="equal">
      <formula>"Napkin Hs"</formula>
    </cfRule>
  </conditionalFormatting>
  <conditionalFormatting sqref="C50">
    <cfRule type="cellIs" dxfId="22633" priority="9313" stopIfTrue="1" operator="equal">
      <formula>"Towel"</formula>
    </cfRule>
    <cfRule type="cellIs" dxfId="22632" priority="9314" stopIfTrue="1" operator="equal">
      <formula>"Napkin Hs"</formula>
    </cfRule>
  </conditionalFormatting>
  <conditionalFormatting sqref="B50:C50">
    <cfRule type="cellIs" dxfId="22631" priority="9311" stopIfTrue="1" operator="equal">
      <formula>"Towel"</formula>
    </cfRule>
    <cfRule type="cellIs" dxfId="22630" priority="9312" stopIfTrue="1" operator="equal">
      <formula>"Napkin Hs"</formula>
    </cfRule>
  </conditionalFormatting>
  <conditionalFormatting sqref="C50">
    <cfRule type="cellIs" dxfId="22629" priority="9319" stopIfTrue="1" operator="equal">
      <formula>"Towel"</formula>
    </cfRule>
    <cfRule type="cellIs" dxfId="22628" priority="9320" stopIfTrue="1" operator="equal">
      <formula>"Napkin Hs"</formula>
    </cfRule>
  </conditionalFormatting>
  <conditionalFormatting sqref="C50">
    <cfRule type="cellIs" dxfId="22627" priority="9321" stopIfTrue="1" operator="equal">
      <formula>"Towel"</formula>
    </cfRule>
    <cfRule type="cellIs" dxfId="22626" priority="9322" stopIfTrue="1" operator="equal">
      <formula>"Napkin Hs"</formula>
    </cfRule>
  </conditionalFormatting>
  <conditionalFormatting sqref="B50:C50">
    <cfRule type="cellIs" dxfId="22625" priority="9309" stopIfTrue="1" operator="equal">
      <formula>"Towel"</formula>
    </cfRule>
    <cfRule type="cellIs" dxfId="22624" priority="9310" stopIfTrue="1" operator="equal">
      <formula>"Napkin Hs"</formula>
    </cfRule>
  </conditionalFormatting>
  <conditionalFormatting sqref="C50">
    <cfRule type="cellIs" dxfId="22623" priority="9305" stopIfTrue="1" operator="equal">
      <formula>"Towel"</formula>
    </cfRule>
    <cfRule type="cellIs" dxfId="22622" priority="9306" stopIfTrue="1" operator="equal">
      <formula>"Napkin Hs"</formula>
    </cfRule>
  </conditionalFormatting>
  <conditionalFormatting sqref="C50">
    <cfRule type="cellIs" dxfId="22621" priority="9307" stopIfTrue="1" operator="equal">
      <formula>"Towel"</formula>
    </cfRule>
    <cfRule type="cellIs" dxfId="22620" priority="9308" stopIfTrue="1" operator="equal">
      <formula>"Napkin Hs"</formula>
    </cfRule>
  </conditionalFormatting>
  <conditionalFormatting sqref="B50:C50">
    <cfRule type="cellIs" dxfId="22619" priority="9303" stopIfTrue="1" operator="equal">
      <formula>"Towel"</formula>
    </cfRule>
    <cfRule type="cellIs" dxfId="22618" priority="9304" stopIfTrue="1" operator="equal">
      <formula>"Napkin Hs"</formula>
    </cfRule>
  </conditionalFormatting>
  <conditionalFormatting sqref="C50">
    <cfRule type="cellIs" dxfId="22617" priority="9299" stopIfTrue="1" operator="equal">
      <formula>"Towel"</formula>
    </cfRule>
    <cfRule type="cellIs" dxfId="22616" priority="9300" stopIfTrue="1" operator="equal">
      <formula>"Napkin Hs"</formula>
    </cfRule>
  </conditionalFormatting>
  <conditionalFormatting sqref="C50">
    <cfRule type="cellIs" dxfId="22615" priority="9301" stopIfTrue="1" operator="equal">
      <formula>"Towel"</formula>
    </cfRule>
    <cfRule type="cellIs" dxfId="22614" priority="9302" stopIfTrue="1" operator="equal">
      <formula>"Napkin Hs"</formula>
    </cfRule>
  </conditionalFormatting>
  <conditionalFormatting sqref="C50">
    <cfRule type="cellIs" dxfId="22613" priority="9295" stopIfTrue="1" operator="equal">
      <formula>"Towel"</formula>
    </cfRule>
    <cfRule type="cellIs" dxfId="22612" priority="9296" stopIfTrue="1" operator="equal">
      <formula>"Napkin Hs"</formula>
    </cfRule>
  </conditionalFormatting>
  <conditionalFormatting sqref="C50">
    <cfRule type="cellIs" dxfId="22611" priority="9297" stopIfTrue="1" operator="equal">
      <formula>"Towel"</formula>
    </cfRule>
    <cfRule type="cellIs" dxfId="22610" priority="9298" stopIfTrue="1" operator="equal">
      <formula>"Napkin Hs"</formula>
    </cfRule>
  </conditionalFormatting>
  <conditionalFormatting sqref="C50">
    <cfRule type="cellIs" dxfId="22609" priority="9293" stopIfTrue="1" operator="equal">
      <formula>"Towel"</formula>
    </cfRule>
    <cfRule type="cellIs" dxfId="22608" priority="9294" stopIfTrue="1" operator="equal">
      <formula>"Napkin Hs"</formula>
    </cfRule>
  </conditionalFormatting>
  <conditionalFormatting sqref="B50">
    <cfRule type="cellIs" dxfId="22607" priority="9291" stopIfTrue="1" operator="equal">
      <formula>"Towel"</formula>
    </cfRule>
    <cfRule type="cellIs" dxfId="22606" priority="9292" stopIfTrue="1" operator="equal">
      <formula>"Napkin Hs"</formula>
    </cfRule>
  </conditionalFormatting>
  <conditionalFormatting sqref="C50">
    <cfRule type="cellIs" dxfId="22605" priority="9283" stopIfTrue="1" operator="equal">
      <formula>"Towel"</formula>
    </cfRule>
    <cfRule type="cellIs" dxfId="22604" priority="9284" stopIfTrue="1" operator="equal">
      <formula>"Napkin Hs"</formula>
    </cfRule>
  </conditionalFormatting>
  <conditionalFormatting sqref="B50:C50">
    <cfRule type="cellIs" dxfId="22603" priority="9285" stopIfTrue="1" operator="equal">
      <formula>"Towel"</formula>
    </cfRule>
    <cfRule type="cellIs" dxfId="22602" priority="9286" stopIfTrue="1" operator="equal">
      <formula>"Napkin Hs"</formula>
    </cfRule>
  </conditionalFormatting>
  <conditionalFormatting sqref="C50">
    <cfRule type="cellIs" dxfId="22601" priority="9281" stopIfTrue="1" operator="equal">
      <formula>"Towel"</formula>
    </cfRule>
    <cfRule type="cellIs" dxfId="22600" priority="9282" stopIfTrue="1" operator="equal">
      <formula>"Napkin Hs"</formula>
    </cfRule>
  </conditionalFormatting>
  <conditionalFormatting sqref="B50:C50">
    <cfRule type="cellIs" dxfId="22599" priority="9279" stopIfTrue="1" operator="equal">
      <formula>"Towel"</formula>
    </cfRule>
    <cfRule type="cellIs" dxfId="22598" priority="9280" stopIfTrue="1" operator="equal">
      <formula>"Napkin Hs"</formula>
    </cfRule>
  </conditionalFormatting>
  <conditionalFormatting sqref="C50">
    <cfRule type="cellIs" dxfId="22597" priority="9287" stopIfTrue="1" operator="equal">
      <formula>"Towel"</formula>
    </cfRule>
    <cfRule type="cellIs" dxfId="22596" priority="9288" stopIfTrue="1" operator="equal">
      <formula>"Napkin Hs"</formula>
    </cfRule>
  </conditionalFormatting>
  <conditionalFormatting sqref="C50">
    <cfRule type="cellIs" dxfId="22595" priority="9289" stopIfTrue="1" operator="equal">
      <formula>"Towel"</formula>
    </cfRule>
    <cfRule type="cellIs" dxfId="22594" priority="9290" stopIfTrue="1" operator="equal">
      <formula>"Napkin Hs"</formula>
    </cfRule>
  </conditionalFormatting>
  <conditionalFormatting sqref="C50">
    <cfRule type="cellIs" dxfId="22593" priority="9271" stopIfTrue="1" operator="equal">
      <formula>"Towel"</formula>
    </cfRule>
    <cfRule type="cellIs" dxfId="22592" priority="9272" stopIfTrue="1" operator="equal">
      <formula>"Napkin Hs"</formula>
    </cfRule>
  </conditionalFormatting>
  <conditionalFormatting sqref="B50:C50">
    <cfRule type="cellIs" dxfId="22591" priority="9273" stopIfTrue="1" operator="equal">
      <formula>"Towel"</formula>
    </cfRule>
    <cfRule type="cellIs" dxfId="22590" priority="9274" stopIfTrue="1" operator="equal">
      <formula>"Napkin Hs"</formula>
    </cfRule>
  </conditionalFormatting>
  <conditionalFormatting sqref="C50">
    <cfRule type="cellIs" dxfId="22589" priority="9269" stopIfTrue="1" operator="equal">
      <formula>"Towel"</formula>
    </cfRule>
    <cfRule type="cellIs" dxfId="22588" priority="9270" stopIfTrue="1" operator="equal">
      <formula>"Napkin Hs"</formula>
    </cfRule>
  </conditionalFormatting>
  <conditionalFormatting sqref="B50:C50">
    <cfRule type="cellIs" dxfId="22587" priority="9267" stopIfTrue="1" operator="equal">
      <formula>"Towel"</formula>
    </cfRule>
    <cfRule type="cellIs" dxfId="22586" priority="9268" stopIfTrue="1" operator="equal">
      <formula>"Napkin Hs"</formula>
    </cfRule>
  </conditionalFormatting>
  <conditionalFormatting sqref="C50">
    <cfRule type="cellIs" dxfId="22585" priority="9275" stopIfTrue="1" operator="equal">
      <formula>"Towel"</formula>
    </cfRule>
    <cfRule type="cellIs" dxfId="22584" priority="9276" stopIfTrue="1" operator="equal">
      <formula>"Napkin Hs"</formula>
    </cfRule>
  </conditionalFormatting>
  <conditionalFormatting sqref="C50">
    <cfRule type="cellIs" dxfId="22583" priority="9277" stopIfTrue="1" operator="equal">
      <formula>"Towel"</formula>
    </cfRule>
    <cfRule type="cellIs" dxfId="22582" priority="9278" stopIfTrue="1" operator="equal">
      <formula>"Napkin Hs"</formula>
    </cfRule>
  </conditionalFormatting>
  <conditionalFormatting sqref="C50">
    <cfRule type="cellIs" dxfId="22581" priority="9259" stopIfTrue="1" operator="equal">
      <formula>"Towel"</formula>
    </cfRule>
    <cfRule type="cellIs" dxfId="22580" priority="9260" stopIfTrue="1" operator="equal">
      <formula>"Napkin Hs"</formula>
    </cfRule>
  </conditionalFormatting>
  <conditionalFormatting sqref="B50:C50">
    <cfRule type="cellIs" dxfId="22579" priority="9261" stopIfTrue="1" operator="equal">
      <formula>"Towel"</formula>
    </cfRule>
    <cfRule type="cellIs" dxfId="22578" priority="9262" stopIfTrue="1" operator="equal">
      <formula>"Napkin Hs"</formula>
    </cfRule>
  </conditionalFormatting>
  <conditionalFormatting sqref="C50">
    <cfRule type="cellIs" dxfId="22577" priority="9257" stopIfTrue="1" operator="equal">
      <formula>"Towel"</formula>
    </cfRule>
    <cfRule type="cellIs" dxfId="22576" priority="9258" stopIfTrue="1" operator="equal">
      <formula>"Napkin Hs"</formula>
    </cfRule>
  </conditionalFormatting>
  <conditionalFormatting sqref="B50:C50">
    <cfRule type="cellIs" dxfId="22575" priority="9255" stopIfTrue="1" operator="equal">
      <formula>"Towel"</formula>
    </cfRule>
    <cfRule type="cellIs" dxfId="22574" priority="9256" stopIfTrue="1" operator="equal">
      <formula>"Napkin Hs"</formula>
    </cfRule>
  </conditionalFormatting>
  <conditionalFormatting sqref="C50">
    <cfRule type="cellIs" dxfId="22573" priority="9263" stopIfTrue="1" operator="equal">
      <formula>"Towel"</formula>
    </cfRule>
    <cfRule type="cellIs" dxfId="22572" priority="9264" stopIfTrue="1" operator="equal">
      <formula>"Napkin Hs"</formula>
    </cfRule>
  </conditionalFormatting>
  <conditionalFormatting sqref="C50">
    <cfRule type="cellIs" dxfId="22571" priority="9265" stopIfTrue="1" operator="equal">
      <formula>"Towel"</formula>
    </cfRule>
    <cfRule type="cellIs" dxfId="22570" priority="9266" stopIfTrue="1" operator="equal">
      <formula>"Napkin Hs"</formula>
    </cfRule>
  </conditionalFormatting>
  <conditionalFormatting sqref="B50:C50">
    <cfRule type="cellIs" dxfId="22569" priority="9253" stopIfTrue="1" operator="equal">
      <formula>"Towel"</formula>
    </cfRule>
    <cfRule type="cellIs" dxfId="22568" priority="9254" stopIfTrue="1" operator="equal">
      <formula>"Napkin Hs"</formula>
    </cfRule>
  </conditionalFormatting>
  <conditionalFormatting sqref="C50">
    <cfRule type="cellIs" dxfId="22567" priority="9249" stopIfTrue="1" operator="equal">
      <formula>"Towel"</formula>
    </cfRule>
    <cfRule type="cellIs" dxfId="22566" priority="9250" stopIfTrue="1" operator="equal">
      <formula>"Napkin Hs"</formula>
    </cfRule>
  </conditionalFormatting>
  <conditionalFormatting sqref="C50">
    <cfRule type="cellIs" dxfId="22565" priority="9252" stopIfTrue="1" operator="equal">
      <formula>"Napkin Hs"</formula>
    </cfRule>
  </conditionalFormatting>
  <conditionalFormatting sqref="C50">
    <cfRule type="cellIs" dxfId="22564" priority="9251" stopIfTrue="1" operator="equal">
      <formula>"Towel"</formula>
    </cfRule>
  </conditionalFormatting>
  <conditionalFormatting sqref="B50:C50">
    <cfRule type="cellIs" dxfId="22563" priority="9247" stopIfTrue="1" operator="equal">
      <formula>"Towel"</formula>
    </cfRule>
    <cfRule type="cellIs" dxfId="22562" priority="9248" stopIfTrue="1" operator="equal">
      <formula>"Napkin Hs"</formula>
    </cfRule>
  </conditionalFormatting>
  <conditionalFormatting sqref="C50">
    <cfRule type="cellIs" dxfId="22561" priority="9243" stopIfTrue="1" operator="equal">
      <formula>"Towel"</formula>
    </cfRule>
    <cfRule type="cellIs" dxfId="22560" priority="9244" stopIfTrue="1" operator="equal">
      <formula>"Napkin Hs"</formula>
    </cfRule>
  </conditionalFormatting>
  <conditionalFormatting sqref="C50">
    <cfRule type="cellIs" dxfId="22559" priority="9246" stopIfTrue="1" operator="equal">
      <formula>"Napkin Hs"</formula>
    </cfRule>
  </conditionalFormatting>
  <conditionalFormatting sqref="C50">
    <cfRule type="cellIs" dxfId="22558" priority="9245" stopIfTrue="1" operator="equal">
      <formula>"Towel"</formula>
    </cfRule>
  </conditionalFormatting>
  <conditionalFormatting sqref="C50">
    <cfRule type="cellIs" dxfId="22557" priority="9235" stopIfTrue="1" operator="equal">
      <formula>"Towel"</formula>
    </cfRule>
    <cfRule type="cellIs" dxfId="22556" priority="9236" stopIfTrue="1" operator="equal">
      <formula>"Napkin Hs"</formula>
    </cfRule>
  </conditionalFormatting>
  <conditionalFormatting sqref="B50:C50">
    <cfRule type="cellIs" dxfId="22555" priority="9237" stopIfTrue="1" operator="equal">
      <formula>"Towel"</formula>
    </cfRule>
    <cfRule type="cellIs" dxfId="22554" priority="9238" stopIfTrue="1" operator="equal">
      <formula>"Napkin Hs"</formula>
    </cfRule>
  </conditionalFormatting>
  <conditionalFormatting sqref="C50">
    <cfRule type="cellIs" dxfId="22553" priority="9233" stopIfTrue="1" operator="equal">
      <formula>"Towel"</formula>
    </cfRule>
    <cfRule type="cellIs" dxfId="22552" priority="9234" stopIfTrue="1" operator="equal">
      <formula>"Napkin Hs"</formula>
    </cfRule>
  </conditionalFormatting>
  <conditionalFormatting sqref="B50:C50">
    <cfRule type="cellIs" dxfId="22551" priority="9231" stopIfTrue="1" operator="equal">
      <formula>"Towel"</formula>
    </cfRule>
    <cfRule type="cellIs" dxfId="22550" priority="9232" stopIfTrue="1" operator="equal">
      <formula>"Napkin Hs"</formula>
    </cfRule>
  </conditionalFormatting>
  <conditionalFormatting sqref="C50">
    <cfRule type="cellIs" dxfId="22549" priority="9239" stopIfTrue="1" operator="equal">
      <formula>"Towel"</formula>
    </cfRule>
    <cfRule type="cellIs" dxfId="22548" priority="9240" stopIfTrue="1" operator="equal">
      <formula>"Napkin Hs"</formula>
    </cfRule>
  </conditionalFormatting>
  <conditionalFormatting sqref="C50">
    <cfRule type="cellIs" dxfId="22547" priority="9241" stopIfTrue="1" operator="equal">
      <formula>"Towel"</formula>
    </cfRule>
    <cfRule type="cellIs" dxfId="22546" priority="9242" stopIfTrue="1" operator="equal">
      <formula>"Napkin Hs"</formula>
    </cfRule>
  </conditionalFormatting>
  <conditionalFormatting sqref="B50:C50">
    <cfRule type="cellIs" dxfId="22545" priority="9229" stopIfTrue="1" operator="equal">
      <formula>"Towel"</formula>
    </cfRule>
    <cfRule type="cellIs" dxfId="22544" priority="9230" stopIfTrue="1" operator="equal">
      <formula>"Napkin Hs"</formula>
    </cfRule>
  </conditionalFormatting>
  <conditionalFormatting sqref="C50">
    <cfRule type="cellIs" dxfId="22543" priority="9221" stopIfTrue="1" operator="equal">
      <formula>"Towel"</formula>
    </cfRule>
    <cfRule type="cellIs" dxfId="22542" priority="9222" stopIfTrue="1" operator="equal">
      <formula>"Napkin Hs"</formula>
    </cfRule>
  </conditionalFormatting>
  <conditionalFormatting sqref="C50">
    <cfRule type="cellIs" dxfId="22541" priority="9225" stopIfTrue="1" operator="equal">
      <formula>"Towel"</formula>
    </cfRule>
    <cfRule type="cellIs" dxfId="22540" priority="9226" stopIfTrue="1" operator="equal">
      <formula>"Napkin Hs"</formula>
    </cfRule>
  </conditionalFormatting>
  <conditionalFormatting sqref="C50">
    <cfRule type="cellIs" dxfId="22539" priority="9228" stopIfTrue="1" operator="equal">
      <formula>"Napkin Hs"</formula>
    </cfRule>
  </conditionalFormatting>
  <conditionalFormatting sqref="C50">
    <cfRule type="cellIs" dxfId="22538" priority="9223" stopIfTrue="1" operator="equal">
      <formula>"Towel"</formula>
    </cfRule>
    <cfRule type="cellIs" dxfId="22537" priority="9224" stopIfTrue="1" operator="equal">
      <formula>"Napkin Hs"</formula>
    </cfRule>
  </conditionalFormatting>
  <conditionalFormatting sqref="C50">
    <cfRule type="cellIs" dxfId="22536" priority="9227" stopIfTrue="1" operator="equal">
      <formula>"Towel"</formula>
    </cfRule>
  </conditionalFormatting>
  <conditionalFormatting sqref="C50">
    <cfRule type="cellIs" dxfId="22535" priority="9219" stopIfTrue="1" operator="equal">
      <formula>"Towel"</formula>
    </cfRule>
    <cfRule type="cellIs" dxfId="22534" priority="9220" stopIfTrue="1" operator="equal">
      <formula>"Napkin Hs"</formula>
    </cfRule>
  </conditionalFormatting>
  <conditionalFormatting sqref="B50">
    <cfRule type="cellIs" dxfId="22533" priority="9217" stopIfTrue="1" operator="equal">
      <formula>"Towel"</formula>
    </cfRule>
    <cfRule type="cellIs" dxfId="22532" priority="9218" stopIfTrue="1" operator="equal">
      <formula>"Napkin Hs"</formula>
    </cfRule>
  </conditionalFormatting>
  <conditionalFormatting sqref="B50:C50">
    <cfRule type="cellIs" dxfId="22531" priority="9215" stopIfTrue="1" operator="equal">
      <formula>"Towel"</formula>
    </cfRule>
    <cfRule type="cellIs" dxfId="22530" priority="9216" stopIfTrue="1" operator="equal">
      <formula>"Napkin Hs"</formula>
    </cfRule>
  </conditionalFormatting>
  <conditionalFormatting sqref="C50">
    <cfRule type="cellIs" dxfId="22529" priority="9207" stopIfTrue="1" operator="equal">
      <formula>"Towel"</formula>
    </cfRule>
    <cfRule type="cellIs" dxfId="22528" priority="9208" stopIfTrue="1" operator="equal">
      <formula>"Napkin Hs"</formula>
    </cfRule>
  </conditionalFormatting>
  <conditionalFormatting sqref="C50">
    <cfRule type="cellIs" dxfId="22527" priority="9211" stopIfTrue="1" operator="equal">
      <formula>"Towel"</formula>
    </cfRule>
    <cfRule type="cellIs" dxfId="22526" priority="9212" stopIfTrue="1" operator="equal">
      <formula>"Napkin Hs"</formula>
    </cfRule>
  </conditionalFormatting>
  <conditionalFormatting sqref="C50">
    <cfRule type="cellIs" dxfId="22525" priority="9214" stopIfTrue="1" operator="equal">
      <formula>"Napkin Hs"</formula>
    </cfRule>
  </conditionalFormatting>
  <conditionalFormatting sqref="C50">
    <cfRule type="cellIs" dxfId="22524" priority="9209" stopIfTrue="1" operator="equal">
      <formula>"Towel"</formula>
    </cfRule>
    <cfRule type="cellIs" dxfId="22523" priority="9210" stopIfTrue="1" operator="equal">
      <formula>"Napkin Hs"</formula>
    </cfRule>
  </conditionalFormatting>
  <conditionalFormatting sqref="C50">
    <cfRule type="cellIs" dxfId="22522" priority="9213" stopIfTrue="1" operator="equal">
      <formula>"Towel"</formula>
    </cfRule>
  </conditionalFormatting>
  <conditionalFormatting sqref="C50">
    <cfRule type="cellIs" dxfId="22521" priority="9205" stopIfTrue="1" operator="equal">
      <formula>"Towel"</formula>
    </cfRule>
    <cfRule type="cellIs" dxfId="22520" priority="9206" stopIfTrue="1" operator="equal">
      <formula>"Napkin Hs"</formula>
    </cfRule>
  </conditionalFormatting>
  <conditionalFormatting sqref="B50">
    <cfRule type="cellIs" dxfId="22519" priority="9203" stopIfTrue="1" operator="equal">
      <formula>"Towel"</formula>
    </cfRule>
    <cfRule type="cellIs" dxfId="22518" priority="9204" stopIfTrue="1" operator="equal">
      <formula>"Napkin Hs"</formula>
    </cfRule>
  </conditionalFormatting>
  <conditionalFormatting sqref="B50:C50">
    <cfRule type="cellIs" dxfId="22517" priority="9179" stopIfTrue="1" operator="equal">
      <formula>"Towel"</formula>
    </cfRule>
  </conditionalFormatting>
  <conditionalFormatting sqref="B50:C50">
    <cfRule type="cellIs" dxfId="22516" priority="9180" stopIfTrue="1" operator="equal">
      <formula>"Napkin Hs"</formula>
    </cfRule>
    <cfRule type="cellIs" dxfId="22515" priority="9185" stopIfTrue="1" operator="equal">
      <formula>"Towel"</formula>
    </cfRule>
    <cfRule type="cellIs" dxfId="22514" priority="9186" stopIfTrue="1" operator="equal">
      <formula>"Napkin Hs"</formula>
    </cfRule>
    <cfRule type="cellIs" dxfId="22513" priority="9195" stopIfTrue="1" operator="equal">
      <formula>"Towel"</formula>
    </cfRule>
    <cfRule type="cellIs" dxfId="22512" priority="9196" stopIfTrue="1" operator="equal">
      <formula>"Napkin Hs"</formula>
    </cfRule>
    <cfRule type="cellIs" dxfId="22511" priority="9201" stopIfTrue="1" operator="equal">
      <formula>"Towel"</formula>
    </cfRule>
    <cfRule type="cellIs" dxfId="22510" priority="9202" stopIfTrue="1" operator="equal">
      <formula>"Napkin Hs"</formula>
    </cfRule>
  </conditionalFormatting>
  <conditionalFormatting sqref="C50">
    <cfRule type="cellIs" dxfId="22509" priority="9181" stopIfTrue="1" operator="equal">
      <formula>"Towel"</formula>
    </cfRule>
    <cfRule type="cellIs" dxfId="22508" priority="9182" stopIfTrue="1" operator="equal">
      <formula>"Napkin Hs"</formula>
    </cfRule>
    <cfRule type="cellIs" dxfId="22507" priority="9183" stopIfTrue="1" operator="equal">
      <formula>"Towel"</formula>
    </cfRule>
    <cfRule type="cellIs" dxfId="22506" priority="9184" stopIfTrue="1" operator="equal">
      <formula>"Napkin Hs"</formula>
    </cfRule>
    <cfRule type="cellIs" dxfId="22505" priority="9187" stopIfTrue="1" operator="equal">
      <formula>"Towel"</formula>
    </cfRule>
    <cfRule type="cellIs" dxfId="22504" priority="9188" stopIfTrue="1" operator="equal">
      <formula>"Napkin Hs"</formula>
    </cfRule>
    <cfRule type="cellIs" dxfId="22503" priority="9189" stopIfTrue="1" operator="equal">
      <formula>"Towel"</formula>
    </cfRule>
    <cfRule type="cellIs" dxfId="22502" priority="9190" stopIfTrue="1" operator="equal">
      <formula>"Napkin Hs"</formula>
    </cfRule>
    <cfRule type="cellIs" dxfId="22501" priority="9191" stopIfTrue="1" operator="equal">
      <formula>"Towel"</formula>
    </cfRule>
    <cfRule type="cellIs" dxfId="22500" priority="9192" stopIfTrue="1" operator="equal">
      <formula>"Napkin Hs"</formula>
    </cfRule>
    <cfRule type="cellIs" dxfId="22499" priority="9193" stopIfTrue="1" operator="equal">
      <formula>"Towel"</formula>
    </cfRule>
    <cfRule type="cellIs" dxfId="22498" priority="9194" stopIfTrue="1" operator="equal">
      <formula>"Napkin Hs"</formula>
    </cfRule>
    <cfRule type="cellIs" dxfId="22497" priority="9197" stopIfTrue="1" operator="equal">
      <formula>"Towel"</formula>
    </cfRule>
    <cfRule type="cellIs" dxfId="22496" priority="9198" stopIfTrue="1" operator="equal">
      <formula>"Napkin Hs"</formula>
    </cfRule>
    <cfRule type="cellIs" dxfId="22495" priority="9200" stopIfTrue="1" operator="equal">
      <formula>"Napkin Hs"</formula>
    </cfRule>
  </conditionalFormatting>
  <conditionalFormatting sqref="C50">
    <cfRule type="cellIs" dxfId="22494" priority="9199" stopIfTrue="1" operator="equal">
      <formula>"Towel"</formula>
    </cfRule>
  </conditionalFormatting>
  <conditionalFormatting sqref="B50:C50">
    <cfRule type="cellIs" dxfId="22493" priority="9177" stopIfTrue="1" operator="equal">
      <formula>"Towel"</formula>
    </cfRule>
    <cfRule type="cellIs" dxfId="22492" priority="9178" stopIfTrue="1" operator="equal">
      <formula>"Napkin Hs"</formula>
    </cfRule>
  </conditionalFormatting>
  <conditionalFormatting sqref="C50">
    <cfRule type="cellIs" dxfId="22491" priority="9176" stopIfTrue="1" operator="equal">
      <formula>"Napkin Hs"</formula>
    </cfRule>
  </conditionalFormatting>
  <conditionalFormatting sqref="C50">
    <cfRule type="cellIs" dxfId="22490" priority="9175" stopIfTrue="1" operator="equal">
      <formula>"Towel"</formula>
    </cfRule>
  </conditionalFormatting>
  <conditionalFormatting sqref="C50">
    <cfRule type="cellIs" dxfId="22489" priority="9173" stopIfTrue="1" operator="equal">
      <formula>"Towel"</formula>
    </cfRule>
  </conditionalFormatting>
  <conditionalFormatting sqref="C50">
    <cfRule type="cellIs" dxfId="22488" priority="9174" stopIfTrue="1" operator="equal">
      <formula>"Napkin Hs"</formula>
    </cfRule>
  </conditionalFormatting>
  <conditionalFormatting sqref="B50">
    <cfRule type="cellIs" dxfId="22487" priority="9077" stopIfTrue="1" operator="equal">
      <formula>"Napkin Hs"</formula>
    </cfRule>
  </conditionalFormatting>
  <conditionalFormatting sqref="B50:C50">
    <cfRule type="cellIs" dxfId="22486" priority="9076" stopIfTrue="1" operator="equal">
      <formula>"Towel"</formula>
    </cfRule>
  </conditionalFormatting>
  <conditionalFormatting sqref="B50:C50">
    <cfRule type="cellIs" dxfId="22485" priority="9087" stopIfTrue="1" operator="equal">
      <formula>"Towel"</formula>
    </cfRule>
    <cfRule type="cellIs" dxfId="22484" priority="9088" stopIfTrue="1" operator="equal">
      <formula>"Napkin Hs"</formula>
    </cfRule>
    <cfRule type="cellIs" dxfId="22483" priority="9093" stopIfTrue="1" operator="equal">
      <formula>"Towel"</formula>
    </cfRule>
    <cfRule type="cellIs" dxfId="22482" priority="9094" stopIfTrue="1" operator="equal">
      <formula>"Napkin Hs"</formula>
    </cfRule>
    <cfRule type="cellIs" dxfId="22481" priority="9099" stopIfTrue="1" operator="equal">
      <formula>"Towel"</formula>
    </cfRule>
    <cfRule type="cellIs" dxfId="22480" priority="9100" stopIfTrue="1" operator="equal">
      <formula>"Napkin Hs"</formula>
    </cfRule>
    <cfRule type="cellIs" dxfId="22479" priority="9101" stopIfTrue="1" operator="equal">
      <formula>"Towel"</formula>
    </cfRule>
    <cfRule type="cellIs" dxfId="22478" priority="9102" stopIfTrue="1" operator="equal">
      <formula>"Napkin Hs"</formula>
    </cfRule>
    <cfRule type="cellIs" dxfId="22477" priority="9107" stopIfTrue="1" operator="equal">
      <formula>"Towel"</formula>
    </cfRule>
    <cfRule type="cellIs" dxfId="22476" priority="9108" stopIfTrue="1" operator="equal">
      <formula>"Napkin Hs"</formula>
    </cfRule>
    <cfRule type="cellIs" dxfId="22475" priority="9117" stopIfTrue="1" operator="equal">
      <formula>"Towel"</formula>
    </cfRule>
    <cfRule type="cellIs" dxfId="22474" priority="9118" stopIfTrue="1" operator="equal">
      <formula>"Napkin Hs"</formula>
    </cfRule>
    <cfRule type="cellIs" dxfId="22473" priority="9123" stopIfTrue="1" operator="equal">
      <formula>"Towel"</formula>
    </cfRule>
    <cfRule type="cellIs" dxfId="22472" priority="9124" stopIfTrue="1" operator="equal">
      <formula>"Napkin Hs"</formula>
    </cfRule>
    <cfRule type="cellIs" dxfId="22471" priority="9125" stopIfTrue="1" operator="equal">
      <formula>"Towel"</formula>
    </cfRule>
    <cfRule type="cellIs" dxfId="22470" priority="9126" stopIfTrue="1" operator="equal">
      <formula>"Napkin Hs"</formula>
    </cfRule>
    <cfRule type="cellIs" dxfId="22469" priority="9131" stopIfTrue="1" operator="equal">
      <formula>"Towel"</formula>
    </cfRule>
    <cfRule type="cellIs" dxfId="22468" priority="9132" stopIfTrue="1" operator="equal">
      <formula>"Napkin Hs"</formula>
    </cfRule>
    <cfRule type="cellIs" dxfId="22467" priority="9141" stopIfTrue="1" operator="equal">
      <formula>"Towel"</formula>
    </cfRule>
    <cfRule type="cellIs" dxfId="22466" priority="9142" stopIfTrue="1" operator="equal">
      <formula>"Napkin Hs"</formula>
    </cfRule>
    <cfRule type="cellIs" dxfId="22465" priority="9143" stopIfTrue="1" operator="equal">
      <formula>"Towel"</formula>
    </cfRule>
    <cfRule type="cellIs" dxfId="22464" priority="9144" stopIfTrue="1" operator="equal">
      <formula>"Napkin Hs"</formula>
    </cfRule>
    <cfRule type="cellIs" dxfId="22463" priority="9149" stopIfTrue="1" operator="equal">
      <formula>"Towel"</formula>
    </cfRule>
    <cfRule type="cellIs" dxfId="22462" priority="9150" stopIfTrue="1" operator="equal">
      <formula>"Napkin Hs"</formula>
    </cfRule>
    <cfRule type="cellIs" dxfId="22461" priority="9159" stopIfTrue="1" operator="equal">
      <formula>"Towel"</formula>
    </cfRule>
    <cfRule type="cellIs" dxfId="22460" priority="9160" stopIfTrue="1" operator="equal">
      <formula>"Napkin Hs"</formula>
    </cfRule>
    <cfRule type="cellIs" dxfId="22459" priority="9161" stopIfTrue="1" operator="equal">
      <formula>"Towel"</formula>
    </cfRule>
    <cfRule type="cellIs" dxfId="22458" priority="9162" stopIfTrue="1" operator="equal">
      <formula>"Napkin Hs"</formula>
    </cfRule>
    <cfRule type="cellIs" dxfId="22457" priority="9168" stopIfTrue="1" operator="equal">
      <formula>"Napkin Hs"</formula>
    </cfRule>
  </conditionalFormatting>
  <conditionalFormatting sqref="B50:C50">
    <cfRule type="cellIs" dxfId="22456" priority="9167" stopIfTrue="1" operator="equal">
      <formula>"Towel"</formula>
    </cfRule>
  </conditionalFormatting>
  <conditionalFormatting sqref="C50">
    <cfRule type="cellIs" dxfId="22455" priority="9078" stopIfTrue="1" operator="equal">
      <formula>"Napkin Hs"</formula>
    </cfRule>
    <cfRule type="cellIs" dxfId="22454" priority="9079" stopIfTrue="1" operator="equal">
      <formula>"Towel"</formula>
    </cfRule>
    <cfRule type="cellIs" dxfId="22453" priority="9080" stopIfTrue="1" operator="equal">
      <formula>"Napkin Hs"</formula>
    </cfRule>
    <cfRule type="cellIs" dxfId="22452" priority="9081" stopIfTrue="1" operator="equal">
      <formula>"Towel"</formula>
    </cfRule>
    <cfRule type="cellIs" dxfId="22451" priority="9082" stopIfTrue="1" operator="equal">
      <formula>"Napkin Hs"</formula>
    </cfRule>
    <cfRule type="cellIs" dxfId="22450" priority="9083" stopIfTrue="1" operator="equal">
      <formula>"Towel"</formula>
    </cfRule>
    <cfRule type="cellIs" dxfId="22449" priority="9084" stopIfTrue="1" operator="equal">
      <formula>"Napkin Hs"</formula>
    </cfRule>
    <cfRule type="cellIs" dxfId="22448" priority="9085" stopIfTrue="1" operator="equal">
      <formula>"Towel"</formula>
    </cfRule>
    <cfRule type="cellIs" dxfId="22447" priority="9086" stopIfTrue="1" operator="equal">
      <formula>"Napkin Hs"</formula>
    </cfRule>
    <cfRule type="cellIs" dxfId="22446" priority="9089" stopIfTrue="1" operator="equal">
      <formula>"Towel"</formula>
    </cfRule>
    <cfRule type="cellIs" dxfId="22445" priority="9090" stopIfTrue="1" operator="equal">
      <formula>"Napkin Hs"</formula>
    </cfRule>
    <cfRule type="cellIs" dxfId="22444" priority="9091" stopIfTrue="1" operator="equal">
      <formula>"Towel"</formula>
    </cfRule>
    <cfRule type="cellIs" dxfId="22443" priority="9092" stopIfTrue="1" operator="equal">
      <formula>"Napkin Hs"</formula>
    </cfRule>
    <cfRule type="cellIs" dxfId="22442" priority="9095" stopIfTrue="1" operator="equal">
      <formula>"Towel"</formula>
    </cfRule>
    <cfRule type="cellIs" dxfId="22441" priority="9096" stopIfTrue="1" operator="equal">
      <formula>"Napkin Hs"</formula>
    </cfRule>
    <cfRule type="cellIs" dxfId="22440" priority="9097" stopIfTrue="1" operator="equal">
      <formula>"Towel"</formula>
    </cfRule>
    <cfRule type="cellIs" dxfId="22439" priority="9098" stopIfTrue="1" operator="equal">
      <formula>"Napkin Hs"</formula>
    </cfRule>
    <cfRule type="cellIs" dxfId="22438" priority="9103" stopIfTrue="1" operator="equal">
      <formula>"Towel"</formula>
    </cfRule>
    <cfRule type="cellIs" dxfId="22437" priority="9104" stopIfTrue="1" operator="equal">
      <formula>"Napkin Hs"</formula>
    </cfRule>
    <cfRule type="cellIs" dxfId="22436" priority="9105" stopIfTrue="1" operator="equal">
      <formula>"Towel"</formula>
    </cfRule>
    <cfRule type="cellIs" dxfId="22435" priority="9106" stopIfTrue="1" operator="equal">
      <formula>"Napkin Hs"</formula>
    </cfRule>
    <cfRule type="cellIs" dxfId="22434" priority="9109" stopIfTrue="1" operator="equal">
      <formula>"Towel"</formula>
    </cfRule>
    <cfRule type="cellIs" dxfId="22433" priority="9110" stopIfTrue="1" operator="equal">
      <formula>"Napkin Hs"</formula>
    </cfRule>
    <cfRule type="cellIs" dxfId="22432" priority="9111" stopIfTrue="1" operator="equal">
      <formula>"Towel"</formula>
    </cfRule>
    <cfRule type="cellIs" dxfId="22431" priority="9112" stopIfTrue="1" operator="equal">
      <formula>"Napkin Hs"</formula>
    </cfRule>
    <cfRule type="cellIs" dxfId="22430" priority="9113" stopIfTrue="1" operator="equal">
      <formula>"Towel"</formula>
    </cfRule>
    <cfRule type="cellIs" dxfId="22429" priority="9114" stopIfTrue="1" operator="equal">
      <formula>"Napkin Hs"</formula>
    </cfRule>
    <cfRule type="cellIs" dxfId="22428" priority="9115" stopIfTrue="1" operator="equal">
      <formula>"Towel"</formula>
    </cfRule>
    <cfRule type="cellIs" dxfId="22427" priority="9116" stopIfTrue="1" operator="equal">
      <formula>"Napkin Hs"</formula>
    </cfRule>
    <cfRule type="cellIs" dxfId="22426" priority="9119" stopIfTrue="1" operator="equal">
      <formula>"Towel"</formula>
    </cfRule>
    <cfRule type="cellIs" dxfId="22425" priority="9120" stopIfTrue="1" operator="equal">
      <formula>"Napkin Hs"</formula>
    </cfRule>
    <cfRule type="cellIs" dxfId="22424" priority="9121" stopIfTrue="1" operator="equal">
      <formula>"Towel"</formula>
    </cfRule>
    <cfRule type="cellIs" dxfId="22423" priority="9122" stopIfTrue="1" operator="equal">
      <formula>"Napkin Hs"</formula>
    </cfRule>
    <cfRule type="cellIs" dxfId="22422" priority="9127" stopIfTrue="1" operator="equal">
      <formula>"Towel"</formula>
    </cfRule>
    <cfRule type="cellIs" dxfId="22421" priority="9128" stopIfTrue="1" operator="equal">
      <formula>"Napkin Hs"</formula>
    </cfRule>
    <cfRule type="cellIs" dxfId="22420" priority="9129" stopIfTrue="1" operator="equal">
      <formula>"Towel"</formula>
    </cfRule>
    <cfRule type="cellIs" dxfId="22419" priority="9130" stopIfTrue="1" operator="equal">
      <formula>"Napkin Hs"</formula>
    </cfRule>
    <cfRule type="cellIs" dxfId="22418" priority="9133" stopIfTrue="1" operator="equal">
      <formula>"Towel"</formula>
    </cfRule>
    <cfRule type="cellIs" dxfId="22417" priority="9134" stopIfTrue="1" operator="equal">
      <formula>"Napkin Hs"</formula>
    </cfRule>
    <cfRule type="cellIs" dxfId="22416" priority="9135" stopIfTrue="1" operator="equal">
      <formula>"Towel"</formula>
    </cfRule>
    <cfRule type="cellIs" dxfId="22415" priority="9136" stopIfTrue="1" operator="equal">
      <formula>"Napkin Hs"</formula>
    </cfRule>
    <cfRule type="cellIs" dxfId="22414" priority="9137" stopIfTrue="1" operator="equal">
      <formula>"Towel"</formula>
    </cfRule>
    <cfRule type="cellIs" dxfId="22413" priority="9138" stopIfTrue="1" operator="equal">
      <formula>"Napkin Hs"</formula>
    </cfRule>
    <cfRule type="cellIs" dxfId="22412" priority="9139" stopIfTrue="1" operator="equal">
      <formula>"Towel"</formula>
    </cfRule>
    <cfRule type="cellIs" dxfId="22411" priority="9140" stopIfTrue="1" operator="equal">
      <formula>"Napkin Hs"</formula>
    </cfRule>
    <cfRule type="cellIs" dxfId="22410" priority="9145" stopIfTrue="1" operator="equal">
      <formula>"Towel"</formula>
    </cfRule>
    <cfRule type="cellIs" dxfId="22409" priority="9146" stopIfTrue="1" operator="equal">
      <formula>"Napkin Hs"</formula>
    </cfRule>
    <cfRule type="cellIs" dxfId="22408" priority="9147" stopIfTrue="1" operator="equal">
      <formula>"Towel"</formula>
    </cfRule>
    <cfRule type="cellIs" dxfId="22407" priority="9148" stopIfTrue="1" operator="equal">
      <formula>"Napkin Hs"</formula>
    </cfRule>
    <cfRule type="cellIs" dxfId="22406" priority="9151" stopIfTrue="1" operator="equal">
      <formula>"Towel"</formula>
    </cfRule>
    <cfRule type="cellIs" dxfId="22405" priority="9152" stopIfTrue="1" operator="equal">
      <formula>"Napkin Hs"</formula>
    </cfRule>
    <cfRule type="cellIs" dxfId="22404" priority="9153" stopIfTrue="1" operator="equal">
      <formula>"Towel"</formula>
    </cfRule>
    <cfRule type="cellIs" dxfId="22403" priority="9154" stopIfTrue="1" operator="equal">
      <formula>"Napkin Hs"</formula>
    </cfRule>
    <cfRule type="cellIs" dxfId="22402" priority="9155" stopIfTrue="1" operator="equal">
      <formula>"Towel"</formula>
    </cfRule>
    <cfRule type="cellIs" dxfId="22401" priority="9156" stopIfTrue="1" operator="equal">
      <formula>"Napkin Hs"</formula>
    </cfRule>
    <cfRule type="cellIs" dxfId="22400" priority="9157" stopIfTrue="1" operator="equal">
      <formula>"Towel"</formula>
    </cfRule>
    <cfRule type="cellIs" dxfId="22399" priority="9158" stopIfTrue="1" operator="equal">
      <formula>"Napkin Hs"</formula>
    </cfRule>
    <cfRule type="cellIs" dxfId="22398" priority="9163" stopIfTrue="1" operator="equal">
      <formula>"Towel"</formula>
    </cfRule>
    <cfRule type="cellIs" dxfId="22397" priority="9164" stopIfTrue="1" operator="equal">
      <formula>"Napkin Hs"</formula>
    </cfRule>
    <cfRule type="cellIs" dxfId="22396" priority="9165" stopIfTrue="1" operator="equal">
      <formula>"Towel"</formula>
    </cfRule>
    <cfRule type="cellIs" dxfId="22395" priority="9166" stopIfTrue="1" operator="equal">
      <formula>"Napkin Hs"</formula>
    </cfRule>
    <cfRule type="cellIs" dxfId="22394" priority="9169" stopIfTrue="1" operator="equal">
      <formula>"Towel"</formula>
    </cfRule>
    <cfRule type="cellIs" dxfId="22393" priority="9170" stopIfTrue="1" operator="equal">
      <formula>"Napkin Hs"</formula>
    </cfRule>
    <cfRule type="cellIs" dxfId="22392" priority="9171" stopIfTrue="1" operator="equal">
      <formula>"Towel"</formula>
    </cfRule>
    <cfRule type="cellIs" dxfId="22391" priority="9172" stopIfTrue="1" operator="equal">
      <formula>"Napkin Hs"</formula>
    </cfRule>
  </conditionalFormatting>
  <conditionalFormatting sqref="B50:C50">
    <cfRule type="cellIs" dxfId="22390" priority="9074" stopIfTrue="1" operator="equal">
      <formula>"Towel"</formula>
    </cfRule>
    <cfRule type="cellIs" dxfId="22389" priority="9075" stopIfTrue="1" operator="equal">
      <formula>"Napkin Hs"</formula>
    </cfRule>
  </conditionalFormatting>
  <conditionalFormatting sqref="C50">
    <cfRule type="cellIs" dxfId="22388" priority="9070" stopIfTrue="1" operator="equal">
      <formula>"Towel"</formula>
    </cfRule>
    <cfRule type="cellIs" dxfId="22387" priority="9071" stopIfTrue="1" operator="equal">
      <formula>"Napkin Hs"</formula>
    </cfRule>
  </conditionalFormatting>
  <conditionalFormatting sqref="C50">
    <cfRule type="cellIs" dxfId="22386" priority="9073" stopIfTrue="1" operator="equal">
      <formula>"Napkin Hs"</formula>
    </cfRule>
  </conditionalFormatting>
  <conditionalFormatting sqref="C50">
    <cfRule type="cellIs" dxfId="22385" priority="9072" stopIfTrue="1" operator="equal">
      <formula>"Towel"</formula>
    </cfRule>
  </conditionalFormatting>
  <conditionalFormatting sqref="B57:C57">
    <cfRule type="cellIs" dxfId="22384" priority="9068" stopIfTrue="1" operator="equal">
      <formula>"Towel"</formula>
    </cfRule>
    <cfRule type="cellIs" dxfId="22383" priority="9069" stopIfTrue="1" operator="equal">
      <formula>"Napkin Hs"</formula>
    </cfRule>
  </conditionalFormatting>
  <conditionalFormatting sqref="B55:C55">
    <cfRule type="cellIs" dxfId="22382" priority="9064" stopIfTrue="1" operator="equal">
      <formula>"Towel"</formula>
    </cfRule>
    <cfRule type="cellIs" dxfId="22381" priority="9065" stopIfTrue="1" operator="equal">
      <formula>"Napkin Hs"</formula>
    </cfRule>
  </conditionalFormatting>
  <conditionalFormatting sqref="C57">
    <cfRule type="cellIs" dxfId="22380" priority="9067" stopIfTrue="1" operator="equal">
      <formula>"Napkin Hs"</formula>
    </cfRule>
  </conditionalFormatting>
  <conditionalFormatting sqref="C57">
    <cfRule type="cellIs" dxfId="22379" priority="9066" stopIfTrue="1" operator="equal">
      <formula>"Towel"</formula>
    </cfRule>
  </conditionalFormatting>
  <conditionalFormatting sqref="C55">
    <cfRule type="cellIs" dxfId="22378" priority="9062" stopIfTrue="1" operator="equal">
      <formula>"Towel"</formula>
    </cfRule>
    <cfRule type="cellIs" dxfId="22377" priority="9063" stopIfTrue="1" operator="equal">
      <formula>"Napkin Hs"</formula>
    </cfRule>
  </conditionalFormatting>
  <conditionalFormatting sqref="C55 C57">
    <cfRule type="cellIs" dxfId="22376" priority="9060" stopIfTrue="1" operator="equal">
      <formula>"Towel"</formula>
    </cfRule>
    <cfRule type="cellIs" dxfId="22375" priority="9061" stopIfTrue="1" operator="equal">
      <formula>"Napkin Hs"</formula>
    </cfRule>
  </conditionalFormatting>
  <conditionalFormatting sqref="C58:C59">
    <cfRule type="cellIs" dxfId="22374" priority="9052" stopIfTrue="1" operator="equal">
      <formula>"Towel"</formula>
    </cfRule>
    <cfRule type="cellIs" dxfId="22373" priority="9053" stopIfTrue="1" operator="equal">
      <formula>"Napkin Hs"</formula>
    </cfRule>
  </conditionalFormatting>
  <conditionalFormatting sqref="B58:C59">
    <cfRule type="cellIs" dxfId="22372" priority="9054" stopIfTrue="1" operator="equal">
      <formula>"Towel"</formula>
    </cfRule>
    <cfRule type="cellIs" dxfId="22371" priority="9055" stopIfTrue="1" operator="equal">
      <formula>"Napkin Hs"</formula>
    </cfRule>
  </conditionalFormatting>
  <conditionalFormatting sqref="C58:C59">
    <cfRule type="cellIs" dxfId="22370" priority="9050" stopIfTrue="1" operator="equal">
      <formula>"Towel"</formula>
    </cfRule>
    <cfRule type="cellIs" dxfId="22369" priority="9051" stopIfTrue="1" operator="equal">
      <formula>"Napkin Hs"</formula>
    </cfRule>
  </conditionalFormatting>
  <conditionalFormatting sqref="B58:C59">
    <cfRule type="cellIs" dxfId="22368" priority="9048" stopIfTrue="1" operator="equal">
      <formula>"Towel"</formula>
    </cfRule>
    <cfRule type="cellIs" dxfId="22367" priority="9049" stopIfTrue="1" operator="equal">
      <formula>"Napkin Hs"</formula>
    </cfRule>
  </conditionalFormatting>
  <conditionalFormatting sqref="C58:C59">
    <cfRule type="cellIs" dxfId="22366" priority="9056" stopIfTrue="1" operator="equal">
      <formula>"Towel"</formula>
    </cfRule>
    <cfRule type="cellIs" dxfId="22365" priority="9057" stopIfTrue="1" operator="equal">
      <formula>"Napkin Hs"</formula>
    </cfRule>
  </conditionalFormatting>
  <conditionalFormatting sqref="C58:C59">
    <cfRule type="cellIs" dxfId="22364" priority="9058" stopIfTrue="1" operator="equal">
      <formula>"Towel"</formula>
    </cfRule>
    <cfRule type="cellIs" dxfId="22363" priority="9059" stopIfTrue="1" operator="equal">
      <formula>"Napkin Hs"</formula>
    </cfRule>
  </conditionalFormatting>
  <conditionalFormatting sqref="B58:C58">
    <cfRule type="cellIs" dxfId="22362" priority="9046" stopIfTrue="1" operator="equal">
      <formula>"Towel"</formula>
    </cfRule>
    <cfRule type="cellIs" dxfId="22361" priority="9047" stopIfTrue="1" operator="equal">
      <formula>"Napkin Hs"</formula>
    </cfRule>
  </conditionalFormatting>
  <conditionalFormatting sqref="C55">
    <cfRule type="cellIs" dxfId="22360" priority="9022" stopIfTrue="1" operator="equal">
      <formula>"Towel"</formula>
    </cfRule>
    <cfRule type="cellIs" dxfId="22359" priority="9023" stopIfTrue="1" operator="equal">
      <formula>"Napkin Hs"</formula>
    </cfRule>
  </conditionalFormatting>
  <conditionalFormatting sqref="B59:C59">
    <cfRule type="cellIs" dxfId="22358" priority="9040" stopIfTrue="1" operator="equal">
      <formula>"Towel"</formula>
    </cfRule>
    <cfRule type="cellIs" dxfId="22357" priority="9041" stopIfTrue="1" operator="equal">
      <formula>"Napkin Hs"</formula>
    </cfRule>
  </conditionalFormatting>
  <conditionalFormatting sqref="C58">
    <cfRule type="cellIs" dxfId="22356" priority="9045" stopIfTrue="1" operator="equal">
      <formula>"Napkin Hs"</formula>
    </cfRule>
  </conditionalFormatting>
  <conditionalFormatting sqref="C55">
    <cfRule type="cellIs" dxfId="22355" priority="9020" stopIfTrue="1" operator="equal">
      <formula>"Towel"</formula>
    </cfRule>
    <cfRule type="cellIs" dxfId="22354" priority="9021" stopIfTrue="1" operator="equal">
      <formula>"Napkin Hs"</formula>
    </cfRule>
  </conditionalFormatting>
  <conditionalFormatting sqref="C58">
    <cfRule type="cellIs" dxfId="22353" priority="9044" stopIfTrue="1" operator="equal">
      <formula>"Towel"</formula>
    </cfRule>
  </conditionalFormatting>
  <conditionalFormatting sqref="C58">
    <cfRule type="cellIs" dxfId="22352" priority="9042" stopIfTrue="1" operator="equal">
      <formula>"Towel"</formula>
    </cfRule>
    <cfRule type="cellIs" dxfId="22351" priority="9043" stopIfTrue="1" operator="equal">
      <formula>"Napkin Hs"</formula>
    </cfRule>
  </conditionalFormatting>
  <conditionalFormatting sqref="C59">
    <cfRule type="cellIs" dxfId="22350" priority="9038" stopIfTrue="1" operator="equal">
      <formula>"Towel"</formula>
    </cfRule>
    <cfRule type="cellIs" dxfId="22349" priority="9039" stopIfTrue="1" operator="equal">
      <formula>"Napkin Hs"</formula>
    </cfRule>
  </conditionalFormatting>
  <conditionalFormatting sqref="C59">
    <cfRule type="cellIs" dxfId="22348" priority="9036" stopIfTrue="1" operator="equal">
      <formula>"Towel"</formula>
    </cfRule>
    <cfRule type="cellIs" dxfId="22347" priority="9037" stopIfTrue="1" operator="equal">
      <formula>"Napkin Hs"</formula>
    </cfRule>
  </conditionalFormatting>
  <conditionalFormatting sqref="B57:C57">
    <cfRule type="cellIs" dxfId="22346" priority="9006" stopIfTrue="1" operator="equal">
      <formula>"Towel"</formula>
    </cfRule>
    <cfRule type="cellIs" dxfId="22345" priority="9007" stopIfTrue="1" operator="equal">
      <formula>"Napkin Hs"</formula>
    </cfRule>
  </conditionalFormatting>
  <conditionalFormatting sqref="C55">
    <cfRule type="cellIs" dxfId="22344" priority="9028" stopIfTrue="1" operator="equal">
      <formula>"Towel"</formula>
    </cfRule>
    <cfRule type="cellIs" dxfId="22343" priority="9029" stopIfTrue="1" operator="equal">
      <formula>"Napkin Hs"</formula>
    </cfRule>
  </conditionalFormatting>
  <conditionalFormatting sqref="B55:C55">
    <cfRule type="cellIs" dxfId="22342" priority="9030" stopIfTrue="1" operator="equal">
      <formula>"Towel"</formula>
    </cfRule>
    <cfRule type="cellIs" dxfId="22341" priority="9031" stopIfTrue="1" operator="equal">
      <formula>"Napkin Hs"</formula>
    </cfRule>
  </conditionalFormatting>
  <conditionalFormatting sqref="C55">
    <cfRule type="cellIs" dxfId="22340" priority="9026" stopIfTrue="1" operator="equal">
      <formula>"Towel"</formula>
    </cfRule>
    <cfRule type="cellIs" dxfId="22339" priority="9027" stopIfTrue="1" operator="equal">
      <formula>"Napkin Hs"</formula>
    </cfRule>
  </conditionalFormatting>
  <conditionalFormatting sqref="B55:C55">
    <cfRule type="cellIs" dxfId="22338" priority="9024" stopIfTrue="1" operator="equal">
      <formula>"Towel"</formula>
    </cfRule>
    <cfRule type="cellIs" dxfId="22337" priority="9025" stopIfTrue="1" operator="equal">
      <formula>"Napkin Hs"</formula>
    </cfRule>
  </conditionalFormatting>
  <conditionalFormatting sqref="C55">
    <cfRule type="cellIs" dxfId="22336" priority="9032" stopIfTrue="1" operator="equal">
      <formula>"Towel"</formula>
    </cfRule>
    <cfRule type="cellIs" dxfId="22335" priority="9033" stopIfTrue="1" operator="equal">
      <formula>"Napkin Hs"</formula>
    </cfRule>
  </conditionalFormatting>
  <conditionalFormatting sqref="C55">
    <cfRule type="cellIs" dxfId="22334" priority="9034" stopIfTrue="1" operator="equal">
      <formula>"Towel"</formula>
    </cfRule>
    <cfRule type="cellIs" dxfId="22333" priority="9035" stopIfTrue="1" operator="equal">
      <formula>"Napkin Hs"</formula>
    </cfRule>
  </conditionalFormatting>
  <conditionalFormatting sqref="C55">
    <cfRule type="cellIs" dxfId="22332" priority="9016" stopIfTrue="1" operator="equal">
      <formula>"Towel"</formula>
    </cfRule>
    <cfRule type="cellIs" dxfId="22331" priority="9017" stopIfTrue="1" operator="equal">
      <formula>"Napkin Hs"</formula>
    </cfRule>
  </conditionalFormatting>
  <conditionalFormatting sqref="B55:C55">
    <cfRule type="cellIs" dxfId="22330" priority="9018" stopIfTrue="1" operator="equal">
      <formula>"Towel"</formula>
    </cfRule>
    <cfRule type="cellIs" dxfId="22329" priority="9019" stopIfTrue="1" operator="equal">
      <formula>"Napkin Hs"</formula>
    </cfRule>
  </conditionalFormatting>
  <conditionalFormatting sqref="C55">
    <cfRule type="cellIs" dxfId="22328" priority="9014" stopIfTrue="1" operator="equal">
      <formula>"Towel"</formula>
    </cfRule>
    <cfRule type="cellIs" dxfId="22327" priority="9015" stopIfTrue="1" operator="equal">
      <formula>"Napkin Hs"</formula>
    </cfRule>
  </conditionalFormatting>
  <conditionalFormatting sqref="B55:C55">
    <cfRule type="cellIs" dxfId="22326" priority="9012" stopIfTrue="1" operator="equal">
      <formula>"Towel"</formula>
    </cfRule>
    <cfRule type="cellIs" dxfId="22325" priority="9013" stopIfTrue="1" operator="equal">
      <formula>"Napkin Hs"</formula>
    </cfRule>
  </conditionalFormatting>
  <conditionalFormatting sqref="C57">
    <cfRule type="cellIs" dxfId="22324" priority="9004" stopIfTrue="1" operator="equal">
      <formula>"Towel"</formula>
    </cfRule>
    <cfRule type="cellIs" dxfId="22323" priority="9005" stopIfTrue="1" operator="equal">
      <formula>"Napkin Hs"</formula>
    </cfRule>
  </conditionalFormatting>
  <conditionalFormatting sqref="C57">
    <cfRule type="cellIs" dxfId="22322" priority="9002" stopIfTrue="1" operator="equal">
      <formula>"Towel"</formula>
    </cfRule>
    <cfRule type="cellIs" dxfId="22321" priority="9003" stopIfTrue="1" operator="equal">
      <formula>"Napkin Hs"</formula>
    </cfRule>
  </conditionalFormatting>
  <conditionalFormatting sqref="B57:C57">
    <cfRule type="cellIs" dxfId="22320" priority="9000" stopIfTrue="1" operator="equal">
      <formula>"Towel"</formula>
    </cfRule>
    <cfRule type="cellIs" dxfId="22319" priority="9001" stopIfTrue="1" operator="equal">
      <formula>"Napkin Hs"</formula>
    </cfRule>
  </conditionalFormatting>
  <conditionalFormatting sqref="C57">
    <cfRule type="cellIs" dxfId="22318" priority="9008" stopIfTrue="1" operator="equal">
      <formula>"Towel"</formula>
    </cfRule>
    <cfRule type="cellIs" dxfId="22317" priority="9009" stopIfTrue="1" operator="equal">
      <formula>"Napkin Hs"</formula>
    </cfRule>
  </conditionalFormatting>
  <conditionalFormatting sqref="C57">
    <cfRule type="cellIs" dxfId="22316" priority="9010" stopIfTrue="1" operator="equal">
      <formula>"Towel"</formula>
    </cfRule>
    <cfRule type="cellIs" dxfId="22315" priority="9011" stopIfTrue="1" operator="equal">
      <formula>"Napkin Hs"</formula>
    </cfRule>
  </conditionalFormatting>
  <conditionalFormatting sqref="C55">
    <cfRule type="cellIs" dxfId="22314" priority="8992" stopIfTrue="1" operator="equal">
      <formula>"Towel"</formula>
    </cfRule>
    <cfRule type="cellIs" dxfId="22313" priority="8993" stopIfTrue="1" operator="equal">
      <formula>"Napkin Hs"</formula>
    </cfRule>
  </conditionalFormatting>
  <conditionalFormatting sqref="B55:C55">
    <cfRule type="cellIs" dxfId="22312" priority="8994" stopIfTrue="1" operator="equal">
      <formula>"Towel"</formula>
    </cfRule>
    <cfRule type="cellIs" dxfId="22311" priority="8995" stopIfTrue="1" operator="equal">
      <formula>"Napkin Hs"</formula>
    </cfRule>
  </conditionalFormatting>
  <conditionalFormatting sqref="C55">
    <cfRule type="cellIs" dxfId="22310" priority="8990" stopIfTrue="1" operator="equal">
      <formula>"Towel"</formula>
    </cfRule>
    <cfRule type="cellIs" dxfId="22309" priority="8991" stopIfTrue="1" operator="equal">
      <formula>"Napkin Hs"</formula>
    </cfRule>
  </conditionalFormatting>
  <conditionalFormatting sqref="B55:C55">
    <cfRule type="cellIs" dxfId="22308" priority="8988" stopIfTrue="1" operator="equal">
      <formula>"Towel"</formula>
    </cfRule>
    <cfRule type="cellIs" dxfId="22307" priority="8989" stopIfTrue="1" operator="equal">
      <formula>"Napkin Hs"</formula>
    </cfRule>
  </conditionalFormatting>
  <conditionalFormatting sqref="C55">
    <cfRule type="cellIs" dxfId="22306" priority="8996" stopIfTrue="1" operator="equal">
      <formula>"Towel"</formula>
    </cfRule>
    <cfRule type="cellIs" dxfId="22305" priority="8997" stopIfTrue="1" operator="equal">
      <formula>"Napkin Hs"</formula>
    </cfRule>
  </conditionalFormatting>
  <conditionalFormatting sqref="C55">
    <cfRule type="cellIs" dxfId="22304" priority="8998" stopIfTrue="1" operator="equal">
      <formula>"Towel"</formula>
    </cfRule>
    <cfRule type="cellIs" dxfId="22303" priority="8999" stopIfTrue="1" operator="equal">
      <formula>"Napkin Hs"</formula>
    </cfRule>
  </conditionalFormatting>
  <conditionalFormatting sqref="B57:C57">
    <cfRule type="cellIs" dxfId="22302" priority="8986" stopIfTrue="1" operator="equal">
      <formula>"Towel"</formula>
    </cfRule>
    <cfRule type="cellIs" dxfId="22301" priority="8987" stopIfTrue="1" operator="equal">
      <formula>"Napkin Hs"</formula>
    </cfRule>
  </conditionalFormatting>
  <conditionalFormatting sqref="C59">
    <cfRule type="cellIs" dxfId="22300" priority="8962" stopIfTrue="1" operator="equal">
      <formula>"Towel"</formula>
    </cfRule>
    <cfRule type="cellIs" dxfId="22299" priority="8963" stopIfTrue="1" operator="equal">
      <formula>"Napkin Hs"</formula>
    </cfRule>
  </conditionalFormatting>
  <conditionalFormatting sqref="B58:C58">
    <cfRule type="cellIs" dxfId="22298" priority="8980" stopIfTrue="1" operator="equal">
      <formula>"Towel"</formula>
    </cfRule>
    <cfRule type="cellIs" dxfId="22297" priority="8981" stopIfTrue="1" operator="equal">
      <formula>"Napkin Hs"</formula>
    </cfRule>
  </conditionalFormatting>
  <conditionalFormatting sqref="C57">
    <cfRule type="cellIs" dxfId="22296" priority="8985" stopIfTrue="1" operator="equal">
      <formula>"Napkin Hs"</formula>
    </cfRule>
  </conditionalFormatting>
  <conditionalFormatting sqref="C59">
    <cfRule type="cellIs" dxfId="22295" priority="8960" stopIfTrue="1" operator="equal">
      <formula>"Towel"</formula>
    </cfRule>
    <cfRule type="cellIs" dxfId="22294" priority="8961" stopIfTrue="1" operator="equal">
      <formula>"Napkin Hs"</formula>
    </cfRule>
  </conditionalFormatting>
  <conditionalFormatting sqref="C57">
    <cfRule type="cellIs" dxfId="22293" priority="8984" stopIfTrue="1" operator="equal">
      <formula>"Towel"</formula>
    </cfRule>
  </conditionalFormatting>
  <conditionalFormatting sqref="C57">
    <cfRule type="cellIs" dxfId="22292" priority="8982" stopIfTrue="1" operator="equal">
      <formula>"Towel"</formula>
    </cfRule>
    <cfRule type="cellIs" dxfId="22291" priority="8983" stopIfTrue="1" operator="equal">
      <formula>"Napkin Hs"</formula>
    </cfRule>
  </conditionalFormatting>
  <conditionalFormatting sqref="C58">
    <cfRule type="cellIs" dxfId="22290" priority="8976" stopIfTrue="1" operator="equal">
      <formula>"Towel"</formula>
    </cfRule>
    <cfRule type="cellIs" dxfId="22289" priority="8977" stopIfTrue="1" operator="equal">
      <formula>"Napkin Hs"</formula>
    </cfRule>
  </conditionalFormatting>
  <conditionalFormatting sqref="C58">
    <cfRule type="cellIs" dxfId="22288" priority="8978" stopIfTrue="1" operator="equal">
      <formula>"Towel"</formula>
    </cfRule>
    <cfRule type="cellIs" dxfId="22287" priority="8979" stopIfTrue="1" operator="equal">
      <formula>"Napkin Hs"</formula>
    </cfRule>
  </conditionalFormatting>
  <conditionalFormatting sqref="C59">
    <cfRule type="cellIs" dxfId="22286" priority="8968" stopIfTrue="1" operator="equal">
      <formula>"Towel"</formula>
    </cfRule>
    <cfRule type="cellIs" dxfId="22285" priority="8969" stopIfTrue="1" operator="equal">
      <formula>"Napkin Hs"</formula>
    </cfRule>
  </conditionalFormatting>
  <conditionalFormatting sqref="B59:C59">
    <cfRule type="cellIs" dxfId="22284" priority="8970" stopIfTrue="1" operator="equal">
      <formula>"Towel"</formula>
    </cfRule>
    <cfRule type="cellIs" dxfId="22283" priority="8971" stopIfTrue="1" operator="equal">
      <formula>"Napkin Hs"</formula>
    </cfRule>
  </conditionalFormatting>
  <conditionalFormatting sqref="C59">
    <cfRule type="cellIs" dxfId="22282" priority="8966" stopIfTrue="1" operator="equal">
      <formula>"Towel"</formula>
    </cfRule>
    <cfRule type="cellIs" dxfId="22281" priority="8967" stopIfTrue="1" operator="equal">
      <formula>"Napkin Hs"</formula>
    </cfRule>
  </conditionalFormatting>
  <conditionalFormatting sqref="B59:C59">
    <cfRule type="cellIs" dxfId="22280" priority="8964" stopIfTrue="1" operator="equal">
      <formula>"Towel"</formula>
    </cfRule>
    <cfRule type="cellIs" dxfId="22279" priority="8965" stopIfTrue="1" operator="equal">
      <formula>"Napkin Hs"</formula>
    </cfRule>
  </conditionalFormatting>
  <conditionalFormatting sqref="C59">
    <cfRule type="cellIs" dxfId="22278" priority="8972" stopIfTrue="1" operator="equal">
      <formula>"Towel"</formula>
    </cfRule>
    <cfRule type="cellIs" dxfId="22277" priority="8973" stopIfTrue="1" operator="equal">
      <formula>"Napkin Hs"</formula>
    </cfRule>
  </conditionalFormatting>
  <conditionalFormatting sqref="C59">
    <cfRule type="cellIs" dxfId="22276" priority="8974" stopIfTrue="1" operator="equal">
      <formula>"Towel"</formula>
    </cfRule>
    <cfRule type="cellIs" dxfId="22275" priority="8975" stopIfTrue="1" operator="equal">
      <formula>"Napkin Hs"</formula>
    </cfRule>
  </conditionalFormatting>
  <conditionalFormatting sqref="C59">
    <cfRule type="cellIs" dxfId="22274" priority="8956" stopIfTrue="1" operator="equal">
      <formula>"Towel"</formula>
    </cfRule>
    <cfRule type="cellIs" dxfId="22273" priority="8957" stopIfTrue="1" operator="equal">
      <formula>"Napkin Hs"</formula>
    </cfRule>
  </conditionalFormatting>
  <conditionalFormatting sqref="B59:C59">
    <cfRule type="cellIs" dxfId="22272" priority="8958" stopIfTrue="1" operator="equal">
      <formula>"Towel"</formula>
    </cfRule>
    <cfRule type="cellIs" dxfId="22271" priority="8959" stopIfTrue="1" operator="equal">
      <formula>"Napkin Hs"</formula>
    </cfRule>
  </conditionalFormatting>
  <conditionalFormatting sqref="C59">
    <cfRule type="cellIs" dxfId="22270" priority="8954" stopIfTrue="1" operator="equal">
      <formula>"Towel"</formula>
    </cfRule>
    <cfRule type="cellIs" dxfId="22269" priority="8955" stopIfTrue="1" operator="equal">
      <formula>"Napkin Hs"</formula>
    </cfRule>
  </conditionalFormatting>
  <conditionalFormatting sqref="B59:C59">
    <cfRule type="cellIs" dxfId="22268" priority="8952" stopIfTrue="1" operator="equal">
      <formula>"Towel"</formula>
    </cfRule>
    <cfRule type="cellIs" dxfId="22267" priority="8953" stopIfTrue="1" operator="equal">
      <formula>"Napkin Hs"</formula>
    </cfRule>
  </conditionalFormatting>
  <conditionalFormatting sqref="B58:C58">
    <cfRule type="cellIs" dxfId="22266" priority="8950" stopIfTrue="1" operator="equal">
      <formula>"Towel"</formula>
    </cfRule>
    <cfRule type="cellIs" dxfId="22265" priority="8951" stopIfTrue="1" operator="equal">
      <formula>"Napkin Hs"</formula>
    </cfRule>
  </conditionalFormatting>
  <conditionalFormatting sqref="C58">
    <cfRule type="cellIs" dxfId="22264" priority="8946" stopIfTrue="1" operator="equal">
      <formula>"Towel"</formula>
    </cfRule>
    <cfRule type="cellIs" dxfId="22263" priority="8947" stopIfTrue="1" operator="equal">
      <formula>"Napkin Hs"</formula>
    </cfRule>
  </conditionalFormatting>
  <conditionalFormatting sqref="C58">
    <cfRule type="cellIs" dxfId="22262" priority="8948" stopIfTrue="1" operator="equal">
      <formula>"Towel"</formula>
    </cfRule>
    <cfRule type="cellIs" dxfId="22261" priority="8949" stopIfTrue="1" operator="equal">
      <formula>"Napkin Hs"</formula>
    </cfRule>
  </conditionalFormatting>
  <conditionalFormatting sqref="C59">
    <cfRule type="cellIs" dxfId="22260" priority="8938" stopIfTrue="1" operator="equal">
      <formula>"Towel"</formula>
    </cfRule>
    <cfRule type="cellIs" dxfId="22259" priority="8939" stopIfTrue="1" operator="equal">
      <formula>"Napkin Hs"</formula>
    </cfRule>
  </conditionalFormatting>
  <conditionalFormatting sqref="B59:C59">
    <cfRule type="cellIs" dxfId="22258" priority="8940" stopIfTrue="1" operator="equal">
      <formula>"Towel"</formula>
    </cfRule>
    <cfRule type="cellIs" dxfId="22257" priority="8941" stopIfTrue="1" operator="equal">
      <formula>"Napkin Hs"</formula>
    </cfRule>
  </conditionalFormatting>
  <conditionalFormatting sqref="C59">
    <cfRule type="cellIs" dxfId="22256" priority="8936" stopIfTrue="1" operator="equal">
      <formula>"Towel"</formula>
    </cfRule>
    <cfRule type="cellIs" dxfId="22255" priority="8937" stopIfTrue="1" operator="equal">
      <formula>"Napkin Hs"</formula>
    </cfRule>
  </conditionalFormatting>
  <conditionalFormatting sqref="B59:C59">
    <cfRule type="cellIs" dxfId="22254" priority="8934" stopIfTrue="1" operator="equal">
      <formula>"Towel"</formula>
    </cfRule>
    <cfRule type="cellIs" dxfId="22253" priority="8935" stopIfTrue="1" operator="equal">
      <formula>"Napkin Hs"</formula>
    </cfRule>
  </conditionalFormatting>
  <conditionalFormatting sqref="C59">
    <cfRule type="cellIs" dxfId="22252" priority="8942" stopIfTrue="1" operator="equal">
      <formula>"Towel"</formula>
    </cfRule>
    <cfRule type="cellIs" dxfId="22251" priority="8943" stopIfTrue="1" operator="equal">
      <formula>"Napkin Hs"</formula>
    </cfRule>
  </conditionalFormatting>
  <conditionalFormatting sqref="C59">
    <cfRule type="cellIs" dxfId="22250" priority="8944" stopIfTrue="1" operator="equal">
      <formula>"Towel"</formula>
    </cfRule>
    <cfRule type="cellIs" dxfId="22249" priority="8945" stopIfTrue="1" operator="equal">
      <formula>"Napkin Hs"</formula>
    </cfRule>
  </conditionalFormatting>
  <conditionalFormatting sqref="C57">
    <cfRule type="cellIs" dxfId="22248" priority="8926" stopIfTrue="1" operator="equal">
      <formula>"Towel"</formula>
    </cfRule>
    <cfRule type="cellIs" dxfId="22247" priority="8927" stopIfTrue="1" operator="equal">
      <formula>"Napkin Hs"</formula>
    </cfRule>
  </conditionalFormatting>
  <conditionalFormatting sqref="B57:C57">
    <cfRule type="cellIs" dxfId="22246" priority="8928" stopIfTrue="1" operator="equal">
      <formula>"Towel"</formula>
    </cfRule>
    <cfRule type="cellIs" dxfId="22245" priority="8929" stopIfTrue="1" operator="equal">
      <formula>"Napkin Hs"</formula>
    </cfRule>
  </conditionalFormatting>
  <conditionalFormatting sqref="C57">
    <cfRule type="cellIs" dxfId="22244" priority="8924" stopIfTrue="1" operator="equal">
      <formula>"Towel"</formula>
    </cfRule>
    <cfRule type="cellIs" dxfId="22243" priority="8925" stopIfTrue="1" operator="equal">
      <formula>"Napkin Hs"</formula>
    </cfRule>
  </conditionalFormatting>
  <conditionalFormatting sqref="B57:C57">
    <cfRule type="cellIs" dxfId="22242" priority="8922" stopIfTrue="1" operator="equal">
      <formula>"Towel"</formula>
    </cfRule>
    <cfRule type="cellIs" dxfId="22241" priority="8923" stopIfTrue="1" operator="equal">
      <formula>"Napkin Hs"</formula>
    </cfRule>
  </conditionalFormatting>
  <conditionalFormatting sqref="C57">
    <cfRule type="cellIs" dxfId="22240" priority="8930" stopIfTrue="1" operator="equal">
      <formula>"Towel"</formula>
    </cfRule>
    <cfRule type="cellIs" dxfId="22239" priority="8931" stopIfTrue="1" operator="equal">
      <formula>"Napkin Hs"</formula>
    </cfRule>
  </conditionalFormatting>
  <conditionalFormatting sqref="C57">
    <cfRule type="cellIs" dxfId="22238" priority="8932" stopIfTrue="1" operator="equal">
      <formula>"Towel"</formula>
    </cfRule>
    <cfRule type="cellIs" dxfId="22237" priority="8933" stopIfTrue="1" operator="equal">
      <formula>"Napkin Hs"</formula>
    </cfRule>
  </conditionalFormatting>
  <conditionalFormatting sqref="B58:C58">
    <cfRule type="cellIs" dxfId="22236" priority="8920" stopIfTrue="1" operator="equal">
      <formula>"Towel"</formula>
    </cfRule>
    <cfRule type="cellIs" dxfId="22235" priority="8921" stopIfTrue="1" operator="equal">
      <formula>"Napkin Hs"</formula>
    </cfRule>
  </conditionalFormatting>
  <conditionalFormatting sqref="C58">
    <cfRule type="cellIs" dxfId="22234" priority="8918" stopIfTrue="1" operator="equal">
      <formula>"Towel"</formula>
    </cfRule>
    <cfRule type="cellIs" dxfId="22233" priority="8919" stopIfTrue="1" operator="equal">
      <formula>"Napkin Hs"</formula>
    </cfRule>
  </conditionalFormatting>
  <conditionalFormatting sqref="C58">
    <cfRule type="cellIs" dxfId="22232" priority="8916" stopIfTrue="1" operator="equal">
      <formula>"Towel"</formula>
    </cfRule>
    <cfRule type="cellIs" dxfId="22231" priority="8917" stopIfTrue="1" operator="equal">
      <formula>"Napkin Hs"</formula>
    </cfRule>
  </conditionalFormatting>
  <conditionalFormatting sqref="B57:C57">
    <cfRule type="cellIs" dxfId="22230" priority="8914" stopIfTrue="1" operator="equal">
      <formula>"Towel"</formula>
    </cfRule>
    <cfRule type="cellIs" dxfId="22229" priority="8915" stopIfTrue="1" operator="equal">
      <formula>"Napkin Hs"</formula>
    </cfRule>
  </conditionalFormatting>
  <conditionalFormatting sqref="C57">
    <cfRule type="cellIs" dxfId="22228" priority="8910" stopIfTrue="1" operator="equal">
      <formula>"Towel"</formula>
    </cfRule>
    <cfRule type="cellIs" dxfId="22227" priority="8911" stopIfTrue="1" operator="equal">
      <formula>"Napkin Hs"</formula>
    </cfRule>
  </conditionalFormatting>
  <conditionalFormatting sqref="C57">
    <cfRule type="cellIs" dxfId="22226" priority="8912" stopIfTrue="1" operator="equal">
      <formula>"Towel"</formula>
    </cfRule>
    <cfRule type="cellIs" dxfId="22225" priority="8913" stopIfTrue="1" operator="equal">
      <formula>"Napkin Hs"</formula>
    </cfRule>
  </conditionalFormatting>
  <conditionalFormatting sqref="B57:C57">
    <cfRule type="cellIs" dxfId="22224" priority="8908" stopIfTrue="1" operator="equal">
      <formula>"Towel"</formula>
    </cfRule>
    <cfRule type="cellIs" dxfId="22223" priority="8909" stopIfTrue="1" operator="equal">
      <formula>"Napkin Hs"</formula>
    </cfRule>
  </conditionalFormatting>
  <conditionalFormatting sqref="C57">
    <cfRule type="cellIs" dxfId="22222" priority="8904" stopIfTrue="1" operator="equal">
      <formula>"Towel"</formula>
    </cfRule>
    <cfRule type="cellIs" dxfId="22221" priority="8905" stopIfTrue="1" operator="equal">
      <formula>"Napkin Hs"</formula>
    </cfRule>
  </conditionalFormatting>
  <conditionalFormatting sqref="C57">
    <cfRule type="cellIs" dxfId="22220" priority="8906" stopIfTrue="1" operator="equal">
      <formula>"Towel"</formula>
    </cfRule>
    <cfRule type="cellIs" dxfId="22219" priority="8907" stopIfTrue="1" operator="equal">
      <formula>"Napkin Hs"</formula>
    </cfRule>
  </conditionalFormatting>
  <conditionalFormatting sqref="C58">
    <cfRule type="cellIs" dxfId="22218" priority="8896" stopIfTrue="1" operator="equal">
      <formula>"Towel"</formula>
    </cfRule>
    <cfRule type="cellIs" dxfId="22217" priority="8897" stopIfTrue="1" operator="equal">
      <formula>"Napkin Hs"</formula>
    </cfRule>
  </conditionalFormatting>
  <conditionalFormatting sqref="B58:C58">
    <cfRule type="cellIs" dxfId="22216" priority="8898" stopIfTrue="1" operator="equal">
      <formula>"Towel"</formula>
    </cfRule>
    <cfRule type="cellIs" dxfId="22215" priority="8899" stopIfTrue="1" operator="equal">
      <formula>"Napkin Hs"</formula>
    </cfRule>
  </conditionalFormatting>
  <conditionalFormatting sqref="C58">
    <cfRule type="cellIs" dxfId="22214" priority="8894" stopIfTrue="1" operator="equal">
      <formula>"Towel"</formula>
    </cfRule>
    <cfRule type="cellIs" dxfId="22213" priority="8895" stopIfTrue="1" operator="equal">
      <formula>"Napkin Hs"</formula>
    </cfRule>
  </conditionalFormatting>
  <conditionalFormatting sqref="B58:C58">
    <cfRule type="cellIs" dxfId="22212" priority="8892" stopIfTrue="1" operator="equal">
      <formula>"Towel"</formula>
    </cfRule>
    <cfRule type="cellIs" dxfId="22211" priority="8893" stopIfTrue="1" operator="equal">
      <formula>"Napkin Hs"</formula>
    </cfRule>
  </conditionalFormatting>
  <conditionalFormatting sqref="C58">
    <cfRule type="cellIs" dxfId="22210" priority="8900" stopIfTrue="1" operator="equal">
      <formula>"Towel"</formula>
    </cfRule>
    <cfRule type="cellIs" dxfId="22209" priority="8901" stopIfTrue="1" operator="equal">
      <formula>"Napkin Hs"</formula>
    </cfRule>
  </conditionalFormatting>
  <conditionalFormatting sqref="C58">
    <cfRule type="cellIs" dxfId="22208" priority="8902" stopIfTrue="1" operator="equal">
      <formula>"Towel"</formula>
    </cfRule>
    <cfRule type="cellIs" dxfId="22207" priority="8903" stopIfTrue="1" operator="equal">
      <formula>"Napkin Hs"</formula>
    </cfRule>
  </conditionalFormatting>
  <conditionalFormatting sqref="B58:C58">
    <cfRule type="cellIs" dxfId="22206" priority="8890" stopIfTrue="1" operator="equal">
      <formula>"Towel"</formula>
    </cfRule>
    <cfRule type="cellIs" dxfId="22205" priority="8891" stopIfTrue="1" operator="equal">
      <formula>"Napkin Hs"</formula>
    </cfRule>
  </conditionalFormatting>
  <conditionalFormatting sqref="C58">
    <cfRule type="cellIs" dxfId="22204" priority="8882" stopIfTrue="1" operator="equal">
      <formula>"Towel"</formula>
    </cfRule>
    <cfRule type="cellIs" dxfId="22203" priority="8883" stopIfTrue="1" operator="equal">
      <formula>"Napkin Hs"</formula>
    </cfRule>
  </conditionalFormatting>
  <conditionalFormatting sqref="C58">
    <cfRule type="cellIs" dxfId="22202" priority="8886" stopIfTrue="1" operator="equal">
      <formula>"Towel"</formula>
    </cfRule>
    <cfRule type="cellIs" dxfId="22201" priority="8887" stopIfTrue="1" operator="equal">
      <formula>"Napkin Hs"</formula>
    </cfRule>
  </conditionalFormatting>
  <conditionalFormatting sqref="C58">
    <cfRule type="cellIs" dxfId="22200" priority="8889" stopIfTrue="1" operator="equal">
      <formula>"Napkin Hs"</formula>
    </cfRule>
  </conditionalFormatting>
  <conditionalFormatting sqref="C58">
    <cfRule type="cellIs" dxfId="22199" priority="8884" stopIfTrue="1" operator="equal">
      <formula>"Towel"</formula>
    </cfRule>
    <cfRule type="cellIs" dxfId="22198" priority="8885" stopIfTrue="1" operator="equal">
      <formula>"Napkin Hs"</formula>
    </cfRule>
  </conditionalFormatting>
  <conditionalFormatting sqref="C58">
    <cfRule type="cellIs" dxfId="22197" priority="8888" stopIfTrue="1" operator="equal">
      <formula>"Towel"</formula>
    </cfRule>
  </conditionalFormatting>
  <conditionalFormatting sqref="C58">
    <cfRule type="cellIs" dxfId="22196" priority="8880" stopIfTrue="1" operator="equal">
      <formula>"Towel"</formula>
    </cfRule>
    <cfRule type="cellIs" dxfId="22195" priority="8881" stopIfTrue="1" operator="equal">
      <formula>"Napkin Hs"</formula>
    </cfRule>
  </conditionalFormatting>
  <conditionalFormatting sqref="B58">
    <cfRule type="cellIs" dxfId="22194" priority="8878" stopIfTrue="1" operator="equal">
      <formula>"Towel"</formula>
    </cfRule>
    <cfRule type="cellIs" dxfId="22193" priority="8879" stopIfTrue="1" operator="equal">
      <formula>"Napkin Hs"</formula>
    </cfRule>
  </conditionalFormatting>
  <conditionalFormatting sqref="C57">
    <cfRule type="cellIs" dxfId="22192" priority="8874" stopIfTrue="1" operator="equal">
      <formula>"Towel"</formula>
    </cfRule>
    <cfRule type="cellIs" dxfId="22191" priority="8875" stopIfTrue="1" operator="equal">
      <formula>"Napkin Hs"</formula>
    </cfRule>
  </conditionalFormatting>
  <conditionalFormatting sqref="C57">
    <cfRule type="cellIs" dxfId="22190" priority="8876" stopIfTrue="1" operator="equal">
      <formula>"Towel"</formula>
    </cfRule>
    <cfRule type="cellIs" dxfId="22189" priority="8877" stopIfTrue="1" operator="equal">
      <formula>"Napkin Hs"</formula>
    </cfRule>
  </conditionalFormatting>
  <conditionalFormatting sqref="C57">
    <cfRule type="cellIs" dxfId="22188" priority="8872" stopIfTrue="1" operator="equal">
      <formula>"Towel"</formula>
    </cfRule>
    <cfRule type="cellIs" dxfId="22187" priority="8873" stopIfTrue="1" operator="equal">
      <formula>"Napkin Hs"</formula>
    </cfRule>
  </conditionalFormatting>
  <conditionalFormatting sqref="B57">
    <cfRule type="cellIs" dxfId="22186" priority="8870" stopIfTrue="1" operator="equal">
      <formula>"Towel"</formula>
    </cfRule>
    <cfRule type="cellIs" dxfId="22185" priority="8871" stopIfTrue="1" operator="equal">
      <formula>"Napkin Hs"</formula>
    </cfRule>
  </conditionalFormatting>
  <conditionalFormatting sqref="C57">
    <cfRule type="cellIs" dxfId="22184" priority="8862" stopIfTrue="1" operator="equal">
      <formula>"Towel"</formula>
    </cfRule>
    <cfRule type="cellIs" dxfId="22183" priority="8863" stopIfTrue="1" operator="equal">
      <formula>"Napkin Hs"</formula>
    </cfRule>
  </conditionalFormatting>
  <conditionalFormatting sqref="B57:C57">
    <cfRule type="cellIs" dxfId="22182" priority="8864" stopIfTrue="1" operator="equal">
      <formula>"Towel"</formula>
    </cfRule>
    <cfRule type="cellIs" dxfId="22181" priority="8865" stopIfTrue="1" operator="equal">
      <formula>"Napkin Hs"</formula>
    </cfRule>
  </conditionalFormatting>
  <conditionalFormatting sqref="C57">
    <cfRule type="cellIs" dxfId="22180" priority="8860" stopIfTrue="1" operator="equal">
      <formula>"Towel"</formula>
    </cfRule>
    <cfRule type="cellIs" dxfId="22179" priority="8861" stopIfTrue="1" operator="equal">
      <formula>"Napkin Hs"</formula>
    </cfRule>
  </conditionalFormatting>
  <conditionalFormatting sqref="B57:C57">
    <cfRule type="cellIs" dxfId="22178" priority="8858" stopIfTrue="1" operator="equal">
      <formula>"Towel"</formula>
    </cfRule>
    <cfRule type="cellIs" dxfId="22177" priority="8859" stopIfTrue="1" operator="equal">
      <formula>"Napkin Hs"</formula>
    </cfRule>
  </conditionalFormatting>
  <conditionalFormatting sqref="C57">
    <cfRule type="cellIs" dxfId="22176" priority="8866" stopIfTrue="1" operator="equal">
      <formula>"Towel"</formula>
    </cfRule>
    <cfRule type="cellIs" dxfId="22175" priority="8867" stopIfTrue="1" operator="equal">
      <formula>"Napkin Hs"</formula>
    </cfRule>
  </conditionalFormatting>
  <conditionalFormatting sqref="C57">
    <cfRule type="cellIs" dxfId="22174" priority="8868" stopIfTrue="1" operator="equal">
      <formula>"Towel"</formula>
    </cfRule>
    <cfRule type="cellIs" dxfId="22173" priority="8869" stopIfTrue="1" operator="equal">
      <formula>"Napkin Hs"</formula>
    </cfRule>
  </conditionalFormatting>
  <conditionalFormatting sqref="C57">
    <cfRule type="cellIs" dxfId="22172" priority="8850" stopIfTrue="1" operator="equal">
      <formula>"Towel"</formula>
    </cfRule>
    <cfRule type="cellIs" dxfId="22171" priority="8851" stopIfTrue="1" operator="equal">
      <formula>"Napkin Hs"</formula>
    </cfRule>
  </conditionalFormatting>
  <conditionalFormatting sqref="B57:C57">
    <cfRule type="cellIs" dxfId="22170" priority="8852" stopIfTrue="1" operator="equal">
      <formula>"Towel"</formula>
    </cfRule>
    <cfRule type="cellIs" dxfId="22169" priority="8853" stopIfTrue="1" operator="equal">
      <formula>"Napkin Hs"</formula>
    </cfRule>
  </conditionalFormatting>
  <conditionalFormatting sqref="C57">
    <cfRule type="cellIs" dxfId="22168" priority="8848" stopIfTrue="1" operator="equal">
      <formula>"Towel"</formula>
    </cfRule>
    <cfRule type="cellIs" dxfId="22167" priority="8849" stopIfTrue="1" operator="equal">
      <formula>"Napkin Hs"</formula>
    </cfRule>
  </conditionalFormatting>
  <conditionalFormatting sqref="B57:C57">
    <cfRule type="cellIs" dxfId="22166" priority="8846" stopIfTrue="1" operator="equal">
      <formula>"Towel"</formula>
    </cfRule>
    <cfRule type="cellIs" dxfId="22165" priority="8847" stopIfTrue="1" operator="equal">
      <formula>"Napkin Hs"</formula>
    </cfRule>
  </conditionalFormatting>
  <conditionalFormatting sqref="C57">
    <cfRule type="cellIs" dxfId="22164" priority="8854" stopIfTrue="1" operator="equal">
      <formula>"Towel"</formula>
    </cfRule>
    <cfRule type="cellIs" dxfId="22163" priority="8855" stopIfTrue="1" operator="equal">
      <formula>"Napkin Hs"</formula>
    </cfRule>
  </conditionalFormatting>
  <conditionalFormatting sqref="C57">
    <cfRule type="cellIs" dxfId="22162" priority="8856" stopIfTrue="1" operator="equal">
      <formula>"Towel"</formula>
    </cfRule>
    <cfRule type="cellIs" dxfId="22161" priority="8857" stopIfTrue="1" operator="equal">
      <formula>"Napkin Hs"</formula>
    </cfRule>
  </conditionalFormatting>
  <conditionalFormatting sqref="C57">
    <cfRule type="cellIs" dxfId="22160" priority="8838" stopIfTrue="1" operator="equal">
      <formula>"Towel"</formula>
    </cfRule>
    <cfRule type="cellIs" dxfId="22159" priority="8839" stopIfTrue="1" operator="equal">
      <formula>"Napkin Hs"</formula>
    </cfRule>
  </conditionalFormatting>
  <conditionalFormatting sqref="B57:C57">
    <cfRule type="cellIs" dxfId="22158" priority="8840" stopIfTrue="1" operator="equal">
      <formula>"Towel"</formula>
    </cfRule>
    <cfRule type="cellIs" dxfId="22157" priority="8841" stopIfTrue="1" operator="equal">
      <formula>"Napkin Hs"</formula>
    </cfRule>
  </conditionalFormatting>
  <conditionalFormatting sqref="C57">
    <cfRule type="cellIs" dxfId="22156" priority="8836" stopIfTrue="1" operator="equal">
      <formula>"Towel"</formula>
    </cfRule>
    <cfRule type="cellIs" dxfId="22155" priority="8837" stopIfTrue="1" operator="equal">
      <formula>"Napkin Hs"</formula>
    </cfRule>
  </conditionalFormatting>
  <conditionalFormatting sqref="B57:C57">
    <cfRule type="cellIs" dxfId="22154" priority="8834" stopIfTrue="1" operator="equal">
      <formula>"Towel"</formula>
    </cfRule>
    <cfRule type="cellIs" dxfId="22153" priority="8835" stopIfTrue="1" operator="equal">
      <formula>"Napkin Hs"</formula>
    </cfRule>
  </conditionalFormatting>
  <conditionalFormatting sqref="C57">
    <cfRule type="cellIs" dxfId="22152" priority="8842" stopIfTrue="1" operator="equal">
      <formula>"Towel"</formula>
    </cfRule>
    <cfRule type="cellIs" dxfId="22151" priority="8843" stopIfTrue="1" operator="equal">
      <formula>"Napkin Hs"</formula>
    </cfRule>
  </conditionalFormatting>
  <conditionalFormatting sqref="C57">
    <cfRule type="cellIs" dxfId="22150" priority="8844" stopIfTrue="1" operator="equal">
      <formula>"Towel"</formula>
    </cfRule>
    <cfRule type="cellIs" dxfId="22149" priority="8845" stopIfTrue="1" operator="equal">
      <formula>"Napkin Hs"</formula>
    </cfRule>
  </conditionalFormatting>
  <conditionalFormatting sqref="B57:C57">
    <cfRule type="cellIs" dxfId="22148" priority="8832" stopIfTrue="1" operator="equal">
      <formula>"Towel"</formula>
    </cfRule>
    <cfRule type="cellIs" dxfId="22147" priority="8833" stopIfTrue="1" operator="equal">
      <formula>"Napkin Hs"</formula>
    </cfRule>
  </conditionalFormatting>
  <conditionalFormatting sqref="C57">
    <cfRule type="cellIs" dxfId="22146" priority="8828" stopIfTrue="1" operator="equal">
      <formula>"Towel"</formula>
    </cfRule>
    <cfRule type="cellIs" dxfId="22145" priority="8829" stopIfTrue="1" operator="equal">
      <formula>"Napkin Hs"</formula>
    </cfRule>
  </conditionalFormatting>
  <conditionalFormatting sqref="C57">
    <cfRule type="cellIs" dxfId="22144" priority="8831" stopIfTrue="1" operator="equal">
      <formula>"Napkin Hs"</formula>
    </cfRule>
  </conditionalFormatting>
  <conditionalFormatting sqref="C57">
    <cfRule type="cellIs" dxfId="22143" priority="8830" stopIfTrue="1" operator="equal">
      <formula>"Towel"</formula>
    </cfRule>
  </conditionalFormatting>
  <conditionalFormatting sqref="B57:C57">
    <cfRule type="cellIs" dxfId="22142" priority="8826" stopIfTrue="1" operator="equal">
      <formula>"Towel"</formula>
    </cfRule>
    <cfRule type="cellIs" dxfId="22141" priority="8827" stopIfTrue="1" operator="equal">
      <formula>"Napkin Hs"</formula>
    </cfRule>
  </conditionalFormatting>
  <conditionalFormatting sqref="C57">
    <cfRule type="cellIs" dxfId="22140" priority="8822" stopIfTrue="1" operator="equal">
      <formula>"Towel"</formula>
    </cfRule>
    <cfRule type="cellIs" dxfId="22139" priority="8823" stopIfTrue="1" operator="equal">
      <formula>"Napkin Hs"</formula>
    </cfRule>
  </conditionalFormatting>
  <conditionalFormatting sqref="C57">
    <cfRule type="cellIs" dxfId="22138" priority="8825" stopIfTrue="1" operator="equal">
      <formula>"Napkin Hs"</formula>
    </cfRule>
  </conditionalFormatting>
  <conditionalFormatting sqref="C57">
    <cfRule type="cellIs" dxfId="22137" priority="8824" stopIfTrue="1" operator="equal">
      <formula>"Towel"</formula>
    </cfRule>
  </conditionalFormatting>
  <conditionalFormatting sqref="C57">
    <cfRule type="cellIs" dxfId="22136" priority="8814" stopIfTrue="1" operator="equal">
      <formula>"Towel"</formula>
    </cfRule>
    <cfRule type="cellIs" dxfId="22135" priority="8815" stopIfTrue="1" operator="equal">
      <formula>"Napkin Hs"</formula>
    </cfRule>
  </conditionalFormatting>
  <conditionalFormatting sqref="B57:C57">
    <cfRule type="cellIs" dxfId="22134" priority="8816" stopIfTrue="1" operator="equal">
      <formula>"Towel"</formula>
    </cfRule>
    <cfRule type="cellIs" dxfId="22133" priority="8817" stopIfTrue="1" operator="equal">
      <formula>"Napkin Hs"</formula>
    </cfRule>
  </conditionalFormatting>
  <conditionalFormatting sqref="C57">
    <cfRule type="cellIs" dxfId="22132" priority="8812" stopIfTrue="1" operator="equal">
      <formula>"Towel"</formula>
    </cfRule>
    <cfRule type="cellIs" dxfId="22131" priority="8813" stopIfTrue="1" operator="equal">
      <formula>"Napkin Hs"</formula>
    </cfRule>
  </conditionalFormatting>
  <conditionalFormatting sqref="B57:C57">
    <cfRule type="cellIs" dxfId="22130" priority="8810" stopIfTrue="1" operator="equal">
      <formula>"Towel"</formula>
    </cfRule>
    <cfRule type="cellIs" dxfId="22129" priority="8811" stopIfTrue="1" operator="equal">
      <formula>"Napkin Hs"</formula>
    </cfRule>
  </conditionalFormatting>
  <conditionalFormatting sqref="C57">
    <cfRule type="cellIs" dxfId="22128" priority="8818" stopIfTrue="1" operator="equal">
      <formula>"Towel"</formula>
    </cfRule>
    <cfRule type="cellIs" dxfId="22127" priority="8819" stopIfTrue="1" operator="equal">
      <formula>"Napkin Hs"</formula>
    </cfRule>
  </conditionalFormatting>
  <conditionalFormatting sqref="C57">
    <cfRule type="cellIs" dxfId="22126" priority="8820" stopIfTrue="1" operator="equal">
      <formula>"Towel"</formula>
    </cfRule>
    <cfRule type="cellIs" dxfId="22125" priority="8821" stopIfTrue="1" operator="equal">
      <formula>"Napkin Hs"</formula>
    </cfRule>
  </conditionalFormatting>
  <conditionalFormatting sqref="B57:C57">
    <cfRule type="cellIs" dxfId="22124" priority="8808" stopIfTrue="1" operator="equal">
      <formula>"Towel"</formula>
    </cfRule>
    <cfRule type="cellIs" dxfId="22123" priority="8809" stopIfTrue="1" operator="equal">
      <formula>"Napkin Hs"</formula>
    </cfRule>
  </conditionalFormatting>
  <conditionalFormatting sqref="C57">
    <cfRule type="cellIs" dxfId="22122" priority="8800" stopIfTrue="1" operator="equal">
      <formula>"Towel"</formula>
    </cfRule>
    <cfRule type="cellIs" dxfId="22121" priority="8801" stopIfTrue="1" operator="equal">
      <formula>"Napkin Hs"</formula>
    </cfRule>
  </conditionalFormatting>
  <conditionalFormatting sqref="C57">
    <cfRule type="cellIs" dxfId="22120" priority="8804" stopIfTrue="1" operator="equal">
      <formula>"Towel"</formula>
    </cfRule>
    <cfRule type="cellIs" dxfId="22119" priority="8805" stopIfTrue="1" operator="equal">
      <formula>"Napkin Hs"</formula>
    </cfRule>
  </conditionalFormatting>
  <conditionalFormatting sqref="C57">
    <cfRule type="cellIs" dxfId="22118" priority="8807" stopIfTrue="1" operator="equal">
      <formula>"Napkin Hs"</formula>
    </cfRule>
  </conditionalFormatting>
  <conditionalFormatting sqref="C57">
    <cfRule type="cellIs" dxfId="22117" priority="8802" stopIfTrue="1" operator="equal">
      <formula>"Towel"</formula>
    </cfRule>
    <cfRule type="cellIs" dxfId="22116" priority="8803" stopIfTrue="1" operator="equal">
      <formula>"Napkin Hs"</formula>
    </cfRule>
  </conditionalFormatting>
  <conditionalFormatting sqref="C57">
    <cfRule type="cellIs" dxfId="22115" priority="8806" stopIfTrue="1" operator="equal">
      <formula>"Towel"</formula>
    </cfRule>
  </conditionalFormatting>
  <conditionalFormatting sqref="C57">
    <cfRule type="cellIs" dxfId="22114" priority="8798" stopIfTrue="1" operator="equal">
      <formula>"Towel"</formula>
    </cfRule>
    <cfRule type="cellIs" dxfId="22113" priority="8799" stopIfTrue="1" operator="equal">
      <formula>"Napkin Hs"</formula>
    </cfRule>
  </conditionalFormatting>
  <conditionalFormatting sqref="B57">
    <cfRule type="cellIs" dxfId="22112" priority="8796" stopIfTrue="1" operator="equal">
      <formula>"Towel"</formula>
    </cfRule>
    <cfRule type="cellIs" dxfId="22111" priority="8797" stopIfTrue="1" operator="equal">
      <formula>"Napkin Hs"</formula>
    </cfRule>
  </conditionalFormatting>
  <conditionalFormatting sqref="B57:C57">
    <cfRule type="cellIs" dxfId="22110" priority="8794" stopIfTrue="1" operator="equal">
      <formula>"Towel"</formula>
    </cfRule>
    <cfRule type="cellIs" dxfId="22109" priority="8795" stopIfTrue="1" operator="equal">
      <formula>"Napkin Hs"</formula>
    </cfRule>
  </conditionalFormatting>
  <conditionalFormatting sqref="C57">
    <cfRule type="cellIs" dxfId="22108" priority="8786" stopIfTrue="1" operator="equal">
      <formula>"Towel"</formula>
    </cfRule>
    <cfRule type="cellIs" dxfId="22107" priority="8787" stopIfTrue="1" operator="equal">
      <formula>"Napkin Hs"</formula>
    </cfRule>
  </conditionalFormatting>
  <conditionalFormatting sqref="C57">
    <cfRule type="cellIs" dxfId="22106" priority="8790" stopIfTrue="1" operator="equal">
      <formula>"Towel"</formula>
    </cfRule>
    <cfRule type="cellIs" dxfId="22105" priority="8791" stopIfTrue="1" operator="equal">
      <formula>"Napkin Hs"</formula>
    </cfRule>
  </conditionalFormatting>
  <conditionalFormatting sqref="C57">
    <cfRule type="cellIs" dxfId="22104" priority="8793" stopIfTrue="1" operator="equal">
      <formula>"Napkin Hs"</formula>
    </cfRule>
  </conditionalFormatting>
  <conditionalFormatting sqref="C57">
    <cfRule type="cellIs" dxfId="22103" priority="8788" stopIfTrue="1" operator="equal">
      <formula>"Towel"</formula>
    </cfRule>
    <cfRule type="cellIs" dxfId="22102" priority="8789" stopIfTrue="1" operator="equal">
      <formula>"Napkin Hs"</formula>
    </cfRule>
  </conditionalFormatting>
  <conditionalFormatting sqref="C57">
    <cfRule type="cellIs" dxfId="22101" priority="8792" stopIfTrue="1" operator="equal">
      <formula>"Towel"</formula>
    </cfRule>
  </conditionalFormatting>
  <conditionalFormatting sqref="C57">
    <cfRule type="cellIs" dxfId="22100" priority="8784" stopIfTrue="1" operator="equal">
      <formula>"Towel"</formula>
    </cfRule>
    <cfRule type="cellIs" dxfId="22099" priority="8785" stopIfTrue="1" operator="equal">
      <formula>"Napkin Hs"</formula>
    </cfRule>
  </conditionalFormatting>
  <conditionalFormatting sqref="B57">
    <cfRule type="cellIs" dxfId="22098" priority="8782" stopIfTrue="1" operator="equal">
      <formula>"Towel"</formula>
    </cfRule>
    <cfRule type="cellIs" dxfId="22097" priority="8783" stopIfTrue="1" operator="equal">
      <formula>"Napkin Hs"</formula>
    </cfRule>
  </conditionalFormatting>
  <conditionalFormatting sqref="B57:C57">
    <cfRule type="cellIs" dxfId="22096" priority="8758" stopIfTrue="1" operator="equal">
      <formula>"Towel"</formula>
    </cfRule>
  </conditionalFormatting>
  <conditionalFormatting sqref="B57:C57">
    <cfRule type="cellIs" dxfId="22095" priority="8759" stopIfTrue="1" operator="equal">
      <formula>"Napkin Hs"</formula>
    </cfRule>
    <cfRule type="cellIs" dxfId="22094" priority="8764" stopIfTrue="1" operator="equal">
      <formula>"Towel"</formula>
    </cfRule>
    <cfRule type="cellIs" dxfId="22093" priority="8765" stopIfTrue="1" operator="equal">
      <formula>"Napkin Hs"</formula>
    </cfRule>
    <cfRule type="cellIs" dxfId="22092" priority="8774" stopIfTrue="1" operator="equal">
      <formula>"Towel"</formula>
    </cfRule>
    <cfRule type="cellIs" dxfId="22091" priority="8775" stopIfTrue="1" operator="equal">
      <formula>"Napkin Hs"</formula>
    </cfRule>
    <cfRule type="cellIs" dxfId="22090" priority="8780" stopIfTrue="1" operator="equal">
      <formula>"Towel"</formula>
    </cfRule>
    <cfRule type="cellIs" dxfId="22089" priority="8781" stopIfTrue="1" operator="equal">
      <formula>"Napkin Hs"</formula>
    </cfRule>
  </conditionalFormatting>
  <conditionalFormatting sqref="C57">
    <cfRule type="cellIs" dxfId="22088" priority="8760" stopIfTrue="1" operator="equal">
      <formula>"Towel"</formula>
    </cfRule>
    <cfRule type="cellIs" dxfId="22087" priority="8761" stopIfTrue="1" operator="equal">
      <formula>"Napkin Hs"</formula>
    </cfRule>
    <cfRule type="cellIs" dxfId="22086" priority="8762" stopIfTrue="1" operator="equal">
      <formula>"Towel"</formula>
    </cfRule>
    <cfRule type="cellIs" dxfId="22085" priority="8763" stopIfTrue="1" operator="equal">
      <formula>"Napkin Hs"</formula>
    </cfRule>
    <cfRule type="cellIs" dxfId="22084" priority="8766" stopIfTrue="1" operator="equal">
      <formula>"Towel"</formula>
    </cfRule>
    <cfRule type="cellIs" dxfId="22083" priority="8767" stopIfTrue="1" operator="equal">
      <formula>"Napkin Hs"</formula>
    </cfRule>
    <cfRule type="cellIs" dxfId="22082" priority="8768" stopIfTrue="1" operator="equal">
      <formula>"Towel"</formula>
    </cfRule>
    <cfRule type="cellIs" dxfId="22081" priority="8769" stopIfTrue="1" operator="equal">
      <formula>"Napkin Hs"</formula>
    </cfRule>
    <cfRule type="cellIs" dxfId="22080" priority="8770" stopIfTrue="1" operator="equal">
      <formula>"Towel"</formula>
    </cfRule>
    <cfRule type="cellIs" dxfId="22079" priority="8771" stopIfTrue="1" operator="equal">
      <formula>"Napkin Hs"</formula>
    </cfRule>
    <cfRule type="cellIs" dxfId="22078" priority="8772" stopIfTrue="1" operator="equal">
      <formula>"Towel"</formula>
    </cfRule>
    <cfRule type="cellIs" dxfId="22077" priority="8773" stopIfTrue="1" operator="equal">
      <formula>"Napkin Hs"</formula>
    </cfRule>
    <cfRule type="cellIs" dxfId="22076" priority="8776" stopIfTrue="1" operator="equal">
      <formula>"Towel"</formula>
    </cfRule>
    <cfRule type="cellIs" dxfId="22075" priority="8777" stopIfTrue="1" operator="equal">
      <formula>"Napkin Hs"</formula>
    </cfRule>
    <cfRule type="cellIs" dxfId="22074" priority="8779" stopIfTrue="1" operator="equal">
      <formula>"Napkin Hs"</formula>
    </cfRule>
  </conditionalFormatting>
  <conditionalFormatting sqref="C57">
    <cfRule type="cellIs" dxfId="22073" priority="8778" stopIfTrue="1" operator="equal">
      <formula>"Towel"</formula>
    </cfRule>
  </conditionalFormatting>
  <conditionalFormatting sqref="B57:C57">
    <cfRule type="cellIs" dxfId="22072" priority="8756" stopIfTrue="1" operator="equal">
      <formula>"Towel"</formula>
    </cfRule>
    <cfRule type="cellIs" dxfId="22071" priority="8757" stopIfTrue="1" operator="equal">
      <formula>"Napkin Hs"</formula>
    </cfRule>
  </conditionalFormatting>
  <conditionalFormatting sqref="C57">
    <cfRule type="cellIs" dxfId="22070" priority="8755" stopIfTrue="1" operator="equal">
      <formula>"Napkin Hs"</formula>
    </cfRule>
  </conditionalFormatting>
  <conditionalFormatting sqref="C57">
    <cfRule type="cellIs" dxfId="22069" priority="8754" stopIfTrue="1" operator="equal">
      <formula>"Towel"</formula>
    </cfRule>
  </conditionalFormatting>
  <conditionalFormatting sqref="C57">
    <cfRule type="cellIs" dxfId="22068" priority="8752" stopIfTrue="1" operator="equal">
      <formula>"Towel"</formula>
    </cfRule>
  </conditionalFormatting>
  <conditionalFormatting sqref="C57">
    <cfRule type="cellIs" dxfId="22067" priority="8753" stopIfTrue="1" operator="equal">
      <formula>"Napkin Hs"</formula>
    </cfRule>
  </conditionalFormatting>
  <conditionalFormatting sqref="B57">
    <cfRule type="cellIs" dxfId="22066" priority="8656" stopIfTrue="1" operator="equal">
      <formula>"Napkin Hs"</formula>
    </cfRule>
  </conditionalFormatting>
  <conditionalFormatting sqref="B57:C57">
    <cfRule type="cellIs" dxfId="22065" priority="8655" stopIfTrue="1" operator="equal">
      <formula>"Towel"</formula>
    </cfRule>
  </conditionalFormatting>
  <conditionalFormatting sqref="B57:C57">
    <cfRule type="cellIs" dxfId="22064" priority="8666" stopIfTrue="1" operator="equal">
      <formula>"Towel"</formula>
    </cfRule>
    <cfRule type="cellIs" dxfId="22063" priority="8667" stopIfTrue="1" operator="equal">
      <formula>"Napkin Hs"</formula>
    </cfRule>
    <cfRule type="cellIs" dxfId="22062" priority="8672" stopIfTrue="1" operator="equal">
      <formula>"Towel"</formula>
    </cfRule>
    <cfRule type="cellIs" dxfId="22061" priority="8673" stopIfTrue="1" operator="equal">
      <formula>"Napkin Hs"</formula>
    </cfRule>
    <cfRule type="cellIs" dxfId="22060" priority="8678" stopIfTrue="1" operator="equal">
      <formula>"Towel"</formula>
    </cfRule>
    <cfRule type="cellIs" dxfId="22059" priority="8679" stopIfTrue="1" operator="equal">
      <formula>"Napkin Hs"</formula>
    </cfRule>
    <cfRule type="cellIs" dxfId="22058" priority="8680" stopIfTrue="1" operator="equal">
      <formula>"Towel"</formula>
    </cfRule>
    <cfRule type="cellIs" dxfId="22057" priority="8681" stopIfTrue="1" operator="equal">
      <formula>"Napkin Hs"</formula>
    </cfRule>
    <cfRule type="cellIs" dxfId="22056" priority="8686" stopIfTrue="1" operator="equal">
      <formula>"Towel"</formula>
    </cfRule>
    <cfRule type="cellIs" dxfId="22055" priority="8687" stopIfTrue="1" operator="equal">
      <formula>"Napkin Hs"</formula>
    </cfRule>
    <cfRule type="cellIs" dxfId="22054" priority="8696" stopIfTrue="1" operator="equal">
      <formula>"Towel"</formula>
    </cfRule>
    <cfRule type="cellIs" dxfId="22053" priority="8697" stopIfTrue="1" operator="equal">
      <formula>"Napkin Hs"</formula>
    </cfRule>
    <cfRule type="cellIs" dxfId="22052" priority="8702" stopIfTrue="1" operator="equal">
      <formula>"Towel"</formula>
    </cfRule>
    <cfRule type="cellIs" dxfId="22051" priority="8703" stopIfTrue="1" operator="equal">
      <formula>"Napkin Hs"</formula>
    </cfRule>
    <cfRule type="cellIs" dxfId="22050" priority="8704" stopIfTrue="1" operator="equal">
      <formula>"Towel"</formula>
    </cfRule>
    <cfRule type="cellIs" dxfId="22049" priority="8705" stopIfTrue="1" operator="equal">
      <formula>"Napkin Hs"</formula>
    </cfRule>
    <cfRule type="cellIs" dxfId="22048" priority="8710" stopIfTrue="1" operator="equal">
      <formula>"Towel"</formula>
    </cfRule>
    <cfRule type="cellIs" dxfId="22047" priority="8711" stopIfTrue="1" operator="equal">
      <formula>"Napkin Hs"</formula>
    </cfRule>
    <cfRule type="cellIs" dxfId="22046" priority="8720" stopIfTrue="1" operator="equal">
      <formula>"Towel"</formula>
    </cfRule>
    <cfRule type="cellIs" dxfId="22045" priority="8721" stopIfTrue="1" operator="equal">
      <formula>"Napkin Hs"</formula>
    </cfRule>
    <cfRule type="cellIs" dxfId="22044" priority="8722" stopIfTrue="1" operator="equal">
      <formula>"Towel"</formula>
    </cfRule>
    <cfRule type="cellIs" dxfId="22043" priority="8723" stopIfTrue="1" operator="equal">
      <formula>"Napkin Hs"</formula>
    </cfRule>
    <cfRule type="cellIs" dxfId="22042" priority="8728" stopIfTrue="1" operator="equal">
      <formula>"Towel"</formula>
    </cfRule>
    <cfRule type="cellIs" dxfId="22041" priority="8729" stopIfTrue="1" operator="equal">
      <formula>"Napkin Hs"</formula>
    </cfRule>
    <cfRule type="cellIs" dxfId="22040" priority="8738" stopIfTrue="1" operator="equal">
      <formula>"Towel"</formula>
    </cfRule>
    <cfRule type="cellIs" dxfId="22039" priority="8739" stopIfTrue="1" operator="equal">
      <formula>"Napkin Hs"</formula>
    </cfRule>
    <cfRule type="cellIs" dxfId="22038" priority="8740" stopIfTrue="1" operator="equal">
      <formula>"Towel"</formula>
    </cfRule>
    <cfRule type="cellIs" dxfId="22037" priority="8741" stopIfTrue="1" operator="equal">
      <formula>"Napkin Hs"</formula>
    </cfRule>
    <cfRule type="cellIs" dxfId="22036" priority="8747" stopIfTrue="1" operator="equal">
      <formula>"Napkin Hs"</formula>
    </cfRule>
  </conditionalFormatting>
  <conditionalFormatting sqref="B57:C57">
    <cfRule type="cellIs" dxfId="22035" priority="8746" stopIfTrue="1" operator="equal">
      <formula>"Towel"</formula>
    </cfRule>
  </conditionalFormatting>
  <conditionalFormatting sqref="C57">
    <cfRule type="cellIs" dxfId="22034" priority="8657" stopIfTrue="1" operator="equal">
      <formula>"Napkin Hs"</formula>
    </cfRule>
    <cfRule type="cellIs" dxfId="22033" priority="8658" stopIfTrue="1" operator="equal">
      <formula>"Towel"</formula>
    </cfRule>
    <cfRule type="cellIs" dxfId="22032" priority="8659" stopIfTrue="1" operator="equal">
      <formula>"Napkin Hs"</formula>
    </cfRule>
    <cfRule type="cellIs" dxfId="22031" priority="8660" stopIfTrue="1" operator="equal">
      <formula>"Towel"</formula>
    </cfRule>
    <cfRule type="cellIs" dxfId="22030" priority="8661" stopIfTrue="1" operator="equal">
      <formula>"Napkin Hs"</formula>
    </cfRule>
    <cfRule type="cellIs" dxfId="22029" priority="8662" stopIfTrue="1" operator="equal">
      <formula>"Towel"</formula>
    </cfRule>
    <cfRule type="cellIs" dxfId="22028" priority="8663" stopIfTrue="1" operator="equal">
      <formula>"Napkin Hs"</formula>
    </cfRule>
    <cfRule type="cellIs" dxfId="22027" priority="8664" stopIfTrue="1" operator="equal">
      <formula>"Towel"</formula>
    </cfRule>
    <cfRule type="cellIs" dxfId="22026" priority="8665" stopIfTrue="1" operator="equal">
      <formula>"Napkin Hs"</formula>
    </cfRule>
    <cfRule type="cellIs" dxfId="22025" priority="8668" stopIfTrue="1" operator="equal">
      <formula>"Towel"</formula>
    </cfRule>
    <cfRule type="cellIs" dxfId="22024" priority="8669" stopIfTrue="1" operator="equal">
      <formula>"Napkin Hs"</formula>
    </cfRule>
    <cfRule type="cellIs" dxfId="22023" priority="8670" stopIfTrue="1" operator="equal">
      <formula>"Towel"</formula>
    </cfRule>
    <cfRule type="cellIs" dxfId="22022" priority="8671" stopIfTrue="1" operator="equal">
      <formula>"Napkin Hs"</formula>
    </cfRule>
    <cfRule type="cellIs" dxfId="22021" priority="8674" stopIfTrue="1" operator="equal">
      <formula>"Towel"</formula>
    </cfRule>
    <cfRule type="cellIs" dxfId="22020" priority="8675" stopIfTrue="1" operator="equal">
      <formula>"Napkin Hs"</formula>
    </cfRule>
    <cfRule type="cellIs" dxfId="22019" priority="8676" stopIfTrue="1" operator="equal">
      <formula>"Towel"</formula>
    </cfRule>
    <cfRule type="cellIs" dxfId="22018" priority="8677" stopIfTrue="1" operator="equal">
      <formula>"Napkin Hs"</formula>
    </cfRule>
    <cfRule type="cellIs" dxfId="22017" priority="8682" stopIfTrue="1" operator="equal">
      <formula>"Towel"</formula>
    </cfRule>
    <cfRule type="cellIs" dxfId="22016" priority="8683" stopIfTrue="1" operator="equal">
      <formula>"Napkin Hs"</formula>
    </cfRule>
    <cfRule type="cellIs" dxfId="22015" priority="8684" stopIfTrue="1" operator="equal">
      <formula>"Towel"</formula>
    </cfRule>
    <cfRule type="cellIs" dxfId="22014" priority="8685" stopIfTrue="1" operator="equal">
      <formula>"Napkin Hs"</formula>
    </cfRule>
    <cfRule type="cellIs" dxfId="22013" priority="8688" stopIfTrue="1" operator="equal">
      <formula>"Towel"</formula>
    </cfRule>
    <cfRule type="cellIs" dxfId="22012" priority="8689" stopIfTrue="1" operator="equal">
      <formula>"Napkin Hs"</formula>
    </cfRule>
    <cfRule type="cellIs" dxfId="22011" priority="8690" stopIfTrue="1" operator="equal">
      <formula>"Towel"</formula>
    </cfRule>
    <cfRule type="cellIs" dxfId="22010" priority="8691" stopIfTrue="1" operator="equal">
      <formula>"Napkin Hs"</formula>
    </cfRule>
    <cfRule type="cellIs" dxfId="22009" priority="8692" stopIfTrue="1" operator="equal">
      <formula>"Towel"</formula>
    </cfRule>
    <cfRule type="cellIs" dxfId="22008" priority="8693" stopIfTrue="1" operator="equal">
      <formula>"Napkin Hs"</formula>
    </cfRule>
    <cfRule type="cellIs" dxfId="22007" priority="8694" stopIfTrue="1" operator="equal">
      <formula>"Towel"</formula>
    </cfRule>
    <cfRule type="cellIs" dxfId="22006" priority="8695" stopIfTrue="1" operator="equal">
      <formula>"Napkin Hs"</formula>
    </cfRule>
    <cfRule type="cellIs" dxfId="22005" priority="8698" stopIfTrue="1" operator="equal">
      <formula>"Towel"</formula>
    </cfRule>
    <cfRule type="cellIs" dxfId="22004" priority="8699" stopIfTrue="1" operator="equal">
      <formula>"Napkin Hs"</formula>
    </cfRule>
    <cfRule type="cellIs" dxfId="22003" priority="8700" stopIfTrue="1" operator="equal">
      <formula>"Towel"</formula>
    </cfRule>
    <cfRule type="cellIs" dxfId="22002" priority="8701" stopIfTrue="1" operator="equal">
      <formula>"Napkin Hs"</formula>
    </cfRule>
    <cfRule type="cellIs" dxfId="22001" priority="8706" stopIfTrue="1" operator="equal">
      <formula>"Towel"</formula>
    </cfRule>
    <cfRule type="cellIs" dxfId="22000" priority="8707" stopIfTrue="1" operator="equal">
      <formula>"Napkin Hs"</formula>
    </cfRule>
    <cfRule type="cellIs" dxfId="21999" priority="8708" stopIfTrue="1" operator="equal">
      <formula>"Towel"</formula>
    </cfRule>
    <cfRule type="cellIs" dxfId="21998" priority="8709" stopIfTrue="1" operator="equal">
      <formula>"Napkin Hs"</formula>
    </cfRule>
    <cfRule type="cellIs" dxfId="21997" priority="8712" stopIfTrue="1" operator="equal">
      <formula>"Towel"</formula>
    </cfRule>
    <cfRule type="cellIs" dxfId="21996" priority="8713" stopIfTrue="1" operator="equal">
      <formula>"Napkin Hs"</formula>
    </cfRule>
    <cfRule type="cellIs" dxfId="21995" priority="8714" stopIfTrue="1" operator="equal">
      <formula>"Towel"</formula>
    </cfRule>
    <cfRule type="cellIs" dxfId="21994" priority="8715" stopIfTrue="1" operator="equal">
      <formula>"Napkin Hs"</formula>
    </cfRule>
    <cfRule type="cellIs" dxfId="21993" priority="8716" stopIfTrue="1" operator="equal">
      <formula>"Towel"</formula>
    </cfRule>
    <cfRule type="cellIs" dxfId="21992" priority="8717" stopIfTrue="1" operator="equal">
      <formula>"Napkin Hs"</formula>
    </cfRule>
    <cfRule type="cellIs" dxfId="21991" priority="8718" stopIfTrue="1" operator="equal">
      <formula>"Towel"</formula>
    </cfRule>
    <cfRule type="cellIs" dxfId="21990" priority="8719" stopIfTrue="1" operator="equal">
      <formula>"Napkin Hs"</formula>
    </cfRule>
    <cfRule type="cellIs" dxfId="21989" priority="8724" stopIfTrue="1" operator="equal">
      <formula>"Towel"</formula>
    </cfRule>
    <cfRule type="cellIs" dxfId="21988" priority="8725" stopIfTrue="1" operator="equal">
      <formula>"Napkin Hs"</formula>
    </cfRule>
    <cfRule type="cellIs" dxfId="21987" priority="8726" stopIfTrue="1" operator="equal">
      <formula>"Towel"</formula>
    </cfRule>
    <cfRule type="cellIs" dxfId="21986" priority="8727" stopIfTrue="1" operator="equal">
      <formula>"Napkin Hs"</formula>
    </cfRule>
    <cfRule type="cellIs" dxfId="21985" priority="8730" stopIfTrue="1" operator="equal">
      <formula>"Towel"</formula>
    </cfRule>
    <cfRule type="cellIs" dxfId="21984" priority="8731" stopIfTrue="1" operator="equal">
      <formula>"Napkin Hs"</formula>
    </cfRule>
    <cfRule type="cellIs" dxfId="21983" priority="8732" stopIfTrue="1" operator="equal">
      <formula>"Towel"</formula>
    </cfRule>
    <cfRule type="cellIs" dxfId="21982" priority="8733" stopIfTrue="1" operator="equal">
      <formula>"Napkin Hs"</formula>
    </cfRule>
    <cfRule type="cellIs" dxfId="21981" priority="8734" stopIfTrue="1" operator="equal">
      <formula>"Towel"</formula>
    </cfRule>
    <cfRule type="cellIs" dxfId="21980" priority="8735" stopIfTrue="1" operator="equal">
      <formula>"Napkin Hs"</formula>
    </cfRule>
    <cfRule type="cellIs" dxfId="21979" priority="8736" stopIfTrue="1" operator="equal">
      <formula>"Towel"</formula>
    </cfRule>
    <cfRule type="cellIs" dxfId="21978" priority="8737" stopIfTrue="1" operator="equal">
      <formula>"Napkin Hs"</formula>
    </cfRule>
    <cfRule type="cellIs" dxfId="21977" priority="8742" stopIfTrue="1" operator="equal">
      <formula>"Towel"</formula>
    </cfRule>
    <cfRule type="cellIs" dxfId="21976" priority="8743" stopIfTrue="1" operator="equal">
      <formula>"Napkin Hs"</formula>
    </cfRule>
    <cfRule type="cellIs" dxfId="21975" priority="8744" stopIfTrue="1" operator="equal">
      <formula>"Towel"</formula>
    </cfRule>
    <cfRule type="cellIs" dxfId="21974" priority="8745" stopIfTrue="1" operator="equal">
      <formula>"Napkin Hs"</formula>
    </cfRule>
    <cfRule type="cellIs" dxfId="21973" priority="8748" stopIfTrue="1" operator="equal">
      <formula>"Towel"</formula>
    </cfRule>
    <cfRule type="cellIs" dxfId="21972" priority="8749" stopIfTrue="1" operator="equal">
      <formula>"Napkin Hs"</formula>
    </cfRule>
    <cfRule type="cellIs" dxfId="21971" priority="8750" stopIfTrue="1" operator="equal">
      <formula>"Towel"</formula>
    </cfRule>
    <cfRule type="cellIs" dxfId="21970" priority="8751" stopIfTrue="1" operator="equal">
      <formula>"Napkin Hs"</formula>
    </cfRule>
  </conditionalFormatting>
  <conditionalFormatting sqref="B57:C57">
    <cfRule type="cellIs" dxfId="21969" priority="8653" stopIfTrue="1" operator="equal">
      <formula>"Towel"</formula>
    </cfRule>
    <cfRule type="cellIs" dxfId="21968" priority="8654" stopIfTrue="1" operator="equal">
      <formula>"Napkin Hs"</formula>
    </cfRule>
  </conditionalFormatting>
  <conditionalFormatting sqref="C57">
    <cfRule type="cellIs" dxfId="21967" priority="8649" stopIfTrue="1" operator="equal">
      <formula>"Towel"</formula>
    </cfRule>
    <cfRule type="cellIs" dxfId="21966" priority="8650" stopIfTrue="1" operator="equal">
      <formula>"Napkin Hs"</formula>
    </cfRule>
  </conditionalFormatting>
  <conditionalFormatting sqref="C57">
    <cfRule type="cellIs" dxfId="21965" priority="8652" stopIfTrue="1" operator="equal">
      <formula>"Napkin Hs"</formula>
    </cfRule>
  </conditionalFormatting>
  <conditionalFormatting sqref="C57">
    <cfRule type="cellIs" dxfId="21964" priority="8651" stopIfTrue="1" operator="equal">
      <formula>"Towel"</formula>
    </cfRule>
  </conditionalFormatting>
  <conditionalFormatting sqref="B55:C55">
    <cfRule type="cellIs" dxfId="21963" priority="8647" stopIfTrue="1" operator="equal">
      <formula>"Towel"</formula>
    </cfRule>
    <cfRule type="cellIs" dxfId="21962" priority="8648" stopIfTrue="1" operator="equal">
      <formula>"Napkin Hs"</formula>
    </cfRule>
  </conditionalFormatting>
  <conditionalFormatting sqref="C55">
    <cfRule type="cellIs" dxfId="21961" priority="8646" stopIfTrue="1" operator="equal">
      <formula>"Napkin Hs"</formula>
    </cfRule>
  </conditionalFormatting>
  <conditionalFormatting sqref="C55">
    <cfRule type="cellIs" dxfId="21960" priority="8645" stopIfTrue="1" operator="equal">
      <formula>"Towel"</formula>
    </cfRule>
  </conditionalFormatting>
  <conditionalFormatting sqref="C55">
    <cfRule type="cellIs" dxfId="21959" priority="8643" stopIfTrue="1" operator="equal">
      <formula>"Towel"</formula>
    </cfRule>
    <cfRule type="cellIs" dxfId="21958" priority="8644" stopIfTrue="1" operator="equal">
      <formula>"Napkin Hs"</formula>
    </cfRule>
  </conditionalFormatting>
  <conditionalFormatting sqref="C55">
    <cfRule type="cellIs" dxfId="21957" priority="8635" stopIfTrue="1" operator="equal">
      <formula>"Towel"</formula>
    </cfRule>
    <cfRule type="cellIs" dxfId="21956" priority="8636" stopIfTrue="1" operator="equal">
      <formula>"Napkin Hs"</formula>
    </cfRule>
  </conditionalFormatting>
  <conditionalFormatting sqref="B55:C55">
    <cfRule type="cellIs" dxfId="21955" priority="8637" stopIfTrue="1" operator="equal">
      <formula>"Towel"</formula>
    </cfRule>
    <cfRule type="cellIs" dxfId="21954" priority="8638" stopIfTrue="1" operator="equal">
      <formula>"Napkin Hs"</formula>
    </cfRule>
  </conditionalFormatting>
  <conditionalFormatting sqref="C55">
    <cfRule type="cellIs" dxfId="21953" priority="8633" stopIfTrue="1" operator="equal">
      <formula>"Towel"</formula>
    </cfRule>
    <cfRule type="cellIs" dxfId="21952" priority="8634" stopIfTrue="1" operator="equal">
      <formula>"Napkin Hs"</formula>
    </cfRule>
  </conditionalFormatting>
  <conditionalFormatting sqref="B55:C55">
    <cfRule type="cellIs" dxfId="21951" priority="8631" stopIfTrue="1" operator="equal">
      <formula>"Towel"</formula>
    </cfRule>
    <cfRule type="cellIs" dxfId="21950" priority="8632" stopIfTrue="1" operator="equal">
      <formula>"Napkin Hs"</formula>
    </cfRule>
  </conditionalFormatting>
  <conditionalFormatting sqref="C55">
    <cfRule type="cellIs" dxfId="21949" priority="8639" stopIfTrue="1" operator="equal">
      <formula>"Towel"</formula>
    </cfRule>
    <cfRule type="cellIs" dxfId="21948" priority="8640" stopIfTrue="1" operator="equal">
      <formula>"Napkin Hs"</formula>
    </cfRule>
  </conditionalFormatting>
  <conditionalFormatting sqref="C55">
    <cfRule type="cellIs" dxfId="21947" priority="8641" stopIfTrue="1" operator="equal">
      <formula>"Towel"</formula>
    </cfRule>
    <cfRule type="cellIs" dxfId="21946" priority="8642" stopIfTrue="1" operator="equal">
      <formula>"Napkin Hs"</formula>
    </cfRule>
  </conditionalFormatting>
  <conditionalFormatting sqref="B55:C55">
    <cfRule type="cellIs" dxfId="21945" priority="8629" stopIfTrue="1" operator="equal">
      <formula>"Towel"</formula>
    </cfRule>
    <cfRule type="cellIs" dxfId="21944" priority="8630" stopIfTrue="1" operator="equal">
      <formula>"Napkin Hs"</formula>
    </cfRule>
  </conditionalFormatting>
  <conditionalFormatting sqref="C55">
    <cfRule type="cellIs" dxfId="21943" priority="8625" stopIfTrue="1" operator="equal">
      <formula>"Towel"</formula>
    </cfRule>
    <cfRule type="cellIs" dxfId="21942" priority="8626" stopIfTrue="1" operator="equal">
      <formula>"Napkin Hs"</formula>
    </cfRule>
  </conditionalFormatting>
  <conditionalFormatting sqref="C55">
    <cfRule type="cellIs" dxfId="21941" priority="8627" stopIfTrue="1" operator="equal">
      <formula>"Towel"</formula>
    </cfRule>
    <cfRule type="cellIs" dxfId="21940" priority="8628" stopIfTrue="1" operator="equal">
      <formula>"Napkin Hs"</formula>
    </cfRule>
  </conditionalFormatting>
  <conditionalFormatting sqref="B55:C55">
    <cfRule type="cellIs" dxfId="21939" priority="8623" stopIfTrue="1" operator="equal">
      <formula>"Towel"</formula>
    </cfRule>
    <cfRule type="cellIs" dxfId="21938" priority="8624" stopIfTrue="1" operator="equal">
      <formula>"Napkin Hs"</formula>
    </cfRule>
  </conditionalFormatting>
  <conditionalFormatting sqref="C55">
    <cfRule type="cellIs" dxfId="21937" priority="8619" stopIfTrue="1" operator="equal">
      <formula>"Towel"</formula>
    </cfRule>
    <cfRule type="cellIs" dxfId="21936" priority="8620" stopIfTrue="1" operator="equal">
      <formula>"Napkin Hs"</formula>
    </cfRule>
  </conditionalFormatting>
  <conditionalFormatting sqref="C55">
    <cfRule type="cellIs" dxfId="21935" priority="8621" stopIfTrue="1" operator="equal">
      <formula>"Towel"</formula>
    </cfRule>
    <cfRule type="cellIs" dxfId="21934" priority="8622" stopIfTrue="1" operator="equal">
      <formula>"Napkin Hs"</formula>
    </cfRule>
  </conditionalFormatting>
  <conditionalFormatting sqref="C55">
    <cfRule type="cellIs" dxfId="21933" priority="8615" stopIfTrue="1" operator="equal">
      <formula>"Towel"</formula>
    </cfRule>
    <cfRule type="cellIs" dxfId="21932" priority="8616" stopIfTrue="1" operator="equal">
      <formula>"Napkin Hs"</formula>
    </cfRule>
  </conditionalFormatting>
  <conditionalFormatting sqref="C55">
    <cfRule type="cellIs" dxfId="21931" priority="8617" stopIfTrue="1" operator="equal">
      <formula>"Towel"</formula>
    </cfRule>
    <cfRule type="cellIs" dxfId="21930" priority="8618" stopIfTrue="1" operator="equal">
      <formula>"Napkin Hs"</formula>
    </cfRule>
  </conditionalFormatting>
  <conditionalFormatting sqref="C55">
    <cfRule type="cellIs" dxfId="21929" priority="8613" stopIfTrue="1" operator="equal">
      <formula>"Towel"</formula>
    </cfRule>
    <cfRule type="cellIs" dxfId="21928" priority="8614" stopIfTrue="1" operator="equal">
      <formula>"Napkin Hs"</formula>
    </cfRule>
  </conditionalFormatting>
  <conditionalFormatting sqref="B55">
    <cfRule type="cellIs" dxfId="21927" priority="8611" stopIfTrue="1" operator="equal">
      <formula>"Towel"</formula>
    </cfRule>
    <cfRule type="cellIs" dxfId="21926" priority="8612" stopIfTrue="1" operator="equal">
      <formula>"Napkin Hs"</formula>
    </cfRule>
  </conditionalFormatting>
  <conditionalFormatting sqref="C55">
    <cfRule type="cellIs" dxfId="21925" priority="8603" stopIfTrue="1" operator="equal">
      <formula>"Towel"</formula>
    </cfRule>
    <cfRule type="cellIs" dxfId="21924" priority="8604" stopIfTrue="1" operator="equal">
      <formula>"Napkin Hs"</formula>
    </cfRule>
  </conditionalFormatting>
  <conditionalFormatting sqref="B55:C55">
    <cfRule type="cellIs" dxfId="21923" priority="8605" stopIfTrue="1" operator="equal">
      <formula>"Towel"</formula>
    </cfRule>
    <cfRule type="cellIs" dxfId="21922" priority="8606" stopIfTrue="1" operator="equal">
      <formula>"Napkin Hs"</formula>
    </cfRule>
  </conditionalFormatting>
  <conditionalFormatting sqref="C55">
    <cfRule type="cellIs" dxfId="21921" priority="8601" stopIfTrue="1" operator="equal">
      <formula>"Towel"</formula>
    </cfRule>
    <cfRule type="cellIs" dxfId="21920" priority="8602" stopIfTrue="1" operator="equal">
      <formula>"Napkin Hs"</formula>
    </cfRule>
  </conditionalFormatting>
  <conditionalFormatting sqref="B55:C55">
    <cfRule type="cellIs" dxfId="21919" priority="8599" stopIfTrue="1" operator="equal">
      <formula>"Towel"</formula>
    </cfRule>
    <cfRule type="cellIs" dxfId="21918" priority="8600" stopIfTrue="1" operator="equal">
      <formula>"Napkin Hs"</formula>
    </cfRule>
  </conditionalFormatting>
  <conditionalFormatting sqref="C55">
    <cfRule type="cellIs" dxfId="21917" priority="8607" stopIfTrue="1" operator="equal">
      <formula>"Towel"</formula>
    </cfRule>
    <cfRule type="cellIs" dxfId="21916" priority="8608" stopIfTrue="1" operator="equal">
      <formula>"Napkin Hs"</formula>
    </cfRule>
  </conditionalFormatting>
  <conditionalFormatting sqref="C55">
    <cfRule type="cellIs" dxfId="21915" priority="8609" stopIfTrue="1" operator="equal">
      <formula>"Towel"</formula>
    </cfRule>
    <cfRule type="cellIs" dxfId="21914" priority="8610" stopIfTrue="1" operator="equal">
      <formula>"Napkin Hs"</formula>
    </cfRule>
  </conditionalFormatting>
  <conditionalFormatting sqref="C55">
    <cfRule type="cellIs" dxfId="21913" priority="8591" stopIfTrue="1" operator="equal">
      <formula>"Towel"</formula>
    </cfRule>
    <cfRule type="cellIs" dxfId="21912" priority="8592" stopIfTrue="1" operator="equal">
      <formula>"Napkin Hs"</formula>
    </cfRule>
  </conditionalFormatting>
  <conditionalFormatting sqref="B55:C55">
    <cfRule type="cellIs" dxfId="21911" priority="8593" stopIfTrue="1" operator="equal">
      <formula>"Towel"</formula>
    </cfRule>
    <cfRule type="cellIs" dxfId="21910" priority="8594" stopIfTrue="1" operator="equal">
      <formula>"Napkin Hs"</formula>
    </cfRule>
  </conditionalFormatting>
  <conditionalFormatting sqref="C55">
    <cfRule type="cellIs" dxfId="21909" priority="8589" stopIfTrue="1" operator="equal">
      <formula>"Towel"</formula>
    </cfRule>
    <cfRule type="cellIs" dxfId="21908" priority="8590" stopIfTrue="1" operator="equal">
      <formula>"Napkin Hs"</formula>
    </cfRule>
  </conditionalFormatting>
  <conditionalFormatting sqref="B55:C55">
    <cfRule type="cellIs" dxfId="21907" priority="8587" stopIfTrue="1" operator="equal">
      <formula>"Towel"</formula>
    </cfRule>
    <cfRule type="cellIs" dxfId="21906" priority="8588" stopIfTrue="1" operator="equal">
      <formula>"Napkin Hs"</formula>
    </cfRule>
  </conditionalFormatting>
  <conditionalFormatting sqref="C55">
    <cfRule type="cellIs" dxfId="21905" priority="8595" stopIfTrue="1" operator="equal">
      <formula>"Towel"</formula>
    </cfRule>
    <cfRule type="cellIs" dxfId="21904" priority="8596" stopIfTrue="1" operator="equal">
      <formula>"Napkin Hs"</formula>
    </cfRule>
  </conditionalFormatting>
  <conditionalFormatting sqref="C55">
    <cfRule type="cellIs" dxfId="21903" priority="8597" stopIfTrue="1" operator="equal">
      <formula>"Towel"</formula>
    </cfRule>
    <cfRule type="cellIs" dxfId="21902" priority="8598" stopIfTrue="1" operator="equal">
      <formula>"Napkin Hs"</formula>
    </cfRule>
  </conditionalFormatting>
  <conditionalFormatting sqref="C55">
    <cfRule type="cellIs" dxfId="21901" priority="8579" stopIfTrue="1" operator="equal">
      <formula>"Towel"</formula>
    </cfRule>
    <cfRule type="cellIs" dxfId="21900" priority="8580" stopIfTrue="1" operator="equal">
      <formula>"Napkin Hs"</formula>
    </cfRule>
  </conditionalFormatting>
  <conditionalFormatting sqref="B55:C55">
    <cfRule type="cellIs" dxfId="21899" priority="8581" stopIfTrue="1" operator="equal">
      <formula>"Towel"</formula>
    </cfRule>
    <cfRule type="cellIs" dxfId="21898" priority="8582" stopIfTrue="1" operator="equal">
      <formula>"Napkin Hs"</formula>
    </cfRule>
  </conditionalFormatting>
  <conditionalFormatting sqref="C55">
    <cfRule type="cellIs" dxfId="21897" priority="8577" stopIfTrue="1" operator="equal">
      <formula>"Towel"</formula>
    </cfRule>
    <cfRule type="cellIs" dxfId="21896" priority="8578" stopIfTrue="1" operator="equal">
      <formula>"Napkin Hs"</formula>
    </cfRule>
  </conditionalFormatting>
  <conditionalFormatting sqref="B55:C55">
    <cfRule type="cellIs" dxfId="21895" priority="8575" stopIfTrue="1" operator="equal">
      <formula>"Towel"</formula>
    </cfRule>
    <cfRule type="cellIs" dxfId="21894" priority="8576" stopIfTrue="1" operator="equal">
      <formula>"Napkin Hs"</formula>
    </cfRule>
  </conditionalFormatting>
  <conditionalFormatting sqref="C55">
    <cfRule type="cellIs" dxfId="21893" priority="8583" stopIfTrue="1" operator="equal">
      <formula>"Towel"</formula>
    </cfRule>
    <cfRule type="cellIs" dxfId="21892" priority="8584" stopIfTrue="1" operator="equal">
      <formula>"Napkin Hs"</formula>
    </cfRule>
  </conditionalFormatting>
  <conditionalFormatting sqref="C55">
    <cfRule type="cellIs" dxfId="21891" priority="8585" stopIfTrue="1" operator="equal">
      <formula>"Towel"</formula>
    </cfRule>
    <cfRule type="cellIs" dxfId="21890" priority="8586" stopIfTrue="1" operator="equal">
      <formula>"Napkin Hs"</formula>
    </cfRule>
  </conditionalFormatting>
  <conditionalFormatting sqref="B55:C55">
    <cfRule type="cellIs" dxfId="21889" priority="8573" stopIfTrue="1" operator="equal">
      <formula>"Towel"</formula>
    </cfRule>
    <cfRule type="cellIs" dxfId="21888" priority="8574" stopIfTrue="1" operator="equal">
      <formula>"Napkin Hs"</formula>
    </cfRule>
  </conditionalFormatting>
  <conditionalFormatting sqref="C55">
    <cfRule type="cellIs" dxfId="21887" priority="8569" stopIfTrue="1" operator="equal">
      <formula>"Towel"</formula>
    </cfRule>
    <cfRule type="cellIs" dxfId="21886" priority="8570" stopIfTrue="1" operator="equal">
      <formula>"Napkin Hs"</formula>
    </cfRule>
  </conditionalFormatting>
  <conditionalFormatting sqref="C55">
    <cfRule type="cellIs" dxfId="21885" priority="8572" stopIfTrue="1" operator="equal">
      <formula>"Napkin Hs"</formula>
    </cfRule>
  </conditionalFormatting>
  <conditionalFormatting sqref="C55">
    <cfRule type="cellIs" dxfId="21884" priority="8571" stopIfTrue="1" operator="equal">
      <formula>"Towel"</formula>
    </cfRule>
  </conditionalFormatting>
  <conditionalFormatting sqref="B55:C55">
    <cfRule type="cellIs" dxfId="21883" priority="8567" stopIfTrue="1" operator="equal">
      <formula>"Towel"</formula>
    </cfRule>
    <cfRule type="cellIs" dxfId="21882" priority="8568" stopIfTrue="1" operator="equal">
      <formula>"Napkin Hs"</formula>
    </cfRule>
  </conditionalFormatting>
  <conditionalFormatting sqref="C55">
    <cfRule type="cellIs" dxfId="21881" priority="8563" stopIfTrue="1" operator="equal">
      <formula>"Towel"</formula>
    </cfRule>
    <cfRule type="cellIs" dxfId="21880" priority="8564" stopIfTrue="1" operator="equal">
      <formula>"Napkin Hs"</formula>
    </cfRule>
  </conditionalFormatting>
  <conditionalFormatting sqref="C55">
    <cfRule type="cellIs" dxfId="21879" priority="8566" stopIfTrue="1" operator="equal">
      <formula>"Napkin Hs"</formula>
    </cfRule>
  </conditionalFormatting>
  <conditionalFormatting sqref="C55">
    <cfRule type="cellIs" dxfId="21878" priority="8565" stopIfTrue="1" operator="equal">
      <formula>"Towel"</formula>
    </cfRule>
  </conditionalFormatting>
  <conditionalFormatting sqref="C55">
    <cfRule type="cellIs" dxfId="21877" priority="8555" stopIfTrue="1" operator="equal">
      <formula>"Towel"</formula>
    </cfRule>
    <cfRule type="cellIs" dxfId="21876" priority="8556" stopIfTrue="1" operator="equal">
      <formula>"Napkin Hs"</formula>
    </cfRule>
  </conditionalFormatting>
  <conditionalFormatting sqref="B55:C55">
    <cfRule type="cellIs" dxfId="21875" priority="8557" stopIfTrue="1" operator="equal">
      <formula>"Towel"</formula>
    </cfRule>
    <cfRule type="cellIs" dxfId="21874" priority="8558" stopIfTrue="1" operator="equal">
      <formula>"Napkin Hs"</formula>
    </cfRule>
  </conditionalFormatting>
  <conditionalFormatting sqref="C55">
    <cfRule type="cellIs" dxfId="21873" priority="8553" stopIfTrue="1" operator="equal">
      <formula>"Towel"</formula>
    </cfRule>
    <cfRule type="cellIs" dxfId="21872" priority="8554" stopIfTrue="1" operator="equal">
      <formula>"Napkin Hs"</formula>
    </cfRule>
  </conditionalFormatting>
  <conditionalFormatting sqref="B55:C55">
    <cfRule type="cellIs" dxfId="21871" priority="8551" stopIfTrue="1" operator="equal">
      <formula>"Towel"</formula>
    </cfRule>
    <cfRule type="cellIs" dxfId="21870" priority="8552" stopIfTrue="1" operator="equal">
      <formula>"Napkin Hs"</formula>
    </cfRule>
  </conditionalFormatting>
  <conditionalFormatting sqref="C55">
    <cfRule type="cellIs" dxfId="21869" priority="8559" stopIfTrue="1" operator="equal">
      <formula>"Towel"</formula>
    </cfRule>
    <cfRule type="cellIs" dxfId="21868" priority="8560" stopIfTrue="1" operator="equal">
      <formula>"Napkin Hs"</formula>
    </cfRule>
  </conditionalFormatting>
  <conditionalFormatting sqref="C55">
    <cfRule type="cellIs" dxfId="21867" priority="8561" stopIfTrue="1" operator="equal">
      <formula>"Towel"</formula>
    </cfRule>
    <cfRule type="cellIs" dxfId="21866" priority="8562" stopIfTrue="1" operator="equal">
      <formula>"Napkin Hs"</formula>
    </cfRule>
  </conditionalFormatting>
  <conditionalFormatting sqref="B55:C55">
    <cfRule type="cellIs" dxfId="21865" priority="8549" stopIfTrue="1" operator="equal">
      <formula>"Towel"</formula>
    </cfRule>
    <cfRule type="cellIs" dxfId="21864" priority="8550" stopIfTrue="1" operator="equal">
      <formula>"Napkin Hs"</formula>
    </cfRule>
  </conditionalFormatting>
  <conditionalFormatting sqref="C55">
    <cfRule type="cellIs" dxfId="21863" priority="8541" stopIfTrue="1" operator="equal">
      <formula>"Towel"</formula>
    </cfRule>
    <cfRule type="cellIs" dxfId="21862" priority="8542" stopIfTrue="1" operator="equal">
      <formula>"Napkin Hs"</formula>
    </cfRule>
  </conditionalFormatting>
  <conditionalFormatting sqref="C55">
    <cfRule type="cellIs" dxfId="21861" priority="8545" stopIfTrue="1" operator="equal">
      <formula>"Towel"</formula>
    </cfRule>
    <cfRule type="cellIs" dxfId="21860" priority="8546" stopIfTrue="1" operator="equal">
      <formula>"Napkin Hs"</formula>
    </cfRule>
  </conditionalFormatting>
  <conditionalFormatting sqref="C55">
    <cfRule type="cellIs" dxfId="21859" priority="8548" stopIfTrue="1" operator="equal">
      <formula>"Napkin Hs"</formula>
    </cfRule>
  </conditionalFormatting>
  <conditionalFormatting sqref="C55">
    <cfRule type="cellIs" dxfId="21858" priority="8543" stopIfTrue="1" operator="equal">
      <formula>"Towel"</formula>
    </cfRule>
    <cfRule type="cellIs" dxfId="21857" priority="8544" stopIfTrue="1" operator="equal">
      <formula>"Napkin Hs"</formula>
    </cfRule>
  </conditionalFormatting>
  <conditionalFormatting sqref="C55">
    <cfRule type="cellIs" dxfId="21856" priority="8547" stopIfTrue="1" operator="equal">
      <formula>"Towel"</formula>
    </cfRule>
  </conditionalFormatting>
  <conditionalFormatting sqref="C55">
    <cfRule type="cellIs" dxfId="21855" priority="8539" stopIfTrue="1" operator="equal">
      <formula>"Towel"</formula>
    </cfRule>
    <cfRule type="cellIs" dxfId="21854" priority="8540" stopIfTrue="1" operator="equal">
      <formula>"Napkin Hs"</formula>
    </cfRule>
  </conditionalFormatting>
  <conditionalFormatting sqref="B55">
    <cfRule type="cellIs" dxfId="21853" priority="8537" stopIfTrue="1" operator="equal">
      <formula>"Towel"</formula>
    </cfRule>
    <cfRule type="cellIs" dxfId="21852" priority="8538" stopIfTrue="1" operator="equal">
      <formula>"Napkin Hs"</formula>
    </cfRule>
  </conditionalFormatting>
  <conditionalFormatting sqref="B55:C55">
    <cfRule type="cellIs" dxfId="21851" priority="8535" stopIfTrue="1" operator="equal">
      <formula>"Towel"</formula>
    </cfRule>
    <cfRule type="cellIs" dxfId="21850" priority="8536" stopIfTrue="1" operator="equal">
      <formula>"Napkin Hs"</formula>
    </cfRule>
  </conditionalFormatting>
  <conditionalFormatting sqref="C55">
    <cfRule type="cellIs" dxfId="21849" priority="8527" stopIfTrue="1" operator="equal">
      <formula>"Towel"</formula>
    </cfRule>
    <cfRule type="cellIs" dxfId="21848" priority="8528" stopIfTrue="1" operator="equal">
      <formula>"Napkin Hs"</formula>
    </cfRule>
  </conditionalFormatting>
  <conditionalFormatting sqref="C55">
    <cfRule type="cellIs" dxfId="21847" priority="8531" stopIfTrue="1" operator="equal">
      <formula>"Towel"</formula>
    </cfRule>
    <cfRule type="cellIs" dxfId="21846" priority="8532" stopIfTrue="1" operator="equal">
      <formula>"Napkin Hs"</formula>
    </cfRule>
  </conditionalFormatting>
  <conditionalFormatting sqref="C55">
    <cfRule type="cellIs" dxfId="21845" priority="8534" stopIfTrue="1" operator="equal">
      <formula>"Napkin Hs"</formula>
    </cfRule>
  </conditionalFormatting>
  <conditionalFormatting sqref="C55">
    <cfRule type="cellIs" dxfId="21844" priority="8529" stopIfTrue="1" operator="equal">
      <formula>"Towel"</formula>
    </cfRule>
    <cfRule type="cellIs" dxfId="21843" priority="8530" stopIfTrue="1" operator="equal">
      <formula>"Napkin Hs"</formula>
    </cfRule>
  </conditionalFormatting>
  <conditionalFormatting sqref="C55">
    <cfRule type="cellIs" dxfId="21842" priority="8533" stopIfTrue="1" operator="equal">
      <formula>"Towel"</formula>
    </cfRule>
  </conditionalFormatting>
  <conditionalFormatting sqref="C55">
    <cfRule type="cellIs" dxfId="21841" priority="8525" stopIfTrue="1" operator="equal">
      <formula>"Towel"</formula>
    </cfRule>
    <cfRule type="cellIs" dxfId="21840" priority="8526" stopIfTrue="1" operator="equal">
      <formula>"Napkin Hs"</formula>
    </cfRule>
  </conditionalFormatting>
  <conditionalFormatting sqref="B55">
    <cfRule type="cellIs" dxfId="21839" priority="8523" stopIfTrue="1" operator="equal">
      <formula>"Towel"</formula>
    </cfRule>
    <cfRule type="cellIs" dxfId="21838" priority="8524" stopIfTrue="1" operator="equal">
      <formula>"Napkin Hs"</formula>
    </cfRule>
  </conditionalFormatting>
  <conditionalFormatting sqref="B55:C55">
    <cfRule type="cellIs" dxfId="21837" priority="8499" stopIfTrue="1" operator="equal">
      <formula>"Towel"</formula>
    </cfRule>
  </conditionalFormatting>
  <conditionalFormatting sqref="B55:C55">
    <cfRule type="cellIs" dxfId="21836" priority="8500" stopIfTrue="1" operator="equal">
      <formula>"Napkin Hs"</formula>
    </cfRule>
    <cfRule type="cellIs" dxfId="21835" priority="8505" stopIfTrue="1" operator="equal">
      <formula>"Towel"</formula>
    </cfRule>
    <cfRule type="cellIs" dxfId="21834" priority="8506" stopIfTrue="1" operator="equal">
      <formula>"Napkin Hs"</formula>
    </cfRule>
    <cfRule type="cellIs" dxfId="21833" priority="8515" stopIfTrue="1" operator="equal">
      <formula>"Towel"</formula>
    </cfRule>
    <cfRule type="cellIs" dxfId="21832" priority="8516" stopIfTrue="1" operator="equal">
      <formula>"Napkin Hs"</formula>
    </cfRule>
    <cfRule type="cellIs" dxfId="21831" priority="8521" stopIfTrue="1" operator="equal">
      <formula>"Towel"</formula>
    </cfRule>
    <cfRule type="cellIs" dxfId="21830" priority="8522" stopIfTrue="1" operator="equal">
      <formula>"Napkin Hs"</formula>
    </cfRule>
  </conditionalFormatting>
  <conditionalFormatting sqref="C55">
    <cfRule type="cellIs" dxfId="21829" priority="8501" stopIfTrue="1" operator="equal">
      <formula>"Towel"</formula>
    </cfRule>
    <cfRule type="cellIs" dxfId="21828" priority="8502" stopIfTrue="1" operator="equal">
      <formula>"Napkin Hs"</formula>
    </cfRule>
    <cfRule type="cellIs" dxfId="21827" priority="8503" stopIfTrue="1" operator="equal">
      <formula>"Towel"</formula>
    </cfRule>
    <cfRule type="cellIs" dxfId="21826" priority="8504" stopIfTrue="1" operator="equal">
      <formula>"Napkin Hs"</formula>
    </cfRule>
    <cfRule type="cellIs" dxfId="21825" priority="8507" stopIfTrue="1" operator="equal">
      <formula>"Towel"</formula>
    </cfRule>
    <cfRule type="cellIs" dxfId="21824" priority="8508" stopIfTrue="1" operator="equal">
      <formula>"Napkin Hs"</formula>
    </cfRule>
    <cfRule type="cellIs" dxfId="21823" priority="8509" stopIfTrue="1" operator="equal">
      <formula>"Towel"</formula>
    </cfRule>
    <cfRule type="cellIs" dxfId="21822" priority="8510" stopIfTrue="1" operator="equal">
      <formula>"Napkin Hs"</formula>
    </cfRule>
    <cfRule type="cellIs" dxfId="21821" priority="8511" stopIfTrue="1" operator="equal">
      <formula>"Towel"</formula>
    </cfRule>
    <cfRule type="cellIs" dxfId="21820" priority="8512" stopIfTrue="1" operator="equal">
      <formula>"Napkin Hs"</formula>
    </cfRule>
    <cfRule type="cellIs" dxfId="21819" priority="8513" stopIfTrue="1" operator="equal">
      <formula>"Towel"</formula>
    </cfRule>
    <cfRule type="cellIs" dxfId="21818" priority="8514" stopIfTrue="1" operator="equal">
      <formula>"Napkin Hs"</formula>
    </cfRule>
    <cfRule type="cellIs" dxfId="21817" priority="8517" stopIfTrue="1" operator="equal">
      <formula>"Towel"</formula>
    </cfRule>
    <cfRule type="cellIs" dxfId="21816" priority="8518" stopIfTrue="1" operator="equal">
      <formula>"Napkin Hs"</formula>
    </cfRule>
    <cfRule type="cellIs" dxfId="21815" priority="8520" stopIfTrue="1" operator="equal">
      <formula>"Napkin Hs"</formula>
    </cfRule>
  </conditionalFormatting>
  <conditionalFormatting sqref="C55">
    <cfRule type="cellIs" dxfId="21814" priority="8519" stopIfTrue="1" operator="equal">
      <formula>"Towel"</formula>
    </cfRule>
  </conditionalFormatting>
  <conditionalFormatting sqref="B55:C55">
    <cfRule type="cellIs" dxfId="21813" priority="8497" stopIfTrue="1" operator="equal">
      <formula>"Towel"</formula>
    </cfRule>
    <cfRule type="cellIs" dxfId="21812" priority="8498" stopIfTrue="1" operator="equal">
      <formula>"Napkin Hs"</formula>
    </cfRule>
  </conditionalFormatting>
  <conditionalFormatting sqref="C55">
    <cfRule type="cellIs" dxfId="21811" priority="8496" stopIfTrue="1" operator="equal">
      <formula>"Napkin Hs"</formula>
    </cfRule>
  </conditionalFormatting>
  <conditionalFormatting sqref="C55">
    <cfRule type="cellIs" dxfId="21810" priority="8495" stopIfTrue="1" operator="equal">
      <formula>"Towel"</formula>
    </cfRule>
  </conditionalFormatting>
  <conditionalFormatting sqref="C55">
    <cfRule type="cellIs" dxfId="21809" priority="8493" stopIfTrue="1" operator="equal">
      <formula>"Towel"</formula>
    </cfRule>
  </conditionalFormatting>
  <conditionalFormatting sqref="C55">
    <cfRule type="cellIs" dxfId="21808" priority="8494" stopIfTrue="1" operator="equal">
      <formula>"Napkin Hs"</formula>
    </cfRule>
  </conditionalFormatting>
  <conditionalFormatting sqref="B55">
    <cfRule type="cellIs" dxfId="21807" priority="8397" stopIfTrue="1" operator="equal">
      <formula>"Napkin Hs"</formula>
    </cfRule>
  </conditionalFormatting>
  <conditionalFormatting sqref="B55:C55">
    <cfRule type="cellIs" dxfId="21806" priority="8396" stopIfTrue="1" operator="equal">
      <formula>"Towel"</formula>
    </cfRule>
  </conditionalFormatting>
  <conditionalFormatting sqref="B55:C55">
    <cfRule type="cellIs" dxfId="21805" priority="8407" stopIfTrue="1" operator="equal">
      <formula>"Towel"</formula>
    </cfRule>
    <cfRule type="cellIs" dxfId="21804" priority="8408" stopIfTrue="1" operator="equal">
      <formula>"Napkin Hs"</formula>
    </cfRule>
    <cfRule type="cellIs" dxfId="21803" priority="8413" stopIfTrue="1" operator="equal">
      <formula>"Towel"</formula>
    </cfRule>
    <cfRule type="cellIs" dxfId="21802" priority="8414" stopIfTrue="1" operator="equal">
      <formula>"Napkin Hs"</formula>
    </cfRule>
    <cfRule type="cellIs" dxfId="21801" priority="8419" stopIfTrue="1" operator="equal">
      <formula>"Towel"</formula>
    </cfRule>
    <cfRule type="cellIs" dxfId="21800" priority="8420" stopIfTrue="1" operator="equal">
      <formula>"Napkin Hs"</formula>
    </cfRule>
    <cfRule type="cellIs" dxfId="21799" priority="8421" stopIfTrue="1" operator="equal">
      <formula>"Towel"</formula>
    </cfRule>
    <cfRule type="cellIs" dxfId="21798" priority="8422" stopIfTrue="1" operator="equal">
      <formula>"Napkin Hs"</formula>
    </cfRule>
    <cfRule type="cellIs" dxfId="21797" priority="8427" stopIfTrue="1" operator="equal">
      <formula>"Towel"</formula>
    </cfRule>
    <cfRule type="cellIs" dxfId="21796" priority="8428" stopIfTrue="1" operator="equal">
      <formula>"Napkin Hs"</formula>
    </cfRule>
    <cfRule type="cellIs" dxfId="21795" priority="8437" stopIfTrue="1" operator="equal">
      <formula>"Towel"</formula>
    </cfRule>
    <cfRule type="cellIs" dxfId="21794" priority="8438" stopIfTrue="1" operator="equal">
      <formula>"Napkin Hs"</formula>
    </cfRule>
    <cfRule type="cellIs" dxfId="21793" priority="8443" stopIfTrue="1" operator="equal">
      <formula>"Towel"</formula>
    </cfRule>
    <cfRule type="cellIs" dxfId="21792" priority="8444" stopIfTrue="1" operator="equal">
      <formula>"Napkin Hs"</formula>
    </cfRule>
    <cfRule type="cellIs" dxfId="21791" priority="8445" stopIfTrue="1" operator="equal">
      <formula>"Towel"</formula>
    </cfRule>
    <cfRule type="cellIs" dxfId="21790" priority="8446" stopIfTrue="1" operator="equal">
      <formula>"Napkin Hs"</formula>
    </cfRule>
    <cfRule type="cellIs" dxfId="21789" priority="8451" stopIfTrue="1" operator="equal">
      <formula>"Towel"</formula>
    </cfRule>
    <cfRule type="cellIs" dxfId="21788" priority="8452" stopIfTrue="1" operator="equal">
      <formula>"Napkin Hs"</formula>
    </cfRule>
    <cfRule type="cellIs" dxfId="21787" priority="8461" stopIfTrue="1" operator="equal">
      <formula>"Towel"</formula>
    </cfRule>
    <cfRule type="cellIs" dxfId="21786" priority="8462" stopIfTrue="1" operator="equal">
      <formula>"Napkin Hs"</formula>
    </cfRule>
    <cfRule type="cellIs" dxfId="21785" priority="8463" stopIfTrue="1" operator="equal">
      <formula>"Towel"</formula>
    </cfRule>
    <cfRule type="cellIs" dxfId="21784" priority="8464" stopIfTrue="1" operator="equal">
      <formula>"Napkin Hs"</formula>
    </cfRule>
    <cfRule type="cellIs" dxfId="21783" priority="8469" stopIfTrue="1" operator="equal">
      <formula>"Towel"</formula>
    </cfRule>
    <cfRule type="cellIs" dxfId="21782" priority="8470" stopIfTrue="1" operator="equal">
      <formula>"Napkin Hs"</formula>
    </cfRule>
    <cfRule type="cellIs" dxfId="21781" priority="8479" stopIfTrue="1" operator="equal">
      <formula>"Towel"</formula>
    </cfRule>
    <cfRule type="cellIs" dxfId="21780" priority="8480" stopIfTrue="1" operator="equal">
      <formula>"Napkin Hs"</formula>
    </cfRule>
    <cfRule type="cellIs" dxfId="21779" priority="8481" stopIfTrue="1" operator="equal">
      <formula>"Towel"</formula>
    </cfRule>
    <cfRule type="cellIs" dxfId="21778" priority="8482" stopIfTrue="1" operator="equal">
      <formula>"Napkin Hs"</formula>
    </cfRule>
    <cfRule type="cellIs" dxfId="21777" priority="8488" stopIfTrue="1" operator="equal">
      <formula>"Napkin Hs"</formula>
    </cfRule>
  </conditionalFormatting>
  <conditionalFormatting sqref="B55:C55">
    <cfRule type="cellIs" dxfId="21776" priority="8487" stopIfTrue="1" operator="equal">
      <formula>"Towel"</formula>
    </cfRule>
  </conditionalFormatting>
  <conditionalFormatting sqref="C55">
    <cfRule type="cellIs" dxfId="21775" priority="8398" stopIfTrue="1" operator="equal">
      <formula>"Napkin Hs"</formula>
    </cfRule>
    <cfRule type="cellIs" dxfId="21774" priority="8399" stopIfTrue="1" operator="equal">
      <formula>"Towel"</formula>
    </cfRule>
    <cfRule type="cellIs" dxfId="21773" priority="8400" stopIfTrue="1" operator="equal">
      <formula>"Napkin Hs"</formula>
    </cfRule>
    <cfRule type="cellIs" dxfId="21772" priority="8401" stopIfTrue="1" operator="equal">
      <formula>"Towel"</formula>
    </cfRule>
    <cfRule type="cellIs" dxfId="21771" priority="8402" stopIfTrue="1" operator="equal">
      <formula>"Napkin Hs"</formula>
    </cfRule>
    <cfRule type="cellIs" dxfId="21770" priority="8403" stopIfTrue="1" operator="equal">
      <formula>"Towel"</formula>
    </cfRule>
    <cfRule type="cellIs" dxfId="21769" priority="8404" stopIfTrue="1" operator="equal">
      <formula>"Napkin Hs"</formula>
    </cfRule>
    <cfRule type="cellIs" dxfId="21768" priority="8405" stopIfTrue="1" operator="equal">
      <formula>"Towel"</formula>
    </cfRule>
    <cfRule type="cellIs" dxfId="21767" priority="8406" stopIfTrue="1" operator="equal">
      <formula>"Napkin Hs"</formula>
    </cfRule>
    <cfRule type="cellIs" dxfId="21766" priority="8409" stopIfTrue="1" operator="equal">
      <formula>"Towel"</formula>
    </cfRule>
    <cfRule type="cellIs" dxfId="21765" priority="8410" stopIfTrue="1" operator="equal">
      <formula>"Napkin Hs"</formula>
    </cfRule>
    <cfRule type="cellIs" dxfId="21764" priority="8411" stopIfTrue="1" operator="equal">
      <formula>"Towel"</formula>
    </cfRule>
    <cfRule type="cellIs" dxfId="21763" priority="8412" stopIfTrue="1" operator="equal">
      <formula>"Napkin Hs"</formula>
    </cfRule>
    <cfRule type="cellIs" dxfId="21762" priority="8415" stopIfTrue="1" operator="equal">
      <formula>"Towel"</formula>
    </cfRule>
    <cfRule type="cellIs" dxfId="21761" priority="8416" stopIfTrue="1" operator="equal">
      <formula>"Napkin Hs"</formula>
    </cfRule>
    <cfRule type="cellIs" dxfId="21760" priority="8417" stopIfTrue="1" operator="equal">
      <formula>"Towel"</formula>
    </cfRule>
    <cfRule type="cellIs" dxfId="21759" priority="8418" stopIfTrue="1" operator="equal">
      <formula>"Napkin Hs"</formula>
    </cfRule>
    <cfRule type="cellIs" dxfId="21758" priority="8423" stopIfTrue="1" operator="equal">
      <formula>"Towel"</formula>
    </cfRule>
    <cfRule type="cellIs" dxfId="21757" priority="8424" stopIfTrue="1" operator="equal">
      <formula>"Napkin Hs"</formula>
    </cfRule>
    <cfRule type="cellIs" dxfId="21756" priority="8425" stopIfTrue="1" operator="equal">
      <formula>"Towel"</formula>
    </cfRule>
    <cfRule type="cellIs" dxfId="21755" priority="8426" stopIfTrue="1" operator="equal">
      <formula>"Napkin Hs"</formula>
    </cfRule>
    <cfRule type="cellIs" dxfId="21754" priority="8429" stopIfTrue="1" operator="equal">
      <formula>"Towel"</formula>
    </cfRule>
    <cfRule type="cellIs" dxfId="21753" priority="8430" stopIfTrue="1" operator="equal">
      <formula>"Napkin Hs"</formula>
    </cfRule>
    <cfRule type="cellIs" dxfId="21752" priority="8431" stopIfTrue="1" operator="equal">
      <formula>"Towel"</formula>
    </cfRule>
    <cfRule type="cellIs" dxfId="21751" priority="8432" stopIfTrue="1" operator="equal">
      <formula>"Napkin Hs"</formula>
    </cfRule>
    <cfRule type="cellIs" dxfId="21750" priority="8433" stopIfTrue="1" operator="equal">
      <formula>"Towel"</formula>
    </cfRule>
    <cfRule type="cellIs" dxfId="21749" priority="8434" stopIfTrue="1" operator="equal">
      <formula>"Napkin Hs"</formula>
    </cfRule>
    <cfRule type="cellIs" dxfId="21748" priority="8435" stopIfTrue="1" operator="equal">
      <formula>"Towel"</formula>
    </cfRule>
    <cfRule type="cellIs" dxfId="21747" priority="8436" stopIfTrue="1" operator="equal">
      <formula>"Napkin Hs"</formula>
    </cfRule>
    <cfRule type="cellIs" dxfId="21746" priority="8439" stopIfTrue="1" operator="equal">
      <formula>"Towel"</formula>
    </cfRule>
    <cfRule type="cellIs" dxfId="21745" priority="8440" stopIfTrue="1" operator="equal">
      <formula>"Napkin Hs"</formula>
    </cfRule>
    <cfRule type="cellIs" dxfId="21744" priority="8441" stopIfTrue="1" operator="equal">
      <formula>"Towel"</formula>
    </cfRule>
    <cfRule type="cellIs" dxfId="21743" priority="8442" stopIfTrue="1" operator="equal">
      <formula>"Napkin Hs"</formula>
    </cfRule>
    <cfRule type="cellIs" dxfId="21742" priority="8447" stopIfTrue="1" operator="equal">
      <formula>"Towel"</formula>
    </cfRule>
    <cfRule type="cellIs" dxfId="21741" priority="8448" stopIfTrue="1" operator="equal">
      <formula>"Napkin Hs"</formula>
    </cfRule>
    <cfRule type="cellIs" dxfId="21740" priority="8449" stopIfTrue="1" operator="equal">
      <formula>"Towel"</formula>
    </cfRule>
    <cfRule type="cellIs" dxfId="21739" priority="8450" stopIfTrue="1" operator="equal">
      <formula>"Napkin Hs"</formula>
    </cfRule>
    <cfRule type="cellIs" dxfId="21738" priority="8453" stopIfTrue="1" operator="equal">
      <formula>"Towel"</formula>
    </cfRule>
    <cfRule type="cellIs" dxfId="21737" priority="8454" stopIfTrue="1" operator="equal">
      <formula>"Napkin Hs"</formula>
    </cfRule>
    <cfRule type="cellIs" dxfId="21736" priority="8455" stopIfTrue="1" operator="equal">
      <formula>"Towel"</formula>
    </cfRule>
    <cfRule type="cellIs" dxfId="21735" priority="8456" stopIfTrue="1" operator="equal">
      <formula>"Napkin Hs"</formula>
    </cfRule>
    <cfRule type="cellIs" dxfId="21734" priority="8457" stopIfTrue="1" operator="equal">
      <formula>"Towel"</formula>
    </cfRule>
    <cfRule type="cellIs" dxfId="21733" priority="8458" stopIfTrue="1" operator="equal">
      <formula>"Napkin Hs"</formula>
    </cfRule>
    <cfRule type="cellIs" dxfId="21732" priority="8459" stopIfTrue="1" operator="equal">
      <formula>"Towel"</formula>
    </cfRule>
    <cfRule type="cellIs" dxfId="21731" priority="8460" stopIfTrue="1" operator="equal">
      <formula>"Napkin Hs"</formula>
    </cfRule>
    <cfRule type="cellIs" dxfId="21730" priority="8465" stopIfTrue="1" operator="equal">
      <formula>"Towel"</formula>
    </cfRule>
    <cfRule type="cellIs" dxfId="21729" priority="8466" stopIfTrue="1" operator="equal">
      <formula>"Napkin Hs"</formula>
    </cfRule>
    <cfRule type="cellIs" dxfId="21728" priority="8467" stopIfTrue="1" operator="equal">
      <formula>"Towel"</formula>
    </cfRule>
    <cfRule type="cellIs" dxfId="21727" priority="8468" stopIfTrue="1" operator="equal">
      <formula>"Napkin Hs"</formula>
    </cfRule>
    <cfRule type="cellIs" dxfId="21726" priority="8471" stopIfTrue="1" operator="equal">
      <formula>"Towel"</formula>
    </cfRule>
    <cfRule type="cellIs" dxfId="21725" priority="8472" stopIfTrue="1" operator="equal">
      <formula>"Napkin Hs"</formula>
    </cfRule>
    <cfRule type="cellIs" dxfId="21724" priority="8473" stopIfTrue="1" operator="equal">
      <formula>"Towel"</formula>
    </cfRule>
    <cfRule type="cellIs" dxfId="21723" priority="8474" stopIfTrue="1" operator="equal">
      <formula>"Napkin Hs"</formula>
    </cfRule>
    <cfRule type="cellIs" dxfId="21722" priority="8475" stopIfTrue="1" operator="equal">
      <formula>"Towel"</formula>
    </cfRule>
    <cfRule type="cellIs" dxfId="21721" priority="8476" stopIfTrue="1" operator="equal">
      <formula>"Napkin Hs"</formula>
    </cfRule>
    <cfRule type="cellIs" dxfId="21720" priority="8477" stopIfTrue="1" operator="equal">
      <formula>"Towel"</formula>
    </cfRule>
    <cfRule type="cellIs" dxfId="21719" priority="8478" stopIfTrue="1" operator="equal">
      <formula>"Napkin Hs"</formula>
    </cfRule>
    <cfRule type="cellIs" dxfId="21718" priority="8483" stopIfTrue="1" operator="equal">
      <formula>"Towel"</formula>
    </cfRule>
    <cfRule type="cellIs" dxfId="21717" priority="8484" stopIfTrue="1" operator="equal">
      <formula>"Napkin Hs"</formula>
    </cfRule>
    <cfRule type="cellIs" dxfId="21716" priority="8485" stopIfTrue="1" operator="equal">
      <formula>"Towel"</formula>
    </cfRule>
    <cfRule type="cellIs" dxfId="21715" priority="8486" stopIfTrue="1" operator="equal">
      <formula>"Napkin Hs"</formula>
    </cfRule>
    <cfRule type="cellIs" dxfId="21714" priority="8489" stopIfTrue="1" operator="equal">
      <formula>"Towel"</formula>
    </cfRule>
    <cfRule type="cellIs" dxfId="21713" priority="8490" stopIfTrue="1" operator="equal">
      <formula>"Napkin Hs"</formula>
    </cfRule>
    <cfRule type="cellIs" dxfId="21712" priority="8491" stopIfTrue="1" operator="equal">
      <formula>"Towel"</formula>
    </cfRule>
    <cfRule type="cellIs" dxfId="21711" priority="8492" stopIfTrue="1" operator="equal">
      <formula>"Napkin Hs"</formula>
    </cfRule>
  </conditionalFormatting>
  <conditionalFormatting sqref="B55:C55">
    <cfRule type="cellIs" dxfId="21710" priority="8394" stopIfTrue="1" operator="equal">
      <formula>"Towel"</formula>
    </cfRule>
    <cfRule type="cellIs" dxfId="21709" priority="8395" stopIfTrue="1" operator="equal">
      <formula>"Napkin Hs"</formula>
    </cfRule>
  </conditionalFormatting>
  <conditionalFormatting sqref="C55">
    <cfRule type="cellIs" dxfId="21708" priority="8390" stopIfTrue="1" operator="equal">
      <formula>"Towel"</formula>
    </cfRule>
    <cfRule type="cellIs" dxfId="21707" priority="8391" stopIfTrue="1" operator="equal">
      <formula>"Napkin Hs"</formula>
    </cfRule>
  </conditionalFormatting>
  <conditionalFormatting sqref="C55">
    <cfRule type="cellIs" dxfId="21706" priority="8393" stopIfTrue="1" operator="equal">
      <formula>"Napkin Hs"</formula>
    </cfRule>
  </conditionalFormatting>
  <conditionalFormatting sqref="C55">
    <cfRule type="cellIs" dxfId="21705" priority="8392" stopIfTrue="1" operator="equal">
      <formula>"Towel"</formula>
    </cfRule>
  </conditionalFormatting>
  <conditionalFormatting sqref="B56:C56">
    <cfRule type="cellIs" dxfId="21704" priority="8388" stopIfTrue="1" operator="equal">
      <formula>"Towel"</formula>
    </cfRule>
    <cfRule type="cellIs" dxfId="21703" priority="8389" stopIfTrue="1" operator="equal">
      <formula>"Napkin Hs"</formula>
    </cfRule>
  </conditionalFormatting>
  <conditionalFormatting sqref="C56">
    <cfRule type="cellIs" dxfId="21702" priority="8386" stopIfTrue="1" operator="equal">
      <formula>"Towel"</formula>
    </cfRule>
    <cfRule type="cellIs" dxfId="21701" priority="8387" stopIfTrue="1" operator="equal">
      <formula>"Napkin Hs"</formula>
    </cfRule>
  </conditionalFormatting>
  <conditionalFormatting sqref="C56">
    <cfRule type="cellIs" dxfId="21700" priority="8384" stopIfTrue="1" operator="equal">
      <formula>"Towel"</formula>
    </cfRule>
    <cfRule type="cellIs" dxfId="21699" priority="8385" stopIfTrue="1" operator="equal">
      <formula>"Napkin Hs"</formula>
    </cfRule>
  </conditionalFormatting>
  <conditionalFormatting sqref="C56">
    <cfRule type="cellIs" dxfId="21698" priority="8370" stopIfTrue="1" operator="equal">
      <formula>"Towel"</formula>
    </cfRule>
    <cfRule type="cellIs" dxfId="21697" priority="8371" stopIfTrue="1" operator="equal">
      <formula>"Napkin Hs"</formula>
    </cfRule>
  </conditionalFormatting>
  <conditionalFormatting sqref="C56">
    <cfRule type="cellIs" dxfId="21696" priority="8368" stopIfTrue="1" operator="equal">
      <formula>"Towel"</formula>
    </cfRule>
    <cfRule type="cellIs" dxfId="21695" priority="8369" stopIfTrue="1" operator="equal">
      <formula>"Napkin Hs"</formula>
    </cfRule>
  </conditionalFormatting>
  <conditionalFormatting sqref="C56">
    <cfRule type="cellIs" dxfId="21694" priority="8376" stopIfTrue="1" operator="equal">
      <formula>"Towel"</formula>
    </cfRule>
    <cfRule type="cellIs" dxfId="21693" priority="8377" stopIfTrue="1" operator="equal">
      <formula>"Napkin Hs"</formula>
    </cfRule>
  </conditionalFormatting>
  <conditionalFormatting sqref="B56:C56">
    <cfRule type="cellIs" dxfId="21692" priority="8378" stopIfTrue="1" operator="equal">
      <formula>"Towel"</formula>
    </cfRule>
    <cfRule type="cellIs" dxfId="21691" priority="8379" stopIfTrue="1" operator="equal">
      <formula>"Napkin Hs"</formula>
    </cfRule>
  </conditionalFormatting>
  <conditionalFormatting sqref="C56">
    <cfRule type="cellIs" dxfId="21690" priority="8374" stopIfTrue="1" operator="equal">
      <formula>"Towel"</formula>
    </cfRule>
    <cfRule type="cellIs" dxfId="21689" priority="8375" stopIfTrue="1" operator="equal">
      <formula>"Napkin Hs"</formula>
    </cfRule>
  </conditionalFormatting>
  <conditionalFormatting sqref="B56:C56">
    <cfRule type="cellIs" dxfId="21688" priority="8372" stopIfTrue="1" operator="equal">
      <formula>"Towel"</formula>
    </cfRule>
    <cfRule type="cellIs" dxfId="21687" priority="8373" stopIfTrue="1" operator="equal">
      <formula>"Napkin Hs"</formula>
    </cfRule>
  </conditionalFormatting>
  <conditionalFormatting sqref="C56">
    <cfRule type="cellIs" dxfId="21686" priority="8380" stopIfTrue="1" operator="equal">
      <formula>"Towel"</formula>
    </cfRule>
    <cfRule type="cellIs" dxfId="21685" priority="8381" stopIfTrue="1" operator="equal">
      <formula>"Napkin Hs"</formula>
    </cfRule>
  </conditionalFormatting>
  <conditionalFormatting sqref="C56">
    <cfRule type="cellIs" dxfId="21684" priority="8382" stopIfTrue="1" operator="equal">
      <formula>"Towel"</formula>
    </cfRule>
    <cfRule type="cellIs" dxfId="21683" priority="8383" stopIfTrue="1" operator="equal">
      <formula>"Napkin Hs"</formula>
    </cfRule>
  </conditionalFormatting>
  <conditionalFormatting sqref="C56">
    <cfRule type="cellIs" dxfId="21682" priority="8364" stopIfTrue="1" operator="equal">
      <formula>"Towel"</formula>
    </cfRule>
    <cfRule type="cellIs" dxfId="21681" priority="8365" stopIfTrue="1" operator="equal">
      <formula>"Napkin Hs"</formula>
    </cfRule>
  </conditionalFormatting>
  <conditionalFormatting sqref="B56:C56">
    <cfRule type="cellIs" dxfId="21680" priority="8366" stopIfTrue="1" operator="equal">
      <formula>"Towel"</formula>
    </cfRule>
    <cfRule type="cellIs" dxfId="21679" priority="8367" stopIfTrue="1" operator="equal">
      <formula>"Napkin Hs"</formula>
    </cfRule>
  </conditionalFormatting>
  <conditionalFormatting sqref="C56">
    <cfRule type="cellIs" dxfId="21678" priority="8362" stopIfTrue="1" operator="equal">
      <formula>"Towel"</formula>
    </cfRule>
    <cfRule type="cellIs" dxfId="21677" priority="8363" stopIfTrue="1" operator="equal">
      <formula>"Napkin Hs"</formula>
    </cfRule>
  </conditionalFormatting>
  <conditionalFormatting sqref="B56:C56">
    <cfRule type="cellIs" dxfId="21676" priority="8360" stopIfTrue="1" operator="equal">
      <formula>"Towel"</formula>
    </cfRule>
    <cfRule type="cellIs" dxfId="21675" priority="8361" stopIfTrue="1" operator="equal">
      <formula>"Napkin Hs"</formula>
    </cfRule>
  </conditionalFormatting>
  <conditionalFormatting sqref="C56">
    <cfRule type="cellIs" dxfId="21674" priority="8352" stopIfTrue="1" operator="equal">
      <formula>"Towel"</formula>
    </cfRule>
    <cfRule type="cellIs" dxfId="21673" priority="8353" stopIfTrue="1" operator="equal">
      <formula>"Napkin Hs"</formula>
    </cfRule>
  </conditionalFormatting>
  <conditionalFormatting sqref="B56:C56">
    <cfRule type="cellIs" dxfId="21672" priority="8354" stopIfTrue="1" operator="equal">
      <formula>"Towel"</formula>
    </cfRule>
    <cfRule type="cellIs" dxfId="21671" priority="8355" stopIfTrue="1" operator="equal">
      <formula>"Napkin Hs"</formula>
    </cfRule>
  </conditionalFormatting>
  <conditionalFormatting sqref="C56">
    <cfRule type="cellIs" dxfId="21670" priority="8350" stopIfTrue="1" operator="equal">
      <formula>"Towel"</formula>
    </cfRule>
    <cfRule type="cellIs" dxfId="21669" priority="8351" stopIfTrue="1" operator="equal">
      <formula>"Napkin Hs"</formula>
    </cfRule>
  </conditionalFormatting>
  <conditionalFormatting sqref="B56:C56">
    <cfRule type="cellIs" dxfId="21668" priority="8348" stopIfTrue="1" operator="equal">
      <formula>"Towel"</formula>
    </cfRule>
    <cfRule type="cellIs" dxfId="21667" priority="8349" stopIfTrue="1" operator="equal">
      <formula>"Napkin Hs"</formula>
    </cfRule>
  </conditionalFormatting>
  <conditionalFormatting sqref="C56">
    <cfRule type="cellIs" dxfId="21666" priority="8356" stopIfTrue="1" operator="equal">
      <formula>"Towel"</formula>
    </cfRule>
    <cfRule type="cellIs" dxfId="21665" priority="8357" stopIfTrue="1" operator="equal">
      <formula>"Napkin Hs"</formula>
    </cfRule>
  </conditionalFormatting>
  <conditionalFormatting sqref="C56">
    <cfRule type="cellIs" dxfId="21664" priority="8358" stopIfTrue="1" operator="equal">
      <formula>"Towel"</formula>
    </cfRule>
    <cfRule type="cellIs" dxfId="21663" priority="8359" stopIfTrue="1" operator="equal">
      <formula>"Napkin Hs"</formula>
    </cfRule>
  </conditionalFormatting>
  <conditionalFormatting sqref="B56:C56">
    <cfRule type="cellIs" dxfId="21662" priority="8346" stopIfTrue="1" operator="equal">
      <formula>"Towel"</formula>
    </cfRule>
    <cfRule type="cellIs" dxfId="21661" priority="8347" stopIfTrue="1" operator="equal">
      <formula>"Napkin Hs"</formula>
    </cfRule>
  </conditionalFormatting>
  <conditionalFormatting sqref="C56">
    <cfRule type="cellIs" dxfId="21660" priority="8345" stopIfTrue="1" operator="equal">
      <formula>"Napkin Hs"</formula>
    </cfRule>
  </conditionalFormatting>
  <conditionalFormatting sqref="C56">
    <cfRule type="cellIs" dxfId="21659" priority="8344" stopIfTrue="1" operator="equal">
      <formula>"Towel"</formula>
    </cfRule>
  </conditionalFormatting>
  <conditionalFormatting sqref="C56">
    <cfRule type="cellIs" dxfId="21658" priority="8342" stopIfTrue="1" operator="equal">
      <formula>"Towel"</formula>
    </cfRule>
    <cfRule type="cellIs" dxfId="21657" priority="8343" stopIfTrue="1" operator="equal">
      <formula>"Napkin Hs"</formula>
    </cfRule>
  </conditionalFormatting>
  <conditionalFormatting sqref="C56">
    <cfRule type="cellIs" dxfId="21656" priority="8334" stopIfTrue="1" operator="equal">
      <formula>"Towel"</formula>
    </cfRule>
    <cfRule type="cellIs" dxfId="21655" priority="8335" stopIfTrue="1" operator="equal">
      <formula>"Napkin Hs"</formula>
    </cfRule>
  </conditionalFormatting>
  <conditionalFormatting sqref="B56:C56">
    <cfRule type="cellIs" dxfId="21654" priority="8336" stopIfTrue="1" operator="equal">
      <formula>"Towel"</formula>
    </cfRule>
    <cfRule type="cellIs" dxfId="21653" priority="8337" stopIfTrue="1" operator="equal">
      <formula>"Napkin Hs"</formula>
    </cfRule>
  </conditionalFormatting>
  <conditionalFormatting sqref="C56">
    <cfRule type="cellIs" dxfId="21652" priority="8332" stopIfTrue="1" operator="equal">
      <formula>"Towel"</formula>
    </cfRule>
    <cfRule type="cellIs" dxfId="21651" priority="8333" stopIfTrue="1" operator="equal">
      <formula>"Napkin Hs"</formula>
    </cfRule>
  </conditionalFormatting>
  <conditionalFormatting sqref="B56:C56">
    <cfRule type="cellIs" dxfId="21650" priority="8330" stopIfTrue="1" operator="equal">
      <formula>"Towel"</formula>
    </cfRule>
    <cfRule type="cellIs" dxfId="21649" priority="8331" stopIfTrue="1" operator="equal">
      <formula>"Napkin Hs"</formula>
    </cfRule>
  </conditionalFormatting>
  <conditionalFormatting sqref="C56">
    <cfRule type="cellIs" dxfId="21648" priority="8338" stopIfTrue="1" operator="equal">
      <formula>"Towel"</formula>
    </cfRule>
    <cfRule type="cellIs" dxfId="21647" priority="8339" stopIfTrue="1" operator="equal">
      <formula>"Napkin Hs"</formula>
    </cfRule>
  </conditionalFormatting>
  <conditionalFormatting sqref="C56">
    <cfRule type="cellIs" dxfId="21646" priority="8340" stopIfTrue="1" operator="equal">
      <formula>"Towel"</formula>
    </cfRule>
    <cfRule type="cellIs" dxfId="21645" priority="8341" stopIfTrue="1" operator="equal">
      <formula>"Napkin Hs"</formula>
    </cfRule>
  </conditionalFormatting>
  <conditionalFormatting sqref="B56:C56">
    <cfRule type="cellIs" dxfId="21644" priority="8328" stopIfTrue="1" operator="equal">
      <formula>"Towel"</formula>
    </cfRule>
    <cfRule type="cellIs" dxfId="21643" priority="8329" stopIfTrue="1" operator="equal">
      <formula>"Napkin Hs"</formula>
    </cfRule>
  </conditionalFormatting>
  <conditionalFormatting sqref="C56">
    <cfRule type="cellIs" dxfId="21642" priority="8324" stopIfTrue="1" operator="equal">
      <formula>"Towel"</formula>
    </cfRule>
    <cfRule type="cellIs" dxfId="21641" priority="8325" stopIfTrue="1" operator="equal">
      <formula>"Napkin Hs"</formula>
    </cfRule>
  </conditionalFormatting>
  <conditionalFormatting sqref="C56">
    <cfRule type="cellIs" dxfId="21640" priority="8326" stopIfTrue="1" operator="equal">
      <formula>"Towel"</formula>
    </cfRule>
    <cfRule type="cellIs" dxfId="21639" priority="8327" stopIfTrue="1" operator="equal">
      <formula>"Napkin Hs"</formula>
    </cfRule>
  </conditionalFormatting>
  <conditionalFormatting sqref="B56:C56">
    <cfRule type="cellIs" dxfId="21638" priority="8322" stopIfTrue="1" operator="equal">
      <formula>"Towel"</formula>
    </cfRule>
    <cfRule type="cellIs" dxfId="21637" priority="8323" stopIfTrue="1" operator="equal">
      <formula>"Napkin Hs"</formula>
    </cfRule>
  </conditionalFormatting>
  <conditionalFormatting sqref="C56">
    <cfRule type="cellIs" dxfId="21636" priority="8318" stopIfTrue="1" operator="equal">
      <formula>"Towel"</formula>
    </cfRule>
    <cfRule type="cellIs" dxfId="21635" priority="8319" stopIfTrue="1" operator="equal">
      <formula>"Napkin Hs"</formula>
    </cfRule>
  </conditionalFormatting>
  <conditionalFormatting sqref="C56">
    <cfRule type="cellIs" dxfId="21634" priority="8320" stopIfTrue="1" operator="equal">
      <formula>"Towel"</formula>
    </cfRule>
    <cfRule type="cellIs" dxfId="21633" priority="8321" stopIfTrue="1" operator="equal">
      <formula>"Napkin Hs"</formula>
    </cfRule>
  </conditionalFormatting>
  <conditionalFormatting sqref="C56">
    <cfRule type="cellIs" dxfId="21632" priority="8314" stopIfTrue="1" operator="equal">
      <formula>"Towel"</formula>
    </cfRule>
    <cfRule type="cellIs" dxfId="21631" priority="8315" stopIfTrue="1" operator="equal">
      <formula>"Napkin Hs"</formula>
    </cfRule>
  </conditionalFormatting>
  <conditionalFormatting sqref="C56">
    <cfRule type="cellIs" dxfId="21630" priority="8316" stopIfTrue="1" operator="equal">
      <formula>"Towel"</formula>
    </cfRule>
    <cfRule type="cellIs" dxfId="21629" priority="8317" stopIfTrue="1" operator="equal">
      <formula>"Napkin Hs"</formula>
    </cfRule>
  </conditionalFormatting>
  <conditionalFormatting sqref="C56">
    <cfRule type="cellIs" dxfId="21628" priority="8312" stopIfTrue="1" operator="equal">
      <formula>"Towel"</formula>
    </cfRule>
    <cfRule type="cellIs" dxfId="21627" priority="8313" stopIfTrue="1" operator="equal">
      <formula>"Napkin Hs"</formula>
    </cfRule>
  </conditionalFormatting>
  <conditionalFormatting sqref="B56">
    <cfRule type="cellIs" dxfId="21626" priority="8310" stopIfTrue="1" operator="equal">
      <formula>"Towel"</formula>
    </cfRule>
    <cfRule type="cellIs" dxfId="21625" priority="8311" stopIfTrue="1" operator="equal">
      <formula>"Napkin Hs"</formula>
    </cfRule>
  </conditionalFormatting>
  <conditionalFormatting sqref="C56">
    <cfRule type="cellIs" dxfId="21624" priority="8302" stopIfTrue="1" operator="equal">
      <formula>"Towel"</formula>
    </cfRule>
    <cfRule type="cellIs" dxfId="21623" priority="8303" stopIfTrue="1" operator="equal">
      <formula>"Napkin Hs"</formula>
    </cfRule>
  </conditionalFormatting>
  <conditionalFormatting sqref="B56:C56">
    <cfRule type="cellIs" dxfId="21622" priority="8304" stopIfTrue="1" operator="equal">
      <formula>"Towel"</formula>
    </cfRule>
    <cfRule type="cellIs" dxfId="21621" priority="8305" stopIfTrue="1" operator="equal">
      <formula>"Napkin Hs"</formula>
    </cfRule>
  </conditionalFormatting>
  <conditionalFormatting sqref="C56">
    <cfRule type="cellIs" dxfId="21620" priority="8300" stopIfTrue="1" operator="equal">
      <formula>"Towel"</formula>
    </cfRule>
    <cfRule type="cellIs" dxfId="21619" priority="8301" stopIfTrue="1" operator="equal">
      <formula>"Napkin Hs"</formula>
    </cfRule>
  </conditionalFormatting>
  <conditionalFormatting sqref="B56:C56">
    <cfRule type="cellIs" dxfId="21618" priority="8298" stopIfTrue="1" operator="equal">
      <formula>"Towel"</formula>
    </cfRule>
    <cfRule type="cellIs" dxfId="21617" priority="8299" stopIfTrue="1" operator="equal">
      <formula>"Napkin Hs"</formula>
    </cfRule>
  </conditionalFormatting>
  <conditionalFormatting sqref="C56">
    <cfRule type="cellIs" dxfId="21616" priority="8306" stopIfTrue="1" operator="equal">
      <formula>"Towel"</formula>
    </cfRule>
    <cfRule type="cellIs" dxfId="21615" priority="8307" stopIfTrue="1" operator="equal">
      <formula>"Napkin Hs"</formula>
    </cfRule>
  </conditionalFormatting>
  <conditionalFormatting sqref="C56">
    <cfRule type="cellIs" dxfId="21614" priority="8308" stopIfTrue="1" operator="equal">
      <formula>"Towel"</formula>
    </cfRule>
    <cfRule type="cellIs" dxfId="21613" priority="8309" stopIfTrue="1" operator="equal">
      <formula>"Napkin Hs"</formula>
    </cfRule>
  </conditionalFormatting>
  <conditionalFormatting sqref="C56">
    <cfRule type="cellIs" dxfId="21612" priority="8290" stopIfTrue="1" operator="equal">
      <formula>"Towel"</formula>
    </cfRule>
    <cfRule type="cellIs" dxfId="21611" priority="8291" stopIfTrue="1" operator="equal">
      <formula>"Napkin Hs"</formula>
    </cfRule>
  </conditionalFormatting>
  <conditionalFormatting sqref="B56:C56">
    <cfRule type="cellIs" dxfId="21610" priority="8292" stopIfTrue="1" operator="equal">
      <formula>"Towel"</formula>
    </cfRule>
    <cfRule type="cellIs" dxfId="21609" priority="8293" stopIfTrue="1" operator="equal">
      <formula>"Napkin Hs"</formula>
    </cfRule>
  </conditionalFormatting>
  <conditionalFormatting sqref="C56">
    <cfRule type="cellIs" dxfId="21608" priority="8288" stopIfTrue="1" operator="equal">
      <formula>"Towel"</formula>
    </cfRule>
    <cfRule type="cellIs" dxfId="21607" priority="8289" stopIfTrue="1" operator="equal">
      <formula>"Napkin Hs"</formula>
    </cfRule>
  </conditionalFormatting>
  <conditionalFormatting sqref="B56:C56">
    <cfRule type="cellIs" dxfId="21606" priority="8286" stopIfTrue="1" operator="equal">
      <formula>"Towel"</formula>
    </cfRule>
    <cfRule type="cellIs" dxfId="21605" priority="8287" stopIfTrue="1" operator="equal">
      <formula>"Napkin Hs"</formula>
    </cfRule>
  </conditionalFormatting>
  <conditionalFormatting sqref="C56">
    <cfRule type="cellIs" dxfId="21604" priority="8294" stopIfTrue="1" operator="equal">
      <formula>"Towel"</formula>
    </cfRule>
    <cfRule type="cellIs" dxfId="21603" priority="8295" stopIfTrue="1" operator="equal">
      <formula>"Napkin Hs"</formula>
    </cfRule>
  </conditionalFormatting>
  <conditionalFormatting sqref="C56">
    <cfRule type="cellIs" dxfId="21602" priority="8296" stopIfTrue="1" operator="equal">
      <formula>"Towel"</formula>
    </cfRule>
    <cfRule type="cellIs" dxfId="21601" priority="8297" stopIfTrue="1" operator="equal">
      <formula>"Napkin Hs"</formula>
    </cfRule>
  </conditionalFormatting>
  <conditionalFormatting sqref="C56">
    <cfRule type="cellIs" dxfId="21600" priority="8278" stopIfTrue="1" operator="equal">
      <formula>"Towel"</formula>
    </cfRule>
    <cfRule type="cellIs" dxfId="21599" priority="8279" stopIfTrue="1" operator="equal">
      <formula>"Napkin Hs"</formula>
    </cfRule>
  </conditionalFormatting>
  <conditionalFormatting sqref="B56:C56">
    <cfRule type="cellIs" dxfId="21598" priority="8280" stopIfTrue="1" operator="equal">
      <formula>"Towel"</formula>
    </cfRule>
    <cfRule type="cellIs" dxfId="21597" priority="8281" stopIfTrue="1" operator="equal">
      <formula>"Napkin Hs"</formula>
    </cfRule>
  </conditionalFormatting>
  <conditionalFormatting sqref="C56">
    <cfRule type="cellIs" dxfId="21596" priority="8276" stopIfTrue="1" operator="equal">
      <formula>"Towel"</formula>
    </cfRule>
    <cfRule type="cellIs" dxfId="21595" priority="8277" stopIfTrue="1" operator="equal">
      <formula>"Napkin Hs"</formula>
    </cfRule>
  </conditionalFormatting>
  <conditionalFormatting sqref="B56:C56">
    <cfRule type="cellIs" dxfId="21594" priority="8274" stopIfTrue="1" operator="equal">
      <formula>"Towel"</formula>
    </cfRule>
    <cfRule type="cellIs" dxfId="21593" priority="8275" stopIfTrue="1" operator="equal">
      <formula>"Napkin Hs"</formula>
    </cfRule>
  </conditionalFormatting>
  <conditionalFormatting sqref="C56">
    <cfRule type="cellIs" dxfId="21592" priority="8282" stopIfTrue="1" operator="equal">
      <formula>"Towel"</formula>
    </cfRule>
    <cfRule type="cellIs" dxfId="21591" priority="8283" stopIfTrue="1" operator="equal">
      <formula>"Napkin Hs"</formula>
    </cfRule>
  </conditionalFormatting>
  <conditionalFormatting sqref="C56">
    <cfRule type="cellIs" dxfId="21590" priority="8284" stopIfTrue="1" operator="equal">
      <formula>"Towel"</formula>
    </cfRule>
    <cfRule type="cellIs" dxfId="21589" priority="8285" stopIfTrue="1" operator="equal">
      <formula>"Napkin Hs"</formula>
    </cfRule>
  </conditionalFormatting>
  <conditionalFormatting sqref="B56:C56">
    <cfRule type="cellIs" dxfId="21588" priority="8272" stopIfTrue="1" operator="equal">
      <formula>"Towel"</formula>
    </cfRule>
    <cfRule type="cellIs" dxfId="21587" priority="8273" stopIfTrue="1" operator="equal">
      <formula>"Napkin Hs"</formula>
    </cfRule>
  </conditionalFormatting>
  <conditionalFormatting sqref="C56">
    <cfRule type="cellIs" dxfId="21586" priority="8268" stopIfTrue="1" operator="equal">
      <formula>"Towel"</formula>
    </cfRule>
    <cfRule type="cellIs" dxfId="21585" priority="8269" stopIfTrue="1" operator="equal">
      <formula>"Napkin Hs"</formula>
    </cfRule>
  </conditionalFormatting>
  <conditionalFormatting sqref="C56">
    <cfRule type="cellIs" dxfId="21584" priority="8271" stopIfTrue="1" operator="equal">
      <formula>"Napkin Hs"</formula>
    </cfRule>
  </conditionalFormatting>
  <conditionalFormatting sqref="C56">
    <cfRule type="cellIs" dxfId="21583" priority="8270" stopIfTrue="1" operator="equal">
      <formula>"Towel"</formula>
    </cfRule>
  </conditionalFormatting>
  <conditionalFormatting sqref="B56:C56">
    <cfRule type="cellIs" dxfId="21582" priority="8266" stopIfTrue="1" operator="equal">
      <formula>"Towel"</formula>
    </cfRule>
    <cfRule type="cellIs" dxfId="21581" priority="8267" stopIfTrue="1" operator="equal">
      <formula>"Napkin Hs"</formula>
    </cfRule>
  </conditionalFormatting>
  <conditionalFormatting sqref="C56">
    <cfRule type="cellIs" dxfId="21580" priority="8262" stopIfTrue="1" operator="equal">
      <formula>"Towel"</formula>
    </cfRule>
    <cfRule type="cellIs" dxfId="21579" priority="8263" stopIfTrue="1" operator="equal">
      <formula>"Napkin Hs"</formula>
    </cfRule>
  </conditionalFormatting>
  <conditionalFormatting sqref="C56">
    <cfRule type="cellIs" dxfId="21578" priority="8265" stopIfTrue="1" operator="equal">
      <formula>"Napkin Hs"</formula>
    </cfRule>
  </conditionalFormatting>
  <conditionalFormatting sqref="C56">
    <cfRule type="cellIs" dxfId="21577" priority="8264" stopIfTrue="1" operator="equal">
      <formula>"Towel"</formula>
    </cfRule>
  </conditionalFormatting>
  <conditionalFormatting sqref="C56">
    <cfRule type="cellIs" dxfId="21576" priority="8254" stopIfTrue="1" operator="equal">
      <formula>"Towel"</formula>
    </cfRule>
    <cfRule type="cellIs" dxfId="21575" priority="8255" stopIfTrue="1" operator="equal">
      <formula>"Napkin Hs"</formula>
    </cfRule>
  </conditionalFormatting>
  <conditionalFormatting sqref="B56:C56">
    <cfRule type="cellIs" dxfId="21574" priority="8256" stopIfTrue="1" operator="equal">
      <formula>"Towel"</formula>
    </cfRule>
    <cfRule type="cellIs" dxfId="21573" priority="8257" stopIfTrue="1" operator="equal">
      <formula>"Napkin Hs"</formula>
    </cfRule>
  </conditionalFormatting>
  <conditionalFormatting sqref="C56">
    <cfRule type="cellIs" dxfId="21572" priority="8252" stopIfTrue="1" operator="equal">
      <formula>"Towel"</formula>
    </cfRule>
    <cfRule type="cellIs" dxfId="21571" priority="8253" stopIfTrue="1" operator="equal">
      <formula>"Napkin Hs"</formula>
    </cfRule>
  </conditionalFormatting>
  <conditionalFormatting sqref="B56:C56">
    <cfRule type="cellIs" dxfId="21570" priority="8250" stopIfTrue="1" operator="equal">
      <formula>"Towel"</formula>
    </cfRule>
    <cfRule type="cellIs" dxfId="21569" priority="8251" stopIfTrue="1" operator="equal">
      <formula>"Napkin Hs"</formula>
    </cfRule>
  </conditionalFormatting>
  <conditionalFormatting sqref="C56">
    <cfRule type="cellIs" dxfId="21568" priority="8258" stopIfTrue="1" operator="equal">
      <formula>"Towel"</formula>
    </cfRule>
    <cfRule type="cellIs" dxfId="21567" priority="8259" stopIfTrue="1" operator="equal">
      <formula>"Napkin Hs"</formula>
    </cfRule>
  </conditionalFormatting>
  <conditionalFormatting sqref="C56">
    <cfRule type="cellIs" dxfId="21566" priority="8260" stopIfTrue="1" operator="equal">
      <formula>"Towel"</formula>
    </cfRule>
    <cfRule type="cellIs" dxfId="21565" priority="8261" stopIfTrue="1" operator="equal">
      <formula>"Napkin Hs"</formula>
    </cfRule>
  </conditionalFormatting>
  <conditionalFormatting sqref="B56:C56">
    <cfRule type="cellIs" dxfId="21564" priority="8248" stopIfTrue="1" operator="equal">
      <formula>"Towel"</formula>
    </cfRule>
    <cfRule type="cellIs" dxfId="21563" priority="8249" stopIfTrue="1" operator="equal">
      <formula>"Napkin Hs"</formula>
    </cfRule>
  </conditionalFormatting>
  <conditionalFormatting sqref="C56">
    <cfRule type="cellIs" dxfId="21562" priority="8240" stopIfTrue="1" operator="equal">
      <formula>"Towel"</formula>
    </cfRule>
    <cfRule type="cellIs" dxfId="21561" priority="8241" stopIfTrue="1" operator="equal">
      <formula>"Napkin Hs"</formula>
    </cfRule>
  </conditionalFormatting>
  <conditionalFormatting sqref="C56">
    <cfRule type="cellIs" dxfId="21560" priority="8244" stopIfTrue="1" operator="equal">
      <formula>"Towel"</formula>
    </cfRule>
    <cfRule type="cellIs" dxfId="21559" priority="8245" stopIfTrue="1" operator="equal">
      <formula>"Napkin Hs"</formula>
    </cfRule>
  </conditionalFormatting>
  <conditionalFormatting sqref="C56">
    <cfRule type="cellIs" dxfId="21558" priority="8247" stopIfTrue="1" operator="equal">
      <formula>"Napkin Hs"</formula>
    </cfRule>
  </conditionalFormatting>
  <conditionalFormatting sqref="C56">
    <cfRule type="cellIs" dxfId="21557" priority="8242" stopIfTrue="1" operator="equal">
      <formula>"Towel"</formula>
    </cfRule>
    <cfRule type="cellIs" dxfId="21556" priority="8243" stopIfTrue="1" operator="equal">
      <formula>"Napkin Hs"</formula>
    </cfRule>
  </conditionalFormatting>
  <conditionalFormatting sqref="C56">
    <cfRule type="cellIs" dxfId="21555" priority="8246" stopIfTrue="1" operator="equal">
      <formula>"Towel"</formula>
    </cfRule>
  </conditionalFormatting>
  <conditionalFormatting sqref="C56">
    <cfRule type="cellIs" dxfId="21554" priority="8238" stopIfTrue="1" operator="equal">
      <formula>"Towel"</formula>
    </cfRule>
    <cfRule type="cellIs" dxfId="21553" priority="8239" stopIfTrue="1" operator="equal">
      <formula>"Napkin Hs"</formula>
    </cfRule>
  </conditionalFormatting>
  <conditionalFormatting sqref="B56">
    <cfRule type="cellIs" dxfId="21552" priority="8236" stopIfTrue="1" operator="equal">
      <formula>"Towel"</formula>
    </cfRule>
    <cfRule type="cellIs" dxfId="21551" priority="8237" stopIfTrue="1" operator="equal">
      <formula>"Napkin Hs"</formula>
    </cfRule>
  </conditionalFormatting>
  <conditionalFormatting sqref="B56:C56">
    <cfRule type="cellIs" dxfId="21550" priority="8234" stopIfTrue="1" operator="equal">
      <formula>"Towel"</formula>
    </cfRule>
    <cfRule type="cellIs" dxfId="21549" priority="8235" stopIfTrue="1" operator="equal">
      <formula>"Napkin Hs"</formula>
    </cfRule>
  </conditionalFormatting>
  <conditionalFormatting sqref="C56">
    <cfRule type="cellIs" dxfId="21548" priority="8226" stopIfTrue="1" operator="equal">
      <formula>"Towel"</formula>
    </cfRule>
    <cfRule type="cellIs" dxfId="21547" priority="8227" stopIfTrue="1" operator="equal">
      <formula>"Napkin Hs"</formula>
    </cfRule>
  </conditionalFormatting>
  <conditionalFormatting sqref="C56">
    <cfRule type="cellIs" dxfId="21546" priority="8230" stopIfTrue="1" operator="equal">
      <formula>"Towel"</formula>
    </cfRule>
    <cfRule type="cellIs" dxfId="21545" priority="8231" stopIfTrue="1" operator="equal">
      <formula>"Napkin Hs"</formula>
    </cfRule>
  </conditionalFormatting>
  <conditionalFormatting sqref="C56">
    <cfRule type="cellIs" dxfId="21544" priority="8233" stopIfTrue="1" operator="equal">
      <formula>"Napkin Hs"</formula>
    </cfRule>
  </conditionalFormatting>
  <conditionalFormatting sqref="C56">
    <cfRule type="cellIs" dxfId="21543" priority="8228" stopIfTrue="1" operator="equal">
      <formula>"Towel"</formula>
    </cfRule>
    <cfRule type="cellIs" dxfId="21542" priority="8229" stopIfTrue="1" operator="equal">
      <formula>"Napkin Hs"</formula>
    </cfRule>
  </conditionalFormatting>
  <conditionalFormatting sqref="C56">
    <cfRule type="cellIs" dxfId="21541" priority="8232" stopIfTrue="1" operator="equal">
      <formula>"Towel"</formula>
    </cfRule>
  </conditionalFormatting>
  <conditionalFormatting sqref="C56">
    <cfRule type="cellIs" dxfId="21540" priority="8224" stopIfTrue="1" operator="equal">
      <formula>"Towel"</formula>
    </cfRule>
    <cfRule type="cellIs" dxfId="21539" priority="8225" stopIfTrue="1" operator="equal">
      <formula>"Napkin Hs"</formula>
    </cfRule>
  </conditionalFormatting>
  <conditionalFormatting sqref="B56">
    <cfRule type="cellIs" dxfId="21538" priority="8222" stopIfTrue="1" operator="equal">
      <formula>"Towel"</formula>
    </cfRule>
    <cfRule type="cellIs" dxfId="21537" priority="8223" stopIfTrue="1" operator="equal">
      <formula>"Napkin Hs"</formula>
    </cfRule>
  </conditionalFormatting>
  <conditionalFormatting sqref="B56:C56">
    <cfRule type="cellIs" dxfId="21536" priority="8198" stopIfTrue="1" operator="equal">
      <formula>"Towel"</formula>
    </cfRule>
  </conditionalFormatting>
  <conditionalFormatting sqref="B56:C56">
    <cfRule type="cellIs" dxfId="21535" priority="8199" stopIfTrue="1" operator="equal">
      <formula>"Napkin Hs"</formula>
    </cfRule>
    <cfRule type="cellIs" dxfId="21534" priority="8204" stopIfTrue="1" operator="equal">
      <formula>"Towel"</formula>
    </cfRule>
    <cfRule type="cellIs" dxfId="21533" priority="8205" stopIfTrue="1" operator="equal">
      <formula>"Napkin Hs"</formula>
    </cfRule>
    <cfRule type="cellIs" dxfId="21532" priority="8214" stopIfTrue="1" operator="equal">
      <formula>"Towel"</formula>
    </cfRule>
    <cfRule type="cellIs" dxfId="21531" priority="8215" stopIfTrue="1" operator="equal">
      <formula>"Napkin Hs"</formula>
    </cfRule>
    <cfRule type="cellIs" dxfId="21530" priority="8220" stopIfTrue="1" operator="equal">
      <formula>"Towel"</formula>
    </cfRule>
    <cfRule type="cellIs" dxfId="21529" priority="8221" stopIfTrue="1" operator="equal">
      <formula>"Napkin Hs"</formula>
    </cfRule>
  </conditionalFormatting>
  <conditionalFormatting sqref="C56">
    <cfRule type="cellIs" dxfId="21528" priority="8200" stopIfTrue="1" operator="equal">
      <formula>"Towel"</formula>
    </cfRule>
    <cfRule type="cellIs" dxfId="21527" priority="8201" stopIfTrue="1" operator="equal">
      <formula>"Napkin Hs"</formula>
    </cfRule>
    <cfRule type="cellIs" dxfId="21526" priority="8202" stopIfTrue="1" operator="equal">
      <formula>"Towel"</formula>
    </cfRule>
    <cfRule type="cellIs" dxfId="21525" priority="8203" stopIfTrue="1" operator="equal">
      <formula>"Napkin Hs"</formula>
    </cfRule>
    <cfRule type="cellIs" dxfId="21524" priority="8206" stopIfTrue="1" operator="equal">
      <formula>"Towel"</formula>
    </cfRule>
    <cfRule type="cellIs" dxfId="21523" priority="8207" stopIfTrue="1" operator="equal">
      <formula>"Napkin Hs"</formula>
    </cfRule>
    <cfRule type="cellIs" dxfId="21522" priority="8208" stopIfTrue="1" operator="equal">
      <formula>"Towel"</formula>
    </cfRule>
    <cfRule type="cellIs" dxfId="21521" priority="8209" stopIfTrue="1" operator="equal">
      <formula>"Napkin Hs"</formula>
    </cfRule>
    <cfRule type="cellIs" dxfId="21520" priority="8210" stopIfTrue="1" operator="equal">
      <formula>"Towel"</formula>
    </cfRule>
    <cfRule type="cellIs" dxfId="21519" priority="8211" stopIfTrue="1" operator="equal">
      <formula>"Napkin Hs"</formula>
    </cfRule>
    <cfRule type="cellIs" dxfId="21518" priority="8212" stopIfTrue="1" operator="equal">
      <formula>"Towel"</formula>
    </cfRule>
    <cfRule type="cellIs" dxfId="21517" priority="8213" stopIfTrue="1" operator="equal">
      <formula>"Napkin Hs"</formula>
    </cfRule>
    <cfRule type="cellIs" dxfId="21516" priority="8216" stopIfTrue="1" operator="equal">
      <formula>"Towel"</formula>
    </cfRule>
    <cfRule type="cellIs" dxfId="21515" priority="8217" stopIfTrue="1" operator="equal">
      <formula>"Napkin Hs"</formula>
    </cfRule>
    <cfRule type="cellIs" dxfId="21514" priority="8219" stopIfTrue="1" operator="equal">
      <formula>"Napkin Hs"</formula>
    </cfRule>
  </conditionalFormatting>
  <conditionalFormatting sqref="C56">
    <cfRule type="cellIs" dxfId="21513" priority="8218" stopIfTrue="1" operator="equal">
      <formula>"Towel"</formula>
    </cfRule>
  </conditionalFormatting>
  <conditionalFormatting sqref="B56:C56">
    <cfRule type="cellIs" dxfId="21512" priority="8196" stopIfTrue="1" operator="equal">
      <formula>"Towel"</formula>
    </cfRule>
    <cfRule type="cellIs" dxfId="21511" priority="8197" stopIfTrue="1" operator="equal">
      <formula>"Napkin Hs"</formula>
    </cfRule>
  </conditionalFormatting>
  <conditionalFormatting sqref="C56">
    <cfRule type="cellIs" dxfId="21510" priority="8195" stopIfTrue="1" operator="equal">
      <formula>"Napkin Hs"</formula>
    </cfRule>
  </conditionalFormatting>
  <conditionalFormatting sqref="C56">
    <cfRule type="cellIs" dxfId="21509" priority="8194" stopIfTrue="1" operator="equal">
      <formula>"Towel"</formula>
    </cfRule>
  </conditionalFormatting>
  <conditionalFormatting sqref="C56">
    <cfRule type="cellIs" dxfId="21508" priority="8192" stopIfTrue="1" operator="equal">
      <formula>"Towel"</formula>
    </cfRule>
  </conditionalFormatting>
  <conditionalFormatting sqref="C56">
    <cfRule type="cellIs" dxfId="21507" priority="8193" stopIfTrue="1" operator="equal">
      <formula>"Napkin Hs"</formula>
    </cfRule>
  </conditionalFormatting>
  <conditionalFormatting sqref="B56">
    <cfRule type="cellIs" dxfId="21506" priority="8096" stopIfTrue="1" operator="equal">
      <formula>"Napkin Hs"</formula>
    </cfRule>
  </conditionalFormatting>
  <conditionalFormatting sqref="B56:C56">
    <cfRule type="cellIs" dxfId="21505" priority="8095" stopIfTrue="1" operator="equal">
      <formula>"Towel"</formula>
    </cfRule>
  </conditionalFormatting>
  <conditionalFormatting sqref="B56:C56">
    <cfRule type="cellIs" dxfId="21504" priority="8106" stopIfTrue="1" operator="equal">
      <formula>"Towel"</formula>
    </cfRule>
    <cfRule type="cellIs" dxfId="21503" priority="8107" stopIfTrue="1" operator="equal">
      <formula>"Napkin Hs"</formula>
    </cfRule>
    <cfRule type="cellIs" dxfId="21502" priority="8112" stopIfTrue="1" operator="equal">
      <formula>"Towel"</formula>
    </cfRule>
    <cfRule type="cellIs" dxfId="21501" priority="8113" stopIfTrue="1" operator="equal">
      <formula>"Napkin Hs"</formula>
    </cfRule>
    <cfRule type="cellIs" dxfId="21500" priority="8118" stopIfTrue="1" operator="equal">
      <formula>"Towel"</formula>
    </cfRule>
    <cfRule type="cellIs" dxfId="21499" priority="8119" stopIfTrue="1" operator="equal">
      <formula>"Napkin Hs"</formula>
    </cfRule>
    <cfRule type="cellIs" dxfId="21498" priority="8120" stopIfTrue="1" operator="equal">
      <formula>"Towel"</formula>
    </cfRule>
    <cfRule type="cellIs" dxfId="21497" priority="8121" stopIfTrue="1" operator="equal">
      <formula>"Napkin Hs"</formula>
    </cfRule>
    <cfRule type="cellIs" dxfId="21496" priority="8126" stopIfTrue="1" operator="equal">
      <formula>"Towel"</formula>
    </cfRule>
    <cfRule type="cellIs" dxfId="21495" priority="8127" stopIfTrue="1" operator="equal">
      <formula>"Napkin Hs"</formula>
    </cfRule>
    <cfRule type="cellIs" dxfId="21494" priority="8136" stopIfTrue="1" operator="equal">
      <formula>"Towel"</formula>
    </cfRule>
    <cfRule type="cellIs" dxfId="21493" priority="8137" stopIfTrue="1" operator="equal">
      <formula>"Napkin Hs"</formula>
    </cfRule>
    <cfRule type="cellIs" dxfId="21492" priority="8142" stopIfTrue="1" operator="equal">
      <formula>"Towel"</formula>
    </cfRule>
    <cfRule type="cellIs" dxfId="21491" priority="8143" stopIfTrue="1" operator="equal">
      <formula>"Napkin Hs"</formula>
    </cfRule>
    <cfRule type="cellIs" dxfId="21490" priority="8144" stopIfTrue="1" operator="equal">
      <formula>"Towel"</formula>
    </cfRule>
    <cfRule type="cellIs" dxfId="21489" priority="8145" stopIfTrue="1" operator="equal">
      <formula>"Napkin Hs"</formula>
    </cfRule>
    <cfRule type="cellIs" dxfId="21488" priority="8150" stopIfTrue="1" operator="equal">
      <formula>"Towel"</formula>
    </cfRule>
    <cfRule type="cellIs" dxfId="21487" priority="8151" stopIfTrue="1" operator="equal">
      <formula>"Napkin Hs"</formula>
    </cfRule>
    <cfRule type="cellIs" dxfId="21486" priority="8160" stopIfTrue="1" operator="equal">
      <formula>"Towel"</formula>
    </cfRule>
    <cfRule type="cellIs" dxfId="21485" priority="8161" stopIfTrue="1" operator="equal">
      <formula>"Napkin Hs"</formula>
    </cfRule>
    <cfRule type="cellIs" dxfId="21484" priority="8162" stopIfTrue="1" operator="equal">
      <formula>"Towel"</formula>
    </cfRule>
    <cfRule type="cellIs" dxfId="21483" priority="8163" stopIfTrue="1" operator="equal">
      <formula>"Napkin Hs"</formula>
    </cfRule>
    <cfRule type="cellIs" dxfId="21482" priority="8168" stopIfTrue="1" operator="equal">
      <formula>"Towel"</formula>
    </cfRule>
    <cfRule type="cellIs" dxfId="21481" priority="8169" stopIfTrue="1" operator="equal">
      <formula>"Napkin Hs"</formula>
    </cfRule>
    <cfRule type="cellIs" dxfId="21480" priority="8178" stopIfTrue="1" operator="equal">
      <formula>"Towel"</formula>
    </cfRule>
    <cfRule type="cellIs" dxfId="21479" priority="8179" stopIfTrue="1" operator="equal">
      <formula>"Napkin Hs"</formula>
    </cfRule>
    <cfRule type="cellIs" dxfId="21478" priority="8180" stopIfTrue="1" operator="equal">
      <formula>"Towel"</formula>
    </cfRule>
    <cfRule type="cellIs" dxfId="21477" priority="8181" stopIfTrue="1" operator="equal">
      <formula>"Napkin Hs"</formula>
    </cfRule>
    <cfRule type="cellIs" dxfId="21476" priority="8187" stopIfTrue="1" operator="equal">
      <formula>"Napkin Hs"</formula>
    </cfRule>
  </conditionalFormatting>
  <conditionalFormatting sqref="B56:C56">
    <cfRule type="cellIs" dxfId="21475" priority="8186" stopIfTrue="1" operator="equal">
      <formula>"Towel"</formula>
    </cfRule>
  </conditionalFormatting>
  <conditionalFormatting sqref="C56">
    <cfRule type="cellIs" dxfId="21474" priority="8097" stopIfTrue="1" operator="equal">
      <formula>"Napkin Hs"</formula>
    </cfRule>
    <cfRule type="cellIs" dxfId="21473" priority="8098" stopIfTrue="1" operator="equal">
      <formula>"Towel"</formula>
    </cfRule>
    <cfRule type="cellIs" dxfId="21472" priority="8099" stopIfTrue="1" operator="equal">
      <formula>"Napkin Hs"</formula>
    </cfRule>
    <cfRule type="cellIs" dxfId="21471" priority="8100" stopIfTrue="1" operator="equal">
      <formula>"Towel"</formula>
    </cfRule>
    <cfRule type="cellIs" dxfId="21470" priority="8101" stopIfTrue="1" operator="equal">
      <formula>"Napkin Hs"</formula>
    </cfRule>
    <cfRule type="cellIs" dxfId="21469" priority="8102" stopIfTrue="1" operator="equal">
      <formula>"Towel"</formula>
    </cfRule>
    <cfRule type="cellIs" dxfId="21468" priority="8103" stopIfTrue="1" operator="equal">
      <formula>"Napkin Hs"</formula>
    </cfRule>
    <cfRule type="cellIs" dxfId="21467" priority="8104" stopIfTrue="1" operator="equal">
      <formula>"Towel"</formula>
    </cfRule>
    <cfRule type="cellIs" dxfId="21466" priority="8105" stopIfTrue="1" operator="equal">
      <formula>"Napkin Hs"</formula>
    </cfRule>
    <cfRule type="cellIs" dxfId="21465" priority="8108" stopIfTrue="1" operator="equal">
      <formula>"Towel"</formula>
    </cfRule>
    <cfRule type="cellIs" dxfId="21464" priority="8109" stopIfTrue="1" operator="equal">
      <formula>"Napkin Hs"</formula>
    </cfRule>
    <cfRule type="cellIs" dxfId="21463" priority="8110" stopIfTrue="1" operator="equal">
      <formula>"Towel"</formula>
    </cfRule>
    <cfRule type="cellIs" dxfId="21462" priority="8111" stopIfTrue="1" operator="equal">
      <formula>"Napkin Hs"</formula>
    </cfRule>
    <cfRule type="cellIs" dxfId="21461" priority="8114" stopIfTrue="1" operator="equal">
      <formula>"Towel"</formula>
    </cfRule>
    <cfRule type="cellIs" dxfId="21460" priority="8115" stopIfTrue="1" operator="equal">
      <formula>"Napkin Hs"</formula>
    </cfRule>
    <cfRule type="cellIs" dxfId="21459" priority="8116" stopIfTrue="1" operator="equal">
      <formula>"Towel"</formula>
    </cfRule>
    <cfRule type="cellIs" dxfId="21458" priority="8117" stopIfTrue="1" operator="equal">
      <formula>"Napkin Hs"</formula>
    </cfRule>
    <cfRule type="cellIs" dxfId="21457" priority="8122" stopIfTrue="1" operator="equal">
      <formula>"Towel"</formula>
    </cfRule>
    <cfRule type="cellIs" dxfId="21456" priority="8123" stopIfTrue="1" operator="equal">
      <formula>"Napkin Hs"</formula>
    </cfRule>
    <cfRule type="cellIs" dxfId="21455" priority="8124" stopIfTrue="1" operator="equal">
      <formula>"Towel"</formula>
    </cfRule>
    <cfRule type="cellIs" dxfId="21454" priority="8125" stopIfTrue="1" operator="equal">
      <formula>"Napkin Hs"</formula>
    </cfRule>
    <cfRule type="cellIs" dxfId="21453" priority="8128" stopIfTrue="1" operator="equal">
      <formula>"Towel"</formula>
    </cfRule>
    <cfRule type="cellIs" dxfId="21452" priority="8129" stopIfTrue="1" operator="equal">
      <formula>"Napkin Hs"</formula>
    </cfRule>
    <cfRule type="cellIs" dxfId="21451" priority="8130" stopIfTrue="1" operator="equal">
      <formula>"Towel"</formula>
    </cfRule>
    <cfRule type="cellIs" dxfId="21450" priority="8131" stopIfTrue="1" operator="equal">
      <formula>"Napkin Hs"</formula>
    </cfRule>
    <cfRule type="cellIs" dxfId="21449" priority="8132" stopIfTrue="1" operator="equal">
      <formula>"Towel"</formula>
    </cfRule>
    <cfRule type="cellIs" dxfId="21448" priority="8133" stopIfTrue="1" operator="equal">
      <formula>"Napkin Hs"</formula>
    </cfRule>
    <cfRule type="cellIs" dxfId="21447" priority="8134" stopIfTrue="1" operator="equal">
      <formula>"Towel"</formula>
    </cfRule>
    <cfRule type="cellIs" dxfId="21446" priority="8135" stopIfTrue="1" operator="equal">
      <formula>"Napkin Hs"</formula>
    </cfRule>
    <cfRule type="cellIs" dxfId="21445" priority="8138" stopIfTrue="1" operator="equal">
      <formula>"Towel"</formula>
    </cfRule>
    <cfRule type="cellIs" dxfId="21444" priority="8139" stopIfTrue="1" operator="equal">
      <formula>"Napkin Hs"</formula>
    </cfRule>
    <cfRule type="cellIs" dxfId="21443" priority="8140" stopIfTrue="1" operator="equal">
      <formula>"Towel"</formula>
    </cfRule>
    <cfRule type="cellIs" dxfId="21442" priority="8141" stopIfTrue="1" operator="equal">
      <formula>"Napkin Hs"</formula>
    </cfRule>
    <cfRule type="cellIs" dxfId="21441" priority="8146" stopIfTrue="1" operator="equal">
      <formula>"Towel"</formula>
    </cfRule>
    <cfRule type="cellIs" dxfId="21440" priority="8147" stopIfTrue="1" operator="equal">
      <formula>"Napkin Hs"</formula>
    </cfRule>
    <cfRule type="cellIs" dxfId="21439" priority="8148" stopIfTrue="1" operator="equal">
      <formula>"Towel"</formula>
    </cfRule>
    <cfRule type="cellIs" dxfId="21438" priority="8149" stopIfTrue="1" operator="equal">
      <formula>"Napkin Hs"</formula>
    </cfRule>
    <cfRule type="cellIs" dxfId="21437" priority="8152" stopIfTrue="1" operator="equal">
      <formula>"Towel"</formula>
    </cfRule>
    <cfRule type="cellIs" dxfId="21436" priority="8153" stopIfTrue="1" operator="equal">
      <formula>"Napkin Hs"</formula>
    </cfRule>
    <cfRule type="cellIs" dxfId="21435" priority="8154" stopIfTrue="1" operator="equal">
      <formula>"Towel"</formula>
    </cfRule>
    <cfRule type="cellIs" dxfId="21434" priority="8155" stopIfTrue="1" operator="equal">
      <formula>"Napkin Hs"</formula>
    </cfRule>
    <cfRule type="cellIs" dxfId="21433" priority="8156" stopIfTrue="1" operator="equal">
      <formula>"Towel"</formula>
    </cfRule>
    <cfRule type="cellIs" dxfId="21432" priority="8157" stopIfTrue="1" operator="equal">
      <formula>"Napkin Hs"</formula>
    </cfRule>
    <cfRule type="cellIs" dxfId="21431" priority="8158" stopIfTrue="1" operator="equal">
      <formula>"Towel"</formula>
    </cfRule>
    <cfRule type="cellIs" dxfId="21430" priority="8159" stopIfTrue="1" operator="equal">
      <formula>"Napkin Hs"</formula>
    </cfRule>
    <cfRule type="cellIs" dxfId="21429" priority="8164" stopIfTrue="1" operator="equal">
      <formula>"Towel"</formula>
    </cfRule>
    <cfRule type="cellIs" dxfId="21428" priority="8165" stopIfTrue="1" operator="equal">
      <formula>"Napkin Hs"</formula>
    </cfRule>
    <cfRule type="cellIs" dxfId="21427" priority="8166" stopIfTrue="1" operator="equal">
      <formula>"Towel"</formula>
    </cfRule>
    <cfRule type="cellIs" dxfId="21426" priority="8167" stopIfTrue="1" operator="equal">
      <formula>"Napkin Hs"</formula>
    </cfRule>
    <cfRule type="cellIs" dxfId="21425" priority="8170" stopIfTrue="1" operator="equal">
      <formula>"Towel"</formula>
    </cfRule>
    <cfRule type="cellIs" dxfId="21424" priority="8171" stopIfTrue="1" operator="equal">
      <formula>"Napkin Hs"</formula>
    </cfRule>
    <cfRule type="cellIs" dxfId="21423" priority="8172" stopIfTrue="1" operator="equal">
      <formula>"Towel"</formula>
    </cfRule>
    <cfRule type="cellIs" dxfId="21422" priority="8173" stopIfTrue="1" operator="equal">
      <formula>"Napkin Hs"</formula>
    </cfRule>
    <cfRule type="cellIs" dxfId="21421" priority="8174" stopIfTrue="1" operator="equal">
      <formula>"Towel"</formula>
    </cfRule>
    <cfRule type="cellIs" dxfId="21420" priority="8175" stopIfTrue="1" operator="equal">
      <formula>"Napkin Hs"</formula>
    </cfRule>
    <cfRule type="cellIs" dxfId="21419" priority="8176" stopIfTrue="1" operator="equal">
      <formula>"Towel"</formula>
    </cfRule>
    <cfRule type="cellIs" dxfId="21418" priority="8177" stopIfTrue="1" operator="equal">
      <formula>"Napkin Hs"</formula>
    </cfRule>
    <cfRule type="cellIs" dxfId="21417" priority="8182" stopIfTrue="1" operator="equal">
      <formula>"Towel"</formula>
    </cfRule>
    <cfRule type="cellIs" dxfId="21416" priority="8183" stopIfTrue="1" operator="equal">
      <formula>"Napkin Hs"</formula>
    </cfRule>
    <cfRule type="cellIs" dxfId="21415" priority="8184" stopIfTrue="1" operator="equal">
      <formula>"Towel"</formula>
    </cfRule>
    <cfRule type="cellIs" dxfId="21414" priority="8185" stopIfTrue="1" operator="equal">
      <formula>"Napkin Hs"</formula>
    </cfRule>
    <cfRule type="cellIs" dxfId="21413" priority="8188" stopIfTrue="1" operator="equal">
      <formula>"Towel"</formula>
    </cfRule>
    <cfRule type="cellIs" dxfId="21412" priority="8189" stopIfTrue="1" operator="equal">
      <formula>"Napkin Hs"</formula>
    </cfRule>
    <cfRule type="cellIs" dxfId="21411" priority="8190" stopIfTrue="1" operator="equal">
      <formula>"Towel"</formula>
    </cfRule>
    <cfRule type="cellIs" dxfId="21410" priority="8191" stopIfTrue="1" operator="equal">
      <formula>"Napkin Hs"</formula>
    </cfRule>
  </conditionalFormatting>
  <conditionalFormatting sqref="B56:C56">
    <cfRule type="cellIs" dxfId="21409" priority="8093" stopIfTrue="1" operator="equal">
      <formula>"Towel"</formula>
    </cfRule>
    <cfRule type="cellIs" dxfId="21408" priority="8094" stopIfTrue="1" operator="equal">
      <formula>"Napkin Hs"</formula>
    </cfRule>
  </conditionalFormatting>
  <conditionalFormatting sqref="C56">
    <cfRule type="cellIs" dxfId="21407" priority="8089" stopIfTrue="1" operator="equal">
      <formula>"Towel"</formula>
    </cfRule>
    <cfRule type="cellIs" dxfId="21406" priority="8090" stopIfTrue="1" operator="equal">
      <formula>"Napkin Hs"</formula>
    </cfRule>
  </conditionalFormatting>
  <conditionalFormatting sqref="C56">
    <cfRule type="cellIs" dxfId="21405" priority="8092" stopIfTrue="1" operator="equal">
      <formula>"Napkin Hs"</formula>
    </cfRule>
  </conditionalFormatting>
  <conditionalFormatting sqref="C56">
    <cfRule type="cellIs" dxfId="21404" priority="8091" stopIfTrue="1" operator="equal">
      <formula>"Towel"</formula>
    </cfRule>
  </conditionalFormatting>
  <conditionalFormatting sqref="B62:C62">
    <cfRule type="cellIs" dxfId="21403" priority="8087" stopIfTrue="1" operator="equal">
      <formula>"Towel"</formula>
    </cfRule>
    <cfRule type="cellIs" dxfId="21402" priority="8088" stopIfTrue="1" operator="equal">
      <formula>"Napkin Hs"</formula>
    </cfRule>
  </conditionalFormatting>
  <conditionalFormatting sqref="C62">
    <cfRule type="cellIs" dxfId="21401" priority="8086" stopIfTrue="1" operator="equal">
      <formula>"Napkin Hs"</formula>
    </cfRule>
  </conditionalFormatting>
  <conditionalFormatting sqref="C62">
    <cfRule type="cellIs" dxfId="21400" priority="8085" stopIfTrue="1" operator="equal">
      <formula>"Towel"</formula>
    </cfRule>
  </conditionalFormatting>
  <conditionalFormatting sqref="C62">
    <cfRule type="cellIs" dxfId="21399" priority="8083" stopIfTrue="1" operator="equal">
      <formula>"Towel"</formula>
    </cfRule>
    <cfRule type="cellIs" dxfId="21398" priority="8084" stopIfTrue="1" operator="equal">
      <formula>"Napkin Hs"</formula>
    </cfRule>
  </conditionalFormatting>
  <conditionalFormatting sqref="C63">
    <cfRule type="cellIs" dxfId="21397" priority="8075" stopIfTrue="1" operator="equal">
      <formula>"Towel"</formula>
    </cfRule>
    <cfRule type="cellIs" dxfId="21396" priority="8076" stopIfTrue="1" operator="equal">
      <formula>"Napkin Hs"</formula>
    </cfRule>
  </conditionalFormatting>
  <conditionalFormatting sqref="B63:C63">
    <cfRule type="cellIs" dxfId="21395" priority="8077" stopIfTrue="1" operator="equal">
      <formula>"Towel"</formula>
    </cfRule>
    <cfRule type="cellIs" dxfId="21394" priority="8078" stopIfTrue="1" operator="equal">
      <formula>"Napkin Hs"</formula>
    </cfRule>
  </conditionalFormatting>
  <conditionalFormatting sqref="C63">
    <cfRule type="cellIs" dxfId="21393" priority="8073" stopIfTrue="1" operator="equal">
      <formula>"Towel"</formula>
    </cfRule>
    <cfRule type="cellIs" dxfId="21392" priority="8074" stopIfTrue="1" operator="equal">
      <formula>"Napkin Hs"</formula>
    </cfRule>
  </conditionalFormatting>
  <conditionalFormatting sqref="B63:C63">
    <cfRule type="cellIs" dxfId="21391" priority="8071" stopIfTrue="1" operator="equal">
      <formula>"Towel"</formula>
    </cfRule>
    <cfRule type="cellIs" dxfId="21390" priority="8072" stopIfTrue="1" operator="equal">
      <formula>"Napkin Hs"</formula>
    </cfRule>
  </conditionalFormatting>
  <conditionalFormatting sqref="C63">
    <cfRule type="cellIs" dxfId="21389" priority="8079" stopIfTrue="1" operator="equal">
      <formula>"Towel"</formula>
    </cfRule>
    <cfRule type="cellIs" dxfId="21388" priority="8080" stopIfTrue="1" operator="equal">
      <formula>"Napkin Hs"</formula>
    </cfRule>
  </conditionalFormatting>
  <conditionalFormatting sqref="C63">
    <cfRule type="cellIs" dxfId="21387" priority="8081" stopIfTrue="1" operator="equal">
      <formula>"Towel"</formula>
    </cfRule>
    <cfRule type="cellIs" dxfId="21386" priority="8082" stopIfTrue="1" operator="equal">
      <formula>"Napkin Hs"</formula>
    </cfRule>
  </conditionalFormatting>
  <conditionalFormatting sqref="B63:C63">
    <cfRule type="cellIs" dxfId="21385" priority="8069" stopIfTrue="1" operator="equal">
      <formula>"Towel"</formula>
    </cfRule>
    <cfRule type="cellIs" dxfId="21384" priority="8070" stopIfTrue="1" operator="equal">
      <formula>"Napkin Hs"</formula>
    </cfRule>
  </conditionalFormatting>
  <conditionalFormatting sqref="C63">
    <cfRule type="cellIs" dxfId="21383" priority="8068" stopIfTrue="1" operator="equal">
      <formula>"Napkin Hs"</formula>
    </cfRule>
  </conditionalFormatting>
  <conditionalFormatting sqref="C63">
    <cfRule type="cellIs" dxfId="21382" priority="8067" stopIfTrue="1" operator="equal">
      <formula>"Towel"</formula>
    </cfRule>
  </conditionalFormatting>
  <conditionalFormatting sqref="C63">
    <cfRule type="cellIs" dxfId="21381" priority="8065" stopIfTrue="1" operator="equal">
      <formula>"Towel"</formula>
    </cfRule>
    <cfRule type="cellIs" dxfId="21380" priority="8066" stopIfTrue="1" operator="equal">
      <formula>"Napkin Hs"</formula>
    </cfRule>
  </conditionalFormatting>
  <conditionalFormatting sqref="B62:C62">
    <cfRule type="cellIs" dxfId="21379" priority="8059" stopIfTrue="1" operator="equal">
      <formula>"Towel"</formula>
    </cfRule>
    <cfRule type="cellIs" dxfId="21378" priority="8060" stopIfTrue="1" operator="equal">
      <formula>"Napkin Hs"</formula>
    </cfRule>
  </conditionalFormatting>
  <conditionalFormatting sqref="C62">
    <cfRule type="cellIs" dxfId="21377" priority="8057" stopIfTrue="1" operator="equal">
      <formula>"Towel"</formula>
    </cfRule>
    <cfRule type="cellIs" dxfId="21376" priority="8058" stopIfTrue="1" operator="equal">
      <formula>"Napkin Hs"</formula>
    </cfRule>
  </conditionalFormatting>
  <conditionalFormatting sqref="C62">
    <cfRule type="cellIs" dxfId="21375" priority="8055" stopIfTrue="1" operator="equal">
      <formula>"Towel"</formula>
    </cfRule>
    <cfRule type="cellIs" dxfId="21374" priority="8056" stopIfTrue="1" operator="equal">
      <formula>"Napkin Hs"</formula>
    </cfRule>
  </conditionalFormatting>
  <conditionalFormatting sqref="B62:C62">
    <cfRule type="cellIs" dxfId="21373" priority="8053" stopIfTrue="1" operator="equal">
      <formula>"Towel"</formula>
    </cfRule>
    <cfRule type="cellIs" dxfId="21372" priority="8054" stopIfTrue="1" operator="equal">
      <formula>"Napkin Hs"</formula>
    </cfRule>
  </conditionalFormatting>
  <conditionalFormatting sqref="C62">
    <cfRule type="cellIs" dxfId="21371" priority="8061" stopIfTrue="1" operator="equal">
      <formula>"Towel"</formula>
    </cfRule>
    <cfRule type="cellIs" dxfId="21370" priority="8062" stopIfTrue="1" operator="equal">
      <formula>"Napkin Hs"</formula>
    </cfRule>
  </conditionalFormatting>
  <conditionalFormatting sqref="C62">
    <cfRule type="cellIs" dxfId="21369" priority="8063" stopIfTrue="1" operator="equal">
      <formula>"Towel"</formula>
    </cfRule>
    <cfRule type="cellIs" dxfId="21368" priority="8064" stopIfTrue="1" operator="equal">
      <formula>"Napkin Hs"</formula>
    </cfRule>
  </conditionalFormatting>
  <conditionalFormatting sqref="B62:C62">
    <cfRule type="cellIs" dxfId="21367" priority="8051" stopIfTrue="1" operator="equal">
      <formula>"Towel"</formula>
    </cfRule>
    <cfRule type="cellIs" dxfId="21366" priority="8052" stopIfTrue="1" operator="equal">
      <formula>"Napkin Hs"</formula>
    </cfRule>
  </conditionalFormatting>
  <conditionalFormatting sqref="B63:C63">
    <cfRule type="cellIs" dxfId="21365" priority="8045" stopIfTrue="1" operator="equal">
      <formula>"Towel"</formula>
    </cfRule>
    <cfRule type="cellIs" dxfId="21364" priority="8046" stopIfTrue="1" operator="equal">
      <formula>"Napkin Hs"</formula>
    </cfRule>
  </conditionalFormatting>
  <conditionalFormatting sqref="C62">
    <cfRule type="cellIs" dxfId="21363" priority="8050" stopIfTrue="1" operator="equal">
      <formula>"Napkin Hs"</formula>
    </cfRule>
  </conditionalFormatting>
  <conditionalFormatting sqref="C62">
    <cfRule type="cellIs" dxfId="21362" priority="8049" stopIfTrue="1" operator="equal">
      <formula>"Towel"</formula>
    </cfRule>
  </conditionalFormatting>
  <conditionalFormatting sqref="C62">
    <cfRule type="cellIs" dxfId="21361" priority="8047" stopIfTrue="1" operator="equal">
      <formula>"Towel"</formula>
    </cfRule>
    <cfRule type="cellIs" dxfId="21360" priority="8048" stopIfTrue="1" operator="equal">
      <formula>"Napkin Hs"</formula>
    </cfRule>
  </conditionalFormatting>
  <conditionalFormatting sqref="C63">
    <cfRule type="cellIs" dxfId="21359" priority="8041" stopIfTrue="1" operator="equal">
      <formula>"Towel"</formula>
    </cfRule>
    <cfRule type="cellIs" dxfId="21358" priority="8042" stopIfTrue="1" operator="equal">
      <formula>"Napkin Hs"</formula>
    </cfRule>
  </conditionalFormatting>
  <conditionalFormatting sqref="C63">
    <cfRule type="cellIs" dxfId="21357" priority="8043" stopIfTrue="1" operator="equal">
      <formula>"Towel"</formula>
    </cfRule>
    <cfRule type="cellIs" dxfId="21356" priority="8044" stopIfTrue="1" operator="equal">
      <formula>"Napkin Hs"</formula>
    </cfRule>
  </conditionalFormatting>
  <conditionalFormatting sqref="B63:C63">
    <cfRule type="cellIs" dxfId="21355" priority="8039" stopIfTrue="1" operator="equal">
      <formula>"Towel"</formula>
    </cfRule>
    <cfRule type="cellIs" dxfId="21354" priority="8040" stopIfTrue="1" operator="equal">
      <formula>"Napkin Hs"</formula>
    </cfRule>
  </conditionalFormatting>
  <conditionalFormatting sqref="C63">
    <cfRule type="cellIs" dxfId="21353" priority="8035" stopIfTrue="1" operator="equal">
      <formula>"Towel"</formula>
    </cfRule>
    <cfRule type="cellIs" dxfId="21352" priority="8036" stopIfTrue="1" operator="equal">
      <formula>"Napkin Hs"</formula>
    </cfRule>
  </conditionalFormatting>
  <conditionalFormatting sqref="C63">
    <cfRule type="cellIs" dxfId="21351" priority="8037" stopIfTrue="1" operator="equal">
      <formula>"Towel"</formula>
    </cfRule>
    <cfRule type="cellIs" dxfId="21350" priority="8038" stopIfTrue="1" operator="equal">
      <formula>"Napkin Hs"</formula>
    </cfRule>
  </conditionalFormatting>
  <conditionalFormatting sqref="C62">
    <cfRule type="cellIs" dxfId="21349" priority="8027" stopIfTrue="1" operator="equal">
      <formula>"Towel"</formula>
    </cfRule>
    <cfRule type="cellIs" dxfId="21348" priority="8028" stopIfTrue="1" operator="equal">
      <formula>"Napkin Hs"</formula>
    </cfRule>
  </conditionalFormatting>
  <conditionalFormatting sqref="B62:C62">
    <cfRule type="cellIs" dxfId="21347" priority="8029" stopIfTrue="1" operator="equal">
      <formula>"Towel"</formula>
    </cfRule>
    <cfRule type="cellIs" dxfId="21346" priority="8030" stopIfTrue="1" operator="equal">
      <formula>"Napkin Hs"</formula>
    </cfRule>
  </conditionalFormatting>
  <conditionalFormatting sqref="C62">
    <cfRule type="cellIs" dxfId="21345" priority="8025" stopIfTrue="1" operator="equal">
      <formula>"Towel"</formula>
    </cfRule>
    <cfRule type="cellIs" dxfId="21344" priority="8026" stopIfTrue="1" operator="equal">
      <formula>"Napkin Hs"</formula>
    </cfRule>
  </conditionalFormatting>
  <conditionalFormatting sqref="B62:C62">
    <cfRule type="cellIs" dxfId="21343" priority="8023" stopIfTrue="1" operator="equal">
      <formula>"Towel"</formula>
    </cfRule>
    <cfRule type="cellIs" dxfId="21342" priority="8024" stopIfTrue="1" operator="equal">
      <formula>"Napkin Hs"</formula>
    </cfRule>
  </conditionalFormatting>
  <conditionalFormatting sqref="C62">
    <cfRule type="cellIs" dxfId="21341" priority="8031" stopIfTrue="1" operator="equal">
      <formula>"Towel"</formula>
    </cfRule>
    <cfRule type="cellIs" dxfId="21340" priority="8032" stopIfTrue="1" operator="equal">
      <formula>"Napkin Hs"</formula>
    </cfRule>
  </conditionalFormatting>
  <conditionalFormatting sqref="C62">
    <cfRule type="cellIs" dxfId="21339" priority="8033" stopIfTrue="1" operator="equal">
      <formula>"Towel"</formula>
    </cfRule>
    <cfRule type="cellIs" dxfId="21338" priority="8034" stopIfTrue="1" operator="equal">
      <formula>"Napkin Hs"</formula>
    </cfRule>
  </conditionalFormatting>
  <conditionalFormatting sqref="B63:C63">
    <cfRule type="cellIs" dxfId="21337" priority="8021" stopIfTrue="1" operator="equal">
      <formula>"Towel"</formula>
    </cfRule>
    <cfRule type="cellIs" dxfId="21336" priority="8022" stopIfTrue="1" operator="equal">
      <formula>"Napkin Hs"</formula>
    </cfRule>
  </conditionalFormatting>
  <conditionalFormatting sqref="C63">
    <cfRule type="cellIs" dxfId="21335" priority="8019" stopIfTrue="1" operator="equal">
      <formula>"Towel"</formula>
    </cfRule>
    <cfRule type="cellIs" dxfId="21334" priority="8020" stopIfTrue="1" operator="equal">
      <formula>"Napkin Hs"</formula>
    </cfRule>
  </conditionalFormatting>
  <conditionalFormatting sqref="C63">
    <cfRule type="cellIs" dxfId="21333" priority="8017" stopIfTrue="1" operator="equal">
      <formula>"Towel"</formula>
    </cfRule>
    <cfRule type="cellIs" dxfId="21332" priority="8018" stopIfTrue="1" operator="equal">
      <formula>"Napkin Hs"</formula>
    </cfRule>
  </conditionalFormatting>
  <conditionalFormatting sqref="B62:C62">
    <cfRule type="cellIs" dxfId="21331" priority="8015" stopIfTrue="1" operator="equal">
      <formula>"Towel"</formula>
    </cfRule>
    <cfRule type="cellIs" dxfId="21330" priority="8016" stopIfTrue="1" operator="equal">
      <formula>"Napkin Hs"</formula>
    </cfRule>
  </conditionalFormatting>
  <conditionalFormatting sqref="C62">
    <cfRule type="cellIs" dxfId="21329" priority="8011" stopIfTrue="1" operator="equal">
      <formula>"Towel"</formula>
    </cfRule>
    <cfRule type="cellIs" dxfId="21328" priority="8012" stopIfTrue="1" operator="equal">
      <formula>"Napkin Hs"</formula>
    </cfRule>
  </conditionalFormatting>
  <conditionalFormatting sqref="C62">
    <cfRule type="cellIs" dxfId="21327" priority="8013" stopIfTrue="1" operator="equal">
      <formula>"Towel"</formula>
    </cfRule>
    <cfRule type="cellIs" dxfId="21326" priority="8014" stopIfTrue="1" operator="equal">
      <formula>"Napkin Hs"</formula>
    </cfRule>
  </conditionalFormatting>
  <conditionalFormatting sqref="B62:C62">
    <cfRule type="cellIs" dxfId="21325" priority="8009" stopIfTrue="1" operator="equal">
      <formula>"Towel"</formula>
    </cfRule>
    <cfRule type="cellIs" dxfId="21324" priority="8010" stopIfTrue="1" operator="equal">
      <formula>"Napkin Hs"</formula>
    </cfRule>
  </conditionalFormatting>
  <conditionalFormatting sqref="C62">
    <cfRule type="cellIs" dxfId="21323" priority="8005" stopIfTrue="1" operator="equal">
      <formula>"Towel"</formula>
    </cfRule>
    <cfRule type="cellIs" dxfId="21322" priority="8006" stopIfTrue="1" operator="equal">
      <formula>"Napkin Hs"</formula>
    </cfRule>
  </conditionalFormatting>
  <conditionalFormatting sqref="C62">
    <cfRule type="cellIs" dxfId="21321" priority="8007" stopIfTrue="1" operator="equal">
      <formula>"Towel"</formula>
    </cfRule>
    <cfRule type="cellIs" dxfId="21320" priority="8008" stopIfTrue="1" operator="equal">
      <formula>"Napkin Hs"</formula>
    </cfRule>
  </conditionalFormatting>
  <conditionalFormatting sqref="C63">
    <cfRule type="cellIs" dxfId="21319" priority="7997" stopIfTrue="1" operator="equal">
      <formula>"Towel"</formula>
    </cfRule>
    <cfRule type="cellIs" dxfId="21318" priority="7998" stopIfTrue="1" operator="equal">
      <formula>"Napkin Hs"</formula>
    </cfRule>
  </conditionalFormatting>
  <conditionalFormatting sqref="B63:C63">
    <cfRule type="cellIs" dxfId="21317" priority="7999" stopIfTrue="1" operator="equal">
      <formula>"Towel"</formula>
    </cfRule>
    <cfRule type="cellIs" dxfId="21316" priority="8000" stopIfTrue="1" operator="equal">
      <formula>"Napkin Hs"</formula>
    </cfRule>
  </conditionalFormatting>
  <conditionalFormatting sqref="C63">
    <cfRule type="cellIs" dxfId="21315" priority="7995" stopIfTrue="1" operator="equal">
      <formula>"Towel"</formula>
    </cfRule>
    <cfRule type="cellIs" dxfId="21314" priority="7996" stopIfTrue="1" operator="equal">
      <formula>"Napkin Hs"</formula>
    </cfRule>
  </conditionalFormatting>
  <conditionalFormatting sqref="B63:C63">
    <cfRule type="cellIs" dxfId="21313" priority="7993" stopIfTrue="1" operator="equal">
      <formula>"Towel"</formula>
    </cfRule>
    <cfRule type="cellIs" dxfId="21312" priority="7994" stopIfTrue="1" operator="equal">
      <formula>"Napkin Hs"</formula>
    </cfRule>
  </conditionalFormatting>
  <conditionalFormatting sqref="C63">
    <cfRule type="cellIs" dxfId="21311" priority="8001" stopIfTrue="1" operator="equal">
      <formula>"Towel"</formula>
    </cfRule>
    <cfRule type="cellIs" dxfId="21310" priority="8002" stopIfTrue="1" operator="equal">
      <formula>"Napkin Hs"</formula>
    </cfRule>
  </conditionalFormatting>
  <conditionalFormatting sqref="C63">
    <cfRule type="cellIs" dxfId="21309" priority="8003" stopIfTrue="1" operator="equal">
      <formula>"Towel"</formula>
    </cfRule>
    <cfRule type="cellIs" dxfId="21308" priority="8004" stopIfTrue="1" operator="equal">
      <formula>"Napkin Hs"</formula>
    </cfRule>
  </conditionalFormatting>
  <conditionalFormatting sqref="B63:C63">
    <cfRule type="cellIs" dxfId="21307" priority="7991" stopIfTrue="1" operator="equal">
      <formula>"Towel"</formula>
    </cfRule>
    <cfRule type="cellIs" dxfId="21306" priority="7992" stopIfTrue="1" operator="equal">
      <formula>"Napkin Hs"</formula>
    </cfRule>
  </conditionalFormatting>
  <conditionalFormatting sqref="C63">
    <cfRule type="cellIs" dxfId="21305" priority="7983" stopIfTrue="1" operator="equal">
      <formula>"Towel"</formula>
    </cfRule>
    <cfRule type="cellIs" dxfId="21304" priority="7984" stopIfTrue="1" operator="equal">
      <formula>"Napkin Hs"</formula>
    </cfRule>
  </conditionalFormatting>
  <conditionalFormatting sqref="C63">
    <cfRule type="cellIs" dxfId="21303" priority="7987" stopIfTrue="1" operator="equal">
      <formula>"Towel"</formula>
    </cfRule>
    <cfRule type="cellIs" dxfId="21302" priority="7988" stopIfTrue="1" operator="equal">
      <formula>"Napkin Hs"</formula>
    </cfRule>
  </conditionalFormatting>
  <conditionalFormatting sqref="C63">
    <cfRule type="cellIs" dxfId="21301" priority="7990" stopIfTrue="1" operator="equal">
      <formula>"Napkin Hs"</formula>
    </cfRule>
  </conditionalFormatting>
  <conditionalFormatting sqref="C63">
    <cfRule type="cellIs" dxfId="21300" priority="7985" stopIfTrue="1" operator="equal">
      <formula>"Towel"</formula>
    </cfRule>
    <cfRule type="cellIs" dxfId="21299" priority="7986" stopIfTrue="1" operator="equal">
      <formula>"Napkin Hs"</formula>
    </cfRule>
  </conditionalFormatting>
  <conditionalFormatting sqref="C63">
    <cfRule type="cellIs" dxfId="21298" priority="7989" stopIfTrue="1" operator="equal">
      <formula>"Towel"</formula>
    </cfRule>
  </conditionalFormatting>
  <conditionalFormatting sqref="C63">
    <cfRule type="cellIs" dxfId="21297" priority="7981" stopIfTrue="1" operator="equal">
      <formula>"Towel"</formula>
    </cfRule>
    <cfRule type="cellIs" dxfId="21296" priority="7982" stopIfTrue="1" operator="equal">
      <formula>"Napkin Hs"</formula>
    </cfRule>
  </conditionalFormatting>
  <conditionalFormatting sqref="B63">
    <cfRule type="cellIs" dxfId="21295" priority="7979" stopIfTrue="1" operator="equal">
      <formula>"Towel"</formula>
    </cfRule>
    <cfRule type="cellIs" dxfId="21294" priority="7980" stopIfTrue="1" operator="equal">
      <formula>"Napkin Hs"</formula>
    </cfRule>
  </conditionalFormatting>
  <conditionalFormatting sqref="C62">
    <cfRule type="cellIs" dxfId="21293" priority="7975" stopIfTrue="1" operator="equal">
      <formula>"Towel"</formula>
    </cfRule>
    <cfRule type="cellIs" dxfId="21292" priority="7976" stopIfTrue="1" operator="equal">
      <formula>"Napkin Hs"</formula>
    </cfRule>
  </conditionalFormatting>
  <conditionalFormatting sqref="C62">
    <cfRule type="cellIs" dxfId="21291" priority="7977" stopIfTrue="1" operator="equal">
      <formula>"Towel"</formula>
    </cfRule>
    <cfRule type="cellIs" dxfId="21290" priority="7978" stopIfTrue="1" operator="equal">
      <formula>"Napkin Hs"</formula>
    </cfRule>
  </conditionalFormatting>
  <conditionalFormatting sqref="C62">
    <cfRule type="cellIs" dxfId="21289" priority="7973" stopIfTrue="1" operator="equal">
      <formula>"Towel"</formula>
    </cfRule>
    <cfRule type="cellIs" dxfId="21288" priority="7974" stopIfTrue="1" operator="equal">
      <formula>"Napkin Hs"</formula>
    </cfRule>
  </conditionalFormatting>
  <conditionalFormatting sqref="B62">
    <cfRule type="cellIs" dxfId="21287" priority="7971" stopIfTrue="1" operator="equal">
      <formula>"Towel"</formula>
    </cfRule>
    <cfRule type="cellIs" dxfId="21286" priority="7972" stopIfTrue="1" operator="equal">
      <formula>"Napkin Hs"</formula>
    </cfRule>
  </conditionalFormatting>
  <conditionalFormatting sqref="C62">
    <cfRule type="cellIs" dxfId="21285" priority="7963" stopIfTrue="1" operator="equal">
      <formula>"Towel"</formula>
    </cfRule>
    <cfRule type="cellIs" dxfId="21284" priority="7964" stopIfTrue="1" operator="equal">
      <formula>"Napkin Hs"</formula>
    </cfRule>
  </conditionalFormatting>
  <conditionalFormatting sqref="B62:C62">
    <cfRule type="cellIs" dxfId="21283" priority="7965" stopIfTrue="1" operator="equal">
      <formula>"Towel"</formula>
    </cfRule>
    <cfRule type="cellIs" dxfId="21282" priority="7966" stopIfTrue="1" operator="equal">
      <formula>"Napkin Hs"</formula>
    </cfRule>
  </conditionalFormatting>
  <conditionalFormatting sqref="C62">
    <cfRule type="cellIs" dxfId="21281" priority="7961" stopIfTrue="1" operator="equal">
      <formula>"Towel"</formula>
    </cfRule>
    <cfRule type="cellIs" dxfId="21280" priority="7962" stopIfTrue="1" operator="equal">
      <formula>"Napkin Hs"</formula>
    </cfRule>
  </conditionalFormatting>
  <conditionalFormatting sqref="B62:C62">
    <cfRule type="cellIs" dxfId="21279" priority="7959" stopIfTrue="1" operator="equal">
      <formula>"Towel"</formula>
    </cfRule>
    <cfRule type="cellIs" dxfId="21278" priority="7960" stopIfTrue="1" operator="equal">
      <formula>"Napkin Hs"</formula>
    </cfRule>
  </conditionalFormatting>
  <conditionalFormatting sqref="C62">
    <cfRule type="cellIs" dxfId="21277" priority="7967" stopIfTrue="1" operator="equal">
      <formula>"Towel"</formula>
    </cfRule>
    <cfRule type="cellIs" dxfId="21276" priority="7968" stopIfTrue="1" operator="equal">
      <formula>"Napkin Hs"</formula>
    </cfRule>
  </conditionalFormatting>
  <conditionalFormatting sqref="C62">
    <cfRule type="cellIs" dxfId="21275" priority="7969" stopIfTrue="1" operator="equal">
      <formula>"Towel"</formula>
    </cfRule>
    <cfRule type="cellIs" dxfId="21274" priority="7970" stopIfTrue="1" operator="equal">
      <formula>"Napkin Hs"</formula>
    </cfRule>
  </conditionalFormatting>
  <conditionalFormatting sqref="C62">
    <cfRule type="cellIs" dxfId="21273" priority="7951" stopIfTrue="1" operator="equal">
      <formula>"Towel"</formula>
    </cfRule>
    <cfRule type="cellIs" dxfId="21272" priority="7952" stopIfTrue="1" operator="equal">
      <formula>"Napkin Hs"</formula>
    </cfRule>
  </conditionalFormatting>
  <conditionalFormatting sqref="B62:C62">
    <cfRule type="cellIs" dxfId="21271" priority="7953" stopIfTrue="1" operator="equal">
      <formula>"Towel"</formula>
    </cfRule>
    <cfRule type="cellIs" dxfId="21270" priority="7954" stopIfTrue="1" operator="equal">
      <formula>"Napkin Hs"</formula>
    </cfRule>
  </conditionalFormatting>
  <conditionalFormatting sqref="C62">
    <cfRule type="cellIs" dxfId="21269" priority="7949" stopIfTrue="1" operator="equal">
      <formula>"Towel"</formula>
    </cfRule>
    <cfRule type="cellIs" dxfId="21268" priority="7950" stopIfTrue="1" operator="equal">
      <formula>"Napkin Hs"</formula>
    </cfRule>
  </conditionalFormatting>
  <conditionalFormatting sqref="B62:C62">
    <cfRule type="cellIs" dxfId="21267" priority="7947" stopIfTrue="1" operator="equal">
      <formula>"Towel"</formula>
    </cfRule>
    <cfRule type="cellIs" dxfId="21266" priority="7948" stopIfTrue="1" operator="equal">
      <formula>"Napkin Hs"</formula>
    </cfRule>
  </conditionalFormatting>
  <conditionalFormatting sqref="C62">
    <cfRule type="cellIs" dxfId="21265" priority="7955" stopIfTrue="1" operator="equal">
      <formula>"Towel"</formula>
    </cfRule>
    <cfRule type="cellIs" dxfId="21264" priority="7956" stopIfTrue="1" operator="equal">
      <formula>"Napkin Hs"</formula>
    </cfRule>
  </conditionalFormatting>
  <conditionalFormatting sqref="C62">
    <cfRule type="cellIs" dxfId="21263" priority="7957" stopIfTrue="1" operator="equal">
      <formula>"Towel"</formula>
    </cfRule>
    <cfRule type="cellIs" dxfId="21262" priority="7958" stopIfTrue="1" operator="equal">
      <formula>"Napkin Hs"</formula>
    </cfRule>
  </conditionalFormatting>
  <conditionalFormatting sqref="C62">
    <cfRule type="cellIs" dxfId="21261" priority="7939" stopIfTrue="1" operator="equal">
      <formula>"Towel"</formula>
    </cfRule>
    <cfRule type="cellIs" dxfId="21260" priority="7940" stopIfTrue="1" operator="equal">
      <formula>"Napkin Hs"</formula>
    </cfRule>
  </conditionalFormatting>
  <conditionalFormatting sqref="B62:C62">
    <cfRule type="cellIs" dxfId="21259" priority="7941" stopIfTrue="1" operator="equal">
      <formula>"Towel"</formula>
    </cfRule>
    <cfRule type="cellIs" dxfId="21258" priority="7942" stopIfTrue="1" operator="equal">
      <formula>"Napkin Hs"</formula>
    </cfRule>
  </conditionalFormatting>
  <conditionalFormatting sqref="C62">
    <cfRule type="cellIs" dxfId="21257" priority="7937" stopIfTrue="1" operator="equal">
      <formula>"Towel"</formula>
    </cfRule>
    <cfRule type="cellIs" dxfId="21256" priority="7938" stopIfTrue="1" operator="equal">
      <formula>"Napkin Hs"</formula>
    </cfRule>
  </conditionalFormatting>
  <conditionalFormatting sqref="B62:C62">
    <cfRule type="cellIs" dxfId="21255" priority="7935" stopIfTrue="1" operator="equal">
      <formula>"Towel"</formula>
    </cfRule>
    <cfRule type="cellIs" dxfId="21254" priority="7936" stopIfTrue="1" operator="equal">
      <formula>"Napkin Hs"</formula>
    </cfRule>
  </conditionalFormatting>
  <conditionalFormatting sqref="C62">
    <cfRule type="cellIs" dxfId="21253" priority="7943" stopIfTrue="1" operator="equal">
      <formula>"Towel"</formula>
    </cfRule>
    <cfRule type="cellIs" dxfId="21252" priority="7944" stopIfTrue="1" operator="equal">
      <formula>"Napkin Hs"</formula>
    </cfRule>
  </conditionalFormatting>
  <conditionalFormatting sqref="C62">
    <cfRule type="cellIs" dxfId="21251" priority="7945" stopIfTrue="1" operator="equal">
      <formula>"Towel"</formula>
    </cfRule>
    <cfRule type="cellIs" dxfId="21250" priority="7946" stopIfTrue="1" operator="equal">
      <formula>"Napkin Hs"</formula>
    </cfRule>
  </conditionalFormatting>
  <conditionalFormatting sqref="B62:C62">
    <cfRule type="cellIs" dxfId="21249" priority="7933" stopIfTrue="1" operator="equal">
      <formula>"Towel"</formula>
    </cfRule>
    <cfRule type="cellIs" dxfId="21248" priority="7934" stopIfTrue="1" operator="equal">
      <formula>"Napkin Hs"</formula>
    </cfRule>
  </conditionalFormatting>
  <conditionalFormatting sqref="C62">
    <cfRule type="cellIs" dxfId="21247" priority="7929" stopIfTrue="1" operator="equal">
      <formula>"Towel"</formula>
    </cfRule>
    <cfRule type="cellIs" dxfId="21246" priority="7930" stopIfTrue="1" operator="equal">
      <formula>"Napkin Hs"</formula>
    </cfRule>
  </conditionalFormatting>
  <conditionalFormatting sqref="C62">
    <cfRule type="cellIs" dxfId="21245" priority="7932" stopIfTrue="1" operator="equal">
      <formula>"Napkin Hs"</formula>
    </cfRule>
  </conditionalFormatting>
  <conditionalFormatting sqref="C62">
    <cfRule type="cellIs" dxfId="21244" priority="7931" stopIfTrue="1" operator="equal">
      <formula>"Towel"</formula>
    </cfRule>
  </conditionalFormatting>
  <conditionalFormatting sqref="B62:C62">
    <cfRule type="cellIs" dxfId="21243" priority="7927" stopIfTrue="1" operator="equal">
      <formula>"Towel"</formula>
    </cfRule>
    <cfRule type="cellIs" dxfId="21242" priority="7928" stopIfTrue="1" operator="equal">
      <formula>"Napkin Hs"</formula>
    </cfRule>
  </conditionalFormatting>
  <conditionalFormatting sqref="C62">
    <cfRule type="cellIs" dxfId="21241" priority="7923" stopIfTrue="1" operator="equal">
      <formula>"Towel"</formula>
    </cfRule>
    <cfRule type="cellIs" dxfId="21240" priority="7924" stopIfTrue="1" operator="equal">
      <formula>"Napkin Hs"</formula>
    </cfRule>
  </conditionalFormatting>
  <conditionalFormatting sqref="C62">
    <cfRule type="cellIs" dxfId="21239" priority="7926" stopIfTrue="1" operator="equal">
      <formula>"Napkin Hs"</formula>
    </cfRule>
  </conditionalFormatting>
  <conditionalFormatting sqref="C62">
    <cfRule type="cellIs" dxfId="21238" priority="7925" stopIfTrue="1" operator="equal">
      <formula>"Towel"</formula>
    </cfRule>
  </conditionalFormatting>
  <conditionalFormatting sqref="C62">
    <cfRule type="cellIs" dxfId="21237" priority="7915" stopIfTrue="1" operator="equal">
      <formula>"Towel"</formula>
    </cfRule>
    <cfRule type="cellIs" dxfId="21236" priority="7916" stopIfTrue="1" operator="equal">
      <formula>"Napkin Hs"</formula>
    </cfRule>
  </conditionalFormatting>
  <conditionalFormatting sqref="B62:C62">
    <cfRule type="cellIs" dxfId="21235" priority="7917" stopIfTrue="1" operator="equal">
      <formula>"Towel"</formula>
    </cfRule>
    <cfRule type="cellIs" dxfId="21234" priority="7918" stopIfTrue="1" operator="equal">
      <formula>"Napkin Hs"</formula>
    </cfRule>
  </conditionalFormatting>
  <conditionalFormatting sqref="C62">
    <cfRule type="cellIs" dxfId="21233" priority="7913" stopIfTrue="1" operator="equal">
      <formula>"Towel"</formula>
    </cfRule>
    <cfRule type="cellIs" dxfId="21232" priority="7914" stopIfTrue="1" operator="equal">
      <formula>"Napkin Hs"</formula>
    </cfRule>
  </conditionalFormatting>
  <conditionalFormatting sqref="B62:C62">
    <cfRule type="cellIs" dxfId="21231" priority="7911" stopIfTrue="1" operator="equal">
      <formula>"Towel"</formula>
    </cfRule>
    <cfRule type="cellIs" dxfId="21230" priority="7912" stopIfTrue="1" operator="equal">
      <formula>"Napkin Hs"</formula>
    </cfRule>
  </conditionalFormatting>
  <conditionalFormatting sqref="C62">
    <cfRule type="cellIs" dxfId="21229" priority="7919" stopIfTrue="1" operator="equal">
      <formula>"Towel"</formula>
    </cfRule>
    <cfRule type="cellIs" dxfId="21228" priority="7920" stopIfTrue="1" operator="equal">
      <formula>"Napkin Hs"</formula>
    </cfRule>
  </conditionalFormatting>
  <conditionalFormatting sqref="C62">
    <cfRule type="cellIs" dxfId="21227" priority="7921" stopIfTrue="1" operator="equal">
      <formula>"Towel"</formula>
    </cfRule>
    <cfRule type="cellIs" dxfId="21226" priority="7922" stopIfTrue="1" operator="equal">
      <formula>"Napkin Hs"</formula>
    </cfRule>
  </conditionalFormatting>
  <conditionalFormatting sqref="B62:C62">
    <cfRule type="cellIs" dxfId="21225" priority="7909" stopIfTrue="1" operator="equal">
      <formula>"Towel"</formula>
    </cfRule>
    <cfRule type="cellIs" dxfId="21224" priority="7910" stopIfTrue="1" operator="equal">
      <formula>"Napkin Hs"</formula>
    </cfRule>
  </conditionalFormatting>
  <conditionalFormatting sqref="C62">
    <cfRule type="cellIs" dxfId="21223" priority="7901" stopIfTrue="1" operator="equal">
      <formula>"Towel"</formula>
    </cfRule>
    <cfRule type="cellIs" dxfId="21222" priority="7902" stopIfTrue="1" operator="equal">
      <formula>"Napkin Hs"</formula>
    </cfRule>
  </conditionalFormatting>
  <conditionalFormatting sqref="C62">
    <cfRule type="cellIs" dxfId="21221" priority="7905" stopIfTrue="1" operator="equal">
      <formula>"Towel"</formula>
    </cfRule>
    <cfRule type="cellIs" dxfId="21220" priority="7906" stopIfTrue="1" operator="equal">
      <formula>"Napkin Hs"</formula>
    </cfRule>
  </conditionalFormatting>
  <conditionalFormatting sqref="C62">
    <cfRule type="cellIs" dxfId="21219" priority="7908" stopIfTrue="1" operator="equal">
      <formula>"Napkin Hs"</formula>
    </cfRule>
  </conditionalFormatting>
  <conditionalFormatting sqref="C62">
    <cfRule type="cellIs" dxfId="21218" priority="7903" stopIfTrue="1" operator="equal">
      <formula>"Towel"</formula>
    </cfRule>
    <cfRule type="cellIs" dxfId="21217" priority="7904" stopIfTrue="1" operator="equal">
      <formula>"Napkin Hs"</formula>
    </cfRule>
  </conditionalFormatting>
  <conditionalFormatting sqref="C62">
    <cfRule type="cellIs" dxfId="21216" priority="7907" stopIfTrue="1" operator="equal">
      <formula>"Towel"</formula>
    </cfRule>
  </conditionalFormatting>
  <conditionalFormatting sqref="C62">
    <cfRule type="cellIs" dxfId="21215" priority="7899" stopIfTrue="1" operator="equal">
      <formula>"Towel"</formula>
    </cfRule>
    <cfRule type="cellIs" dxfId="21214" priority="7900" stopIfTrue="1" operator="equal">
      <formula>"Napkin Hs"</formula>
    </cfRule>
  </conditionalFormatting>
  <conditionalFormatting sqref="B62">
    <cfRule type="cellIs" dxfId="21213" priority="7897" stopIfTrue="1" operator="equal">
      <formula>"Towel"</formula>
    </cfRule>
    <cfRule type="cellIs" dxfId="21212" priority="7898" stopIfTrue="1" operator="equal">
      <formula>"Napkin Hs"</formula>
    </cfRule>
  </conditionalFormatting>
  <conditionalFormatting sqref="B62:C62">
    <cfRule type="cellIs" dxfId="21211" priority="7895" stopIfTrue="1" operator="equal">
      <formula>"Towel"</formula>
    </cfRule>
    <cfRule type="cellIs" dxfId="21210" priority="7896" stopIfTrue="1" operator="equal">
      <formula>"Napkin Hs"</formula>
    </cfRule>
  </conditionalFormatting>
  <conditionalFormatting sqref="C62">
    <cfRule type="cellIs" dxfId="21209" priority="7887" stopIfTrue="1" operator="equal">
      <formula>"Towel"</formula>
    </cfRule>
    <cfRule type="cellIs" dxfId="21208" priority="7888" stopIfTrue="1" operator="equal">
      <formula>"Napkin Hs"</formula>
    </cfRule>
  </conditionalFormatting>
  <conditionalFormatting sqref="C62">
    <cfRule type="cellIs" dxfId="21207" priority="7891" stopIfTrue="1" operator="equal">
      <formula>"Towel"</formula>
    </cfRule>
    <cfRule type="cellIs" dxfId="21206" priority="7892" stopIfTrue="1" operator="equal">
      <formula>"Napkin Hs"</formula>
    </cfRule>
  </conditionalFormatting>
  <conditionalFormatting sqref="C62">
    <cfRule type="cellIs" dxfId="21205" priority="7894" stopIfTrue="1" operator="equal">
      <formula>"Napkin Hs"</formula>
    </cfRule>
  </conditionalFormatting>
  <conditionalFormatting sqref="C62">
    <cfRule type="cellIs" dxfId="21204" priority="7889" stopIfTrue="1" operator="equal">
      <formula>"Towel"</formula>
    </cfRule>
    <cfRule type="cellIs" dxfId="21203" priority="7890" stopIfTrue="1" operator="equal">
      <formula>"Napkin Hs"</formula>
    </cfRule>
  </conditionalFormatting>
  <conditionalFormatting sqref="C62">
    <cfRule type="cellIs" dxfId="21202" priority="7893" stopIfTrue="1" operator="equal">
      <formula>"Towel"</formula>
    </cfRule>
  </conditionalFormatting>
  <conditionalFormatting sqref="C62">
    <cfRule type="cellIs" dxfId="21201" priority="7885" stopIfTrue="1" operator="equal">
      <formula>"Towel"</formula>
    </cfRule>
    <cfRule type="cellIs" dxfId="21200" priority="7886" stopIfTrue="1" operator="equal">
      <formula>"Napkin Hs"</formula>
    </cfRule>
  </conditionalFormatting>
  <conditionalFormatting sqref="B62">
    <cfRule type="cellIs" dxfId="21199" priority="7883" stopIfTrue="1" operator="equal">
      <formula>"Towel"</formula>
    </cfRule>
    <cfRule type="cellIs" dxfId="21198" priority="7884" stopIfTrue="1" operator="equal">
      <formula>"Napkin Hs"</formula>
    </cfRule>
  </conditionalFormatting>
  <conditionalFormatting sqref="B62:C62">
    <cfRule type="cellIs" dxfId="21197" priority="7859" stopIfTrue="1" operator="equal">
      <formula>"Towel"</formula>
    </cfRule>
  </conditionalFormatting>
  <conditionalFormatting sqref="B62:C62">
    <cfRule type="cellIs" dxfId="21196" priority="7860" stopIfTrue="1" operator="equal">
      <formula>"Napkin Hs"</formula>
    </cfRule>
    <cfRule type="cellIs" dxfId="21195" priority="7865" stopIfTrue="1" operator="equal">
      <formula>"Towel"</formula>
    </cfRule>
    <cfRule type="cellIs" dxfId="21194" priority="7866" stopIfTrue="1" operator="equal">
      <formula>"Napkin Hs"</formula>
    </cfRule>
    <cfRule type="cellIs" dxfId="21193" priority="7875" stopIfTrue="1" operator="equal">
      <formula>"Towel"</formula>
    </cfRule>
    <cfRule type="cellIs" dxfId="21192" priority="7876" stopIfTrue="1" operator="equal">
      <formula>"Napkin Hs"</formula>
    </cfRule>
    <cfRule type="cellIs" dxfId="21191" priority="7881" stopIfTrue="1" operator="equal">
      <formula>"Towel"</formula>
    </cfRule>
    <cfRule type="cellIs" dxfId="21190" priority="7882" stopIfTrue="1" operator="equal">
      <formula>"Napkin Hs"</formula>
    </cfRule>
  </conditionalFormatting>
  <conditionalFormatting sqref="C62">
    <cfRule type="cellIs" dxfId="21189" priority="7861" stopIfTrue="1" operator="equal">
      <formula>"Towel"</formula>
    </cfRule>
    <cfRule type="cellIs" dxfId="21188" priority="7862" stopIfTrue="1" operator="equal">
      <formula>"Napkin Hs"</formula>
    </cfRule>
    <cfRule type="cellIs" dxfId="21187" priority="7863" stopIfTrue="1" operator="equal">
      <formula>"Towel"</formula>
    </cfRule>
    <cfRule type="cellIs" dxfId="21186" priority="7864" stopIfTrue="1" operator="equal">
      <formula>"Napkin Hs"</formula>
    </cfRule>
    <cfRule type="cellIs" dxfId="21185" priority="7867" stopIfTrue="1" operator="equal">
      <formula>"Towel"</formula>
    </cfRule>
    <cfRule type="cellIs" dxfId="21184" priority="7868" stopIfTrue="1" operator="equal">
      <formula>"Napkin Hs"</formula>
    </cfRule>
    <cfRule type="cellIs" dxfId="21183" priority="7869" stopIfTrue="1" operator="equal">
      <formula>"Towel"</formula>
    </cfRule>
    <cfRule type="cellIs" dxfId="21182" priority="7870" stopIfTrue="1" operator="equal">
      <formula>"Napkin Hs"</formula>
    </cfRule>
    <cfRule type="cellIs" dxfId="21181" priority="7871" stopIfTrue="1" operator="equal">
      <formula>"Towel"</formula>
    </cfRule>
    <cfRule type="cellIs" dxfId="21180" priority="7872" stopIfTrue="1" operator="equal">
      <formula>"Napkin Hs"</formula>
    </cfRule>
    <cfRule type="cellIs" dxfId="21179" priority="7873" stopIfTrue="1" operator="equal">
      <formula>"Towel"</formula>
    </cfRule>
    <cfRule type="cellIs" dxfId="21178" priority="7874" stopIfTrue="1" operator="equal">
      <formula>"Napkin Hs"</formula>
    </cfRule>
    <cfRule type="cellIs" dxfId="21177" priority="7877" stopIfTrue="1" operator="equal">
      <formula>"Towel"</formula>
    </cfRule>
    <cfRule type="cellIs" dxfId="21176" priority="7878" stopIfTrue="1" operator="equal">
      <formula>"Napkin Hs"</formula>
    </cfRule>
    <cfRule type="cellIs" dxfId="21175" priority="7880" stopIfTrue="1" operator="equal">
      <formula>"Napkin Hs"</formula>
    </cfRule>
  </conditionalFormatting>
  <conditionalFormatting sqref="C62">
    <cfRule type="cellIs" dxfId="21174" priority="7879" stopIfTrue="1" operator="equal">
      <formula>"Towel"</formula>
    </cfRule>
  </conditionalFormatting>
  <conditionalFormatting sqref="B62:C62">
    <cfRule type="cellIs" dxfId="21173" priority="7857" stopIfTrue="1" operator="equal">
      <formula>"Towel"</formula>
    </cfRule>
    <cfRule type="cellIs" dxfId="21172" priority="7858" stopIfTrue="1" operator="equal">
      <formula>"Napkin Hs"</formula>
    </cfRule>
  </conditionalFormatting>
  <conditionalFormatting sqref="C62">
    <cfRule type="cellIs" dxfId="21171" priority="7856" stopIfTrue="1" operator="equal">
      <formula>"Napkin Hs"</formula>
    </cfRule>
  </conditionalFormatting>
  <conditionalFormatting sqref="C62">
    <cfRule type="cellIs" dxfId="21170" priority="7855" stopIfTrue="1" operator="equal">
      <formula>"Towel"</formula>
    </cfRule>
  </conditionalFormatting>
  <conditionalFormatting sqref="C62">
    <cfRule type="cellIs" dxfId="21169" priority="7853" stopIfTrue="1" operator="equal">
      <formula>"Towel"</formula>
    </cfRule>
  </conditionalFormatting>
  <conditionalFormatting sqref="C62">
    <cfRule type="cellIs" dxfId="21168" priority="7854" stopIfTrue="1" operator="equal">
      <formula>"Napkin Hs"</formula>
    </cfRule>
  </conditionalFormatting>
  <conditionalFormatting sqref="B62">
    <cfRule type="cellIs" dxfId="21167" priority="7757" stopIfTrue="1" operator="equal">
      <formula>"Napkin Hs"</formula>
    </cfRule>
  </conditionalFormatting>
  <conditionalFormatting sqref="B62:C62">
    <cfRule type="cellIs" dxfId="21166" priority="7756" stopIfTrue="1" operator="equal">
      <formula>"Towel"</formula>
    </cfRule>
  </conditionalFormatting>
  <conditionalFormatting sqref="B62:C62">
    <cfRule type="cellIs" dxfId="21165" priority="7767" stopIfTrue="1" operator="equal">
      <formula>"Towel"</formula>
    </cfRule>
    <cfRule type="cellIs" dxfId="21164" priority="7768" stopIfTrue="1" operator="equal">
      <formula>"Napkin Hs"</formula>
    </cfRule>
    <cfRule type="cellIs" dxfId="21163" priority="7773" stopIfTrue="1" operator="equal">
      <formula>"Towel"</formula>
    </cfRule>
    <cfRule type="cellIs" dxfId="21162" priority="7774" stopIfTrue="1" operator="equal">
      <formula>"Napkin Hs"</formula>
    </cfRule>
    <cfRule type="cellIs" dxfId="21161" priority="7779" stopIfTrue="1" operator="equal">
      <formula>"Towel"</formula>
    </cfRule>
    <cfRule type="cellIs" dxfId="21160" priority="7780" stopIfTrue="1" operator="equal">
      <formula>"Napkin Hs"</formula>
    </cfRule>
    <cfRule type="cellIs" dxfId="21159" priority="7781" stopIfTrue="1" operator="equal">
      <formula>"Towel"</formula>
    </cfRule>
    <cfRule type="cellIs" dxfId="21158" priority="7782" stopIfTrue="1" operator="equal">
      <formula>"Napkin Hs"</formula>
    </cfRule>
    <cfRule type="cellIs" dxfId="21157" priority="7787" stopIfTrue="1" operator="equal">
      <formula>"Towel"</formula>
    </cfRule>
    <cfRule type="cellIs" dxfId="21156" priority="7788" stopIfTrue="1" operator="equal">
      <formula>"Napkin Hs"</formula>
    </cfRule>
    <cfRule type="cellIs" dxfId="21155" priority="7797" stopIfTrue="1" operator="equal">
      <formula>"Towel"</formula>
    </cfRule>
    <cfRule type="cellIs" dxfId="21154" priority="7798" stopIfTrue="1" operator="equal">
      <formula>"Napkin Hs"</formula>
    </cfRule>
    <cfRule type="cellIs" dxfId="21153" priority="7803" stopIfTrue="1" operator="equal">
      <formula>"Towel"</formula>
    </cfRule>
    <cfRule type="cellIs" dxfId="21152" priority="7804" stopIfTrue="1" operator="equal">
      <formula>"Napkin Hs"</formula>
    </cfRule>
    <cfRule type="cellIs" dxfId="21151" priority="7805" stopIfTrue="1" operator="equal">
      <formula>"Towel"</formula>
    </cfRule>
    <cfRule type="cellIs" dxfId="21150" priority="7806" stopIfTrue="1" operator="equal">
      <formula>"Napkin Hs"</formula>
    </cfRule>
    <cfRule type="cellIs" dxfId="21149" priority="7811" stopIfTrue="1" operator="equal">
      <formula>"Towel"</formula>
    </cfRule>
    <cfRule type="cellIs" dxfId="21148" priority="7812" stopIfTrue="1" operator="equal">
      <formula>"Napkin Hs"</formula>
    </cfRule>
    <cfRule type="cellIs" dxfId="21147" priority="7821" stopIfTrue="1" operator="equal">
      <formula>"Towel"</formula>
    </cfRule>
    <cfRule type="cellIs" dxfId="21146" priority="7822" stopIfTrue="1" operator="equal">
      <formula>"Napkin Hs"</formula>
    </cfRule>
    <cfRule type="cellIs" dxfId="21145" priority="7823" stopIfTrue="1" operator="equal">
      <formula>"Towel"</formula>
    </cfRule>
    <cfRule type="cellIs" dxfId="21144" priority="7824" stopIfTrue="1" operator="equal">
      <formula>"Napkin Hs"</formula>
    </cfRule>
    <cfRule type="cellIs" dxfId="21143" priority="7829" stopIfTrue="1" operator="equal">
      <formula>"Towel"</formula>
    </cfRule>
    <cfRule type="cellIs" dxfId="21142" priority="7830" stopIfTrue="1" operator="equal">
      <formula>"Napkin Hs"</formula>
    </cfRule>
    <cfRule type="cellIs" dxfId="21141" priority="7839" stopIfTrue="1" operator="equal">
      <formula>"Towel"</formula>
    </cfRule>
    <cfRule type="cellIs" dxfId="21140" priority="7840" stopIfTrue="1" operator="equal">
      <formula>"Napkin Hs"</formula>
    </cfRule>
    <cfRule type="cellIs" dxfId="21139" priority="7841" stopIfTrue="1" operator="equal">
      <formula>"Towel"</formula>
    </cfRule>
    <cfRule type="cellIs" dxfId="21138" priority="7842" stopIfTrue="1" operator="equal">
      <formula>"Napkin Hs"</formula>
    </cfRule>
    <cfRule type="cellIs" dxfId="21137" priority="7848" stopIfTrue="1" operator="equal">
      <formula>"Napkin Hs"</formula>
    </cfRule>
  </conditionalFormatting>
  <conditionalFormatting sqref="B62:C62">
    <cfRule type="cellIs" dxfId="21136" priority="7847" stopIfTrue="1" operator="equal">
      <formula>"Towel"</formula>
    </cfRule>
  </conditionalFormatting>
  <conditionalFormatting sqref="C62">
    <cfRule type="cellIs" dxfId="21135" priority="7758" stopIfTrue="1" operator="equal">
      <formula>"Napkin Hs"</formula>
    </cfRule>
    <cfRule type="cellIs" dxfId="21134" priority="7759" stopIfTrue="1" operator="equal">
      <formula>"Towel"</formula>
    </cfRule>
    <cfRule type="cellIs" dxfId="21133" priority="7760" stopIfTrue="1" operator="equal">
      <formula>"Napkin Hs"</formula>
    </cfRule>
    <cfRule type="cellIs" dxfId="21132" priority="7761" stopIfTrue="1" operator="equal">
      <formula>"Towel"</formula>
    </cfRule>
    <cfRule type="cellIs" dxfId="21131" priority="7762" stopIfTrue="1" operator="equal">
      <formula>"Napkin Hs"</formula>
    </cfRule>
    <cfRule type="cellIs" dxfId="21130" priority="7763" stopIfTrue="1" operator="equal">
      <formula>"Towel"</formula>
    </cfRule>
    <cfRule type="cellIs" dxfId="21129" priority="7764" stopIfTrue="1" operator="equal">
      <formula>"Napkin Hs"</formula>
    </cfRule>
    <cfRule type="cellIs" dxfId="21128" priority="7765" stopIfTrue="1" operator="equal">
      <formula>"Towel"</formula>
    </cfRule>
    <cfRule type="cellIs" dxfId="21127" priority="7766" stopIfTrue="1" operator="equal">
      <formula>"Napkin Hs"</formula>
    </cfRule>
    <cfRule type="cellIs" dxfId="21126" priority="7769" stopIfTrue="1" operator="equal">
      <formula>"Towel"</formula>
    </cfRule>
    <cfRule type="cellIs" dxfId="21125" priority="7770" stopIfTrue="1" operator="equal">
      <formula>"Napkin Hs"</formula>
    </cfRule>
    <cfRule type="cellIs" dxfId="21124" priority="7771" stopIfTrue="1" operator="equal">
      <formula>"Towel"</formula>
    </cfRule>
    <cfRule type="cellIs" dxfId="21123" priority="7772" stopIfTrue="1" operator="equal">
      <formula>"Napkin Hs"</formula>
    </cfRule>
    <cfRule type="cellIs" dxfId="21122" priority="7775" stopIfTrue="1" operator="equal">
      <formula>"Towel"</formula>
    </cfRule>
    <cfRule type="cellIs" dxfId="21121" priority="7776" stopIfTrue="1" operator="equal">
      <formula>"Napkin Hs"</formula>
    </cfRule>
    <cfRule type="cellIs" dxfId="21120" priority="7777" stopIfTrue="1" operator="equal">
      <formula>"Towel"</formula>
    </cfRule>
    <cfRule type="cellIs" dxfId="21119" priority="7778" stopIfTrue="1" operator="equal">
      <formula>"Napkin Hs"</formula>
    </cfRule>
    <cfRule type="cellIs" dxfId="21118" priority="7783" stopIfTrue="1" operator="equal">
      <formula>"Towel"</formula>
    </cfRule>
    <cfRule type="cellIs" dxfId="21117" priority="7784" stopIfTrue="1" operator="equal">
      <formula>"Napkin Hs"</formula>
    </cfRule>
    <cfRule type="cellIs" dxfId="21116" priority="7785" stopIfTrue="1" operator="equal">
      <formula>"Towel"</formula>
    </cfRule>
    <cfRule type="cellIs" dxfId="21115" priority="7786" stopIfTrue="1" operator="equal">
      <formula>"Napkin Hs"</formula>
    </cfRule>
    <cfRule type="cellIs" dxfId="21114" priority="7789" stopIfTrue="1" operator="equal">
      <formula>"Towel"</formula>
    </cfRule>
    <cfRule type="cellIs" dxfId="21113" priority="7790" stopIfTrue="1" operator="equal">
      <formula>"Napkin Hs"</formula>
    </cfRule>
    <cfRule type="cellIs" dxfId="21112" priority="7791" stopIfTrue="1" operator="equal">
      <formula>"Towel"</formula>
    </cfRule>
    <cfRule type="cellIs" dxfId="21111" priority="7792" stopIfTrue="1" operator="equal">
      <formula>"Napkin Hs"</formula>
    </cfRule>
    <cfRule type="cellIs" dxfId="21110" priority="7793" stopIfTrue="1" operator="equal">
      <formula>"Towel"</formula>
    </cfRule>
    <cfRule type="cellIs" dxfId="21109" priority="7794" stopIfTrue="1" operator="equal">
      <formula>"Napkin Hs"</formula>
    </cfRule>
    <cfRule type="cellIs" dxfId="21108" priority="7795" stopIfTrue="1" operator="equal">
      <formula>"Towel"</formula>
    </cfRule>
    <cfRule type="cellIs" dxfId="21107" priority="7796" stopIfTrue="1" operator="equal">
      <formula>"Napkin Hs"</formula>
    </cfRule>
    <cfRule type="cellIs" dxfId="21106" priority="7799" stopIfTrue="1" operator="equal">
      <formula>"Towel"</formula>
    </cfRule>
    <cfRule type="cellIs" dxfId="21105" priority="7800" stopIfTrue="1" operator="equal">
      <formula>"Napkin Hs"</formula>
    </cfRule>
    <cfRule type="cellIs" dxfId="21104" priority="7801" stopIfTrue="1" operator="equal">
      <formula>"Towel"</formula>
    </cfRule>
    <cfRule type="cellIs" dxfId="21103" priority="7802" stopIfTrue="1" operator="equal">
      <formula>"Napkin Hs"</formula>
    </cfRule>
    <cfRule type="cellIs" dxfId="21102" priority="7807" stopIfTrue="1" operator="equal">
      <formula>"Towel"</formula>
    </cfRule>
    <cfRule type="cellIs" dxfId="21101" priority="7808" stopIfTrue="1" operator="equal">
      <formula>"Napkin Hs"</formula>
    </cfRule>
    <cfRule type="cellIs" dxfId="21100" priority="7809" stopIfTrue="1" operator="equal">
      <formula>"Towel"</formula>
    </cfRule>
    <cfRule type="cellIs" dxfId="21099" priority="7810" stopIfTrue="1" operator="equal">
      <formula>"Napkin Hs"</formula>
    </cfRule>
    <cfRule type="cellIs" dxfId="21098" priority="7813" stopIfTrue="1" operator="equal">
      <formula>"Towel"</formula>
    </cfRule>
    <cfRule type="cellIs" dxfId="21097" priority="7814" stopIfTrue="1" operator="equal">
      <formula>"Napkin Hs"</formula>
    </cfRule>
    <cfRule type="cellIs" dxfId="21096" priority="7815" stopIfTrue="1" operator="equal">
      <formula>"Towel"</formula>
    </cfRule>
    <cfRule type="cellIs" dxfId="21095" priority="7816" stopIfTrue="1" operator="equal">
      <formula>"Napkin Hs"</formula>
    </cfRule>
    <cfRule type="cellIs" dxfId="21094" priority="7817" stopIfTrue="1" operator="equal">
      <formula>"Towel"</formula>
    </cfRule>
    <cfRule type="cellIs" dxfId="21093" priority="7818" stopIfTrue="1" operator="equal">
      <formula>"Napkin Hs"</formula>
    </cfRule>
    <cfRule type="cellIs" dxfId="21092" priority="7819" stopIfTrue="1" operator="equal">
      <formula>"Towel"</formula>
    </cfRule>
    <cfRule type="cellIs" dxfId="21091" priority="7820" stopIfTrue="1" operator="equal">
      <formula>"Napkin Hs"</formula>
    </cfRule>
    <cfRule type="cellIs" dxfId="21090" priority="7825" stopIfTrue="1" operator="equal">
      <formula>"Towel"</formula>
    </cfRule>
    <cfRule type="cellIs" dxfId="21089" priority="7826" stopIfTrue="1" operator="equal">
      <formula>"Napkin Hs"</formula>
    </cfRule>
    <cfRule type="cellIs" dxfId="21088" priority="7827" stopIfTrue="1" operator="equal">
      <formula>"Towel"</formula>
    </cfRule>
    <cfRule type="cellIs" dxfId="21087" priority="7828" stopIfTrue="1" operator="equal">
      <formula>"Napkin Hs"</formula>
    </cfRule>
    <cfRule type="cellIs" dxfId="21086" priority="7831" stopIfTrue="1" operator="equal">
      <formula>"Towel"</formula>
    </cfRule>
    <cfRule type="cellIs" dxfId="21085" priority="7832" stopIfTrue="1" operator="equal">
      <formula>"Napkin Hs"</formula>
    </cfRule>
    <cfRule type="cellIs" dxfId="21084" priority="7833" stopIfTrue="1" operator="equal">
      <formula>"Towel"</formula>
    </cfRule>
    <cfRule type="cellIs" dxfId="21083" priority="7834" stopIfTrue="1" operator="equal">
      <formula>"Napkin Hs"</formula>
    </cfRule>
    <cfRule type="cellIs" dxfId="21082" priority="7835" stopIfTrue="1" operator="equal">
      <formula>"Towel"</formula>
    </cfRule>
    <cfRule type="cellIs" dxfId="21081" priority="7836" stopIfTrue="1" operator="equal">
      <formula>"Napkin Hs"</formula>
    </cfRule>
    <cfRule type="cellIs" dxfId="21080" priority="7837" stopIfTrue="1" operator="equal">
      <formula>"Towel"</formula>
    </cfRule>
    <cfRule type="cellIs" dxfId="21079" priority="7838" stopIfTrue="1" operator="equal">
      <formula>"Napkin Hs"</formula>
    </cfRule>
    <cfRule type="cellIs" dxfId="21078" priority="7843" stopIfTrue="1" operator="equal">
      <formula>"Towel"</formula>
    </cfRule>
    <cfRule type="cellIs" dxfId="21077" priority="7844" stopIfTrue="1" operator="equal">
      <formula>"Napkin Hs"</formula>
    </cfRule>
    <cfRule type="cellIs" dxfId="21076" priority="7845" stopIfTrue="1" operator="equal">
      <formula>"Towel"</formula>
    </cfRule>
    <cfRule type="cellIs" dxfId="21075" priority="7846" stopIfTrue="1" operator="equal">
      <formula>"Napkin Hs"</formula>
    </cfRule>
    <cfRule type="cellIs" dxfId="21074" priority="7849" stopIfTrue="1" operator="equal">
      <formula>"Towel"</formula>
    </cfRule>
    <cfRule type="cellIs" dxfId="21073" priority="7850" stopIfTrue="1" operator="equal">
      <formula>"Napkin Hs"</formula>
    </cfRule>
    <cfRule type="cellIs" dxfId="21072" priority="7851" stopIfTrue="1" operator="equal">
      <formula>"Towel"</formula>
    </cfRule>
    <cfRule type="cellIs" dxfId="21071" priority="7852" stopIfTrue="1" operator="equal">
      <formula>"Napkin Hs"</formula>
    </cfRule>
  </conditionalFormatting>
  <conditionalFormatting sqref="B62:C62">
    <cfRule type="cellIs" dxfId="21070" priority="7754" stopIfTrue="1" operator="equal">
      <formula>"Towel"</formula>
    </cfRule>
    <cfRule type="cellIs" dxfId="21069" priority="7755" stopIfTrue="1" operator="equal">
      <formula>"Napkin Hs"</formula>
    </cfRule>
  </conditionalFormatting>
  <conditionalFormatting sqref="C62">
    <cfRule type="cellIs" dxfId="21068" priority="7750" stopIfTrue="1" operator="equal">
      <formula>"Towel"</formula>
    </cfRule>
    <cfRule type="cellIs" dxfId="21067" priority="7751" stopIfTrue="1" operator="equal">
      <formula>"Napkin Hs"</formula>
    </cfRule>
  </conditionalFormatting>
  <conditionalFormatting sqref="C62">
    <cfRule type="cellIs" dxfId="21066" priority="7753" stopIfTrue="1" operator="equal">
      <formula>"Napkin Hs"</formula>
    </cfRule>
  </conditionalFormatting>
  <conditionalFormatting sqref="C62">
    <cfRule type="cellIs" dxfId="21065" priority="7752" stopIfTrue="1" operator="equal">
      <formula>"Towel"</formula>
    </cfRule>
  </conditionalFormatting>
  <conditionalFormatting sqref="B60:C61">
    <cfRule type="cellIs" dxfId="21064" priority="7748" stopIfTrue="1" operator="equal">
      <formula>"Towel"</formula>
    </cfRule>
    <cfRule type="cellIs" dxfId="21063" priority="7749" stopIfTrue="1" operator="equal">
      <formula>"Napkin Hs"</formula>
    </cfRule>
  </conditionalFormatting>
  <conditionalFormatting sqref="C60:C61">
    <cfRule type="cellIs" dxfId="21062" priority="7746" stopIfTrue="1" operator="equal">
      <formula>"Towel"</formula>
    </cfRule>
    <cfRule type="cellIs" dxfId="21061" priority="7747" stopIfTrue="1" operator="equal">
      <formula>"Napkin Hs"</formula>
    </cfRule>
  </conditionalFormatting>
  <conditionalFormatting sqref="C60:C61">
    <cfRule type="cellIs" dxfId="21060" priority="7744" stopIfTrue="1" operator="equal">
      <formula>"Towel"</formula>
    </cfRule>
    <cfRule type="cellIs" dxfId="21059" priority="7745" stopIfTrue="1" operator="equal">
      <formula>"Napkin Hs"</formula>
    </cfRule>
  </conditionalFormatting>
  <conditionalFormatting sqref="C60:C61">
    <cfRule type="cellIs" dxfId="21058" priority="7730" stopIfTrue="1" operator="equal">
      <formula>"Towel"</formula>
    </cfRule>
    <cfRule type="cellIs" dxfId="21057" priority="7731" stopIfTrue="1" operator="equal">
      <formula>"Napkin Hs"</formula>
    </cfRule>
  </conditionalFormatting>
  <conditionalFormatting sqref="C60:C61">
    <cfRule type="cellIs" dxfId="21056" priority="7728" stopIfTrue="1" operator="equal">
      <formula>"Towel"</formula>
    </cfRule>
    <cfRule type="cellIs" dxfId="21055" priority="7729" stopIfTrue="1" operator="equal">
      <formula>"Napkin Hs"</formula>
    </cfRule>
  </conditionalFormatting>
  <conditionalFormatting sqref="C60:C61">
    <cfRule type="cellIs" dxfId="21054" priority="7736" stopIfTrue="1" operator="equal">
      <formula>"Towel"</formula>
    </cfRule>
    <cfRule type="cellIs" dxfId="21053" priority="7737" stopIfTrue="1" operator="equal">
      <formula>"Napkin Hs"</formula>
    </cfRule>
  </conditionalFormatting>
  <conditionalFormatting sqref="B60:C61">
    <cfRule type="cellIs" dxfId="21052" priority="7738" stopIfTrue="1" operator="equal">
      <formula>"Towel"</formula>
    </cfRule>
    <cfRule type="cellIs" dxfId="21051" priority="7739" stopIfTrue="1" operator="equal">
      <formula>"Napkin Hs"</formula>
    </cfRule>
  </conditionalFormatting>
  <conditionalFormatting sqref="C60:C61">
    <cfRule type="cellIs" dxfId="21050" priority="7734" stopIfTrue="1" operator="equal">
      <formula>"Towel"</formula>
    </cfRule>
    <cfRule type="cellIs" dxfId="21049" priority="7735" stopIfTrue="1" operator="equal">
      <formula>"Napkin Hs"</formula>
    </cfRule>
  </conditionalFormatting>
  <conditionalFormatting sqref="B60:C61">
    <cfRule type="cellIs" dxfId="21048" priority="7732" stopIfTrue="1" operator="equal">
      <formula>"Towel"</formula>
    </cfRule>
    <cfRule type="cellIs" dxfId="21047" priority="7733" stopIfTrue="1" operator="equal">
      <formula>"Napkin Hs"</formula>
    </cfRule>
  </conditionalFormatting>
  <conditionalFormatting sqref="C60:C61">
    <cfRule type="cellIs" dxfId="21046" priority="7740" stopIfTrue="1" operator="equal">
      <formula>"Towel"</formula>
    </cfRule>
    <cfRule type="cellIs" dxfId="21045" priority="7741" stopIfTrue="1" operator="equal">
      <formula>"Napkin Hs"</formula>
    </cfRule>
  </conditionalFormatting>
  <conditionalFormatting sqref="C60:C61">
    <cfRule type="cellIs" dxfId="21044" priority="7742" stopIfTrue="1" operator="equal">
      <formula>"Towel"</formula>
    </cfRule>
    <cfRule type="cellIs" dxfId="21043" priority="7743" stopIfTrue="1" operator="equal">
      <formula>"Napkin Hs"</formula>
    </cfRule>
  </conditionalFormatting>
  <conditionalFormatting sqref="C60:C61">
    <cfRule type="cellIs" dxfId="21042" priority="7724" stopIfTrue="1" operator="equal">
      <formula>"Towel"</formula>
    </cfRule>
    <cfRule type="cellIs" dxfId="21041" priority="7725" stopIfTrue="1" operator="equal">
      <formula>"Napkin Hs"</formula>
    </cfRule>
  </conditionalFormatting>
  <conditionalFormatting sqref="B60:C61">
    <cfRule type="cellIs" dxfId="21040" priority="7726" stopIfTrue="1" operator="equal">
      <formula>"Towel"</formula>
    </cfRule>
    <cfRule type="cellIs" dxfId="21039" priority="7727" stopIfTrue="1" operator="equal">
      <formula>"Napkin Hs"</formula>
    </cfRule>
  </conditionalFormatting>
  <conditionalFormatting sqref="C60:C61">
    <cfRule type="cellIs" dxfId="21038" priority="7722" stopIfTrue="1" operator="equal">
      <formula>"Towel"</formula>
    </cfRule>
    <cfRule type="cellIs" dxfId="21037" priority="7723" stopIfTrue="1" operator="equal">
      <formula>"Napkin Hs"</formula>
    </cfRule>
  </conditionalFormatting>
  <conditionalFormatting sqref="B60:C61">
    <cfRule type="cellIs" dxfId="21036" priority="7720" stopIfTrue="1" operator="equal">
      <formula>"Towel"</formula>
    </cfRule>
    <cfRule type="cellIs" dxfId="21035" priority="7721" stopIfTrue="1" operator="equal">
      <formula>"Napkin Hs"</formula>
    </cfRule>
  </conditionalFormatting>
  <conditionalFormatting sqref="C60:C61">
    <cfRule type="cellIs" dxfId="21034" priority="7712" stopIfTrue="1" operator="equal">
      <formula>"Towel"</formula>
    </cfRule>
    <cfRule type="cellIs" dxfId="21033" priority="7713" stopIfTrue="1" operator="equal">
      <formula>"Napkin Hs"</formula>
    </cfRule>
  </conditionalFormatting>
  <conditionalFormatting sqref="B60:C61">
    <cfRule type="cellIs" dxfId="21032" priority="7714" stopIfTrue="1" operator="equal">
      <formula>"Towel"</formula>
    </cfRule>
    <cfRule type="cellIs" dxfId="21031" priority="7715" stopIfTrue="1" operator="equal">
      <formula>"Napkin Hs"</formula>
    </cfRule>
  </conditionalFormatting>
  <conditionalFormatting sqref="C60:C61">
    <cfRule type="cellIs" dxfId="21030" priority="7710" stopIfTrue="1" operator="equal">
      <formula>"Towel"</formula>
    </cfRule>
    <cfRule type="cellIs" dxfId="21029" priority="7711" stopIfTrue="1" operator="equal">
      <formula>"Napkin Hs"</formula>
    </cfRule>
  </conditionalFormatting>
  <conditionalFormatting sqref="B60:C61">
    <cfRule type="cellIs" dxfId="21028" priority="7708" stopIfTrue="1" operator="equal">
      <formula>"Towel"</formula>
    </cfRule>
    <cfRule type="cellIs" dxfId="21027" priority="7709" stopIfTrue="1" operator="equal">
      <formula>"Napkin Hs"</formula>
    </cfRule>
  </conditionalFormatting>
  <conditionalFormatting sqref="C60:C61">
    <cfRule type="cellIs" dxfId="21026" priority="7716" stopIfTrue="1" operator="equal">
      <formula>"Towel"</formula>
    </cfRule>
    <cfRule type="cellIs" dxfId="21025" priority="7717" stopIfTrue="1" operator="equal">
      <formula>"Napkin Hs"</formula>
    </cfRule>
  </conditionalFormatting>
  <conditionalFormatting sqref="C60:C61">
    <cfRule type="cellIs" dxfId="21024" priority="7718" stopIfTrue="1" operator="equal">
      <formula>"Towel"</formula>
    </cfRule>
    <cfRule type="cellIs" dxfId="21023" priority="7719" stopIfTrue="1" operator="equal">
      <formula>"Napkin Hs"</formula>
    </cfRule>
  </conditionalFormatting>
  <conditionalFormatting sqref="B60:C61">
    <cfRule type="cellIs" dxfId="21022" priority="7706" stopIfTrue="1" operator="equal">
      <formula>"Towel"</formula>
    </cfRule>
    <cfRule type="cellIs" dxfId="21021" priority="7707" stopIfTrue="1" operator="equal">
      <formula>"Napkin Hs"</formula>
    </cfRule>
  </conditionalFormatting>
  <conditionalFormatting sqref="C60:C61">
    <cfRule type="cellIs" dxfId="21020" priority="7705" stopIfTrue="1" operator="equal">
      <formula>"Napkin Hs"</formula>
    </cfRule>
  </conditionalFormatting>
  <conditionalFormatting sqref="C60:C61">
    <cfRule type="cellIs" dxfId="21019" priority="7704" stopIfTrue="1" operator="equal">
      <formula>"Towel"</formula>
    </cfRule>
  </conditionalFormatting>
  <conditionalFormatting sqref="C60:C61">
    <cfRule type="cellIs" dxfId="21018" priority="7702" stopIfTrue="1" operator="equal">
      <formula>"Towel"</formula>
    </cfRule>
    <cfRule type="cellIs" dxfId="21017" priority="7703" stopIfTrue="1" operator="equal">
      <formula>"Napkin Hs"</formula>
    </cfRule>
  </conditionalFormatting>
  <conditionalFormatting sqref="C60:C61">
    <cfRule type="cellIs" dxfId="21016" priority="7694" stopIfTrue="1" operator="equal">
      <formula>"Towel"</formula>
    </cfRule>
    <cfRule type="cellIs" dxfId="21015" priority="7695" stopIfTrue="1" operator="equal">
      <formula>"Napkin Hs"</formula>
    </cfRule>
  </conditionalFormatting>
  <conditionalFormatting sqref="B60:C61">
    <cfRule type="cellIs" dxfId="21014" priority="7696" stopIfTrue="1" operator="equal">
      <formula>"Towel"</formula>
    </cfRule>
    <cfRule type="cellIs" dxfId="21013" priority="7697" stopIfTrue="1" operator="equal">
      <formula>"Napkin Hs"</formula>
    </cfRule>
  </conditionalFormatting>
  <conditionalFormatting sqref="C60:C61">
    <cfRule type="cellIs" dxfId="21012" priority="7692" stopIfTrue="1" operator="equal">
      <formula>"Towel"</formula>
    </cfRule>
    <cfRule type="cellIs" dxfId="21011" priority="7693" stopIfTrue="1" operator="equal">
      <formula>"Napkin Hs"</formula>
    </cfRule>
  </conditionalFormatting>
  <conditionalFormatting sqref="B60:C61">
    <cfRule type="cellIs" dxfId="21010" priority="7690" stopIfTrue="1" operator="equal">
      <formula>"Towel"</formula>
    </cfRule>
    <cfRule type="cellIs" dxfId="21009" priority="7691" stopIfTrue="1" operator="equal">
      <formula>"Napkin Hs"</formula>
    </cfRule>
  </conditionalFormatting>
  <conditionalFormatting sqref="C60:C61">
    <cfRule type="cellIs" dxfId="21008" priority="7698" stopIfTrue="1" operator="equal">
      <formula>"Towel"</formula>
    </cfRule>
    <cfRule type="cellIs" dxfId="21007" priority="7699" stopIfTrue="1" operator="equal">
      <formula>"Napkin Hs"</formula>
    </cfRule>
  </conditionalFormatting>
  <conditionalFormatting sqref="C60:C61">
    <cfRule type="cellIs" dxfId="21006" priority="7700" stopIfTrue="1" operator="equal">
      <formula>"Towel"</formula>
    </cfRule>
    <cfRule type="cellIs" dxfId="21005" priority="7701" stopIfTrue="1" operator="equal">
      <formula>"Napkin Hs"</formula>
    </cfRule>
  </conditionalFormatting>
  <conditionalFormatting sqref="B60:C61">
    <cfRule type="cellIs" dxfId="21004" priority="7688" stopIfTrue="1" operator="equal">
      <formula>"Towel"</formula>
    </cfRule>
    <cfRule type="cellIs" dxfId="21003" priority="7689" stopIfTrue="1" operator="equal">
      <formula>"Napkin Hs"</formula>
    </cfRule>
  </conditionalFormatting>
  <conditionalFormatting sqref="C60:C61">
    <cfRule type="cellIs" dxfId="21002" priority="7684" stopIfTrue="1" operator="equal">
      <formula>"Towel"</formula>
    </cfRule>
    <cfRule type="cellIs" dxfId="21001" priority="7685" stopIfTrue="1" operator="equal">
      <formula>"Napkin Hs"</formula>
    </cfRule>
  </conditionalFormatting>
  <conditionalFormatting sqref="C60:C61">
    <cfRule type="cellIs" dxfId="21000" priority="7686" stopIfTrue="1" operator="equal">
      <formula>"Towel"</formula>
    </cfRule>
    <cfRule type="cellIs" dxfId="20999" priority="7687" stopIfTrue="1" operator="equal">
      <formula>"Napkin Hs"</formula>
    </cfRule>
  </conditionalFormatting>
  <conditionalFormatting sqref="B60:C61">
    <cfRule type="cellIs" dxfId="20998" priority="7682" stopIfTrue="1" operator="equal">
      <formula>"Towel"</formula>
    </cfRule>
    <cfRule type="cellIs" dxfId="20997" priority="7683" stopIfTrue="1" operator="equal">
      <formula>"Napkin Hs"</formula>
    </cfRule>
  </conditionalFormatting>
  <conditionalFormatting sqref="C60:C61">
    <cfRule type="cellIs" dxfId="20996" priority="7678" stopIfTrue="1" operator="equal">
      <formula>"Towel"</formula>
    </cfRule>
    <cfRule type="cellIs" dxfId="20995" priority="7679" stopIfTrue="1" operator="equal">
      <formula>"Napkin Hs"</formula>
    </cfRule>
  </conditionalFormatting>
  <conditionalFormatting sqref="C60:C61">
    <cfRule type="cellIs" dxfId="20994" priority="7680" stopIfTrue="1" operator="equal">
      <formula>"Towel"</formula>
    </cfRule>
    <cfRule type="cellIs" dxfId="20993" priority="7681" stopIfTrue="1" operator="equal">
      <formula>"Napkin Hs"</formula>
    </cfRule>
  </conditionalFormatting>
  <conditionalFormatting sqref="C60:C61">
    <cfRule type="cellIs" dxfId="20992" priority="7674" stopIfTrue="1" operator="equal">
      <formula>"Towel"</formula>
    </cfRule>
    <cfRule type="cellIs" dxfId="20991" priority="7675" stopIfTrue="1" operator="equal">
      <formula>"Napkin Hs"</formula>
    </cfRule>
  </conditionalFormatting>
  <conditionalFormatting sqref="C60:C61">
    <cfRule type="cellIs" dxfId="20990" priority="7676" stopIfTrue="1" operator="equal">
      <formula>"Towel"</formula>
    </cfRule>
    <cfRule type="cellIs" dxfId="20989" priority="7677" stopIfTrue="1" operator="equal">
      <formula>"Napkin Hs"</formula>
    </cfRule>
  </conditionalFormatting>
  <conditionalFormatting sqref="C60:C61">
    <cfRule type="cellIs" dxfId="20988" priority="7672" stopIfTrue="1" operator="equal">
      <formula>"Towel"</formula>
    </cfRule>
    <cfRule type="cellIs" dxfId="20987" priority="7673" stopIfTrue="1" operator="equal">
      <formula>"Napkin Hs"</formula>
    </cfRule>
  </conditionalFormatting>
  <conditionalFormatting sqref="B60:B61">
    <cfRule type="cellIs" dxfId="20986" priority="7670" stopIfTrue="1" operator="equal">
      <formula>"Towel"</formula>
    </cfRule>
    <cfRule type="cellIs" dxfId="20985" priority="7671" stopIfTrue="1" operator="equal">
      <formula>"Napkin Hs"</formula>
    </cfRule>
  </conditionalFormatting>
  <conditionalFormatting sqref="C60:C61">
    <cfRule type="cellIs" dxfId="20984" priority="7662" stopIfTrue="1" operator="equal">
      <formula>"Towel"</formula>
    </cfRule>
    <cfRule type="cellIs" dxfId="20983" priority="7663" stopIfTrue="1" operator="equal">
      <formula>"Napkin Hs"</formula>
    </cfRule>
  </conditionalFormatting>
  <conditionalFormatting sqref="B60:C61">
    <cfRule type="cellIs" dxfId="20982" priority="7664" stopIfTrue="1" operator="equal">
      <formula>"Towel"</formula>
    </cfRule>
    <cfRule type="cellIs" dxfId="20981" priority="7665" stopIfTrue="1" operator="equal">
      <formula>"Napkin Hs"</formula>
    </cfRule>
  </conditionalFormatting>
  <conditionalFormatting sqref="C60:C61">
    <cfRule type="cellIs" dxfId="20980" priority="7660" stopIfTrue="1" operator="equal">
      <formula>"Towel"</formula>
    </cfRule>
    <cfRule type="cellIs" dxfId="20979" priority="7661" stopIfTrue="1" operator="equal">
      <formula>"Napkin Hs"</formula>
    </cfRule>
  </conditionalFormatting>
  <conditionalFormatting sqref="B60:C61">
    <cfRule type="cellIs" dxfId="20978" priority="7658" stopIfTrue="1" operator="equal">
      <formula>"Towel"</formula>
    </cfRule>
    <cfRule type="cellIs" dxfId="20977" priority="7659" stopIfTrue="1" operator="equal">
      <formula>"Napkin Hs"</formula>
    </cfRule>
  </conditionalFormatting>
  <conditionalFormatting sqref="C60:C61">
    <cfRule type="cellIs" dxfId="20976" priority="7666" stopIfTrue="1" operator="equal">
      <formula>"Towel"</formula>
    </cfRule>
    <cfRule type="cellIs" dxfId="20975" priority="7667" stopIfTrue="1" operator="equal">
      <formula>"Napkin Hs"</formula>
    </cfRule>
  </conditionalFormatting>
  <conditionalFormatting sqref="C60:C61">
    <cfRule type="cellIs" dxfId="20974" priority="7668" stopIfTrue="1" operator="equal">
      <formula>"Towel"</formula>
    </cfRule>
    <cfRule type="cellIs" dxfId="20973" priority="7669" stopIfTrue="1" operator="equal">
      <formula>"Napkin Hs"</formula>
    </cfRule>
  </conditionalFormatting>
  <conditionalFormatting sqref="C60:C61">
    <cfRule type="cellIs" dxfId="20972" priority="7650" stopIfTrue="1" operator="equal">
      <formula>"Towel"</formula>
    </cfRule>
    <cfRule type="cellIs" dxfId="20971" priority="7651" stopIfTrue="1" operator="equal">
      <formula>"Napkin Hs"</formula>
    </cfRule>
  </conditionalFormatting>
  <conditionalFormatting sqref="B60:C61">
    <cfRule type="cellIs" dxfId="20970" priority="7652" stopIfTrue="1" operator="equal">
      <formula>"Towel"</formula>
    </cfRule>
    <cfRule type="cellIs" dxfId="20969" priority="7653" stopIfTrue="1" operator="equal">
      <formula>"Napkin Hs"</formula>
    </cfRule>
  </conditionalFormatting>
  <conditionalFormatting sqref="C60:C61">
    <cfRule type="cellIs" dxfId="20968" priority="7648" stopIfTrue="1" operator="equal">
      <formula>"Towel"</formula>
    </cfRule>
    <cfRule type="cellIs" dxfId="20967" priority="7649" stopIfTrue="1" operator="equal">
      <formula>"Napkin Hs"</formula>
    </cfRule>
  </conditionalFormatting>
  <conditionalFormatting sqref="B60:C61">
    <cfRule type="cellIs" dxfId="20966" priority="7646" stopIfTrue="1" operator="equal">
      <formula>"Towel"</formula>
    </cfRule>
    <cfRule type="cellIs" dxfId="20965" priority="7647" stopIfTrue="1" operator="equal">
      <formula>"Napkin Hs"</formula>
    </cfRule>
  </conditionalFormatting>
  <conditionalFormatting sqref="C60:C61">
    <cfRule type="cellIs" dxfId="20964" priority="7654" stopIfTrue="1" operator="equal">
      <formula>"Towel"</formula>
    </cfRule>
    <cfRule type="cellIs" dxfId="20963" priority="7655" stopIfTrue="1" operator="equal">
      <formula>"Napkin Hs"</formula>
    </cfRule>
  </conditionalFormatting>
  <conditionalFormatting sqref="C60:C61">
    <cfRule type="cellIs" dxfId="20962" priority="7656" stopIfTrue="1" operator="equal">
      <formula>"Towel"</formula>
    </cfRule>
    <cfRule type="cellIs" dxfId="20961" priority="7657" stopIfTrue="1" operator="equal">
      <formula>"Napkin Hs"</formula>
    </cfRule>
  </conditionalFormatting>
  <conditionalFormatting sqref="C60:C61">
    <cfRule type="cellIs" dxfId="20960" priority="7638" stopIfTrue="1" operator="equal">
      <formula>"Towel"</formula>
    </cfRule>
    <cfRule type="cellIs" dxfId="20959" priority="7639" stopIfTrue="1" operator="equal">
      <formula>"Napkin Hs"</formula>
    </cfRule>
  </conditionalFormatting>
  <conditionalFormatting sqref="B60:C61">
    <cfRule type="cellIs" dxfId="20958" priority="7640" stopIfTrue="1" operator="equal">
      <formula>"Towel"</formula>
    </cfRule>
    <cfRule type="cellIs" dxfId="20957" priority="7641" stopIfTrue="1" operator="equal">
      <formula>"Napkin Hs"</formula>
    </cfRule>
  </conditionalFormatting>
  <conditionalFormatting sqref="C60:C61">
    <cfRule type="cellIs" dxfId="20956" priority="7636" stopIfTrue="1" operator="equal">
      <formula>"Towel"</formula>
    </cfRule>
    <cfRule type="cellIs" dxfId="20955" priority="7637" stopIfTrue="1" operator="equal">
      <formula>"Napkin Hs"</formula>
    </cfRule>
  </conditionalFormatting>
  <conditionalFormatting sqref="B60:C61">
    <cfRule type="cellIs" dxfId="20954" priority="7634" stopIfTrue="1" operator="equal">
      <formula>"Towel"</formula>
    </cfRule>
    <cfRule type="cellIs" dxfId="20953" priority="7635" stopIfTrue="1" operator="equal">
      <formula>"Napkin Hs"</formula>
    </cfRule>
  </conditionalFormatting>
  <conditionalFormatting sqref="C60:C61">
    <cfRule type="cellIs" dxfId="20952" priority="7642" stopIfTrue="1" operator="equal">
      <formula>"Towel"</formula>
    </cfRule>
    <cfRule type="cellIs" dxfId="20951" priority="7643" stopIfTrue="1" operator="equal">
      <formula>"Napkin Hs"</formula>
    </cfRule>
  </conditionalFormatting>
  <conditionalFormatting sqref="C60:C61">
    <cfRule type="cellIs" dxfId="20950" priority="7644" stopIfTrue="1" operator="equal">
      <formula>"Towel"</formula>
    </cfRule>
    <cfRule type="cellIs" dxfId="20949" priority="7645" stopIfTrue="1" operator="equal">
      <formula>"Napkin Hs"</formula>
    </cfRule>
  </conditionalFormatting>
  <conditionalFormatting sqref="B60:C61">
    <cfRule type="cellIs" dxfId="20948" priority="7632" stopIfTrue="1" operator="equal">
      <formula>"Towel"</formula>
    </cfRule>
    <cfRule type="cellIs" dxfId="20947" priority="7633" stopIfTrue="1" operator="equal">
      <formula>"Napkin Hs"</formula>
    </cfRule>
  </conditionalFormatting>
  <conditionalFormatting sqref="C60:C61">
    <cfRule type="cellIs" dxfId="20946" priority="7628" stopIfTrue="1" operator="equal">
      <formula>"Towel"</formula>
    </cfRule>
    <cfRule type="cellIs" dxfId="20945" priority="7629" stopIfTrue="1" operator="equal">
      <formula>"Napkin Hs"</formula>
    </cfRule>
  </conditionalFormatting>
  <conditionalFormatting sqref="C60:C61">
    <cfRule type="cellIs" dxfId="20944" priority="7631" stopIfTrue="1" operator="equal">
      <formula>"Napkin Hs"</formula>
    </cfRule>
  </conditionalFormatting>
  <conditionalFormatting sqref="C60:C61">
    <cfRule type="cellIs" dxfId="20943" priority="7630" stopIfTrue="1" operator="equal">
      <formula>"Towel"</formula>
    </cfRule>
  </conditionalFormatting>
  <conditionalFormatting sqref="B60:C61">
    <cfRule type="cellIs" dxfId="20942" priority="7626" stopIfTrue="1" operator="equal">
      <formula>"Towel"</formula>
    </cfRule>
    <cfRule type="cellIs" dxfId="20941" priority="7627" stopIfTrue="1" operator="equal">
      <formula>"Napkin Hs"</formula>
    </cfRule>
  </conditionalFormatting>
  <conditionalFormatting sqref="C60:C61">
    <cfRule type="cellIs" dxfId="20940" priority="7622" stopIfTrue="1" operator="equal">
      <formula>"Towel"</formula>
    </cfRule>
    <cfRule type="cellIs" dxfId="20939" priority="7623" stopIfTrue="1" operator="equal">
      <formula>"Napkin Hs"</formula>
    </cfRule>
  </conditionalFormatting>
  <conditionalFormatting sqref="C60:C61">
    <cfRule type="cellIs" dxfId="20938" priority="7625" stopIfTrue="1" operator="equal">
      <formula>"Napkin Hs"</formula>
    </cfRule>
  </conditionalFormatting>
  <conditionalFormatting sqref="C60:C61">
    <cfRule type="cellIs" dxfId="20937" priority="7624" stopIfTrue="1" operator="equal">
      <formula>"Towel"</formula>
    </cfRule>
  </conditionalFormatting>
  <conditionalFormatting sqref="C60:C61">
    <cfRule type="cellIs" dxfId="20936" priority="7614" stopIfTrue="1" operator="equal">
      <formula>"Towel"</formula>
    </cfRule>
    <cfRule type="cellIs" dxfId="20935" priority="7615" stopIfTrue="1" operator="equal">
      <formula>"Napkin Hs"</formula>
    </cfRule>
  </conditionalFormatting>
  <conditionalFormatting sqref="B60:C61">
    <cfRule type="cellIs" dxfId="20934" priority="7616" stopIfTrue="1" operator="equal">
      <formula>"Towel"</formula>
    </cfRule>
    <cfRule type="cellIs" dxfId="20933" priority="7617" stopIfTrue="1" operator="equal">
      <formula>"Napkin Hs"</formula>
    </cfRule>
  </conditionalFormatting>
  <conditionalFormatting sqref="C60:C61">
    <cfRule type="cellIs" dxfId="20932" priority="7612" stopIfTrue="1" operator="equal">
      <formula>"Towel"</formula>
    </cfRule>
    <cfRule type="cellIs" dxfId="20931" priority="7613" stopIfTrue="1" operator="equal">
      <formula>"Napkin Hs"</formula>
    </cfRule>
  </conditionalFormatting>
  <conditionalFormatting sqref="B60:C61">
    <cfRule type="cellIs" dxfId="20930" priority="7610" stopIfTrue="1" operator="equal">
      <formula>"Towel"</formula>
    </cfRule>
    <cfRule type="cellIs" dxfId="20929" priority="7611" stopIfTrue="1" operator="equal">
      <formula>"Napkin Hs"</formula>
    </cfRule>
  </conditionalFormatting>
  <conditionalFormatting sqref="C60:C61">
    <cfRule type="cellIs" dxfId="20928" priority="7618" stopIfTrue="1" operator="equal">
      <formula>"Towel"</formula>
    </cfRule>
    <cfRule type="cellIs" dxfId="20927" priority="7619" stopIfTrue="1" operator="equal">
      <formula>"Napkin Hs"</formula>
    </cfRule>
  </conditionalFormatting>
  <conditionalFormatting sqref="C60:C61">
    <cfRule type="cellIs" dxfId="20926" priority="7620" stopIfTrue="1" operator="equal">
      <formula>"Towel"</formula>
    </cfRule>
    <cfRule type="cellIs" dxfId="20925" priority="7621" stopIfTrue="1" operator="equal">
      <formula>"Napkin Hs"</formula>
    </cfRule>
  </conditionalFormatting>
  <conditionalFormatting sqref="B60:C61">
    <cfRule type="cellIs" dxfId="20924" priority="7608" stopIfTrue="1" operator="equal">
      <formula>"Towel"</formula>
    </cfRule>
    <cfRule type="cellIs" dxfId="20923" priority="7609" stopIfTrue="1" operator="equal">
      <formula>"Napkin Hs"</formula>
    </cfRule>
  </conditionalFormatting>
  <conditionalFormatting sqref="C60:C61">
    <cfRule type="cellIs" dxfId="20922" priority="7600" stopIfTrue="1" operator="equal">
      <formula>"Towel"</formula>
    </cfRule>
    <cfRule type="cellIs" dxfId="20921" priority="7601" stopIfTrue="1" operator="equal">
      <formula>"Napkin Hs"</formula>
    </cfRule>
  </conditionalFormatting>
  <conditionalFormatting sqref="C60:C61">
    <cfRule type="cellIs" dxfId="20920" priority="7604" stopIfTrue="1" operator="equal">
      <formula>"Towel"</formula>
    </cfRule>
    <cfRule type="cellIs" dxfId="20919" priority="7605" stopIfTrue="1" operator="equal">
      <formula>"Napkin Hs"</formula>
    </cfRule>
  </conditionalFormatting>
  <conditionalFormatting sqref="C60:C61">
    <cfRule type="cellIs" dxfId="20918" priority="7607" stopIfTrue="1" operator="equal">
      <formula>"Napkin Hs"</formula>
    </cfRule>
  </conditionalFormatting>
  <conditionalFormatting sqref="C60:C61">
    <cfRule type="cellIs" dxfId="20917" priority="7602" stopIfTrue="1" operator="equal">
      <formula>"Towel"</formula>
    </cfRule>
    <cfRule type="cellIs" dxfId="20916" priority="7603" stopIfTrue="1" operator="equal">
      <formula>"Napkin Hs"</formula>
    </cfRule>
  </conditionalFormatting>
  <conditionalFormatting sqref="C60:C61">
    <cfRule type="cellIs" dxfId="20915" priority="7606" stopIfTrue="1" operator="equal">
      <formula>"Towel"</formula>
    </cfRule>
  </conditionalFormatting>
  <conditionalFormatting sqref="C60:C61">
    <cfRule type="cellIs" dxfId="20914" priority="7598" stopIfTrue="1" operator="equal">
      <formula>"Towel"</formula>
    </cfRule>
    <cfRule type="cellIs" dxfId="20913" priority="7599" stopIfTrue="1" operator="equal">
      <formula>"Napkin Hs"</formula>
    </cfRule>
  </conditionalFormatting>
  <conditionalFormatting sqref="B60:B61">
    <cfRule type="cellIs" dxfId="20912" priority="7596" stopIfTrue="1" operator="equal">
      <formula>"Towel"</formula>
    </cfRule>
    <cfRule type="cellIs" dxfId="20911" priority="7597" stopIfTrue="1" operator="equal">
      <formula>"Napkin Hs"</formula>
    </cfRule>
  </conditionalFormatting>
  <conditionalFormatting sqref="B60:C61">
    <cfRule type="cellIs" dxfId="20910" priority="7594" stopIfTrue="1" operator="equal">
      <formula>"Towel"</formula>
    </cfRule>
    <cfRule type="cellIs" dxfId="20909" priority="7595" stopIfTrue="1" operator="equal">
      <formula>"Napkin Hs"</formula>
    </cfRule>
  </conditionalFormatting>
  <conditionalFormatting sqref="C60:C61">
    <cfRule type="cellIs" dxfId="20908" priority="7586" stopIfTrue="1" operator="equal">
      <formula>"Towel"</formula>
    </cfRule>
    <cfRule type="cellIs" dxfId="20907" priority="7587" stopIfTrue="1" operator="equal">
      <formula>"Napkin Hs"</formula>
    </cfRule>
  </conditionalFormatting>
  <conditionalFormatting sqref="C60:C61">
    <cfRule type="cellIs" dxfId="20906" priority="7590" stopIfTrue="1" operator="equal">
      <formula>"Towel"</formula>
    </cfRule>
    <cfRule type="cellIs" dxfId="20905" priority="7591" stopIfTrue="1" operator="equal">
      <formula>"Napkin Hs"</formula>
    </cfRule>
  </conditionalFormatting>
  <conditionalFormatting sqref="C60:C61">
    <cfRule type="cellIs" dxfId="20904" priority="7593" stopIfTrue="1" operator="equal">
      <formula>"Napkin Hs"</formula>
    </cfRule>
  </conditionalFormatting>
  <conditionalFormatting sqref="C60:C61">
    <cfRule type="cellIs" dxfId="20903" priority="7588" stopIfTrue="1" operator="equal">
      <formula>"Towel"</formula>
    </cfRule>
    <cfRule type="cellIs" dxfId="20902" priority="7589" stopIfTrue="1" operator="equal">
      <formula>"Napkin Hs"</formula>
    </cfRule>
  </conditionalFormatting>
  <conditionalFormatting sqref="C60:C61">
    <cfRule type="cellIs" dxfId="20901" priority="7592" stopIfTrue="1" operator="equal">
      <formula>"Towel"</formula>
    </cfRule>
  </conditionalFormatting>
  <conditionalFormatting sqref="C60:C61">
    <cfRule type="cellIs" dxfId="20900" priority="7584" stopIfTrue="1" operator="equal">
      <formula>"Towel"</formula>
    </cfRule>
    <cfRule type="cellIs" dxfId="20899" priority="7585" stopIfTrue="1" operator="equal">
      <formula>"Napkin Hs"</formula>
    </cfRule>
  </conditionalFormatting>
  <conditionalFormatting sqref="B60:B61">
    <cfRule type="cellIs" dxfId="20898" priority="7582" stopIfTrue="1" operator="equal">
      <formula>"Towel"</formula>
    </cfRule>
    <cfRule type="cellIs" dxfId="20897" priority="7583" stopIfTrue="1" operator="equal">
      <formula>"Napkin Hs"</formula>
    </cfRule>
  </conditionalFormatting>
  <conditionalFormatting sqref="B60:C61">
    <cfRule type="cellIs" dxfId="20896" priority="7558" stopIfTrue="1" operator="equal">
      <formula>"Towel"</formula>
    </cfRule>
  </conditionalFormatting>
  <conditionalFormatting sqref="B60:C61">
    <cfRule type="cellIs" dxfId="20895" priority="7559" stopIfTrue="1" operator="equal">
      <formula>"Napkin Hs"</formula>
    </cfRule>
    <cfRule type="cellIs" dxfId="20894" priority="7564" stopIfTrue="1" operator="equal">
      <formula>"Towel"</formula>
    </cfRule>
    <cfRule type="cellIs" dxfId="20893" priority="7565" stopIfTrue="1" operator="equal">
      <formula>"Napkin Hs"</formula>
    </cfRule>
    <cfRule type="cellIs" dxfId="20892" priority="7574" stopIfTrue="1" operator="equal">
      <formula>"Towel"</formula>
    </cfRule>
    <cfRule type="cellIs" dxfId="20891" priority="7575" stopIfTrue="1" operator="equal">
      <formula>"Napkin Hs"</formula>
    </cfRule>
    <cfRule type="cellIs" dxfId="20890" priority="7580" stopIfTrue="1" operator="equal">
      <formula>"Towel"</formula>
    </cfRule>
    <cfRule type="cellIs" dxfId="20889" priority="7581" stopIfTrue="1" operator="equal">
      <formula>"Napkin Hs"</formula>
    </cfRule>
  </conditionalFormatting>
  <conditionalFormatting sqref="C60:C61">
    <cfRule type="cellIs" dxfId="20888" priority="7560" stopIfTrue="1" operator="equal">
      <formula>"Towel"</formula>
    </cfRule>
    <cfRule type="cellIs" dxfId="20887" priority="7561" stopIfTrue="1" operator="equal">
      <formula>"Napkin Hs"</formula>
    </cfRule>
    <cfRule type="cellIs" dxfId="20886" priority="7562" stopIfTrue="1" operator="equal">
      <formula>"Towel"</formula>
    </cfRule>
    <cfRule type="cellIs" dxfId="20885" priority="7563" stopIfTrue="1" operator="equal">
      <formula>"Napkin Hs"</formula>
    </cfRule>
    <cfRule type="cellIs" dxfId="20884" priority="7566" stopIfTrue="1" operator="equal">
      <formula>"Towel"</formula>
    </cfRule>
    <cfRule type="cellIs" dxfId="20883" priority="7567" stopIfTrue="1" operator="equal">
      <formula>"Napkin Hs"</formula>
    </cfRule>
    <cfRule type="cellIs" dxfId="20882" priority="7568" stopIfTrue="1" operator="equal">
      <formula>"Towel"</formula>
    </cfRule>
    <cfRule type="cellIs" dxfId="20881" priority="7569" stopIfTrue="1" operator="equal">
      <formula>"Napkin Hs"</formula>
    </cfRule>
    <cfRule type="cellIs" dxfId="20880" priority="7570" stopIfTrue="1" operator="equal">
      <formula>"Towel"</formula>
    </cfRule>
    <cfRule type="cellIs" dxfId="20879" priority="7571" stopIfTrue="1" operator="equal">
      <formula>"Napkin Hs"</formula>
    </cfRule>
    <cfRule type="cellIs" dxfId="20878" priority="7572" stopIfTrue="1" operator="equal">
      <formula>"Towel"</formula>
    </cfRule>
    <cfRule type="cellIs" dxfId="20877" priority="7573" stopIfTrue="1" operator="equal">
      <formula>"Napkin Hs"</formula>
    </cfRule>
    <cfRule type="cellIs" dxfId="20876" priority="7576" stopIfTrue="1" operator="equal">
      <formula>"Towel"</formula>
    </cfRule>
    <cfRule type="cellIs" dxfId="20875" priority="7577" stopIfTrue="1" operator="equal">
      <formula>"Napkin Hs"</formula>
    </cfRule>
    <cfRule type="cellIs" dxfId="20874" priority="7579" stopIfTrue="1" operator="equal">
      <formula>"Napkin Hs"</formula>
    </cfRule>
  </conditionalFormatting>
  <conditionalFormatting sqref="C60:C61">
    <cfRule type="cellIs" dxfId="20873" priority="7578" stopIfTrue="1" operator="equal">
      <formula>"Towel"</formula>
    </cfRule>
  </conditionalFormatting>
  <conditionalFormatting sqref="B60:C61">
    <cfRule type="cellIs" dxfId="20872" priority="7556" stopIfTrue="1" operator="equal">
      <formula>"Towel"</formula>
    </cfRule>
    <cfRule type="cellIs" dxfId="20871" priority="7557" stopIfTrue="1" operator="equal">
      <formula>"Napkin Hs"</formula>
    </cfRule>
  </conditionalFormatting>
  <conditionalFormatting sqref="C60:C61">
    <cfRule type="cellIs" dxfId="20870" priority="7555" stopIfTrue="1" operator="equal">
      <formula>"Napkin Hs"</formula>
    </cfRule>
  </conditionalFormatting>
  <conditionalFormatting sqref="C60:C61">
    <cfRule type="cellIs" dxfId="20869" priority="7554" stopIfTrue="1" operator="equal">
      <formula>"Towel"</formula>
    </cfRule>
  </conditionalFormatting>
  <conditionalFormatting sqref="C60:C61">
    <cfRule type="cellIs" dxfId="20868" priority="7552" stopIfTrue="1" operator="equal">
      <formula>"Towel"</formula>
    </cfRule>
  </conditionalFormatting>
  <conditionalFormatting sqref="C60:C61">
    <cfRule type="cellIs" dxfId="20867" priority="7553" stopIfTrue="1" operator="equal">
      <formula>"Napkin Hs"</formula>
    </cfRule>
  </conditionalFormatting>
  <conditionalFormatting sqref="B60:B61">
    <cfRule type="cellIs" dxfId="20866" priority="7456" stopIfTrue="1" operator="equal">
      <formula>"Napkin Hs"</formula>
    </cfRule>
  </conditionalFormatting>
  <conditionalFormatting sqref="B60:C61">
    <cfRule type="cellIs" dxfId="20865" priority="7455" stopIfTrue="1" operator="equal">
      <formula>"Towel"</formula>
    </cfRule>
  </conditionalFormatting>
  <conditionalFormatting sqref="B60:C61">
    <cfRule type="cellIs" dxfId="20864" priority="7466" stopIfTrue="1" operator="equal">
      <formula>"Towel"</formula>
    </cfRule>
    <cfRule type="cellIs" dxfId="20863" priority="7467" stopIfTrue="1" operator="equal">
      <formula>"Napkin Hs"</formula>
    </cfRule>
    <cfRule type="cellIs" dxfId="20862" priority="7472" stopIfTrue="1" operator="equal">
      <formula>"Towel"</formula>
    </cfRule>
    <cfRule type="cellIs" dxfId="20861" priority="7473" stopIfTrue="1" operator="equal">
      <formula>"Napkin Hs"</formula>
    </cfRule>
    <cfRule type="cellIs" dxfId="20860" priority="7478" stopIfTrue="1" operator="equal">
      <formula>"Towel"</formula>
    </cfRule>
    <cfRule type="cellIs" dxfId="20859" priority="7479" stopIfTrue="1" operator="equal">
      <formula>"Napkin Hs"</formula>
    </cfRule>
    <cfRule type="cellIs" dxfId="20858" priority="7480" stopIfTrue="1" operator="equal">
      <formula>"Towel"</formula>
    </cfRule>
    <cfRule type="cellIs" dxfId="20857" priority="7481" stopIfTrue="1" operator="equal">
      <formula>"Napkin Hs"</formula>
    </cfRule>
    <cfRule type="cellIs" dxfId="20856" priority="7486" stopIfTrue="1" operator="equal">
      <formula>"Towel"</formula>
    </cfRule>
    <cfRule type="cellIs" dxfId="20855" priority="7487" stopIfTrue="1" operator="equal">
      <formula>"Napkin Hs"</formula>
    </cfRule>
    <cfRule type="cellIs" dxfId="20854" priority="7496" stopIfTrue="1" operator="equal">
      <formula>"Towel"</formula>
    </cfRule>
    <cfRule type="cellIs" dxfId="20853" priority="7497" stopIfTrue="1" operator="equal">
      <formula>"Napkin Hs"</formula>
    </cfRule>
    <cfRule type="cellIs" dxfId="20852" priority="7502" stopIfTrue="1" operator="equal">
      <formula>"Towel"</formula>
    </cfRule>
    <cfRule type="cellIs" dxfId="20851" priority="7503" stopIfTrue="1" operator="equal">
      <formula>"Napkin Hs"</formula>
    </cfRule>
    <cfRule type="cellIs" dxfId="20850" priority="7504" stopIfTrue="1" operator="equal">
      <formula>"Towel"</formula>
    </cfRule>
    <cfRule type="cellIs" dxfId="20849" priority="7505" stopIfTrue="1" operator="equal">
      <formula>"Napkin Hs"</formula>
    </cfRule>
    <cfRule type="cellIs" dxfId="20848" priority="7510" stopIfTrue="1" operator="equal">
      <formula>"Towel"</formula>
    </cfRule>
    <cfRule type="cellIs" dxfId="20847" priority="7511" stopIfTrue="1" operator="equal">
      <formula>"Napkin Hs"</formula>
    </cfRule>
    <cfRule type="cellIs" dxfId="20846" priority="7520" stopIfTrue="1" operator="equal">
      <formula>"Towel"</formula>
    </cfRule>
    <cfRule type="cellIs" dxfId="20845" priority="7521" stopIfTrue="1" operator="equal">
      <formula>"Napkin Hs"</formula>
    </cfRule>
    <cfRule type="cellIs" dxfId="20844" priority="7522" stopIfTrue="1" operator="equal">
      <formula>"Towel"</formula>
    </cfRule>
    <cfRule type="cellIs" dxfId="20843" priority="7523" stopIfTrue="1" operator="equal">
      <formula>"Napkin Hs"</formula>
    </cfRule>
    <cfRule type="cellIs" dxfId="20842" priority="7528" stopIfTrue="1" operator="equal">
      <formula>"Towel"</formula>
    </cfRule>
    <cfRule type="cellIs" dxfId="20841" priority="7529" stopIfTrue="1" operator="equal">
      <formula>"Napkin Hs"</formula>
    </cfRule>
    <cfRule type="cellIs" dxfId="20840" priority="7538" stopIfTrue="1" operator="equal">
      <formula>"Towel"</formula>
    </cfRule>
    <cfRule type="cellIs" dxfId="20839" priority="7539" stopIfTrue="1" operator="equal">
      <formula>"Napkin Hs"</formula>
    </cfRule>
    <cfRule type="cellIs" dxfId="20838" priority="7540" stopIfTrue="1" operator="equal">
      <formula>"Towel"</formula>
    </cfRule>
    <cfRule type="cellIs" dxfId="20837" priority="7541" stopIfTrue="1" operator="equal">
      <formula>"Napkin Hs"</formula>
    </cfRule>
    <cfRule type="cellIs" dxfId="20836" priority="7547" stopIfTrue="1" operator="equal">
      <formula>"Napkin Hs"</formula>
    </cfRule>
  </conditionalFormatting>
  <conditionalFormatting sqref="B60:C61">
    <cfRule type="cellIs" dxfId="20835" priority="7546" stopIfTrue="1" operator="equal">
      <formula>"Towel"</formula>
    </cfRule>
  </conditionalFormatting>
  <conditionalFormatting sqref="C60:C61">
    <cfRule type="cellIs" dxfId="20834" priority="7457" stopIfTrue="1" operator="equal">
      <formula>"Napkin Hs"</formula>
    </cfRule>
    <cfRule type="cellIs" dxfId="20833" priority="7458" stopIfTrue="1" operator="equal">
      <formula>"Towel"</formula>
    </cfRule>
    <cfRule type="cellIs" dxfId="20832" priority="7459" stopIfTrue="1" operator="equal">
      <formula>"Napkin Hs"</formula>
    </cfRule>
    <cfRule type="cellIs" dxfId="20831" priority="7460" stopIfTrue="1" operator="equal">
      <formula>"Towel"</formula>
    </cfRule>
    <cfRule type="cellIs" dxfId="20830" priority="7461" stopIfTrue="1" operator="equal">
      <formula>"Napkin Hs"</formula>
    </cfRule>
    <cfRule type="cellIs" dxfId="20829" priority="7462" stopIfTrue="1" operator="equal">
      <formula>"Towel"</formula>
    </cfRule>
    <cfRule type="cellIs" dxfId="20828" priority="7463" stopIfTrue="1" operator="equal">
      <formula>"Napkin Hs"</formula>
    </cfRule>
    <cfRule type="cellIs" dxfId="20827" priority="7464" stopIfTrue="1" operator="equal">
      <formula>"Towel"</formula>
    </cfRule>
    <cfRule type="cellIs" dxfId="20826" priority="7465" stopIfTrue="1" operator="equal">
      <formula>"Napkin Hs"</formula>
    </cfRule>
    <cfRule type="cellIs" dxfId="20825" priority="7468" stopIfTrue="1" operator="equal">
      <formula>"Towel"</formula>
    </cfRule>
    <cfRule type="cellIs" dxfId="20824" priority="7469" stopIfTrue="1" operator="equal">
      <formula>"Napkin Hs"</formula>
    </cfRule>
    <cfRule type="cellIs" dxfId="20823" priority="7470" stopIfTrue="1" operator="equal">
      <formula>"Towel"</formula>
    </cfRule>
    <cfRule type="cellIs" dxfId="20822" priority="7471" stopIfTrue="1" operator="equal">
      <formula>"Napkin Hs"</formula>
    </cfRule>
    <cfRule type="cellIs" dxfId="20821" priority="7474" stopIfTrue="1" operator="equal">
      <formula>"Towel"</formula>
    </cfRule>
    <cfRule type="cellIs" dxfId="20820" priority="7475" stopIfTrue="1" operator="equal">
      <formula>"Napkin Hs"</formula>
    </cfRule>
    <cfRule type="cellIs" dxfId="20819" priority="7476" stopIfTrue="1" operator="equal">
      <formula>"Towel"</formula>
    </cfRule>
    <cfRule type="cellIs" dxfId="20818" priority="7477" stopIfTrue="1" operator="equal">
      <formula>"Napkin Hs"</formula>
    </cfRule>
    <cfRule type="cellIs" dxfId="20817" priority="7482" stopIfTrue="1" operator="equal">
      <formula>"Towel"</formula>
    </cfRule>
    <cfRule type="cellIs" dxfId="20816" priority="7483" stopIfTrue="1" operator="equal">
      <formula>"Napkin Hs"</formula>
    </cfRule>
    <cfRule type="cellIs" dxfId="20815" priority="7484" stopIfTrue="1" operator="equal">
      <formula>"Towel"</formula>
    </cfRule>
    <cfRule type="cellIs" dxfId="20814" priority="7485" stopIfTrue="1" operator="equal">
      <formula>"Napkin Hs"</formula>
    </cfRule>
    <cfRule type="cellIs" dxfId="20813" priority="7488" stopIfTrue="1" operator="equal">
      <formula>"Towel"</formula>
    </cfRule>
    <cfRule type="cellIs" dxfId="20812" priority="7489" stopIfTrue="1" operator="equal">
      <formula>"Napkin Hs"</formula>
    </cfRule>
    <cfRule type="cellIs" dxfId="20811" priority="7490" stopIfTrue="1" operator="equal">
      <formula>"Towel"</formula>
    </cfRule>
    <cfRule type="cellIs" dxfId="20810" priority="7491" stopIfTrue="1" operator="equal">
      <formula>"Napkin Hs"</formula>
    </cfRule>
    <cfRule type="cellIs" dxfId="20809" priority="7492" stopIfTrue="1" operator="equal">
      <formula>"Towel"</formula>
    </cfRule>
    <cfRule type="cellIs" dxfId="20808" priority="7493" stopIfTrue="1" operator="equal">
      <formula>"Napkin Hs"</formula>
    </cfRule>
    <cfRule type="cellIs" dxfId="20807" priority="7494" stopIfTrue="1" operator="equal">
      <formula>"Towel"</formula>
    </cfRule>
    <cfRule type="cellIs" dxfId="20806" priority="7495" stopIfTrue="1" operator="equal">
      <formula>"Napkin Hs"</formula>
    </cfRule>
    <cfRule type="cellIs" dxfId="20805" priority="7498" stopIfTrue="1" operator="equal">
      <formula>"Towel"</formula>
    </cfRule>
    <cfRule type="cellIs" dxfId="20804" priority="7499" stopIfTrue="1" operator="equal">
      <formula>"Napkin Hs"</formula>
    </cfRule>
    <cfRule type="cellIs" dxfId="20803" priority="7500" stopIfTrue="1" operator="equal">
      <formula>"Towel"</formula>
    </cfRule>
    <cfRule type="cellIs" dxfId="20802" priority="7501" stopIfTrue="1" operator="equal">
      <formula>"Napkin Hs"</formula>
    </cfRule>
    <cfRule type="cellIs" dxfId="20801" priority="7506" stopIfTrue="1" operator="equal">
      <formula>"Towel"</formula>
    </cfRule>
    <cfRule type="cellIs" dxfId="20800" priority="7507" stopIfTrue="1" operator="equal">
      <formula>"Napkin Hs"</formula>
    </cfRule>
    <cfRule type="cellIs" dxfId="20799" priority="7508" stopIfTrue="1" operator="equal">
      <formula>"Towel"</formula>
    </cfRule>
    <cfRule type="cellIs" dxfId="20798" priority="7509" stopIfTrue="1" operator="equal">
      <formula>"Napkin Hs"</formula>
    </cfRule>
    <cfRule type="cellIs" dxfId="20797" priority="7512" stopIfTrue="1" operator="equal">
      <formula>"Towel"</formula>
    </cfRule>
    <cfRule type="cellIs" dxfId="20796" priority="7513" stopIfTrue="1" operator="equal">
      <formula>"Napkin Hs"</formula>
    </cfRule>
    <cfRule type="cellIs" dxfId="20795" priority="7514" stopIfTrue="1" operator="equal">
      <formula>"Towel"</formula>
    </cfRule>
    <cfRule type="cellIs" dxfId="20794" priority="7515" stopIfTrue="1" operator="equal">
      <formula>"Napkin Hs"</formula>
    </cfRule>
    <cfRule type="cellIs" dxfId="20793" priority="7516" stopIfTrue="1" operator="equal">
      <formula>"Towel"</formula>
    </cfRule>
    <cfRule type="cellIs" dxfId="20792" priority="7517" stopIfTrue="1" operator="equal">
      <formula>"Napkin Hs"</formula>
    </cfRule>
    <cfRule type="cellIs" dxfId="20791" priority="7518" stopIfTrue="1" operator="equal">
      <formula>"Towel"</formula>
    </cfRule>
    <cfRule type="cellIs" dxfId="20790" priority="7519" stopIfTrue="1" operator="equal">
      <formula>"Napkin Hs"</formula>
    </cfRule>
    <cfRule type="cellIs" dxfId="20789" priority="7524" stopIfTrue="1" operator="equal">
      <formula>"Towel"</formula>
    </cfRule>
    <cfRule type="cellIs" dxfId="20788" priority="7525" stopIfTrue="1" operator="equal">
      <formula>"Napkin Hs"</formula>
    </cfRule>
    <cfRule type="cellIs" dxfId="20787" priority="7526" stopIfTrue="1" operator="equal">
      <formula>"Towel"</formula>
    </cfRule>
    <cfRule type="cellIs" dxfId="20786" priority="7527" stopIfTrue="1" operator="equal">
      <formula>"Napkin Hs"</formula>
    </cfRule>
    <cfRule type="cellIs" dxfId="20785" priority="7530" stopIfTrue="1" operator="equal">
      <formula>"Towel"</formula>
    </cfRule>
    <cfRule type="cellIs" dxfId="20784" priority="7531" stopIfTrue="1" operator="equal">
      <formula>"Napkin Hs"</formula>
    </cfRule>
    <cfRule type="cellIs" dxfId="20783" priority="7532" stopIfTrue="1" operator="equal">
      <formula>"Towel"</formula>
    </cfRule>
    <cfRule type="cellIs" dxfId="20782" priority="7533" stopIfTrue="1" operator="equal">
      <formula>"Napkin Hs"</formula>
    </cfRule>
    <cfRule type="cellIs" dxfId="20781" priority="7534" stopIfTrue="1" operator="equal">
      <formula>"Towel"</formula>
    </cfRule>
    <cfRule type="cellIs" dxfId="20780" priority="7535" stopIfTrue="1" operator="equal">
      <formula>"Napkin Hs"</formula>
    </cfRule>
    <cfRule type="cellIs" dxfId="20779" priority="7536" stopIfTrue="1" operator="equal">
      <formula>"Towel"</formula>
    </cfRule>
    <cfRule type="cellIs" dxfId="20778" priority="7537" stopIfTrue="1" operator="equal">
      <formula>"Napkin Hs"</formula>
    </cfRule>
    <cfRule type="cellIs" dxfId="20777" priority="7542" stopIfTrue="1" operator="equal">
      <formula>"Towel"</formula>
    </cfRule>
    <cfRule type="cellIs" dxfId="20776" priority="7543" stopIfTrue="1" operator="equal">
      <formula>"Napkin Hs"</formula>
    </cfRule>
    <cfRule type="cellIs" dxfId="20775" priority="7544" stopIfTrue="1" operator="equal">
      <formula>"Towel"</formula>
    </cfRule>
    <cfRule type="cellIs" dxfId="20774" priority="7545" stopIfTrue="1" operator="equal">
      <formula>"Napkin Hs"</formula>
    </cfRule>
    <cfRule type="cellIs" dxfId="20773" priority="7548" stopIfTrue="1" operator="equal">
      <formula>"Towel"</formula>
    </cfRule>
    <cfRule type="cellIs" dxfId="20772" priority="7549" stopIfTrue="1" operator="equal">
      <formula>"Napkin Hs"</formula>
    </cfRule>
    <cfRule type="cellIs" dxfId="20771" priority="7550" stopIfTrue="1" operator="equal">
      <formula>"Towel"</formula>
    </cfRule>
    <cfRule type="cellIs" dxfId="20770" priority="7551" stopIfTrue="1" operator="equal">
      <formula>"Napkin Hs"</formula>
    </cfRule>
  </conditionalFormatting>
  <conditionalFormatting sqref="B60:C61">
    <cfRule type="cellIs" dxfId="20769" priority="7453" stopIfTrue="1" operator="equal">
      <formula>"Towel"</formula>
    </cfRule>
    <cfRule type="cellIs" dxfId="20768" priority="7454" stopIfTrue="1" operator="equal">
      <formula>"Napkin Hs"</formula>
    </cfRule>
  </conditionalFormatting>
  <conditionalFormatting sqref="C60:C61">
    <cfRule type="cellIs" dxfId="20767" priority="7449" stopIfTrue="1" operator="equal">
      <formula>"Towel"</formula>
    </cfRule>
    <cfRule type="cellIs" dxfId="20766" priority="7450" stopIfTrue="1" operator="equal">
      <formula>"Napkin Hs"</formula>
    </cfRule>
  </conditionalFormatting>
  <conditionalFormatting sqref="C60:C61">
    <cfRule type="cellIs" dxfId="20765" priority="7452" stopIfTrue="1" operator="equal">
      <formula>"Napkin Hs"</formula>
    </cfRule>
  </conditionalFormatting>
  <conditionalFormatting sqref="C60:C61">
    <cfRule type="cellIs" dxfId="20764" priority="7451" stopIfTrue="1" operator="equal">
      <formula>"Towel"</formula>
    </cfRule>
  </conditionalFormatting>
  <conditionalFormatting sqref="B76:C76">
    <cfRule type="cellIs" dxfId="20763" priority="7447" stopIfTrue="1" operator="equal">
      <formula>"Towel"</formula>
    </cfRule>
    <cfRule type="cellIs" dxfId="20762" priority="7448" stopIfTrue="1" operator="equal">
      <formula>"Napkin Hs"</formula>
    </cfRule>
  </conditionalFormatting>
  <conditionalFormatting sqref="B69:C69">
    <cfRule type="cellIs" dxfId="20761" priority="7439" stopIfTrue="1" operator="equal">
      <formula>"Towel"</formula>
    </cfRule>
    <cfRule type="cellIs" dxfId="20760" priority="7440" stopIfTrue="1" operator="equal">
      <formula>"Napkin Hs"</formula>
    </cfRule>
  </conditionalFormatting>
  <conditionalFormatting sqref="B71:C71">
    <cfRule type="cellIs" dxfId="20759" priority="7443" stopIfTrue="1" operator="equal">
      <formula>"Towel"</formula>
    </cfRule>
    <cfRule type="cellIs" dxfId="20758" priority="7444" stopIfTrue="1" operator="equal">
      <formula>"Napkin Hs"</formula>
    </cfRule>
  </conditionalFormatting>
  <conditionalFormatting sqref="B75:C75">
    <cfRule type="cellIs" dxfId="20757" priority="7433" stopIfTrue="1" operator="equal">
      <formula>"Towel"</formula>
    </cfRule>
    <cfRule type="cellIs" dxfId="20756" priority="7434" stopIfTrue="1" operator="equal">
      <formula>"Napkin Hs"</formula>
    </cfRule>
  </conditionalFormatting>
  <conditionalFormatting sqref="C76">
    <cfRule type="cellIs" dxfId="20755" priority="7446" stopIfTrue="1" operator="equal">
      <formula>"Napkin Hs"</formula>
    </cfRule>
  </conditionalFormatting>
  <conditionalFormatting sqref="C76">
    <cfRule type="cellIs" dxfId="20754" priority="7445" stopIfTrue="1" operator="equal">
      <formula>"Towel"</formula>
    </cfRule>
  </conditionalFormatting>
  <conditionalFormatting sqref="C69">
    <cfRule type="cellIs" dxfId="20753" priority="7435" stopIfTrue="1" operator="equal">
      <formula>"Towel"</formula>
    </cfRule>
    <cfRule type="cellIs" dxfId="20752" priority="7436" stopIfTrue="1" operator="equal">
      <formula>"Napkin Hs"</formula>
    </cfRule>
  </conditionalFormatting>
  <conditionalFormatting sqref="C69 C71">
    <cfRule type="cellIs" dxfId="20751" priority="7437" stopIfTrue="1" operator="equal">
      <formula>"Towel"</formula>
    </cfRule>
    <cfRule type="cellIs" dxfId="20750" priority="7438" stopIfTrue="1" operator="equal">
      <formula>"Napkin Hs"</formula>
    </cfRule>
  </conditionalFormatting>
  <conditionalFormatting sqref="C71">
    <cfRule type="cellIs" dxfId="20749" priority="7441" stopIfTrue="1" operator="equal">
      <formula>"Towel"</formula>
    </cfRule>
    <cfRule type="cellIs" dxfId="20748" priority="7442" stopIfTrue="1" operator="equal">
      <formula>"Napkin Hs"</formula>
    </cfRule>
  </conditionalFormatting>
  <conditionalFormatting sqref="C75">
    <cfRule type="cellIs" dxfId="20747" priority="7429" stopIfTrue="1" operator="equal">
      <formula>"Towel"</formula>
    </cfRule>
    <cfRule type="cellIs" dxfId="20746" priority="7430" stopIfTrue="1" operator="equal">
      <formula>"Napkin Hs"</formula>
    </cfRule>
  </conditionalFormatting>
  <conditionalFormatting sqref="C75:C76">
    <cfRule type="cellIs" dxfId="20745" priority="7431" stopIfTrue="1" operator="equal">
      <formula>"Towel"</formula>
    </cfRule>
    <cfRule type="cellIs" dxfId="20744" priority="7432" stopIfTrue="1" operator="equal">
      <formula>"Napkin Hs"</formula>
    </cfRule>
  </conditionalFormatting>
  <conditionalFormatting sqref="C74">
    <cfRule type="cellIs" dxfId="20743" priority="7421" stopIfTrue="1" operator="equal">
      <formula>"Towel"</formula>
    </cfRule>
    <cfRule type="cellIs" dxfId="20742" priority="7422" stopIfTrue="1" operator="equal">
      <formula>"Napkin Hs"</formula>
    </cfRule>
  </conditionalFormatting>
  <conditionalFormatting sqref="C74">
    <cfRule type="cellIs" dxfId="20741" priority="7423" stopIfTrue="1" operator="equal">
      <formula>"Towel"</formula>
    </cfRule>
    <cfRule type="cellIs" dxfId="20740" priority="7424" stopIfTrue="1" operator="equal">
      <formula>"Napkin Hs"</formula>
    </cfRule>
  </conditionalFormatting>
  <conditionalFormatting sqref="C74">
    <cfRule type="cellIs" dxfId="20739" priority="7419" stopIfTrue="1" operator="equal">
      <formula>"Towel"</formula>
    </cfRule>
    <cfRule type="cellIs" dxfId="20738" priority="7420" stopIfTrue="1" operator="equal">
      <formula>"Napkin Hs"</formula>
    </cfRule>
  </conditionalFormatting>
  <conditionalFormatting sqref="C74">
    <cfRule type="cellIs" dxfId="20737" priority="7417" stopIfTrue="1" operator="equal">
      <formula>"Towel"</formula>
    </cfRule>
    <cfRule type="cellIs" dxfId="20736" priority="7418" stopIfTrue="1" operator="equal">
      <formula>"Napkin Hs"</formula>
    </cfRule>
  </conditionalFormatting>
  <conditionalFormatting sqref="C74">
    <cfRule type="cellIs" dxfId="20735" priority="7425" stopIfTrue="1" operator="equal">
      <formula>"Towel"</formula>
    </cfRule>
    <cfRule type="cellIs" dxfId="20734" priority="7426" stopIfTrue="1" operator="equal">
      <formula>"Napkin Hs"</formula>
    </cfRule>
  </conditionalFormatting>
  <conditionalFormatting sqref="C74">
    <cfRule type="cellIs" dxfId="20733" priority="7427" stopIfTrue="1" operator="equal">
      <formula>"Towel"</formula>
    </cfRule>
    <cfRule type="cellIs" dxfId="20732" priority="7428" stopIfTrue="1" operator="equal">
      <formula>"Napkin Hs"</formula>
    </cfRule>
  </conditionalFormatting>
  <conditionalFormatting sqref="C73">
    <cfRule type="cellIs" dxfId="20731" priority="7409" stopIfTrue="1" operator="equal">
      <formula>"Towel"</formula>
    </cfRule>
    <cfRule type="cellIs" dxfId="20730" priority="7410" stopIfTrue="1" operator="equal">
      <formula>"Napkin Hs"</formula>
    </cfRule>
  </conditionalFormatting>
  <conditionalFormatting sqref="B73:C73">
    <cfRule type="cellIs" dxfId="20729" priority="7411" stopIfTrue="1" operator="equal">
      <formula>"Towel"</formula>
    </cfRule>
    <cfRule type="cellIs" dxfId="20728" priority="7412" stopIfTrue="1" operator="equal">
      <formula>"Napkin Hs"</formula>
    </cfRule>
  </conditionalFormatting>
  <conditionalFormatting sqref="C73">
    <cfRule type="cellIs" dxfId="20727" priority="7407" stopIfTrue="1" operator="equal">
      <formula>"Towel"</formula>
    </cfRule>
    <cfRule type="cellIs" dxfId="20726" priority="7408" stopIfTrue="1" operator="equal">
      <formula>"Napkin Hs"</formula>
    </cfRule>
  </conditionalFormatting>
  <conditionalFormatting sqref="B73:C73">
    <cfRule type="cellIs" dxfId="20725" priority="7405" stopIfTrue="1" operator="equal">
      <formula>"Towel"</formula>
    </cfRule>
    <cfRule type="cellIs" dxfId="20724" priority="7406" stopIfTrue="1" operator="equal">
      <formula>"Napkin Hs"</formula>
    </cfRule>
  </conditionalFormatting>
  <conditionalFormatting sqref="C73">
    <cfRule type="cellIs" dxfId="20723" priority="7413" stopIfTrue="1" operator="equal">
      <formula>"Towel"</formula>
    </cfRule>
    <cfRule type="cellIs" dxfId="20722" priority="7414" stopIfTrue="1" operator="equal">
      <formula>"Napkin Hs"</formula>
    </cfRule>
  </conditionalFormatting>
  <conditionalFormatting sqref="C73">
    <cfRule type="cellIs" dxfId="20721" priority="7415" stopIfTrue="1" operator="equal">
      <formula>"Towel"</formula>
    </cfRule>
    <cfRule type="cellIs" dxfId="20720" priority="7416" stopIfTrue="1" operator="equal">
      <formula>"Napkin Hs"</formula>
    </cfRule>
  </conditionalFormatting>
  <conditionalFormatting sqref="B74">
    <cfRule type="cellIs" dxfId="20719" priority="7403" stopIfTrue="1" operator="equal">
      <formula>"Towel"</formula>
    </cfRule>
    <cfRule type="cellIs" dxfId="20718" priority="7404" stopIfTrue="1" operator="equal">
      <formula>"Napkin Hs"</formula>
    </cfRule>
  </conditionalFormatting>
  <conditionalFormatting sqref="C72">
    <cfRule type="cellIs" dxfId="20717" priority="7395" stopIfTrue="1" operator="equal">
      <formula>"Towel"</formula>
    </cfRule>
    <cfRule type="cellIs" dxfId="20716" priority="7396" stopIfTrue="1" operator="equal">
      <formula>"Napkin Hs"</formula>
    </cfRule>
  </conditionalFormatting>
  <conditionalFormatting sqref="B72:C72">
    <cfRule type="cellIs" dxfId="20715" priority="7397" stopIfTrue="1" operator="equal">
      <formula>"Towel"</formula>
    </cfRule>
    <cfRule type="cellIs" dxfId="20714" priority="7398" stopIfTrue="1" operator="equal">
      <formula>"Napkin Hs"</formula>
    </cfRule>
  </conditionalFormatting>
  <conditionalFormatting sqref="C72">
    <cfRule type="cellIs" dxfId="20713" priority="7393" stopIfTrue="1" operator="equal">
      <formula>"Towel"</formula>
    </cfRule>
    <cfRule type="cellIs" dxfId="20712" priority="7394" stopIfTrue="1" operator="equal">
      <formula>"Napkin Hs"</formula>
    </cfRule>
  </conditionalFormatting>
  <conditionalFormatting sqref="B72:C72">
    <cfRule type="cellIs" dxfId="20711" priority="7391" stopIfTrue="1" operator="equal">
      <formula>"Towel"</formula>
    </cfRule>
    <cfRule type="cellIs" dxfId="20710" priority="7392" stopIfTrue="1" operator="equal">
      <formula>"Napkin Hs"</formula>
    </cfRule>
  </conditionalFormatting>
  <conditionalFormatting sqref="C72">
    <cfRule type="cellIs" dxfId="20709" priority="7399" stopIfTrue="1" operator="equal">
      <formula>"Towel"</formula>
    </cfRule>
    <cfRule type="cellIs" dxfId="20708" priority="7400" stopIfTrue="1" operator="equal">
      <formula>"Napkin Hs"</formula>
    </cfRule>
  </conditionalFormatting>
  <conditionalFormatting sqref="C72">
    <cfRule type="cellIs" dxfId="20707" priority="7401" stopIfTrue="1" operator="equal">
      <formula>"Towel"</formula>
    </cfRule>
    <cfRule type="cellIs" dxfId="20706" priority="7402" stopIfTrue="1" operator="equal">
      <formula>"Napkin Hs"</formula>
    </cfRule>
  </conditionalFormatting>
  <conditionalFormatting sqref="B66:C66">
    <cfRule type="cellIs" dxfId="20705" priority="7389" stopIfTrue="1" operator="equal">
      <formula>"Towel"</formula>
    </cfRule>
    <cfRule type="cellIs" dxfId="20704" priority="7390" stopIfTrue="1" operator="equal">
      <formula>"Napkin Hs"</formula>
    </cfRule>
  </conditionalFormatting>
  <conditionalFormatting sqref="C66">
    <cfRule type="cellIs" dxfId="20703" priority="7388" stopIfTrue="1" operator="equal">
      <formula>"Napkin Hs"</formula>
    </cfRule>
  </conditionalFormatting>
  <conditionalFormatting sqref="C66">
    <cfRule type="cellIs" dxfId="20702" priority="7387" stopIfTrue="1" operator="equal">
      <formula>"Towel"</formula>
    </cfRule>
  </conditionalFormatting>
  <conditionalFormatting sqref="C66">
    <cfRule type="cellIs" dxfId="20701" priority="7385" stopIfTrue="1" operator="equal">
      <formula>"Towel"</formula>
    </cfRule>
    <cfRule type="cellIs" dxfId="20700" priority="7386" stopIfTrue="1" operator="equal">
      <formula>"Napkin Hs"</formula>
    </cfRule>
  </conditionalFormatting>
  <conditionalFormatting sqref="C67">
    <cfRule type="cellIs" dxfId="20699" priority="7377" stopIfTrue="1" operator="equal">
      <formula>"Towel"</formula>
    </cfRule>
    <cfRule type="cellIs" dxfId="20698" priority="7378" stopIfTrue="1" operator="equal">
      <formula>"Napkin Hs"</formula>
    </cfRule>
  </conditionalFormatting>
  <conditionalFormatting sqref="B67:C67">
    <cfRule type="cellIs" dxfId="20697" priority="7379" stopIfTrue="1" operator="equal">
      <formula>"Towel"</formula>
    </cfRule>
    <cfRule type="cellIs" dxfId="20696" priority="7380" stopIfTrue="1" operator="equal">
      <formula>"Napkin Hs"</formula>
    </cfRule>
  </conditionalFormatting>
  <conditionalFormatting sqref="C67">
    <cfRule type="cellIs" dxfId="20695" priority="7375" stopIfTrue="1" operator="equal">
      <formula>"Towel"</formula>
    </cfRule>
    <cfRule type="cellIs" dxfId="20694" priority="7376" stopIfTrue="1" operator="equal">
      <formula>"Napkin Hs"</formula>
    </cfRule>
  </conditionalFormatting>
  <conditionalFormatting sqref="B67:C67">
    <cfRule type="cellIs" dxfId="20693" priority="7373" stopIfTrue="1" operator="equal">
      <formula>"Towel"</formula>
    </cfRule>
    <cfRule type="cellIs" dxfId="20692" priority="7374" stopIfTrue="1" operator="equal">
      <formula>"Napkin Hs"</formula>
    </cfRule>
  </conditionalFormatting>
  <conditionalFormatting sqref="C67">
    <cfRule type="cellIs" dxfId="20691" priority="7381" stopIfTrue="1" operator="equal">
      <formula>"Towel"</formula>
    </cfRule>
    <cfRule type="cellIs" dxfId="20690" priority="7382" stopIfTrue="1" operator="equal">
      <formula>"Napkin Hs"</formula>
    </cfRule>
  </conditionalFormatting>
  <conditionalFormatting sqref="C67">
    <cfRule type="cellIs" dxfId="20689" priority="7383" stopIfTrue="1" operator="equal">
      <formula>"Towel"</formula>
    </cfRule>
    <cfRule type="cellIs" dxfId="20688" priority="7384" stopIfTrue="1" operator="equal">
      <formula>"Napkin Hs"</formula>
    </cfRule>
  </conditionalFormatting>
  <conditionalFormatting sqref="B67:C67">
    <cfRule type="cellIs" dxfId="20687" priority="7371" stopIfTrue="1" operator="equal">
      <formula>"Towel"</formula>
    </cfRule>
    <cfRule type="cellIs" dxfId="20686" priority="7372" stopIfTrue="1" operator="equal">
      <formula>"Napkin Hs"</formula>
    </cfRule>
  </conditionalFormatting>
  <conditionalFormatting sqref="C67">
    <cfRule type="cellIs" dxfId="20685" priority="7370" stopIfTrue="1" operator="equal">
      <formula>"Napkin Hs"</formula>
    </cfRule>
  </conditionalFormatting>
  <conditionalFormatting sqref="C67">
    <cfRule type="cellIs" dxfId="20684" priority="7369" stopIfTrue="1" operator="equal">
      <formula>"Towel"</formula>
    </cfRule>
  </conditionalFormatting>
  <conditionalFormatting sqref="C67">
    <cfRule type="cellIs" dxfId="20683" priority="7367" stopIfTrue="1" operator="equal">
      <formula>"Towel"</formula>
    </cfRule>
    <cfRule type="cellIs" dxfId="20682" priority="7368" stopIfTrue="1" operator="equal">
      <formula>"Napkin Hs"</formula>
    </cfRule>
  </conditionalFormatting>
  <conditionalFormatting sqref="B66:C66">
    <cfRule type="cellIs" dxfId="20681" priority="7361" stopIfTrue="1" operator="equal">
      <formula>"Towel"</formula>
    </cfRule>
    <cfRule type="cellIs" dxfId="20680" priority="7362" stopIfTrue="1" operator="equal">
      <formula>"Napkin Hs"</formula>
    </cfRule>
  </conditionalFormatting>
  <conditionalFormatting sqref="C66">
    <cfRule type="cellIs" dxfId="20679" priority="7359" stopIfTrue="1" operator="equal">
      <formula>"Towel"</formula>
    </cfRule>
    <cfRule type="cellIs" dxfId="20678" priority="7360" stopIfTrue="1" operator="equal">
      <formula>"Napkin Hs"</formula>
    </cfRule>
  </conditionalFormatting>
  <conditionalFormatting sqref="C66">
    <cfRule type="cellIs" dxfId="20677" priority="7357" stopIfTrue="1" operator="equal">
      <formula>"Towel"</formula>
    </cfRule>
    <cfRule type="cellIs" dxfId="20676" priority="7358" stopIfTrue="1" operator="equal">
      <formula>"Napkin Hs"</formula>
    </cfRule>
  </conditionalFormatting>
  <conditionalFormatting sqref="B66:C66">
    <cfRule type="cellIs" dxfId="20675" priority="7355" stopIfTrue="1" operator="equal">
      <formula>"Towel"</formula>
    </cfRule>
    <cfRule type="cellIs" dxfId="20674" priority="7356" stopIfTrue="1" operator="equal">
      <formula>"Napkin Hs"</formula>
    </cfRule>
  </conditionalFormatting>
  <conditionalFormatting sqref="C66">
    <cfRule type="cellIs" dxfId="20673" priority="7363" stopIfTrue="1" operator="equal">
      <formula>"Towel"</formula>
    </cfRule>
    <cfRule type="cellIs" dxfId="20672" priority="7364" stopIfTrue="1" operator="equal">
      <formula>"Napkin Hs"</formula>
    </cfRule>
  </conditionalFormatting>
  <conditionalFormatting sqref="C66">
    <cfRule type="cellIs" dxfId="20671" priority="7365" stopIfTrue="1" operator="equal">
      <formula>"Towel"</formula>
    </cfRule>
    <cfRule type="cellIs" dxfId="20670" priority="7366" stopIfTrue="1" operator="equal">
      <formula>"Napkin Hs"</formula>
    </cfRule>
  </conditionalFormatting>
  <conditionalFormatting sqref="B66:C66">
    <cfRule type="cellIs" dxfId="20669" priority="7353" stopIfTrue="1" operator="equal">
      <formula>"Towel"</formula>
    </cfRule>
    <cfRule type="cellIs" dxfId="20668" priority="7354" stopIfTrue="1" operator="equal">
      <formula>"Napkin Hs"</formula>
    </cfRule>
  </conditionalFormatting>
  <conditionalFormatting sqref="B67:C67">
    <cfRule type="cellIs" dxfId="20667" priority="7347" stopIfTrue="1" operator="equal">
      <formula>"Towel"</formula>
    </cfRule>
    <cfRule type="cellIs" dxfId="20666" priority="7348" stopIfTrue="1" operator="equal">
      <formula>"Napkin Hs"</formula>
    </cfRule>
  </conditionalFormatting>
  <conditionalFormatting sqref="C66">
    <cfRule type="cellIs" dxfId="20665" priority="7352" stopIfTrue="1" operator="equal">
      <formula>"Napkin Hs"</formula>
    </cfRule>
  </conditionalFormatting>
  <conditionalFormatting sqref="C66">
    <cfRule type="cellIs" dxfId="20664" priority="7351" stopIfTrue="1" operator="equal">
      <formula>"Towel"</formula>
    </cfRule>
  </conditionalFormatting>
  <conditionalFormatting sqref="C66">
    <cfRule type="cellIs" dxfId="20663" priority="7349" stopIfTrue="1" operator="equal">
      <formula>"Towel"</formula>
    </cfRule>
    <cfRule type="cellIs" dxfId="20662" priority="7350" stopIfTrue="1" operator="equal">
      <formula>"Napkin Hs"</formula>
    </cfRule>
  </conditionalFormatting>
  <conditionalFormatting sqref="C67">
    <cfRule type="cellIs" dxfId="20661" priority="7343" stopIfTrue="1" operator="equal">
      <formula>"Towel"</formula>
    </cfRule>
    <cfRule type="cellIs" dxfId="20660" priority="7344" stopIfTrue="1" operator="equal">
      <formula>"Napkin Hs"</formula>
    </cfRule>
  </conditionalFormatting>
  <conditionalFormatting sqref="C67">
    <cfRule type="cellIs" dxfId="20659" priority="7345" stopIfTrue="1" operator="equal">
      <formula>"Towel"</formula>
    </cfRule>
    <cfRule type="cellIs" dxfId="20658" priority="7346" stopIfTrue="1" operator="equal">
      <formula>"Napkin Hs"</formula>
    </cfRule>
  </conditionalFormatting>
  <conditionalFormatting sqref="B67:C67">
    <cfRule type="cellIs" dxfId="20657" priority="7341" stopIfTrue="1" operator="equal">
      <formula>"Towel"</formula>
    </cfRule>
    <cfRule type="cellIs" dxfId="20656" priority="7342" stopIfTrue="1" operator="equal">
      <formula>"Napkin Hs"</formula>
    </cfRule>
  </conditionalFormatting>
  <conditionalFormatting sqref="C67">
    <cfRule type="cellIs" dxfId="20655" priority="7337" stopIfTrue="1" operator="equal">
      <formula>"Towel"</formula>
    </cfRule>
    <cfRule type="cellIs" dxfId="20654" priority="7338" stopIfTrue="1" operator="equal">
      <formula>"Napkin Hs"</formula>
    </cfRule>
  </conditionalFormatting>
  <conditionalFormatting sqref="C67">
    <cfRule type="cellIs" dxfId="20653" priority="7339" stopIfTrue="1" operator="equal">
      <formula>"Towel"</formula>
    </cfRule>
    <cfRule type="cellIs" dxfId="20652" priority="7340" stopIfTrue="1" operator="equal">
      <formula>"Napkin Hs"</formula>
    </cfRule>
  </conditionalFormatting>
  <conditionalFormatting sqref="C66">
    <cfRule type="cellIs" dxfId="20651" priority="7329" stopIfTrue="1" operator="equal">
      <formula>"Towel"</formula>
    </cfRule>
    <cfRule type="cellIs" dxfId="20650" priority="7330" stopIfTrue="1" operator="equal">
      <formula>"Napkin Hs"</formula>
    </cfRule>
  </conditionalFormatting>
  <conditionalFormatting sqref="B66:C66">
    <cfRule type="cellIs" dxfId="20649" priority="7331" stopIfTrue="1" operator="equal">
      <formula>"Towel"</formula>
    </cfRule>
    <cfRule type="cellIs" dxfId="20648" priority="7332" stopIfTrue="1" operator="equal">
      <formula>"Napkin Hs"</formula>
    </cfRule>
  </conditionalFormatting>
  <conditionalFormatting sqref="C66">
    <cfRule type="cellIs" dxfId="20647" priority="7327" stopIfTrue="1" operator="equal">
      <formula>"Towel"</formula>
    </cfRule>
    <cfRule type="cellIs" dxfId="20646" priority="7328" stopIfTrue="1" operator="equal">
      <formula>"Napkin Hs"</formula>
    </cfRule>
  </conditionalFormatting>
  <conditionalFormatting sqref="B66:C66">
    <cfRule type="cellIs" dxfId="20645" priority="7325" stopIfTrue="1" operator="equal">
      <formula>"Towel"</formula>
    </cfRule>
    <cfRule type="cellIs" dxfId="20644" priority="7326" stopIfTrue="1" operator="equal">
      <formula>"Napkin Hs"</formula>
    </cfRule>
  </conditionalFormatting>
  <conditionalFormatting sqref="C66">
    <cfRule type="cellIs" dxfId="20643" priority="7333" stopIfTrue="1" operator="equal">
      <formula>"Towel"</formula>
    </cfRule>
    <cfRule type="cellIs" dxfId="20642" priority="7334" stopIfTrue="1" operator="equal">
      <formula>"Napkin Hs"</formula>
    </cfRule>
  </conditionalFormatting>
  <conditionalFormatting sqref="C66">
    <cfRule type="cellIs" dxfId="20641" priority="7335" stopIfTrue="1" operator="equal">
      <formula>"Towel"</formula>
    </cfRule>
    <cfRule type="cellIs" dxfId="20640" priority="7336" stopIfTrue="1" operator="equal">
      <formula>"Napkin Hs"</formula>
    </cfRule>
  </conditionalFormatting>
  <conditionalFormatting sqref="B67:C67">
    <cfRule type="cellIs" dxfId="20639" priority="7323" stopIfTrue="1" operator="equal">
      <formula>"Towel"</formula>
    </cfRule>
    <cfRule type="cellIs" dxfId="20638" priority="7324" stopIfTrue="1" operator="equal">
      <formula>"Napkin Hs"</formula>
    </cfRule>
  </conditionalFormatting>
  <conditionalFormatting sqref="C67">
    <cfRule type="cellIs" dxfId="20637" priority="7321" stopIfTrue="1" operator="equal">
      <formula>"Towel"</formula>
    </cfRule>
    <cfRule type="cellIs" dxfId="20636" priority="7322" stopIfTrue="1" operator="equal">
      <formula>"Napkin Hs"</formula>
    </cfRule>
  </conditionalFormatting>
  <conditionalFormatting sqref="C67">
    <cfRule type="cellIs" dxfId="20635" priority="7319" stopIfTrue="1" operator="equal">
      <formula>"Towel"</formula>
    </cfRule>
    <cfRule type="cellIs" dxfId="20634" priority="7320" stopIfTrue="1" operator="equal">
      <formula>"Napkin Hs"</formula>
    </cfRule>
  </conditionalFormatting>
  <conditionalFormatting sqref="B66:C66">
    <cfRule type="cellIs" dxfId="20633" priority="7317" stopIfTrue="1" operator="equal">
      <formula>"Towel"</formula>
    </cfRule>
    <cfRule type="cellIs" dxfId="20632" priority="7318" stopIfTrue="1" operator="equal">
      <formula>"Napkin Hs"</formula>
    </cfRule>
  </conditionalFormatting>
  <conditionalFormatting sqref="C66">
    <cfRule type="cellIs" dxfId="20631" priority="7313" stopIfTrue="1" operator="equal">
      <formula>"Towel"</formula>
    </cfRule>
    <cfRule type="cellIs" dxfId="20630" priority="7314" stopIfTrue="1" operator="equal">
      <formula>"Napkin Hs"</formula>
    </cfRule>
  </conditionalFormatting>
  <conditionalFormatting sqref="C66">
    <cfRule type="cellIs" dxfId="20629" priority="7315" stopIfTrue="1" operator="equal">
      <formula>"Towel"</formula>
    </cfRule>
    <cfRule type="cellIs" dxfId="20628" priority="7316" stopIfTrue="1" operator="equal">
      <formula>"Napkin Hs"</formula>
    </cfRule>
  </conditionalFormatting>
  <conditionalFormatting sqref="B66:C66">
    <cfRule type="cellIs" dxfId="20627" priority="7311" stopIfTrue="1" operator="equal">
      <formula>"Towel"</formula>
    </cfRule>
    <cfRule type="cellIs" dxfId="20626" priority="7312" stopIfTrue="1" operator="equal">
      <formula>"Napkin Hs"</formula>
    </cfRule>
  </conditionalFormatting>
  <conditionalFormatting sqref="C66">
    <cfRule type="cellIs" dxfId="20625" priority="7307" stopIfTrue="1" operator="equal">
      <formula>"Towel"</formula>
    </cfRule>
    <cfRule type="cellIs" dxfId="20624" priority="7308" stopIfTrue="1" operator="equal">
      <formula>"Napkin Hs"</formula>
    </cfRule>
  </conditionalFormatting>
  <conditionalFormatting sqref="C66">
    <cfRule type="cellIs" dxfId="20623" priority="7309" stopIfTrue="1" operator="equal">
      <formula>"Towel"</formula>
    </cfRule>
    <cfRule type="cellIs" dxfId="20622" priority="7310" stopIfTrue="1" operator="equal">
      <formula>"Napkin Hs"</formula>
    </cfRule>
  </conditionalFormatting>
  <conditionalFormatting sqref="C67">
    <cfRule type="cellIs" dxfId="20621" priority="7299" stopIfTrue="1" operator="equal">
      <formula>"Towel"</formula>
    </cfRule>
    <cfRule type="cellIs" dxfId="20620" priority="7300" stopIfTrue="1" operator="equal">
      <formula>"Napkin Hs"</formula>
    </cfRule>
  </conditionalFormatting>
  <conditionalFormatting sqref="B67:C67">
    <cfRule type="cellIs" dxfId="20619" priority="7301" stopIfTrue="1" operator="equal">
      <formula>"Towel"</formula>
    </cfRule>
    <cfRule type="cellIs" dxfId="20618" priority="7302" stopIfTrue="1" operator="equal">
      <formula>"Napkin Hs"</formula>
    </cfRule>
  </conditionalFormatting>
  <conditionalFormatting sqref="C67">
    <cfRule type="cellIs" dxfId="20617" priority="7297" stopIfTrue="1" operator="equal">
      <formula>"Towel"</formula>
    </cfRule>
    <cfRule type="cellIs" dxfId="20616" priority="7298" stopIfTrue="1" operator="equal">
      <formula>"Napkin Hs"</formula>
    </cfRule>
  </conditionalFormatting>
  <conditionalFormatting sqref="B67:C67">
    <cfRule type="cellIs" dxfId="20615" priority="7295" stopIfTrue="1" operator="equal">
      <formula>"Towel"</formula>
    </cfRule>
    <cfRule type="cellIs" dxfId="20614" priority="7296" stopIfTrue="1" operator="equal">
      <formula>"Napkin Hs"</formula>
    </cfRule>
  </conditionalFormatting>
  <conditionalFormatting sqref="C67">
    <cfRule type="cellIs" dxfId="20613" priority="7303" stopIfTrue="1" operator="equal">
      <formula>"Towel"</formula>
    </cfRule>
    <cfRule type="cellIs" dxfId="20612" priority="7304" stopIfTrue="1" operator="equal">
      <formula>"Napkin Hs"</formula>
    </cfRule>
  </conditionalFormatting>
  <conditionalFormatting sqref="C67">
    <cfRule type="cellIs" dxfId="20611" priority="7305" stopIfTrue="1" operator="equal">
      <formula>"Towel"</formula>
    </cfRule>
    <cfRule type="cellIs" dxfId="20610" priority="7306" stopIfTrue="1" operator="equal">
      <formula>"Napkin Hs"</formula>
    </cfRule>
  </conditionalFormatting>
  <conditionalFormatting sqref="B67:C67">
    <cfRule type="cellIs" dxfId="20609" priority="7293" stopIfTrue="1" operator="equal">
      <formula>"Towel"</formula>
    </cfRule>
    <cfRule type="cellIs" dxfId="20608" priority="7294" stopIfTrue="1" operator="equal">
      <formula>"Napkin Hs"</formula>
    </cfRule>
  </conditionalFormatting>
  <conditionalFormatting sqref="C67">
    <cfRule type="cellIs" dxfId="20607" priority="7285" stopIfTrue="1" operator="equal">
      <formula>"Towel"</formula>
    </cfRule>
    <cfRule type="cellIs" dxfId="20606" priority="7286" stopIfTrue="1" operator="equal">
      <formula>"Napkin Hs"</formula>
    </cfRule>
  </conditionalFormatting>
  <conditionalFormatting sqref="C67">
    <cfRule type="cellIs" dxfId="20605" priority="7289" stopIfTrue="1" operator="equal">
      <formula>"Towel"</formula>
    </cfRule>
    <cfRule type="cellIs" dxfId="20604" priority="7290" stopIfTrue="1" operator="equal">
      <formula>"Napkin Hs"</formula>
    </cfRule>
  </conditionalFormatting>
  <conditionalFormatting sqref="C67">
    <cfRule type="cellIs" dxfId="20603" priority="7292" stopIfTrue="1" operator="equal">
      <formula>"Napkin Hs"</formula>
    </cfRule>
  </conditionalFormatting>
  <conditionalFormatting sqref="C67">
    <cfRule type="cellIs" dxfId="20602" priority="7287" stopIfTrue="1" operator="equal">
      <formula>"Towel"</formula>
    </cfRule>
    <cfRule type="cellIs" dxfId="20601" priority="7288" stopIfTrue="1" operator="equal">
      <formula>"Napkin Hs"</formula>
    </cfRule>
  </conditionalFormatting>
  <conditionalFormatting sqref="C67">
    <cfRule type="cellIs" dxfId="20600" priority="7291" stopIfTrue="1" operator="equal">
      <formula>"Towel"</formula>
    </cfRule>
  </conditionalFormatting>
  <conditionalFormatting sqref="C67">
    <cfRule type="cellIs" dxfId="20599" priority="7283" stopIfTrue="1" operator="equal">
      <formula>"Towel"</formula>
    </cfRule>
    <cfRule type="cellIs" dxfId="20598" priority="7284" stopIfTrue="1" operator="equal">
      <formula>"Napkin Hs"</formula>
    </cfRule>
  </conditionalFormatting>
  <conditionalFormatting sqref="B67">
    <cfRule type="cellIs" dxfId="20597" priority="7281" stopIfTrue="1" operator="equal">
      <formula>"Towel"</formula>
    </cfRule>
    <cfRule type="cellIs" dxfId="20596" priority="7282" stopIfTrue="1" operator="equal">
      <formula>"Napkin Hs"</formula>
    </cfRule>
  </conditionalFormatting>
  <conditionalFormatting sqref="C66">
    <cfRule type="cellIs" dxfId="20595" priority="7277" stopIfTrue="1" operator="equal">
      <formula>"Towel"</formula>
    </cfRule>
    <cfRule type="cellIs" dxfId="20594" priority="7278" stopIfTrue="1" operator="equal">
      <formula>"Napkin Hs"</formula>
    </cfRule>
  </conditionalFormatting>
  <conditionalFormatting sqref="C66">
    <cfRule type="cellIs" dxfId="20593" priority="7279" stopIfTrue="1" operator="equal">
      <formula>"Towel"</formula>
    </cfRule>
    <cfRule type="cellIs" dxfId="20592" priority="7280" stopIfTrue="1" operator="equal">
      <formula>"Napkin Hs"</formula>
    </cfRule>
  </conditionalFormatting>
  <conditionalFormatting sqref="C66">
    <cfRule type="cellIs" dxfId="20591" priority="7275" stopIfTrue="1" operator="equal">
      <formula>"Towel"</formula>
    </cfRule>
    <cfRule type="cellIs" dxfId="20590" priority="7276" stopIfTrue="1" operator="equal">
      <formula>"Napkin Hs"</formula>
    </cfRule>
  </conditionalFormatting>
  <conditionalFormatting sqref="B66">
    <cfRule type="cellIs" dxfId="20589" priority="7273" stopIfTrue="1" operator="equal">
      <formula>"Towel"</formula>
    </cfRule>
    <cfRule type="cellIs" dxfId="20588" priority="7274" stopIfTrue="1" operator="equal">
      <formula>"Napkin Hs"</formula>
    </cfRule>
  </conditionalFormatting>
  <conditionalFormatting sqref="C66">
    <cfRule type="cellIs" dxfId="20587" priority="7265" stopIfTrue="1" operator="equal">
      <formula>"Towel"</formula>
    </cfRule>
    <cfRule type="cellIs" dxfId="20586" priority="7266" stopIfTrue="1" operator="equal">
      <formula>"Napkin Hs"</formula>
    </cfRule>
  </conditionalFormatting>
  <conditionalFormatting sqref="B66:C66">
    <cfRule type="cellIs" dxfId="20585" priority="7267" stopIfTrue="1" operator="equal">
      <formula>"Towel"</formula>
    </cfRule>
    <cfRule type="cellIs" dxfId="20584" priority="7268" stopIfTrue="1" operator="equal">
      <formula>"Napkin Hs"</formula>
    </cfRule>
  </conditionalFormatting>
  <conditionalFormatting sqref="C66">
    <cfRule type="cellIs" dxfId="20583" priority="7263" stopIfTrue="1" operator="equal">
      <formula>"Towel"</formula>
    </cfRule>
    <cfRule type="cellIs" dxfId="20582" priority="7264" stopIfTrue="1" operator="equal">
      <formula>"Napkin Hs"</formula>
    </cfRule>
  </conditionalFormatting>
  <conditionalFormatting sqref="B66:C66">
    <cfRule type="cellIs" dxfId="20581" priority="7261" stopIfTrue="1" operator="equal">
      <formula>"Towel"</formula>
    </cfRule>
    <cfRule type="cellIs" dxfId="20580" priority="7262" stopIfTrue="1" operator="equal">
      <formula>"Napkin Hs"</formula>
    </cfRule>
  </conditionalFormatting>
  <conditionalFormatting sqref="C66">
    <cfRule type="cellIs" dxfId="20579" priority="7269" stopIfTrue="1" operator="equal">
      <formula>"Towel"</formula>
    </cfRule>
    <cfRule type="cellIs" dxfId="20578" priority="7270" stopIfTrue="1" operator="equal">
      <formula>"Napkin Hs"</formula>
    </cfRule>
  </conditionalFormatting>
  <conditionalFormatting sqref="C66">
    <cfRule type="cellIs" dxfId="20577" priority="7271" stopIfTrue="1" operator="equal">
      <formula>"Towel"</formula>
    </cfRule>
    <cfRule type="cellIs" dxfId="20576" priority="7272" stopIfTrue="1" operator="equal">
      <formula>"Napkin Hs"</formula>
    </cfRule>
  </conditionalFormatting>
  <conditionalFormatting sqref="C66">
    <cfRule type="cellIs" dxfId="20575" priority="7253" stopIfTrue="1" operator="equal">
      <formula>"Towel"</formula>
    </cfRule>
    <cfRule type="cellIs" dxfId="20574" priority="7254" stopIfTrue="1" operator="equal">
      <formula>"Napkin Hs"</formula>
    </cfRule>
  </conditionalFormatting>
  <conditionalFormatting sqref="B66:C66">
    <cfRule type="cellIs" dxfId="20573" priority="7255" stopIfTrue="1" operator="equal">
      <formula>"Towel"</formula>
    </cfRule>
    <cfRule type="cellIs" dxfId="20572" priority="7256" stopIfTrue="1" operator="equal">
      <formula>"Napkin Hs"</formula>
    </cfRule>
  </conditionalFormatting>
  <conditionalFormatting sqref="C66">
    <cfRule type="cellIs" dxfId="20571" priority="7251" stopIfTrue="1" operator="equal">
      <formula>"Towel"</formula>
    </cfRule>
    <cfRule type="cellIs" dxfId="20570" priority="7252" stopIfTrue="1" operator="equal">
      <formula>"Napkin Hs"</formula>
    </cfRule>
  </conditionalFormatting>
  <conditionalFormatting sqref="B66:C66">
    <cfRule type="cellIs" dxfId="20569" priority="7249" stopIfTrue="1" operator="equal">
      <formula>"Towel"</formula>
    </cfRule>
    <cfRule type="cellIs" dxfId="20568" priority="7250" stopIfTrue="1" operator="equal">
      <formula>"Napkin Hs"</formula>
    </cfRule>
  </conditionalFormatting>
  <conditionalFormatting sqref="C66">
    <cfRule type="cellIs" dxfId="20567" priority="7257" stopIfTrue="1" operator="equal">
      <formula>"Towel"</formula>
    </cfRule>
    <cfRule type="cellIs" dxfId="20566" priority="7258" stopIfTrue="1" operator="equal">
      <formula>"Napkin Hs"</formula>
    </cfRule>
  </conditionalFormatting>
  <conditionalFormatting sqref="C66">
    <cfRule type="cellIs" dxfId="20565" priority="7259" stopIfTrue="1" operator="equal">
      <formula>"Towel"</formula>
    </cfRule>
    <cfRule type="cellIs" dxfId="20564" priority="7260" stopIfTrue="1" operator="equal">
      <formula>"Napkin Hs"</formula>
    </cfRule>
  </conditionalFormatting>
  <conditionalFormatting sqref="C66">
    <cfRule type="cellIs" dxfId="20563" priority="7241" stopIfTrue="1" operator="equal">
      <formula>"Towel"</formula>
    </cfRule>
    <cfRule type="cellIs" dxfId="20562" priority="7242" stopIfTrue="1" operator="equal">
      <formula>"Napkin Hs"</formula>
    </cfRule>
  </conditionalFormatting>
  <conditionalFormatting sqref="B66:C66">
    <cfRule type="cellIs" dxfId="20561" priority="7243" stopIfTrue="1" operator="equal">
      <formula>"Towel"</formula>
    </cfRule>
    <cfRule type="cellIs" dxfId="20560" priority="7244" stopIfTrue="1" operator="equal">
      <formula>"Napkin Hs"</formula>
    </cfRule>
  </conditionalFormatting>
  <conditionalFormatting sqref="C66">
    <cfRule type="cellIs" dxfId="20559" priority="7239" stopIfTrue="1" operator="equal">
      <formula>"Towel"</formula>
    </cfRule>
    <cfRule type="cellIs" dxfId="20558" priority="7240" stopIfTrue="1" operator="equal">
      <formula>"Napkin Hs"</formula>
    </cfRule>
  </conditionalFormatting>
  <conditionalFormatting sqref="B66:C66">
    <cfRule type="cellIs" dxfId="20557" priority="7237" stopIfTrue="1" operator="equal">
      <formula>"Towel"</formula>
    </cfRule>
    <cfRule type="cellIs" dxfId="20556" priority="7238" stopIfTrue="1" operator="equal">
      <formula>"Napkin Hs"</formula>
    </cfRule>
  </conditionalFormatting>
  <conditionalFormatting sqref="C66">
    <cfRule type="cellIs" dxfId="20555" priority="7245" stopIfTrue="1" operator="equal">
      <formula>"Towel"</formula>
    </cfRule>
    <cfRule type="cellIs" dxfId="20554" priority="7246" stopIfTrue="1" operator="equal">
      <formula>"Napkin Hs"</formula>
    </cfRule>
  </conditionalFormatting>
  <conditionalFormatting sqref="C66">
    <cfRule type="cellIs" dxfId="20553" priority="7247" stopIfTrue="1" operator="equal">
      <formula>"Towel"</formula>
    </cfRule>
    <cfRule type="cellIs" dxfId="20552" priority="7248" stopIfTrue="1" operator="equal">
      <formula>"Napkin Hs"</formula>
    </cfRule>
  </conditionalFormatting>
  <conditionalFormatting sqref="B66:C66">
    <cfRule type="cellIs" dxfId="20551" priority="7235" stopIfTrue="1" operator="equal">
      <formula>"Towel"</formula>
    </cfRule>
    <cfRule type="cellIs" dxfId="20550" priority="7236" stopIfTrue="1" operator="equal">
      <formula>"Napkin Hs"</formula>
    </cfRule>
  </conditionalFormatting>
  <conditionalFormatting sqref="C66">
    <cfRule type="cellIs" dxfId="20549" priority="7231" stopIfTrue="1" operator="equal">
      <formula>"Towel"</formula>
    </cfRule>
    <cfRule type="cellIs" dxfId="20548" priority="7232" stopIfTrue="1" operator="equal">
      <formula>"Napkin Hs"</formula>
    </cfRule>
  </conditionalFormatting>
  <conditionalFormatting sqref="C66">
    <cfRule type="cellIs" dxfId="20547" priority="7234" stopIfTrue="1" operator="equal">
      <formula>"Napkin Hs"</formula>
    </cfRule>
  </conditionalFormatting>
  <conditionalFormatting sqref="C66">
    <cfRule type="cellIs" dxfId="20546" priority="7233" stopIfTrue="1" operator="equal">
      <formula>"Towel"</formula>
    </cfRule>
  </conditionalFormatting>
  <conditionalFormatting sqref="B66:C66">
    <cfRule type="cellIs" dxfId="20545" priority="7229" stopIfTrue="1" operator="equal">
      <formula>"Towel"</formula>
    </cfRule>
    <cfRule type="cellIs" dxfId="20544" priority="7230" stopIfTrue="1" operator="equal">
      <formula>"Napkin Hs"</formula>
    </cfRule>
  </conditionalFormatting>
  <conditionalFormatting sqref="C66">
    <cfRule type="cellIs" dxfId="20543" priority="7225" stopIfTrue="1" operator="equal">
      <formula>"Towel"</formula>
    </cfRule>
    <cfRule type="cellIs" dxfId="20542" priority="7226" stopIfTrue="1" operator="equal">
      <formula>"Napkin Hs"</formula>
    </cfRule>
  </conditionalFormatting>
  <conditionalFormatting sqref="C66">
    <cfRule type="cellIs" dxfId="20541" priority="7228" stopIfTrue="1" operator="equal">
      <formula>"Napkin Hs"</formula>
    </cfRule>
  </conditionalFormatting>
  <conditionalFormatting sqref="C66">
    <cfRule type="cellIs" dxfId="20540" priority="7227" stopIfTrue="1" operator="equal">
      <formula>"Towel"</formula>
    </cfRule>
  </conditionalFormatting>
  <conditionalFormatting sqref="C66">
    <cfRule type="cellIs" dxfId="20539" priority="7217" stopIfTrue="1" operator="equal">
      <formula>"Towel"</formula>
    </cfRule>
    <cfRule type="cellIs" dxfId="20538" priority="7218" stopIfTrue="1" operator="equal">
      <formula>"Napkin Hs"</formula>
    </cfRule>
  </conditionalFormatting>
  <conditionalFormatting sqref="B66:C66">
    <cfRule type="cellIs" dxfId="20537" priority="7219" stopIfTrue="1" operator="equal">
      <formula>"Towel"</formula>
    </cfRule>
    <cfRule type="cellIs" dxfId="20536" priority="7220" stopIfTrue="1" operator="equal">
      <formula>"Napkin Hs"</formula>
    </cfRule>
  </conditionalFormatting>
  <conditionalFormatting sqref="C66">
    <cfRule type="cellIs" dxfId="20535" priority="7215" stopIfTrue="1" operator="equal">
      <formula>"Towel"</formula>
    </cfRule>
    <cfRule type="cellIs" dxfId="20534" priority="7216" stopIfTrue="1" operator="equal">
      <formula>"Napkin Hs"</formula>
    </cfRule>
  </conditionalFormatting>
  <conditionalFormatting sqref="B66:C66">
    <cfRule type="cellIs" dxfId="20533" priority="7213" stopIfTrue="1" operator="equal">
      <formula>"Towel"</formula>
    </cfRule>
    <cfRule type="cellIs" dxfId="20532" priority="7214" stopIfTrue="1" operator="equal">
      <formula>"Napkin Hs"</formula>
    </cfRule>
  </conditionalFormatting>
  <conditionalFormatting sqref="C66">
    <cfRule type="cellIs" dxfId="20531" priority="7221" stopIfTrue="1" operator="equal">
      <formula>"Towel"</formula>
    </cfRule>
    <cfRule type="cellIs" dxfId="20530" priority="7222" stopIfTrue="1" operator="equal">
      <formula>"Napkin Hs"</formula>
    </cfRule>
  </conditionalFormatting>
  <conditionalFormatting sqref="C66">
    <cfRule type="cellIs" dxfId="20529" priority="7223" stopIfTrue="1" operator="equal">
      <formula>"Towel"</formula>
    </cfRule>
    <cfRule type="cellIs" dxfId="20528" priority="7224" stopIfTrue="1" operator="equal">
      <formula>"Napkin Hs"</formula>
    </cfRule>
  </conditionalFormatting>
  <conditionalFormatting sqref="B66:C66">
    <cfRule type="cellIs" dxfId="20527" priority="7211" stopIfTrue="1" operator="equal">
      <formula>"Towel"</formula>
    </cfRule>
    <cfRule type="cellIs" dxfId="20526" priority="7212" stopIfTrue="1" operator="equal">
      <formula>"Napkin Hs"</formula>
    </cfRule>
  </conditionalFormatting>
  <conditionalFormatting sqref="C66">
    <cfRule type="cellIs" dxfId="20525" priority="7203" stopIfTrue="1" operator="equal">
      <formula>"Towel"</formula>
    </cfRule>
    <cfRule type="cellIs" dxfId="20524" priority="7204" stopIfTrue="1" operator="equal">
      <formula>"Napkin Hs"</formula>
    </cfRule>
  </conditionalFormatting>
  <conditionalFormatting sqref="C66">
    <cfRule type="cellIs" dxfId="20523" priority="7207" stopIfTrue="1" operator="equal">
      <formula>"Towel"</formula>
    </cfRule>
    <cfRule type="cellIs" dxfId="20522" priority="7208" stopIfTrue="1" operator="equal">
      <formula>"Napkin Hs"</formula>
    </cfRule>
  </conditionalFormatting>
  <conditionalFormatting sqref="C66">
    <cfRule type="cellIs" dxfId="20521" priority="7210" stopIfTrue="1" operator="equal">
      <formula>"Napkin Hs"</formula>
    </cfRule>
  </conditionalFormatting>
  <conditionalFormatting sqref="C66">
    <cfRule type="cellIs" dxfId="20520" priority="7205" stopIfTrue="1" operator="equal">
      <formula>"Towel"</formula>
    </cfRule>
    <cfRule type="cellIs" dxfId="20519" priority="7206" stopIfTrue="1" operator="equal">
      <formula>"Napkin Hs"</formula>
    </cfRule>
  </conditionalFormatting>
  <conditionalFormatting sqref="C66">
    <cfRule type="cellIs" dxfId="20518" priority="7209" stopIfTrue="1" operator="equal">
      <formula>"Towel"</formula>
    </cfRule>
  </conditionalFormatting>
  <conditionalFormatting sqref="C66">
    <cfRule type="cellIs" dxfId="20517" priority="7201" stopIfTrue="1" operator="equal">
      <formula>"Towel"</formula>
    </cfRule>
    <cfRule type="cellIs" dxfId="20516" priority="7202" stopIfTrue="1" operator="equal">
      <formula>"Napkin Hs"</formula>
    </cfRule>
  </conditionalFormatting>
  <conditionalFormatting sqref="B66">
    <cfRule type="cellIs" dxfId="20515" priority="7199" stopIfTrue="1" operator="equal">
      <formula>"Towel"</formula>
    </cfRule>
    <cfRule type="cellIs" dxfId="20514" priority="7200" stopIfTrue="1" operator="equal">
      <formula>"Napkin Hs"</formula>
    </cfRule>
  </conditionalFormatting>
  <conditionalFormatting sqref="B66:C66">
    <cfRule type="cellIs" dxfId="20513" priority="7197" stopIfTrue="1" operator="equal">
      <formula>"Towel"</formula>
    </cfRule>
    <cfRule type="cellIs" dxfId="20512" priority="7198" stopIfTrue="1" operator="equal">
      <formula>"Napkin Hs"</formula>
    </cfRule>
  </conditionalFormatting>
  <conditionalFormatting sqref="C66">
    <cfRule type="cellIs" dxfId="20511" priority="7189" stopIfTrue="1" operator="equal">
      <formula>"Towel"</formula>
    </cfRule>
    <cfRule type="cellIs" dxfId="20510" priority="7190" stopIfTrue="1" operator="equal">
      <formula>"Napkin Hs"</formula>
    </cfRule>
  </conditionalFormatting>
  <conditionalFormatting sqref="C66">
    <cfRule type="cellIs" dxfId="20509" priority="7193" stopIfTrue="1" operator="equal">
      <formula>"Towel"</formula>
    </cfRule>
    <cfRule type="cellIs" dxfId="20508" priority="7194" stopIfTrue="1" operator="equal">
      <formula>"Napkin Hs"</formula>
    </cfRule>
  </conditionalFormatting>
  <conditionalFormatting sqref="C66">
    <cfRule type="cellIs" dxfId="20507" priority="7196" stopIfTrue="1" operator="equal">
      <formula>"Napkin Hs"</formula>
    </cfRule>
  </conditionalFormatting>
  <conditionalFormatting sqref="C66">
    <cfRule type="cellIs" dxfId="20506" priority="7191" stopIfTrue="1" operator="equal">
      <formula>"Towel"</formula>
    </cfRule>
    <cfRule type="cellIs" dxfId="20505" priority="7192" stopIfTrue="1" operator="equal">
      <formula>"Napkin Hs"</formula>
    </cfRule>
  </conditionalFormatting>
  <conditionalFormatting sqref="C66">
    <cfRule type="cellIs" dxfId="20504" priority="7195" stopIfTrue="1" operator="equal">
      <formula>"Towel"</formula>
    </cfRule>
  </conditionalFormatting>
  <conditionalFormatting sqref="C66">
    <cfRule type="cellIs" dxfId="20503" priority="7187" stopIfTrue="1" operator="equal">
      <formula>"Towel"</formula>
    </cfRule>
    <cfRule type="cellIs" dxfId="20502" priority="7188" stopIfTrue="1" operator="equal">
      <formula>"Napkin Hs"</formula>
    </cfRule>
  </conditionalFormatting>
  <conditionalFormatting sqref="B66">
    <cfRule type="cellIs" dxfId="20501" priority="7185" stopIfTrue="1" operator="equal">
      <formula>"Towel"</formula>
    </cfRule>
    <cfRule type="cellIs" dxfId="20500" priority="7186" stopIfTrue="1" operator="equal">
      <formula>"Napkin Hs"</formula>
    </cfRule>
  </conditionalFormatting>
  <conditionalFormatting sqref="B66:C66">
    <cfRule type="cellIs" dxfId="20499" priority="7161" stopIfTrue="1" operator="equal">
      <formula>"Towel"</formula>
    </cfRule>
  </conditionalFormatting>
  <conditionalFormatting sqref="B66:C66">
    <cfRule type="cellIs" dxfId="20498" priority="7162" stopIfTrue="1" operator="equal">
      <formula>"Napkin Hs"</formula>
    </cfRule>
    <cfRule type="cellIs" dxfId="20497" priority="7167" stopIfTrue="1" operator="equal">
      <formula>"Towel"</formula>
    </cfRule>
    <cfRule type="cellIs" dxfId="20496" priority="7168" stopIfTrue="1" operator="equal">
      <formula>"Napkin Hs"</formula>
    </cfRule>
    <cfRule type="cellIs" dxfId="20495" priority="7177" stopIfTrue="1" operator="equal">
      <formula>"Towel"</formula>
    </cfRule>
    <cfRule type="cellIs" dxfId="20494" priority="7178" stopIfTrue="1" operator="equal">
      <formula>"Napkin Hs"</formula>
    </cfRule>
    <cfRule type="cellIs" dxfId="20493" priority="7183" stopIfTrue="1" operator="equal">
      <formula>"Towel"</formula>
    </cfRule>
    <cfRule type="cellIs" dxfId="20492" priority="7184" stopIfTrue="1" operator="equal">
      <formula>"Napkin Hs"</formula>
    </cfRule>
  </conditionalFormatting>
  <conditionalFormatting sqref="C66">
    <cfRule type="cellIs" dxfId="20491" priority="7163" stopIfTrue="1" operator="equal">
      <formula>"Towel"</formula>
    </cfRule>
    <cfRule type="cellIs" dxfId="20490" priority="7164" stopIfTrue="1" operator="equal">
      <formula>"Napkin Hs"</formula>
    </cfRule>
    <cfRule type="cellIs" dxfId="20489" priority="7165" stopIfTrue="1" operator="equal">
      <formula>"Towel"</formula>
    </cfRule>
    <cfRule type="cellIs" dxfId="20488" priority="7166" stopIfTrue="1" operator="equal">
      <formula>"Napkin Hs"</formula>
    </cfRule>
    <cfRule type="cellIs" dxfId="20487" priority="7169" stopIfTrue="1" operator="equal">
      <formula>"Towel"</formula>
    </cfRule>
    <cfRule type="cellIs" dxfId="20486" priority="7170" stopIfTrue="1" operator="equal">
      <formula>"Napkin Hs"</formula>
    </cfRule>
    <cfRule type="cellIs" dxfId="20485" priority="7171" stopIfTrue="1" operator="equal">
      <formula>"Towel"</formula>
    </cfRule>
    <cfRule type="cellIs" dxfId="20484" priority="7172" stopIfTrue="1" operator="equal">
      <formula>"Napkin Hs"</formula>
    </cfRule>
    <cfRule type="cellIs" dxfId="20483" priority="7173" stopIfTrue="1" operator="equal">
      <formula>"Towel"</formula>
    </cfRule>
    <cfRule type="cellIs" dxfId="20482" priority="7174" stopIfTrue="1" operator="equal">
      <formula>"Napkin Hs"</formula>
    </cfRule>
    <cfRule type="cellIs" dxfId="20481" priority="7175" stopIfTrue="1" operator="equal">
      <formula>"Towel"</formula>
    </cfRule>
    <cfRule type="cellIs" dxfId="20480" priority="7176" stopIfTrue="1" operator="equal">
      <formula>"Napkin Hs"</formula>
    </cfRule>
    <cfRule type="cellIs" dxfId="20479" priority="7179" stopIfTrue="1" operator="equal">
      <formula>"Towel"</formula>
    </cfRule>
    <cfRule type="cellIs" dxfId="20478" priority="7180" stopIfTrue="1" operator="equal">
      <formula>"Napkin Hs"</formula>
    </cfRule>
    <cfRule type="cellIs" dxfId="20477" priority="7182" stopIfTrue="1" operator="equal">
      <formula>"Napkin Hs"</formula>
    </cfRule>
  </conditionalFormatting>
  <conditionalFormatting sqref="C66">
    <cfRule type="cellIs" dxfId="20476" priority="7181" stopIfTrue="1" operator="equal">
      <formula>"Towel"</formula>
    </cfRule>
  </conditionalFormatting>
  <conditionalFormatting sqref="B66:C66">
    <cfRule type="cellIs" dxfId="20475" priority="7159" stopIfTrue="1" operator="equal">
      <formula>"Towel"</formula>
    </cfRule>
    <cfRule type="cellIs" dxfId="20474" priority="7160" stopIfTrue="1" operator="equal">
      <formula>"Napkin Hs"</formula>
    </cfRule>
  </conditionalFormatting>
  <conditionalFormatting sqref="C66">
    <cfRule type="cellIs" dxfId="20473" priority="7158" stopIfTrue="1" operator="equal">
      <formula>"Napkin Hs"</formula>
    </cfRule>
  </conditionalFormatting>
  <conditionalFormatting sqref="C66">
    <cfRule type="cellIs" dxfId="20472" priority="7157" stopIfTrue="1" operator="equal">
      <formula>"Towel"</formula>
    </cfRule>
  </conditionalFormatting>
  <conditionalFormatting sqref="C66">
    <cfRule type="cellIs" dxfId="20471" priority="7155" stopIfTrue="1" operator="equal">
      <formula>"Towel"</formula>
    </cfRule>
  </conditionalFormatting>
  <conditionalFormatting sqref="C66">
    <cfRule type="cellIs" dxfId="20470" priority="7156" stopIfTrue="1" operator="equal">
      <formula>"Napkin Hs"</formula>
    </cfRule>
  </conditionalFormatting>
  <conditionalFormatting sqref="B66">
    <cfRule type="cellIs" dxfId="20469" priority="7059" stopIfTrue="1" operator="equal">
      <formula>"Napkin Hs"</formula>
    </cfRule>
  </conditionalFormatting>
  <conditionalFormatting sqref="B66:C66">
    <cfRule type="cellIs" dxfId="20468" priority="7058" stopIfTrue="1" operator="equal">
      <formula>"Towel"</formula>
    </cfRule>
  </conditionalFormatting>
  <conditionalFormatting sqref="B66:C66">
    <cfRule type="cellIs" dxfId="20467" priority="7069" stopIfTrue="1" operator="equal">
      <formula>"Towel"</formula>
    </cfRule>
    <cfRule type="cellIs" dxfId="20466" priority="7070" stopIfTrue="1" operator="equal">
      <formula>"Napkin Hs"</formula>
    </cfRule>
    <cfRule type="cellIs" dxfId="20465" priority="7075" stopIfTrue="1" operator="equal">
      <formula>"Towel"</formula>
    </cfRule>
    <cfRule type="cellIs" dxfId="20464" priority="7076" stopIfTrue="1" operator="equal">
      <formula>"Napkin Hs"</formula>
    </cfRule>
    <cfRule type="cellIs" dxfId="20463" priority="7081" stopIfTrue="1" operator="equal">
      <formula>"Towel"</formula>
    </cfRule>
    <cfRule type="cellIs" dxfId="20462" priority="7082" stopIfTrue="1" operator="equal">
      <formula>"Napkin Hs"</formula>
    </cfRule>
    <cfRule type="cellIs" dxfId="20461" priority="7083" stopIfTrue="1" operator="equal">
      <formula>"Towel"</formula>
    </cfRule>
    <cfRule type="cellIs" dxfId="20460" priority="7084" stopIfTrue="1" operator="equal">
      <formula>"Napkin Hs"</formula>
    </cfRule>
    <cfRule type="cellIs" dxfId="20459" priority="7089" stopIfTrue="1" operator="equal">
      <formula>"Towel"</formula>
    </cfRule>
    <cfRule type="cellIs" dxfId="20458" priority="7090" stopIfTrue="1" operator="equal">
      <formula>"Napkin Hs"</formula>
    </cfRule>
    <cfRule type="cellIs" dxfId="20457" priority="7099" stopIfTrue="1" operator="equal">
      <formula>"Towel"</formula>
    </cfRule>
    <cfRule type="cellIs" dxfId="20456" priority="7100" stopIfTrue="1" operator="equal">
      <formula>"Napkin Hs"</formula>
    </cfRule>
    <cfRule type="cellIs" dxfId="20455" priority="7105" stopIfTrue="1" operator="equal">
      <formula>"Towel"</formula>
    </cfRule>
    <cfRule type="cellIs" dxfId="20454" priority="7106" stopIfTrue="1" operator="equal">
      <formula>"Napkin Hs"</formula>
    </cfRule>
    <cfRule type="cellIs" dxfId="20453" priority="7107" stopIfTrue="1" operator="equal">
      <formula>"Towel"</formula>
    </cfRule>
    <cfRule type="cellIs" dxfId="20452" priority="7108" stopIfTrue="1" operator="equal">
      <formula>"Napkin Hs"</formula>
    </cfRule>
    <cfRule type="cellIs" dxfId="20451" priority="7113" stopIfTrue="1" operator="equal">
      <formula>"Towel"</formula>
    </cfRule>
    <cfRule type="cellIs" dxfId="20450" priority="7114" stopIfTrue="1" operator="equal">
      <formula>"Napkin Hs"</formula>
    </cfRule>
    <cfRule type="cellIs" dxfId="20449" priority="7123" stopIfTrue="1" operator="equal">
      <formula>"Towel"</formula>
    </cfRule>
    <cfRule type="cellIs" dxfId="20448" priority="7124" stopIfTrue="1" operator="equal">
      <formula>"Napkin Hs"</formula>
    </cfRule>
    <cfRule type="cellIs" dxfId="20447" priority="7125" stopIfTrue="1" operator="equal">
      <formula>"Towel"</formula>
    </cfRule>
    <cfRule type="cellIs" dxfId="20446" priority="7126" stopIfTrue="1" operator="equal">
      <formula>"Napkin Hs"</formula>
    </cfRule>
    <cfRule type="cellIs" dxfId="20445" priority="7131" stopIfTrue="1" operator="equal">
      <formula>"Towel"</formula>
    </cfRule>
    <cfRule type="cellIs" dxfId="20444" priority="7132" stopIfTrue="1" operator="equal">
      <formula>"Napkin Hs"</formula>
    </cfRule>
    <cfRule type="cellIs" dxfId="20443" priority="7141" stopIfTrue="1" operator="equal">
      <formula>"Towel"</formula>
    </cfRule>
    <cfRule type="cellIs" dxfId="20442" priority="7142" stopIfTrue="1" operator="equal">
      <formula>"Napkin Hs"</formula>
    </cfRule>
    <cfRule type="cellIs" dxfId="20441" priority="7143" stopIfTrue="1" operator="equal">
      <formula>"Towel"</formula>
    </cfRule>
    <cfRule type="cellIs" dxfId="20440" priority="7144" stopIfTrue="1" operator="equal">
      <formula>"Napkin Hs"</formula>
    </cfRule>
    <cfRule type="cellIs" dxfId="20439" priority="7150" stopIfTrue="1" operator="equal">
      <formula>"Napkin Hs"</formula>
    </cfRule>
  </conditionalFormatting>
  <conditionalFormatting sqref="B66:C66">
    <cfRule type="cellIs" dxfId="20438" priority="7149" stopIfTrue="1" operator="equal">
      <formula>"Towel"</formula>
    </cfRule>
  </conditionalFormatting>
  <conditionalFormatting sqref="C66">
    <cfRule type="cellIs" dxfId="20437" priority="7060" stopIfTrue="1" operator="equal">
      <formula>"Napkin Hs"</formula>
    </cfRule>
    <cfRule type="cellIs" dxfId="20436" priority="7061" stopIfTrue="1" operator="equal">
      <formula>"Towel"</formula>
    </cfRule>
    <cfRule type="cellIs" dxfId="20435" priority="7062" stopIfTrue="1" operator="equal">
      <formula>"Napkin Hs"</formula>
    </cfRule>
    <cfRule type="cellIs" dxfId="20434" priority="7063" stopIfTrue="1" operator="equal">
      <formula>"Towel"</formula>
    </cfRule>
    <cfRule type="cellIs" dxfId="20433" priority="7064" stopIfTrue="1" operator="equal">
      <formula>"Napkin Hs"</formula>
    </cfRule>
    <cfRule type="cellIs" dxfId="20432" priority="7065" stopIfTrue="1" operator="equal">
      <formula>"Towel"</formula>
    </cfRule>
    <cfRule type="cellIs" dxfId="20431" priority="7066" stopIfTrue="1" operator="equal">
      <formula>"Napkin Hs"</formula>
    </cfRule>
    <cfRule type="cellIs" dxfId="20430" priority="7067" stopIfTrue="1" operator="equal">
      <formula>"Towel"</formula>
    </cfRule>
    <cfRule type="cellIs" dxfId="20429" priority="7068" stopIfTrue="1" operator="equal">
      <formula>"Napkin Hs"</formula>
    </cfRule>
    <cfRule type="cellIs" dxfId="20428" priority="7071" stopIfTrue="1" operator="equal">
      <formula>"Towel"</formula>
    </cfRule>
    <cfRule type="cellIs" dxfId="20427" priority="7072" stopIfTrue="1" operator="equal">
      <formula>"Napkin Hs"</formula>
    </cfRule>
    <cfRule type="cellIs" dxfId="20426" priority="7073" stopIfTrue="1" operator="equal">
      <formula>"Towel"</formula>
    </cfRule>
    <cfRule type="cellIs" dxfId="20425" priority="7074" stopIfTrue="1" operator="equal">
      <formula>"Napkin Hs"</formula>
    </cfRule>
    <cfRule type="cellIs" dxfId="20424" priority="7077" stopIfTrue="1" operator="equal">
      <formula>"Towel"</formula>
    </cfRule>
    <cfRule type="cellIs" dxfId="20423" priority="7078" stopIfTrue="1" operator="equal">
      <formula>"Napkin Hs"</formula>
    </cfRule>
    <cfRule type="cellIs" dxfId="20422" priority="7079" stopIfTrue="1" operator="equal">
      <formula>"Towel"</formula>
    </cfRule>
    <cfRule type="cellIs" dxfId="20421" priority="7080" stopIfTrue="1" operator="equal">
      <formula>"Napkin Hs"</formula>
    </cfRule>
    <cfRule type="cellIs" dxfId="20420" priority="7085" stopIfTrue="1" operator="equal">
      <formula>"Towel"</formula>
    </cfRule>
    <cfRule type="cellIs" dxfId="20419" priority="7086" stopIfTrue="1" operator="equal">
      <formula>"Napkin Hs"</formula>
    </cfRule>
    <cfRule type="cellIs" dxfId="20418" priority="7087" stopIfTrue="1" operator="equal">
      <formula>"Towel"</formula>
    </cfRule>
    <cfRule type="cellIs" dxfId="20417" priority="7088" stopIfTrue="1" operator="equal">
      <formula>"Napkin Hs"</formula>
    </cfRule>
    <cfRule type="cellIs" dxfId="20416" priority="7091" stopIfTrue="1" operator="equal">
      <formula>"Towel"</formula>
    </cfRule>
    <cfRule type="cellIs" dxfId="20415" priority="7092" stopIfTrue="1" operator="equal">
      <formula>"Napkin Hs"</formula>
    </cfRule>
    <cfRule type="cellIs" dxfId="20414" priority="7093" stopIfTrue="1" operator="equal">
      <formula>"Towel"</formula>
    </cfRule>
    <cfRule type="cellIs" dxfId="20413" priority="7094" stopIfTrue="1" operator="equal">
      <formula>"Napkin Hs"</formula>
    </cfRule>
    <cfRule type="cellIs" dxfId="20412" priority="7095" stopIfTrue="1" operator="equal">
      <formula>"Towel"</formula>
    </cfRule>
    <cfRule type="cellIs" dxfId="20411" priority="7096" stopIfTrue="1" operator="equal">
      <formula>"Napkin Hs"</formula>
    </cfRule>
    <cfRule type="cellIs" dxfId="20410" priority="7097" stopIfTrue="1" operator="equal">
      <formula>"Towel"</formula>
    </cfRule>
    <cfRule type="cellIs" dxfId="20409" priority="7098" stopIfTrue="1" operator="equal">
      <formula>"Napkin Hs"</formula>
    </cfRule>
    <cfRule type="cellIs" dxfId="20408" priority="7101" stopIfTrue="1" operator="equal">
      <formula>"Towel"</formula>
    </cfRule>
    <cfRule type="cellIs" dxfId="20407" priority="7102" stopIfTrue="1" operator="equal">
      <formula>"Napkin Hs"</formula>
    </cfRule>
    <cfRule type="cellIs" dxfId="20406" priority="7103" stopIfTrue="1" operator="equal">
      <formula>"Towel"</formula>
    </cfRule>
    <cfRule type="cellIs" dxfId="20405" priority="7104" stopIfTrue="1" operator="equal">
      <formula>"Napkin Hs"</formula>
    </cfRule>
    <cfRule type="cellIs" dxfId="20404" priority="7109" stopIfTrue="1" operator="equal">
      <formula>"Towel"</formula>
    </cfRule>
    <cfRule type="cellIs" dxfId="20403" priority="7110" stopIfTrue="1" operator="equal">
      <formula>"Napkin Hs"</formula>
    </cfRule>
    <cfRule type="cellIs" dxfId="20402" priority="7111" stopIfTrue="1" operator="equal">
      <formula>"Towel"</formula>
    </cfRule>
    <cfRule type="cellIs" dxfId="20401" priority="7112" stopIfTrue="1" operator="equal">
      <formula>"Napkin Hs"</formula>
    </cfRule>
    <cfRule type="cellIs" dxfId="20400" priority="7115" stopIfTrue="1" operator="equal">
      <formula>"Towel"</formula>
    </cfRule>
    <cfRule type="cellIs" dxfId="20399" priority="7116" stopIfTrue="1" operator="equal">
      <formula>"Napkin Hs"</formula>
    </cfRule>
    <cfRule type="cellIs" dxfId="20398" priority="7117" stopIfTrue="1" operator="equal">
      <formula>"Towel"</formula>
    </cfRule>
    <cfRule type="cellIs" dxfId="20397" priority="7118" stopIfTrue="1" operator="equal">
      <formula>"Napkin Hs"</formula>
    </cfRule>
    <cfRule type="cellIs" dxfId="20396" priority="7119" stopIfTrue="1" operator="equal">
      <formula>"Towel"</formula>
    </cfRule>
    <cfRule type="cellIs" dxfId="20395" priority="7120" stopIfTrue="1" operator="equal">
      <formula>"Napkin Hs"</formula>
    </cfRule>
    <cfRule type="cellIs" dxfId="20394" priority="7121" stopIfTrue="1" operator="equal">
      <formula>"Towel"</formula>
    </cfRule>
    <cfRule type="cellIs" dxfId="20393" priority="7122" stopIfTrue="1" operator="equal">
      <formula>"Napkin Hs"</formula>
    </cfRule>
    <cfRule type="cellIs" dxfId="20392" priority="7127" stopIfTrue="1" operator="equal">
      <formula>"Towel"</formula>
    </cfRule>
    <cfRule type="cellIs" dxfId="20391" priority="7128" stopIfTrue="1" operator="equal">
      <formula>"Napkin Hs"</formula>
    </cfRule>
    <cfRule type="cellIs" dxfId="20390" priority="7129" stopIfTrue="1" operator="equal">
      <formula>"Towel"</formula>
    </cfRule>
    <cfRule type="cellIs" dxfId="20389" priority="7130" stopIfTrue="1" operator="equal">
      <formula>"Napkin Hs"</formula>
    </cfRule>
    <cfRule type="cellIs" dxfId="20388" priority="7133" stopIfTrue="1" operator="equal">
      <formula>"Towel"</formula>
    </cfRule>
    <cfRule type="cellIs" dxfId="20387" priority="7134" stopIfTrue="1" operator="equal">
      <formula>"Napkin Hs"</formula>
    </cfRule>
    <cfRule type="cellIs" dxfId="20386" priority="7135" stopIfTrue="1" operator="equal">
      <formula>"Towel"</formula>
    </cfRule>
    <cfRule type="cellIs" dxfId="20385" priority="7136" stopIfTrue="1" operator="equal">
      <formula>"Napkin Hs"</formula>
    </cfRule>
    <cfRule type="cellIs" dxfId="20384" priority="7137" stopIfTrue="1" operator="equal">
      <formula>"Towel"</formula>
    </cfRule>
    <cfRule type="cellIs" dxfId="20383" priority="7138" stopIfTrue="1" operator="equal">
      <formula>"Napkin Hs"</formula>
    </cfRule>
    <cfRule type="cellIs" dxfId="20382" priority="7139" stopIfTrue="1" operator="equal">
      <formula>"Towel"</formula>
    </cfRule>
    <cfRule type="cellIs" dxfId="20381" priority="7140" stopIfTrue="1" operator="equal">
      <formula>"Napkin Hs"</formula>
    </cfRule>
    <cfRule type="cellIs" dxfId="20380" priority="7145" stopIfTrue="1" operator="equal">
      <formula>"Towel"</formula>
    </cfRule>
    <cfRule type="cellIs" dxfId="20379" priority="7146" stopIfTrue="1" operator="equal">
      <formula>"Napkin Hs"</formula>
    </cfRule>
    <cfRule type="cellIs" dxfId="20378" priority="7147" stopIfTrue="1" operator="equal">
      <formula>"Towel"</formula>
    </cfRule>
    <cfRule type="cellIs" dxfId="20377" priority="7148" stopIfTrue="1" operator="equal">
      <formula>"Napkin Hs"</formula>
    </cfRule>
    <cfRule type="cellIs" dxfId="20376" priority="7151" stopIfTrue="1" operator="equal">
      <formula>"Towel"</formula>
    </cfRule>
    <cfRule type="cellIs" dxfId="20375" priority="7152" stopIfTrue="1" operator="equal">
      <formula>"Napkin Hs"</formula>
    </cfRule>
    <cfRule type="cellIs" dxfId="20374" priority="7153" stopIfTrue="1" operator="equal">
      <formula>"Towel"</formula>
    </cfRule>
    <cfRule type="cellIs" dxfId="20373" priority="7154" stopIfTrue="1" operator="equal">
      <formula>"Napkin Hs"</formula>
    </cfRule>
  </conditionalFormatting>
  <conditionalFormatting sqref="B66:C66">
    <cfRule type="cellIs" dxfId="20372" priority="7056" stopIfTrue="1" operator="equal">
      <formula>"Towel"</formula>
    </cfRule>
    <cfRule type="cellIs" dxfId="20371" priority="7057" stopIfTrue="1" operator="equal">
      <formula>"Napkin Hs"</formula>
    </cfRule>
  </conditionalFormatting>
  <conditionalFormatting sqref="C66">
    <cfRule type="cellIs" dxfId="20370" priority="7052" stopIfTrue="1" operator="equal">
      <formula>"Towel"</formula>
    </cfRule>
    <cfRule type="cellIs" dxfId="20369" priority="7053" stopIfTrue="1" operator="equal">
      <formula>"Napkin Hs"</formula>
    </cfRule>
  </conditionalFormatting>
  <conditionalFormatting sqref="C66">
    <cfRule type="cellIs" dxfId="20368" priority="7055" stopIfTrue="1" operator="equal">
      <formula>"Napkin Hs"</formula>
    </cfRule>
  </conditionalFormatting>
  <conditionalFormatting sqref="C66">
    <cfRule type="cellIs" dxfId="20367" priority="7054" stopIfTrue="1" operator="equal">
      <formula>"Towel"</formula>
    </cfRule>
  </conditionalFormatting>
  <conditionalFormatting sqref="B65:C65">
    <cfRule type="cellIs" dxfId="20366" priority="7050" stopIfTrue="1" operator="equal">
      <formula>"Towel"</formula>
    </cfRule>
    <cfRule type="cellIs" dxfId="20365" priority="7051" stopIfTrue="1" operator="equal">
      <formula>"Napkin Hs"</formula>
    </cfRule>
  </conditionalFormatting>
  <conditionalFormatting sqref="C65">
    <cfRule type="cellIs" dxfId="20364" priority="7048" stopIfTrue="1" operator="equal">
      <formula>"Towel"</formula>
    </cfRule>
    <cfRule type="cellIs" dxfId="20363" priority="7049" stopIfTrue="1" operator="equal">
      <formula>"Napkin Hs"</formula>
    </cfRule>
  </conditionalFormatting>
  <conditionalFormatting sqref="C65">
    <cfRule type="cellIs" dxfId="20362" priority="7046" stopIfTrue="1" operator="equal">
      <formula>"Towel"</formula>
    </cfRule>
    <cfRule type="cellIs" dxfId="20361" priority="7047" stopIfTrue="1" operator="equal">
      <formula>"Napkin Hs"</formula>
    </cfRule>
  </conditionalFormatting>
  <conditionalFormatting sqref="C65">
    <cfRule type="cellIs" dxfId="20360" priority="7032" stopIfTrue="1" operator="equal">
      <formula>"Towel"</formula>
    </cfRule>
    <cfRule type="cellIs" dxfId="20359" priority="7033" stopIfTrue="1" operator="equal">
      <formula>"Napkin Hs"</formula>
    </cfRule>
  </conditionalFormatting>
  <conditionalFormatting sqref="C65">
    <cfRule type="cellIs" dxfId="20358" priority="7030" stopIfTrue="1" operator="equal">
      <formula>"Towel"</formula>
    </cfRule>
    <cfRule type="cellIs" dxfId="20357" priority="7031" stopIfTrue="1" operator="equal">
      <formula>"Napkin Hs"</formula>
    </cfRule>
  </conditionalFormatting>
  <conditionalFormatting sqref="C65">
    <cfRule type="cellIs" dxfId="20356" priority="7038" stopIfTrue="1" operator="equal">
      <formula>"Towel"</formula>
    </cfRule>
    <cfRule type="cellIs" dxfId="20355" priority="7039" stopIfTrue="1" operator="equal">
      <formula>"Napkin Hs"</formula>
    </cfRule>
  </conditionalFormatting>
  <conditionalFormatting sqref="B65:C65">
    <cfRule type="cellIs" dxfId="20354" priority="7040" stopIfTrue="1" operator="equal">
      <formula>"Towel"</formula>
    </cfRule>
    <cfRule type="cellIs" dxfId="20353" priority="7041" stopIfTrue="1" operator="equal">
      <formula>"Napkin Hs"</formula>
    </cfRule>
  </conditionalFormatting>
  <conditionalFormatting sqref="C65">
    <cfRule type="cellIs" dxfId="20352" priority="7036" stopIfTrue="1" operator="equal">
      <formula>"Towel"</formula>
    </cfRule>
    <cfRule type="cellIs" dxfId="20351" priority="7037" stopIfTrue="1" operator="equal">
      <formula>"Napkin Hs"</formula>
    </cfRule>
  </conditionalFormatting>
  <conditionalFormatting sqref="B65:C65">
    <cfRule type="cellIs" dxfId="20350" priority="7034" stopIfTrue="1" operator="equal">
      <formula>"Towel"</formula>
    </cfRule>
    <cfRule type="cellIs" dxfId="20349" priority="7035" stopIfTrue="1" operator="equal">
      <formula>"Napkin Hs"</formula>
    </cfRule>
  </conditionalFormatting>
  <conditionalFormatting sqref="C65">
    <cfRule type="cellIs" dxfId="20348" priority="7042" stopIfTrue="1" operator="equal">
      <formula>"Towel"</formula>
    </cfRule>
    <cfRule type="cellIs" dxfId="20347" priority="7043" stopIfTrue="1" operator="equal">
      <formula>"Napkin Hs"</formula>
    </cfRule>
  </conditionalFormatting>
  <conditionalFormatting sqref="C65">
    <cfRule type="cellIs" dxfId="20346" priority="7044" stopIfTrue="1" operator="equal">
      <formula>"Towel"</formula>
    </cfRule>
    <cfRule type="cellIs" dxfId="20345" priority="7045" stopIfTrue="1" operator="equal">
      <formula>"Napkin Hs"</formula>
    </cfRule>
  </conditionalFormatting>
  <conditionalFormatting sqref="C65">
    <cfRule type="cellIs" dxfId="20344" priority="7026" stopIfTrue="1" operator="equal">
      <formula>"Towel"</formula>
    </cfRule>
    <cfRule type="cellIs" dxfId="20343" priority="7027" stopIfTrue="1" operator="equal">
      <formula>"Napkin Hs"</formula>
    </cfRule>
  </conditionalFormatting>
  <conditionalFormatting sqref="B65:C65">
    <cfRule type="cellIs" dxfId="20342" priority="7028" stopIfTrue="1" operator="equal">
      <formula>"Towel"</formula>
    </cfRule>
    <cfRule type="cellIs" dxfId="20341" priority="7029" stopIfTrue="1" operator="equal">
      <formula>"Napkin Hs"</formula>
    </cfRule>
  </conditionalFormatting>
  <conditionalFormatting sqref="C65">
    <cfRule type="cellIs" dxfId="20340" priority="7024" stopIfTrue="1" operator="equal">
      <formula>"Towel"</formula>
    </cfRule>
    <cfRule type="cellIs" dxfId="20339" priority="7025" stopIfTrue="1" operator="equal">
      <formula>"Napkin Hs"</formula>
    </cfRule>
  </conditionalFormatting>
  <conditionalFormatting sqref="B65:C65">
    <cfRule type="cellIs" dxfId="20338" priority="7022" stopIfTrue="1" operator="equal">
      <formula>"Towel"</formula>
    </cfRule>
    <cfRule type="cellIs" dxfId="20337" priority="7023" stopIfTrue="1" operator="equal">
      <formula>"Napkin Hs"</formula>
    </cfRule>
  </conditionalFormatting>
  <conditionalFormatting sqref="C65">
    <cfRule type="cellIs" dxfId="20336" priority="7014" stopIfTrue="1" operator="equal">
      <formula>"Towel"</formula>
    </cfRule>
    <cfRule type="cellIs" dxfId="20335" priority="7015" stopIfTrue="1" operator="equal">
      <formula>"Napkin Hs"</formula>
    </cfRule>
  </conditionalFormatting>
  <conditionalFormatting sqref="B65:C65">
    <cfRule type="cellIs" dxfId="20334" priority="7016" stopIfTrue="1" operator="equal">
      <formula>"Towel"</formula>
    </cfRule>
    <cfRule type="cellIs" dxfId="20333" priority="7017" stopIfTrue="1" operator="equal">
      <formula>"Napkin Hs"</formula>
    </cfRule>
  </conditionalFormatting>
  <conditionalFormatting sqref="C65">
    <cfRule type="cellIs" dxfId="20332" priority="7012" stopIfTrue="1" operator="equal">
      <formula>"Towel"</formula>
    </cfRule>
    <cfRule type="cellIs" dxfId="20331" priority="7013" stopIfTrue="1" operator="equal">
      <formula>"Napkin Hs"</formula>
    </cfRule>
  </conditionalFormatting>
  <conditionalFormatting sqref="B65:C65">
    <cfRule type="cellIs" dxfId="20330" priority="7010" stopIfTrue="1" operator="equal">
      <formula>"Towel"</formula>
    </cfRule>
    <cfRule type="cellIs" dxfId="20329" priority="7011" stopIfTrue="1" operator="equal">
      <formula>"Napkin Hs"</formula>
    </cfRule>
  </conditionalFormatting>
  <conditionalFormatting sqref="C65">
    <cfRule type="cellIs" dxfId="20328" priority="7018" stopIfTrue="1" operator="equal">
      <formula>"Towel"</formula>
    </cfRule>
    <cfRule type="cellIs" dxfId="20327" priority="7019" stopIfTrue="1" operator="equal">
      <formula>"Napkin Hs"</formula>
    </cfRule>
  </conditionalFormatting>
  <conditionalFormatting sqref="C65">
    <cfRule type="cellIs" dxfId="20326" priority="7020" stopIfTrue="1" operator="equal">
      <formula>"Towel"</formula>
    </cfRule>
    <cfRule type="cellIs" dxfId="20325" priority="7021" stopIfTrue="1" operator="equal">
      <formula>"Napkin Hs"</formula>
    </cfRule>
  </conditionalFormatting>
  <conditionalFormatting sqref="B65:C65">
    <cfRule type="cellIs" dxfId="20324" priority="7008" stopIfTrue="1" operator="equal">
      <formula>"Towel"</formula>
    </cfRule>
    <cfRule type="cellIs" dxfId="20323" priority="7009" stopIfTrue="1" operator="equal">
      <formula>"Napkin Hs"</formula>
    </cfRule>
  </conditionalFormatting>
  <conditionalFormatting sqref="C65">
    <cfRule type="cellIs" dxfId="20322" priority="7007" stopIfTrue="1" operator="equal">
      <formula>"Napkin Hs"</formula>
    </cfRule>
  </conditionalFormatting>
  <conditionalFormatting sqref="C65">
    <cfRule type="cellIs" dxfId="20321" priority="7006" stopIfTrue="1" operator="equal">
      <formula>"Towel"</formula>
    </cfRule>
  </conditionalFormatting>
  <conditionalFormatting sqref="C65">
    <cfRule type="cellIs" dxfId="20320" priority="7004" stopIfTrue="1" operator="equal">
      <formula>"Towel"</formula>
    </cfRule>
    <cfRule type="cellIs" dxfId="20319" priority="7005" stopIfTrue="1" operator="equal">
      <formula>"Napkin Hs"</formula>
    </cfRule>
  </conditionalFormatting>
  <conditionalFormatting sqref="C65">
    <cfRule type="cellIs" dxfId="20318" priority="6996" stopIfTrue="1" operator="equal">
      <formula>"Towel"</formula>
    </cfRule>
    <cfRule type="cellIs" dxfId="20317" priority="6997" stopIfTrue="1" operator="equal">
      <formula>"Napkin Hs"</formula>
    </cfRule>
  </conditionalFormatting>
  <conditionalFormatting sqref="B65:C65">
    <cfRule type="cellIs" dxfId="20316" priority="6998" stopIfTrue="1" operator="equal">
      <formula>"Towel"</formula>
    </cfRule>
    <cfRule type="cellIs" dxfId="20315" priority="6999" stopIfTrue="1" operator="equal">
      <formula>"Napkin Hs"</formula>
    </cfRule>
  </conditionalFormatting>
  <conditionalFormatting sqref="C65">
    <cfRule type="cellIs" dxfId="20314" priority="6994" stopIfTrue="1" operator="equal">
      <formula>"Towel"</formula>
    </cfRule>
    <cfRule type="cellIs" dxfId="20313" priority="6995" stopIfTrue="1" operator="equal">
      <formula>"Napkin Hs"</formula>
    </cfRule>
  </conditionalFormatting>
  <conditionalFormatting sqref="B65:C65">
    <cfRule type="cellIs" dxfId="20312" priority="6992" stopIfTrue="1" operator="equal">
      <formula>"Towel"</formula>
    </cfRule>
    <cfRule type="cellIs" dxfId="20311" priority="6993" stopIfTrue="1" operator="equal">
      <formula>"Napkin Hs"</formula>
    </cfRule>
  </conditionalFormatting>
  <conditionalFormatting sqref="C65">
    <cfRule type="cellIs" dxfId="20310" priority="7000" stopIfTrue="1" operator="equal">
      <formula>"Towel"</formula>
    </cfRule>
    <cfRule type="cellIs" dxfId="20309" priority="7001" stopIfTrue="1" operator="equal">
      <formula>"Napkin Hs"</formula>
    </cfRule>
  </conditionalFormatting>
  <conditionalFormatting sqref="C65">
    <cfRule type="cellIs" dxfId="20308" priority="7002" stopIfTrue="1" operator="equal">
      <formula>"Towel"</formula>
    </cfRule>
    <cfRule type="cellIs" dxfId="20307" priority="7003" stopIfTrue="1" operator="equal">
      <formula>"Napkin Hs"</formula>
    </cfRule>
  </conditionalFormatting>
  <conditionalFormatting sqref="B65:C65">
    <cfRule type="cellIs" dxfId="20306" priority="6990" stopIfTrue="1" operator="equal">
      <formula>"Towel"</formula>
    </cfRule>
    <cfRule type="cellIs" dxfId="20305" priority="6991" stopIfTrue="1" operator="equal">
      <formula>"Napkin Hs"</formula>
    </cfRule>
  </conditionalFormatting>
  <conditionalFormatting sqref="C65">
    <cfRule type="cellIs" dxfId="20304" priority="6986" stopIfTrue="1" operator="equal">
      <formula>"Towel"</formula>
    </cfRule>
    <cfRule type="cellIs" dxfId="20303" priority="6987" stopIfTrue="1" operator="equal">
      <formula>"Napkin Hs"</formula>
    </cfRule>
  </conditionalFormatting>
  <conditionalFormatting sqref="C65">
    <cfRule type="cellIs" dxfId="20302" priority="6988" stopIfTrue="1" operator="equal">
      <formula>"Towel"</formula>
    </cfRule>
    <cfRule type="cellIs" dxfId="20301" priority="6989" stopIfTrue="1" operator="equal">
      <formula>"Napkin Hs"</formula>
    </cfRule>
  </conditionalFormatting>
  <conditionalFormatting sqref="B65:C65">
    <cfRule type="cellIs" dxfId="20300" priority="6984" stopIfTrue="1" operator="equal">
      <formula>"Towel"</formula>
    </cfRule>
    <cfRule type="cellIs" dxfId="20299" priority="6985" stopIfTrue="1" operator="equal">
      <formula>"Napkin Hs"</formula>
    </cfRule>
  </conditionalFormatting>
  <conditionalFormatting sqref="C65">
    <cfRule type="cellIs" dxfId="20298" priority="6980" stopIfTrue="1" operator="equal">
      <formula>"Towel"</formula>
    </cfRule>
    <cfRule type="cellIs" dxfId="20297" priority="6981" stopIfTrue="1" operator="equal">
      <formula>"Napkin Hs"</formula>
    </cfRule>
  </conditionalFormatting>
  <conditionalFormatting sqref="C65">
    <cfRule type="cellIs" dxfId="20296" priority="6982" stopIfTrue="1" operator="equal">
      <formula>"Towel"</formula>
    </cfRule>
    <cfRule type="cellIs" dxfId="20295" priority="6983" stopIfTrue="1" operator="equal">
      <formula>"Napkin Hs"</formula>
    </cfRule>
  </conditionalFormatting>
  <conditionalFormatting sqref="C65">
    <cfRule type="cellIs" dxfId="20294" priority="6976" stopIfTrue="1" operator="equal">
      <formula>"Towel"</formula>
    </cfRule>
    <cfRule type="cellIs" dxfId="20293" priority="6977" stopIfTrue="1" operator="equal">
      <formula>"Napkin Hs"</formula>
    </cfRule>
  </conditionalFormatting>
  <conditionalFormatting sqref="C65">
    <cfRule type="cellIs" dxfId="20292" priority="6978" stopIfTrue="1" operator="equal">
      <formula>"Towel"</formula>
    </cfRule>
    <cfRule type="cellIs" dxfId="20291" priority="6979" stopIfTrue="1" operator="equal">
      <formula>"Napkin Hs"</formula>
    </cfRule>
  </conditionalFormatting>
  <conditionalFormatting sqref="C65">
    <cfRule type="cellIs" dxfId="20290" priority="6974" stopIfTrue="1" operator="equal">
      <formula>"Towel"</formula>
    </cfRule>
    <cfRule type="cellIs" dxfId="20289" priority="6975" stopIfTrue="1" operator="equal">
      <formula>"Napkin Hs"</formula>
    </cfRule>
  </conditionalFormatting>
  <conditionalFormatting sqref="B65">
    <cfRule type="cellIs" dxfId="20288" priority="6972" stopIfTrue="1" operator="equal">
      <formula>"Towel"</formula>
    </cfRule>
    <cfRule type="cellIs" dxfId="20287" priority="6973" stopIfTrue="1" operator="equal">
      <formula>"Napkin Hs"</formula>
    </cfRule>
  </conditionalFormatting>
  <conditionalFormatting sqref="C65">
    <cfRule type="cellIs" dxfId="20286" priority="6964" stopIfTrue="1" operator="equal">
      <formula>"Towel"</formula>
    </cfRule>
    <cfRule type="cellIs" dxfId="20285" priority="6965" stopIfTrue="1" operator="equal">
      <formula>"Napkin Hs"</formula>
    </cfRule>
  </conditionalFormatting>
  <conditionalFormatting sqref="B65:C65">
    <cfRule type="cellIs" dxfId="20284" priority="6966" stopIfTrue="1" operator="equal">
      <formula>"Towel"</formula>
    </cfRule>
    <cfRule type="cellIs" dxfId="20283" priority="6967" stopIfTrue="1" operator="equal">
      <formula>"Napkin Hs"</formula>
    </cfRule>
  </conditionalFormatting>
  <conditionalFormatting sqref="C65">
    <cfRule type="cellIs" dxfId="20282" priority="6962" stopIfTrue="1" operator="equal">
      <formula>"Towel"</formula>
    </cfRule>
    <cfRule type="cellIs" dxfId="20281" priority="6963" stopIfTrue="1" operator="equal">
      <formula>"Napkin Hs"</formula>
    </cfRule>
  </conditionalFormatting>
  <conditionalFormatting sqref="B65:C65">
    <cfRule type="cellIs" dxfId="20280" priority="6960" stopIfTrue="1" operator="equal">
      <formula>"Towel"</formula>
    </cfRule>
    <cfRule type="cellIs" dxfId="20279" priority="6961" stopIfTrue="1" operator="equal">
      <formula>"Napkin Hs"</formula>
    </cfRule>
  </conditionalFormatting>
  <conditionalFormatting sqref="C65">
    <cfRule type="cellIs" dxfId="20278" priority="6968" stopIfTrue="1" operator="equal">
      <formula>"Towel"</formula>
    </cfRule>
    <cfRule type="cellIs" dxfId="20277" priority="6969" stopIfTrue="1" operator="equal">
      <formula>"Napkin Hs"</formula>
    </cfRule>
  </conditionalFormatting>
  <conditionalFormatting sqref="C65">
    <cfRule type="cellIs" dxfId="20276" priority="6970" stopIfTrue="1" operator="equal">
      <formula>"Towel"</formula>
    </cfRule>
    <cfRule type="cellIs" dxfId="20275" priority="6971" stopIfTrue="1" operator="equal">
      <formula>"Napkin Hs"</formula>
    </cfRule>
  </conditionalFormatting>
  <conditionalFormatting sqref="C65">
    <cfRule type="cellIs" dxfId="20274" priority="6952" stopIfTrue="1" operator="equal">
      <formula>"Towel"</formula>
    </cfRule>
    <cfRule type="cellIs" dxfId="20273" priority="6953" stopIfTrue="1" operator="equal">
      <formula>"Napkin Hs"</formula>
    </cfRule>
  </conditionalFormatting>
  <conditionalFormatting sqref="B65:C65">
    <cfRule type="cellIs" dxfId="20272" priority="6954" stopIfTrue="1" operator="equal">
      <formula>"Towel"</formula>
    </cfRule>
    <cfRule type="cellIs" dxfId="20271" priority="6955" stopIfTrue="1" operator="equal">
      <formula>"Napkin Hs"</formula>
    </cfRule>
  </conditionalFormatting>
  <conditionalFormatting sqref="C65">
    <cfRule type="cellIs" dxfId="20270" priority="6950" stopIfTrue="1" operator="equal">
      <formula>"Towel"</formula>
    </cfRule>
    <cfRule type="cellIs" dxfId="20269" priority="6951" stopIfTrue="1" operator="equal">
      <formula>"Napkin Hs"</formula>
    </cfRule>
  </conditionalFormatting>
  <conditionalFormatting sqref="B65:C65">
    <cfRule type="cellIs" dxfId="20268" priority="6948" stopIfTrue="1" operator="equal">
      <formula>"Towel"</formula>
    </cfRule>
    <cfRule type="cellIs" dxfId="20267" priority="6949" stopIfTrue="1" operator="equal">
      <formula>"Napkin Hs"</formula>
    </cfRule>
  </conditionalFormatting>
  <conditionalFormatting sqref="C65">
    <cfRule type="cellIs" dxfId="20266" priority="6956" stopIfTrue="1" operator="equal">
      <formula>"Towel"</formula>
    </cfRule>
    <cfRule type="cellIs" dxfId="20265" priority="6957" stopIfTrue="1" operator="equal">
      <formula>"Napkin Hs"</formula>
    </cfRule>
  </conditionalFormatting>
  <conditionalFormatting sqref="C65">
    <cfRule type="cellIs" dxfId="20264" priority="6958" stopIfTrue="1" operator="equal">
      <formula>"Towel"</formula>
    </cfRule>
    <cfRule type="cellIs" dxfId="20263" priority="6959" stopIfTrue="1" operator="equal">
      <formula>"Napkin Hs"</formula>
    </cfRule>
  </conditionalFormatting>
  <conditionalFormatting sqref="C65">
    <cfRule type="cellIs" dxfId="20262" priority="6940" stopIfTrue="1" operator="equal">
      <formula>"Towel"</formula>
    </cfRule>
    <cfRule type="cellIs" dxfId="20261" priority="6941" stopIfTrue="1" operator="equal">
      <formula>"Napkin Hs"</formula>
    </cfRule>
  </conditionalFormatting>
  <conditionalFormatting sqref="B65:C65">
    <cfRule type="cellIs" dxfId="20260" priority="6942" stopIfTrue="1" operator="equal">
      <formula>"Towel"</formula>
    </cfRule>
    <cfRule type="cellIs" dxfId="20259" priority="6943" stopIfTrue="1" operator="equal">
      <formula>"Napkin Hs"</formula>
    </cfRule>
  </conditionalFormatting>
  <conditionalFormatting sqref="C65">
    <cfRule type="cellIs" dxfId="20258" priority="6938" stopIfTrue="1" operator="equal">
      <formula>"Towel"</formula>
    </cfRule>
    <cfRule type="cellIs" dxfId="20257" priority="6939" stopIfTrue="1" operator="equal">
      <formula>"Napkin Hs"</formula>
    </cfRule>
  </conditionalFormatting>
  <conditionalFormatting sqref="B65:C65">
    <cfRule type="cellIs" dxfId="20256" priority="6936" stopIfTrue="1" operator="equal">
      <formula>"Towel"</formula>
    </cfRule>
    <cfRule type="cellIs" dxfId="20255" priority="6937" stopIfTrue="1" operator="equal">
      <formula>"Napkin Hs"</formula>
    </cfRule>
  </conditionalFormatting>
  <conditionalFormatting sqref="C65">
    <cfRule type="cellIs" dxfId="20254" priority="6944" stopIfTrue="1" operator="equal">
      <formula>"Towel"</formula>
    </cfRule>
    <cfRule type="cellIs" dxfId="20253" priority="6945" stopIfTrue="1" operator="equal">
      <formula>"Napkin Hs"</formula>
    </cfRule>
  </conditionalFormatting>
  <conditionalFormatting sqref="C65">
    <cfRule type="cellIs" dxfId="20252" priority="6946" stopIfTrue="1" operator="equal">
      <formula>"Towel"</formula>
    </cfRule>
    <cfRule type="cellIs" dxfId="20251" priority="6947" stopIfTrue="1" operator="equal">
      <formula>"Napkin Hs"</formula>
    </cfRule>
  </conditionalFormatting>
  <conditionalFormatting sqref="B65:C65">
    <cfRule type="cellIs" dxfId="20250" priority="6934" stopIfTrue="1" operator="equal">
      <formula>"Towel"</formula>
    </cfRule>
    <cfRule type="cellIs" dxfId="20249" priority="6935" stopIfTrue="1" operator="equal">
      <formula>"Napkin Hs"</formula>
    </cfRule>
  </conditionalFormatting>
  <conditionalFormatting sqref="C65">
    <cfRule type="cellIs" dxfId="20248" priority="6930" stopIfTrue="1" operator="equal">
      <formula>"Towel"</formula>
    </cfRule>
    <cfRule type="cellIs" dxfId="20247" priority="6931" stopIfTrue="1" operator="equal">
      <formula>"Napkin Hs"</formula>
    </cfRule>
  </conditionalFormatting>
  <conditionalFormatting sqref="C65">
    <cfRule type="cellIs" dxfId="20246" priority="6933" stopIfTrue="1" operator="equal">
      <formula>"Napkin Hs"</formula>
    </cfRule>
  </conditionalFormatting>
  <conditionalFormatting sqref="C65">
    <cfRule type="cellIs" dxfId="20245" priority="6932" stopIfTrue="1" operator="equal">
      <formula>"Towel"</formula>
    </cfRule>
  </conditionalFormatting>
  <conditionalFormatting sqref="B65:C65">
    <cfRule type="cellIs" dxfId="20244" priority="6928" stopIfTrue="1" operator="equal">
      <formula>"Towel"</formula>
    </cfRule>
    <cfRule type="cellIs" dxfId="20243" priority="6929" stopIfTrue="1" operator="equal">
      <formula>"Napkin Hs"</formula>
    </cfRule>
  </conditionalFormatting>
  <conditionalFormatting sqref="C65">
    <cfRule type="cellIs" dxfId="20242" priority="6924" stopIfTrue="1" operator="equal">
      <formula>"Towel"</formula>
    </cfRule>
    <cfRule type="cellIs" dxfId="20241" priority="6925" stopIfTrue="1" operator="equal">
      <formula>"Napkin Hs"</formula>
    </cfRule>
  </conditionalFormatting>
  <conditionalFormatting sqref="C65">
    <cfRule type="cellIs" dxfId="20240" priority="6927" stopIfTrue="1" operator="equal">
      <formula>"Napkin Hs"</formula>
    </cfRule>
  </conditionalFormatting>
  <conditionalFormatting sqref="C65">
    <cfRule type="cellIs" dxfId="20239" priority="6926" stopIfTrue="1" operator="equal">
      <formula>"Towel"</formula>
    </cfRule>
  </conditionalFormatting>
  <conditionalFormatting sqref="C65">
    <cfRule type="cellIs" dxfId="20238" priority="6916" stopIfTrue="1" operator="equal">
      <formula>"Towel"</formula>
    </cfRule>
    <cfRule type="cellIs" dxfId="20237" priority="6917" stopIfTrue="1" operator="equal">
      <formula>"Napkin Hs"</formula>
    </cfRule>
  </conditionalFormatting>
  <conditionalFormatting sqref="B65:C65">
    <cfRule type="cellIs" dxfId="20236" priority="6918" stopIfTrue="1" operator="equal">
      <formula>"Towel"</formula>
    </cfRule>
    <cfRule type="cellIs" dxfId="20235" priority="6919" stopIfTrue="1" operator="equal">
      <formula>"Napkin Hs"</formula>
    </cfRule>
  </conditionalFormatting>
  <conditionalFormatting sqref="C65">
    <cfRule type="cellIs" dxfId="20234" priority="6914" stopIfTrue="1" operator="equal">
      <formula>"Towel"</formula>
    </cfRule>
    <cfRule type="cellIs" dxfId="20233" priority="6915" stopIfTrue="1" operator="equal">
      <formula>"Napkin Hs"</formula>
    </cfRule>
  </conditionalFormatting>
  <conditionalFormatting sqref="B65:C65">
    <cfRule type="cellIs" dxfId="20232" priority="6912" stopIfTrue="1" operator="equal">
      <formula>"Towel"</formula>
    </cfRule>
    <cfRule type="cellIs" dxfId="20231" priority="6913" stopIfTrue="1" operator="equal">
      <formula>"Napkin Hs"</formula>
    </cfRule>
  </conditionalFormatting>
  <conditionalFormatting sqref="C65">
    <cfRule type="cellIs" dxfId="20230" priority="6920" stopIfTrue="1" operator="equal">
      <formula>"Towel"</formula>
    </cfRule>
    <cfRule type="cellIs" dxfId="20229" priority="6921" stopIfTrue="1" operator="equal">
      <formula>"Napkin Hs"</formula>
    </cfRule>
  </conditionalFormatting>
  <conditionalFormatting sqref="C65">
    <cfRule type="cellIs" dxfId="20228" priority="6922" stopIfTrue="1" operator="equal">
      <formula>"Towel"</formula>
    </cfRule>
    <cfRule type="cellIs" dxfId="20227" priority="6923" stopIfTrue="1" operator="equal">
      <formula>"Napkin Hs"</formula>
    </cfRule>
  </conditionalFormatting>
  <conditionalFormatting sqref="B65:C65">
    <cfRule type="cellIs" dxfId="20226" priority="6910" stopIfTrue="1" operator="equal">
      <formula>"Towel"</formula>
    </cfRule>
    <cfRule type="cellIs" dxfId="20225" priority="6911" stopIfTrue="1" operator="equal">
      <formula>"Napkin Hs"</formula>
    </cfRule>
  </conditionalFormatting>
  <conditionalFormatting sqref="C65">
    <cfRule type="cellIs" dxfId="20224" priority="6902" stopIfTrue="1" operator="equal">
      <formula>"Towel"</formula>
    </cfRule>
    <cfRule type="cellIs" dxfId="20223" priority="6903" stopIfTrue="1" operator="equal">
      <formula>"Napkin Hs"</formula>
    </cfRule>
  </conditionalFormatting>
  <conditionalFormatting sqref="C65">
    <cfRule type="cellIs" dxfId="20222" priority="6906" stopIfTrue="1" operator="equal">
      <formula>"Towel"</formula>
    </cfRule>
    <cfRule type="cellIs" dxfId="20221" priority="6907" stopIfTrue="1" operator="equal">
      <formula>"Napkin Hs"</formula>
    </cfRule>
  </conditionalFormatting>
  <conditionalFormatting sqref="C65">
    <cfRule type="cellIs" dxfId="20220" priority="6909" stopIfTrue="1" operator="equal">
      <formula>"Napkin Hs"</formula>
    </cfRule>
  </conditionalFormatting>
  <conditionalFormatting sqref="C65">
    <cfRule type="cellIs" dxfId="20219" priority="6904" stopIfTrue="1" operator="equal">
      <formula>"Towel"</formula>
    </cfRule>
    <cfRule type="cellIs" dxfId="20218" priority="6905" stopIfTrue="1" operator="equal">
      <formula>"Napkin Hs"</formula>
    </cfRule>
  </conditionalFormatting>
  <conditionalFormatting sqref="C65">
    <cfRule type="cellIs" dxfId="20217" priority="6908" stopIfTrue="1" operator="equal">
      <formula>"Towel"</formula>
    </cfRule>
  </conditionalFormatting>
  <conditionalFormatting sqref="C65">
    <cfRule type="cellIs" dxfId="20216" priority="6900" stopIfTrue="1" operator="equal">
      <formula>"Towel"</formula>
    </cfRule>
    <cfRule type="cellIs" dxfId="20215" priority="6901" stopIfTrue="1" operator="equal">
      <formula>"Napkin Hs"</formula>
    </cfRule>
  </conditionalFormatting>
  <conditionalFormatting sqref="B65">
    <cfRule type="cellIs" dxfId="20214" priority="6898" stopIfTrue="1" operator="equal">
      <formula>"Towel"</formula>
    </cfRule>
    <cfRule type="cellIs" dxfId="20213" priority="6899" stopIfTrue="1" operator="equal">
      <formula>"Napkin Hs"</formula>
    </cfRule>
  </conditionalFormatting>
  <conditionalFormatting sqref="B65:C65">
    <cfRule type="cellIs" dxfId="20212" priority="6896" stopIfTrue="1" operator="equal">
      <formula>"Towel"</formula>
    </cfRule>
    <cfRule type="cellIs" dxfId="20211" priority="6897" stopIfTrue="1" operator="equal">
      <formula>"Napkin Hs"</formula>
    </cfRule>
  </conditionalFormatting>
  <conditionalFormatting sqref="C65">
    <cfRule type="cellIs" dxfId="20210" priority="6888" stopIfTrue="1" operator="equal">
      <formula>"Towel"</formula>
    </cfRule>
    <cfRule type="cellIs" dxfId="20209" priority="6889" stopIfTrue="1" operator="equal">
      <formula>"Napkin Hs"</formula>
    </cfRule>
  </conditionalFormatting>
  <conditionalFormatting sqref="C65">
    <cfRule type="cellIs" dxfId="20208" priority="6892" stopIfTrue="1" operator="equal">
      <formula>"Towel"</formula>
    </cfRule>
    <cfRule type="cellIs" dxfId="20207" priority="6893" stopIfTrue="1" operator="equal">
      <formula>"Napkin Hs"</formula>
    </cfRule>
  </conditionalFormatting>
  <conditionalFormatting sqref="C65">
    <cfRule type="cellIs" dxfId="20206" priority="6895" stopIfTrue="1" operator="equal">
      <formula>"Napkin Hs"</formula>
    </cfRule>
  </conditionalFormatting>
  <conditionalFormatting sqref="C65">
    <cfRule type="cellIs" dxfId="20205" priority="6890" stopIfTrue="1" operator="equal">
      <formula>"Towel"</formula>
    </cfRule>
    <cfRule type="cellIs" dxfId="20204" priority="6891" stopIfTrue="1" operator="equal">
      <formula>"Napkin Hs"</formula>
    </cfRule>
  </conditionalFormatting>
  <conditionalFormatting sqref="C65">
    <cfRule type="cellIs" dxfId="20203" priority="6894" stopIfTrue="1" operator="equal">
      <formula>"Towel"</formula>
    </cfRule>
  </conditionalFormatting>
  <conditionalFormatting sqref="C65">
    <cfRule type="cellIs" dxfId="20202" priority="6886" stopIfTrue="1" operator="equal">
      <formula>"Towel"</formula>
    </cfRule>
    <cfRule type="cellIs" dxfId="20201" priority="6887" stopIfTrue="1" operator="equal">
      <formula>"Napkin Hs"</formula>
    </cfRule>
  </conditionalFormatting>
  <conditionalFormatting sqref="B65">
    <cfRule type="cellIs" dxfId="20200" priority="6884" stopIfTrue="1" operator="equal">
      <formula>"Towel"</formula>
    </cfRule>
    <cfRule type="cellIs" dxfId="20199" priority="6885" stopIfTrue="1" operator="equal">
      <formula>"Napkin Hs"</formula>
    </cfRule>
  </conditionalFormatting>
  <conditionalFormatting sqref="B65:C65">
    <cfRule type="cellIs" dxfId="20198" priority="6860" stopIfTrue="1" operator="equal">
      <formula>"Towel"</formula>
    </cfRule>
  </conditionalFormatting>
  <conditionalFormatting sqref="B65:C65">
    <cfRule type="cellIs" dxfId="20197" priority="6861" stopIfTrue="1" operator="equal">
      <formula>"Napkin Hs"</formula>
    </cfRule>
    <cfRule type="cellIs" dxfId="20196" priority="6866" stopIfTrue="1" operator="equal">
      <formula>"Towel"</formula>
    </cfRule>
    <cfRule type="cellIs" dxfId="20195" priority="6867" stopIfTrue="1" operator="equal">
      <formula>"Napkin Hs"</formula>
    </cfRule>
    <cfRule type="cellIs" dxfId="20194" priority="6876" stopIfTrue="1" operator="equal">
      <formula>"Towel"</formula>
    </cfRule>
    <cfRule type="cellIs" dxfId="20193" priority="6877" stopIfTrue="1" operator="equal">
      <formula>"Napkin Hs"</formula>
    </cfRule>
    <cfRule type="cellIs" dxfId="20192" priority="6882" stopIfTrue="1" operator="equal">
      <formula>"Towel"</formula>
    </cfRule>
    <cfRule type="cellIs" dxfId="20191" priority="6883" stopIfTrue="1" operator="equal">
      <formula>"Napkin Hs"</formula>
    </cfRule>
  </conditionalFormatting>
  <conditionalFormatting sqref="C65">
    <cfRule type="cellIs" dxfId="20190" priority="6862" stopIfTrue="1" operator="equal">
      <formula>"Towel"</formula>
    </cfRule>
    <cfRule type="cellIs" dxfId="20189" priority="6863" stopIfTrue="1" operator="equal">
      <formula>"Napkin Hs"</formula>
    </cfRule>
    <cfRule type="cellIs" dxfId="20188" priority="6864" stopIfTrue="1" operator="equal">
      <formula>"Towel"</formula>
    </cfRule>
    <cfRule type="cellIs" dxfId="20187" priority="6865" stopIfTrue="1" operator="equal">
      <formula>"Napkin Hs"</formula>
    </cfRule>
    <cfRule type="cellIs" dxfId="20186" priority="6868" stopIfTrue="1" operator="equal">
      <formula>"Towel"</formula>
    </cfRule>
    <cfRule type="cellIs" dxfId="20185" priority="6869" stopIfTrue="1" operator="equal">
      <formula>"Napkin Hs"</formula>
    </cfRule>
    <cfRule type="cellIs" dxfId="20184" priority="6870" stopIfTrue="1" operator="equal">
      <formula>"Towel"</formula>
    </cfRule>
    <cfRule type="cellIs" dxfId="20183" priority="6871" stopIfTrue="1" operator="equal">
      <formula>"Napkin Hs"</formula>
    </cfRule>
    <cfRule type="cellIs" dxfId="20182" priority="6872" stopIfTrue="1" operator="equal">
      <formula>"Towel"</formula>
    </cfRule>
    <cfRule type="cellIs" dxfId="20181" priority="6873" stopIfTrue="1" operator="equal">
      <formula>"Napkin Hs"</formula>
    </cfRule>
    <cfRule type="cellIs" dxfId="20180" priority="6874" stopIfTrue="1" operator="equal">
      <formula>"Towel"</formula>
    </cfRule>
    <cfRule type="cellIs" dxfId="20179" priority="6875" stopIfTrue="1" operator="equal">
      <formula>"Napkin Hs"</formula>
    </cfRule>
    <cfRule type="cellIs" dxfId="20178" priority="6878" stopIfTrue="1" operator="equal">
      <formula>"Towel"</formula>
    </cfRule>
    <cfRule type="cellIs" dxfId="20177" priority="6879" stopIfTrue="1" operator="equal">
      <formula>"Napkin Hs"</formula>
    </cfRule>
    <cfRule type="cellIs" dxfId="20176" priority="6881" stopIfTrue="1" operator="equal">
      <formula>"Napkin Hs"</formula>
    </cfRule>
  </conditionalFormatting>
  <conditionalFormatting sqref="C65">
    <cfRule type="cellIs" dxfId="20175" priority="6880" stopIfTrue="1" operator="equal">
      <formula>"Towel"</formula>
    </cfRule>
  </conditionalFormatting>
  <conditionalFormatting sqref="B65:C65">
    <cfRule type="cellIs" dxfId="20174" priority="6858" stopIfTrue="1" operator="equal">
      <formula>"Towel"</formula>
    </cfRule>
    <cfRule type="cellIs" dxfId="20173" priority="6859" stopIfTrue="1" operator="equal">
      <formula>"Napkin Hs"</formula>
    </cfRule>
  </conditionalFormatting>
  <conditionalFormatting sqref="C65">
    <cfRule type="cellIs" dxfId="20172" priority="6857" stopIfTrue="1" operator="equal">
      <formula>"Napkin Hs"</formula>
    </cfRule>
  </conditionalFormatting>
  <conditionalFormatting sqref="C65">
    <cfRule type="cellIs" dxfId="20171" priority="6856" stopIfTrue="1" operator="equal">
      <formula>"Towel"</formula>
    </cfRule>
  </conditionalFormatting>
  <conditionalFormatting sqref="C65">
    <cfRule type="cellIs" dxfId="20170" priority="6854" stopIfTrue="1" operator="equal">
      <formula>"Towel"</formula>
    </cfRule>
  </conditionalFormatting>
  <conditionalFormatting sqref="C65">
    <cfRule type="cellIs" dxfId="20169" priority="6855" stopIfTrue="1" operator="equal">
      <formula>"Napkin Hs"</formula>
    </cfRule>
  </conditionalFormatting>
  <conditionalFormatting sqref="B65">
    <cfRule type="cellIs" dxfId="20168" priority="6758" stopIfTrue="1" operator="equal">
      <formula>"Napkin Hs"</formula>
    </cfRule>
  </conditionalFormatting>
  <conditionalFormatting sqref="B65:C65">
    <cfRule type="cellIs" dxfId="20167" priority="6757" stopIfTrue="1" operator="equal">
      <formula>"Towel"</formula>
    </cfRule>
  </conditionalFormatting>
  <conditionalFormatting sqref="B65:C65">
    <cfRule type="cellIs" dxfId="20166" priority="6768" stopIfTrue="1" operator="equal">
      <formula>"Towel"</formula>
    </cfRule>
    <cfRule type="cellIs" dxfId="20165" priority="6769" stopIfTrue="1" operator="equal">
      <formula>"Napkin Hs"</formula>
    </cfRule>
    <cfRule type="cellIs" dxfId="20164" priority="6774" stopIfTrue="1" operator="equal">
      <formula>"Towel"</formula>
    </cfRule>
    <cfRule type="cellIs" dxfId="20163" priority="6775" stopIfTrue="1" operator="equal">
      <formula>"Napkin Hs"</formula>
    </cfRule>
    <cfRule type="cellIs" dxfId="20162" priority="6780" stopIfTrue="1" operator="equal">
      <formula>"Towel"</formula>
    </cfRule>
    <cfRule type="cellIs" dxfId="20161" priority="6781" stopIfTrue="1" operator="equal">
      <formula>"Napkin Hs"</formula>
    </cfRule>
    <cfRule type="cellIs" dxfId="20160" priority="6782" stopIfTrue="1" operator="equal">
      <formula>"Towel"</formula>
    </cfRule>
    <cfRule type="cellIs" dxfId="20159" priority="6783" stopIfTrue="1" operator="equal">
      <formula>"Napkin Hs"</formula>
    </cfRule>
    <cfRule type="cellIs" dxfId="20158" priority="6788" stopIfTrue="1" operator="equal">
      <formula>"Towel"</formula>
    </cfRule>
    <cfRule type="cellIs" dxfId="20157" priority="6789" stopIfTrue="1" operator="equal">
      <formula>"Napkin Hs"</formula>
    </cfRule>
    <cfRule type="cellIs" dxfId="20156" priority="6798" stopIfTrue="1" operator="equal">
      <formula>"Towel"</formula>
    </cfRule>
    <cfRule type="cellIs" dxfId="20155" priority="6799" stopIfTrue="1" operator="equal">
      <formula>"Napkin Hs"</formula>
    </cfRule>
    <cfRule type="cellIs" dxfId="20154" priority="6804" stopIfTrue="1" operator="equal">
      <formula>"Towel"</formula>
    </cfRule>
    <cfRule type="cellIs" dxfId="20153" priority="6805" stopIfTrue="1" operator="equal">
      <formula>"Napkin Hs"</formula>
    </cfRule>
    <cfRule type="cellIs" dxfId="20152" priority="6806" stopIfTrue="1" operator="equal">
      <formula>"Towel"</formula>
    </cfRule>
    <cfRule type="cellIs" dxfId="20151" priority="6807" stopIfTrue="1" operator="equal">
      <formula>"Napkin Hs"</formula>
    </cfRule>
    <cfRule type="cellIs" dxfId="20150" priority="6812" stopIfTrue="1" operator="equal">
      <formula>"Towel"</formula>
    </cfRule>
    <cfRule type="cellIs" dxfId="20149" priority="6813" stopIfTrue="1" operator="equal">
      <formula>"Napkin Hs"</formula>
    </cfRule>
    <cfRule type="cellIs" dxfId="20148" priority="6822" stopIfTrue="1" operator="equal">
      <formula>"Towel"</formula>
    </cfRule>
    <cfRule type="cellIs" dxfId="20147" priority="6823" stopIfTrue="1" operator="equal">
      <formula>"Napkin Hs"</formula>
    </cfRule>
    <cfRule type="cellIs" dxfId="20146" priority="6824" stopIfTrue="1" operator="equal">
      <formula>"Towel"</formula>
    </cfRule>
    <cfRule type="cellIs" dxfId="20145" priority="6825" stopIfTrue="1" operator="equal">
      <formula>"Napkin Hs"</formula>
    </cfRule>
    <cfRule type="cellIs" dxfId="20144" priority="6830" stopIfTrue="1" operator="equal">
      <formula>"Towel"</formula>
    </cfRule>
    <cfRule type="cellIs" dxfId="20143" priority="6831" stopIfTrue="1" operator="equal">
      <formula>"Napkin Hs"</formula>
    </cfRule>
    <cfRule type="cellIs" dxfId="20142" priority="6840" stopIfTrue="1" operator="equal">
      <formula>"Towel"</formula>
    </cfRule>
    <cfRule type="cellIs" dxfId="20141" priority="6841" stopIfTrue="1" operator="equal">
      <formula>"Napkin Hs"</formula>
    </cfRule>
    <cfRule type="cellIs" dxfId="20140" priority="6842" stopIfTrue="1" operator="equal">
      <formula>"Towel"</formula>
    </cfRule>
    <cfRule type="cellIs" dxfId="20139" priority="6843" stopIfTrue="1" operator="equal">
      <formula>"Napkin Hs"</formula>
    </cfRule>
    <cfRule type="cellIs" dxfId="20138" priority="6849" stopIfTrue="1" operator="equal">
      <formula>"Napkin Hs"</formula>
    </cfRule>
  </conditionalFormatting>
  <conditionalFormatting sqref="B65:C65">
    <cfRule type="cellIs" dxfId="20137" priority="6848" stopIfTrue="1" operator="equal">
      <formula>"Towel"</formula>
    </cfRule>
  </conditionalFormatting>
  <conditionalFormatting sqref="C65">
    <cfRule type="cellIs" dxfId="20136" priority="6759" stopIfTrue="1" operator="equal">
      <formula>"Napkin Hs"</formula>
    </cfRule>
    <cfRule type="cellIs" dxfId="20135" priority="6760" stopIfTrue="1" operator="equal">
      <formula>"Towel"</formula>
    </cfRule>
    <cfRule type="cellIs" dxfId="20134" priority="6761" stopIfTrue="1" operator="equal">
      <formula>"Napkin Hs"</formula>
    </cfRule>
    <cfRule type="cellIs" dxfId="20133" priority="6762" stopIfTrue="1" operator="equal">
      <formula>"Towel"</formula>
    </cfRule>
    <cfRule type="cellIs" dxfId="20132" priority="6763" stopIfTrue="1" operator="equal">
      <formula>"Napkin Hs"</formula>
    </cfRule>
    <cfRule type="cellIs" dxfId="20131" priority="6764" stopIfTrue="1" operator="equal">
      <formula>"Towel"</formula>
    </cfRule>
    <cfRule type="cellIs" dxfId="20130" priority="6765" stopIfTrue="1" operator="equal">
      <formula>"Napkin Hs"</formula>
    </cfRule>
    <cfRule type="cellIs" dxfId="20129" priority="6766" stopIfTrue="1" operator="equal">
      <formula>"Towel"</formula>
    </cfRule>
    <cfRule type="cellIs" dxfId="20128" priority="6767" stopIfTrue="1" operator="equal">
      <formula>"Napkin Hs"</formula>
    </cfRule>
    <cfRule type="cellIs" dxfId="20127" priority="6770" stopIfTrue="1" operator="equal">
      <formula>"Towel"</formula>
    </cfRule>
    <cfRule type="cellIs" dxfId="20126" priority="6771" stopIfTrue="1" operator="equal">
      <formula>"Napkin Hs"</formula>
    </cfRule>
    <cfRule type="cellIs" dxfId="20125" priority="6772" stopIfTrue="1" operator="equal">
      <formula>"Towel"</formula>
    </cfRule>
    <cfRule type="cellIs" dxfId="20124" priority="6773" stopIfTrue="1" operator="equal">
      <formula>"Napkin Hs"</formula>
    </cfRule>
    <cfRule type="cellIs" dxfId="20123" priority="6776" stopIfTrue="1" operator="equal">
      <formula>"Towel"</formula>
    </cfRule>
    <cfRule type="cellIs" dxfId="20122" priority="6777" stopIfTrue="1" operator="equal">
      <formula>"Napkin Hs"</formula>
    </cfRule>
    <cfRule type="cellIs" dxfId="20121" priority="6778" stopIfTrue="1" operator="equal">
      <formula>"Towel"</formula>
    </cfRule>
    <cfRule type="cellIs" dxfId="20120" priority="6779" stopIfTrue="1" operator="equal">
      <formula>"Napkin Hs"</formula>
    </cfRule>
    <cfRule type="cellIs" dxfId="20119" priority="6784" stopIfTrue="1" operator="equal">
      <formula>"Towel"</formula>
    </cfRule>
    <cfRule type="cellIs" dxfId="20118" priority="6785" stopIfTrue="1" operator="equal">
      <formula>"Napkin Hs"</formula>
    </cfRule>
    <cfRule type="cellIs" dxfId="20117" priority="6786" stopIfTrue="1" operator="equal">
      <formula>"Towel"</formula>
    </cfRule>
    <cfRule type="cellIs" dxfId="20116" priority="6787" stopIfTrue="1" operator="equal">
      <formula>"Napkin Hs"</formula>
    </cfRule>
    <cfRule type="cellIs" dxfId="20115" priority="6790" stopIfTrue="1" operator="equal">
      <formula>"Towel"</formula>
    </cfRule>
    <cfRule type="cellIs" dxfId="20114" priority="6791" stopIfTrue="1" operator="equal">
      <formula>"Napkin Hs"</formula>
    </cfRule>
    <cfRule type="cellIs" dxfId="20113" priority="6792" stopIfTrue="1" operator="equal">
      <formula>"Towel"</formula>
    </cfRule>
    <cfRule type="cellIs" dxfId="20112" priority="6793" stopIfTrue="1" operator="equal">
      <formula>"Napkin Hs"</formula>
    </cfRule>
    <cfRule type="cellIs" dxfId="20111" priority="6794" stopIfTrue="1" operator="equal">
      <formula>"Towel"</formula>
    </cfRule>
    <cfRule type="cellIs" dxfId="20110" priority="6795" stopIfTrue="1" operator="equal">
      <formula>"Napkin Hs"</formula>
    </cfRule>
    <cfRule type="cellIs" dxfId="20109" priority="6796" stopIfTrue="1" operator="equal">
      <formula>"Towel"</formula>
    </cfRule>
    <cfRule type="cellIs" dxfId="20108" priority="6797" stopIfTrue="1" operator="equal">
      <formula>"Napkin Hs"</formula>
    </cfRule>
    <cfRule type="cellIs" dxfId="20107" priority="6800" stopIfTrue="1" operator="equal">
      <formula>"Towel"</formula>
    </cfRule>
    <cfRule type="cellIs" dxfId="20106" priority="6801" stopIfTrue="1" operator="equal">
      <formula>"Napkin Hs"</formula>
    </cfRule>
    <cfRule type="cellIs" dxfId="20105" priority="6802" stopIfTrue="1" operator="equal">
      <formula>"Towel"</formula>
    </cfRule>
    <cfRule type="cellIs" dxfId="20104" priority="6803" stopIfTrue="1" operator="equal">
      <formula>"Napkin Hs"</formula>
    </cfRule>
    <cfRule type="cellIs" dxfId="20103" priority="6808" stopIfTrue="1" operator="equal">
      <formula>"Towel"</formula>
    </cfRule>
    <cfRule type="cellIs" dxfId="20102" priority="6809" stopIfTrue="1" operator="equal">
      <formula>"Napkin Hs"</formula>
    </cfRule>
    <cfRule type="cellIs" dxfId="20101" priority="6810" stopIfTrue="1" operator="equal">
      <formula>"Towel"</formula>
    </cfRule>
    <cfRule type="cellIs" dxfId="20100" priority="6811" stopIfTrue="1" operator="equal">
      <formula>"Napkin Hs"</formula>
    </cfRule>
    <cfRule type="cellIs" dxfId="20099" priority="6814" stopIfTrue="1" operator="equal">
      <formula>"Towel"</formula>
    </cfRule>
    <cfRule type="cellIs" dxfId="20098" priority="6815" stopIfTrue="1" operator="equal">
      <formula>"Napkin Hs"</formula>
    </cfRule>
    <cfRule type="cellIs" dxfId="20097" priority="6816" stopIfTrue="1" operator="equal">
      <formula>"Towel"</formula>
    </cfRule>
    <cfRule type="cellIs" dxfId="20096" priority="6817" stopIfTrue="1" operator="equal">
      <formula>"Napkin Hs"</formula>
    </cfRule>
    <cfRule type="cellIs" dxfId="20095" priority="6818" stopIfTrue="1" operator="equal">
      <formula>"Towel"</formula>
    </cfRule>
    <cfRule type="cellIs" dxfId="20094" priority="6819" stopIfTrue="1" operator="equal">
      <formula>"Napkin Hs"</formula>
    </cfRule>
    <cfRule type="cellIs" dxfId="20093" priority="6820" stopIfTrue="1" operator="equal">
      <formula>"Towel"</formula>
    </cfRule>
    <cfRule type="cellIs" dxfId="20092" priority="6821" stopIfTrue="1" operator="equal">
      <formula>"Napkin Hs"</formula>
    </cfRule>
    <cfRule type="cellIs" dxfId="20091" priority="6826" stopIfTrue="1" operator="equal">
      <formula>"Towel"</formula>
    </cfRule>
    <cfRule type="cellIs" dxfId="20090" priority="6827" stopIfTrue="1" operator="equal">
      <formula>"Napkin Hs"</formula>
    </cfRule>
    <cfRule type="cellIs" dxfId="20089" priority="6828" stopIfTrue="1" operator="equal">
      <formula>"Towel"</formula>
    </cfRule>
    <cfRule type="cellIs" dxfId="20088" priority="6829" stopIfTrue="1" operator="equal">
      <formula>"Napkin Hs"</formula>
    </cfRule>
    <cfRule type="cellIs" dxfId="20087" priority="6832" stopIfTrue="1" operator="equal">
      <formula>"Towel"</formula>
    </cfRule>
    <cfRule type="cellIs" dxfId="20086" priority="6833" stopIfTrue="1" operator="equal">
      <formula>"Napkin Hs"</formula>
    </cfRule>
    <cfRule type="cellIs" dxfId="20085" priority="6834" stopIfTrue="1" operator="equal">
      <formula>"Towel"</formula>
    </cfRule>
    <cfRule type="cellIs" dxfId="20084" priority="6835" stopIfTrue="1" operator="equal">
      <formula>"Napkin Hs"</formula>
    </cfRule>
    <cfRule type="cellIs" dxfId="20083" priority="6836" stopIfTrue="1" operator="equal">
      <formula>"Towel"</formula>
    </cfRule>
    <cfRule type="cellIs" dxfId="20082" priority="6837" stopIfTrue="1" operator="equal">
      <formula>"Napkin Hs"</formula>
    </cfRule>
    <cfRule type="cellIs" dxfId="20081" priority="6838" stopIfTrue="1" operator="equal">
      <formula>"Towel"</formula>
    </cfRule>
    <cfRule type="cellIs" dxfId="20080" priority="6839" stopIfTrue="1" operator="equal">
      <formula>"Napkin Hs"</formula>
    </cfRule>
    <cfRule type="cellIs" dxfId="20079" priority="6844" stopIfTrue="1" operator="equal">
      <formula>"Towel"</formula>
    </cfRule>
    <cfRule type="cellIs" dxfId="20078" priority="6845" stopIfTrue="1" operator="equal">
      <formula>"Napkin Hs"</formula>
    </cfRule>
    <cfRule type="cellIs" dxfId="20077" priority="6846" stopIfTrue="1" operator="equal">
      <formula>"Towel"</formula>
    </cfRule>
    <cfRule type="cellIs" dxfId="20076" priority="6847" stopIfTrue="1" operator="equal">
      <formula>"Napkin Hs"</formula>
    </cfRule>
    <cfRule type="cellIs" dxfId="20075" priority="6850" stopIfTrue="1" operator="equal">
      <formula>"Towel"</formula>
    </cfRule>
    <cfRule type="cellIs" dxfId="20074" priority="6851" stopIfTrue="1" operator="equal">
      <formula>"Napkin Hs"</formula>
    </cfRule>
    <cfRule type="cellIs" dxfId="20073" priority="6852" stopIfTrue="1" operator="equal">
      <formula>"Towel"</formula>
    </cfRule>
    <cfRule type="cellIs" dxfId="20072" priority="6853" stopIfTrue="1" operator="equal">
      <formula>"Napkin Hs"</formula>
    </cfRule>
  </conditionalFormatting>
  <conditionalFormatting sqref="B65:C65">
    <cfRule type="cellIs" dxfId="20071" priority="6755" stopIfTrue="1" operator="equal">
      <formula>"Towel"</formula>
    </cfRule>
    <cfRule type="cellIs" dxfId="20070" priority="6756" stopIfTrue="1" operator="equal">
      <formula>"Napkin Hs"</formula>
    </cfRule>
  </conditionalFormatting>
  <conditionalFormatting sqref="C65">
    <cfRule type="cellIs" dxfId="20069" priority="6751" stopIfTrue="1" operator="equal">
      <formula>"Towel"</formula>
    </cfRule>
    <cfRule type="cellIs" dxfId="20068" priority="6752" stopIfTrue="1" operator="equal">
      <formula>"Napkin Hs"</formula>
    </cfRule>
  </conditionalFormatting>
  <conditionalFormatting sqref="C65">
    <cfRule type="cellIs" dxfId="20067" priority="6754" stopIfTrue="1" operator="equal">
      <formula>"Napkin Hs"</formula>
    </cfRule>
  </conditionalFormatting>
  <conditionalFormatting sqref="C65">
    <cfRule type="cellIs" dxfId="20066" priority="6753" stopIfTrue="1" operator="equal">
      <formula>"Towel"</formula>
    </cfRule>
  </conditionalFormatting>
  <conditionalFormatting sqref="B64:C64">
    <cfRule type="cellIs" dxfId="20065" priority="6749" stopIfTrue="1" operator="equal">
      <formula>"Towel"</formula>
    </cfRule>
    <cfRule type="cellIs" dxfId="20064" priority="6750" stopIfTrue="1" operator="equal">
      <formula>"Napkin Hs"</formula>
    </cfRule>
  </conditionalFormatting>
  <conditionalFormatting sqref="C64">
    <cfRule type="cellIs" dxfId="20063" priority="6747" stopIfTrue="1" operator="equal">
      <formula>"Towel"</formula>
    </cfRule>
    <cfRule type="cellIs" dxfId="20062" priority="6748" stopIfTrue="1" operator="equal">
      <formula>"Napkin Hs"</formula>
    </cfRule>
  </conditionalFormatting>
  <conditionalFormatting sqref="C64">
    <cfRule type="cellIs" dxfId="20061" priority="6745" stopIfTrue="1" operator="equal">
      <formula>"Towel"</formula>
    </cfRule>
    <cfRule type="cellIs" dxfId="20060" priority="6746" stopIfTrue="1" operator="equal">
      <formula>"Napkin Hs"</formula>
    </cfRule>
  </conditionalFormatting>
  <conditionalFormatting sqref="C64">
    <cfRule type="cellIs" dxfId="20059" priority="6731" stopIfTrue="1" operator="equal">
      <formula>"Towel"</formula>
    </cfRule>
    <cfRule type="cellIs" dxfId="20058" priority="6732" stopIfTrue="1" operator="equal">
      <formula>"Napkin Hs"</formula>
    </cfRule>
  </conditionalFormatting>
  <conditionalFormatting sqref="C64">
    <cfRule type="cellIs" dxfId="20057" priority="6729" stopIfTrue="1" operator="equal">
      <formula>"Towel"</formula>
    </cfRule>
    <cfRule type="cellIs" dxfId="20056" priority="6730" stopIfTrue="1" operator="equal">
      <formula>"Napkin Hs"</formula>
    </cfRule>
  </conditionalFormatting>
  <conditionalFormatting sqref="C64">
    <cfRule type="cellIs" dxfId="20055" priority="6737" stopIfTrue="1" operator="equal">
      <formula>"Towel"</formula>
    </cfRule>
    <cfRule type="cellIs" dxfId="20054" priority="6738" stopIfTrue="1" operator="equal">
      <formula>"Napkin Hs"</formula>
    </cfRule>
  </conditionalFormatting>
  <conditionalFormatting sqref="B64:C64">
    <cfRule type="cellIs" dxfId="20053" priority="6739" stopIfTrue="1" operator="equal">
      <formula>"Towel"</formula>
    </cfRule>
    <cfRule type="cellIs" dxfId="20052" priority="6740" stopIfTrue="1" operator="equal">
      <formula>"Napkin Hs"</formula>
    </cfRule>
  </conditionalFormatting>
  <conditionalFormatting sqref="C64">
    <cfRule type="cellIs" dxfId="20051" priority="6735" stopIfTrue="1" operator="equal">
      <formula>"Towel"</formula>
    </cfRule>
    <cfRule type="cellIs" dxfId="20050" priority="6736" stopIfTrue="1" operator="equal">
      <formula>"Napkin Hs"</formula>
    </cfRule>
  </conditionalFormatting>
  <conditionalFormatting sqref="B64:C64">
    <cfRule type="cellIs" dxfId="20049" priority="6733" stopIfTrue="1" operator="equal">
      <formula>"Towel"</formula>
    </cfRule>
    <cfRule type="cellIs" dxfId="20048" priority="6734" stopIfTrue="1" operator="equal">
      <formula>"Napkin Hs"</formula>
    </cfRule>
  </conditionalFormatting>
  <conditionalFormatting sqref="C64">
    <cfRule type="cellIs" dxfId="20047" priority="6741" stopIfTrue="1" operator="equal">
      <formula>"Towel"</formula>
    </cfRule>
    <cfRule type="cellIs" dxfId="20046" priority="6742" stopIfTrue="1" operator="equal">
      <formula>"Napkin Hs"</formula>
    </cfRule>
  </conditionalFormatting>
  <conditionalFormatting sqref="C64">
    <cfRule type="cellIs" dxfId="20045" priority="6743" stopIfTrue="1" operator="equal">
      <formula>"Towel"</formula>
    </cfRule>
    <cfRule type="cellIs" dxfId="20044" priority="6744" stopIfTrue="1" operator="equal">
      <formula>"Napkin Hs"</formula>
    </cfRule>
  </conditionalFormatting>
  <conditionalFormatting sqref="C64">
    <cfRule type="cellIs" dxfId="20043" priority="6725" stopIfTrue="1" operator="equal">
      <formula>"Towel"</formula>
    </cfRule>
    <cfRule type="cellIs" dxfId="20042" priority="6726" stopIfTrue="1" operator="equal">
      <formula>"Napkin Hs"</formula>
    </cfRule>
  </conditionalFormatting>
  <conditionalFormatting sqref="B64:C64">
    <cfRule type="cellIs" dxfId="20041" priority="6727" stopIfTrue="1" operator="equal">
      <formula>"Towel"</formula>
    </cfRule>
    <cfRule type="cellIs" dxfId="20040" priority="6728" stopIfTrue="1" operator="equal">
      <formula>"Napkin Hs"</formula>
    </cfRule>
  </conditionalFormatting>
  <conditionalFormatting sqref="C64">
    <cfRule type="cellIs" dxfId="20039" priority="6723" stopIfTrue="1" operator="equal">
      <formula>"Towel"</formula>
    </cfRule>
    <cfRule type="cellIs" dxfId="20038" priority="6724" stopIfTrue="1" operator="equal">
      <formula>"Napkin Hs"</formula>
    </cfRule>
  </conditionalFormatting>
  <conditionalFormatting sqref="B64:C64">
    <cfRule type="cellIs" dxfId="20037" priority="6721" stopIfTrue="1" operator="equal">
      <formula>"Towel"</formula>
    </cfRule>
    <cfRule type="cellIs" dxfId="20036" priority="6722" stopIfTrue="1" operator="equal">
      <formula>"Napkin Hs"</formula>
    </cfRule>
  </conditionalFormatting>
  <conditionalFormatting sqref="C64">
    <cfRule type="cellIs" dxfId="20035" priority="6713" stopIfTrue="1" operator="equal">
      <formula>"Towel"</formula>
    </cfRule>
    <cfRule type="cellIs" dxfId="20034" priority="6714" stopIfTrue="1" operator="equal">
      <formula>"Napkin Hs"</formula>
    </cfRule>
  </conditionalFormatting>
  <conditionalFormatting sqref="B64:C64">
    <cfRule type="cellIs" dxfId="20033" priority="6715" stopIfTrue="1" operator="equal">
      <formula>"Towel"</formula>
    </cfRule>
    <cfRule type="cellIs" dxfId="20032" priority="6716" stopIfTrue="1" operator="equal">
      <formula>"Napkin Hs"</formula>
    </cfRule>
  </conditionalFormatting>
  <conditionalFormatting sqref="C64">
    <cfRule type="cellIs" dxfId="20031" priority="6711" stopIfTrue="1" operator="equal">
      <formula>"Towel"</formula>
    </cfRule>
    <cfRule type="cellIs" dxfId="20030" priority="6712" stopIfTrue="1" operator="equal">
      <formula>"Napkin Hs"</formula>
    </cfRule>
  </conditionalFormatting>
  <conditionalFormatting sqref="B64:C64">
    <cfRule type="cellIs" dxfId="20029" priority="6709" stopIfTrue="1" operator="equal">
      <formula>"Towel"</formula>
    </cfRule>
    <cfRule type="cellIs" dxfId="20028" priority="6710" stopIfTrue="1" operator="equal">
      <formula>"Napkin Hs"</formula>
    </cfRule>
  </conditionalFormatting>
  <conditionalFormatting sqref="C64">
    <cfRule type="cellIs" dxfId="20027" priority="6717" stopIfTrue="1" operator="equal">
      <formula>"Towel"</formula>
    </cfRule>
    <cfRule type="cellIs" dxfId="20026" priority="6718" stopIfTrue="1" operator="equal">
      <formula>"Napkin Hs"</formula>
    </cfRule>
  </conditionalFormatting>
  <conditionalFormatting sqref="C64">
    <cfRule type="cellIs" dxfId="20025" priority="6719" stopIfTrue="1" operator="equal">
      <formula>"Towel"</formula>
    </cfRule>
    <cfRule type="cellIs" dxfId="20024" priority="6720" stopIfTrue="1" operator="equal">
      <formula>"Napkin Hs"</formula>
    </cfRule>
  </conditionalFormatting>
  <conditionalFormatting sqref="B64:C64">
    <cfRule type="cellIs" dxfId="20023" priority="6707" stopIfTrue="1" operator="equal">
      <formula>"Towel"</formula>
    </cfRule>
    <cfRule type="cellIs" dxfId="20022" priority="6708" stopIfTrue="1" operator="equal">
      <formula>"Napkin Hs"</formula>
    </cfRule>
  </conditionalFormatting>
  <conditionalFormatting sqref="C64">
    <cfRule type="cellIs" dxfId="20021" priority="6706" stopIfTrue="1" operator="equal">
      <formula>"Napkin Hs"</formula>
    </cfRule>
  </conditionalFormatting>
  <conditionalFormatting sqref="C64">
    <cfRule type="cellIs" dxfId="20020" priority="6705" stopIfTrue="1" operator="equal">
      <formula>"Towel"</formula>
    </cfRule>
  </conditionalFormatting>
  <conditionalFormatting sqref="C64">
    <cfRule type="cellIs" dxfId="20019" priority="6703" stopIfTrue="1" operator="equal">
      <formula>"Towel"</formula>
    </cfRule>
    <cfRule type="cellIs" dxfId="20018" priority="6704" stopIfTrue="1" operator="equal">
      <formula>"Napkin Hs"</formula>
    </cfRule>
  </conditionalFormatting>
  <conditionalFormatting sqref="C64">
    <cfRule type="cellIs" dxfId="20017" priority="6695" stopIfTrue="1" operator="equal">
      <formula>"Towel"</formula>
    </cfRule>
    <cfRule type="cellIs" dxfId="20016" priority="6696" stopIfTrue="1" operator="equal">
      <formula>"Napkin Hs"</formula>
    </cfRule>
  </conditionalFormatting>
  <conditionalFormatting sqref="B64:C64">
    <cfRule type="cellIs" dxfId="20015" priority="6697" stopIfTrue="1" operator="equal">
      <formula>"Towel"</formula>
    </cfRule>
    <cfRule type="cellIs" dxfId="20014" priority="6698" stopIfTrue="1" operator="equal">
      <formula>"Napkin Hs"</formula>
    </cfRule>
  </conditionalFormatting>
  <conditionalFormatting sqref="C64">
    <cfRule type="cellIs" dxfId="20013" priority="6693" stopIfTrue="1" operator="equal">
      <formula>"Towel"</formula>
    </cfRule>
    <cfRule type="cellIs" dxfId="20012" priority="6694" stopIfTrue="1" operator="equal">
      <formula>"Napkin Hs"</formula>
    </cfRule>
  </conditionalFormatting>
  <conditionalFormatting sqref="B64:C64">
    <cfRule type="cellIs" dxfId="20011" priority="6691" stopIfTrue="1" operator="equal">
      <formula>"Towel"</formula>
    </cfRule>
    <cfRule type="cellIs" dxfId="20010" priority="6692" stopIfTrue="1" operator="equal">
      <formula>"Napkin Hs"</formula>
    </cfRule>
  </conditionalFormatting>
  <conditionalFormatting sqref="C64">
    <cfRule type="cellIs" dxfId="20009" priority="6699" stopIfTrue="1" operator="equal">
      <formula>"Towel"</formula>
    </cfRule>
    <cfRule type="cellIs" dxfId="20008" priority="6700" stopIfTrue="1" operator="equal">
      <formula>"Napkin Hs"</formula>
    </cfRule>
  </conditionalFormatting>
  <conditionalFormatting sqref="C64">
    <cfRule type="cellIs" dxfId="20007" priority="6701" stopIfTrue="1" operator="equal">
      <formula>"Towel"</formula>
    </cfRule>
    <cfRule type="cellIs" dxfId="20006" priority="6702" stopIfTrue="1" operator="equal">
      <formula>"Napkin Hs"</formula>
    </cfRule>
  </conditionalFormatting>
  <conditionalFormatting sqref="B64:C64">
    <cfRule type="cellIs" dxfId="20005" priority="6689" stopIfTrue="1" operator="equal">
      <formula>"Towel"</formula>
    </cfRule>
    <cfRule type="cellIs" dxfId="20004" priority="6690" stopIfTrue="1" operator="equal">
      <formula>"Napkin Hs"</formula>
    </cfRule>
  </conditionalFormatting>
  <conditionalFormatting sqref="C64">
    <cfRule type="cellIs" dxfId="20003" priority="6685" stopIfTrue="1" operator="equal">
      <formula>"Towel"</formula>
    </cfRule>
    <cfRule type="cellIs" dxfId="20002" priority="6686" stopIfTrue="1" operator="equal">
      <formula>"Napkin Hs"</formula>
    </cfRule>
  </conditionalFormatting>
  <conditionalFormatting sqref="C64">
    <cfRule type="cellIs" dxfId="20001" priority="6687" stopIfTrue="1" operator="equal">
      <formula>"Towel"</formula>
    </cfRule>
    <cfRule type="cellIs" dxfId="20000" priority="6688" stopIfTrue="1" operator="equal">
      <formula>"Napkin Hs"</formula>
    </cfRule>
  </conditionalFormatting>
  <conditionalFormatting sqref="B64:C64">
    <cfRule type="cellIs" dxfId="19999" priority="6683" stopIfTrue="1" operator="equal">
      <formula>"Towel"</formula>
    </cfRule>
    <cfRule type="cellIs" dxfId="19998" priority="6684" stopIfTrue="1" operator="equal">
      <formula>"Napkin Hs"</formula>
    </cfRule>
  </conditionalFormatting>
  <conditionalFormatting sqref="C64">
    <cfRule type="cellIs" dxfId="19997" priority="6679" stopIfTrue="1" operator="equal">
      <formula>"Towel"</formula>
    </cfRule>
    <cfRule type="cellIs" dxfId="19996" priority="6680" stopIfTrue="1" operator="equal">
      <formula>"Napkin Hs"</formula>
    </cfRule>
  </conditionalFormatting>
  <conditionalFormatting sqref="C64">
    <cfRule type="cellIs" dxfId="19995" priority="6681" stopIfTrue="1" operator="equal">
      <formula>"Towel"</formula>
    </cfRule>
    <cfRule type="cellIs" dxfId="19994" priority="6682" stopIfTrue="1" operator="equal">
      <formula>"Napkin Hs"</formula>
    </cfRule>
  </conditionalFormatting>
  <conditionalFormatting sqref="C64">
    <cfRule type="cellIs" dxfId="19993" priority="6675" stopIfTrue="1" operator="equal">
      <formula>"Towel"</formula>
    </cfRule>
    <cfRule type="cellIs" dxfId="19992" priority="6676" stopIfTrue="1" operator="equal">
      <formula>"Napkin Hs"</formula>
    </cfRule>
  </conditionalFormatting>
  <conditionalFormatting sqref="C64">
    <cfRule type="cellIs" dxfId="19991" priority="6677" stopIfTrue="1" operator="equal">
      <formula>"Towel"</formula>
    </cfRule>
    <cfRule type="cellIs" dxfId="19990" priority="6678" stopIfTrue="1" operator="equal">
      <formula>"Napkin Hs"</formula>
    </cfRule>
  </conditionalFormatting>
  <conditionalFormatting sqref="C64">
    <cfRule type="cellIs" dxfId="19989" priority="6673" stopIfTrue="1" operator="equal">
      <formula>"Towel"</formula>
    </cfRule>
    <cfRule type="cellIs" dxfId="19988" priority="6674" stopIfTrue="1" operator="equal">
      <formula>"Napkin Hs"</formula>
    </cfRule>
  </conditionalFormatting>
  <conditionalFormatting sqref="B64">
    <cfRule type="cellIs" dxfId="19987" priority="6671" stopIfTrue="1" operator="equal">
      <formula>"Towel"</formula>
    </cfRule>
    <cfRule type="cellIs" dxfId="19986" priority="6672" stopIfTrue="1" operator="equal">
      <formula>"Napkin Hs"</formula>
    </cfRule>
  </conditionalFormatting>
  <conditionalFormatting sqref="C64">
    <cfRule type="cellIs" dxfId="19985" priority="6663" stopIfTrue="1" operator="equal">
      <formula>"Towel"</formula>
    </cfRule>
    <cfRule type="cellIs" dxfId="19984" priority="6664" stopIfTrue="1" operator="equal">
      <formula>"Napkin Hs"</formula>
    </cfRule>
  </conditionalFormatting>
  <conditionalFormatting sqref="B64:C64">
    <cfRule type="cellIs" dxfId="19983" priority="6665" stopIfTrue="1" operator="equal">
      <formula>"Towel"</formula>
    </cfRule>
    <cfRule type="cellIs" dxfId="19982" priority="6666" stopIfTrue="1" operator="equal">
      <formula>"Napkin Hs"</formula>
    </cfRule>
  </conditionalFormatting>
  <conditionalFormatting sqref="C64">
    <cfRule type="cellIs" dxfId="19981" priority="6661" stopIfTrue="1" operator="equal">
      <formula>"Towel"</formula>
    </cfRule>
    <cfRule type="cellIs" dxfId="19980" priority="6662" stopIfTrue="1" operator="equal">
      <formula>"Napkin Hs"</formula>
    </cfRule>
  </conditionalFormatting>
  <conditionalFormatting sqref="B64:C64">
    <cfRule type="cellIs" dxfId="19979" priority="6659" stopIfTrue="1" operator="equal">
      <formula>"Towel"</formula>
    </cfRule>
    <cfRule type="cellIs" dxfId="19978" priority="6660" stopIfTrue="1" operator="equal">
      <formula>"Napkin Hs"</formula>
    </cfRule>
  </conditionalFormatting>
  <conditionalFormatting sqref="C64">
    <cfRule type="cellIs" dxfId="19977" priority="6667" stopIfTrue="1" operator="equal">
      <formula>"Towel"</formula>
    </cfRule>
    <cfRule type="cellIs" dxfId="19976" priority="6668" stopIfTrue="1" operator="equal">
      <formula>"Napkin Hs"</formula>
    </cfRule>
  </conditionalFormatting>
  <conditionalFormatting sqref="C64">
    <cfRule type="cellIs" dxfId="19975" priority="6669" stopIfTrue="1" operator="equal">
      <formula>"Towel"</formula>
    </cfRule>
    <cfRule type="cellIs" dxfId="19974" priority="6670" stopIfTrue="1" operator="equal">
      <formula>"Napkin Hs"</formula>
    </cfRule>
  </conditionalFormatting>
  <conditionalFormatting sqref="C64">
    <cfRule type="cellIs" dxfId="19973" priority="6651" stopIfTrue="1" operator="equal">
      <formula>"Towel"</formula>
    </cfRule>
    <cfRule type="cellIs" dxfId="19972" priority="6652" stopIfTrue="1" operator="equal">
      <formula>"Napkin Hs"</formula>
    </cfRule>
  </conditionalFormatting>
  <conditionalFormatting sqref="B64:C64">
    <cfRule type="cellIs" dxfId="19971" priority="6653" stopIfTrue="1" operator="equal">
      <formula>"Towel"</formula>
    </cfRule>
    <cfRule type="cellIs" dxfId="19970" priority="6654" stopIfTrue="1" operator="equal">
      <formula>"Napkin Hs"</formula>
    </cfRule>
  </conditionalFormatting>
  <conditionalFormatting sqref="C64">
    <cfRule type="cellIs" dxfId="19969" priority="6649" stopIfTrue="1" operator="equal">
      <formula>"Towel"</formula>
    </cfRule>
    <cfRule type="cellIs" dxfId="19968" priority="6650" stopIfTrue="1" operator="equal">
      <formula>"Napkin Hs"</formula>
    </cfRule>
  </conditionalFormatting>
  <conditionalFormatting sqref="B64:C64">
    <cfRule type="cellIs" dxfId="19967" priority="6647" stopIfTrue="1" operator="equal">
      <formula>"Towel"</formula>
    </cfRule>
    <cfRule type="cellIs" dxfId="19966" priority="6648" stopIfTrue="1" operator="equal">
      <formula>"Napkin Hs"</formula>
    </cfRule>
  </conditionalFormatting>
  <conditionalFormatting sqref="C64">
    <cfRule type="cellIs" dxfId="19965" priority="6655" stopIfTrue="1" operator="equal">
      <formula>"Towel"</formula>
    </cfRule>
    <cfRule type="cellIs" dxfId="19964" priority="6656" stopIfTrue="1" operator="equal">
      <formula>"Napkin Hs"</formula>
    </cfRule>
  </conditionalFormatting>
  <conditionalFormatting sqref="C64">
    <cfRule type="cellIs" dxfId="19963" priority="6657" stopIfTrue="1" operator="equal">
      <formula>"Towel"</formula>
    </cfRule>
    <cfRule type="cellIs" dxfId="19962" priority="6658" stopIfTrue="1" operator="equal">
      <formula>"Napkin Hs"</formula>
    </cfRule>
  </conditionalFormatting>
  <conditionalFormatting sqref="C64">
    <cfRule type="cellIs" dxfId="19961" priority="6639" stopIfTrue="1" operator="equal">
      <formula>"Towel"</formula>
    </cfRule>
    <cfRule type="cellIs" dxfId="19960" priority="6640" stopIfTrue="1" operator="equal">
      <formula>"Napkin Hs"</formula>
    </cfRule>
  </conditionalFormatting>
  <conditionalFormatting sqref="B64:C64">
    <cfRule type="cellIs" dxfId="19959" priority="6641" stopIfTrue="1" operator="equal">
      <formula>"Towel"</formula>
    </cfRule>
    <cfRule type="cellIs" dxfId="19958" priority="6642" stopIfTrue="1" operator="equal">
      <formula>"Napkin Hs"</formula>
    </cfRule>
  </conditionalFormatting>
  <conditionalFormatting sqref="C64">
    <cfRule type="cellIs" dxfId="19957" priority="6637" stopIfTrue="1" operator="equal">
      <formula>"Towel"</formula>
    </cfRule>
    <cfRule type="cellIs" dxfId="19956" priority="6638" stopIfTrue="1" operator="equal">
      <formula>"Napkin Hs"</formula>
    </cfRule>
  </conditionalFormatting>
  <conditionalFormatting sqref="B64:C64">
    <cfRule type="cellIs" dxfId="19955" priority="6635" stopIfTrue="1" operator="equal">
      <formula>"Towel"</formula>
    </cfRule>
    <cfRule type="cellIs" dxfId="19954" priority="6636" stopIfTrue="1" operator="equal">
      <formula>"Napkin Hs"</formula>
    </cfRule>
  </conditionalFormatting>
  <conditionalFormatting sqref="C64">
    <cfRule type="cellIs" dxfId="19953" priority="6643" stopIfTrue="1" operator="equal">
      <formula>"Towel"</formula>
    </cfRule>
    <cfRule type="cellIs" dxfId="19952" priority="6644" stopIfTrue="1" operator="equal">
      <formula>"Napkin Hs"</formula>
    </cfRule>
  </conditionalFormatting>
  <conditionalFormatting sqref="C64">
    <cfRule type="cellIs" dxfId="19951" priority="6645" stopIfTrue="1" operator="equal">
      <formula>"Towel"</formula>
    </cfRule>
    <cfRule type="cellIs" dxfId="19950" priority="6646" stopIfTrue="1" operator="equal">
      <formula>"Napkin Hs"</formula>
    </cfRule>
  </conditionalFormatting>
  <conditionalFormatting sqref="B64:C64">
    <cfRule type="cellIs" dxfId="19949" priority="6633" stopIfTrue="1" operator="equal">
      <formula>"Towel"</formula>
    </cfRule>
    <cfRule type="cellIs" dxfId="19948" priority="6634" stopIfTrue="1" operator="equal">
      <formula>"Napkin Hs"</formula>
    </cfRule>
  </conditionalFormatting>
  <conditionalFormatting sqref="C64">
    <cfRule type="cellIs" dxfId="19947" priority="6629" stopIfTrue="1" operator="equal">
      <formula>"Towel"</formula>
    </cfRule>
    <cfRule type="cellIs" dxfId="19946" priority="6630" stopIfTrue="1" operator="equal">
      <formula>"Napkin Hs"</formula>
    </cfRule>
  </conditionalFormatting>
  <conditionalFormatting sqref="C64">
    <cfRule type="cellIs" dxfId="19945" priority="6632" stopIfTrue="1" operator="equal">
      <formula>"Napkin Hs"</formula>
    </cfRule>
  </conditionalFormatting>
  <conditionalFormatting sqref="C64">
    <cfRule type="cellIs" dxfId="19944" priority="6631" stopIfTrue="1" operator="equal">
      <formula>"Towel"</formula>
    </cfRule>
  </conditionalFormatting>
  <conditionalFormatting sqref="B64:C64">
    <cfRule type="cellIs" dxfId="19943" priority="6627" stopIfTrue="1" operator="equal">
      <formula>"Towel"</formula>
    </cfRule>
    <cfRule type="cellIs" dxfId="19942" priority="6628" stopIfTrue="1" operator="equal">
      <formula>"Napkin Hs"</formula>
    </cfRule>
  </conditionalFormatting>
  <conditionalFormatting sqref="C64">
    <cfRule type="cellIs" dxfId="19941" priority="6623" stopIfTrue="1" operator="equal">
      <formula>"Towel"</formula>
    </cfRule>
    <cfRule type="cellIs" dxfId="19940" priority="6624" stopIfTrue="1" operator="equal">
      <formula>"Napkin Hs"</formula>
    </cfRule>
  </conditionalFormatting>
  <conditionalFormatting sqref="C64">
    <cfRule type="cellIs" dxfId="19939" priority="6626" stopIfTrue="1" operator="equal">
      <formula>"Napkin Hs"</formula>
    </cfRule>
  </conditionalFormatting>
  <conditionalFormatting sqref="C64">
    <cfRule type="cellIs" dxfId="19938" priority="6625" stopIfTrue="1" operator="equal">
      <formula>"Towel"</formula>
    </cfRule>
  </conditionalFormatting>
  <conditionalFormatting sqref="C64">
    <cfRule type="cellIs" dxfId="19937" priority="6615" stopIfTrue="1" operator="equal">
      <formula>"Towel"</formula>
    </cfRule>
    <cfRule type="cellIs" dxfId="19936" priority="6616" stopIfTrue="1" operator="equal">
      <formula>"Napkin Hs"</formula>
    </cfRule>
  </conditionalFormatting>
  <conditionalFormatting sqref="B64:C64">
    <cfRule type="cellIs" dxfId="19935" priority="6617" stopIfTrue="1" operator="equal">
      <formula>"Towel"</formula>
    </cfRule>
    <cfRule type="cellIs" dxfId="19934" priority="6618" stopIfTrue="1" operator="equal">
      <formula>"Napkin Hs"</formula>
    </cfRule>
  </conditionalFormatting>
  <conditionalFormatting sqref="C64">
    <cfRule type="cellIs" dxfId="19933" priority="6613" stopIfTrue="1" operator="equal">
      <formula>"Towel"</formula>
    </cfRule>
    <cfRule type="cellIs" dxfId="19932" priority="6614" stopIfTrue="1" operator="equal">
      <formula>"Napkin Hs"</formula>
    </cfRule>
  </conditionalFormatting>
  <conditionalFormatting sqref="B64:C64">
    <cfRule type="cellIs" dxfId="19931" priority="6611" stopIfTrue="1" operator="equal">
      <formula>"Towel"</formula>
    </cfRule>
    <cfRule type="cellIs" dxfId="19930" priority="6612" stopIfTrue="1" operator="equal">
      <formula>"Napkin Hs"</formula>
    </cfRule>
  </conditionalFormatting>
  <conditionalFormatting sqref="C64">
    <cfRule type="cellIs" dxfId="19929" priority="6619" stopIfTrue="1" operator="equal">
      <formula>"Towel"</formula>
    </cfRule>
    <cfRule type="cellIs" dxfId="19928" priority="6620" stopIfTrue="1" operator="equal">
      <formula>"Napkin Hs"</formula>
    </cfRule>
  </conditionalFormatting>
  <conditionalFormatting sqref="C64">
    <cfRule type="cellIs" dxfId="19927" priority="6621" stopIfTrue="1" operator="equal">
      <formula>"Towel"</formula>
    </cfRule>
    <cfRule type="cellIs" dxfId="19926" priority="6622" stopIfTrue="1" operator="equal">
      <formula>"Napkin Hs"</formula>
    </cfRule>
  </conditionalFormatting>
  <conditionalFormatting sqref="B64:C64">
    <cfRule type="cellIs" dxfId="19925" priority="6609" stopIfTrue="1" operator="equal">
      <formula>"Towel"</formula>
    </cfRule>
    <cfRule type="cellIs" dxfId="19924" priority="6610" stopIfTrue="1" operator="equal">
      <formula>"Napkin Hs"</formula>
    </cfRule>
  </conditionalFormatting>
  <conditionalFormatting sqref="C64">
    <cfRule type="cellIs" dxfId="19923" priority="6601" stopIfTrue="1" operator="equal">
      <formula>"Towel"</formula>
    </cfRule>
    <cfRule type="cellIs" dxfId="19922" priority="6602" stopIfTrue="1" operator="equal">
      <formula>"Napkin Hs"</formula>
    </cfRule>
  </conditionalFormatting>
  <conditionalFormatting sqref="C64">
    <cfRule type="cellIs" dxfId="19921" priority="6605" stopIfTrue="1" operator="equal">
      <formula>"Towel"</formula>
    </cfRule>
    <cfRule type="cellIs" dxfId="19920" priority="6606" stopIfTrue="1" operator="equal">
      <formula>"Napkin Hs"</formula>
    </cfRule>
  </conditionalFormatting>
  <conditionalFormatting sqref="C64">
    <cfRule type="cellIs" dxfId="19919" priority="6608" stopIfTrue="1" operator="equal">
      <formula>"Napkin Hs"</formula>
    </cfRule>
  </conditionalFormatting>
  <conditionalFormatting sqref="C64">
    <cfRule type="cellIs" dxfId="19918" priority="6603" stopIfTrue="1" operator="equal">
      <formula>"Towel"</formula>
    </cfRule>
    <cfRule type="cellIs" dxfId="19917" priority="6604" stopIfTrue="1" operator="equal">
      <formula>"Napkin Hs"</formula>
    </cfRule>
  </conditionalFormatting>
  <conditionalFormatting sqref="C64">
    <cfRule type="cellIs" dxfId="19916" priority="6607" stopIfTrue="1" operator="equal">
      <formula>"Towel"</formula>
    </cfRule>
  </conditionalFormatting>
  <conditionalFormatting sqref="C64">
    <cfRule type="cellIs" dxfId="19915" priority="6599" stopIfTrue="1" operator="equal">
      <formula>"Towel"</formula>
    </cfRule>
    <cfRule type="cellIs" dxfId="19914" priority="6600" stopIfTrue="1" operator="equal">
      <formula>"Napkin Hs"</formula>
    </cfRule>
  </conditionalFormatting>
  <conditionalFormatting sqref="B64">
    <cfRule type="cellIs" dxfId="19913" priority="6597" stopIfTrue="1" operator="equal">
      <formula>"Towel"</formula>
    </cfRule>
    <cfRule type="cellIs" dxfId="19912" priority="6598" stopIfTrue="1" operator="equal">
      <formula>"Napkin Hs"</formula>
    </cfRule>
  </conditionalFormatting>
  <conditionalFormatting sqref="B64:C64">
    <cfRule type="cellIs" dxfId="19911" priority="6595" stopIfTrue="1" operator="equal">
      <formula>"Towel"</formula>
    </cfRule>
    <cfRule type="cellIs" dxfId="19910" priority="6596" stopIfTrue="1" operator="equal">
      <formula>"Napkin Hs"</formula>
    </cfRule>
  </conditionalFormatting>
  <conditionalFormatting sqref="C64">
    <cfRule type="cellIs" dxfId="19909" priority="6587" stopIfTrue="1" operator="equal">
      <formula>"Towel"</formula>
    </cfRule>
    <cfRule type="cellIs" dxfId="19908" priority="6588" stopIfTrue="1" operator="equal">
      <formula>"Napkin Hs"</formula>
    </cfRule>
  </conditionalFormatting>
  <conditionalFormatting sqref="C64">
    <cfRule type="cellIs" dxfId="19907" priority="6591" stopIfTrue="1" operator="equal">
      <formula>"Towel"</formula>
    </cfRule>
    <cfRule type="cellIs" dxfId="19906" priority="6592" stopIfTrue="1" operator="equal">
      <formula>"Napkin Hs"</formula>
    </cfRule>
  </conditionalFormatting>
  <conditionalFormatting sqref="C64">
    <cfRule type="cellIs" dxfId="19905" priority="6594" stopIfTrue="1" operator="equal">
      <formula>"Napkin Hs"</formula>
    </cfRule>
  </conditionalFormatting>
  <conditionalFormatting sqref="C64">
    <cfRule type="cellIs" dxfId="19904" priority="6589" stopIfTrue="1" operator="equal">
      <formula>"Towel"</formula>
    </cfRule>
    <cfRule type="cellIs" dxfId="19903" priority="6590" stopIfTrue="1" operator="equal">
      <formula>"Napkin Hs"</formula>
    </cfRule>
  </conditionalFormatting>
  <conditionalFormatting sqref="C64">
    <cfRule type="cellIs" dxfId="19902" priority="6593" stopIfTrue="1" operator="equal">
      <formula>"Towel"</formula>
    </cfRule>
  </conditionalFormatting>
  <conditionalFormatting sqref="C64">
    <cfRule type="cellIs" dxfId="19901" priority="6585" stopIfTrue="1" operator="equal">
      <formula>"Towel"</formula>
    </cfRule>
    <cfRule type="cellIs" dxfId="19900" priority="6586" stopIfTrue="1" operator="equal">
      <formula>"Napkin Hs"</formula>
    </cfRule>
  </conditionalFormatting>
  <conditionalFormatting sqref="B64">
    <cfRule type="cellIs" dxfId="19899" priority="6583" stopIfTrue="1" operator="equal">
      <formula>"Towel"</formula>
    </cfRule>
    <cfRule type="cellIs" dxfId="19898" priority="6584" stopIfTrue="1" operator="equal">
      <formula>"Napkin Hs"</formula>
    </cfRule>
  </conditionalFormatting>
  <conditionalFormatting sqref="B64:C64">
    <cfRule type="cellIs" dxfId="19897" priority="6559" stopIfTrue="1" operator="equal">
      <formula>"Towel"</formula>
    </cfRule>
  </conditionalFormatting>
  <conditionalFormatting sqref="B64:C64">
    <cfRule type="cellIs" dxfId="19896" priority="6560" stopIfTrue="1" operator="equal">
      <formula>"Napkin Hs"</formula>
    </cfRule>
    <cfRule type="cellIs" dxfId="19895" priority="6565" stopIfTrue="1" operator="equal">
      <formula>"Towel"</formula>
    </cfRule>
    <cfRule type="cellIs" dxfId="19894" priority="6566" stopIfTrue="1" operator="equal">
      <formula>"Napkin Hs"</formula>
    </cfRule>
    <cfRule type="cellIs" dxfId="19893" priority="6575" stopIfTrue="1" operator="equal">
      <formula>"Towel"</formula>
    </cfRule>
    <cfRule type="cellIs" dxfId="19892" priority="6576" stopIfTrue="1" operator="equal">
      <formula>"Napkin Hs"</formula>
    </cfRule>
    <cfRule type="cellIs" dxfId="19891" priority="6581" stopIfTrue="1" operator="equal">
      <formula>"Towel"</formula>
    </cfRule>
    <cfRule type="cellIs" dxfId="19890" priority="6582" stopIfTrue="1" operator="equal">
      <formula>"Napkin Hs"</formula>
    </cfRule>
  </conditionalFormatting>
  <conditionalFormatting sqref="C64">
    <cfRule type="cellIs" dxfId="19889" priority="6561" stopIfTrue="1" operator="equal">
      <formula>"Towel"</formula>
    </cfRule>
    <cfRule type="cellIs" dxfId="19888" priority="6562" stopIfTrue="1" operator="equal">
      <formula>"Napkin Hs"</formula>
    </cfRule>
    <cfRule type="cellIs" dxfId="19887" priority="6563" stopIfTrue="1" operator="equal">
      <formula>"Towel"</formula>
    </cfRule>
    <cfRule type="cellIs" dxfId="19886" priority="6564" stopIfTrue="1" operator="equal">
      <formula>"Napkin Hs"</formula>
    </cfRule>
    <cfRule type="cellIs" dxfId="19885" priority="6567" stopIfTrue="1" operator="equal">
      <formula>"Towel"</formula>
    </cfRule>
    <cfRule type="cellIs" dxfId="19884" priority="6568" stopIfTrue="1" operator="equal">
      <formula>"Napkin Hs"</formula>
    </cfRule>
    <cfRule type="cellIs" dxfId="19883" priority="6569" stopIfTrue="1" operator="equal">
      <formula>"Towel"</formula>
    </cfRule>
    <cfRule type="cellIs" dxfId="19882" priority="6570" stopIfTrue="1" operator="equal">
      <formula>"Napkin Hs"</formula>
    </cfRule>
    <cfRule type="cellIs" dxfId="19881" priority="6571" stopIfTrue="1" operator="equal">
      <formula>"Towel"</formula>
    </cfRule>
    <cfRule type="cellIs" dxfId="19880" priority="6572" stopIfTrue="1" operator="equal">
      <formula>"Napkin Hs"</formula>
    </cfRule>
    <cfRule type="cellIs" dxfId="19879" priority="6573" stopIfTrue="1" operator="equal">
      <formula>"Towel"</formula>
    </cfRule>
    <cfRule type="cellIs" dxfId="19878" priority="6574" stopIfTrue="1" operator="equal">
      <formula>"Napkin Hs"</formula>
    </cfRule>
    <cfRule type="cellIs" dxfId="19877" priority="6577" stopIfTrue="1" operator="equal">
      <formula>"Towel"</formula>
    </cfRule>
    <cfRule type="cellIs" dxfId="19876" priority="6578" stopIfTrue="1" operator="equal">
      <formula>"Napkin Hs"</formula>
    </cfRule>
    <cfRule type="cellIs" dxfId="19875" priority="6580" stopIfTrue="1" operator="equal">
      <formula>"Napkin Hs"</formula>
    </cfRule>
  </conditionalFormatting>
  <conditionalFormatting sqref="C64">
    <cfRule type="cellIs" dxfId="19874" priority="6579" stopIfTrue="1" operator="equal">
      <formula>"Towel"</formula>
    </cfRule>
  </conditionalFormatting>
  <conditionalFormatting sqref="B64:C64">
    <cfRule type="cellIs" dxfId="19873" priority="6557" stopIfTrue="1" operator="equal">
      <formula>"Towel"</formula>
    </cfRule>
    <cfRule type="cellIs" dxfId="19872" priority="6558" stopIfTrue="1" operator="equal">
      <formula>"Napkin Hs"</formula>
    </cfRule>
  </conditionalFormatting>
  <conditionalFormatting sqref="C64">
    <cfRule type="cellIs" dxfId="19871" priority="6556" stopIfTrue="1" operator="equal">
      <formula>"Napkin Hs"</formula>
    </cfRule>
  </conditionalFormatting>
  <conditionalFormatting sqref="C64">
    <cfRule type="cellIs" dxfId="19870" priority="6555" stopIfTrue="1" operator="equal">
      <formula>"Towel"</formula>
    </cfRule>
  </conditionalFormatting>
  <conditionalFormatting sqref="C64">
    <cfRule type="cellIs" dxfId="19869" priority="6553" stopIfTrue="1" operator="equal">
      <formula>"Towel"</formula>
    </cfRule>
  </conditionalFormatting>
  <conditionalFormatting sqref="C64">
    <cfRule type="cellIs" dxfId="19868" priority="6554" stopIfTrue="1" operator="equal">
      <formula>"Napkin Hs"</formula>
    </cfRule>
  </conditionalFormatting>
  <conditionalFormatting sqref="B64">
    <cfRule type="cellIs" dxfId="19867" priority="6457" stopIfTrue="1" operator="equal">
      <formula>"Napkin Hs"</formula>
    </cfRule>
  </conditionalFormatting>
  <conditionalFormatting sqref="B64:C64">
    <cfRule type="cellIs" dxfId="19866" priority="6456" stopIfTrue="1" operator="equal">
      <formula>"Towel"</formula>
    </cfRule>
  </conditionalFormatting>
  <conditionalFormatting sqref="B64:C64">
    <cfRule type="cellIs" dxfId="19865" priority="6467" stopIfTrue="1" operator="equal">
      <formula>"Towel"</formula>
    </cfRule>
    <cfRule type="cellIs" dxfId="19864" priority="6468" stopIfTrue="1" operator="equal">
      <formula>"Napkin Hs"</formula>
    </cfRule>
    <cfRule type="cellIs" dxfId="19863" priority="6473" stopIfTrue="1" operator="equal">
      <formula>"Towel"</formula>
    </cfRule>
    <cfRule type="cellIs" dxfId="19862" priority="6474" stopIfTrue="1" operator="equal">
      <formula>"Napkin Hs"</formula>
    </cfRule>
    <cfRule type="cellIs" dxfId="19861" priority="6479" stopIfTrue="1" operator="equal">
      <formula>"Towel"</formula>
    </cfRule>
    <cfRule type="cellIs" dxfId="19860" priority="6480" stopIfTrue="1" operator="equal">
      <formula>"Napkin Hs"</formula>
    </cfRule>
    <cfRule type="cellIs" dxfId="19859" priority="6481" stopIfTrue="1" operator="equal">
      <formula>"Towel"</formula>
    </cfRule>
    <cfRule type="cellIs" dxfId="19858" priority="6482" stopIfTrue="1" operator="equal">
      <formula>"Napkin Hs"</formula>
    </cfRule>
    <cfRule type="cellIs" dxfId="19857" priority="6487" stopIfTrue="1" operator="equal">
      <formula>"Towel"</formula>
    </cfRule>
    <cfRule type="cellIs" dxfId="19856" priority="6488" stopIfTrue="1" operator="equal">
      <formula>"Napkin Hs"</formula>
    </cfRule>
    <cfRule type="cellIs" dxfId="19855" priority="6497" stopIfTrue="1" operator="equal">
      <formula>"Towel"</formula>
    </cfRule>
    <cfRule type="cellIs" dxfId="19854" priority="6498" stopIfTrue="1" operator="equal">
      <formula>"Napkin Hs"</formula>
    </cfRule>
    <cfRule type="cellIs" dxfId="19853" priority="6503" stopIfTrue="1" operator="equal">
      <formula>"Towel"</formula>
    </cfRule>
    <cfRule type="cellIs" dxfId="19852" priority="6504" stopIfTrue="1" operator="equal">
      <formula>"Napkin Hs"</formula>
    </cfRule>
    <cfRule type="cellIs" dxfId="19851" priority="6505" stopIfTrue="1" operator="equal">
      <formula>"Towel"</formula>
    </cfRule>
    <cfRule type="cellIs" dxfId="19850" priority="6506" stopIfTrue="1" operator="equal">
      <formula>"Napkin Hs"</formula>
    </cfRule>
    <cfRule type="cellIs" dxfId="19849" priority="6511" stopIfTrue="1" operator="equal">
      <formula>"Towel"</formula>
    </cfRule>
    <cfRule type="cellIs" dxfId="19848" priority="6512" stopIfTrue="1" operator="equal">
      <formula>"Napkin Hs"</formula>
    </cfRule>
    <cfRule type="cellIs" dxfId="19847" priority="6521" stopIfTrue="1" operator="equal">
      <formula>"Towel"</formula>
    </cfRule>
    <cfRule type="cellIs" dxfId="19846" priority="6522" stopIfTrue="1" operator="equal">
      <formula>"Napkin Hs"</formula>
    </cfRule>
    <cfRule type="cellIs" dxfId="19845" priority="6523" stopIfTrue="1" operator="equal">
      <formula>"Towel"</formula>
    </cfRule>
    <cfRule type="cellIs" dxfId="19844" priority="6524" stopIfTrue="1" operator="equal">
      <formula>"Napkin Hs"</formula>
    </cfRule>
    <cfRule type="cellIs" dxfId="19843" priority="6529" stopIfTrue="1" operator="equal">
      <formula>"Towel"</formula>
    </cfRule>
    <cfRule type="cellIs" dxfId="19842" priority="6530" stopIfTrue="1" operator="equal">
      <formula>"Napkin Hs"</formula>
    </cfRule>
    <cfRule type="cellIs" dxfId="19841" priority="6539" stopIfTrue="1" operator="equal">
      <formula>"Towel"</formula>
    </cfRule>
    <cfRule type="cellIs" dxfId="19840" priority="6540" stopIfTrue="1" operator="equal">
      <formula>"Napkin Hs"</formula>
    </cfRule>
    <cfRule type="cellIs" dxfId="19839" priority="6541" stopIfTrue="1" operator="equal">
      <formula>"Towel"</formula>
    </cfRule>
    <cfRule type="cellIs" dxfId="19838" priority="6542" stopIfTrue="1" operator="equal">
      <formula>"Napkin Hs"</formula>
    </cfRule>
    <cfRule type="cellIs" dxfId="19837" priority="6548" stopIfTrue="1" operator="equal">
      <formula>"Napkin Hs"</formula>
    </cfRule>
  </conditionalFormatting>
  <conditionalFormatting sqref="B64:C64">
    <cfRule type="cellIs" dxfId="19836" priority="6547" stopIfTrue="1" operator="equal">
      <formula>"Towel"</formula>
    </cfRule>
  </conditionalFormatting>
  <conditionalFormatting sqref="C64">
    <cfRule type="cellIs" dxfId="19835" priority="6458" stopIfTrue="1" operator="equal">
      <formula>"Napkin Hs"</formula>
    </cfRule>
    <cfRule type="cellIs" dxfId="19834" priority="6459" stopIfTrue="1" operator="equal">
      <formula>"Towel"</formula>
    </cfRule>
    <cfRule type="cellIs" dxfId="19833" priority="6460" stopIfTrue="1" operator="equal">
      <formula>"Napkin Hs"</formula>
    </cfRule>
    <cfRule type="cellIs" dxfId="19832" priority="6461" stopIfTrue="1" operator="equal">
      <formula>"Towel"</formula>
    </cfRule>
    <cfRule type="cellIs" dxfId="19831" priority="6462" stopIfTrue="1" operator="equal">
      <formula>"Napkin Hs"</formula>
    </cfRule>
    <cfRule type="cellIs" dxfId="19830" priority="6463" stopIfTrue="1" operator="equal">
      <formula>"Towel"</formula>
    </cfRule>
    <cfRule type="cellIs" dxfId="19829" priority="6464" stopIfTrue="1" operator="equal">
      <formula>"Napkin Hs"</formula>
    </cfRule>
    <cfRule type="cellIs" dxfId="19828" priority="6465" stopIfTrue="1" operator="equal">
      <formula>"Towel"</formula>
    </cfRule>
    <cfRule type="cellIs" dxfId="19827" priority="6466" stopIfTrue="1" operator="equal">
      <formula>"Napkin Hs"</formula>
    </cfRule>
    <cfRule type="cellIs" dxfId="19826" priority="6469" stopIfTrue="1" operator="equal">
      <formula>"Towel"</formula>
    </cfRule>
    <cfRule type="cellIs" dxfId="19825" priority="6470" stopIfTrue="1" operator="equal">
      <formula>"Napkin Hs"</formula>
    </cfRule>
    <cfRule type="cellIs" dxfId="19824" priority="6471" stopIfTrue="1" operator="equal">
      <formula>"Towel"</formula>
    </cfRule>
    <cfRule type="cellIs" dxfId="19823" priority="6472" stopIfTrue="1" operator="equal">
      <formula>"Napkin Hs"</formula>
    </cfRule>
    <cfRule type="cellIs" dxfId="19822" priority="6475" stopIfTrue="1" operator="equal">
      <formula>"Towel"</formula>
    </cfRule>
    <cfRule type="cellIs" dxfId="19821" priority="6476" stopIfTrue="1" operator="equal">
      <formula>"Napkin Hs"</formula>
    </cfRule>
    <cfRule type="cellIs" dxfId="19820" priority="6477" stopIfTrue="1" operator="equal">
      <formula>"Towel"</formula>
    </cfRule>
    <cfRule type="cellIs" dxfId="19819" priority="6478" stopIfTrue="1" operator="equal">
      <formula>"Napkin Hs"</formula>
    </cfRule>
    <cfRule type="cellIs" dxfId="19818" priority="6483" stopIfTrue="1" operator="equal">
      <formula>"Towel"</formula>
    </cfRule>
    <cfRule type="cellIs" dxfId="19817" priority="6484" stopIfTrue="1" operator="equal">
      <formula>"Napkin Hs"</formula>
    </cfRule>
    <cfRule type="cellIs" dxfId="19816" priority="6485" stopIfTrue="1" operator="equal">
      <formula>"Towel"</formula>
    </cfRule>
    <cfRule type="cellIs" dxfId="19815" priority="6486" stopIfTrue="1" operator="equal">
      <formula>"Napkin Hs"</formula>
    </cfRule>
    <cfRule type="cellIs" dxfId="19814" priority="6489" stopIfTrue="1" operator="equal">
      <formula>"Towel"</formula>
    </cfRule>
    <cfRule type="cellIs" dxfId="19813" priority="6490" stopIfTrue="1" operator="equal">
      <formula>"Napkin Hs"</formula>
    </cfRule>
    <cfRule type="cellIs" dxfId="19812" priority="6491" stopIfTrue="1" operator="equal">
      <formula>"Towel"</formula>
    </cfRule>
    <cfRule type="cellIs" dxfId="19811" priority="6492" stopIfTrue="1" operator="equal">
      <formula>"Napkin Hs"</formula>
    </cfRule>
    <cfRule type="cellIs" dxfId="19810" priority="6493" stopIfTrue="1" operator="equal">
      <formula>"Towel"</formula>
    </cfRule>
    <cfRule type="cellIs" dxfId="19809" priority="6494" stopIfTrue="1" operator="equal">
      <formula>"Napkin Hs"</formula>
    </cfRule>
    <cfRule type="cellIs" dxfId="19808" priority="6495" stopIfTrue="1" operator="equal">
      <formula>"Towel"</formula>
    </cfRule>
    <cfRule type="cellIs" dxfId="19807" priority="6496" stopIfTrue="1" operator="equal">
      <formula>"Napkin Hs"</formula>
    </cfRule>
    <cfRule type="cellIs" dxfId="19806" priority="6499" stopIfTrue="1" operator="equal">
      <formula>"Towel"</formula>
    </cfRule>
    <cfRule type="cellIs" dxfId="19805" priority="6500" stopIfTrue="1" operator="equal">
      <formula>"Napkin Hs"</formula>
    </cfRule>
    <cfRule type="cellIs" dxfId="19804" priority="6501" stopIfTrue="1" operator="equal">
      <formula>"Towel"</formula>
    </cfRule>
    <cfRule type="cellIs" dxfId="19803" priority="6502" stopIfTrue="1" operator="equal">
      <formula>"Napkin Hs"</formula>
    </cfRule>
    <cfRule type="cellIs" dxfId="19802" priority="6507" stopIfTrue="1" operator="equal">
      <formula>"Towel"</formula>
    </cfRule>
    <cfRule type="cellIs" dxfId="19801" priority="6508" stopIfTrue="1" operator="equal">
      <formula>"Napkin Hs"</formula>
    </cfRule>
    <cfRule type="cellIs" dxfId="19800" priority="6509" stopIfTrue="1" operator="equal">
      <formula>"Towel"</formula>
    </cfRule>
    <cfRule type="cellIs" dxfId="19799" priority="6510" stopIfTrue="1" operator="equal">
      <formula>"Napkin Hs"</formula>
    </cfRule>
    <cfRule type="cellIs" dxfId="19798" priority="6513" stopIfTrue="1" operator="equal">
      <formula>"Towel"</formula>
    </cfRule>
    <cfRule type="cellIs" dxfId="19797" priority="6514" stopIfTrue="1" operator="equal">
      <formula>"Napkin Hs"</formula>
    </cfRule>
    <cfRule type="cellIs" dxfId="19796" priority="6515" stopIfTrue="1" operator="equal">
      <formula>"Towel"</formula>
    </cfRule>
    <cfRule type="cellIs" dxfId="19795" priority="6516" stopIfTrue="1" operator="equal">
      <formula>"Napkin Hs"</formula>
    </cfRule>
    <cfRule type="cellIs" dxfId="19794" priority="6517" stopIfTrue="1" operator="equal">
      <formula>"Towel"</formula>
    </cfRule>
    <cfRule type="cellIs" dxfId="19793" priority="6518" stopIfTrue="1" operator="equal">
      <formula>"Napkin Hs"</formula>
    </cfRule>
    <cfRule type="cellIs" dxfId="19792" priority="6519" stopIfTrue="1" operator="equal">
      <formula>"Towel"</formula>
    </cfRule>
    <cfRule type="cellIs" dxfId="19791" priority="6520" stopIfTrue="1" operator="equal">
      <formula>"Napkin Hs"</formula>
    </cfRule>
    <cfRule type="cellIs" dxfId="19790" priority="6525" stopIfTrue="1" operator="equal">
      <formula>"Towel"</formula>
    </cfRule>
    <cfRule type="cellIs" dxfId="19789" priority="6526" stopIfTrue="1" operator="equal">
      <formula>"Napkin Hs"</formula>
    </cfRule>
    <cfRule type="cellIs" dxfId="19788" priority="6527" stopIfTrue="1" operator="equal">
      <formula>"Towel"</formula>
    </cfRule>
    <cfRule type="cellIs" dxfId="19787" priority="6528" stopIfTrue="1" operator="equal">
      <formula>"Napkin Hs"</formula>
    </cfRule>
    <cfRule type="cellIs" dxfId="19786" priority="6531" stopIfTrue="1" operator="equal">
      <formula>"Towel"</formula>
    </cfRule>
    <cfRule type="cellIs" dxfId="19785" priority="6532" stopIfTrue="1" operator="equal">
      <formula>"Napkin Hs"</formula>
    </cfRule>
    <cfRule type="cellIs" dxfId="19784" priority="6533" stopIfTrue="1" operator="equal">
      <formula>"Towel"</formula>
    </cfRule>
    <cfRule type="cellIs" dxfId="19783" priority="6534" stopIfTrue="1" operator="equal">
      <formula>"Napkin Hs"</formula>
    </cfRule>
    <cfRule type="cellIs" dxfId="19782" priority="6535" stopIfTrue="1" operator="equal">
      <formula>"Towel"</formula>
    </cfRule>
    <cfRule type="cellIs" dxfId="19781" priority="6536" stopIfTrue="1" operator="equal">
      <formula>"Napkin Hs"</formula>
    </cfRule>
    <cfRule type="cellIs" dxfId="19780" priority="6537" stopIfTrue="1" operator="equal">
      <formula>"Towel"</formula>
    </cfRule>
    <cfRule type="cellIs" dxfId="19779" priority="6538" stopIfTrue="1" operator="equal">
      <formula>"Napkin Hs"</formula>
    </cfRule>
    <cfRule type="cellIs" dxfId="19778" priority="6543" stopIfTrue="1" operator="equal">
      <formula>"Towel"</formula>
    </cfRule>
    <cfRule type="cellIs" dxfId="19777" priority="6544" stopIfTrue="1" operator="equal">
      <formula>"Napkin Hs"</formula>
    </cfRule>
    <cfRule type="cellIs" dxfId="19776" priority="6545" stopIfTrue="1" operator="equal">
      <formula>"Towel"</formula>
    </cfRule>
    <cfRule type="cellIs" dxfId="19775" priority="6546" stopIfTrue="1" operator="equal">
      <formula>"Napkin Hs"</formula>
    </cfRule>
    <cfRule type="cellIs" dxfId="19774" priority="6549" stopIfTrue="1" operator="equal">
      <formula>"Towel"</formula>
    </cfRule>
    <cfRule type="cellIs" dxfId="19773" priority="6550" stopIfTrue="1" operator="equal">
      <formula>"Napkin Hs"</formula>
    </cfRule>
    <cfRule type="cellIs" dxfId="19772" priority="6551" stopIfTrue="1" operator="equal">
      <formula>"Towel"</formula>
    </cfRule>
    <cfRule type="cellIs" dxfId="19771" priority="6552" stopIfTrue="1" operator="equal">
      <formula>"Napkin Hs"</formula>
    </cfRule>
  </conditionalFormatting>
  <conditionalFormatting sqref="B64:C64">
    <cfRule type="cellIs" dxfId="19770" priority="6454" stopIfTrue="1" operator="equal">
      <formula>"Towel"</formula>
    </cfRule>
    <cfRule type="cellIs" dxfId="19769" priority="6455" stopIfTrue="1" operator="equal">
      <formula>"Napkin Hs"</formula>
    </cfRule>
  </conditionalFormatting>
  <conditionalFormatting sqref="C64">
    <cfRule type="cellIs" dxfId="19768" priority="6450" stopIfTrue="1" operator="equal">
      <formula>"Towel"</formula>
    </cfRule>
    <cfRule type="cellIs" dxfId="19767" priority="6451" stopIfTrue="1" operator="equal">
      <formula>"Napkin Hs"</formula>
    </cfRule>
  </conditionalFormatting>
  <conditionalFormatting sqref="C64">
    <cfRule type="cellIs" dxfId="19766" priority="6453" stopIfTrue="1" operator="equal">
      <formula>"Napkin Hs"</formula>
    </cfRule>
  </conditionalFormatting>
  <conditionalFormatting sqref="C64">
    <cfRule type="cellIs" dxfId="19765" priority="6452" stopIfTrue="1" operator="equal">
      <formula>"Towel"</formula>
    </cfRule>
  </conditionalFormatting>
  <conditionalFormatting sqref="B72:C72">
    <cfRule type="cellIs" dxfId="19764" priority="6448" stopIfTrue="1" operator="equal">
      <formula>"Towel"</formula>
    </cfRule>
    <cfRule type="cellIs" dxfId="19763" priority="6449" stopIfTrue="1" operator="equal">
      <formula>"Napkin Hs"</formula>
    </cfRule>
  </conditionalFormatting>
  <conditionalFormatting sqref="B73:C73">
    <cfRule type="cellIs" dxfId="19762" priority="6438" stopIfTrue="1" operator="equal">
      <formula>"Towel"</formula>
    </cfRule>
    <cfRule type="cellIs" dxfId="19761" priority="6439" stopIfTrue="1" operator="equal">
      <formula>"Napkin Hs"</formula>
    </cfRule>
  </conditionalFormatting>
  <conditionalFormatting sqref="B74:C76">
    <cfRule type="cellIs" dxfId="19760" priority="6442" stopIfTrue="1" operator="equal">
      <formula>"Towel"</formula>
    </cfRule>
    <cfRule type="cellIs" dxfId="19759" priority="6443" stopIfTrue="1" operator="equal">
      <formula>"Napkin Hs"</formula>
    </cfRule>
  </conditionalFormatting>
  <conditionalFormatting sqref="C72">
    <cfRule type="cellIs" dxfId="19758" priority="6447" stopIfTrue="1" operator="equal">
      <formula>"Napkin Hs"</formula>
    </cfRule>
  </conditionalFormatting>
  <conditionalFormatting sqref="C72">
    <cfRule type="cellIs" dxfId="19757" priority="6446" stopIfTrue="1" operator="equal">
      <formula>"Towel"</formula>
    </cfRule>
  </conditionalFormatting>
  <conditionalFormatting sqref="C72">
    <cfRule type="cellIs" dxfId="19756" priority="6444" stopIfTrue="1" operator="equal">
      <formula>"Towel"</formula>
    </cfRule>
    <cfRule type="cellIs" dxfId="19755" priority="6445" stopIfTrue="1" operator="equal">
      <formula>"Napkin Hs"</formula>
    </cfRule>
  </conditionalFormatting>
  <conditionalFormatting sqref="C73">
    <cfRule type="cellIs" dxfId="19754" priority="6434" stopIfTrue="1" operator="equal">
      <formula>"Towel"</formula>
    </cfRule>
    <cfRule type="cellIs" dxfId="19753" priority="6435" stopIfTrue="1" operator="equal">
      <formula>"Napkin Hs"</formula>
    </cfRule>
  </conditionalFormatting>
  <conditionalFormatting sqref="C73:C76">
    <cfRule type="cellIs" dxfId="19752" priority="6436" stopIfTrue="1" operator="equal">
      <formula>"Towel"</formula>
    </cfRule>
    <cfRule type="cellIs" dxfId="19751" priority="6437" stopIfTrue="1" operator="equal">
      <formula>"Napkin Hs"</formula>
    </cfRule>
  </conditionalFormatting>
  <conditionalFormatting sqref="C74:C76">
    <cfRule type="cellIs" dxfId="19750" priority="6440" stopIfTrue="1" operator="equal">
      <formula>"Towel"</formula>
    </cfRule>
    <cfRule type="cellIs" dxfId="19749" priority="6441" stopIfTrue="1" operator="equal">
      <formula>"Napkin Hs"</formula>
    </cfRule>
  </conditionalFormatting>
  <conditionalFormatting sqref="C71">
    <cfRule type="cellIs" dxfId="19748" priority="6426" stopIfTrue="1" operator="equal">
      <formula>"Towel"</formula>
    </cfRule>
    <cfRule type="cellIs" dxfId="19747" priority="6427" stopIfTrue="1" operator="equal">
      <formula>"Napkin Hs"</formula>
    </cfRule>
  </conditionalFormatting>
  <conditionalFormatting sqref="B71:C71">
    <cfRule type="cellIs" dxfId="19746" priority="6428" stopIfTrue="1" operator="equal">
      <formula>"Towel"</formula>
    </cfRule>
    <cfRule type="cellIs" dxfId="19745" priority="6429" stopIfTrue="1" operator="equal">
      <formula>"Napkin Hs"</formula>
    </cfRule>
  </conditionalFormatting>
  <conditionalFormatting sqref="C71">
    <cfRule type="cellIs" dxfId="19744" priority="6424" stopIfTrue="1" operator="equal">
      <formula>"Towel"</formula>
    </cfRule>
    <cfRule type="cellIs" dxfId="19743" priority="6425" stopIfTrue="1" operator="equal">
      <formula>"Napkin Hs"</formula>
    </cfRule>
  </conditionalFormatting>
  <conditionalFormatting sqref="B71:C71">
    <cfRule type="cellIs" dxfId="19742" priority="6422" stopIfTrue="1" operator="equal">
      <formula>"Towel"</formula>
    </cfRule>
    <cfRule type="cellIs" dxfId="19741" priority="6423" stopIfTrue="1" operator="equal">
      <formula>"Napkin Hs"</formula>
    </cfRule>
  </conditionalFormatting>
  <conditionalFormatting sqref="C71">
    <cfRule type="cellIs" dxfId="19740" priority="6430" stopIfTrue="1" operator="equal">
      <formula>"Towel"</formula>
    </cfRule>
    <cfRule type="cellIs" dxfId="19739" priority="6431" stopIfTrue="1" operator="equal">
      <formula>"Napkin Hs"</formula>
    </cfRule>
  </conditionalFormatting>
  <conditionalFormatting sqref="C71">
    <cfRule type="cellIs" dxfId="19738" priority="6432" stopIfTrue="1" operator="equal">
      <formula>"Towel"</formula>
    </cfRule>
    <cfRule type="cellIs" dxfId="19737" priority="6433" stopIfTrue="1" operator="equal">
      <formula>"Napkin Hs"</formula>
    </cfRule>
  </conditionalFormatting>
  <conditionalFormatting sqref="B71:C71">
    <cfRule type="cellIs" dxfId="19736" priority="6420" stopIfTrue="1" operator="equal">
      <formula>"Towel"</formula>
    </cfRule>
    <cfRule type="cellIs" dxfId="19735" priority="6421" stopIfTrue="1" operator="equal">
      <formula>"Napkin Hs"</formula>
    </cfRule>
  </conditionalFormatting>
  <conditionalFormatting sqref="C71">
    <cfRule type="cellIs" dxfId="19734" priority="6419" stopIfTrue="1" operator="equal">
      <formula>"Napkin Hs"</formula>
    </cfRule>
  </conditionalFormatting>
  <conditionalFormatting sqref="C71">
    <cfRule type="cellIs" dxfId="19733" priority="6418" stopIfTrue="1" operator="equal">
      <formula>"Towel"</formula>
    </cfRule>
  </conditionalFormatting>
  <conditionalFormatting sqref="C71">
    <cfRule type="cellIs" dxfId="19732" priority="6416" stopIfTrue="1" operator="equal">
      <formula>"Towel"</formula>
    </cfRule>
    <cfRule type="cellIs" dxfId="19731" priority="6417" stopIfTrue="1" operator="equal">
      <formula>"Napkin Hs"</formula>
    </cfRule>
  </conditionalFormatting>
  <conditionalFormatting sqref="B71:C71">
    <cfRule type="cellIs" dxfId="19730" priority="6414" stopIfTrue="1" operator="equal">
      <formula>"Towel"</formula>
    </cfRule>
    <cfRule type="cellIs" dxfId="19729" priority="6415" stopIfTrue="1" operator="equal">
      <formula>"Napkin Hs"</formula>
    </cfRule>
  </conditionalFormatting>
  <conditionalFormatting sqref="C71">
    <cfRule type="cellIs" dxfId="19728" priority="6410" stopIfTrue="1" operator="equal">
      <formula>"Towel"</formula>
    </cfRule>
    <cfRule type="cellIs" dxfId="19727" priority="6411" stopIfTrue="1" operator="equal">
      <formula>"Napkin Hs"</formula>
    </cfRule>
  </conditionalFormatting>
  <conditionalFormatting sqref="C71">
    <cfRule type="cellIs" dxfId="19726" priority="6412" stopIfTrue="1" operator="equal">
      <formula>"Towel"</formula>
    </cfRule>
    <cfRule type="cellIs" dxfId="19725" priority="6413" stopIfTrue="1" operator="equal">
      <formula>"Napkin Hs"</formula>
    </cfRule>
  </conditionalFormatting>
  <conditionalFormatting sqref="B71:C71">
    <cfRule type="cellIs" dxfId="19724" priority="6408" stopIfTrue="1" operator="equal">
      <formula>"Towel"</formula>
    </cfRule>
    <cfRule type="cellIs" dxfId="19723" priority="6409" stopIfTrue="1" operator="equal">
      <formula>"Napkin Hs"</formula>
    </cfRule>
  </conditionalFormatting>
  <conditionalFormatting sqref="C71">
    <cfRule type="cellIs" dxfId="19722" priority="6404" stopIfTrue="1" operator="equal">
      <formula>"Towel"</formula>
    </cfRule>
    <cfRule type="cellIs" dxfId="19721" priority="6405" stopIfTrue="1" operator="equal">
      <formula>"Napkin Hs"</formula>
    </cfRule>
  </conditionalFormatting>
  <conditionalFormatting sqref="C71">
    <cfRule type="cellIs" dxfId="19720" priority="6406" stopIfTrue="1" operator="equal">
      <formula>"Towel"</formula>
    </cfRule>
    <cfRule type="cellIs" dxfId="19719" priority="6407" stopIfTrue="1" operator="equal">
      <formula>"Napkin Hs"</formula>
    </cfRule>
  </conditionalFormatting>
  <conditionalFormatting sqref="B71:C71">
    <cfRule type="cellIs" dxfId="19718" priority="6402" stopIfTrue="1" operator="equal">
      <formula>"Towel"</formula>
    </cfRule>
    <cfRule type="cellIs" dxfId="19717" priority="6403" stopIfTrue="1" operator="equal">
      <formula>"Napkin Hs"</formula>
    </cfRule>
  </conditionalFormatting>
  <conditionalFormatting sqref="C71">
    <cfRule type="cellIs" dxfId="19716" priority="6400" stopIfTrue="1" operator="equal">
      <formula>"Towel"</formula>
    </cfRule>
    <cfRule type="cellIs" dxfId="19715" priority="6401" stopIfTrue="1" operator="equal">
      <formula>"Napkin Hs"</formula>
    </cfRule>
  </conditionalFormatting>
  <conditionalFormatting sqref="C71">
    <cfRule type="cellIs" dxfId="19714" priority="6398" stopIfTrue="1" operator="equal">
      <formula>"Towel"</formula>
    </cfRule>
    <cfRule type="cellIs" dxfId="19713" priority="6399" stopIfTrue="1" operator="equal">
      <formula>"Napkin Hs"</formula>
    </cfRule>
  </conditionalFormatting>
  <conditionalFormatting sqref="C71">
    <cfRule type="cellIs" dxfId="19712" priority="6390" stopIfTrue="1" operator="equal">
      <formula>"Towel"</formula>
    </cfRule>
    <cfRule type="cellIs" dxfId="19711" priority="6391" stopIfTrue="1" operator="equal">
      <formula>"Napkin Hs"</formula>
    </cfRule>
  </conditionalFormatting>
  <conditionalFormatting sqref="B71:C71">
    <cfRule type="cellIs" dxfId="19710" priority="6392" stopIfTrue="1" operator="equal">
      <formula>"Towel"</formula>
    </cfRule>
    <cfRule type="cellIs" dxfId="19709" priority="6393" stopIfTrue="1" operator="equal">
      <formula>"Napkin Hs"</formula>
    </cfRule>
  </conditionalFormatting>
  <conditionalFormatting sqref="C71">
    <cfRule type="cellIs" dxfId="19708" priority="6388" stopIfTrue="1" operator="equal">
      <formula>"Towel"</formula>
    </cfRule>
    <cfRule type="cellIs" dxfId="19707" priority="6389" stopIfTrue="1" operator="equal">
      <formula>"Napkin Hs"</formula>
    </cfRule>
  </conditionalFormatting>
  <conditionalFormatting sqref="B71:C71">
    <cfRule type="cellIs" dxfId="19706" priority="6386" stopIfTrue="1" operator="equal">
      <formula>"Towel"</formula>
    </cfRule>
    <cfRule type="cellIs" dxfId="19705" priority="6387" stopIfTrue="1" operator="equal">
      <formula>"Napkin Hs"</formula>
    </cfRule>
  </conditionalFormatting>
  <conditionalFormatting sqref="C71">
    <cfRule type="cellIs" dxfId="19704" priority="6394" stopIfTrue="1" operator="equal">
      <formula>"Towel"</formula>
    </cfRule>
    <cfRule type="cellIs" dxfId="19703" priority="6395" stopIfTrue="1" operator="equal">
      <formula>"Napkin Hs"</formula>
    </cfRule>
  </conditionalFormatting>
  <conditionalFormatting sqref="C71">
    <cfRule type="cellIs" dxfId="19702" priority="6396" stopIfTrue="1" operator="equal">
      <formula>"Towel"</formula>
    </cfRule>
    <cfRule type="cellIs" dxfId="19701" priority="6397" stopIfTrue="1" operator="equal">
      <formula>"Napkin Hs"</formula>
    </cfRule>
  </conditionalFormatting>
  <conditionalFormatting sqref="B71:C71">
    <cfRule type="cellIs" dxfId="19700" priority="6384" stopIfTrue="1" operator="equal">
      <formula>"Towel"</formula>
    </cfRule>
    <cfRule type="cellIs" dxfId="19699" priority="6385" stopIfTrue="1" operator="equal">
      <formula>"Napkin Hs"</formula>
    </cfRule>
  </conditionalFormatting>
  <conditionalFormatting sqref="C71">
    <cfRule type="cellIs" dxfId="19698" priority="6376" stopIfTrue="1" operator="equal">
      <formula>"Towel"</formula>
    </cfRule>
    <cfRule type="cellIs" dxfId="19697" priority="6377" stopIfTrue="1" operator="equal">
      <formula>"Napkin Hs"</formula>
    </cfRule>
  </conditionalFormatting>
  <conditionalFormatting sqref="C71">
    <cfRule type="cellIs" dxfId="19696" priority="6380" stopIfTrue="1" operator="equal">
      <formula>"Towel"</formula>
    </cfRule>
    <cfRule type="cellIs" dxfId="19695" priority="6381" stopIfTrue="1" operator="equal">
      <formula>"Napkin Hs"</formula>
    </cfRule>
  </conditionalFormatting>
  <conditionalFormatting sqref="C71">
    <cfRule type="cellIs" dxfId="19694" priority="6383" stopIfTrue="1" operator="equal">
      <formula>"Napkin Hs"</formula>
    </cfRule>
  </conditionalFormatting>
  <conditionalFormatting sqref="C71">
    <cfRule type="cellIs" dxfId="19693" priority="6378" stopIfTrue="1" operator="equal">
      <formula>"Towel"</formula>
    </cfRule>
    <cfRule type="cellIs" dxfId="19692" priority="6379" stopIfTrue="1" operator="equal">
      <formula>"Napkin Hs"</formula>
    </cfRule>
  </conditionalFormatting>
  <conditionalFormatting sqref="C71">
    <cfRule type="cellIs" dxfId="19691" priority="6382" stopIfTrue="1" operator="equal">
      <formula>"Towel"</formula>
    </cfRule>
  </conditionalFormatting>
  <conditionalFormatting sqref="C71">
    <cfRule type="cellIs" dxfId="19690" priority="6374" stopIfTrue="1" operator="equal">
      <formula>"Towel"</formula>
    </cfRule>
    <cfRule type="cellIs" dxfId="19689" priority="6375" stopIfTrue="1" operator="equal">
      <formula>"Napkin Hs"</formula>
    </cfRule>
  </conditionalFormatting>
  <conditionalFormatting sqref="B71">
    <cfRule type="cellIs" dxfId="19688" priority="6372" stopIfTrue="1" operator="equal">
      <formula>"Towel"</formula>
    </cfRule>
    <cfRule type="cellIs" dxfId="19687" priority="6373" stopIfTrue="1" operator="equal">
      <formula>"Napkin Hs"</formula>
    </cfRule>
  </conditionalFormatting>
  <conditionalFormatting sqref="B69:C69">
    <cfRule type="cellIs" dxfId="19686" priority="6370" stopIfTrue="1" operator="equal">
      <formula>"Towel"</formula>
    </cfRule>
    <cfRule type="cellIs" dxfId="19685" priority="6371" stopIfTrue="1" operator="equal">
      <formula>"Napkin Hs"</formula>
    </cfRule>
  </conditionalFormatting>
  <conditionalFormatting sqref="C69">
    <cfRule type="cellIs" dxfId="19684" priority="6368" stopIfTrue="1" operator="equal">
      <formula>"Towel"</formula>
    </cfRule>
    <cfRule type="cellIs" dxfId="19683" priority="6369" stopIfTrue="1" operator="equal">
      <formula>"Napkin Hs"</formula>
    </cfRule>
  </conditionalFormatting>
  <conditionalFormatting sqref="C69">
    <cfRule type="cellIs" dxfId="19682" priority="6366" stopIfTrue="1" operator="equal">
      <formula>"Towel"</formula>
    </cfRule>
    <cfRule type="cellIs" dxfId="19681" priority="6367" stopIfTrue="1" operator="equal">
      <formula>"Napkin Hs"</formula>
    </cfRule>
  </conditionalFormatting>
  <conditionalFormatting sqref="C69">
    <cfRule type="cellIs" dxfId="19680" priority="6352" stopIfTrue="1" operator="equal">
      <formula>"Towel"</formula>
    </cfRule>
    <cfRule type="cellIs" dxfId="19679" priority="6353" stopIfTrue="1" operator="equal">
      <formula>"Napkin Hs"</formula>
    </cfRule>
  </conditionalFormatting>
  <conditionalFormatting sqref="C69">
    <cfRule type="cellIs" dxfId="19678" priority="6350" stopIfTrue="1" operator="equal">
      <formula>"Towel"</formula>
    </cfRule>
    <cfRule type="cellIs" dxfId="19677" priority="6351" stopIfTrue="1" operator="equal">
      <formula>"Napkin Hs"</formula>
    </cfRule>
  </conditionalFormatting>
  <conditionalFormatting sqref="C69">
    <cfRule type="cellIs" dxfId="19676" priority="6358" stopIfTrue="1" operator="equal">
      <formula>"Towel"</formula>
    </cfRule>
    <cfRule type="cellIs" dxfId="19675" priority="6359" stopIfTrue="1" operator="equal">
      <formula>"Napkin Hs"</formula>
    </cfRule>
  </conditionalFormatting>
  <conditionalFormatting sqref="B69:C69">
    <cfRule type="cellIs" dxfId="19674" priority="6360" stopIfTrue="1" operator="equal">
      <formula>"Towel"</formula>
    </cfRule>
    <cfRule type="cellIs" dxfId="19673" priority="6361" stopIfTrue="1" operator="equal">
      <formula>"Napkin Hs"</formula>
    </cfRule>
  </conditionalFormatting>
  <conditionalFormatting sqref="C69">
    <cfRule type="cellIs" dxfId="19672" priority="6356" stopIfTrue="1" operator="equal">
      <formula>"Towel"</formula>
    </cfRule>
    <cfRule type="cellIs" dxfId="19671" priority="6357" stopIfTrue="1" operator="equal">
      <formula>"Napkin Hs"</formula>
    </cfRule>
  </conditionalFormatting>
  <conditionalFormatting sqref="B69:C69">
    <cfRule type="cellIs" dxfId="19670" priority="6354" stopIfTrue="1" operator="equal">
      <formula>"Towel"</formula>
    </cfRule>
    <cfRule type="cellIs" dxfId="19669" priority="6355" stopIfTrue="1" operator="equal">
      <formula>"Napkin Hs"</formula>
    </cfRule>
  </conditionalFormatting>
  <conditionalFormatting sqref="C69">
    <cfRule type="cellIs" dxfId="19668" priority="6362" stopIfTrue="1" operator="equal">
      <formula>"Towel"</formula>
    </cfRule>
    <cfRule type="cellIs" dxfId="19667" priority="6363" stopIfTrue="1" operator="equal">
      <formula>"Napkin Hs"</formula>
    </cfRule>
  </conditionalFormatting>
  <conditionalFormatting sqref="C69">
    <cfRule type="cellIs" dxfId="19666" priority="6364" stopIfTrue="1" operator="equal">
      <formula>"Towel"</formula>
    </cfRule>
    <cfRule type="cellIs" dxfId="19665" priority="6365" stopIfTrue="1" operator="equal">
      <formula>"Napkin Hs"</formula>
    </cfRule>
  </conditionalFormatting>
  <conditionalFormatting sqref="C69">
    <cfRule type="cellIs" dxfId="19664" priority="6346" stopIfTrue="1" operator="equal">
      <formula>"Towel"</formula>
    </cfRule>
    <cfRule type="cellIs" dxfId="19663" priority="6347" stopIfTrue="1" operator="equal">
      <formula>"Napkin Hs"</formula>
    </cfRule>
  </conditionalFormatting>
  <conditionalFormatting sqref="B69:C69">
    <cfRule type="cellIs" dxfId="19662" priority="6348" stopIfTrue="1" operator="equal">
      <formula>"Towel"</formula>
    </cfRule>
    <cfRule type="cellIs" dxfId="19661" priority="6349" stopIfTrue="1" operator="equal">
      <formula>"Napkin Hs"</formula>
    </cfRule>
  </conditionalFormatting>
  <conditionalFormatting sqref="C69">
    <cfRule type="cellIs" dxfId="19660" priority="6344" stopIfTrue="1" operator="equal">
      <formula>"Towel"</formula>
    </cfRule>
    <cfRule type="cellIs" dxfId="19659" priority="6345" stopIfTrue="1" operator="equal">
      <formula>"Napkin Hs"</formula>
    </cfRule>
  </conditionalFormatting>
  <conditionalFormatting sqref="B69:C69">
    <cfRule type="cellIs" dxfId="19658" priority="6342" stopIfTrue="1" operator="equal">
      <formula>"Towel"</formula>
    </cfRule>
    <cfRule type="cellIs" dxfId="19657" priority="6343" stopIfTrue="1" operator="equal">
      <formula>"Napkin Hs"</formula>
    </cfRule>
  </conditionalFormatting>
  <conditionalFormatting sqref="C69">
    <cfRule type="cellIs" dxfId="19656" priority="6334" stopIfTrue="1" operator="equal">
      <formula>"Towel"</formula>
    </cfRule>
    <cfRule type="cellIs" dxfId="19655" priority="6335" stopIfTrue="1" operator="equal">
      <formula>"Napkin Hs"</formula>
    </cfRule>
  </conditionalFormatting>
  <conditionalFormatting sqref="B69:C69">
    <cfRule type="cellIs" dxfId="19654" priority="6336" stopIfTrue="1" operator="equal">
      <formula>"Towel"</formula>
    </cfRule>
    <cfRule type="cellIs" dxfId="19653" priority="6337" stopIfTrue="1" operator="equal">
      <formula>"Napkin Hs"</formula>
    </cfRule>
  </conditionalFormatting>
  <conditionalFormatting sqref="C69">
    <cfRule type="cellIs" dxfId="19652" priority="6332" stopIfTrue="1" operator="equal">
      <formula>"Towel"</formula>
    </cfRule>
    <cfRule type="cellIs" dxfId="19651" priority="6333" stopIfTrue="1" operator="equal">
      <formula>"Napkin Hs"</formula>
    </cfRule>
  </conditionalFormatting>
  <conditionalFormatting sqref="B69:C69">
    <cfRule type="cellIs" dxfId="19650" priority="6330" stopIfTrue="1" operator="equal">
      <formula>"Towel"</formula>
    </cfRule>
    <cfRule type="cellIs" dxfId="19649" priority="6331" stopIfTrue="1" operator="equal">
      <formula>"Napkin Hs"</formula>
    </cfRule>
  </conditionalFormatting>
  <conditionalFormatting sqref="C69">
    <cfRule type="cellIs" dxfId="19648" priority="6338" stopIfTrue="1" operator="equal">
      <formula>"Towel"</formula>
    </cfRule>
    <cfRule type="cellIs" dxfId="19647" priority="6339" stopIfTrue="1" operator="equal">
      <formula>"Napkin Hs"</formula>
    </cfRule>
  </conditionalFormatting>
  <conditionalFormatting sqref="C69">
    <cfRule type="cellIs" dxfId="19646" priority="6340" stopIfTrue="1" operator="equal">
      <formula>"Towel"</formula>
    </cfRule>
    <cfRule type="cellIs" dxfId="19645" priority="6341" stopIfTrue="1" operator="equal">
      <formula>"Napkin Hs"</formula>
    </cfRule>
  </conditionalFormatting>
  <conditionalFormatting sqref="B69:C69">
    <cfRule type="cellIs" dxfId="19644" priority="6328" stopIfTrue="1" operator="equal">
      <formula>"Towel"</formula>
    </cfRule>
    <cfRule type="cellIs" dxfId="19643" priority="6329" stopIfTrue="1" operator="equal">
      <formula>"Napkin Hs"</formula>
    </cfRule>
  </conditionalFormatting>
  <conditionalFormatting sqref="C69">
    <cfRule type="cellIs" dxfId="19642" priority="6327" stopIfTrue="1" operator="equal">
      <formula>"Napkin Hs"</formula>
    </cfRule>
  </conditionalFormatting>
  <conditionalFormatting sqref="C69">
    <cfRule type="cellIs" dxfId="19641" priority="6326" stopIfTrue="1" operator="equal">
      <formula>"Towel"</formula>
    </cfRule>
  </conditionalFormatting>
  <conditionalFormatting sqref="C69">
    <cfRule type="cellIs" dxfId="19640" priority="6324" stopIfTrue="1" operator="equal">
      <formula>"Towel"</formula>
    </cfRule>
    <cfRule type="cellIs" dxfId="19639" priority="6325" stopIfTrue="1" operator="equal">
      <formula>"Napkin Hs"</formula>
    </cfRule>
  </conditionalFormatting>
  <conditionalFormatting sqref="C69">
    <cfRule type="cellIs" dxfId="19638" priority="6316" stopIfTrue="1" operator="equal">
      <formula>"Towel"</formula>
    </cfRule>
    <cfRule type="cellIs" dxfId="19637" priority="6317" stopIfTrue="1" operator="equal">
      <formula>"Napkin Hs"</formula>
    </cfRule>
  </conditionalFormatting>
  <conditionalFormatting sqref="B69:C69">
    <cfRule type="cellIs" dxfId="19636" priority="6318" stopIfTrue="1" operator="equal">
      <formula>"Towel"</formula>
    </cfRule>
    <cfRule type="cellIs" dxfId="19635" priority="6319" stopIfTrue="1" operator="equal">
      <formula>"Napkin Hs"</formula>
    </cfRule>
  </conditionalFormatting>
  <conditionalFormatting sqref="C69">
    <cfRule type="cellIs" dxfId="19634" priority="6314" stopIfTrue="1" operator="equal">
      <formula>"Towel"</formula>
    </cfRule>
    <cfRule type="cellIs" dxfId="19633" priority="6315" stopIfTrue="1" operator="equal">
      <formula>"Napkin Hs"</formula>
    </cfRule>
  </conditionalFormatting>
  <conditionalFormatting sqref="B69:C69">
    <cfRule type="cellIs" dxfId="19632" priority="6312" stopIfTrue="1" operator="equal">
      <formula>"Towel"</formula>
    </cfRule>
    <cfRule type="cellIs" dxfId="19631" priority="6313" stopIfTrue="1" operator="equal">
      <formula>"Napkin Hs"</formula>
    </cfRule>
  </conditionalFormatting>
  <conditionalFormatting sqref="C69">
    <cfRule type="cellIs" dxfId="19630" priority="6320" stopIfTrue="1" operator="equal">
      <formula>"Towel"</formula>
    </cfRule>
    <cfRule type="cellIs" dxfId="19629" priority="6321" stopIfTrue="1" operator="equal">
      <formula>"Napkin Hs"</formula>
    </cfRule>
  </conditionalFormatting>
  <conditionalFormatting sqref="C69">
    <cfRule type="cellIs" dxfId="19628" priority="6322" stopIfTrue="1" operator="equal">
      <formula>"Towel"</formula>
    </cfRule>
    <cfRule type="cellIs" dxfId="19627" priority="6323" stopIfTrue="1" operator="equal">
      <formula>"Napkin Hs"</formula>
    </cfRule>
  </conditionalFormatting>
  <conditionalFormatting sqref="B69:C69">
    <cfRule type="cellIs" dxfId="19626" priority="6310" stopIfTrue="1" operator="equal">
      <formula>"Towel"</formula>
    </cfRule>
    <cfRule type="cellIs" dxfId="19625" priority="6311" stopIfTrue="1" operator="equal">
      <formula>"Napkin Hs"</formula>
    </cfRule>
  </conditionalFormatting>
  <conditionalFormatting sqref="C69">
    <cfRule type="cellIs" dxfId="19624" priority="6306" stopIfTrue="1" operator="equal">
      <formula>"Towel"</formula>
    </cfRule>
    <cfRule type="cellIs" dxfId="19623" priority="6307" stopIfTrue="1" operator="equal">
      <formula>"Napkin Hs"</formula>
    </cfRule>
  </conditionalFormatting>
  <conditionalFormatting sqref="C69">
    <cfRule type="cellIs" dxfId="19622" priority="6308" stopIfTrue="1" operator="equal">
      <formula>"Towel"</formula>
    </cfRule>
    <cfRule type="cellIs" dxfId="19621" priority="6309" stopIfTrue="1" operator="equal">
      <formula>"Napkin Hs"</formula>
    </cfRule>
  </conditionalFormatting>
  <conditionalFormatting sqref="B69:C69">
    <cfRule type="cellIs" dxfId="19620" priority="6304" stopIfTrue="1" operator="equal">
      <formula>"Towel"</formula>
    </cfRule>
    <cfRule type="cellIs" dxfId="19619" priority="6305" stopIfTrue="1" operator="equal">
      <formula>"Napkin Hs"</formula>
    </cfRule>
  </conditionalFormatting>
  <conditionalFormatting sqref="C69">
    <cfRule type="cellIs" dxfId="19618" priority="6300" stopIfTrue="1" operator="equal">
      <formula>"Towel"</formula>
    </cfRule>
    <cfRule type="cellIs" dxfId="19617" priority="6301" stopIfTrue="1" operator="equal">
      <formula>"Napkin Hs"</formula>
    </cfRule>
  </conditionalFormatting>
  <conditionalFormatting sqref="C69">
    <cfRule type="cellIs" dxfId="19616" priority="6302" stopIfTrue="1" operator="equal">
      <formula>"Towel"</formula>
    </cfRule>
    <cfRule type="cellIs" dxfId="19615" priority="6303" stopIfTrue="1" operator="equal">
      <formula>"Napkin Hs"</formula>
    </cfRule>
  </conditionalFormatting>
  <conditionalFormatting sqref="C69">
    <cfRule type="cellIs" dxfId="19614" priority="6296" stopIfTrue="1" operator="equal">
      <formula>"Towel"</formula>
    </cfRule>
    <cfRule type="cellIs" dxfId="19613" priority="6297" stopIfTrue="1" operator="equal">
      <formula>"Napkin Hs"</formula>
    </cfRule>
  </conditionalFormatting>
  <conditionalFormatting sqref="C69">
    <cfRule type="cellIs" dxfId="19612" priority="6298" stopIfTrue="1" operator="equal">
      <formula>"Towel"</formula>
    </cfRule>
    <cfRule type="cellIs" dxfId="19611" priority="6299" stopIfTrue="1" operator="equal">
      <formula>"Napkin Hs"</formula>
    </cfRule>
  </conditionalFormatting>
  <conditionalFormatting sqref="C69">
    <cfRule type="cellIs" dxfId="19610" priority="6294" stopIfTrue="1" operator="equal">
      <formula>"Towel"</formula>
    </cfRule>
    <cfRule type="cellIs" dxfId="19609" priority="6295" stopIfTrue="1" operator="equal">
      <formula>"Napkin Hs"</formula>
    </cfRule>
  </conditionalFormatting>
  <conditionalFormatting sqref="B69">
    <cfRule type="cellIs" dxfId="19608" priority="6292" stopIfTrue="1" operator="equal">
      <formula>"Towel"</formula>
    </cfRule>
    <cfRule type="cellIs" dxfId="19607" priority="6293" stopIfTrue="1" operator="equal">
      <formula>"Napkin Hs"</formula>
    </cfRule>
  </conditionalFormatting>
  <conditionalFormatting sqref="C69">
    <cfRule type="cellIs" dxfId="19606" priority="6284" stopIfTrue="1" operator="equal">
      <formula>"Towel"</formula>
    </cfRule>
    <cfRule type="cellIs" dxfId="19605" priority="6285" stopIfTrue="1" operator="equal">
      <formula>"Napkin Hs"</formula>
    </cfRule>
  </conditionalFormatting>
  <conditionalFormatting sqref="B69:C69">
    <cfRule type="cellIs" dxfId="19604" priority="6286" stopIfTrue="1" operator="equal">
      <formula>"Towel"</formula>
    </cfRule>
    <cfRule type="cellIs" dxfId="19603" priority="6287" stopIfTrue="1" operator="equal">
      <formula>"Napkin Hs"</formula>
    </cfRule>
  </conditionalFormatting>
  <conditionalFormatting sqref="C69">
    <cfRule type="cellIs" dxfId="19602" priority="6282" stopIfTrue="1" operator="equal">
      <formula>"Towel"</formula>
    </cfRule>
    <cfRule type="cellIs" dxfId="19601" priority="6283" stopIfTrue="1" operator="equal">
      <formula>"Napkin Hs"</formula>
    </cfRule>
  </conditionalFormatting>
  <conditionalFormatting sqref="B69:C69">
    <cfRule type="cellIs" dxfId="19600" priority="6280" stopIfTrue="1" operator="equal">
      <formula>"Towel"</formula>
    </cfRule>
    <cfRule type="cellIs" dxfId="19599" priority="6281" stopIfTrue="1" operator="equal">
      <formula>"Napkin Hs"</formula>
    </cfRule>
  </conditionalFormatting>
  <conditionalFormatting sqref="C69">
    <cfRule type="cellIs" dxfId="19598" priority="6288" stopIfTrue="1" operator="equal">
      <formula>"Towel"</formula>
    </cfRule>
    <cfRule type="cellIs" dxfId="19597" priority="6289" stopIfTrue="1" operator="equal">
      <formula>"Napkin Hs"</formula>
    </cfRule>
  </conditionalFormatting>
  <conditionalFormatting sqref="C69">
    <cfRule type="cellIs" dxfId="19596" priority="6290" stopIfTrue="1" operator="equal">
      <formula>"Towel"</formula>
    </cfRule>
    <cfRule type="cellIs" dxfId="19595" priority="6291" stopIfTrue="1" operator="equal">
      <formula>"Napkin Hs"</formula>
    </cfRule>
  </conditionalFormatting>
  <conditionalFormatting sqref="C69">
    <cfRule type="cellIs" dxfId="19594" priority="6272" stopIfTrue="1" operator="equal">
      <formula>"Towel"</formula>
    </cfRule>
    <cfRule type="cellIs" dxfId="19593" priority="6273" stopIfTrue="1" operator="equal">
      <formula>"Napkin Hs"</formula>
    </cfRule>
  </conditionalFormatting>
  <conditionalFormatting sqref="B69:C69">
    <cfRule type="cellIs" dxfId="19592" priority="6274" stopIfTrue="1" operator="equal">
      <formula>"Towel"</formula>
    </cfRule>
    <cfRule type="cellIs" dxfId="19591" priority="6275" stopIfTrue="1" operator="equal">
      <formula>"Napkin Hs"</formula>
    </cfRule>
  </conditionalFormatting>
  <conditionalFormatting sqref="C69">
    <cfRule type="cellIs" dxfId="19590" priority="6270" stopIfTrue="1" operator="equal">
      <formula>"Towel"</formula>
    </cfRule>
    <cfRule type="cellIs" dxfId="19589" priority="6271" stopIfTrue="1" operator="equal">
      <formula>"Napkin Hs"</formula>
    </cfRule>
  </conditionalFormatting>
  <conditionalFormatting sqref="B69:C69">
    <cfRule type="cellIs" dxfId="19588" priority="6268" stopIfTrue="1" operator="equal">
      <formula>"Towel"</formula>
    </cfRule>
    <cfRule type="cellIs" dxfId="19587" priority="6269" stopIfTrue="1" operator="equal">
      <formula>"Napkin Hs"</formula>
    </cfRule>
  </conditionalFormatting>
  <conditionalFormatting sqref="C69">
    <cfRule type="cellIs" dxfId="19586" priority="6276" stopIfTrue="1" operator="equal">
      <formula>"Towel"</formula>
    </cfRule>
    <cfRule type="cellIs" dxfId="19585" priority="6277" stopIfTrue="1" operator="equal">
      <formula>"Napkin Hs"</formula>
    </cfRule>
  </conditionalFormatting>
  <conditionalFormatting sqref="C69">
    <cfRule type="cellIs" dxfId="19584" priority="6278" stopIfTrue="1" operator="equal">
      <formula>"Towel"</formula>
    </cfRule>
    <cfRule type="cellIs" dxfId="19583" priority="6279" stopIfTrue="1" operator="equal">
      <formula>"Napkin Hs"</formula>
    </cfRule>
  </conditionalFormatting>
  <conditionalFormatting sqref="C69">
    <cfRule type="cellIs" dxfId="19582" priority="6260" stopIfTrue="1" operator="equal">
      <formula>"Towel"</formula>
    </cfRule>
    <cfRule type="cellIs" dxfId="19581" priority="6261" stopIfTrue="1" operator="equal">
      <formula>"Napkin Hs"</formula>
    </cfRule>
  </conditionalFormatting>
  <conditionalFormatting sqref="B69:C69">
    <cfRule type="cellIs" dxfId="19580" priority="6262" stopIfTrue="1" operator="equal">
      <formula>"Towel"</formula>
    </cfRule>
    <cfRule type="cellIs" dxfId="19579" priority="6263" stopIfTrue="1" operator="equal">
      <formula>"Napkin Hs"</formula>
    </cfRule>
  </conditionalFormatting>
  <conditionalFormatting sqref="C69">
    <cfRule type="cellIs" dxfId="19578" priority="6258" stopIfTrue="1" operator="equal">
      <formula>"Towel"</formula>
    </cfRule>
    <cfRule type="cellIs" dxfId="19577" priority="6259" stopIfTrue="1" operator="equal">
      <formula>"Napkin Hs"</formula>
    </cfRule>
  </conditionalFormatting>
  <conditionalFormatting sqref="B69:C69">
    <cfRule type="cellIs" dxfId="19576" priority="6256" stopIfTrue="1" operator="equal">
      <formula>"Towel"</formula>
    </cfRule>
    <cfRule type="cellIs" dxfId="19575" priority="6257" stopIfTrue="1" operator="equal">
      <formula>"Napkin Hs"</formula>
    </cfRule>
  </conditionalFormatting>
  <conditionalFormatting sqref="C69">
    <cfRule type="cellIs" dxfId="19574" priority="6264" stopIfTrue="1" operator="equal">
      <formula>"Towel"</formula>
    </cfRule>
    <cfRule type="cellIs" dxfId="19573" priority="6265" stopIfTrue="1" operator="equal">
      <formula>"Napkin Hs"</formula>
    </cfRule>
  </conditionalFormatting>
  <conditionalFormatting sqref="C69">
    <cfRule type="cellIs" dxfId="19572" priority="6266" stopIfTrue="1" operator="equal">
      <formula>"Towel"</formula>
    </cfRule>
    <cfRule type="cellIs" dxfId="19571" priority="6267" stopIfTrue="1" operator="equal">
      <formula>"Napkin Hs"</formula>
    </cfRule>
  </conditionalFormatting>
  <conditionalFormatting sqref="B69:C69">
    <cfRule type="cellIs" dxfId="19570" priority="6254" stopIfTrue="1" operator="equal">
      <formula>"Towel"</formula>
    </cfRule>
    <cfRule type="cellIs" dxfId="19569" priority="6255" stopIfTrue="1" operator="equal">
      <formula>"Napkin Hs"</formula>
    </cfRule>
  </conditionalFormatting>
  <conditionalFormatting sqref="C69">
    <cfRule type="cellIs" dxfId="19568" priority="6250" stopIfTrue="1" operator="equal">
      <formula>"Towel"</formula>
    </cfRule>
    <cfRule type="cellIs" dxfId="19567" priority="6251" stopIfTrue="1" operator="equal">
      <formula>"Napkin Hs"</formula>
    </cfRule>
  </conditionalFormatting>
  <conditionalFormatting sqref="C69">
    <cfRule type="cellIs" dxfId="19566" priority="6253" stopIfTrue="1" operator="equal">
      <formula>"Napkin Hs"</formula>
    </cfRule>
  </conditionalFormatting>
  <conditionalFormatting sqref="C69">
    <cfRule type="cellIs" dxfId="19565" priority="6252" stopIfTrue="1" operator="equal">
      <formula>"Towel"</formula>
    </cfRule>
  </conditionalFormatting>
  <conditionalFormatting sqref="B69:C69">
    <cfRule type="cellIs" dxfId="19564" priority="6248" stopIfTrue="1" operator="equal">
      <formula>"Towel"</formula>
    </cfRule>
    <cfRule type="cellIs" dxfId="19563" priority="6249" stopIfTrue="1" operator="equal">
      <formula>"Napkin Hs"</formula>
    </cfRule>
  </conditionalFormatting>
  <conditionalFormatting sqref="C69">
    <cfRule type="cellIs" dxfId="19562" priority="6244" stopIfTrue="1" operator="equal">
      <formula>"Towel"</formula>
    </cfRule>
    <cfRule type="cellIs" dxfId="19561" priority="6245" stopIfTrue="1" operator="equal">
      <formula>"Napkin Hs"</formula>
    </cfRule>
  </conditionalFormatting>
  <conditionalFormatting sqref="C69">
    <cfRule type="cellIs" dxfId="19560" priority="6247" stopIfTrue="1" operator="equal">
      <formula>"Napkin Hs"</formula>
    </cfRule>
  </conditionalFormatting>
  <conditionalFormatting sqref="C69">
    <cfRule type="cellIs" dxfId="19559" priority="6246" stopIfTrue="1" operator="equal">
      <formula>"Towel"</formula>
    </cfRule>
  </conditionalFormatting>
  <conditionalFormatting sqref="C69">
    <cfRule type="cellIs" dxfId="19558" priority="6236" stopIfTrue="1" operator="equal">
      <formula>"Towel"</formula>
    </cfRule>
    <cfRule type="cellIs" dxfId="19557" priority="6237" stopIfTrue="1" operator="equal">
      <formula>"Napkin Hs"</formula>
    </cfRule>
  </conditionalFormatting>
  <conditionalFormatting sqref="B69:C69">
    <cfRule type="cellIs" dxfId="19556" priority="6238" stopIfTrue="1" operator="equal">
      <formula>"Towel"</formula>
    </cfRule>
    <cfRule type="cellIs" dxfId="19555" priority="6239" stopIfTrue="1" operator="equal">
      <formula>"Napkin Hs"</formula>
    </cfRule>
  </conditionalFormatting>
  <conditionalFormatting sqref="C69">
    <cfRule type="cellIs" dxfId="19554" priority="6234" stopIfTrue="1" operator="equal">
      <formula>"Towel"</formula>
    </cfRule>
    <cfRule type="cellIs" dxfId="19553" priority="6235" stopIfTrue="1" operator="equal">
      <formula>"Napkin Hs"</formula>
    </cfRule>
  </conditionalFormatting>
  <conditionalFormatting sqref="B69:C69">
    <cfRule type="cellIs" dxfId="19552" priority="6232" stopIfTrue="1" operator="equal">
      <formula>"Towel"</formula>
    </cfRule>
    <cfRule type="cellIs" dxfId="19551" priority="6233" stopIfTrue="1" operator="equal">
      <formula>"Napkin Hs"</formula>
    </cfRule>
  </conditionalFormatting>
  <conditionalFormatting sqref="C69">
    <cfRule type="cellIs" dxfId="19550" priority="6240" stopIfTrue="1" operator="equal">
      <formula>"Towel"</formula>
    </cfRule>
    <cfRule type="cellIs" dxfId="19549" priority="6241" stopIfTrue="1" operator="equal">
      <formula>"Napkin Hs"</formula>
    </cfRule>
  </conditionalFormatting>
  <conditionalFormatting sqref="C69">
    <cfRule type="cellIs" dxfId="19548" priority="6242" stopIfTrue="1" operator="equal">
      <formula>"Towel"</formula>
    </cfRule>
    <cfRule type="cellIs" dxfId="19547" priority="6243" stopIfTrue="1" operator="equal">
      <formula>"Napkin Hs"</formula>
    </cfRule>
  </conditionalFormatting>
  <conditionalFormatting sqref="B69:C69">
    <cfRule type="cellIs" dxfId="19546" priority="6230" stopIfTrue="1" operator="equal">
      <formula>"Towel"</formula>
    </cfRule>
    <cfRule type="cellIs" dxfId="19545" priority="6231" stopIfTrue="1" operator="equal">
      <formula>"Napkin Hs"</formula>
    </cfRule>
  </conditionalFormatting>
  <conditionalFormatting sqref="C69">
    <cfRule type="cellIs" dxfId="19544" priority="6222" stopIfTrue="1" operator="equal">
      <formula>"Towel"</formula>
    </cfRule>
    <cfRule type="cellIs" dxfId="19543" priority="6223" stopIfTrue="1" operator="equal">
      <formula>"Napkin Hs"</formula>
    </cfRule>
  </conditionalFormatting>
  <conditionalFormatting sqref="C69">
    <cfRule type="cellIs" dxfId="19542" priority="6226" stopIfTrue="1" operator="equal">
      <formula>"Towel"</formula>
    </cfRule>
    <cfRule type="cellIs" dxfId="19541" priority="6227" stopIfTrue="1" operator="equal">
      <formula>"Napkin Hs"</formula>
    </cfRule>
  </conditionalFormatting>
  <conditionalFormatting sqref="C69">
    <cfRule type="cellIs" dxfId="19540" priority="6229" stopIfTrue="1" operator="equal">
      <formula>"Napkin Hs"</formula>
    </cfRule>
  </conditionalFormatting>
  <conditionalFormatting sqref="C69">
    <cfRule type="cellIs" dxfId="19539" priority="6224" stopIfTrue="1" operator="equal">
      <formula>"Towel"</formula>
    </cfRule>
    <cfRule type="cellIs" dxfId="19538" priority="6225" stopIfTrue="1" operator="equal">
      <formula>"Napkin Hs"</formula>
    </cfRule>
  </conditionalFormatting>
  <conditionalFormatting sqref="C69">
    <cfRule type="cellIs" dxfId="19537" priority="6228" stopIfTrue="1" operator="equal">
      <formula>"Towel"</formula>
    </cfRule>
  </conditionalFormatting>
  <conditionalFormatting sqref="C69">
    <cfRule type="cellIs" dxfId="19536" priority="6220" stopIfTrue="1" operator="equal">
      <formula>"Towel"</formula>
    </cfRule>
    <cfRule type="cellIs" dxfId="19535" priority="6221" stopIfTrue="1" operator="equal">
      <formula>"Napkin Hs"</formula>
    </cfRule>
  </conditionalFormatting>
  <conditionalFormatting sqref="B69">
    <cfRule type="cellIs" dxfId="19534" priority="6218" stopIfTrue="1" operator="equal">
      <formula>"Towel"</formula>
    </cfRule>
    <cfRule type="cellIs" dxfId="19533" priority="6219" stopIfTrue="1" operator="equal">
      <formula>"Napkin Hs"</formula>
    </cfRule>
  </conditionalFormatting>
  <conditionalFormatting sqref="B69:C69">
    <cfRule type="cellIs" dxfId="19532" priority="6216" stopIfTrue="1" operator="equal">
      <formula>"Towel"</formula>
    </cfRule>
    <cfRule type="cellIs" dxfId="19531" priority="6217" stopIfTrue="1" operator="equal">
      <formula>"Napkin Hs"</formula>
    </cfRule>
  </conditionalFormatting>
  <conditionalFormatting sqref="C69">
    <cfRule type="cellIs" dxfId="19530" priority="6208" stopIfTrue="1" operator="equal">
      <formula>"Towel"</formula>
    </cfRule>
    <cfRule type="cellIs" dxfId="19529" priority="6209" stopIfTrue="1" operator="equal">
      <formula>"Napkin Hs"</formula>
    </cfRule>
  </conditionalFormatting>
  <conditionalFormatting sqref="C69">
    <cfRule type="cellIs" dxfId="19528" priority="6212" stopIfTrue="1" operator="equal">
      <formula>"Towel"</formula>
    </cfRule>
    <cfRule type="cellIs" dxfId="19527" priority="6213" stopIfTrue="1" operator="equal">
      <formula>"Napkin Hs"</formula>
    </cfRule>
  </conditionalFormatting>
  <conditionalFormatting sqref="C69">
    <cfRule type="cellIs" dxfId="19526" priority="6215" stopIfTrue="1" operator="equal">
      <formula>"Napkin Hs"</formula>
    </cfRule>
  </conditionalFormatting>
  <conditionalFormatting sqref="C69">
    <cfRule type="cellIs" dxfId="19525" priority="6210" stopIfTrue="1" operator="equal">
      <formula>"Towel"</formula>
    </cfRule>
    <cfRule type="cellIs" dxfId="19524" priority="6211" stopIfTrue="1" operator="equal">
      <formula>"Napkin Hs"</formula>
    </cfRule>
  </conditionalFormatting>
  <conditionalFormatting sqref="C69">
    <cfRule type="cellIs" dxfId="19523" priority="6214" stopIfTrue="1" operator="equal">
      <formula>"Towel"</formula>
    </cfRule>
  </conditionalFormatting>
  <conditionalFormatting sqref="C69">
    <cfRule type="cellIs" dxfId="19522" priority="6206" stopIfTrue="1" operator="equal">
      <formula>"Towel"</formula>
    </cfRule>
    <cfRule type="cellIs" dxfId="19521" priority="6207" stopIfTrue="1" operator="equal">
      <formula>"Napkin Hs"</formula>
    </cfRule>
  </conditionalFormatting>
  <conditionalFormatting sqref="B69">
    <cfRule type="cellIs" dxfId="19520" priority="6204" stopIfTrue="1" operator="equal">
      <formula>"Towel"</formula>
    </cfRule>
    <cfRule type="cellIs" dxfId="19519" priority="6205" stopIfTrue="1" operator="equal">
      <formula>"Napkin Hs"</formula>
    </cfRule>
  </conditionalFormatting>
  <conditionalFormatting sqref="B69:C69">
    <cfRule type="cellIs" dxfId="19518" priority="6180" stopIfTrue="1" operator="equal">
      <formula>"Towel"</formula>
    </cfRule>
  </conditionalFormatting>
  <conditionalFormatting sqref="B69:C69">
    <cfRule type="cellIs" dxfId="19517" priority="6181" stopIfTrue="1" operator="equal">
      <formula>"Napkin Hs"</formula>
    </cfRule>
    <cfRule type="cellIs" dxfId="19516" priority="6186" stopIfTrue="1" operator="equal">
      <formula>"Towel"</formula>
    </cfRule>
    <cfRule type="cellIs" dxfId="19515" priority="6187" stopIfTrue="1" operator="equal">
      <formula>"Napkin Hs"</formula>
    </cfRule>
    <cfRule type="cellIs" dxfId="19514" priority="6196" stopIfTrue="1" operator="equal">
      <formula>"Towel"</formula>
    </cfRule>
    <cfRule type="cellIs" dxfId="19513" priority="6197" stopIfTrue="1" operator="equal">
      <formula>"Napkin Hs"</formula>
    </cfRule>
    <cfRule type="cellIs" dxfId="19512" priority="6202" stopIfTrue="1" operator="equal">
      <formula>"Towel"</formula>
    </cfRule>
    <cfRule type="cellIs" dxfId="19511" priority="6203" stopIfTrue="1" operator="equal">
      <formula>"Napkin Hs"</formula>
    </cfRule>
  </conditionalFormatting>
  <conditionalFormatting sqref="C69">
    <cfRule type="cellIs" dxfId="19510" priority="6182" stopIfTrue="1" operator="equal">
      <formula>"Towel"</formula>
    </cfRule>
    <cfRule type="cellIs" dxfId="19509" priority="6183" stopIfTrue="1" operator="equal">
      <formula>"Napkin Hs"</formula>
    </cfRule>
    <cfRule type="cellIs" dxfId="19508" priority="6184" stopIfTrue="1" operator="equal">
      <formula>"Towel"</formula>
    </cfRule>
    <cfRule type="cellIs" dxfId="19507" priority="6185" stopIfTrue="1" operator="equal">
      <formula>"Napkin Hs"</formula>
    </cfRule>
    <cfRule type="cellIs" dxfId="19506" priority="6188" stopIfTrue="1" operator="equal">
      <formula>"Towel"</formula>
    </cfRule>
    <cfRule type="cellIs" dxfId="19505" priority="6189" stopIfTrue="1" operator="equal">
      <formula>"Napkin Hs"</formula>
    </cfRule>
    <cfRule type="cellIs" dxfId="19504" priority="6190" stopIfTrue="1" operator="equal">
      <formula>"Towel"</formula>
    </cfRule>
    <cfRule type="cellIs" dxfId="19503" priority="6191" stopIfTrue="1" operator="equal">
      <formula>"Napkin Hs"</formula>
    </cfRule>
    <cfRule type="cellIs" dxfId="19502" priority="6192" stopIfTrue="1" operator="equal">
      <formula>"Towel"</formula>
    </cfRule>
    <cfRule type="cellIs" dxfId="19501" priority="6193" stopIfTrue="1" operator="equal">
      <formula>"Napkin Hs"</formula>
    </cfRule>
    <cfRule type="cellIs" dxfId="19500" priority="6194" stopIfTrue="1" operator="equal">
      <formula>"Towel"</formula>
    </cfRule>
    <cfRule type="cellIs" dxfId="19499" priority="6195" stopIfTrue="1" operator="equal">
      <formula>"Napkin Hs"</formula>
    </cfRule>
    <cfRule type="cellIs" dxfId="19498" priority="6198" stopIfTrue="1" operator="equal">
      <formula>"Towel"</formula>
    </cfRule>
    <cfRule type="cellIs" dxfId="19497" priority="6199" stopIfTrue="1" operator="equal">
      <formula>"Napkin Hs"</formula>
    </cfRule>
    <cfRule type="cellIs" dxfId="19496" priority="6201" stopIfTrue="1" operator="equal">
      <formula>"Napkin Hs"</formula>
    </cfRule>
  </conditionalFormatting>
  <conditionalFormatting sqref="C69">
    <cfRule type="cellIs" dxfId="19495" priority="6200" stopIfTrue="1" operator="equal">
      <formula>"Towel"</formula>
    </cfRule>
  </conditionalFormatting>
  <conditionalFormatting sqref="B69:C69">
    <cfRule type="cellIs" dxfId="19494" priority="6178" stopIfTrue="1" operator="equal">
      <formula>"Towel"</formula>
    </cfRule>
    <cfRule type="cellIs" dxfId="19493" priority="6179" stopIfTrue="1" operator="equal">
      <formula>"Napkin Hs"</formula>
    </cfRule>
  </conditionalFormatting>
  <conditionalFormatting sqref="C69">
    <cfRule type="cellIs" dxfId="19492" priority="6177" stopIfTrue="1" operator="equal">
      <formula>"Napkin Hs"</formula>
    </cfRule>
  </conditionalFormatting>
  <conditionalFormatting sqref="C69">
    <cfRule type="cellIs" dxfId="19491" priority="6176" stopIfTrue="1" operator="equal">
      <formula>"Towel"</formula>
    </cfRule>
  </conditionalFormatting>
  <conditionalFormatting sqref="C69">
    <cfRule type="cellIs" dxfId="19490" priority="6174" stopIfTrue="1" operator="equal">
      <formula>"Towel"</formula>
    </cfRule>
  </conditionalFormatting>
  <conditionalFormatting sqref="C69">
    <cfRule type="cellIs" dxfId="19489" priority="6175" stopIfTrue="1" operator="equal">
      <formula>"Napkin Hs"</formula>
    </cfRule>
  </conditionalFormatting>
  <conditionalFormatting sqref="B69">
    <cfRule type="cellIs" dxfId="19488" priority="6078" stopIfTrue="1" operator="equal">
      <formula>"Napkin Hs"</formula>
    </cfRule>
  </conditionalFormatting>
  <conditionalFormatting sqref="B69:C69">
    <cfRule type="cellIs" dxfId="19487" priority="6077" stopIfTrue="1" operator="equal">
      <formula>"Towel"</formula>
    </cfRule>
  </conditionalFormatting>
  <conditionalFormatting sqref="B69:C69">
    <cfRule type="cellIs" dxfId="19486" priority="6088" stopIfTrue="1" operator="equal">
      <formula>"Towel"</formula>
    </cfRule>
    <cfRule type="cellIs" dxfId="19485" priority="6089" stopIfTrue="1" operator="equal">
      <formula>"Napkin Hs"</formula>
    </cfRule>
    <cfRule type="cellIs" dxfId="19484" priority="6094" stopIfTrue="1" operator="equal">
      <formula>"Towel"</formula>
    </cfRule>
    <cfRule type="cellIs" dxfId="19483" priority="6095" stopIfTrue="1" operator="equal">
      <formula>"Napkin Hs"</formula>
    </cfRule>
    <cfRule type="cellIs" dxfId="19482" priority="6100" stopIfTrue="1" operator="equal">
      <formula>"Towel"</formula>
    </cfRule>
    <cfRule type="cellIs" dxfId="19481" priority="6101" stopIfTrue="1" operator="equal">
      <formula>"Napkin Hs"</formula>
    </cfRule>
    <cfRule type="cellIs" dxfId="19480" priority="6102" stopIfTrue="1" operator="equal">
      <formula>"Towel"</formula>
    </cfRule>
    <cfRule type="cellIs" dxfId="19479" priority="6103" stopIfTrue="1" operator="equal">
      <formula>"Napkin Hs"</formula>
    </cfRule>
    <cfRule type="cellIs" dxfId="19478" priority="6108" stopIfTrue="1" operator="equal">
      <formula>"Towel"</formula>
    </cfRule>
    <cfRule type="cellIs" dxfId="19477" priority="6109" stopIfTrue="1" operator="equal">
      <formula>"Napkin Hs"</formula>
    </cfRule>
    <cfRule type="cellIs" dxfId="19476" priority="6118" stopIfTrue="1" operator="equal">
      <formula>"Towel"</formula>
    </cfRule>
    <cfRule type="cellIs" dxfId="19475" priority="6119" stopIfTrue="1" operator="equal">
      <formula>"Napkin Hs"</formula>
    </cfRule>
    <cfRule type="cellIs" dxfId="19474" priority="6124" stopIfTrue="1" operator="equal">
      <formula>"Towel"</formula>
    </cfRule>
    <cfRule type="cellIs" dxfId="19473" priority="6125" stopIfTrue="1" operator="equal">
      <formula>"Napkin Hs"</formula>
    </cfRule>
    <cfRule type="cellIs" dxfId="19472" priority="6126" stopIfTrue="1" operator="equal">
      <formula>"Towel"</formula>
    </cfRule>
    <cfRule type="cellIs" dxfId="19471" priority="6127" stopIfTrue="1" operator="equal">
      <formula>"Napkin Hs"</formula>
    </cfRule>
    <cfRule type="cellIs" dxfId="19470" priority="6132" stopIfTrue="1" operator="equal">
      <formula>"Towel"</formula>
    </cfRule>
    <cfRule type="cellIs" dxfId="19469" priority="6133" stopIfTrue="1" operator="equal">
      <formula>"Napkin Hs"</formula>
    </cfRule>
    <cfRule type="cellIs" dxfId="19468" priority="6142" stopIfTrue="1" operator="equal">
      <formula>"Towel"</formula>
    </cfRule>
    <cfRule type="cellIs" dxfId="19467" priority="6143" stopIfTrue="1" operator="equal">
      <formula>"Napkin Hs"</formula>
    </cfRule>
    <cfRule type="cellIs" dxfId="19466" priority="6144" stopIfTrue="1" operator="equal">
      <formula>"Towel"</formula>
    </cfRule>
    <cfRule type="cellIs" dxfId="19465" priority="6145" stopIfTrue="1" operator="equal">
      <formula>"Napkin Hs"</formula>
    </cfRule>
    <cfRule type="cellIs" dxfId="19464" priority="6150" stopIfTrue="1" operator="equal">
      <formula>"Towel"</formula>
    </cfRule>
    <cfRule type="cellIs" dxfId="19463" priority="6151" stopIfTrue="1" operator="equal">
      <formula>"Napkin Hs"</formula>
    </cfRule>
    <cfRule type="cellIs" dxfId="19462" priority="6160" stopIfTrue="1" operator="equal">
      <formula>"Towel"</formula>
    </cfRule>
    <cfRule type="cellIs" dxfId="19461" priority="6161" stopIfTrue="1" operator="equal">
      <formula>"Napkin Hs"</formula>
    </cfRule>
    <cfRule type="cellIs" dxfId="19460" priority="6162" stopIfTrue="1" operator="equal">
      <formula>"Towel"</formula>
    </cfRule>
    <cfRule type="cellIs" dxfId="19459" priority="6163" stopIfTrue="1" operator="equal">
      <formula>"Napkin Hs"</formula>
    </cfRule>
    <cfRule type="cellIs" dxfId="19458" priority="6169" stopIfTrue="1" operator="equal">
      <formula>"Napkin Hs"</formula>
    </cfRule>
  </conditionalFormatting>
  <conditionalFormatting sqref="B69:C69">
    <cfRule type="cellIs" dxfId="19457" priority="6168" stopIfTrue="1" operator="equal">
      <formula>"Towel"</formula>
    </cfRule>
  </conditionalFormatting>
  <conditionalFormatting sqref="C69">
    <cfRule type="cellIs" dxfId="19456" priority="6079" stopIfTrue="1" operator="equal">
      <formula>"Napkin Hs"</formula>
    </cfRule>
    <cfRule type="cellIs" dxfId="19455" priority="6080" stopIfTrue="1" operator="equal">
      <formula>"Towel"</formula>
    </cfRule>
    <cfRule type="cellIs" dxfId="19454" priority="6081" stopIfTrue="1" operator="equal">
      <formula>"Napkin Hs"</formula>
    </cfRule>
    <cfRule type="cellIs" dxfId="19453" priority="6082" stopIfTrue="1" operator="equal">
      <formula>"Towel"</formula>
    </cfRule>
    <cfRule type="cellIs" dxfId="19452" priority="6083" stopIfTrue="1" operator="equal">
      <formula>"Napkin Hs"</formula>
    </cfRule>
    <cfRule type="cellIs" dxfId="19451" priority="6084" stopIfTrue="1" operator="equal">
      <formula>"Towel"</formula>
    </cfRule>
    <cfRule type="cellIs" dxfId="19450" priority="6085" stopIfTrue="1" operator="equal">
      <formula>"Napkin Hs"</formula>
    </cfRule>
    <cfRule type="cellIs" dxfId="19449" priority="6086" stopIfTrue="1" operator="equal">
      <formula>"Towel"</formula>
    </cfRule>
    <cfRule type="cellIs" dxfId="19448" priority="6087" stopIfTrue="1" operator="equal">
      <formula>"Napkin Hs"</formula>
    </cfRule>
    <cfRule type="cellIs" dxfId="19447" priority="6090" stopIfTrue="1" operator="equal">
      <formula>"Towel"</formula>
    </cfRule>
    <cfRule type="cellIs" dxfId="19446" priority="6091" stopIfTrue="1" operator="equal">
      <formula>"Napkin Hs"</formula>
    </cfRule>
    <cfRule type="cellIs" dxfId="19445" priority="6092" stopIfTrue="1" operator="equal">
      <formula>"Towel"</formula>
    </cfRule>
    <cfRule type="cellIs" dxfId="19444" priority="6093" stopIfTrue="1" operator="equal">
      <formula>"Napkin Hs"</formula>
    </cfRule>
    <cfRule type="cellIs" dxfId="19443" priority="6096" stopIfTrue="1" operator="equal">
      <formula>"Towel"</formula>
    </cfRule>
    <cfRule type="cellIs" dxfId="19442" priority="6097" stopIfTrue="1" operator="equal">
      <formula>"Napkin Hs"</formula>
    </cfRule>
    <cfRule type="cellIs" dxfId="19441" priority="6098" stopIfTrue="1" operator="equal">
      <formula>"Towel"</formula>
    </cfRule>
    <cfRule type="cellIs" dxfId="19440" priority="6099" stopIfTrue="1" operator="equal">
      <formula>"Napkin Hs"</formula>
    </cfRule>
    <cfRule type="cellIs" dxfId="19439" priority="6104" stopIfTrue="1" operator="equal">
      <formula>"Towel"</formula>
    </cfRule>
    <cfRule type="cellIs" dxfId="19438" priority="6105" stopIfTrue="1" operator="equal">
      <formula>"Napkin Hs"</formula>
    </cfRule>
    <cfRule type="cellIs" dxfId="19437" priority="6106" stopIfTrue="1" operator="equal">
      <formula>"Towel"</formula>
    </cfRule>
    <cfRule type="cellIs" dxfId="19436" priority="6107" stopIfTrue="1" operator="equal">
      <formula>"Napkin Hs"</formula>
    </cfRule>
    <cfRule type="cellIs" dxfId="19435" priority="6110" stopIfTrue="1" operator="equal">
      <formula>"Towel"</formula>
    </cfRule>
    <cfRule type="cellIs" dxfId="19434" priority="6111" stopIfTrue="1" operator="equal">
      <formula>"Napkin Hs"</formula>
    </cfRule>
    <cfRule type="cellIs" dxfId="19433" priority="6112" stopIfTrue="1" operator="equal">
      <formula>"Towel"</formula>
    </cfRule>
    <cfRule type="cellIs" dxfId="19432" priority="6113" stopIfTrue="1" operator="equal">
      <formula>"Napkin Hs"</formula>
    </cfRule>
    <cfRule type="cellIs" dxfId="19431" priority="6114" stopIfTrue="1" operator="equal">
      <formula>"Towel"</formula>
    </cfRule>
    <cfRule type="cellIs" dxfId="19430" priority="6115" stopIfTrue="1" operator="equal">
      <formula>"Napkin Hs"</formula>
    </cfRule>
    <cfRule type="cellIs" dxfId="19429" priority="6116" stopIfTrue="1" operator="equal">
      <formula>"Towel"</formula>
    </cfRule>
    <cfRule type="cellIs" dxfId="19428" priority="6117" stopIfTrue="1" operator="equal">
      <formula>"Napkin Hs"</formula>
    </cfRule>
    <cfRule type="cellIs" dxfId="19427" priority="6120" stopIfTrue="1" operator="equal">
      <formula>"Towel"</formula>
    </cfRule>
    <cfRule type="cellIs" dxfId="19426" priority="6121" stopIfTrue="1" operator="equal">
      <formula>"Napkin Hs"</formula>
    </cfRule>
    <cfRule type="cellIs" dxfId="19425" priority="6122" stopIfTrue="1" operator="equal">
      <formula>"Towel"</formula>
    </cfRule>
    <cfRule type="cellIs" dxfId="19424" priority="6123" stopIfTrue="1" operator="equal">
      <formula>"Napkin Hs"</formula>
    </cfRule>
    <cfRule type="cellIs" dxfId="19423" priority="6128" stopIfTrue="1" operator="equal">
      <formula>"Towel"</formula>
    </cfRule>
    <cfRule type="cellIs" dxfId="19422" priority="6129" stopIfTrue="1" operator="equal">
      <formula>"Napkin Hs"</formula>
    </cfRule>
    <cfRule type="cellIs" dxfId="19421" priority="6130" stopIfTrue="1" operator="equal">
      <formula>"Towel"</formula>
    </cfRule>
    <cfRule type="cellIs" dxfId="19420" priority="6131" stopIfTrue="1" operator="equal">
      <formula>"Napkin Hs"</formula>
    </cfRule>
    <cfRule type="cellIs" dxfId="19419" priority="6134" stopIfTrue="1" operator="equal">
      <formula>"Towel"</formula>
    </cfRule>
    <cfRule type="cellIs" dxfId="19418" priority="6135" stopIfTrue="1" operator="equal">
      <formula>"Napkin Hs"</formula>
    </cfRule>
    <cfRule type="cellIs" dxfId="19417" priority="6136" stopIfTrue="1" operator="equal">
      <formula>"Towel"</formula>
    </cfRule>
    <cfRule type="cellIs" dxfId="19416" priority="6137" stopIfTrue="1" operator="equal">
      <formula>"Napkin Hs"</formula>
    </cfRule>
    <cfRule type="cellIs" dxfId="19415" priority="6138" stopIfTrue="1" operator="equal">
      <formula>"Towel"</formula>
    </cfRule>
    <cfRule type="cellIs" dxfId="19414" priority="6139" stopIfTrue="1" operator="equal">
      <formula>"Napkin Hs"</formula>
    </cfRule>
    <cfRule type="cellIs" dxfId="19413" priority="6140" stopIfTrue="1" operator="equal">
      <formula>"Towel"</formula>
    </cfRule>
    <cfRule type="cellIs" dxfId="19412" priority="6141" stopIfTrue="1" operator="equal">
      <formula>"Napkin Hs"</formula>
    </cfRule>
    <cfRule type="cellIs" dxfId="19411" priority="6146" stopIfTrue="1" operator="equal">
      <formula>"Towel"</formula>
    </cfRule>
    <cfRule type="cellIs" dxfId="19410" priority="6147" stopIfTrue="1" operator="equal">
      <formula>"Napkin Hs"</formula>
    </cfRule>
    <cfRule type="cellIs" dxfId="19409" priority="6148" stopIfTrue="1" operator="equal">
      <formula>"Towel"</formula>
    </cfRule>
    <cfRule type="cellIs" dxfId="19408" priority="6149" stopIfTrue="1" operator="equal">
      <formula>"Napkin Hs"</formula>
    </cfRule>
    <cfRule type="cellIs" dxfId="19407" priority="6152" stopIfTrue="1" operator="equal">
      <formula>"Towel"</formula>
    </cfRule>
    <cfRule type="cellIs" dxfId="19406" priority="6153" stopIfTrue="1" operator="equal">
      <formula>"Napkin Hs"</formula>
    </cfRule>
    <cfRule type="cellIs" dxfId="19405" priority="6154" stopIfTrue="1" operator="equal">
      <formula>"Towel"</formula>
    </cfRule>
    <cfRule type="cellIs" dxfId="19404" priority="6155" stopIfTrue="1" operator="equal">
      <formula>"Napkin Hs"</formula>
    </cfRule>
    <cfRule type="cellIs" dxfId="19403" priority="6156" stopIfTrue="1" operator="equal">
      <formula>"Towel"</formula>
    </cfRule>
    <cfRule type="cellIs" dxfId="19402" priority="6157" stopIfTrue="1" operator="equal">
      <formula>"Napkin Hs"</formula>
    </cfRule>
    <cfRule type="cellIs" dxfId="19401" priority="6158" stopIfTrue="1" operator="equal">
      <formula>"Towel"</formula>
    </cfRule>
    <cfRule type="cellIs" dxfId="19400" priority="6159" stopIfTrue="1" operator="equal">
      <formula>"Napkin Hs"</formula>
    </cfRule>
    <cfRule type="cellIs" dxfId="19399" priority="6164" stopIfTrue="1" operator="equal">
      <formula>"Towel"</formula>
    </cfRule>
    <cfRule type="cellIs" dxfId="19398" priority="6165" stopIfTrue="1" operator="equal">
      <formula>"Napkin Hs"</formula>
    </cfRule>
    <cfRule type="cellIs" dxfId="19397" priority="6166" stopIfTrue="1" operator="equal">
      <formula>"Towel"</formula>
    </cfRule>
    <cfRule type="cellIs" dxfId="19396" priority="6167" stopIfTrue="1" operator="equal">
      <formula>"Napkin Hs"</formula>
    </cfRule>
    <cfRule type="cellIs" dxfId="19395" priority="6170" stopIfTrue="1" operator="equal">
      <formula>"Towel"</formula>
    </cfRule>
    <cfRule type="cellIs" dxfId="19394" priority="6171" stopIfTrue="1" operator="equal">
      <formula>"Napkin Hs"</formula>
    </cfRule>
    <cfRule type="cellIs" dxfId="19393" priority="6172" stopIfTrue="1" operator="equal">
      <formula>"Towel"</formula>
    </cfRule>
    <cfRule type="cellIs" dxfId="19392" priority="6173" stopIfTrue="1" operator="equal">
      <formula>"Napkin Hs"</formula>
    </cfRule>
  </conditionalFormatting>
  <conditionalFormatting sqref="B69:C69">
    <cfRule type="cellIs" dxfId="19391" priority="6075" stopIfTrue="1" operator="equal">
      <formula>"Towel"</formula>
    </cfRule>
    <cfRule type="cellIs" dxfId="19390" priority="6076" stopIfTrue="1" operator="equal">
      <formula>"Napkin Hs"</formula>
    </cfRule>
  </conditionalFormatting>
  <conditionalFormatting sqref="C69">
    <cfRule type="cellIs" dxfId="19389" priority="6071" stopIfTrue="1" operator="equal">
      <formula>"Towel"</formula>
    </cfRule>
    <cfRule type="cellIs" dxfId="19388" priority="6072" stopIfTrue="1" operator="equal">
      <formula>"Napkin Hs"</formula>
    </cfRule>
  </conditionalFormatting>
  <conditionalFormatting sqref="C69">
    <cfRule type="cellIs" dxfId="19387" priority="6074" stopIfTrue="1" operator="equal">
      <formula>"Napkin Hs"</formula>
    </cfRule>
  </conditionalFormatting>
  <conditionalFormatting sqref="C69">
    <cfRule type="cellIs" dxfId="19386" priority="6073" stopIfTrue="1" operator="equal">
      <formula>"Towel"</formula>
    </cfRule>
  </conditionalFormatting>
  <conditionalFormatting sqref="C68">
    <cfRule type="cellIs" dxfId="19385" priority="6063" stopIfTrue="1" operator="equal">
      <formula>"Towel"</formula>
    </cfRule>
    <cfRule type="cellIs" dxfId="19384" priority="6064" stopIfTrue="1" operator="equal">
      <formula>"Napkin Hs"</formula>
    </cfRule>
  </conditionalFormatting>
  <conditionalFormatting sqref="B68:C68">
    <cfRule type="cellIs" dxfId="19383" priority="6065" stopIfTrue="1" operator="equal">
      <formula>"Towel"</formula>
    </cfRule>
    <cfRule type="cellIs" dxfId="19382" priority="6066" stopIfTrue="1" operator="equal">
      <formula>"Napkin Hs"</formula>
    </cfRule>
  </conditionalFormatting>
  <conditionalFormatting sqref="C68">
    <cfRule type="cellIs" dxfId="19381" priority="6061" stopIfTrue="1" operator="equal">
      <formula>"Towel"</formula>
    </cfRule>
    <cfRule type="cellIs" dxfId="19380" priority="6062" stopIfTrue="1" operator="equal">
      <formula>"Napkin Hs"</formula>
    </cfRule>
  </conditionalFormatting>
  <conditionalFormatting sqref="B68:C68">
    <cfRule type="cellIs" dxfId="19379" priority="6059" stopIfTrue="1" operator="equal">
      <formula>"Towel"</formula>
    </cfRule>
    <cfRule type="cellIs" dxfId="19378" priority="6060" stopIfTrue="1" operator="equal">
      <formula>"Napkin Hs"</formula>
    </cfRule>
  </conditionalFormatting>
  <conditionalFormatting sqref="C68">
    <cfRule type="cellIs" dxfId="19377" priority="6067" stopIfTrue="1" operator="equal">
      <formula>"Towel"</formula>
    </cfRule>
    <cfRule type="cellIs" dxfId="19376" priority="6068" stopIfTrue="1" operator="equal">
      <formula>"Napkin Hs"</formula>
    </cfRule>
  </conditionalFormatting>
  <conditionalFormatting sqref="C68">
    <cfRule type="cellIs" dxfId="19375" priority="6069" stopIfTrue="1" operator="equal">
      <formula>"Towel"</formula>
    </cfRule>
    <cfRule type="cellIs" dxfId="19374" priority="6070" stopIfTrue="1" operator="equal">
      <formula>"Napkin Hs"</formula>
    </cfRule>
  </conditionalFormatting>
  <conditionalFormatting sqref="B68:C68">
    <cfRule type="cellIs" dxfId="19373" priority="6057" stopIfTrue="1" operator="equal">
      <formula>"Towel"</formula>
    </cfRule>
    <cfRule type="cellIs" dxfId="19372" priority="6058" stopIfTrue="1" operator="equal">
      <formula>"Napkin Hs"</formula>
    </cfRule>
  </conditionalFormatting>
  <conditionalFormatting sqref="C68">
    <cfRule type="cellIs" dxfId="19371" priority="6053" stopIfTrue="1" operator="equal">
      <formula>"Towel"</formula>
    </cfRule>
    <cfRule type="cellIs" dxfId="19370" priority="6054" stopIfTrue="1" operator="equal">
      <formula>"Napkin Hs"</formula>
    </cfRule>
  </conditionalFormatting>
  <conditionalFormatting sqref="C68">
    <cfRule type="cellIs" dxfId="19369" priority="6055" stopIfTrue="1" operator="equal">
      <formula>"Towel"</formula>
    </cfRule>
    <cfRule type="cellIs" dxfId="19368" priority="6056" stopIfTrue="1" operator="equal">
      <formula>"Napkin Hs"</formula>
    </cfRule>
  </conditionalFormatting>
  <conditionalFormatting sqref="C70">
    <cfRule type="cellIs" dxfId="19367" priority="6045" stopIfTrue="1" operator="equal">
      <formula>"Towel"</formula>
    </cfRule>
    <cfRule type="cellIs" dxfId="19366" priority="6046" stopIfTrue="1" operator="equal">
      <formula>"Napkin Hs"</formula>
    </cfRule>
  </conditionalFormatting>
  <conditionalFormatting sqref="B70:C70">
    <cfRule type="cellIs" dxfId="19365" priority="6047" stopIfTrue="1" operator="equal">
      <formula>"Towel"</formula>
    </cfRule>
    <cfRule type="cellIs" dxfId="19364" priority="6048" stopIfTrue="1" operator="equal">
      <formula>"Napkin Hs"</formula>
    </cfRule>
  </conditionalFormatting>
  <conditionalFormatting sqref="C70">
    <cfRule type="cellIs" dxfId="19363" priority="6043" stopIfTrue="1" operator="equal">
      <formula>"Towel"</formula>
    </cfRule>
    <cfRule type="cellIs" dxfId="19362" priority="6044" stopIfTrue="1" operator="equal">
      <formula>"Napkin Hs"</formula>
    </cfRule>
  </conditionalFormatting>
  <conditionalFormatting sqref="B70:C70">
    <cfRule type="cellIs" dxfId="19361" priority="6041" stopIfTrue="1" operator="equal">
      <formula>"Towel"</formula>
    </cfRule>
    <cfRule type="cellIs" dxfId="19360" priority="6042" stopIfTrue="1" operator="equal">
      <formula>"Napkin Hs"</formula>
    </cfRule>
  </conditionalFormatting>
  <conditionalFormatting sqref="C70">
    <cfRule type="cellIs" dxfId="19359" priority="6049" stopIfTrue="1" operator="equal">
      <formula>"Towel"</formula>
    </cfRule>
    <cfRule type="cellIs" dxfId="19358" priority="6050" stopIfTrue="1" operator="equal">
      <formula>"Napkin Hs"</formula>
    </cfRule>
  </conditionalFormatting>
  <conditionalFormatting sqref="C70">
    <cfRule type="cellIs" dxfId="19357" priority="6051" stopIfTrue="1" operator="equal">
      <formula>"Towel"</formula>
    </cfRule>
    <cfRule type="cellIs" dxfId="19356" priority="6052" stopIfTrue="1" operator="equal">
      <formula>"Napkin Hs"</formula>
    </cfRule>
  </conditionalFormatting>
  <conditionalFormatting sqref="B70:C70">
    <cfRule type="cellIs" dxfId="19355" priority="6039" stopIfTrue="1" operator="equal">
      <formula>"Towel"</formula>
    </cfRule>
    <cfRule type="cellIs" dxfId="19354" priority="6040" stopIfTrue="1" operator="equal">
      <formula>"Napkin Hs"</formula>
    </cfRule>
  </conditionalFormatting>
  <conditionalFormatting sqref="C70">
    <cfRule type="cellIs" dxfId="19353" priority="6035" stopIfTrue="1" operator="equal">
      <formula>"Towel"</formula>
    </cfRule>
    <cfRule type="cellIs" dxfId="19352" priority="6036" stopIfTrue="1" operator="equal">
      <formula>"Napkin Hs"</formula>
    </cfRule>
  </conditionalFormatting>
  <conditionalFormatting sqref="C70">
    <cfRule type="cellIs" dxfId="19351" priority="6037" stopIfTrue="1" operator="equal">
      <formula>"Towel"</formula>
    </cfRule>
    <cfRule type="cellIs" dxfId="19350" priority="6038" stopIfTrue="1" operator="equal">
      <formula>"Napkin Hs"</formula>
    </cfRule>
  </conditionalFormatting>
  <conditionalFormatting sqref="B72:C72">
    <cfRule type="cellIs" dxfId="19349" priority="6033" stopIfTrue="1" operator="equal">
      <formula>"Towel"</formula>
    </cfRule>
    <cfRule type="cellIs" dxfId="19348" priority="6034" stopIfTrue="1" operator="equal">
      <formula>"Napkin Hs"</formula>
    </cfRule>
  </conditionalFormatting>
  <conditionalFormatting sqref="B76:C76">
    <cfRule type="cellIs" dxfId="19347" priority="6027" stopIfTrue="1" operator="equal">
      <formula>"Towel"</formula>
    </cfRule>
    <cfRule type="cellIs" dxfId="19346" priority="6028" stopIfTrue="1" operator="equal">
      <formula>"Napkin Hs"</formula>
    </cfRule>
  </conditionalFormatting>
  <conditionalFormatting sqref="C72">
    <cfRule type="cellIs" dxfId="19345" priority="6029" stopIfTrue="1" operator="equal">
      <formula>"Towel"</formula>
    </cfRule>
    <cfRule type="cellIs" dxfId="19344" priority="6030" stopIfTrue="1" operator="equal">
      <formula>"Napkin Hs"</formula>
    </cfRule>
  </conditionalFormatting>
  <conditionalFormatting sqref="C72">
    <cfRule type="cellIs" dxfId="19343" priority="6031" stopIfTrue="1" operator="equal">
      <formula>"Towel"</formula>
    </cfRule>
    <cfRule type="cellIs" dxfId="19342" priority="6032" stopIfTrue="1" operator="equal">
      <formula>"Napkin Hs"</formula>
    </cfRule>
  </conditionalFormatting>
  <conditionalFormatting sqref="C76">
    <cfRule type="cellIs" dxfId="19341" priority="6025" stopIfTrue="1" operator="equal">
      <formula>"Towel"</formula>
    </cfRule>
    <cfRule type="cellIs" dxfId="19340" priority="6026" stopIfTrue="1" operator="equal">
      <formula>"Napkin Hs"</formula>
    </cfRule>
  </conditionalFormatting>
  <conditionalFormatting sqref="C75">
    <cfRule type="cellIs" dxfId="19339" priority="6017" stopIfTrue="1" operator="equal">
      <formula>"Towel"</formula>
    </cfRule>
    <cfRule type="cellIs" dxfId="19338" priority="6018" stopIfTrue="1" operator="equal">
      <formula>"Napkin Hs"</formula>
    </cfRule>
  </conditionalFormatting>
  <conditionalFormatting sqref="C75">
    <cfRule type="cellIs" dxfId="19337" priority="6019" stopIfTrue="1" operator="equal">
      <formula>"Towel"</formula>
    </cfRule>
    <cfRule type="cellIs" dxfId="19336" priority="6020" stopIfTrue="1" operator="equal">
      <formula>"Napkin Hs"</formula>
    </cfRule>
  </conditionalFormatting>
  <conditionalFormatting sqref="C75">
    <cfRule type="cellIs" dxfId="19335" priority="6015" stopIfTrue="1" operator="equal">
      <formula>"Towel"</formula>
    </cfRule>
    <cfRule type="cellIs" dxfId="19334" priority="6016" stopIfTrue="1" operator="equal">
      <formula>"Napkin Hs"</formula>
    </cfRule>
  </conditionalFormatting>
  <conditionalFormatting sqref="C75">
    <cfRule type="cellIs" dxfId="19333" priority="6013" stopIfTrue="1" operator="equal">
      <formula>"Towel"</formula>
    </cfRule>
    <cfRule type="cellIs" dxfId="19332" priority="6014" stopIfTrue="1" operator="equal">
      <formula>"Napkin Hs"</formula>
    </cfRule>
  </conditionalFormatting>
  <conditionalFormatting sqref="C75">
    <cfRule type="cellIs" dxfId="19331" priority="6021" stopIfTrue="1" operator="equal">
      <formula>"Towel"</formula>
    </cfRule>
    <cfRule type="cellIs" dxfId="19330" priority="6022" stopIfTrue="1" operator="equal">
      <formula>"Napkin Hs"</formula>
    </cfRule>
  </conditionalFormatting>
  <conditionalFormatting sqref="C75">
    <cfRule type="cellIs" dxfId="19329" priority="6023" stopIfTrue="1" operator="equal">
      <formula>"Towel"</formula>
    </cfRule>
    <cfRule type="cellIs" dxfId="19328" priority="6024" stopIfTrue="1" operator="equal">
      <formula>"Napkin Hs"</formula>
    </cfRule>
  </conditionalFormatting>
  <conditionalFormatting sqref="C74">
    <cfRule type="cellIs" dxfId="19327" priority="6005" stopIfTrue="1" operator="equal">
      <formula>"Towel"</formula>
    </cfRule>
    <cfRule type="cellIs" dxfId="19326" priority="6006" stopIfTrue="1" operator="equal">
      <formula>"Napkin Hs"</formula>
    </cfRule>
  </conditionalFormatting>
  <conditionalFormatting sqref="B74:C74">
    <cfRule type="cellIs" dxfId="19325" priority="6007" stopIfTrue="1" operator="equal">
      <formula>"Towel"</formula>
    </cfRule>
    <cfRule type="cellIs" dxfId="19324" priority="6008" stopIfTrue="1" operator="equal">
      <formula>"Napkin Hs"</formula>
    </cfRule>
  </conditionalFormatting>
  <conditionalFormatting sqref="C74">
    <cfRule type="cellIs" dxfId="19323" priority="6003" stopIfTrue="1" operator="equal">
      <formula>"Towel"</formula>
    </cfRule>
    <cfRule type="cellIs" dxfId="19322" priority="6004" stopIfTrue="1" operator="equal">
      <formula>"Napkin Hs"</formula>
    </cfRule>
  </conditionalFormatting>
  <conditionalFormatting sqref="B74:C74">
    <cfRule type="cellIs" dxfId="19321" priority="6001" stopIfTrue="1" operator="equal">
      <formula>"Towel"</formula>
    </cfRule>
    <cfRule type="cellIs" dxfId="19320" priority="6002" stopIfTrue="1" operator="equal">
      <formula>"Napkin Hs"</formula>
    </cfRule>
  </conditionalFormatting>
  <conditionalFormatting sqref="C74">
    <cfRule type="cellIs" dxfId="19319" priority="6009" stopIfTrue="1" operator="equal">
      <formula>"Towel"</formula>
    </cfRule>
    <cfRule type="cellIs" dxfId="19318" priority="6010" stopIfTrue="1" operator="equal">
      <formula>"Napkin Hs"</formula>
    </cfRule>
  </conditionalFormatting>
  <conditionalFormatting sqref="C74">
    <cfRule type="cellIs" dxfId="19317" priority="6011" stopIfTrue="1" operator="equal">
      <formula>"Towel"</formula>
    </cfRule>
    <cfRule type="cellIs" dxfId="19316" priority="6012" stopIfTrue="1" operator="equal">
      <formula>"Napkin Hs"</formula>
    </cfRule>
  </conditionalFormatting>
  <conditionalFormatting sqref="B75">
    <cfRule type="cellIs" dxfId="19315" priority="5999" stopIfTrue="1" operator="equal">
      <formula>"Towel"</formula>
    </cfRule>
    <cfRule type="cellIs" dxfId="19314" priority="6000" stopIfTrue="1" operator="equal">
      <formula>"Napkin Hs"</formula>
    </cfRule>
  </conditionalFormatting>
  <conditionalFormatting sqref="C73">
    <cfRule type="cellIs" dxfId="19313" priority="5991" stopIfTrue="1" operator="equal">
      <formula>"Towel"</formula>
    </cfRule>
    <cfRule type="cellIs" dxfId="19312" priority="5992" stopIfTrue="1" operator="equal">
      <formula>"Napkin Hs"</formula>
    </cfRule>
  </conditionalFormatting>
  <conditionalFormatting sqref="B73:C73">
    <cfRule type="cellIs" dxfId="19311" priority="5993" stopIfTrue="1" operator="equal">
      <formula>"Towel"</formula>
    </cfRule>
    <cfRule type="cellIs" dxfId="19310" priority="5994" stopIfTrue="1" operator="equal">
      <formula>"Napkin Hs"</formula>
    </cfRule>
  </conditionalFormatting>
  <conditionalFormatting sqref="C73">
    <cfRule type="cellIs" dxfId="19309" priority="5989" stopIfTrue="1" operator="equal">
      <formula>"Towel"</formula>
    </cfRule>
    <cfRule type="cellIs" dxfId="19308" priority="5990" stopIfTrue="1" operator="equal">
      <formula>"Napkin Hs"</formula>
    </cfRule>
  </conditionalFormatting>
  <conditionalFormatting sqref="B73:C73">
    <cfRule type="cellIs" dxfId="19307" priority="5987" stopIfTrue="1" operator="equal">
      <formula>"Towel"</formula>
    </cfRule>
    <cfRule type="cellIs" dxfId="19306" priority="5988" stopIfTrue="1" operator="equal">
      <formula>"Napkin Hs"</formula>
    </cfRule>
  </conditionalFormatting>
  <conditionalFormatting sqref="C73">
    <cfRule type="cellIs" dxfId="19305" priority="5995" stopIfTrue="1" operator="equal">
      <formula>"Towel"</formula>
    </cfRule>
    <cfRule type="cellIs" dxfId="19304" priority="5996" stopIfTrue="1" operator="equal">
      <formula>"Napkin Hs"</formula>
    </cfRule>
  </conditionalFormatting>
  <conditionalFormatting sqref="C73">
    <cfRule type="cellIs" dxfId="19303" priority="5997" stopIfTrue="1" operator="equal">
      <formula>"Towel"</formula>
    </cfRule>
    <cfRule type="cellIs" dxfId="19302" priority="5998" stopIfTrue="1" operator="equal">
      <formula>"Napkin Hs"</formula>
    </cfRule>
  </conditionalFormatting>
  <conditionalFormatting sqref="B73:C73">
    <cfRule type="cellIs" dxfId="19301" priority="5985" stopIfTrue="1" operator="equal">
      <formula>"Towel"</formula>
    </cfRule>
    <cfRule type="cellIs" dxfId="19300" priority="5986" stopIfTrue="1" operator="equal">
      <formula>"Napkin Hs"</formula>
    </cfRule>
  </conditionalFormatting>
  <conditionalFormatting sqref="B74:C74">
    <cfRule type="cellIs" dxfId="19299" priority="5979" stopIfTrue="1" operator="equal">
      <formula>"Towel"</formula>
    </cfRule>
    <cfRule type="cellIs" dxfId="19298" priority="5980" stopIfTrue="1" operator="equal">
      <formula>"Napkin Hs"</formula>
    </cfRule>
  </conditionalFormatting>
  <conditionalFormatting sqref="C73">
    <cfRule type="cellIs" dxfId="19297" priority="5984" stopIfTrue="1" operator="equal">
      <formula>"Napkin Hs"</formula>
    </cfRule>
  </conditionalFormatting>
  <conditionalFormatting sqref="C73">
    <cfRule type="cellIs" dxfId="19296" priority="5983" stopIfTrue="1" operator="equal">
      <formula>"Towel"</formula>
    </cfRule>
  </conditionalFormatting>
  <conditionalFormatting sqref="C73">
    <cfRule type="cellIs" dxfId="19295" priority="5981" stopIfTrue="1" operator="equal">
      <formula>"Towel"</formula>
    </cfRule>
    <cfRule type="cellIs" dxfId="19294" priority="5982" stopIfTrue="1" operator="equal">
      <formula>"Napkin Hs"</formula>
    </cfRule>
  </conditionalFormatting>
  <conditionalFormatting sqref="C74">
    <cfRule type="cellIs" dxfId="19293" priority="5977" stopIfTrue="1" operator="equal">
      <formula>"Towel"</formula>
    </cfRule>
    <cfRule type="cellIs" dxfId="19292" priority="5978" stopIfTrue="1" operator="equal">
      <formula>"Napkin Hs"</formula>
    </cfRule>
  </conditionalFormatting>
  <conditionalFormatting sqref="C72">
    <cfRule type="cellIs" dxfId="19291" priority="5969" stopIfTrue="1" operator="equal">
      <formula>"Towel"</formula>
    </cfRule>
    <cfRule type="cellIs" dxfId="19290" priority="5970" stopIfTrue="1" operator="equal">
      <formula>"Napkin Hs"</formula>
    </cfRule>
  </conditionalFormatting>
  <conditionalFormatting sqref="B72:C72">
    <cfRule type="cellIs" dxfId="19289" priority="5971" stopIfTrue="1" operator="equal">
      <formula>"Towel"</formula>
    </cfRule>
    <cfRule type="cellIs" dxfId="19288" priority="5972" stopIfTrue="1" operator="equal">
      <formula>"Napkin Hs"</formula>
    </cfRule>
  </conditionalFormatting>
  <conditionalFormatting sqref="C72">
    <cfRule type="cellIs" dxfId="19287" priority="5967" stopIfTrue="1" operator="equal">
      <formula>"Towel"</formula>
    </cfRule>
    <cfRule type="cellIs" dxfId="19286" priority="5968" stopIfTrue="1" operator="equal">
      <formula>"Napkin Hs"</formula>
    </cfRule>
  </conditionalFormatting>
  <conditionalFormatting sqref="B72:C72">
    <cfRule type="cellIs" dxfId="19285" priority="5965" stopIfTrue="1" operator="equal">
      <formula>"Towel"</formula>
    </cfRule>
    <cfRule type="cellIs" dxfId="19284" priority="5966" stopIfTrue="1" operator="equal">
      <formula>"Napkin Hs"</formula>
    </cfRule>
  </conditionalFormatting>
  <conditionalFormatting sqref="C72">
    <cfRule type="cellIs" dxfId="19283" priority="5973" stopIfTrue="1" operator="equal">
      <formula>"Towel"</formula>
    </cfRule>
    <cfRule type="cellIs" dxfId="19282" priority="5974" stopIfTrue="1" operator="equal">
      <formula>"Napkin Hs"</formula>
    </cfRule>
  </conditionalFormatting>
  <conditionalFormatting sqref="C72">
    <cfRule type="cellIs" dxfId="19281" priority="5975" stopIfTrue="1" operator="equal">
      <formula>"Towel"</formula>
    </cfRule>
    <cfRule type="cellIs" dxfId="19280" priority="5976" stopIfTrue="1" operator="equal">
      <formula>"Napkin Hs"</formula>
    </cfRule>
  </conditionalFormatting>
  <conditionalFormatting sqref="B72:C72">
    <cfRule type="cellIs" dxfId="19279" priority="5963" stopIfTrue="1" operator="equal">
      <formula>"Towel"</formula>
    </cfRule>
    <cfRule type="cellIs" dxfId="19278" priority="5964" stopIfTrue="1" operator="equal">
      <formula>"Napkin Hs"</formula>
    </cfRule>
  </conditionalFormatting>
  <conditionalFormatting sqref="C72">
    <cfRule type="cellIs" dxfId="19277" priority="5962" stopIfTrue="1" operator="equal">
      <formula>"Napkin Hs"</formula>
    </cfRule>
  </conditionalFormatting>
  <conditionalFormatting sqref="C72">
    <cfRule type="cellIs" dxfId="19276" priority="5961" stopIfTrue="1" operator="equal">
      <formula>"Towel"</formula>
    </cfRule>
  </conditionalFormatting>
  <conditionalFormatting sqref="C72">
    <cfRule type="cellIs" dxfId="19275" priority="5959" stopIfTrue="1" operator="equal">
      <formula>"Towel"</formula>
    </cfRule>
    <cfRule type="cellIs" dxfId="19274" priority="5960" stopIfTrue="1" operator="equal">
      <formula>"Napkin Hs"</formula>
    </cfRule>
  </conditionalFormatting>
  <conditionalFormatting sqref="B72:C72">
    <cfRule type="cellIs" dxfId="19273" priority="5957" stopIfTrue="1" operator="equal">
      <formula>"Towel"</formula>
    </cfRule>
    <cfRule type="cellIs" dxfId="19272" priority="5958" stopIfTrue="1" operator="equal">
      <formula>"Napkin Hs"</formula>
    </cfRule>
  </conditionalFormatting>
  <conditionalFormatting sqref="C72">
    <cfRule type="cellIs" dxfId="19271" priority="5953" stopIfTrue="1" operator="equal">
      <formula>"Towel"</formula>
    </cfRule>
    <cfRule type="cellIs" dxfId="19270" priority="5954" stopIfTrue="1" operator="equal">
      <formula>"Napkin Hs"</formula>
    </cfRule>
  </conditionalFormatting>
  <conditionalFormatting sqref="C72">
    <cfRule type="cellIs" dxfId="19269" priority="5955" stopIfTrue="1" operator="equal">
      <formula>"Towel"</formula>
    </cfRule>
    <cfRule type="cellIs" dxfId="19268" priority="5956" stopIfTrue="1" operator="equal">
      <formula>"Napkin Hs"</formula>
    </cfRule>
  </conditionalFormatting>
  <conditionalFormatting sqref="B72:C72">
    <cfRule type="cellIs" dxfId="19267" priority="5951" stopIfTrue="1" operator="equal">
      <formula>"Towel"</formula>
    </cfRule>
    <cfRule type="cellIs" dxfId="19266" priority="5952" stopIfTrue="1" operator="equal">
      <formula>"Napkin Hs"</formula>
    </cfRule>
  </conditionalFormatting>
  <conditionalFormatting sqref="C72">
    <cfRule type="cellIs" dxfId="19265" priority="5947" stopIfTrue="1" operator="equal">
      <formula>"Towel"</formula>
    </cfRule>
    <cfRule type="cellIs" dxfId="19264" priority="5948" stopIfTrue="1" operator="equal">
      <formula>"Napkin Hs"</formula>
    </cfRule>
  </conditionalFormatting>
  <conditionalFormatting sqref="C72">
    <cfRule type="cellIs" dxfId="19263" priority="5949" stopIfTrue="1" operator="equal">
      <formula>"Towel"</formula>
    </cfRule>
    <cfRule type="cellIs" dxfId="19262" priority="5950" stopIfTrue="1" operator="equal">
      <formula>"Napkin Hs"</formula>
    </cfRule>
  </conditionalFormatting>
  <conditionalFormatting sqref="B72:C72">
    <cfRule type="cellIs" dxfId="19261" priority="5945" stopIfTrue="1" operator="equal">
      <formula>"Towel"</formula>
    </cfRule>
    <cfRule type="cellIs" dxfId="19260" priority="5946" stopIfTrue="1" operator="equal">
      <formula>"Napkin Hs"</formula>
    </cfRule>
  </conditionalFormatting>
  <conditionalFormatting sqref="C72">
    <cfRule type="cellIs" dxfId="19259" priority="5943" stopIfTrue="1" operator="equal">
      <formula>"Towel"</formula>
    </cfRule>
    <cfRule type="cellIs" dxfId="19258" priority="5944" stopIfTrue="1" operator="equal">
      <formula>"Napkin Hs"</formula>
    </cfRule>
  </conditionalFormatting>
  <conditionalFormatting sqref="C72">
    <cfRule type="cellIs" dxfId="19257" priority="5941" stopIfTrue="1" operator="equal">
      <formula>"Towel"</formula>
    </cfRule>
    <cfRule type="cellIs" dxfId="19256" priority="5942" stopIfTrue="1" operator="equal">
      <formula>"Napkin Hs"</formula>
    </cfRule>
  </conditionalFormatting>
  <conditionalFormatting sqref="C72">
    <cfRule type="cellIs" dxfId="19255" priority="5933" stopIfTrue="1" operator="equal">
      <formula>"Towel"</formula>
    </cfRule>
    <cfRule type="cellIs" dxfId="19254" priority="5934" stopIfTrue="1" operator="equal">
      <formula>"Napkin Hs"</formula>
    </cfRule>
  </conditionalFormatting>
  <conditionalFormatting sqref="B72:C72">
    <cfRule type="cellIs" dxfId="19253" priority="5935" stopIfTrue="1" operator="equal">
      <formula>"Towel"</formula>
    </cfRule>
    <cfRule type="cellIs" dxfId="19252" priority="5936" stopIfTrue="1" operator="equal">
      <formula>"Napkin Hs"</formula>
    </cfRule>
  </conditionalFormatting>
  <conditionalFormatting sqref="C72">
    <cfRule type="cellIs" dxfId="19251" priority="5931" stopIfTrue="1" operator="equal">
      <formula>"Towel"</formula>
    </cfRule>
    <cfRule type="cellIs" dxfId="19250" priority="5932" stopIfTrue="1" operator="equal">
      <formula>"Napkin Hs"</formula>
    </cfRule>
  </conditionalFormatting>
  <conditionalFormatting sqref="B72:C72">
    <cfRule type="cellIs" dxfId="19249" priority="5929" stopIfTrue="1" operator="equal">
      <formula>"Towel"</formula>
    </cfRule>
    <cfRule type="cellIs" dxfId="19248" priority="5930" stopIfTrue="1" operator="equal">
      <formula>"Napkin Hs"</formula>
    </cfRule>
  </conditionalFormatting>
  <conditionalFormatting sqref="C72">
    <cfRule type="cellIs" dxfId="19247" priority="5937" stopIfTrue="1" operator="equal">
      <formula>"Towel"</formula>
    </cfRule>
    <cfRule type="cellIs" dxfId="19246" priority="5938" stopIfTrue="1" operator="equal">
      <formula>"Napkin Hs"</formula>
    </cfRule>
  </conditionalFormatting>
  <conditionalFormatting sqref="C72">
    <cfRule type="cellIs" dxfId="19245" priority="5939" stopIfTrue="1" operator="equal">
      <formula>"Towel"</formula>
    </cfRule>
    <cfRule type="cellIs" dxfId="19244" priority="5940" stopIfTrue="1" operator="equal">
      <formula>"Napkin Hs"</formula>
    </cfRule>
  </conditionalFormatting>
  <conditionalFormatting sqref="B72:C72">
    <cfRule type="cellIs" dxfId="19243" priority="5927" stopIfTrue="1" operator="equal">
      <formula>"Towel"</formula>
    </cfRule>
    <cfRule type="cellIs" dxfId="19242" priority="5928" stopIfTrue="1" operator="equal">
      <formula>"Napkin Hs"</formula>
    </cfRule>
  </conditionalFormatting>
  <conditionalFormatting sqref="C72">
    <cfRule type="cellIs" dxfId="19241" priority="5919" stopIfTrue="1" operator="equal">
      <formula>"Towel"</formula>
    </cfRule>
    <cfRule type="cellIs" dxfId="19240" priority="5920" stopIfTrue="1" operator="equal">
      <formula>"Napkin Hs"</formula>
    </cfRule>
  </conditionalFormatting>
  <conditionalFormatting sqref="C72">
    <cfRule type="cellIs" dxfId="19239" priority="5923" stopIfTrue="1" operator="equal">
      <formula>"Towel"</formula>
    </cfRule>
    <cfRule type="cellIs" dxfId="19238" priority="5924" stopIfTrue="1" operator="equal">
      <formula>"Napkin Hs"</formula>
    </cfRule>
  </conditionalFormatting>
  <conditionalFormatting sqref="C72">
    <cfRule type="cellIs" dxfId="19237" priority="5926" stopIfTrue="1" operator="equal">
      <formula>"Napkin Hs"</formula>
    </cfRule>
  </conditionalFormatting>
  <conditionalFormatting sqref="C72">
    <cfRule type="cellIs" dxfId="19236" priority="5921" stopIfTrue="1" operator="equal">
      <formula>"Towel"</formula>
    </cfRule>
    <cfRule type="cellIs" dxfId="19235" priority="5922" stopIfTrue="1" operator="equal">
      <formula>"Napkin Hs"</formula>
    </cfRule>
  </conditionalFormatting>
  <conditionalFormatting sqref="C72">
    <cfRule type="cellIs" dxfId="19234" priority="5925" stopIfTrue="1" operator="equal">
      <formula>"Towel"</formula>
    </cfRule>
  </conditionalFormatting>
  <conditionalFormatting sqref="C72">
    <cfRule type="cellIs" dxfId="19233" priority="5917" stopIfTrue="1" operator="equal">
      <formula>"Towel"</formula>
    </cfRule>
    <cfRule type="cellIs" dxfId="19232" priority="5918" stopIfTrue="1" operator="equal">
      <formula>"Napkin Hs"</formula>
    </cfRule>
  </conditionalFormatting>
  <conditionalFormatting sqref="B72">
    <cfRule type="cellIs" dxfId="19231" priority="5915" stopIfTrue="1" operator="equal">
      <formula>"Towel"</formula>
    </cfRule>
    <cfRule type="cellIs" dxfId="19230" priority="5916" stopIfTrue="1" operator="equal">
      <formula>"Napkin Hs"</formula>
    </cfRule>
  </conditionalFormatting>
  <conditionalFormatting sqref="B81:C81">
    <cfRule type="cellIs" dxfId="19229" priority="5913" stopIfTrue="1" operator="equal">
      <formula>"Towel"</formula>
    </cfRule>
    <cfRule type="cellIs" dxfId="19228" priority="5914" stopIfTrue="1" operator="equal">
      <formula>"Napkin Hs"</formula>
    </cfRule>
  </conditionalFormatting>
  <conditionalFormatting sqref="C81">
    <cfRule type="cellIs" dxfId="19227" priority="5909" stopIfTrue="1" operator="equal">
      <formula>"Towel"</formula>
    </cfRule>
    <cfRule type="cellIs" dxfId="19226" priority="5910" stopIfTrue="1" operator="equal">
      <formula>"Napkin Hs"</formula>
    </cfRule>
  </conditionalFormatting>
  <conditionalFormatting sqref="C81">
    <cfRule type="cellIs" dxfId="19225" priority="5911" stopIfTrue="1" operator="equal">
      <formula>"Towel"</formula>
    </cfRule>
    <cfRule type="cellIs" dxfId="19224" priority="5912" stopIfTrue="1" operator="equal">
      <formula>"Napkin Hs"</formula>
    </cfRule>
  </conditionalFormatting>
  <conditionalFormatting sqref="B80:C80">
    <cfRule type="cellIs" dxfId="19223" priority="5907" stopIfTrue="1" operator="equal">
      <formula>"Towel"</formula>
    </cfRule>
    <cfRule type="cellIs" dxfId="19222" priority="5908" stopIfTrue="1" operator="equal">
      <formula>"Napkin Hs"</formula>
    </cfRule>
  </conditionalFormatting>
  <conditionalFormatting sqref="B79:C79">
    <cfRule type="cellIs" dxfId="19221" priority="5903" stopIfTrue="1" operator="equal">
      <formula>"Towel"</formula>
    </cfRule>
    <cfRule type="cellIs" dxfId="19220" priority="5904" stopIfTrue="1" operator="equal">
      <formula>"Napkin Hs"</formula>
    </cfRule>
  </conditionalFormatting>
  <conditionalFormatting sqref="C80">
    <cfRule type="cellIs" dxfId="19219" priority="5906" stopIfTrue="1" operator="equal">
      <formula>"Napkin Hs"</formula>
    </cfRule>
  </conditionalFormatting>
  <conditionalFormatting sqref="C80">
    <cfRule type="cellIs" dxfId="19218" priority="5905" stopIfTrue="1" operator="equal">
      <formula>"Towel"</formula>
    </cfRule>
  </conditionalFormatting>
  <conditionalFormatting sqref="C79">
    <cfRule type="cellIs" dxfId="19217" priority="5899" stopIfTrue="1" operator="equal">
      <formula>"Towel"</formula>
    </cfRule>
    <cfRule type="cellIs" dxfId="19216" priority="5900" stopIfTrue="1" operator="equal">
      <formula>"Napkin Hs"</formula>
    </cfRule>
  </conditionalFormatting>
  <conditionalFormatting sqref="C79:C80">
    <cfRule type="cellIs" dxfId="19215" priority="5901" stopIfTrue="1" operator="equal">
      <formula>"Towel"</formula>
    </cfRule>
    <cfRule type="cellIs" dxfId="19214" priority="5902" stopIfTrue="1" operator="equal">
      <formula>"Napkin Hs"</formula>
    </cfRule>
  </conditionalFormatting>
  <conditionalFormatting sqref="C78">
    <cfRule type="cellIs" dxfId="19213" priority="5891" stopIfTrue="1" operator="equal">
      <formula>"Towel"</formula>
    </cfRule>
    <cfRule type="cellIs" dxfId="19212" priority="5892" stopIfTrue="1" operator="equal">
      <formula>"Napkin Hs"</formula>
    </cfRule>
  </conditionalFormatting>
  <conditionalFormatting sqref="C78">
    <cfRule type="cellIs" dxfId="19211" priority="5893" stopIfTrue="1" operator="equal">
      <formula>"Towel"</formula>
    </cfRule>
    <cfRule type="cellIs" dxfId="19210" priority="5894" stopIfTrue="1" operator="equal">
      <formula>"Napkin Hs"</formula>
    </cfRule>
  </conditionalFormatting>
  <conditionalFormatting sqref="C78">
    <cfRule type="cellIs" dxfId="19209" priority="5889" stopIfTrue="1" operator="equal">
      <formula>"Towel"</formula>
    </cfRule>
    <cfRule type="cellIs" dxfId="19208" priority="5890" stopIfTrue="1" operator="equal">
      <formula>"Napkin Hs"</formula>
    </cfRule>
  </conditionalFormatting>
  <conditionalFormatting sqref="C78">
    <cfRule type="cellIs" dxfId="19207" priority="5887" stopIfTrue="1" operator="equal">
      <formula>"Towel"</formula>
    </cfRule>
    <cfRule type="cellIs" dxfId="19206" priority="5888" stopIfTrue="1" operator="equal">
      <formula>"Napkin Hs"</formula>
    </cfRule>
  </conditionalFormatting>
  <conditionalFormatting sqref="C78">
    <cfRule type="cellIs" dxfId="19205" priority="5895" stopIfTrue="1" operator="equal">
      <formula>"Towel"</formula>
    </cfRule>
    <cfRule type="cellIs" dxfId="19204" priority="5896" stopIfTrue="1" operator="equal">
      <formula>"Napkin Hs"</formula>
    </cfRule>
  </conditionalFormatting>
  <conditionalFormatting sqref="C78">
    <cfRule type="cellIs" dxfId="19203" priority="5897" stopIfTrue="1" operator="equal">
      <formula>"Towel"</formula>
    </cfRule>
    <cfRule type="cellIs" dxfId="19202" priority="5898" stopIfTrue="1" operator="equal">
      <formula>"Napkin Hs"</formula>
    </cfRule>
  </conditionalFormatting>
  <conditionalFormatting sqref="C77">
    <cfRule type="cellIs" dxfId="19201" priority="5879" stopIfTrue="1" operator="equal">
      <formula>"Towel"</formula>
    </cfRule>
    <cfRule type="cellIs" dxfId="19200" priority="5880" stopIfTrue="1" operator="equal">
      <formula>"Napkin Hs"</formula>
    </cfRule>
  </conditionalFormatting>
  <conditionalFormatting sqref="B77:C77">
    <cfRule type="cellIs" dxfId="19199" priority="5881" stopIfTrue="1" operator="equal">
      <formula>"Towel"</formula>
    </cfRule>
    <cfRule type="cellIs" dxfId="19198" priority="5882" stopIfTrue="1" operator="equal">
      <formula>"Napkin Hs"</formula>
    </cfRule>
  </conditionalFormatting>
  <conditionalFormatting sqref="C77">
    <cfRule type="cellIs" dxfId="19197" priority="5877" stopIfTrue="1" operator="equal">
      <formula>"Towel"</formula>
    </cfRule>
    <cfRule type="cellIs" dxfId="19196" priority="5878" stopIfTrue="1" operator="equal">
      <formula>"Napkin Hs"</formula>
    </cfRule>
  </conditionalFormatting>
  <conditionalFormatting sqref="B77:C77">
    <cfRule type="cellIs" dxfId="19195" priority="5875" stopIfTrue="1" operator="equal">
      <formula>"Towel"</formula>
    </cfRule>
    <cfRule type="cellIs" dxfId="19194" priority="5876" stopIfTrue="1" operator="equal">
      <formula>"Napkin Hs"</formula>
    </cfRule>
  </conditionalFormatting>
  <conditionalFormatting sqref="C77">
    <cfRule type="cellIs" dxfId="19193" priority="5883" stopIfTrue="1" operator="equal">
      <formula>"Towel"</formula>
    </cfRule>
    <cfRule type="cellIs" dxfId="19192" priority="5884" stopIfTrue="1" operator="equal">
      <formula>"Napkin Hs"</formula>
    </cfRule>
  </conditionalFormatting>
  <conditionalFormatting sqref="C77">
    <cfRule type="cellIs" dxfId="19191" priority="5885" stopIfTrue="1" operator="equal">
      <formula>"Towel"</formula>
    </cfRule>
    <cfRule type="cellIs" dxfId="19190" priority="5886" stopIfTrue="1" operator="equal">
      <formula>"Napkin Hs"</formula>
    </cfRule>
  </conditionalFormatting>
  <conditionalFormatting sqref="B78">
    <cfRule type="cellIs" dxfId="19189" priority="5873" stopIfTrue="1" operator="equal">
      <formula>"Towel"</formula>
    </cfRule>
    <cfRule type="cellIs" dxfId="19188" priority="5874" stopIfTrue="1" operator="equal">
      <formula>"Napkin Hs"</formula>
    </cfRule>
  </conditionalFormatting>
  <conditionalFormatting sqref="B77:C77">
    <cfRule type="cellIs" dxfId="19187" priority="5867" stopIfTrue="1" operator="equal">
      <formula>"Towel"</formula>
    </cfRule>
    <cfRule type="cellIs" dxfId="19186" priority="5868" stopIfTrue="1" operator="equal">
      <formula>"Napkin Hs"</formula>
    </cfRule>
  </conditionalFormatting>
  <conditionalFormatting sqref="B78:C80">
    <cfRule type="cellIs" dxfId="19185" priority="5871" stopIfTrue="1" operator="equal">
      <formula>"Towel"</formula>
    </cfRule>
    <cfRule type="cellIs" dxfId="19184" priority="5872" stopIfTrue="1" operator="equal">
      <formula>"Napkin Hs"</formula>
    </cfRule>
  </conditionalFormatting>
  <conditionalFormatting sqref="C77">
    <cfRule type="cellIs" dxfId="19183" priority="5863" stopIfTrue="1" operator="equal">
      <formula>"Towel"</formula>
    </cfRule>
    <cfRule type="cellIs" dxfId="19182" priority="5864" stopIfTrue="1" operator="equal">
      <formula>"Napkin Hs"</formula>
    </cfRule>
  </conditionalFormatting>
  <conditionalFormatting sqref="C77:C80">
    <cfRule type="cellIs" dxfId="19181" priority="5865" stopIfTrue="1" operator="equal">
      <formula>"Towel"</formula>
    </cfRule>
    <cfRule type="cellIs" dxfId="19180" priority="5866" stopIfTrue="1" operator="equal">
      <formula>"Napkin Hs"</formula>
    </cfRule>
  </conditionalFormatting>
  <conditionalFormatting sqref="C78:C80">
    <cfRule type="cellIs" dxfId="19179" priority="5869" stopIfTrue="1" operator="equal">
      <formula>"Towel"</formula>
    </cfRule>
    <cfRule type="cellIs" dxfId="19178" priority="5870" stopIfTrue="1" operator="equal">
      <formula>"Napkin Hs"</formula>
    </cfRule>
  </conditionalFormatting>
  <conditionalFormatting sqref="B80:C80">
    <cfRule type="cellIs" dxfId="19177" priority="5861" stopIfTrue="1" operator="equal">
      <formula>"Towel"</formula>
    </cfRule>
    <cfRule type="cellIs" dxfId="19176" priority="5862" stopIfTrue="1" operator="equal">
      <formula>"Napkin Hs"</formula>
    </cfRule>
  </conditionalFormatting>
  <conditionalFormatting sqref="C80">
    <cfRule type="cellIs" dxfId="19175" priority="5859" stopIfTrue="1" operator="equal">
      <formula>"Towel"</formula>
    </cfRule>
    <cfRule type="cellIs" dxfId="19174" priority="5860" stopIfTrue="1" operator="equal">
      <formula>"Napkin Hs"</formula>
    </cfRule>
  </conditionalFormatting>
  <conditionalFormatting sqref="C79">
    <cfRule type="cellIs" dxfId="19173" priority="5851" stopIfTrue="1" operator="equal">
      <formula>"Towel"</formula>
    </cfRule>
    <cfRule type="cellIs" dxfId="19172" priority="5852" stopIfTrue="1" operator="equal">
      <formula>"Napkin Hs"</formula>
    </cfRule>
  </conditionalFormatting>
  <conditionalFormatting sqref="C79">
    <cfRule type="cellIs" dxfId="19171" priority="5853" stopIfTrue="1" operator="equal">
      <formula>"Towel"</formula>
    </cfRule>
    <cfRule type="cellIs" dxfId="19170" priority="5854" stopIfTrue="1" operator="equal">
      <formula>"Napkin Hs"</formula>
    </cfRule>
  </conditionalFormatting>
  <conditionalFormatting sqref="C79">
    <cfRule type="cellIs" dxfId="19169" priority="5849" stopIfTrue="1" operator="equal">
      <formula>"Towel"</formula>
    </cfRule>
    <cfRule type="cellIs" dxfId="19168" priority="5850" stopIfTrue="1" operator="equal">
      <formula>"Napkin Hs"</formula>
    </cfRule>
  </conditionalFormatting>
  <conditionalFormatting sqref="C79">
    <cfRule type="cellIs" dxfId="19167" priority="5847" stopIfTrue="1" operator="equal">
      <formula>"Towel"</formula>
    </cfRule>
    <cfRule type="cellIs" dxfId="19166" priority="5848" stopIfTrue="1" operator="equal">
      <formula>"Napkin Hs"</formula>
    </cfRule>
  </conditionalFormatting>
  <conditionalFormatting sqref="C79">
    <cfRule type="cellIs" dxfId="19165" priority="5855" stopIfTrue="1" operator="equal">
      <formula>"Towel"</formula>
    </cfRule>
    <cfRule type="cellIs" dxfId="19164" priority="5856" stopIfTrue="1" operator="equal">
      <formula>"Napkin Hs"</formula>
    </cfRule>
  </conditionalFormatting>
  <conditionalFormatting sqref="C79">
    <cfRule type="cellIs" dxfId="19163" priority="5857" stopIfTrue="1" operator="equal">
      <formula>"Towel"</formula>
    </cfRule>
    <cfRule type="cellIs" dxfId="19162" priority="5858" stopIfTrue="1" operator="equal">
      <formula>"Napkin Hs"</formula>
    </cfRule>
  </conditionalFormatting>
  <conditionalFormatting sqref="C78">
    <cfRule type="cellIs" dxfId="19161" priority="5839" stopIfTrue="1" operator="equal">
      <formula>"Towel"</formula>
    </cfRule>
    <cfRule type="cellIs" dxfId="19160" priority="5840" stopIfTrue="1" operator="equal">
      <formula>"Napkin Hs"</formula>
    </cfRule>
  </conditionalFormatting>
  <conditionalFormatting sqref="B78:C78">
    <cfRule type="cellIs" dxfId="19159" priority="5841" stopIfTrue="1" operator="equal">
      <formula>"Towel"</formula>
    </cfRule>
    <cfRule type="cellIs" dxfId="19158" priority="5842" stopIfTrue="1" operator="equal">
      <formula>"Napkin Hs"</formula>
    </cfRule>
  </conditionalFormatting>
  <conditionalFormatting sqref="C78">
    <cfRule type="cellIs" dxfId="19157" priority="5837" stopIfTrue="1" operator="equal">
      <formula>"Towel"</formula>
    </cfRule>
    <cfRule type="cellIs" dxfId="19156" priority="5838" stopIfTrue="1" operator="equal">
      <formula>"Napkin Hs"</formula>
    </cfRule>
  </conditionalFormatting>
  <conditionalFormatting sqref="B78:C78">
    <cfRule type="cellIs" dxfId="19155" priority="5835" stopIfTrue="1" operator="equal">
      <formula>"Towel"</formula>
    </cfRule>
    <cfRule type="cellIs" dxfId="19154" priority="5836" stopIfTrue="1" operator="equal">
      <formula>"Napkin Hs"</formula>
    </cfRule>
  </conditionalFormatting>
  <conditionalFormatting sqref="C78">
    <cfRule type="cellIs" dxfId="19153" priority="5843" stopIfTrue="1" operator="equal">
      <formula>"Towel"</formula>
    </cfRule>
    <cfRule type="cellIs" dxfId="19152" priority="5844" stopIfTrue="1" operator="equal">
      <formula>"Napkin Hs"</formula>
    </cfRule>
  </conditionalFormatting>
  <conditionalFormatting sqref="C78">
    <cfRule type="cellIs" dxfId="19151" priority="5845" stopIfTrue="1" operator="equal">
      <formula>"Towel"</formula>
    </cfRule>
    <cfRule type="cellIs" dxfId="19150" priority="5846" stopIfTrue="1" operator="equal">
      <formula>"Napkin Hs"</formula>
    </cfRule>
  </conditionalFormatting>
  <conditionalFormatting sqref="B79">
    <cfRule type="cellIs" dxfId="19149" priority="5833" stopIfTrue="1" operator="equal">
      <formula>"Towel"</formula>
    </cfRule>
    <cfRule type="cellIs" dxfId="19148" priority="5834" stopIfTrue="1" operator="equal">
      <formula>"Napkin Hs"</formula>
    </cfRule>
  </conditionalFormatting>
  <conditionalFormatting sqref="C77">
    <cfRule type="cellIs" dxfId="19147" priority="5825" stopIfTrue="1" operator="equal">
      <formula>"Towel"</formula>
    </cfRule>
    <cfRule type="cellIs" dxfId="19146" priority="5826" stopIfTrue="1" operator="equal">
      <formula>"Napkin Hs"</formula>
    </cfRule>
  </conditionalFormatting>
  <conditionalFormatting sqref="B77:C77">
    <cfRule type="cellIs" dxfId="19145" priority="5827" stopIfTrue="1" operator="equal">
      <formula>"Towel"</formula>
    </cfRule>
    <cfRule type="cellIs" dxfId="19144" priority="5828" stopIfTrue="1" operator="equal">
      <formula>"Napkin Hs"</formula>
    </cfRule>
  </conditionalFormatting>
  <conditionalFormatting sqref="C77">
    <cfRule type="cellIs" dxfId="19143" priority="5823" stopIfTrue="1" operator="equal">
      <formula>"Towel"</formula>
    </cfRule>
    <cfRule type="cellIs" dxfId="19142" priority="5824" stopIfTrue="1" operator="equal">
      <formula>"Napkin Hs"</formula>
    </cfRule>
  </conditionalFormatting>
  <conditionalFormatting sqref="B77:C77">
    <cfRule type="cellIs" dxfId="19141" priority="5821" stopIfTrue="1" operator="equal">
      <formula>"Towel"</formula>
    </cfRule>
    <cfRule type="cellIs" dxfId="19140" priority="5822" stopIfTrue="1" operator="equal">
      <formula>"Napkin Hs"</formula>
    </cfRule>
  </conditionalFormatting>
  <conditionalFormatting sqref="C77">
    <cfRule type="cellIs" dxfId="19139" priority="5829" stopIfTrue="1" operator="equal">
      <formula>"Towel"</formula>
    </cfRule>
    <cfRule type="cellIs" dxfId="19138" priority="5830" stopIfTrue="1" operator="equal">
      <formula>"Napkin Hs"</formula>
    </cfRule>
  </conditionalFormatting>
  <conditionalFormatting sqref="C77">
    <cfRule type="cellIs" dxfId="19137" priority="5831" stopIfTrue="1" operator="equal">
      <formula>"Towel"</formula>
    </cfRule>
    <cfRule type="cellIs" dxfId="19136" priority="5832" stopIfTrue="1" operator="equal">
      <formula>"Napkin Hs"</formula>
    </cfRule>
  </conditionalFormatting>
  <conditionalFormatting sqref="B77:C77">
    <cfRule type="cellIs" dxfId="19135" priority="5819" stopIfTrue="1" operator="equal">
      <formula>"Towel"</formula>
    </cfRule>
    <cfRule type="cellIs" dxfId="19134" priority="5820" stopIfTrue="1" operator="equal">
      <formula>"Napkin Hs"</formula>
    </cfRule>
  </conditionalFormatting>
  <conditionalFormatting sqref="B78:C78">
    <cfRule type="cellIs" dxfId="19133" priority="5813" stopIfTrue="1" operator="equal">
      <formula>"Towel"</formula>
    </cfRule>
    <cfRule type="cellIs" dxfId="19132" priority="5814" stopIfTrue="1" operator="equal">
      <formula>"Napkin Hs"</formula>
    </cfRule>
  </conditionalFormatting>
  <conditionalFormatting sqref="C77">
    <cfRule type="cellIs" dxfId="19131" priority="5818" stopIfTrue="1" operator="equal">
      <formula>"Napkin Hs"</formula>
    </cfRule>
  </conditionalFormatting>
  <conditionalFormatting sqref="C77">
    <cfRule type="cellIs" dxfId="19130" priority="5817" stopIfTrue="1" operator="equal">
      <formula>"Towel"</formula>
    </cfRule>
  </conditionalFormatting>
  <conditionalFormatting sqref="C77">
    <cfRule type="cellIs" dxfId="19129" priority="5815" stopIfTrue="1" operator="equal">
      <formula>"Towel"</formula>
    </cfRule>
    <cfRule type="cellIs" dxfId="19128" priority="5816" stopIfTrue="1" operator="equal">
      <formula>"Napkin Hs"</formula>
    </cfRule>
  </conditionalFormatting>
  <conditionalFormatting sqref="C78">
    <cfRule type="cellIs" dxfId="19127" priority="5811" stopIfTrue="1" operator="equal">
      <formula>"Towel"</formula>
    </cfRule>
    <cfRule type="cellIs" dxfId="19126" priority="5812" stopIfTrue="1" operator="equal">
      <formula>"Napkin Hs"</formula>
    </cfRule>
  </conditionalFormatting>
  <conditionalFormatting sqref="B82:C82">
    <cfRule type="cellIs" dxfId="19125" priority="5809" stopIfTrue="1" operator="equal">
      <formula>"Towel"</formula>
    </cfRule>
    <cfRule type="cellIs" dxfId="19124" priority="5810" stopIfTrue="1" operator="equal">
      <formula>"Napkin Hs"</formula>
    </cfRule>
  </conditionalFormatting>
  <conditionalFormatting sqref="C82">
    <cfRule type="cellIs" dxfId="19123" priority="5808" stopIfTrue="1" operator="equal">
      <formula>"Napkin Hs"</formula>
    </cfRule>
  </conditionalFormatting>
  <conditionalFormatting sqref="C82">
    <cfRule type="cellIs" dxfId="19122" priority="5807" stopIfTrue="1" operator="equal">
      <formula>"Towel"</formula>
    </cfRule>
  </conditionalFormatting>
  <conditionalFormatting sqref="C82">
    <cfRule type="cellIs" dxfId="19121" priority="5805" stopIfTrue="1" operator="equal">
      <formula>"Towel"</formula>
    </cfRule>
    <cfRule type="cellIs" dxfId="19120" priority="5806" stopIfTrue="1" operator="equal">
      <formula>"Napkin Hs"</formula>
    </cfRule>
  </conditionalFormatting>
  <conditionalFormatting sqref="C85">
    <cfRule type="cellIs" dxfId="19119" priority="5801" stopIfTrue="1" operator="equal">
      <formula>"Towel"</formula>
    </cfRule>
    <cfRule type="cellIs" dxfId="19118" priority="5802" stopIfTrue="1" operator="equal">
      <formula>"Napkin Hs"</formula>
    </cfRule>
  </conditionalFormatting>
  <conditionalFormatting sqref="C85">
    <cfRule type="cellIs" dxfId="19117" priority="5803" stopIfTrue="1" operator="equal">
      <formula>"Towel"</formula>
    </cfRule>
    <cfRule type="cellIs" dxfId="19116" priority="5804" stopIfTrue="1" operator="equal">
      <formula>"Napkin Hs"</formula>
    </cfRule>
  </conditionalFormatting>
  <conditionalFormatting sqref="B85:C85">
    <cfRule type="cellIs" dxfId="19115" priority="5799" stopIfTrue="1" operator="equal">
      <formula>"Towel"</formula>
    </cfRule>
    <cfRule type="cellIs" dxfId="19114" priority="5800" stopIfTrue="1" operator="equal">
      <formula>"Napkin Hs"</formula>
    </cfRule>
  </conditionalFormatting>
  <conditionalFormatting sqref="B85:C85">
    <cfRule type="cellIs" dxfId="19113" priority="5793" stopIfTrue="1" operator="equal">
      <formula>"Towel"</formula>
    </cfRule>
    <cfRule type="cellIs" dxfId="19112" priority="5794" stopIfTrue="1" operator="equal">
      <formula>"Napkin Hs"</formula>
    </cfRule>
  </conditionalFormatting>
  <conditionalFormatting sqref="C85">
    <cfRule type="cellIs" dxfId="19111" priority="5795" stopIfTrue="1" operator="equal">
      <formula>"Towel"</formula>
    </cfRule>
    <cfRule type="cellIs" dxfId="19110" priority="5796" stopIfTrue="1" operator="equal">
      <formula>"Napkin Hs"</formula>
    </cfRule>
  </conditionalFormatting>
  <conditionalFormatting sqref="C85">
    <cfRule type="cellIs" dxfId="19109" priority="5797" stopIfTrue="1" operator="equal">
      <formula>"Towel"</formula>
    </cfRule>
    <cfRule type="cellIs" dxfId="19108" priority="5798" stopIfTrue="1" operator="equal">
      <formula>"Napkin Hs"</formula>
    </cfRule>
  </conditionalFormatting>
  <conditionalFormatting sqref="C84">
    <cfRule type="cellIs" dxfId="19107" priority="5789" stopIfTrue="1" operator="equal">
      <formula>"Towel"</formula>
    </cfRule>
    <cfRule type="cellIs" dxfId="19106" priority="5790" stopIfTrue="1" operator="equal">
      <formula>"Napkin Hs"</formula>
    </cfRule>
  </conditionalFormatting>
  <conditionalFormatting sqref="C84">
    <cfRule type="cellIs" dxfId="19105" priority="5791" stopIfTrue="1" operator="equal">
      <formula>"Towel"</formula>
    </cfRule>
    <cfRule type="cellIs" dxfId="19104" priority="5792" stopIfTrue="1" operator="equal">
      <formula>"Napkin Hs"</formula>
    </cfRule>
  </conditionalFormatting>
  <conditionalFormatting sqref="C84">
    <cfRule type="cellIs" dxfId="19103" priority="5787" stopIfTrue="1" operator="equal">
      <formula>"Towel"</formula>
    </cfRule>
    <cfRule type="cellIs" dxfId="19102" priority="5788" stopIfTrue="1" operator="equal">
      <formula>"Napkin Hs"</formula>
    </cfRule>
  </conditionalFormatting>
  <conditionalFormatting sqref="C84">
    <cfRule type="cellIs" dxfId="19101" priority="5781" stopIfTrue="1" operator="equal">
      <formula>"Towel"</formula>
    </cfRule>
    <cfRule type="cellIs" dxfId="19100" priority="5782" stopIfTrue="1" operator="equal">
      <formula>"Napkin Hs"</formula>
    </cfRule>
  </conditionalFormatting>
  <conditionalFormatting sqref="C84">
    <cfRule type="cellIs" dxfId="19099" priority="5783" stopIfTrue="1" operator="equal">
      <formula>"Towel"</formula>
    </cfRule>
    <cfRule type="cellIs" dxfId="19098" priority="5784" stopIfTrue="1" operator="equal">
      <formula>"Napkin Hs"</formula>
    </cfRule>
  </conditionalFormatting>
  <conditionalFormatting sqref="C84">
    <cfRule type="cellIs" dxfId="19097" priority="5785" stopIfTrue="1" operator="equal">
      <formula>"Towel"</formula>
    </cfRule>
    <cfRule type="cellIs" dxfId="19096" priority="5786" stopIfTrue="1" operator="equal">
      <formula>"Napkin Hs"</formula>
    </cfRule>
  </conditionalFormatting>
  <conditionalFormatting sqref="B84">
    <cfRule type="cellIs" dxfId="19095" priority="5779" stopIfTrue="1" operator="equal">
      <formula>"Towel"</formula>
    </cfRule>
    <cfRule type="cellIs" dxfId="19094" priority="5780" stopIfTrue="1" operator="equal">
      <formula>"Napkin Hs"</formula>
    </cfRule>
  </conditionalFormatting>
  <conditionalFormatting sqref="B84">
    <cfRule type="cellIs" dxfId="19093" priority="5777" stopIfTrue="1" operator="equal">
      <formula>"Towel"</formula>
    </cfRule>
    <cfRule type="cellIs" dxfId="19092" priority="5778" stopIfTrue="1" operator="equal">
      <formula>"Napkin Hs"</formula>
    </cfRule>
  </conditionalFormatting>
  <conditionalFormatting sqref="C83">
    <cfRule type="cellIs" dxfId="19091" priority="5769" stopIfTrue="1" operator="equal">
      <formula>"Towel"</formula>
    </cfRule>
    <cfRule type="cellIs" dxfId="19090" priority="5770" stopIfTrue="1" operator="equal">
      <formula>"Napkin Hs"</formula>
    </cfRule>
  </conditionalFormatting>
  <conditionalFormatting sqref="B83:C83">
    <cfRule type="cellIs" dxfId="19089" priority="5771" stopIfTrue="1" operator="equal">
      <formula>"Towel"</formula>
    </cfRule>
    <cfRule type="cellIs" dxfId="19088" priority="5772" stopIfTrue="1" operator="equal">
      <formula>"Napkin Hs"</formula>
    </cfRule>
  </conditionalFormatting>
  <conditionalFormatting sqref="C83">
    <cfRule type="cellIs" dxfId="19087" priority="5767" stopIfTrue="1" operator="equal">
      <formula>"Towel"</formula>
    </cfRule>
    <cfRule type="cellIs" dxfId="19086" priority="5768" stopIfTrue="1" operator="equal">
      <formula>"Napkin Hs"</formula>
    </cfRule>
  </conditionalFormatting>
  <conditionalFormatting sqref="B83:C83">
    <cfRule type="cellIs" dxfId="19085" priority="5765" stopIfTrue="1" operator="equal">
      <formula>"Towel"</formula>
    </cfRule>
    <cfRule type="cellIs" dxfId="19084" priority="5766" stopIfTrue="1" operator="equal">
      <formula>"Napkin Hs"</formula>
    </cfRule>
  </conditionalFormatting>
  <conditionalFormatting sqref="C83">
    <cfRule type="cellIs" dxfId="19083" priority="5773" stopIfTrue="1" operator="equal">
      <formula>"Towel"</formula>
    </cfRule>
    <cfRule type="cellIs" dxfId="19082" priority="5774" stopIfTrue="1" operator="equal">
      <formula>"Napkin Hs"</formula>
    </cfRule>
  </conditionalFormatting>
  <conditionalFormatting sqref="C83">
    <cfRule type="cellIs" dxfId="19081" priority="5775" stopIfTrue="1" operator="equal">
      <formula>"Towel"</formula>
    </cfRule>
    <cfRule type="cellIs" dxfId="19080" priority="5776" stopIfTrue="1" operator="equal">
      <formula>"Napkin Hs"</formula>
    </cfRule>
  </conditionalFormatting>
  <conditionalFormatting sqref="B85:C85">
    <cfRule type="cellIs" dxfId="19079" priority="5763" stopIfTrue="1" operator="equal">
      <formula>"Towel"</formula>
    </cfRule>
    <cfRule type="cellIs" dxfId="19078" priority="5764" stopIfTrue="1" operator="equal">
      <formula>"Napkin Hs"</formula>
    </cfRule>
  </conditionalFormatting>
  <conditionalFormatting sqref="B84:C84">
    <cfRule type="cellIs" dxfId="19077" priority="5759" stopIfTrue="1" operator="equal">
      <formula>"Towel"</formula>
    </cfRule>
    <cfRule type="cellIs" dxfId="19076" priority="5760" stopIfTrue="1" operator="equal">
      <formula>"Napkin Hs"</formula>
    </cfRule>
  </conditionalFormatting>
  <conditionalFormatting sqref="C85">
    <cfRule type="cellIs" dxfId="19075" priority="5762" stopIfTrue="1" operator="equal">
      <formula>"Napkin Hs"</formula>
    </cfRule>
  </conditionalFormatting>
  <conditionalFormatting sqref="C85">
    <cfRule type="cellIs" dxfId="19074" priority="5761" stopIfTrue="1" operator="equal">
      <formula>"Towel"</formula>
    </cfRule>
  </conditionalFormatting>
  <conditionalFormatting sqref="C84">
    <cfRule type="cellIs" dxfId="19073" priority="5755" stopIfTrue="1" operator="equal">
      <formula>"Towel"</formula>
    </cfRule>
    <cfRule type="cellIs" dxfId="19072" priority="5756" stopIfTrue="1" operator="equal">
      <formula>"Napkin Hs"</formula>
    </cfRule>
  </conditionalFormatting>
  <conditionalFormatting sqref="C84:C85">
    <cfRule type="cellIs" dxfId="19071" priority="5757" stopIfTrue="1" operator="equal">
      <formula>"Towel"</formula>
    </cfRule>
    <cfRule type="cellIs" dxfId="19070" priority="5758" stopIfTrue="1" operator="equal">
      <formula>"Napkin Hs"</formula>
    </cfRule>
  </conditionalFormatting>
  <conditionalFormatting sqref="C83">
    <cfRule type="cellIs" dxfId="19069" priority="5747" stopIfTrue="1" operator="equal">
      <formula>"Towel"</formula>
    </cfRule>
    <cfRule type="cellIs" dxfId="19068" priority="5748" stopIfTrue="1" operator="equal">
      <formula>"Napkin Hs"</formula>
    </cfRule>
  </conditionalFormatting>
  <conditionalFormatting sqref="C83">
    <cfRule type="cellIs" dxfId="19067" priority="5749" stopIfTrue="1" operator="equal">
      <formula>"Towel"</formula>
    </cfRule>
    <cfRule type="cellIs" dxfId="19066" priority="5750" stopIfTrue="1" operator="equal">
      <formula>"Napkin Hs"</formula>
    </cfRule>
  </conditionalFormatting>
  <conditionalFormatting sqref="C83">
    <cfRule type="cellIs" dxfId="19065" priority="5745" stopIfTrue="1" operator="equal">
      <formula>"Towel"</formula>
    </cfRule>
    <cfRule type="cellIs" dxfId="19064" priority="5746" stopIfTrue="1" operator="equal">
      <formula>"Napkin Hs"</formula>
    </cfRule>
  </conditionalFormatting>
  <conditionalFormatting sqref="C83">
    <cfRule type="cellIs" dxfId="19063" priority="5743" stopIfTrue="1" operator="equal">
      <formula>"Towel"</formula>
    </cfRule>
    <cfRule type="cellIs" dxfId="19062" priority="5744" stopIfTrue="1" operator="equal">
      <formula>"Napkin Hs"</formula>
    </cfRule>
  </conditionalFormatting>
  <conditionalFormatting sqref="C83">
    <cfRule type="cellIs" dxfId="19061" priority="5751" stopIfTrue="1" operator="equal">
      <formula>"Towel"</formula>
    </cfRule>
    <cfRule type="cellIs" dxfId="19060" priority="5752" stopIfTrue="1" operator="equal">
      <formula>"Napkin Hs"</formula>
    </cfRule>
  </conditionalFormatting>
  <conditionalFormatting sqref="C83">
    <cfRule type="cellIs" dxfId="19059" priority="5753" stopIfTrue="1" operator="equal">
      <formula>"Towel"</formula>
    </cfRule>
    <cfRule type="cellIs" dxfId="19058" priority="5754" stopIfTrue="1" operator="equal">
      <formula>"Napkin Hs"</formula>
    </cfRule>
  </conditionalFormatting>
  <conditionalFormatting sqref="C82">
    <cfRule type="cellIs" dxfId="19057" priority="5735" stopIfTrue="1" operator="equal">
      <formula>"Towel"</formula>
    </cfRule>
    <cfRule type="cellIs" dxfId="19056" priority="5736" stopIfTrue="1" operator="equal">
      <formula>"Napkin Hs"</formula>
    </cfRule>
  </conditionalFormatting>
  <conditionalFormatting sqref="B82:C82">
    <cfRule type="cellIs" dxfId="19055" priority="5737" stopIfTrue="1" operator="equal">
      <formula>"Towel"</formula>
    </cfRule>
    <cfRule type="cellIs" dxfId="19054" priority="5738" stopIfTrue="1" operator="equal">
      <formula>"Napkin Hs"</formula>
    </cfRule>
  </conditionalFormatting>
  <conditionalFormatting sqref="C82">
    <cfRule type="cellIs" dxfId="19053" priority="5733" stopIfTrue="1" operator="equal">
      <formula>"Towel"</formula>
    </cfRule>
    <cfRule type="cellIs" dxfId="19052" priority="5734" stopIfTrue="1" operator="equal">
      <formula>"Napkin Hs"</formula>
    </cfRule>
  </conditionalFormatting>
  <conditionalFormatting sqref="B82:C82">
    <cfRule type="cellIs" dxfId="19051" priority="5731" stopIfTrue="1" operator="equal">
      <formula>"Towel"</formula>
    </cfRule>
    <cfRule type="cellIs" dxfId="19050" priority="5732" stopIfTrue="1" operator="equal">
      <formula>"Napkin Hs"</formula>
    </cfRule>
  </conditionalFormatting>
  <conditionalFormatting sqref="C82">
    <cfRule type="cellIs" dxfId="19049" priority="5739" stopIfTrue="1" operator="equal">
      <formula>"Towel"</formula>
    </cfRule>
    <cfRule type="cellIs" dxfId="19048" priority="5740" stopIfTrue="1" operator="equal">
      <formula>"Napkin Hs"</formula>
    </cfRule>
  </conditionalFormatting>
  <conditionalFormatting sqref="C82">
    <cfRule type="cellIs" dxfId="19047" priority="5741" stopIfTrue="1" operator="equal">
      <formula>"Towel"</formula>
    </cfRule>
    <cfRule type="cellIs" dxfId="19046" priority="5742" stopIfTrue="1" operator="equal">
      <formula>"Napkin Hs"</formula>
    </cfRule>
  </conditionalFormatting>
  <conditionalFormatting sqref="B83">
    <cfRule type="cellIs" dxfId="19045" priority="5729" stopIfTrue="1" operator="equal">
      <formula>"Towel"</formula>
    </cfRule>
    <cfRule type="cellIs" dxfId="19044" priority="5730" stopIfTrue="1" operator="equal">
      <formula>"Napkin Hs"</formula>
    </cfRule>
  </conditionalFormatting>
  <conditionalFormatting sqref="B82:C82">
    <cfRule type="cellIs" dxfId="19043" priority="5723" stopIfTrue="1" operator="equal">
      <formula>"Towel"</formula>
    </cfRule>
    <cfRule type="cellIs" dxfId="19042" priority="5724" stopIfTrue="1" operator="equal">
      <formula>"Napkin Hs"</formula>
    </cfRule>
  </conditionalFormatting>
  <conditionalFormatting sqref="B83:C85">
    <cfRule type="cellIs" dxfId="19041" priority="5727" stopIfTrue="1" operator="equal">
      <formula>"Towel"</formula>
    </cfRule>
    <cfRule type="cellIs" dxfId="19040" priority="5728" stopIfTrue="1" operator="equal">
      <formula>"Napkin Hs"</formula>
    </cfRule>
  </conditionalFormatting>
  <conditionalFormatting sqref="C82">
    <cfRule type="cellIs" dxfId="19039" priority="5719" stopIfTrue="1" operator="equal">
      <formula>"Towel"</formula>
    </cfRule>
    <cfRule type="cellIs" dxfId="19038" priority="5720" stopIfTrue="1" operator="equal">
      <formula>"Napkin Hs"</formula>
    </cfRule>
  </conditionalFormatting>
  <conditionalFormatting sqref="C82:C85">
    <cfRule type="cellIs" dxfId="19037" priority="5721" stopIfTrue="1" operator="equal">
      <formula>"Towel"</formula>
    </cfRule>
    <cfRule type="cellIs" dxfId="19036" priority="5722" stopIfTrue="1" operator="equal">
      <formula>"Napkin Hs"</formula>
    </cfRule>
  </conditionalFormatting>
  <conditionalFormatting sqref="C83:C85">
    <cfRule type="cellIs" dxfId="19035" priority="5725" stopIfTrue="1" operator="equal">
      <formula>"Towel"</formula>
    </cfRule>
    <cfRule type="cellIs" dxfId="19034" priority="5726" stopIfTrue="1" operator="equal">
      <formula>"Napkin Hs"</formula>
    </cfRule>
  </conditionalFormatting>
  <conditionalFormatting sqref="B85:C85">
    <cfRule type="cellIs" dxfId="19033" priority="5717" stopIfTrue="1" operator="equal">
      <formula>"Towel"</formula>
    </cfRule>
    <cfRule type="cellIs" dxfId="19032" priority="5718" stopIfTrue="1" operator="equal">
      <formula>"Napkin Hs"</formula>
    </cfRule>
  </conditionalFormatting>
  <conditionalFormatting sqref="C85">
    <cfRule type="cellIs" dxfId="19031" priority="5715" stopIfTrue="1" operator="equal">
      <formula>"Towel"</formula>
    </cfRule>
    <cfRule type="cellIs" dxfId="19030" priority="5716" stopIfTrue="1" operator="equal">
      <formula>"Napkin Hs"</formula>
    </cfRule>
  </conditionalFormatting>
  <conditionalFormatting sqref="C84">
    <cfRule type="cellIs" dxfId="19029" priority="5707" stopIfTrue="1" operator="equal">
      <formula>"Towel"</formula>
    </cfRule>
    <cfRule type="cellIs" dxfId="19028" priority="5708" stopIfTrue="1" operator="equal">
      <formula>"Napkin Hs"</formula>
    </cfRule>
  </conditionalFormatting>
  <conditionalFormatting sqref="C84">
    <cfRule type="cellIs" dxfId="19027" priority="5709" stopIfTrue="1" operator="equal">
      <formula>"Towel"</formula>
    </cfRule>
    <cfRule type="cellIs" dxfId="19026" priority="5710" stopIfTrue="1" operator="equal">
      <formula>"Napkin Hs"</formula>
    </cfRule>
  </conditionalFormatting>
  <conditionalFormatting sqref="C84">
    <cfRule type="cellIs" dxfId="19025" priority="5705" stopIfTrue="1" operator="equal">
      <formula>"Towel"</formula>
    </cfRule>
    <cfRule type="cellIs" dxfId="19024" priority="5706" stopIfTrue="1" operator="equal">
      <formula>"Napkin Hs"</formula>
    </cfRule>
  </conditionalFormatting>
  <conditionalFormatting sqref="C84">
    <cfRule type="cellIs" dxfId="19023" priority="5703" stopIfTrue="1" operator="equal">
      <formula>"Towel"</formula>
    </cfRule>
    <cfRule type="cellIs" dxfId="19022" priority="5704" stopIfTrue="1" operator="equal">
      <formula>"Napkin Hs"</formula>
    </cfRule>
  </conditionalFormatting>
  <conditionalFormatting sqref="C84">
    <cfRule type="cellIs" dxfId="19021" priority="5711" stopIfTrue="1" operator="equal">
      <formula>"Towel"</formula>
    </cfRule>
    <cfRule type="cellIs" dxfId="19020" priority="5712" stopIfTrue="1" operator="equal">
      <formula>"Napkin Hs"</formula>
    </cfRule>
  </conditionalFormatting>
  <conditionalFormatting sqref="C84">
    <cfRule type="cellIs" dxfId="19019" priority="5713" stopIfTrue="1" operator="equal">
      <formula>"Towel"</formula>
    </cfRule>
    <cfRule type="cellIs" dxfId="19018" priority="5714" stopIfTrue="1" operator="equal">
      <formula>"Napkin Hs"</formula>
    </cfRule>
  </conditionalFormatting>
  <conditionalFormatting sqref="C83">
    <cfRule type="cellIs" dxfId="19017" priority="5695" stopIfTrue="1" operator="equal">
      <formula>"Towel"</formula>
    </cfRule>
    <cfRule type="cellIs" dxfId="19016" priority="5696" stopIfTrue="1" operator="equal">
      <formula>"Napkin Hs"</formula>
    </cfRule>
  </conditionalFormatting>
  <conditionalFormatting sqref="B83:C83">
    <cfRule type="cellIs" dxfId="19015" priority="5697" stopIfTrue="1" operator="equal">
      <formula>"Towel"</formula>
    </cfRule>
    <cfRule type="cellIs" dxfId="19014" priority="5698" stopIfTrue="1" operator="equal">
      <formula>"Napkin Hs"</formula>
    </cfRule>
  </conditionalFormatting>
  <conditionalFormatting sqref="C83">
    <cfRule type="cellIs" dxfId="19013" priority="5693" stopIfTrue="1" operator="equal">
      <formula>"Towel"</formula>
    </cfRule>
    <cfRule type="cellIs" dxfId="19012" priority="5694" stopIfTrue="1" operator="equal">
      <formula>"Napkin Hs"</formula>
    </cfRule>
  </conditionalFormatting>
  <conditionalFormatting sqref="B83:C83">
    <cfRule type="cellIs" dxfId="19011" priority="5691" stopIfTrue="1" operator="equal">
      <formula>"Towel"</formula>
    </cfRule>
    <cfRule type="cellIs" dxfId="19010" priority="5692" stopIfTrue="1" operator="equal">
      <formula>"Napkin Hs"</formula>
    </cfRule>
  </conditionalFormatting>
  <conditionalFormatting sqref="C83">
    <cfRule type="cellIs" dxfId="19009" priority="5699" stopIfTrue="1" operator="equal">
      <formula>"Towel"</formula>
    </cfRule>
    <cfRule type="cellIs" dxfId="19008" priority="5700" stopIfTrue="1" operator="equal">
      <formula>"Napkin Hs"</formula>
    </cfRule>
  </conditionalFormatting>
  <conditionalFormatting sqref="C83">
    <cfRule type="cellIs" dxfId="19007" priority="5701" stopIfTrue="1" operator="equal">
      <formula>"Towel"</formula>
    </cfRule>
    <cfRule type="cellIs" dxfId="19006" priority="5702" stopIfTrue="1" operator="equal">
      <formula>"Napkin Hs"</formula>
    </cfRule>
  </conditionalFormatting>
  <conditionalFormatting sqref="B84">
    <cfRule type="cellIs" dxfId="19005" priority="5689" stopIfTrue="1" operator="equal">
      <formula>"Towel"</formula>
    </cfRule>
    <cfRule type="cellIs" dxfId="19004" priority="5690" stopIfTrue="1" operator="equal">
      <formula>"Napkin Hs"</formula>
    </cfRule>
  </conditionalFormatting>
  <conditionalFormatting sqref="C82">
    <cfRule type="cellIs" dxfId="19003" priority="5681" stopIfTrue="1" operator="equal">
      <formula>"Towel"</formula>
    </cfRule>
    <cfRule type="cellIs" dxfId="19002" priority="5682" stopIfTrue="1" operator="equal">
      <formula>"Napkin Hs"</formula>
    </cfRule>
  </conditionalFormatting>
  <conditionalFormatting sqref="B82:C82">
    <cfRule type="cellIs" dxfId="19001" priority="5683" stopIfTrue="1" operator="equal">
      <formula>"Towel"</formula>
    </cfRule>
    <cfRule type="cellIs" dxfId="19000" priority="5684" stopIfTrue="1" operator="equal">
      <formula>"Napkin Hs"</formula>
    </cfRule>
  </conditionalFormatting>
  <conditionalFormatting sqref="C82">
    <cfRule type="cellIs" dxfId="18999" priority="5679" stopIfTrue="1" operator="equal">
      <formula>"Towel"</formula>
    </cfRule>
    <cfRule type="cellIs" dxfId="18998" priority="5680" stopIfTrue="1" operator="equal">
      <formula>"Napkin Hs"</formula>
    </cfRule>
  </conditionalFormatting>
  <conditionalFormatting sqref="B82:C82">
    <cfRule type="cellIs" dxfId="18997" priority="5677" stopIfTrue="1" operator="equal">
      <formula>"Towel"</formula>
    </cfRule>
    <cfRule type="cellIs" dxfId="18996" priority="5678" stopIfTrue="1" operator="equal">
      <formula>"Napkin Hs"</formula>
    </cfRule>
  </conditionalFormatting>
  <conditionalFormatting sqref="C82">
    <cfRule type="cellIs" dxfId="18995" priority="5685" stopIfTrue="1" operator="equal">
      <formula>"Towel"</formula>
    </cfRule>
    <cfRule type="cellIs" dxfId="18994" priority="5686" stopIfTrue="1" operator="equal">
      <formula>"Napkin Hs"</formula>
    </cfRule>
  </conditionalFormatting>
  <conditionalFormatting sqref="C82">
    <cfRule type="cellIs" dxfId="18993" priority="5687" stopIfTrue="1" operator="equal">
      <formula>"Towel"</formula>
    </cfRule>
    <cfRule type="cellIs" dxfId="18992" priority="5688" stopIfTrue="1" operator="equal">
      <formula>"Napkin Hs"</formula>
    </cfRule>
  </conditionalFormatting>
  <conditionalFormatting sqref="B82:C82">
    <cfRule type="cellIs" dxfId="18991" priority="5675" stopIfTrue="1" operator="equal">
      <formula>"Towel"</formula>
    </cfRule>
    <cfRule type="cellIs" dxfId="18990" priority="5676" stopIfTrue="1" operator="equal">
      <formula>"Napkin Hs"</formula>
    </cfRule>
  </conditionalFormatting>
  <conditionalFormatting sqref="B83:C83">
    <cfRule type="cellIs" dxfId="18989" priority="5669" stopIfTrue="1" operator="equal">
      <formula>"Towel"</formula>
    </cfRule>
    <cfRule type="cellIs" dxfId="18988" priority="5670" stopIfTrue="1" operator="equal">
      <formula>"Napkin Hs"</formula>
    </cfRule>
  </conditionalFormatting>
  <conditionalFormatting sqref="C82">
    <cfRule type="cellIs" dxfId="18987" priority="5674" stopIfTrue="1" operator="equal">
      <formula>"Napkin Hs"</formula>
    </cfRule>
  </conditionalFormatting>
  <conditionalFormatting sqref="C82">
    <cfRule type="cellIs" dxfId="18986" priority="5673" stopIfTrue="1" operator="equal">
      <formula>"Towel"</formula>
    </cfRule>
  </conditionalFormatting>
  <conditionalFormatting sqref="C82">
    <cfRule type="cellIs" dxfId="18985" priority="5671" stopIfTrue="1" operator="equal">
      <formula>"Towel"</formula>
    </cfRule>
    <cfRule type="cellIs" dxfId="18984" priority="5672" stopIfTrue="1" operator="equal">
      <formula>"Napkin Hs"</formula>
    </cfRule>
  </conditionalFormatting>
  <conditionalFormatting sqref="C83">
    <cfRule type="cellIs" dxfId="18983" priority="5667" stopIfTrue="1" operator="equal">
      <formula>"Towel"</formula>
    </cfRule>
    <cfRule type="cellIs" dxfId="18982" priority="5668" stopIfTrue="1" operator="equal">
      <formula>"Napkin Hs"</formula>
    </cfRule>
  </conditionalFormatting>
  <conditionalFormatting sqref="B86:C86">
    <cfRule type="cellIs" dxfId="18981" priority="5665" stopIfTrue="1" operator="equal">
      <formula>"Towel"</formula>
    </cfRule>
    <cfRule type="cellIs" dxfId="18980" priority="5666" stopIfTrue="1" operator="equal">
      <formula>"Napkin Hs"</formula>
    </cfRule>
  </conditionalFormatting>
  <conditionalFormatting sqref="B87:C87">
    <cfRule type="cellIs" dxfId="18979" priority="5659" stopIfTrue="1" operator="equal">
      <formula>"Towel"</formula>
    </cfRule>
    <cfRule type="cellIs" dxfId="18978" priority="5660" stopIfTrue="1" operator="equal">
      <formula>"Napkin Hs"</formula>
    </cfRule>
  </conditionalFormatting>
  <conditionalFormatting sqref="C86">
    <cfRule type="cellIs" dxfId="18977" priority="5664" stopIfTrue="1" operator="equal">
      <formula>"Napkin Hs"</formula>
    </cfRule>
  </conditionalFormatting>
  <conditionalFormatting sqref="C86">
    <cfRule type="cellIs" dxfId="18976" priority="5663" stopIfTrue="1" operator="equal">
      <formula>"Towel"</formula>
    </cfRule>
  </conditionalFormatting>
  <conditionalFormatting sqref="C86">
    <cfRule type="cellIs" dxfId="18975" priority="5661" stopIfTrue="1" operator="equal">
      <formula>"Towel"</formula>
    </cfRule>
    <cfRule type="cellIs" dxfId="18974" priority="5662" stopIfTrue="1" operator="equal">
      <formula>"Napkin Hs"</formula>
    </cfRule>
  </conditionalFormatting>
  <conditionalFormatting sqref="C87">
    <cfRule type="cellIs" dxfId="18973" priority="5657" stopIfTrue="1" operator="equal">
      <formula>"Towel"</formula>
    </cfRule>
    <cfRule type="cellIs" dxfId="18972" priority="5658" stopIfTrue="1" operator="equal">
      <formula>"Napkin Hs"</formula>
    </cfRule>
  </conditionalFormatting>
  <conditionalFormatting sqref="C87">
    <cfRule type="cellIs" dxfId="18971" priority="5655" stopIfTrue="1" operator="equal">
      <formula>"Towel"</formula>
    </cfRule>
    <cfRule type="cellIs" dxfId="18970" priority="5656" stopIfTrue="1" operator="equal">
      <formula>"Napkin Hs"</formula>
    </cfRule>
  </conditionalFormatting>
  <conditionalFormatting sqref="C87">
    <cfRule type="cellIs" dxfId="18969" priority="5653" stopIfTrue="1" operator="equal">
      <formula>"Towel"</formula>
    </cfRule>
    <cfRule type="cellIs" dxfId="18968" priority="5654" stopIfTrue="1" operator="equal">
      <formula>"Napkin Hs"</formula>
    </cfRule>
  </conditionalFormatting>
  <conditionalFormatting sqref="B87:C87">
    <cfRule type="cellIs" dxfId="18967" priority="5649" stopIfTrue="1" operator="equal">
      <formula>"Towel"</formula>
    </cfRule>
    <cfRule type="cellIs" dxfId="18966" priority="5650" stopIfTrue="1" operator="equal">
      <formula>"Napkin Hs"</formula>
    </cfRule>
  </conditionalFormatting>
  <conditionalFormatting sqref="C87">
    <cfRule type="cellIs" dxfId="18965" priority="5651" stopIfTrue="1" operator="equal">
      <formula>"Towel"</formula>
    </cfRule>
    <cfRule type="cellIs" dxfId="18964" priority="5652" stopIfTrue="1" operator="equal">
      <formula>"Napkin Hs"</formula>
    </cfRule>
  </conditionalFormatting>
  <conditionalFormatting sqref="C87">
    <cfRule type="cellIs" dxfId="18963" priority="5647" stopIfTrue="1" operator="equal">
      <formula>"Towel"</formula>
    </cfRule>
    <cfRule type="cellIs" dxfId="18962" priority="5648" stopIfTrue="1" operator="equal">
      <formula>"Napkin Hs"</formula>
    </cfRule>
  </conditionalFormatting>
  <conditionalFormatting sqref="B88:C89">
    <cfRule type="cellIs" dxfId="18961" priority="5641" stopIfTrue="1" operator="equal">
      <formula>"Towel"</formula>
    </cfRule>
    <cfRule type="cellIs" dxfId="18960" priority="5642" stopIfTrue="1" operator="equal">
      <formula>"Napkin Hs"</formula>
    </cfRule>
  </conditionalFormatting>
  <conditionalFormatting sqref="B87:C87">
    <cfRule type="cellIs" dxfId="18959" priority="5643" stopIfTrue="1" operator="equal">
      <formula>"Towel"</formula>
    </cfRule>
    <cfRule type="cellIs" dxfId="18958" priority="5644" stopIfTrue="1" operator="equal">
      <formula>"Napkin Hs"</formula>
    </cfRule>
  </conditionalFormatting>
  <conditionalFormatting sqref="C87">
    <cfRule type="cellIs" dxfId="18957" priority="5645" stopIfTrue="1" operator="equal">
      <formula>"Towel"</formula>
    </cfRule>
    <cfRule type="cellIs" dxfId="18956" priority="5646" stopIfTrue="1" operator="equal">
      <formula>"Napkin Hs"</formula>
    </cfRule>
  </conditionalFormatting>
  <conditionalFormatting sqref="C88:C89">
    <cfRule type="cellIs" dxfId="18955" priority="5639" stopIfTrue="1" operator="equal">
      <formula>"Towel"</formula>
    </cfRule>
    <cfRule type="cellIs" dxfId="18954" priority="5640" stopIfTrue="1" operator="equal">
      <formula>"Napkin Hs"</formula>
    </cfRule>
  </conditionalFormatting>
  <conditionalFormatting sqref="C88:C89">
    <cfRule type="cellIs" dxfId="18953" priority="5637" stopIfTrue="1" operator="equal">
      <formula>"Towel"</formula>
    </cfRule>
    <cfRule type="cellIs" dxfId="18952" priority="5638" stopIfTrue="1" operator="equal">
      <formula>"Napkin Hs"</formula>
    </cfRule>
  </conditionalFormatting>
  <conditionalFormatting sqref="C88:C89">
    <cfRule type="cellIs" dxfId="18951" priority="5629" stopIfTrue="1" operator="equal">
      <formula>"Towel"</formula>
    </cfRule>
    <cfRule type="cellIs" dxfId="18950" priority="5630" stopIfTrue="1" operator="equal">
      <formula>"Napkin Hs"</formula>
    </cfRule>
  </conditionalFormatting>
  <conditionalFormatting sqref="B88:C89">
    <cfRule type="cellIs" dxfId="18949" priority="5631" stopIfTrue="1" operator="equal">
      <formula>"Towel"</formula>
    </cfRule>
    <cfRule type="cellIs" dxfId="18948" priority="5632" stopIfTrue="1" operator="equal">
      <formula>"Napkin Hs"</formula>
    </cfRule>
  </conditionalFormatting>
  <conditionalFormatting sqref="C88:C89">
    <cfRule type="cellIs" dxfId="18947" priority="5627" stopIfTrue="1" operator="equal">
      <formula>"Towel"</formula>
    </cfRule>
    <cfRule type="cellIs" dxfId="18946" priority="5628" stopIfTrue="1" operator="equal">
      <formula>"Napkin Hs"</formula>
    </cfRule>
  </conditionalFormatting>
  <conditionalFormatting sqref="B88:C89">
    <cfRule type="cellIs" dxfId="18945" priority="5625" stopIfTrue="1" operator="equal">
      <formula>"Towel"</formula>
    </cfRule>
    <cfRule type="cellIs" dxfId="18944" priority="5626" stopIfTrue="1" operator="equal">
      <formula>"Napkin Hs"</formula>
    </cfRule>
  </conditionalFormatting>
  <conditionalFormatting sqref="C88:C89">
    <cfRule type="cellIs" dxfId="18943" priority="5633" stopIfTrue="1" operator="equal">
      <formula>"Towel"</formula>
    </cfRule>
    <cfRule type="cellIs" dxfId="18942" priority="5634" stopIfTrue="1" operator="equal">
      <formula>"Napkin Hs"</formula>
    </cfRule>
  </conditionalFormatting>
  <conditionalFormatting sqref="C88:C89">
    <cfRule type="cellIs" dxfId="18941" priority="5635" stopIfTrue="1" operator="equal">
      <formula>"Towel"</formula>
    </cfRule>
    <cfRule type="cellIs" dxfId="18940" priority="5636" stopIfTrue="1" operator="equal">
      <formula>"Napkin Hs"</formula>
    </cfRule>
  </conditionalFormatting>
  <conditionalFormatting sqref="B87:C87">
    <cfRule type="cellIs" dxfId="18939" priority="5623" stopIfTrue="1" operator="equal">
      <formula>"Towel"</formula>
    </cfRule>
    <cfRule type="cellIs" dxfId="18938" priority="5624" stopIfTrue="1" operator="equal">
      <formula>"Napkin Hs"</formula>
    </cfRule>
  </conditionalFormatting>
  <conditionalFormatting sqref="B86:C86">
    <cfRule type="cellIs" dxfId="18937" priority="5619" stopIfTrue="1" operator="equal">
      <formula>"Towel"</formula>
    </cfRule>
    <cfRule type="cellIs" dxfId="18936" priority="5620" stopIfTrue="1" operator="equal">
      <formula>"Napkin Hs"</formula>
    </cfRule>
  </conditionalFormatting>
  <conditionalFormatting sqref="C87">
    <cfRule type="cellIs" dxfId="18935" priority="5622" stopIfTrue="1" operator="equal">
      <formula>"Napkin Hs"</formula>
    </cfRule>
  </conditionalFormatting>
  <conditionalFormatting sqref="C87">
    <cfRule type="cellIs" dxfId="18934" priority="5621" stopIfTrue="1" operator="equal">
      <formula>"Towel"</formula>
    </cfRule>
  </conditionalFormatting>
  <conditionalFormatting sqref="C86">
    <cfRule type="cellIs" dxfId="18933" priority="5615" stopIfTrue="1" operator="equal">
      <formula>"Towel"</formula>
    </cfRule>
    <cfRule type="cellIs" dxfId="18932" priority="5616" stopIfTrue="1" operator="equal">
      <formula>"Napkin Hs"</formula>
    </cfRule>
  </conditionalFormatting>
  <conditionalFormatting sqref="C86:C87">
    <cfRule type="cellIs" dxfId="18931" priority="5617" stopIfTrue="1" operator="equal">
      <formula>"Towel"</formula>
    </cfRule>
    <cfRule type="cellIs" dxfId="18930" priority="5618" stopIfTrue="1" operator="equal">
      <formula>"Napkin Hs"</formula>
    </cfRule>
  </conditionalFormatting>
  <conditionalFormatting sqref="B86:C86">
    <cfRule type="cellIs" dxfId="18929" priority="5613" stopIfTrue="1" operator="equal">
      <formula>"Towel"</formula>
    </cfRule>
    <cfRule type="cellIs" dxfId="18928" priority="5614" stopIfTrue="1" operator="equal">
      <formula>"Napkin Hs"</formula>
    </cfRule>
  </conditionalFormatting>
  <conditionalFormatting sqref="C86">
    <cfRule type="cellIs" dxfId="18927" priority="5612" stopIfTrue="1" operator="equal">
      <formula>"Napkin Hs"</formula>
    </cfRule>
  </conditionalFormatting>
  <conditionalFormatting sqref="C86">
    <cfRule type="cellIs" dxfId="18926" priority="5611" stopIfTrue="1" operator="equal">
      <formula>"Towel"</formula>
    </cfRule>
  </conditionalFormatting>
  <conditionalFormatting sqref="C86">
    <cfRule type="cellIs" dxfId="18925" priority="5609" stopIfTrue="1" operator="equal">
      <formula>"Towel"</formula>
    </cfRule>
    <cfRule type="cellIs" dxfId="18924" priority="5610" stopIfTrue="1" operator="equal">
      <formula>"Napkin Hs"</formula>
    </cfRule>
  </conditionalFormatting>
  <conditionalFormatting sqref="C89">
    <cfRule type="cellIs" dxfId="18923" priority="5605" stopIfTrue="1" operator="equal">
      <formula>"Towel"</formula>
    </cfRule>
    <cfRule type="cellIs" dxfId="18922" priority="5606" stopIfTrue="1" operator="equal">
      <formula>"Napkin Hs"</formula>
    </cfRule>
  </conditionalFormatting>
  <conditionalFormatting sqref="C89">
    <cfRule type="cellIs" dxfId="18921" priority="5607" stopIfTrue="1" operator="equal">
      <formula>"Towel"</formula>
    </cfRule>
    <cfRule type="cellIs" dxfId="18920" priority="5608" stopIfTrue="1" operator="equal">
      <formula>"Napkin Hs"</formula>
    </cfRule>
  </conditionalFormatting>
  <conditionalFormatting sqref="B89:C89">
    <cfRule type="cellIs" dxfId="18919" priority="5603" stopIfTrue="1" operator="equal">
      <formula>"Towel"</formula>
    </cfRule>
    <cfRule type="cellIs" dxfId="18918" priority="5604" stopIfTrue="1" operator="equal">
      <formula>"Napkin Hs"</formula>
    </cfRule>
  </conditionalFormatting>
  <conditionalFormatting sqref="B89:C89">
    <cfRule type="cellIs" dxfId="18917" priority="5597" stopIfTrue="1" operator="equal">
      <formula>"Towel"</formula>
    </cfRule>
    <cfRule type="cellIs" dxfId="18916" priority="5598" stopIfTrue="1" operator="equal">
      <formula>"Napkin Hs"</formula>
    </cfRule>
  </conditionalFormatting>
  <conditionalFormatting sqref="C89">
    <cfRule type="cellIs" dxfId="18915" priority="5599" stopIfTrue="1" operator="equal">
      <formula>"Towel"</formula>
    </cfRule>
    <cfRule type="cellIs" dxfId="18914" priority="5600" stopIfTrue="1" operator="equal">
      <formula>"Napkin Hs"</formula>
    </cfRule>
  </conditionalFormatting>
  <conditionalFormatting sqref="C89">
    <cfRule type="cellIs" dxfId="18913" priority="5601" stopIfTrue="1" operator="equal">
      <formula>"Towel"</formula>
    </cfRule>
    <cfRule type="cellIs" dxfId="18912" priority="5602" stopIfTrue="1" operator="equal">
      <formula>"Napkin Hs"</formula>
    </cfRule>
  </conditionalFormatting>
  <conditionalFormatting sqref="C88">
    <cfRule type="cellIs" dxfId="18911" priority="5593" stopIfTrue="1" operator="equal">
      <formula>"Towel"</formula>
    </cfRule>
    <cfRule type="cellIs" dxfId="18910" priority="5594" stopIfTrue="1" operator="equal">
      <formula>"Napkin Hs"</formula>
    </cfRule>
  </conditionalFormatting>
  <conditionalFormatting sqref="C88">
    <cfRule type="cellIs" dxfId="18909" priority="5595" stopIfTrue="1" operator="equal">
      <formula>"Towel"</formula>
    </cfRule>
    <cfRule type="cellIs" dxfId="18908" priority="5596" stopIfTrue="1" operator="equal">
      <formula>"Napkin Hs"</formula>
    </cfRule>
  </conditionalFormatting>
  <conditionalFormatting sqref="C88">
    <cfRule type="cellIs" dxfId="18907" priority="5591" stopIfTrue="1" operator="equal">
      <formula>"Towel"</formula>
    </cfRule>
    <cfRule type="cellIs" dxfId="18906" priority="5592" stopIfTrue="1" operator="equal">
      <formula>"Napkin Hs"</formula>
    </cfRule>
  </conditionalFormatting>
  <conditionalFormatting sqref="C88">
    <cfRule type="cellIs" dxfId="18905" priority="5585" stopIfTrue="1" operator="equal">
      <formula>"Towel"</formula>
    </cfRule>
    <cfRule type="cellIs" dxfId="18904" priority="5586" stopIfTrue="1" operator="equal">
      <formula>"Napkin Hs"</formula>
    </cfRule>
  </conditionalFormatting>
  <conditionalFormatting sqref="C88">
    <cfRule type="cellIs" dxfId="18903" priority="5587" stopIfTrue="1" operator="equal">
      <formula>"Towel"</formula>
    </cfRule>
    <cfRule type="cellIs" dxfId="18902" priority="5588" stopIfTrue="1" operator="equal">
      <formula>"Napkin Hs"</formula>
    </cfRule>
  </conditionalFormatting>
  <conditionalFormatting sqref="C88">
    <cfRule type="cellIs" dxfId="18901" priority="5589" stopIfTrue="1" operator="equal">
      <formula>"Towel"</formula>
    </cfRule>
    <cfRule type="cellIs" dxfId="18900" priority="5590" stopIfTrue="1" operator="equal">
      <formula>"Napkin Hs"</formula>
    </cfRule>
  </conditionalFormatting>
  <conditionalFormatting sqref="B88">
    <cfRule type="cellIs" dxfId="18899" priority="5583" stopIfTrue="1" operator="equal">
      <formula>"Towel"</formula>
    </cfRule>
    <cfRule type="cellIs" dxfId="18898" priority="5584" stopIfTrue="1" operator="equal">
      <formula>"Napkin Hs"</formula>
    </cfRule>
  </conditionalFormatting>
  <conditionalFormatting sqref="B88">
    <cfRule type="cellIs" dxfId="18897" priority="5581" stopIfTrue="1" operator="equal">
      <formula>"Towel"</formula>
    </cfRule>
    <cfRule type="cellIs" dxfId="18896" priority="5582" stopIfTrue="1" operator="equal">
      <formula>"Napkin Hs"</formula>
    </cfRule>
  </conditionalFormatting>
  <conditionalFormatting sqref="C87">
    <cfRule type="cellIs" dxfId="18895" priority="5573" stopIfTrue="1" operator="equal">
      <formula>"Towel"</formula>
    </cfRule>
    <cfRule type="cellIs" dxfId="18894" priority="5574" stopIfTrue="1" operator="equal">
      <formula>"Napkin Hs"</formula>
    </cfRule>
  </conditionalFormatting>
  <conditionalFormatting sqref="B87:C87">
    <cfRule type="cellIs" dxfId="18893" priority="5575" stopIfTrue="1" operator="equal">
      <formula>"Towel"</formula>
    </cfRule>
    <cfRule type="cellIs" dxfId="18892" priority="5576" stopIfTrue="1" operator="equal">
      <formula>"Napkin Hs"</formula>
    </cfRule>
  </conditionalFormatting>
  <conditionalFormatting sqref="C87">
    <cfRule type="cellIs" dxfId="18891" priority="5571" stopIfTrue="1" operator="equal">
      <formula>"Towel"</formula>
    </cfRule>
    <cfRule type="cellIs" dxfId="18890" priority="5572" stopIfTrue="1" operator="equal">
      <formula>"Napkin Hs"</formula>
    </cfRule>
  </conditionalFormatting>
  <conditionalFormatting sqref="B87:C87">
    <cfRule type="cellIs" dxfId="18889" priority="5569" stopIfTrue="1" operator="equal">
      <formula>"Towel"</formula>
    </cfRule>
    <cfRule type="cellIs" dxfId="18888" priority="5570" stopIfTrue="1" operator="equal">
      <formula>"Napkin Hs"</formula>
    </cfRule>
  </conditionalFormatting>
  <conditionalFormatting sqref="C87">
    <cfRule type="cellIs" dxfId="18887" priority="5577" stopIfTrue="1" operator="equal">
      <formula>"Towel"</formula>
    </cfRule>
    <cfRule type="cellIs" dxfId="18886" priority="5578" stopIfTrue="1" operator="equal">
      <formula>"Napkin Hs"</formula>
    </cfRule>
  </conditionalFormatting>
  <conditionalFormatting sqref="C87">
    <cfRule type="cellIs" dxfId="18885" priority="5579" stopIfTrue="1" operator="equal">
      <formula>"Towel"</formula>
    </cfRule>
    <cfRule type="cellIs" dxfId="18884" priority="5580" stopIfTrue="1" operator="equal">
      <formula>"Napkin Hs"</formula>
    </cfRule>
  </conditionalFormatting>
  <conditionalFormatting sqref="B89:C89">
    <cfRule type="cellIs" dxfId="18883" priority="5567" stopIfTrue="1" operator="equal">
      <formula>"Towel"</formula>
    </cfRule>
    <cfRule type="cellIs" dxfId="18882" priority="5568" stopIfTrue="1" operator="equal">
      <formula>"Napkin Hs"</formula>
    </cfRule>
  </conditionalFormatting>
  <conditionalFormatting sqref="B88:C88">
    <cfRule type="cellIs" dxfId="18881" priority="5563" stopIfTrue="1" operator="equal">
      <formula>"Towel"</formula>
    </cfRule>
    <cfRule type="cellIs" dxfId="18880" priority="5564" stopIfTrue="1" operator="equal">
      <formula>"Napkin Hs"</formula>
    </cfRule>
  </conditionalFormatting>
  <conditionalFormatting sqref="C89">
    <cfRule type="cellIs" dxfId="18879" priority="5566" stopIfTrue="1" operator="equal">
      <formula>"Napkin Hs"</formula>
    </cfRule>
  </conditionalFormatting>
  <conditionalFormatting sqref="C89">
    <cfRule type="cellIs" dxfId="18878" priority="5565" stopIfTrue="1" operator="equal">
      <formula>"Towel"</formula>
    </cfRule>
  </conditionalFormatting>
  <conditionalFormatting sqref="C88">
    <cfRule type="cellIs" dxfId="18877" priority="5559" stopIfTrue="1" operator="equal">
      <formula>"Towel"</formula>
    </cfRule>
    <cfRule type="cellIs" dxfId="18876" priority="5560" stopIfTrue="1" operator="equal">
      <formula>"Napkin Hs"</formula>
    </cfRule>
  </conditionalFormatting>
  <conditionalFormatting sqref="C88:C89">
    <cfRule type="cellIs" dxfId="18875" priority="5561" stopIfTrue="1" operator="equal">
      <formula>"Towel"</formula>
    </cfRule>
    <cfRule type="cellIs" dxfId="18874" priority="5562" stopIfTrue="1" operator="equal">
      <formula>"Napkin Hs"</formula>
    </cfRule>
  </conditionalFormatting>
  <conditionalFormatting sqref="C87">
    <cfRule type="cellIs" dxfId="18873" priority="5551" stopIfTrue="1" operator="equal">
      <formula>"Towel"</formula>
    </cfRule>
    <cfRule type="cellIs" dxfId="18872" priority="5552" stopIfTrue="1" operator="equal">
      <formula>"Napkin Hs"</formula>
    </cfRule>
  </conditionalFormatting>
  <conditionalFormatting sqref="C87">
    <cfRule type="cellIs" dxfId="18871" priority="5553" stopIfTrue="1" operator="equal">
      <formula>"Towel"</formula>
    </cfRule>
    <cfRule type="cellIs" dxfId="18870" priority="5554" stopIfTrue="1" operator="equal">
      <formula>"Napkin Hs"</formula>
    </cfRule>
  </conditionalFormatting>
  <conditionalFormatting sqref="C87">
    <cfRule type="cellIs" dxfId="18869" priority="5549" stopIfTrue="1" operator="equal">
      <formula>"Towel"</formula>
    </cfRule>
    <cfRule type="cellIs" dxfId="18868" priority="5550" stopIfTrue="1" operator="equal">
      <formula>"Napkin Hs"</formula>
    </cfRule>
  </conditionalFormatting>
  <conditionalFormatting sqref="C87">
    <cfRule type="cellIs" dxfId="18867" priority="5547" stopIfTrue="1" operator="equal">
      <formula>"Towel"</formula>
    </cfRule>
    <cfRule type="cellIs" dxfId="18866" priority="5548" stopIfTrue="1" operator="equal">
      <formula>"Napkin Hs"</formula>
    </cfRule>
  </conditionalFormatting>
  <conditionalFormatting sqref="C87">
    <cfRule type="cellIs" dxfId="18865" priority="5555" stopIfTrue="1" operator="equal">
      <formula>"Towel"</formula>
    </cfRule>
    <cfRule type="cellIs" dxfId="18864" priority="5556" stopIfTrue="1" operator="equal">
      <formula>"Napkin Hs"</formula>
    </cfRule>
  </conditionalFormatting>
  <conditionalFormatting sqref="C87">
    <cfRule type="cellIs" dxfId="18863" priority="5557" stopIfTrue="1" operator="equal">
      <formula>"Towel"</formula>
    </cfRule>
    <cfRule type="cellIs" dxfId="18862" priority="5558" stopIfTrue="1" operator="equal">
      <formula>"Napkin Hs"</formula>
    </cfRule>
  </conditionalFormatting>
  <conditionalFormatting sqref="C86">
    <cfRule type="cellIs" dxfId="18861" priority="5539" stopIfTrue="1" operator="equal">
      <formula>"Towel"</formula>
    </cfRule>
    <cfRule type="cellIs" dxfId="18860" priority="5540" stopIfTrue="1" operator="equal">
      <formula>"Napkin Hs"</formula>
    </cfRule>
  </conditionalFormatting>
  <conditionalFormatting sqref="B86:C86">
    <cfRule type="cellIs" dxfId="18859" priority="5541" stopIfTrue="1" operator="equal">
      <formula>"Towel"</formula>
    </cfRule>
    <cfRule type="cellIs" dxfId="18858" priority="5542" stopIfTrue="1" operator="equal">
      <formula>"Napkin Hs"</formula>
    </cfRule>
  </conditionalFormatting>
  <conditionalFormatting sqref="C86">
    <cfRule type="cellIs" dxfId="18857" priority="5537" stopIfTrue="1" operator="equal">
      <formula>"Towel"</formula>
    </cfRule>
    <cfRule type="cellIs" dxfId="18856" priority="5538" stopIfTrue="1" operator="equal">
      <formula>"Napkin Hs"</formula>
    </cfRule>
  </conditionalFormatting>
  <conditionalFormatting sqref="B86:C86">
    <cfRule type="cellIs" dxfId="18855" priority="5535" stopIfTrue="1" operator="equal">
      <formula>"Towel"</formula>
    </cfRule>
    <cfRule type="cellIs" dxfId="18854" priority="5536" stopIfTrue="1" operator="equal">
      <formula>"Napkin Hs"</formula>
    </cfRule>
  </conditionalFormatting>
  <conditionalFormatting sqref="C86">
    <cfRule type="cellIs" dxfId="18853" priority="5543" stopIfTrue="1" operator="equal">
      <formula>"Towel"</formula>
    </cfRule>
    <cfRule type="cellIs" dxfId="18852" priority="5544" stopIfTrue="1" operator="equal">
      <formula>"Napkin Hs"</formula>
    </cfRule>
  </conditionalFormatting>
  <conditionalFormatting sqref="C86">
    <cfRule type="cellIs" dxfId="18851" priority="5545" stopIfTrue="1" operator="equal">
      <formula>"Towel"</formula>
    </cfRule>
    <cfRule type="cellIs" dxfId="18850" priority="5546" stopIfTrue="1" operator="equal">
      <formula>"Napkin Hs"</formula>
    </cfRule>
  </conditionalFormatting>
  <conditionalFormatting sqref="B87">
    <cfRule type="cellIs" dxfId="18849" priority="5533" stopIfTrue="1" operator="equal">
      <formula>"Towel"</formula>
    </cfRule>
    <cfRule type="cellIs" dxfId="18848" priority="5534" stopIfTrue="1" operator="equal">
      <formula>"Napkin Hs"</formula>
    </cfRule>
  </conditionalFormatting>
  <conditionalFormatting sqref="B86:C86">
    <cfRule type="cellIs" dxfId="18847" priority="5527" stopIfTrue="1" operator="equal">
      <formula>"Towel"</formula>
    </cfRule>
    <cfRule type="cellIs" dxfId="18846" priority="5528" stopIfTrue="1" operator="equal">
      <formula>"Napkin Hs"</formula>
    </cfRule>
  </conditionalFormatting>
  <conditionalFormatting sqref="B87:C89">
    <cfRule type="cellIs" dxfId="18845" priority="5531" stopIfTrue="1" operator="equal">
      <formula>"Towel"</formula>
    </cfRule>
    <cfRule type="cellIs" dxfId="18844" priority="5532" stopIfTrue="1" operator="equal">
      <formula>"Napkin Hs"</formula>
    </cfRule>
  </conditionalFormatting>
  <conditionalFormatting sqref="C86">
    <cfRule type="cellIs" dxfId="18843" priority="5523" stopIfTrue="1" operator="equal">
      <formula>"Towel"</formula>
    </cfRule>
    <cfRule type="cellIs" dxfId="18842" priority="5524" stopIfTrue="1" operator="equal">
      <formula>"Napkin Hs"</formula>
    </cfRule>
  </conditionalFormatting>
  <conditionalFormatting sqref="C86:C89">
    <cfRule type="cellIs" dxfId="18841" priority="5525" stopIfTrue="1" operator="equal">
      <formula>"Towel"</formula>
    </cfRule>
    <cfRule type="cellIs" dxfId="18840" priority="5526" stopIfTrue="1" operator="equal">
      <formula>"Napkin Hs"</formula>
    </cfRule>
  </conditionalFormatting>
  <conditionalFormatting sqref="C87:C89">
    <cfRule type="cellIs" dxfId="18839" priority="5529" stopIfTrue="1" operator="equal">
      <formula>"Towel"</formula>
    </cfRule>
    <cfRule type="cellIs" dxfId="18838" priority="5530" stopIfTrue="1" operator="equal">
      <formula>"Napkin Hs"</formula>
    </cfRule>
  </conditionalFormatting>
  <conditionalFormatting sqref="B89:C89">
    <cfRule type="cellIs" dxfId="18837" priority="5521" stopIfTrue="1" operator="equal">
      <formula>"Towel"</formula>
    </cfRule>
    <cfRule type="cellIs" dxfId="18836" priority="5522" stopIfTrue="1" operator="equal">
      <formula>"Napkin Hs"</formula>
    </cfRule>
  </conditionalFormatting>
  <conditionalFormatting sqref="C89">
    <cfRule type="cellIs" dxfId="18835" priority="5519" stopIfTrue="1" operator="equal">
      <formula>"Towel"</formula>
    </cfRule>
    <cfRule type="cellIs" dxfId="18834" priority="5520" stopIfTrue="1" operator="equal">
      <formula>"Napkin Hs"</formula>
    </cfRule>
  </conditionalFormatting>
  <conditionalFormatting sqref="C88">
    <cfRule type="cellIs" dxfId="18833" priority="5511" stopIfTrue="1" operator="equal">
      <formula>"Towel"</formula>
    </cfRule>
    <cfRule type="cellIs" dxfId="18832" priority="5512" stopIfTrue="1" operator="equal">
      <formula>"Napkin Hs"</formula>
    </cfRule>
  </conditionalFormatting>
  <conditionalFormatting sqref="C88">
    <cfRule type="cellIs" dxfId="18831" priority="5513" stopIfTrue="1" operator="equal">
      <formula>"Towel"</formula>
    </cfRule>
    <cfRule type="cellIs" dxfId="18830" priority="5514" stopIfTrue="1" operator="equal">
      <formula>"Napkin Hs"</formula>
    </cfRule>
  </conditionalFormatting>
  <conditionalFormatting sqref="C88">
    <cfRule type="cellIs" dxfId="18829" priority="5509" stopIfTrue="1" operator="equal">
      <formula>"Towel"</formula>
    </cfRule>
    <cfRule type="cellIs" dxfId="18828" priority="5510" stopIfTrue="1" operator="equal">
      <formula>"Napkin Hs"</formula>
    </cfRule>
  </conditionalFormatting>
  <conditionalFormatting sqref="C88">
    <cfRule type="cellIs" dxfId="18827" priority="5507" stopIfTrue="1" operator="equal">
      <formula>"Towel"</formula>
    </cfRule>
    <cfRule type="cellIs" dxfId="18826" priority="5508" stopIfTrue="1" operator="equal">
      <formula>"Napkin Hs"</formula>
    </cfRule>
  </conditionalFormatting>
  <conditionalFormatting sqref="C88">
    <cfRule type="cellIs" dxfId="18825" priority="5515" stopIfTrue="1" operator="equal">
      <formula>"Towel"</formula>
    </cfRule>
    <cfRule type="cellIs" dxfId="18824" priority="5516" stopIfTrue="1" operator="equal">
      <formula>"Napkin Hs"</formula>
    </cfRule>
  </conditionalFormatting>
  <conditionalFormatting sqref="C88">
    <cfRule type="cellIs" dxfId="18823" priority="5517" stopIfTrue="1" operator="equal">
      <formula>"Towel"</formula>
    </cfRule>
    <cfRule type="cellIs" dxfId="18822" priority="5518" stopIfTrue="1" operator="equal">
      <formula>"Napkin Hs"</formula>
    </cfRule>
  </conditionalFormatting>
  <conditionalFormatting sqref="C87">
    <cfRule type="cellIs" dxfId="18821" priority="5499" stopIfTrue="1" operator="equal">
      <formula>"Towel"</formula>
    </cfRule>
    <cfRule type="cellIs" dxfId="18820" priority="5500" stopIfTrue="1" operator="equal">
      <formula>"Napkin Hs"</formula>
    </cfRule>
  </conditionalFormatting>
  <conditionalFormatting sqref="B87:C87">
    <cfRule type="cellIs" dxfId="18819" priority="5501" stopIfTrue="1" operator="equal">
      <formula>"Towel"</formula>
    </cfRule>
    <cfRule type="cellIs" dxfId="18818" priority="5502" stopIfTrue="1" operator="equal">
      <formula>"Napkin Hs"</formula>
    </cfRule>
  </conditionalFormatting>
  <conditionalFormatting sqref="C87">
    <cfRule type="cellIs" dxfId="18817" priority="5497" stopIfTrue="1" operator="equal">
      <formula>"Towel"</formula>
    </cfRule>
    <cfRule type="cellIs" dxfId="18816" priority="5498" stopIfTrue="1" operator="equal">
      <formula>"Napkin Hs"</formula>
    </cfRule>
  </conditionalFormatting>
  <conditionalFormatting sqref="B87:C87">
    <cfRule type="cellIs" dxfId="18815" priority="5495" stopIfTrue="1" operator="equal">
      <formula>"Towel"</formula>
    </cfRule>
    <cfRule type="cellIs" dxfId="18814" priority="5496" stopIfTrue="1" operator="equal">
      <formula>"Napkin Hs"</formula>
    </cfRule>
  </conditionalFormatting>
  <conditionalFormatting sqref="C87">
    <cfRule type="cellIs" dxfId="18813" priority="5503" stopIfTrue="1" operator="equal">
      <formula>"Towel"</formula>
    </cfRule>
    <cfRule type="cellIs" dxfId="18812" priority="5504" stopIfTrue="1" operator="equal">
      <formula>"Napkin Hs"</formula>
    </cfRule>
  </conditionalFormatting>
  <conditionalFormatting sqref="C87">
    <cfRule type="cellIs" dxfId="18811" priority="5505" stopIfTrue="1" operator="equal">
      <formula>"Towel"</formula>
    </cfRule>
    <cfRule type="cellIs" dxfId="18810" priority="5506" stopIfTrue="1" operator="equal">
      <formula>"Napkin Hs"</formula>
    </cfRule>
  </conditionalFormatting>
  <conditionalFormatting sqref="B88">
    <cfRule type="cellIs" dxfId="18809" priority="5493" stopIfTrue="1" operator="equal">
      <formula>"Towel"</formula>
    </cfRule>
    <cfRule type="cellIs" dxfId="18808" priority="5494" stopIfTrue="1" operator="equal">
      <formula>"Napkin Hs"</formula>
    </cfRule>
  </conditionalFormatting>
  <conditionalFormatting sqref="C86">
    <cfRule type="cellIs" dxfId="18807" priority="5485" stopIfTrue="1" operator="equal">
      <formula>"Towel"</formula>
    </cfRule>
    <cfRule type="cellIs" dxfId="18806" priority="5486" stopIfTrue="1" operator="equal">
      <formula>"Napkin Hs"</formula>
    </cfRule>
  </conditionalFormatting>
  <conditionalFormatting sqref="B86:C86">
    <cfRule type="cellIs" dxfId="18805" priority="5487" stopIfTrue="1" operator="equal">
      <formula>"Towel"</formula>
    </cfRule>
    <cfRule type="cellIs" dxfId="18804" priority="5488" stopIfTrue="1" operator="equal">
      <formula>"Napkin Hs"</formula>
    </cfRule>
  </conditionalFormatting>
  <conditionalFormatting sqref="C86">
    <cfRule type="cellIs" dxfId="18803" priority="5483" stopIfTrue="1" operator="equal">
      <formula>"Towel"</formula>
    </cfRule>
    <cfRule type="cellIs" dxfId="18802" priority="5484" stopIfTrue="1" operator="equal">
      <formula>"Napkin Hs"</formula>
    </cfRule>
  </conditionalFormatting>
  <conditionalFormatting sqref="B86:C86">
    <cfRule type="cellIs" dxfId="18801" priority="5481" stopIfTrue="1" operator="equal">
      <formula>"Towel"</formula>
    </cfRule>
    <cfRule type="cellIs" dxfId="18800" priority="5482" stopIfTrue="1" operator="equal">
      <formula>"Napkin Hs"</formula>
    </cfRule>
  </conditionalFormatting>
  <conditionalFormatting sqref="C86">
    <cfRule type="cellIs" dxfId="18799" priority="5489" stopIfTrue="1" operator="equal">
      <formula>"Towel"</formula>
    </cfRule>
    <cfRule type="cellIs" dxfId="18798" priority="5490" stopIfTrue="1" operator="equal">
      <formula>"Napkin Hs"</formula>
    </cfRule>
  </conditionalFormatting>
  <conditionalFormatting sqref="C86">
    <cfRule type="cellIs" dxfId="18797" priority="5491" stopIfTrue="1" operator="equal">
      <formula>"Towel"</formula>
    </cfRule>
    <cfRule type="cellIs" dxfId="18796" priority="5492" stopIfTrue="1" operator="equal">
      <formula>"Napkin Hs"</formula>
    </cfRule>
  </conditionalFormatting>
  <conditionalFormatting sqref="B86:C86">
    <cfRule type="cellIs" dxfId="18795" priority="5479" stopIfTrue="1" operator="equal">
      <formula>"Towel"</formula>
    </cfRule>
    <cfRule type="cellIs" dxfId="18794" priority="5480" stopIfTrue="1" operator="equal">
      <formula>"Napkin Hs"</formula>
    </cfRule>
  </conditionalFormatting>
  <conditionalFormatting sqref="B87:C87">
    <cfRule type="cellIs" dxfId="18793" priority="5473" stopIfTrue="1" operator="equal">
      <formula>"Towel"</formula>
    </cfRule>
    <cfRule type="cellIs" dxfId="18792" priority="5474" stopIfTrue="1" operator="equal">
      <formula>"Napkin Hs"</formula>
    </cfRule>
  </conditionalFormatting>
  <conditionalFormatting sqref="C86">
    <cfRule type="cellIs" dxfId="18791" priority="5478" stopIfTrue="1" operator="equal">
      <formula>"Napkin Hs"</formula>
    </cfRule>
  </conditionalFormatting>
  <conditionalFormatting sqref="C86">
    <cfRule type="cellIs" dxfId="18790" priority="5477" stopIfTrue="1" operator="equal">
      <formula>"Towel"</formula>
    </cfRule>
  </conditionalFormatting>
  <conditionalFormatting sqref="C86">
    <cfRule type="cellIs" dxfId="18789" priority="5475" stopIfTrue="1" operator="equal">
      <formula>"Towel"</formula>
    </cfRule>
    <cfRule type="cellIs" dxfId="18788" priority="5476" stopIfTrue="1" operator="equal">
      <formula>"Napkin Hs"</formula>
    </cfRule>
  </conditionalFormatting>
  <conditionalFormatting sqref="C87">
    <cfRule type="cellIs" dxfId="18787" priority="5471" stopIfTrue="1" operator="equal">
      <formula>"Towel"</formula>
    </cfRule>
    <cfRule type="cellIs" dxfId="18786" priority="5472" stopIfTrue="1" operator="equal">
      <formula>"Napkin Hs"</formula>
    </cfRule>
  </conditionalFormatting>
  <conditionalFormatting sqref="B91:C91">
    <cfRule type="cellIs" dxfId="18785" priority="5469" stopIfTrue="1" operator="equal">
      <formula>"Towel"</formula>
    </cfRule>
    <cfRule type="cellIs" dxfId="18784" priority="5470" stopIfTrue="1" operator="equal">
      <formula>"Napkin Hs"</formula>
    </cfRule>
  </conditionalFormatting>
  <conditionalFormatting sqref="C91">
    <cfRule type="cellIs" dxfId="18783" priority="5465" stopIfTrue="1" operator="equal">
      <formula>"Towel"</formula>
    </cfRule>
    <cfRule type="cellIs" dxfId="18782" priority="5466" stopIfTrue="1" operator="equal">
      <formula>"Napkin Hs"</formula>
    </cfRule>
  </conditionalFormatting>
  <conditionalFormatting sqref="C91">
    <cfRule type="cellIs" dxfId="18781" priority="5467" stopIfTrue="1" operator="equal">
      <formula>"Towel"</formula>
    </cfRule>
    <cfRule type="cellIs" dxfId="18780" priority="5468" stopIfTrue="1" operator="equal">
      <formula>"Napkin Hs"</formula>
    </cfRule>
  </conditionalFormatting>
  <conditionalFormatting sqref="B91:C91">
    <cfRule type="cellIs" dxfId="18779" priority="5463" stopIfTrue="1" operator="equal">
      <formula>"Towel"</formula>
    </cfRule>
    <cfRule type="cellIs" dxfId="18778" priority="5464" stopIfTrue="1" operator="equal">
      <formula>"Napkin Hs"</formula>
    </cfRule>
  </conditionalFormatting>
  <conditionalFormatting sqref="C91">
    <cfRule type="cellIs" dxfId="18777" priority="5461" stopIfTrue="1" operator="equal">
      <formula>"Towel"</formula>
    </cfRule>
    <cfRule type="cellIs" dxfId="18776" priority="5462" stopIfTrue="1" operator="equal">
      <formula>"Napkin Hs"</formula>
    </cfRule>
  </conditionalFormatting>
  <conditionalFormatting sqref="C91">
    <cfRule type="cellIs" dxfId="18775" priority="5459" stopIfTrue="1" operator="equal">
      <formula>"Towel"</formula>
    </cfRule>
    <cfRule type="cellIs" dxfId="18774" priority="5460" stopIfTrue="1" operator="equal">
      <formula>"Napkin Hs"</formula>
    </cfRule>
  </conditionalFormatting>
  <conditionalFormatting sqref="B90:C90">
    <cfRule type="cellIs" dxfId="18773" priority="5457" stopIfTrue="1" operator="equal">
      <formula>"Towel"</formula>
    </cfRule>
    <cfRule type="cellIs" dxfId="18772" priority="5458" stopIfTrue="1" operator="equal">
      <formula>"Napkin Hs"</formula>
    </cfRule>
  </conditionalFormatting>
  <conditionalFormatting sqref="C90">
    <cfRule type="cellIs" dxfId="18771" priority="5455" stopIfTrue="1" operator="equal">
      <formula>"Towel"</formula>
    </cfRule>
    <cfRule type="cellIs" dxfId="18770" priority="5456" stopIfTrue="1" operator="equal">
      <formula>"Napkin Hs"</formula>
    </cfRule>
  </conditionalFormatting>
  <conditionalFormatting sqref="C90">
    <cfRule type="cellIs" dxfId="18769" priority="5453" stopIfTrue="1" operator="equal">
      <formula>"Towel"</formula>
    </cfRule>
    <cfRule type="cellIs" dxfId="18768" priority="5454" stopIfTrue="1" operator="equal">
      <formula>"Napkin Hs"</formula>
    </cfRule>
  </conditionalFormatting>
  <conditionalFormatting sqref="C90">
    <cfRule type="cellIs" dxfId="18767" priority="5445" stopIfTrue="1" operator="equal">
      <formula>"Towel"</formula>
    </cfRule>
    <cfRule type="cellIs" dxfId="18766" priority="5446" stopIfTrue="1" operator="equal">
      <formula>"Napkin Hs"</formula>
    </cfRule>
  </conditionalFormatting>
  <conditionalFormatting sqref="B90:C90">
    <cfRule type="cellIs" dxfId="18765" priority="5447" stopIfTrue="1" operator="equal">
      <formula>"Towel"</formula>
    </cfRule>
    <cfRule type="cellIs" dxfId="18764" priority="5448" stopIfTrue="1" operator="equal">
      <formula>"Napkin Hs"</formula>
    </cfRule>
  </conditionalFormatting>
  <conditionalFormatting sqref="C90">
    <cfRule type="cellIs" dxfId="18763" priority="5443" stopIfTrue="1" operator="equal">
      <formula>"Towel"</formula>
    </cfRule>
    <cfRule type="cellIs" dxfId="18762" priority="5444" stopIfTrue="1" operator="equal">
      <formula>"Napkin Hs"</formula>
    </cfRule>
  </conditionalFormatting>
  <conditionalFormatting sqref="B90:C90">
    <cfRule type="cellIs" dxfId="18761" priority="5441" stopIfTrue="1" operator="equal">
      <formula>"Towel"</formula>
    </cfRule>
    <cfRule type="cellIs" dxfId="18760" priority="5442" stopIfTrue="1" operator="equal">
      <formula>"Napkin Hs"</formula>
    </cfRule>
  </conditionalFormatting>
  <conditionalFormatting sqref="C90">
    <cfRule type="cellIs" dxfId="18759" priority="5449" stopIfTrue="1" operator="equal">
      <formula>"Towel"</formula>
    </cfRule>
    <cfRule type="cellIs" dxfId="18758" priority="5450" stopIfTrue="1" operator="equal">
      <formula>"Napkin Hs"</formula>
    </cfRule>
  </conditionalFormatting>
  <conditionalFormatting sqref="C90">
    <cfRule type="cellIs" dxfId="18757" priority="5451" stopIfTrue="1" operator="equal">
      <formula>"Towel"</formula>
    </cfRule>
    <cfRule type="cellIs" dxfId="18756" priority="5452" stopIfTrue="1" operator="equal">
      <formula>"Napkin Hs"</formula>
    </cfRule>
  </conditionalFormatting>
  <conditionalFormatting sqref="C93">
    <cfRule type="cellIs" dxfId="18755" priority="5433" stopIfTrue="1" operator="equal">
      <formula>"Towel"</formula>
    </cfRule>
    <cfRule type="cellIs" dxfId="18754" priority="5434" stopIfTrue="1" operator="equal">
      <formula>"Napkin Hs"</formula>
    </cfRule>
  </conditionalFormatting>
  <conditionalFormatting sqref="C93">
    <cfRule type="cellIs" dxfId="18753" priority="5431" stopIfTrue="1" operator="equal">
      <formula>"Towel"</formula>
    </cfRule>
    <cfRule type="cellIs" dxfId="18752" priority="5432" stopIfTrue="1" operator="equal">
      <formula>"Napkin Hs"</formula>
    </cfRule>
  </conditionalFormatting>
  <conditionalFormatting sqref="B93:C93">
    <cfRule type="cellIs" dxfId="18751" priority="5429" stopIfTrue="1" operator="equal">
      <formula>"Towel"</formula>
    </cfRule>
    <cfRule type="cellIs" dxfId="18750" priority="5430" stopIfTrue="1" operator="equal">
      <formula>"Napkin Hs"</formula>
    </cfRule>
  </conditionalFormatting>
  <conditionalFormatting sqref="B93:C93">
    <cfRule type="cellIs" dxfId="18749" priority="5439" stopIfTrue="1" operator="equal">
      <formula>"Towel"</formula>
    </cfRule>
    <cfRule type="cellIs" dxfId="18748" priority="5440" stopIfTrue="1" operator="equal">
      <formula>"Napkin Hs"</formula>
    </cfRule>
  </conditionalFormatting>
  <conditionalFormatting sqref="C93">
    <cfRule type="cellIs" dxfId="18747" priority="5437" stopIfTrue="1" operator="equal">
      <formula>"Towel"</formula>
    </cfRule>
    <cfRule type="cellIs" dxfId="18746" priority="5438" stopIfTrue="1" operator="equal">
      <formula>"Napkin Hs"</formula>
    </cfRule>
  </conditionalFormatting>
  <conditionalFormatting sqref="C93">
    <cfRule type="cellIs" dxfId="18745" priority="5435" stopIfTrue="1" operator="equal">
      <formula>"Towel"</formula>
    </cfRule>
    <cfRule type="cellIs" dxfId="18744" priority="5436" stopIfTrue="1" operator="equal">
      <formula>"Napkin Hs"</formula>
    </cfRule>
  </conditionalFormatting>
  <conditionalFormatting sqref="C92">
    <cfRule type="cellIs" dxfId="18743" priority="5415" stopIfTrue="1" operator="equal">
      <formula>"Towel"</formula>
    </cfRule>
    <cfRule type="cellIs" dxfId="18742" priority="5416" stopIfTrue="1" operator="equal">
      <formula>"Napkin Hs"</formula>
    </cfRule>
  </conditionalFormatting>
  <conditionalFormatting sqref="B92:C92">
    <cfRule type="cellIs" dxfId="18741" priority="5411" stopIfTrue="1" operator="equal">
      <formula>"Towel"</formula>
    </cfRule>
    <cfRule type="cellIs" dxfId="18740" priority="5412" stopIfTrue="1" operator="equal">
      <formula>"Napkin Hs"</formula>
    </cfRule>
  </conditionalFormatting>
  <conditionalFormatting sqref="C92">
    <cfRule type="cellIs" dxfId="18739" priority="5413" stopIfTrue="1" operator="equal">
      <formula>"Towel"</formula>
    </cfRule>
    <cfRule type="cellIs" dxfId="18738" priority="5414" stopIfTrue="1" operator="equal">
      <formula>"Napkin Hs"</formula>
    </cfRule>
  </conditionalFormatting>
  <conditionalFormatting sqref="C92">
    <cfRule type="cellIs" dxfId="18737" priority="5409" stopIfTrue="1" operator="equal">
      <formula>"Towel"</formula>
    </cfRule>
    <cfRule type="cellIs" dxfId="18736" priority="5410" stopIfTrue="1" operator="equal">
      <formula>"Napkin Hs"</formula>
    </cfRule>
  </conditionalFormatting>
  <conditionalFormatting sqref="B92:C92">
    <cfRule type="cellIs" dxfId="18735" priority="5405" stopIfTrue="1" operator="equal">
      <formula>"Towel"</formula>
    </cfRule>
    <cfRule type="cellIs" dxfId="18734" priority="5406" stopIfTrue="1" operator="equal">
      <formula>"Napkin Hs"</formula>
    </cfRule>
  </conditionalFormatting>
  <conditionalFormatting sqref="C92">
    <cfRule type="cellIs" dxfId="18733" priority="5407" stopIfTrue="1" operator="equal">
      <formula>"Towel"</formula>
    </cfRule>
    <cfRule type="cellIs" dxfId="18732" priority="5408" stopIfTrue="1" operator="equal">
      <formula>"Napkin Hs"</formula>
    </cfRule>
  </conditionalFormatting>
  <conditionalFormatting sqref="C93">
    <cfRule type="cellIs" dxfId="18731" priority="5427" stopIfTrue="1" operator="equal">
      <formula>"Towel"</formula>
    </cfRule>
    <cfRule type="cellIs" dxfId="18730" priority="5428" stopIfTrue="1" operator="equal">
      <formula>"Napkin Hs"</formula>
    </cfRule>
  </conditionalFormatting>
  <conditionalFormatting sqref="C93">
    <cfRule type="cellIs" dxfId="18729" priority="5425" stopIfTrue="1" operator="equal">
      <formula>"Towel"</formula>
    </cfRule>
    <cfRule type="cellIs" dxfId="18728" priority="5426" stopIfTrue="1" operator="equal">
      <formula>"Napkin Hs"</formula>
    </cfRule>
  </conditionalFormatting>
  <conditionalFormatting sqref="B93:C93">
    <cfRule type="cellIs" dxfId="18727" priority="5423" stopIfTrue="1" operator="equal">
      <formula>"Towel"</formula>
    </cfRule>
    <cfRule type="cellIs" dxfId="18726" priority="5424" stopIfTrue="1" operator="equal">
      <formula>"Napkin Hs"</formula>
    </cfRule>
  </conditionalFormatting>
  <conditionalFormatting sqref="B92:C92">
    <cfRule type="cellIs" dxfId="18725" priority="5421" stopIfTrue="1" operator="equal">
      <formula>"Towel"</formula>
    </cfRule>
    <cfRule type="cellIs" dxfId="18724" priority="5422" stopIfTrue="1" operator="equal">
      <formula>"Napkin Hs"</formula>
    </cfRule>
  </conditionalFormatting>
  <conditionalFormatting sqref="C92">
    <cfRule type="cellIs" dxfId="18723" priority="5419" stopIfTrue="1" operator="equal">
      <formula>"Towel"</formula>
    </cfRule>
    <cfRule type="cellIs" dxfId="18722" priority="5420" stopIfTrue="1" operator="equal">
      <formula>"Napkin Hs"</formula>
    </cfRule>
  </conditionalFormatting>
  <conditionalFormatting sqref="C92">
    <cfRule type="cellIs" dxfId="18721" priority="5417" stopIfTrue="1" operator="equal">
      <formula>"Towel"</formula>
    </cfRule>
    <cfRule type="cellIs" dxfId="18720" priority="5418" stopIfTrue="1" operator="equal">
      <formula>"Napkin Hs"</formula>
    </cfRule>
  </conditionalFormatting>
  <conditionalFormatting sqref="B90:C90">
    <cfRule type="cellIs" dxfId="18719" priority="5403" stopIfTrue="1" operator="equal">
      <formula>"Towel"</formula>
    </cfRule>
    <cfRule type="cellIs" dxfId="18718" priority="5404" stopIfTrue="1" operator="equal">
      <formula>"Napkin Hs"</formula>
    </cfRule>
  </conditionalFormatting>
  <conditionalFormatting sqref="C90">
    <cfRule type="cellIs" dxfId="18717" priority="5402" stopIfTrue="1" operator="equal">
      <formula>"Napkin Hs"</formula>
    </cfRule>
  </conditionalFormatting>
  <conditionalFormatting sqref="C90">
    <cfRule type="cellIs" dxfId="18716" priority="5401" stopIfTrue="1" operator="equal">
      <formula>"Towel"</formula>
    </cfRule>
  </conditionalFormatting>
  <conditionalFormatting sqref="C90">
    <cfRule type="cellIs" dxfId="18715" priority="5399" stopIfTrue="1" operator="equal">
      <formula>"Towel"</formula>
    </cfRule>
    <cfRule type="cellIs" dxfId="18714" priority="5400" stopIfTrue="1" operator="equal">
      <formula>"Napkin Hs"</formula>
    </cfRule>
  </conditionalFormatting>
  <conditionalFormatting sqref="B90:C90">
    <cfRule type="cellIs" dxfId="18713" priority="5397" stopIfTrue="1" operator="equal">
      <formula>"Towel"</formula>
    </cfRule>
    <cfRule type="cellIs" dxfId="18712" priority="5398" stopIfTrue="1" operator="equal">
      <formula>"Napkin Hs"</formula>
    </cfRule>
  </conditionalFormatting>
  <conditionalFormatting sqref="C90">
    <cfRule type="cellIs" dxfId="18711" priority="5393" stopIfTrue="1" operator="equal">
      <formula>"Towel"</formula>
    </cfRule>
    <cfRule type="cellIs" dxfId="18710" priority="5394" stopIfTrue="1" operator="equal">
      <formula>"Napkin Hs"</formula>
    </cfRule>
  </conditionalFormatting>
  <conditionalFormatting sqref="C90">
    <cfRule type="cellIs" dxfId="18709" priority="5395" stopIfTrue="1" operator="equal">
      <formula>"Towel"</formula>
    </cfRule>
    <cfRule type="cellIs" dxfId="18708" priority="5396" stopIfTrue="1" operator="equal">
      <formula>"Napkin Hs"</formula>
    </cfRule>
  </conditionalFormatting>
  <conditionalFormatting sqref="B90:C90">
    <cfRule type="cellIs" dxfId="18707" priority="5391" stopIfTrue="1" operator="equal">
      <formula>"Towel"</formula>
    </cfRule>
    <cfRule type="cellIs" dxfId="18706" priority="5392" stopIfTrue="1" operator="equal">
      <formula>"Napkin Hs"</formula>
    </cfRule>
  </conditionalFormatting>
  <conditionalFormatting sqref="B91:C91">
    <cfRule type="cellIs" dxfId="18705" priority="5385" stopIfTrue="1" operator="equal">
      <formula>"Towel"</formula>
    </cfRule>
    <cfRule type="cellIs" dxfId="18704" priority="5386" stopIfTrue="1" operator="equal">
      <formula>"Napkin Hs"</formula>
    </cfRule>
  </conditionalFormatting>
  <conditionalFormatting sqref="C90">
    <cfRule type="cellIs" dxfId="18703" priority="5390" stopIfTrue="1" operator="equal">
      <formula>"Napkin Hs"</formula>
    </cfRule>
  </conditionalFormatting>
  <conditionalFormatting sqref="C90">
    <cfRule type="cellIs" dxfId="18702" priority="5389" stopIfTrue="1" operator="equal">
      <formula>"Towel"</formula>
    </cfRule>
  </conditionalFormatting>
  <conditionalFormatting sqref="C90">
    <cfRule type="cellIs" dxfId="18701" priority="5387" stopIfTrue="1" operator="equal">
      <formula>"Towel"</formula>
    </cfRule>
    <cfRule type="cellIs" dxfId="18700" priority="5388" stopIfTrue="1" operator="equal">
      <formula>"Napkin Hs"</formula>
    </cfRule>
  </conditionalFormatting>
  <conditionalFormatting sqref="C91">
    <cfRule type="cellIs" dxfId="18699" priority="5383" stopIfTrue="1" operator="equal">
      <formula>"Towel"</formula>
    </cfRule>
    <cfRule type="cellIs" dxfId="18698" priority="5384" stopIfTrue="1" operator="equal">
      <formula>"Napkin Hs"</formula>
    </cfRule>
  </conditionalFormatting>
  <conditionalFormatting sqref="C91">
    <cfRule type="cellIs" dxfId="18697" priority="5381" stopIfTrue="1" operator="equal">
      <formula>"Towel"</formula>
    </cfRule>
    <cfRule type="cellIs" dxfId="18696" priority="5382" stopIfTrue="1" operator="equal">
      <formula>"Napkin Hs"</formula>
    </cfRule>
  </conditionalFormatting>
  <conditionalFormatting sqref="C91">
    <cfRule type="cellIs" dxfId="18695" priority="5379" stopIfTrue="1" operator="equal">
      <formula>"Towel"</formula>
    </cfRule>
    <cfRule type="cellIs" dxfId="18694" priority="5380" stopIfTrue="1" operator="equal">
      <formula>"Napkin Hs"</formula>
    </cfRule>
  </conditionalFormatting>
  <conditionalFormatting sqref="B91:C91">
    <cfRule type="cellIs" dxfId="18693" priority="5375" stopIfTrue="1" operator="equal">
      <formula>"Towel"</formula>
    </cfRule>
    <cfRule type="cellIs" dxfId="18692" priority="5376" stopIfTrue="1" operator="equal">
      <formula>"Napkin Hs"</formula>
    </cfRule>
  </conditionalFormatting>
  <conditionalFormatting sqref="C91">
    <cfRule type="cellIs" dxfId="18691" priority="5377" stopIfTrue="1" operator="equal">
      <formula>"Towel"</formula>
    </cfRule>
    <cfRule type="cellIs" dxfId="18690" priority="5378" stopIfTrue="1" operator="equal">
      <formula>"Napkin Hs"</formula>
    </cfRule>
  </conditionalFormatting>
  <conditionalFormatting sqref="C91">
    <cfRule type="cellIs" dxfId="18689" priority="5373" stopIfTrue="1" operator="equal">
      <formula>"Towel"</formula>
    </cfRule>
    <cfRule type="cellIs" dxfId="18688" priority="5374" stopIfTrue="1" operator="equal">
      <formula>"Napkin Hs"</formula>
    </cfRule>
  </conditionalFormatting>
  <conditionalFormatting sqref="B92:C93">
    <cfRule type="cellIs" dxfId="18687" priority="5367" stopIfTrue="1" operator="equal">
      <formula>"Towel"</formula>
    </cfRule>
    <cfRule type="cellIs" dxfId="18686" priority="5368" stopIfTrue="1" operator="equal">
      <formula>"Napkin Hs"</formula>
    </cfRule>
  </conditionalFormatting>
  <conditionalFormatting sqref="B91:C91">
    <cfRule type="cellIs" dxfId="18685" priority="5369" stopIfTrue="1" operator="equal">
      <formula>"Towel"</formula>
    </cfRule>
    <cfRule type="cellIs" dxfId="18684" priority="5370" stopIfTrue="1" operator="equal">
      <formula>"Napkin Hs"</formula>
    </cfRule>
  </conditionalFormatting>
  <conditionalFormatting sqref="C91">
    <cfRule type="cellIs" dxfId="18683" priority="5371" stopIfTrue="1" operator="equal">
      <formula>"Towel"</formula>
    </cfRule>
    <cfRule type="cellIs" dxfId="18682" priority="5372" stopIfTrue="1" operator="equal">
      <formula>"Napkin Hs"</formula>
    </cfRule>
  </conditionalFormatting>
  <conditionalFormatting sqref="C92:C93">
    <cfRule type="cellIs" dxfId="18681" priority="5365" stopIfTrue="1" operator="equal">
      <formula>"Towel"</formula>
    </cfRule>
    <cfRule type="cellIs" dxfId="18680" priority="5366" stopIfTrue="1" operator="equal">
      <formula>"Napkin Hs"</formula>
    </cfRule>
  </conditionalFormatting>
  <conditionalFormatting sqref="C92:C93">
    <cfRule type="cellIs" dxfId="18679" priority="5363" stopIfTrue="1" operator="equal">
      <formula>"Towel"</formula>
    </cfRule>
    <cfRule type="cellIs" dxfId="18678" priority="5364" stopIfTrue="1" operator="equal">
      <formula>"Napkin Hs"</formula>
    </cfRule>
  </conditionalFormatting>
  <conditionalFormatting sqref="C92:C93">
    <cfRule type="cellIs" dxfId="18677" priority="5355" stopIfTrue="1" operator="equal">
      <formula>"Towel"</formula>
    </cfRule>
    <cfRule type="cellIs" dxfId="18676" priority="5356" stopIfTrue="1" operator="equal">
      <formula>"Napkin Hs"</formula>
    </cfRule>
  </conditionalFormatting>
  <conditionalFormatting sqref="B92:C93">
    <cfRule type="cellIs" dxfId="18675" priority="5357" stopIfTrue="1" operator="equal">
      <formula>"Towel"</formula>
    </cfRule>
    <cfRule type="cellIs" dxfId="18674" priority="5358" stopIfTrue="1" operator="equal">
      <formula>"Napkin Hs"</formula>
    </cfRule>
  </conditionalFormatting>
  <conditionalFormatting sqref="C92:C93">
    <cfRule type="cellIs" dxfId="18673" priority="5353" stopIfTrue="1" operator="equal">
      <formula>"Towel"</formula>
    </cfRule>
    <cfRule type="cellIs" dxfId="18672" priority="5354" stopIfTrue="1" operator="equal">
      <formula>"Napkin Hs"</formula>
    </cfRule>
  </conditionalFormatting>
  <conditionalFormatting sqref="B92:C93">
    <cfRule type="cellIs" dxfId="18671" priority="5351" stopIfTrue="1" operator="equal">
      <formula>"Towel"</formula>
    </cfRule>
    <cfRule type="cellIs" dxfId="18670" priority="5352" stopIfTrue="1" operator="equal">
      <formula>"Napkin Hs"</formula>
    </cfRule>
  </conditionalFormatting>
  <conditionalFormatting sqref="C92:C93">
    <cfRule type="cellIs" dxfId="18669" priority="5359" stopIfTrue="1" operator="equal">
      <formula>"Towel"</formula>
    </cfRule>
    <cfRule type="cellIs" dxfId="18668" priority="5360" stopIfTrue="1" operator="equal">
      <formula>"Napkin Hs"</formula>
    </cfRule>
  </conditionalFormatting>
  <conditionalFormatting sqref="C92:C93">
    <cfRule type="cellIs" dxfId="18667" priority="5361" stopIfTrue="1" operator="equal">
      <formula>"Towel"</formula>
    </cfRule>
    <cfRule type="cellIs" dxfId="18666" priority="5362" stopIfTrue="1" operator="equal">
      <formula>"Napkin Hs"</formula>
    </cfRule>
  </conditionalFormatting>
  <conditionalFormatting sqref="B91:C91">
    <cfRule type="cellIs" dxfId="18665" priority="5349" stopIfTrue="1" operator="equal">
      <formula>"Towel"</formula>
    </cfRule>
    <cfRule type="cellIs" dxfId="18664" priority="5350" stopIfTrue="1" operator="equal">
      <formula>"Napkin Hs"</formula>
    </cfRule>
  </conditionalFormatting>
  <conditionalFormatting sqref="B90:C90">
    <cfRule type="cellIs" dxfId="18663" priority="5345" stopIfTrue="1" operator="equal">
      <formula>"Towel"</formula>
    </cfRule>
    <cfRule type="cellIs" dxfId="18662" priority="5346" stopIfTrue="1" operator="equal">
      <formula>"Napkin Hs"</formula>
    </cfRule>
  </conditionalFormatting>
  <conditionalFormatting sqref="C91">
    <cfRule type="cellIs" dxfId="18661" priority="5348" stopIfTrue="1" operator="equal">
      <formula>"Napkin Hs"</formula>
    </cfRule>
  </conditionalFormatting>
  <conditionalFormatting sqref="C91">
    <cfRule type="cellIs" dxfId="18660" priority="5347" stopIfTrue="1" operator="equal">
      <formula>"Towel"</formula>
    </cfRule>
  </conditionalFormatting>
  <conditionalFormatting sqref="C90">
    <cfRule type="cellIs" dxfId="18659" priority="5341" stopIfTrue="1" operator="equal">
      <formula>"Towel"</formula>
    </cfRule>
    <cfRule type="cellIs" dxfId="18658" priority="5342" stopIfTrue="1" operator="equal">
      <formula>"Napkin Hs"</formula>
    </cfRule>
  </conditionalFormatting>
  <conditionalFormatting sqref="C90:C91">
    <cfRule type="cellIs" dxfId="18657" priority="5343" stopIfTrue="1" operator="equal">
      <formula>"Towel"</formula>
    </cfRule>
    <cfRule type="cellIs" dxfId="18656" priority="5344" stopIfTrue="1" operator="equal">
      <formula>"Napkin Hs"</formula>
    </cfRule>
  </conditionalFormatting>
  <conditionalFormatting sqref="B90:C90">
    <cfRule type="cellIs" dxfId="18655" priority="5339" stopIfTrue="1" operator="equal">
      <formula>"Towel"</formula>
    </cfRule>
    <cfRule type="cellIs" dxfId="18654" priority="5340" stopIfTrue="1" operator="equal">
      <formula>"Napkin Hs"</formula>
    </cfRule>
  </conditionalFormatting>
  <conditionalFormatting sqref="C90">
    <cfRule type="cellIs" dxfId="18653" priority="5338" stopIfTrue="1" operator="equal">
      <formula>"Napkin Hs"</formula>
    </cfRule>
  </conditionalFormatting>
  <conditionalFormatting sqref="C90">
    <cfRule type="cellIs" dxfId="18652" priority="5337" stopIfTrue="1" operator="equal">
      <formula>"Towel"</formula>
    </cfRule>
  </conditionalFormatting>
  <conditionalFormatting sqref="C90">
    <cfRule type="cellIs" dxfId="18651" priority="5335" stopIfTrue="1" operator="equal">
      <formula>"Towel"</formula>
    </cfRule>
    <cfRule type="cellIs" dxfId="18650" priority="5336" stopIfTrue="1" operator="equal">
      <formula>"Napkin Hs"</formula>
    </cfRule>
  </conditionalFormatting>
  <conditionalFormatting sqref="C93">
    <cfRule type="cellIs" dxfId="18649" priority="5331" stopIfTrue="1" operator="equal">
      <formula>"Towel"</formula>
    </cfRule>
    <cfRule type="cellIs" dxfId="18648" priority="5332" stopIfTrue="1" operator="equal">
      <formula>"Napkin Hs"</formula>
    </cfRule>
  </conditionalFormatting>
  <conditionalFormatting sqref="C93">
    <cfRule type="cellIs" dxfId="18647" priority="5333" stopIfTrue="1" operator="equal">
      <formula>"Towel"</formula>
    </cfRule>
    <cfRule type="cellIs" dxfId="18646" priority="5334" stopIfTrue="1" operator="equal">
      <formula>"Napkin Hs"</formula>
    </cfRule>
  </conditionalFormatting>
  <conditionalFormatting sqref="B93:C93">
    <cfRule type="cellIs" dxfId="18645" priority="5329" stopIfTrue="1" operator="equal">
      <formula>"Towel"</formula>
    </cfRule>
    <cfRule type="cellIs" dxfId="18644" priority="5330" stopIfTrue="1" operator="equal">
      <formula>"Napkin Hs"</formula>
    </cfRule>
  </conditionalFormatting>
  <conditionalFormatting sqref="B93:C93">
    <cfRule type="cellIs" dxfId="18643" priority="5323" stopIfTrue="1" operator="equal">
      <formula>"Towel"</formula>
    </cfRule>
    <cfRule type="cellIs" dxfId="18642" priority="5324" stopIfTrue="1" operator="equal">
      <formula>"Napkin Hs"</formula>
    </cfRule>
  </conditionalFormatting>
  <conditionalFormatting sqref="C93">
    <cfRule type="cellIs" dxfId="18641" priority="5325" stopIfTrue="1" operator="equal">
      <formula>"Towel"</formula>
    </cfRule>
    <cfRule type="cellIs" dxfId="18640" priority="5326" stopIfTrue="1" operator="equal">
      <formula>"Napkin Hs"</formula>
    </cfRule>
  </conditionalFormatting>
  <conditionalFormatting sqref="C93">
    <cfRule type="cellIs" dxfId="18639" priority="5327" stopIfTrue="1" operator="equal">
      <formula>"Towel"</formula>
    </cfRule>
    <cfRule type="cellIs" dxfId="18638" priority="5328" stopIfTrue="1" operator="equal">
      <formula>"Napkin Hs"</formula>
    </cfRule>
  </conditionalFormatting>
  <conditionalFormatting sqref="C92">
    <cfRule type="cellIs" dxfId="18637" priority="5319" stopIfTrue="1" operator="equal">
      <formula>"Towel"</formula>
    </cfRule>
    <cfRule type="cellIs" dxfId="18636" priority="5320" stopIfTrue="1" operator="equal">
      <formula>"Napkin Hs"</formula>
    </cfRule>
  </conditionalFormatting>
  <conditionalFormatting sqref="C92">
    <cfRule type="cellIs" dxfId="18635" priority="5321" stopIfTrue="1" operator="equal">
      <formula>"Towel"</formula>
    </cfRule>
    <cfRule type="cellIs" dxfId="18634" priority="5322" stopIfTrue="1" operator="equal">
      <formula>"Napkin Hs"</formula>
    </cfRule>
  </conditionalFormatting>
  <conditionalFormatting sqref="C92">
    <cfRule type="cellIs" dxfId="18633" priority="5317" stopIfTrue="1" operator="equal">
      <formula>"Towel"</formula>
    </cfRule>
    <cfRule type="cellIs" dxfId="18632" priority="5318" stopIfTrue="1" operator="equal">
      <formula>"Napkin Hs"</formula>
    </cfRule>
  </conditionalFormatting>
  <conditionalFormatting sqref="C92">
    <cfRule type="cellIs" dxfId="18631" priority="5311" stopIfTrue="1" operator="equal">
      <formula>"Towel"</formula>
    </cfRule>
    <cfRule type="cellIs" dxfId="18630" priority="5312" stopIfTrue="1" operator="equal">
      <formula>"Napkin Hs"</formula>
    </cfRule>
  </conditionalFormatting>
  <conditionalFormatting sqref="C92">
    <cfRule type="cellIs" dxfId="18629" priority="5313" stopIfTrue="1" operator="equal">
      <formula>"Towel"</formula>
    </cfRule>
    <cfRule type="cellIs" dxfId="18628" priority="5314" stopIfTrue="1" operator="equal">
      <formula>"Napkin Hs"</formula>
    </cfRule>
  </conditionalFormatting>
  <conditionalFormatting sqref="C92">
    <cfRule type="cellIs" dxfId="18627" priority="5315" stopIfTrue="1" operator="equal">
      <formula>"Towel"</formula>
    </cfRule>
    <cfRule type="cellIs" dxfId="18626" priority="5316" stopIfTrue="1" operator="equal">
      <formula>"Napkin Hs"</formula>
    </cfRule>
  </conditionalFormatting>
  <conditionalFormatting sqref="B92">
    <cfRule type="cellIs" dxfId="18625" priority="5309" stopIfTrue="1" operator="equal">
      <formula>"Towel"</formula>
    </cfRule>
    <cfRule type="cellIs" dxfId="18624" priority="5310" stopIfTrue="1" operator="equal">
      <formula>"Napkin Hs"</formula>
    </cfRule>
  </conditionalFormatting>
  <conditionalFormatting sqref="B92">
    <cfRule type="cellIs" dxfId="18623" priority="5307" stopIfTrue="1" operator="equal">
      <formula>"Towel"</formula>
    </cfRule>
    <cfRule type="cellIs" dxfId="18622" priority="5308" stopIfTrue="1" operator="equal">
      <formula>"Napkin Hs"</formula>
    </cfRule>
  </conditionalFormatting>
  <conditionalFormatting sqref="C91">
    <cfRule type="cellIs" dxfId="18621" priority="5299" stopIfTrue="1" operator="equal">
      <formula>"Towel"</formula>
    </cfRule>
    <cfRule type="cellIs" dxfId="18620" priority="5300" stopIfTrue="1" operator="equal">
      <formula>"Napkin Hs"</formula>
    </cfRule>
  </conditionalFormatting>
  <conditionalFormatting sqref="B91:C91">
    <cfRule type="cellIs" dxfId="18619" priority="5301" stopIfTrue="1" operator="equal">
      <formula>"Towel"</formula>
    </cfRule>
    <cfRule type="cellIs" dxfId="18618" priority="5302" stopIfTrue="1" operator="equal">
      <formula>"Napkin Hs"</formula>
    </cfRule>
  </conditionalFormatting>
  <conditionalFormatting sqref="C91">
    <cfRule type="cellIs" dxfId="18617" priority="5297" stopIfTrue="1" operator="equal">
      <formula>"Towel"</formula>
    </cfRule>
    <cfRule type="cellIs" dxfId="18616" priority="5298" stopIfTrue="1" operator="equal">
      <formula>"Napkin Hs"</formula>
    </cfRule>
  </conditionalFormatting>
  <conditionalFormatting sqref="B91:C91">
    <cfRule type="cellIs" dxfId="18615" priority="5295" stopIfTrue="1" operator="equal">
      <formula>"Towel"</formula>
    </cfRule>
    <cfRule type="cellIs" dxfId="18614" priority="5296" stopIfTrue="1" operator="equal">
      <formula>"Napkin Hs"</formula>
    </cfRule>
  </conditionalFormatting>
  <conditionalFormatting sqref="C91">
    <cfRule type="cellIs" dxfId="18613" priority="5303" stopIfTrue="1" operator="equal">
      <formula>"Towel"</formula>
    </cfRule>
    <cfRule type="cellIs" dxfId="18612" priority="5304" stopIfTrue="1" operator="equal">
      <formula>"Napkin Hs"</formula>
    </cfRule>
  </conditionalFormatting>
  <conditionalFormatting sqref="C91">
    <cfRule type="cellIs" dxfId="18611" priority="5305" stopIfTrue="1" operator="equal">
      <formula>"Towel"</formula>
    </cfRule>
    <cfRule type="cellIs" dxfId="18610" priority="5306" stopIfTrue="1" operator="equal">
      <formula>"Napkin Hs"</formula>
    </cfRule>
  </conditionalFormatting>
  <conditionalFormatting sqref="B93:C93">
    <cfRule type="cellIs" dxfId="18609" priority="5293" stopIfTrue="1" operator="equal">
      <formula>"Towel"</formula>
    </cfRule>
    <cfRule type="cellIs" dxfId="18608" priority="5294" stopIfTrue="1" operator="equal">
      <formula>"Napkin Hs"</formula>
    </cfRule>
  </conditionalFormatting>
  <conditionalFormatting sqref="B92:C92">
    <cfRule type="cellIs" dxfId="18607" priority="5289" stopIfTrue="1" operator="equal">
      <formula>"Towel"</formula>
    </cfRule>
    <cfRule type="cellIs" dxfId="18606" priority="5290" stopIfTrue="1" operator="equal">
      <formula>"Napkin Hs"</formula>
    </cfRule>
  </conditionalFormatting>
  <conditionalFormatting sqref="C93">
    <cfRule type="cellIs" dxfId="18605" priority="5292" stopIfTrue="1" operator="equal">
      <formula>"Napkin Hs"</formula>
    </cfRule>
  </conditionalFormatting>
  <conditionalFormatting sqref="C93">
    <cfRule type="cellIs" dxfId="18604" priority="5291" stopIfTrue="1" operator="equal">
      <formula>"Towel"</formula>
    </cfRule>
  </conditionalFormatting>
  <conditionalFormatting sqref="C92">
    <cfRule type="cellIs" dxfId="18603" priority="5285" stopIfTrue="1" operator="equal">
      <formula>"Towel"</formula>
    </cfRule>
    <cfRule type="cellIs" dxfId="18602" priority="5286" stopIfTrue="1" operator="equal">
      <formula>"Napkin Hs"</formula>
    </cfRule>
  </conditionalFormatting>
  <conditionalFormatting sqref="C92:C93">
    <cfRule type="cellIs" dxfId="18601" priority="5287" stopIfTrue="1" operator="equal">
      <formula>"Towel"</formula>
    </cfRule>
    <cfRule type="cellIs" dxfId="18600" priority="5288" stopIfTrue="1" operator="equal">
      <formula>"Napkin Hs"</formula>
    </cfRule>
  </conditionalFormatting>
  <conditionalFormatting sqref="C91">
    <cfRule type="cellIs" dxfId="18599" priority="5277" stopIfTrue="1" operator="equal">
      <formula>"Towel"</formula>
    </cfRule>
    <cfRule type="cellIs" dxfId="18598" priority="5278" stopIfTrue="1" operator="equal">
      <formula>"Napkin Hs"</formula>
    </cfRule>
  </conditionalFormatting>
  <conditionalFormatting sqref="C91">
    <cfRule type="cellIs" dxfId="18597" priority="5279" stopIfTrue="1" operator="equal">
      <formula>"Towel"</formula>
    </cfRule>
    <cfRule type="cellIs" dxfId="18596" priority="5280" stopIfTrue="1" operator="equal">
      <formula>"Napkin Hs"</formula>
    </cfRule>
  </conditionalFormatting>
  <conditionalFormatting sqref="C91">
    <cfRule type="cellIs" dxfId="18595" priority="5275" stopIfTrue="1" operator="equal">
      <formula>"Towel"</formula>
    </cfRule>
    <cfRule type="cellIs" dxfId="18594" priority="5276" stopIfTrue="1" operator="equal">
      <formula>"Napkin Hs"</formula>
    </cfRule>
  </conditionalFormatting>
  <conditionalFormatting sqref="C91">
    <cfRule type="cellIs" dxfId="18593" priority="5273" stopIfTrue="1" operator="equal">
      <formula>"Towel"</formula>
    </cfRule>
    <cfRule type="cellIs" dxfId="18592" priority="5274" stopIfTrue="1" operator="equal">
      <formula>"Napkin Hs"</formula>
    </cfRule>
  </conditionalFormatting>
  <conditionalFormatting sqref="C91">
    <cfRule type="cellIs" dxfId="18591" priority="5281" stopIfTrue="1" operator="equal">
      <formula>"Towel"</formula>
    </cfRule>
    <cfRule type="cellIs" dxfId="18590" priority="5282" stopIfTrue="1" operator="equal">
      <formula>"Napkin Hs"</formula>
    </cfRule>
  </conditionalFormatting>
  <conditionalFormatting sqref="C91">
    <cfRule type="cellIs" dxfId="18589" priority="5283" stopIfTrue="1" operator="equal">
      <formula>"Towel"</formula>
    </cfRule>
    <cfRule type="cellIs" dxfId="18588" priority="5284" stopIfTrue="1" operator="equal">
      <formula>"Napkin Hs"</formula>
    </cfRule>
  </conditionalFormatting>
  <conditionalFormatting sqref="C90">
    <cfRule type="cellIs" dxfId="18587" priority="5265" stopIfTrue="1" operator="equal">
      <formula>"Towel"</formula>
    </cfRule>
    <cfRule type="cellIs" dxfId="18586" priority="5266" stopIfTrue="1" operator="equal">
      <formula>"Napkin Hs"</formula>
    </cfRule>
  </conditionalFormatting>
  <conditionalFormatting sqref="B90:C90">
    <cfRule type="cellIs" dxfId="18585" priority="5267" stopIfTrue="1" operator="equal">
      <formula>"Towel"</formula>
    </cfRule>
    <cfRule type="cellIs" dxfId="18584" priority="5268" stopIfTrue="1" operator="equal">
      <formula>"Napkin Hs"</formula>
    </cfRule>
  </conditionalFormatting>
  <conditionalFormatting sqref="C90">
    <cfRule type="cellIs" dxfId="18583" priority="5263" stopIfTrue="1" operator="equal">
      <formula>"Towel"</formula>
    </cfRule>
    <cfRule type="cellIs" dxfId="18582" priority="5264" stopIfTrue="1" operator="equal">
      <formula>"Napkin Hs"</formula>
    </cfRule>
  </conditionalFormatting>
  <conditionalFormatting sqref="B90:C90">
    <cfRule type="cellIs" dxfId="18581" priority="5261" stopIfTrue="1" operator="equal">
      <formula>"Towel"</formula>
    </cfRule>
    <cfRule type="cellIs" dxfId="18580" priority="5262" stopIfTrue="1" operator="equal">
      <formula>"Napkin Hs"</formula>
    </cfRule>
  </conditionalFormatting>
  <conditionalFormatting sqref="C90">
    <cfRule type="cellIs" dxfId="18579" priority="5269" stopIfTrue="1" operator="equal">
      <formula>"Towel"</formula>
    </cfRule>
    <cfRule type="cellIs" dxfId="18578" priority="5270" stopIfTrue="1" operator="equal">
      <formula>"Napkin Hs"</formula>
    </cfRule>
  </conditionalFormatting>
  <conditionalFormatting sqref="C90">
    <cfRule type="cellIs" dxfId="18577" priority="5271" stopIfTrue="1" operator="equal">
      <formula>"Towel"</formula>
    </cfRule>
    <cfRule type="cellIs" dxfId="18576" priority="5272" stopIfTrue="1" operator="equal">
      <formula>"Napkin Hs"</formula>
    </cfRule>
  </conditionalFormatting>
  <conditionalFormatting sqref="B91">
    <cfRule type="cellIs" dxfId="18575" priority="5259" stopIfTrue="1" operator="equal">
      <formula>"Towel"</formula>
    </cfRule>
    <cfRule type="cellIs" dxfId="18574" priority="5260" stopIfTrue="1" operator="equal">
      <formula>"Napkin Hs"</formula>
    </cfRule>
  </conditionalFormatting>
  <conditionalFormatting sqref="B90:C90">
    <cfRule type="cellIs" dxfId="18573" priority="5253" stopIfTrue="1" operator="equal">
      <formula>"Towel"</formula>
    </cfRule>
    <cfRule type="cellIs" dxfId="18572" priority="5254" stopIfTrue="1" operator="equal">
      <formula>"Napkin Hs"</formula>
    </cfRule>
  </conditionalFormatting>
  <conditionalFormatting sqref="B91:C93">
    <cfRule type="cellIs" dxfId="18571" priority="5257" stopIfTrue="1" operator="equal">
      <formula>"Towel"</formula>
    </cfRule>
    <cfRule type="cellIs" dxfId="18570" priority="5258" stopIfTrue="1" operator="equal">
      <formula>"Napkin Hs"</formula>
    </cfRule>
  </conditionalFormatting>
  <conditionalFormatting sqref="C90">
    <cfRule type="cellIs" dxfId="18569" priority="5249" stopIfTrue="1" operator="equal">
      <formula>"Towel"</formula>
    </cfRule>
    <cfRule type="cellIs" dxfId="18568" priority="5250" stopIfTrue="1" operator="equal">
      <formula>"Napkin Hs"</formula>
    </cfRule>
  </conditionalFormatting>
  <conditionalFormatting sqref="C90:C93">
    <cfRule type="cellIs" dxfId="18567" priority="5251" stopIfTrue="1" operator="equal">
      <formula>"Towel"</formula>
    </cfRule>
    <cfRule type="cellIs" dxfId="18566" priority="5252" stopIfTrue="1" operator="equal">
      <formula>"Napkin Hs"</formula>
    </cfRule>
  </conditionalFormatting>
  <conditionalFormatting sqref="C91:C93">
    <cfRule type="cellIs" dxfId="18565" priority="5255" stopIfTrue="1" operator="equal">
      <formula>"Towel"</formula>
    </cfRule>
    <cfRule type="cellIs" dxfId="18564" priority="5256" stopIfTrue="1" operator="equal">
      <formula>"Napkin Hs"</formula>
    </cfRule>
  </conditionalFormatting>
  <conditionalFormatting sqref="B93:C93">
    <cfRule type="cellIs" dxfId="18563" priority="5247" stopIfTrue="1" operator="equal">
      <formula>"Towel"</formula>
    </cfRule>
    <cfRule type="cellIs" dxfId="18562" priority="5248" stopIfTrue="1" operator="equal">
      <formula>"Napkin Hs"</formula>
    </cfRule>
  </conditionalFormatting>
  <conditionalFormatting sqref="C93">
    <cfRule type="cellIs" dxfId="18561" priority="5245" stopIfTrue="1" operator="equal">
      <formula>"Towel"</formula>
    </cfRule>
    <cfRule type="cellIs" dxfId="18560" priority="5246" stopIfTrue="1" operator="equal">
      <formula>"Napkin Hs"</formula>
    </cfRule>
  </conditionalFormatting>
  <conditionalFormatting sqref="C92">
    <cfRule type="cellIs" dxfId="18559" priority="5237" stopIfTrue="1" operator="equal">
      <formula>"Towel"</formula>
    </cfRule>
    <cfRule type="cellIs" dxfId="18558" priority="5238" stopIfTrue="1" operator="equal">
      <formula>"Napkin Hs"</formula>
    </cfRule>
  </conditionalFormatting>
  <conditionalFormatting sqref="C92">
    <cfRule type="cellIs" dxfId="18557" priority="5239" stopIfTrue="1" operator="equal">
      <formula>"Towel"</formula>
    </cfRule>
    <cfRule type="cellIs" dxfId="18556" priority="5240" stopIfTrue="1" operator="equal">
      <formula>"Napkin Hs"</formula>
    </cfRule>
  </conditionalFormatting>
  <conditionalFormatting sqref="C92">
    <cfRule type="cellIs" dxfId="18555" priority="5235" stopIfTrue="1" operator="equal">
      <formula>"Towel"</formula>
    </cfRule>
    <cfRule type="cellIs" dxfId="18554" priority="5236" stopIfTrue="1" operator="equal">
      <formula>"Napkin Hs"</formula>
    </cfRule>
  </conditionalFormatting>
  <conditionalFormatting sqref="C92">
    <cfRule type="cellIs" dxfId="18553" priority="5233" stopIfTrue="1" operator="equal">
      <formula>"Towel"</formula>
    </cfRule>
    <cfRule type="cellIs" dxfId="18552" priority="5234" stopIfTrue="1" operator="equal">
      <formula>"Napkin Hs"</formula>
    </cfRule>
  </conditionalFormatting>
  <conditionalFormatting sqref="C92">
    <cfRule type="cellIs" dxfId="18551" priority="5241" stopIfTrue="1" operator="equal">
      <formula>"Towel"</formula>
    </cfRule>
    <cfRule type="cellIs" dxfId="18550" priority="5242" stopIfTrue="1" operator="equal">
      <formula>"Napkin Hs"</formula>
    </cfRule>
  </conditionalFormatting>
  <conditionalFormatting sqref="C92">
    <cfRule type="cellIs" dxfId="18549" priority="5243" stopIfTrue="1" operator="equal">
      <formula>"Towel"</formula>
    </cfRule>
    <cfRule type="cellIs" dxfId="18548" priority="5244" stopIfTrue="1" operator="equal">
      <formula>"Napkin Hs"</formula>
    </cfRule>
  </conditionalFormatting>
  <conditionalFormatting sqref="C91">
    <cfRule type="cellIs" dxfId="18547" priority="5225" stopIfTrue="1" operator="equal">
      <formula>"Towel"</formula>
    </cfRule>
    <cfRule type="cellIs" dxfId="18546" priority="5226" stopIfTrue="1" operator="equal">
      <formula>"Napkin Hs"</formula>
    </cfRule>
  </conditionalFormatting>
  <conditionalFormatting sqref="B91:C91">
    <cfRule type="cellIs" dxfId="18545" priority="5227" stopIfTrue="1" operator="equal">
      <formula>"Towel"</formula>
    </cfRule>
    <cfRule type="cellIs" dxfId="18544" priority="5228" stopIfTrue="1" operator="equal">
      <formula>"Napkin Hs"</formula>
    </cfRule>
  </conditionalFormatting>
  <conditionalFormatting sqref="C91">
    <cfRule type="cellIs" dxfId="18543" priority="5223" stopIfTrue="1" operator="equal">
      <formula>"Towel"</formula>
    </cfRule>
    <cfRule type="cellIs" dxfId="18542" priority="5224" stopIfTrue="1" operator="equal">
      <formula>"Napkin Hs"</formula>
    </cfRule>
  </conditionalFormatting>
  <conditionalFormatting sqref="B91:C91">
    <cfRule type="cellIs" dxfId="18541" priority="5221" stopIfTrue="1" operator="equal">
      <formula>"Towel"</formula>
    </cfRule>
    <cfRule type="cellIs" dxfId="18540" priority="5222" stopIfTrue="1" operator="equal">
      <formula>"Napkin Hs"</formula>
    </cfRule>
  </conditionalFormatting>
  <conditionalFormatting sqref="C91">
    <cfRule type="cellIs" dxfId="18539" priority="5229" stopIfTrue="1" operator="equal">
      <formula>"Towel"</formula>
    </cfRule>
    <cfRule type="cellIs" dxfId="18538" priority="5230" stopIfTrue="1" operator="equal">
      <formula>"Napkin Hs"</formula>
    </cfRule>
  </conditionalFormatting>
  <conditionalFormatting sqref="C91">
    <cfRule type="cellIs" dxfId="18537" priority="5231" stopIfTrue="1" operator="equal">
      <formula>"Towel"</formula>
    </cfRule>
    <cfRule type="cellIs" dxfId="18536" priority="5232" stopIfTrue="1" operator="equal">
      <formula>"Napkin Hs"</formula>
    </cfRule>
  </conditionalFormatting>
  <conditionalFormatting sqref="B92">
    <cfRule type="cellIs" dxfId="18535" priority="5219" stopIfTrue="1" operator="equal">
      <formula>"Towel"</formula>
    </cfRule>
    <cfRule type="cellIs" dxfId="18534" priority="5220" stopIfTrue="1" operator="equal">
      <formula>"Napkin Hs"</formula>
    </cfRule>
  </conditionalFormatting>
  <conditionalFormatting sqref="C90">
    <cfRule type="cellIs" dxfId="18533" priority="5211" stopIfTrue="1" operator="equal">
      <formula>"Towel"</formula>
    </cfRule>
    <cfRule type="cellIs" dxfId="18532" priority="5212" stopIfTrue="1" operator="equal">
      <formula>"Napkin Hs"</formula>
    </cfRule>
  </conditionalFormatting>
  <conditionalFormatting sqref="B90:C90">
    <cfRule type="cellIs" dxfId="18531" priority="5213" stopIfTrue="1" operator="equal">
      <formula>"Towel"</formula>
    </cfRule>
    <cfRule type="cellIs" dxfId="18530" priority="5214" stopIfTrue="1" operator="equal">
      <formula>"Napkin Hs"</formula>
    </cfRule>
  </conditionalFormatting>
  <conditionalFormatting sqref="C90">
    <cfRule type="cellIs" dxfId="18529" priority="5209" stopIfTrue="1" operator="equal">
      <formula>"Towel"</formula>
    </cfRule>
    <cfRule type="cellIs" dxfId="18528" priority="5210" stopIfTrue="1" operator="equal">
      <formula>"Napkin Hs"</formula>
    </cfRule>
  </conditionalFormatting>
  <conditionalFormatting sqref="B90:C90">
    <cfRule type="cellIs" dxfId="18527" priority="5207" stopIfTrue="1" operator="equal">
      <formula>"Towel"</formula>
    </cfRule>
    <cfRule type="cellIs" dxfId="18526" priority="5208" stopIfTrue="1" operator="equal">
      <formula>"Napkin Hs"</formula>
    </cfRule>
  </conditionalFormatting>
  <conditionalFormatting sqref="C90">
    <cfRule type="cellIs" dxfId="18525" priority="5215" stopIfTrue="1" operator="equal">
      <formula>"Towel"</formula>
    </cfRule>
    <cfRule type="cellIs" dxfId="18524" priority="5216" stopIfTrue="1" operator="equal">
      <formula>"Napkin Hs"</formula>
    </cfRule>
  </conditionalFormatting>
  <conditionalFormatting sqref="C90">
    <cfRule type="cellIs" dxfId="18523" priority="5217" stopIfTrue="1" operator="equal">
      <formula>"Towel"</formula>
    </cfRule>
    <cfRule type="cellIs" dxfId="18522" priority="5218" stopIfTrue="1" operator="equal">
      <formula>"Napkin Hs"</formula>
    </cfRule>
  </conditionalFormatting>
  <conditionalFormatting sqref="B90:C90">
    <cfRule type="cellIs" dxfId="18521" priority="5205" stopIfTrue="1" operator="equal">
      <formula>"Towel"</formula>
    </cfRule>
    <cfRule type="cellIs" dxfId="18520" priority="5206" stopIfTrue="1" operator="equal">
      <formula>"Napkin Hs"</formula>
    </cfRule>
  </conditionalFormatting>
  <conditionalFormatting sqref="B91:C91">
    <cfRule type="cellIs" dxfId="18519" priority="5199" stopIfTrue="1" operator="equal">
      <formula>"Towel"</formula>
    </cfRule>
    <cfRule type="cellIs" dxfId="18518" priority="5200" stopIfTrue="1" operator="equal">
      <formula>"Napkin Hs"</formula>
    </cfRule>
  </conditionalFormatting>
  <conditionalFormatting sqref="C90">
    <cfRule type="cellIs" dxfId="18517" priority="5204" stopIfTrue="1" operator="equal">
      <formula>"Napkin Hs"</formula>
    </cfRule>
  </conditionalFormatting>
  <conditionalFormatting sqref="C90">
    <cfRule type="cellIs" dxfId="18516" priority="5203" stopIfTrue="1" operator="equal">
      <formula>"Towel"</formula>
    </cfRule>
  </conditionalFormatting>
  <conditionalFormatting sqref="C90">
    <cfRule type="cellIs" dxfId="18515" priority="5201" stopIfTrue="1" operator="equal">
      <formula>"Towel"</formula>
    </cfRule>
    <cfRule type="cellIs" dxfId="18514" priority="5202" stopIfTrue="1" operator="equal">
      <formula>"Napkin Hs"</formula>
    </cfRule>
  </conditionalFormatting>
  <conditionalFormatting sqref="C91">
    <cfRule type="cellIs" dxfId="18513" priority="5197" stopIfTrue="1" operator="equal">
      <formula>"Towel"</formula>
    </cfRule>
    <cfRule type="cellIs" dxfId="18512" priority="5198" stopIfTrue="1" operator="equal">
      <formula>"Napkin Hs"</formula>
    </cfRule>
  </conditionalFormatting>
  <conditionalFormatting sqref="B97:C97">
    <cfRule type="cellIs" dxfId="18511" priority="5193" stopIfTrue="1" operator="equal">
      <formula>"Towel"</formula>
    </cfRule>
    <cfRule type="cellIs" dxfId="18510" priority="5194" stopIfTrue="1" operator="equal">
      <formula>"Napkin Hs"</formula>
    </cfRule>
  </conditionalFormatting>
  <conditionalFormatting sqref="C97">
    <cfRule type="cellIs" dxfId="18509" priority="5195" stopIfTrue="1" operator="equal">
      <formula>"Towel"</formula>
    </cfRule>
    <cfRule type="cellIs" dxfId="18508" priority="5196" stopIfTrue="1" operator="equal">
      <formula>"Napkin Hs"</formula>
    </cfRule>
  </conditionalFormatting>
  <conditionalFormatting sqref="C97">
    <cfRule type="cellIs" dxfId="18507" priority="5191" stopIfTrue="1" operator="equal">
      <formula>"Towel"</formula>
    </cfRule>
    <cfRule type="cellIs" dxfId="18506" priority="5192" stopIfTrue="1" operator="equal">
      <formula>"Napkin Hs"</formula>
    </cfRule>
  </conditionalFormatting>
  <conditionalFormatting sqref="C94:C95">
    <cfRule type="cellIs" dxfId="18505" priority="5183" stopIfTrue="1" operator="equal">
      <formula>"Towel"</formula>
    </cfRule>
    <cfRule type="cellIs" dxfId="18504" priority="5184" stopIfTrue="1" operator="equal">
      <formula>"Napkin Hs"</formula>
    </cfRule>
  </conditionalFormatting>
  <conditionalFormatting sqref="C94:C95">
    <cfRule type="cellIs" dxfId="18503" priority="5181" stopIfTrue="1" operator="equal">
      <formula>"Towel"</formula>
    </cfRule>
    <cfRule type="cellIs" dxfId="18502" priority="5182" stopIfTrue="1" operator="equal">
      <formula>"Napkin Hs"</formula>
    </cfRule>
  </conditionalFormatting>
  <conditionalFormatting sqref="B94:C95">
    <cfRule type="cellIs" dxfId="18501" priority="5179" stopIfTrue="1" operator="equal">
      <formula>"Towel"</formula>
    </cfRule>
    <cfRule type="cellIs" dxfId="18500" priority="5180" stopIfTrue="1" operator="equal">
      <formula>"Napkin Hs"</formula>
    </cfRule>
  </conditionalFormatting>
  <conditionalFormatting sqref="B94:C95">
    <cfRule type="cellIs" dxfId="18499" priority="5189" stopIfTrue="1" operator="equal">
      <formula>"Towel"</formula>
    </cfRule>
    <cfRule type="cellIs" dxfId="18498" priority="5190" stopIfTrue="1" operator="equal">
      <formula>"Napkin Hs"</formula>
    </cfRule>
  </conditionalFormatting>
  <conditionalFormatting sqref="C94:C95">
    <cfRule type="cellIs" dxfId="18497" priority="5187" stopIfTrue="1" operator="equal">
      <formula>"Towel"</formula>
    </cfRule>
    <cfRule type="cellIs" dxfId="18496" priority="5188" stopIfTrue="1" operator="equal">
      <formula>"Napkin Hs"</formula>
    </cfRule>
  </conditionalFormatting>
  <conditionalFormatting sqref="C94:C95">
    <cfRule type="cellIs" dxfId="18495" priority="5185" stopIfTrue="1" operator="equal">
      <formula>"Towel"</formula>
    </cfRule>
    <cfRule type="cellIs" dxfId="18494" priority="5186" stopIfTrue="1" operator="equal">
      <formula>"Napkin Hs"</formula>
    </cfRule>
  </conditionalFormatting>
  <conditionalFormatting sqref="C94:C95">
    <cfRule type="cellIs" dxfId="18493" priority="5177" stopIfTrue="1" operator="equal">
      <formula>"Towel"</formula>
    </cfRule>
    <cfRule type="cellIs" dxfId="18492" priority="5178" stopIfTrue="1" operator="equal">
      <formula>"Napkin Hs"</formula>
    </cfRule>
  </conditionalFormatting>
  <conditionalFormatting sqref="C94:C95">
    <cfRule type="cellIs" dxfId="18491" priority="5175" stopIfTrue="1" operator="equal">
      <formula>"Towel"</formula>
    </cfRule>
    <cfRule type="cellIs" dxfId="18490" priority="5176" stopIfTrue="1" operator="equal">
      <formula>"Napkin Hs"</formula>
    </cfRule>
  </conditionalFormatting>
  <conditionalFormatting sqref="B94:C95">
    <cfRule type="cellIs" dxfId="18489" priority="5173" stopIfTrue="1" operator="equal">
      <formula>"Towel"</formula>
    </cfRule>
    <cfRule type="cellIs" dxfId="18488" priority="5174" stopIfTrue="1" operator="equal">
      <formula>"Napkin Hs"</formula>
    </cfRule>
  </conditionalFormatting>
  <conditionalFormatting sqref="B96:C96">
    <cfRule type="cellIs" dxfId="18487" priority="5171" stopIfTrue="1" operator="equal">
      <formula>"Towel"</formula>
    </cfRule>
    <cfRule type="cellIs" dxfId="18486" priority="5172" stopIfTrue="1" operator="equal">
      <formula>"Napkin Hs"</formula>
    </cfRule>
  </conditionalFormatting>
  <conditionalFormatting sqref="C96">
    <cfRule type="cellIs" dxfId="18485" priority="5169" stopIfTrue="1" operator="equal">
      <formula>"Towel"</formula>
    </cfRule>
    <cfRule type="cellIs" dxfId="18484" priority="5170" stopIfTrue="1" operator="equal">
      <formula>"Napkin Hs"</formula>
    </cfRule>
  </conditionalFormatting>
  <conditionalFormatting sqref="C96">
    <cfRule type="cellIs" dxfId="18483" priority="5167" stopIfTrue="1" operator="equal">
      <formula>"Towel"</formula>
    </cfRule>
    <cfRule type="cellIs" dxfId="18482" priority="5168" stopIfTrue="1" operator="equal">
      <formula>"Napkin Hs"</formula>
    </cfRule>
  </conditionalFormatting>
  <conditionalFormatting sqref="C96">
    <cfRule type="cellIs" dxfId="18481" priority="5159" stopIfTrue="1" operator="equal">
      <formula>"Towel"</formula>
    </cfRule>
    <cfRule type="cellIs" dxfId="18480" priority="5160" stopIfTrue="1" operator="equal">
      <formula>"Napkin Hs"</formula>
    </cfRule>
  </conditionalFormatting>
  <conditionalFormatting sqref="B96:C96">
    <cfRule type="cellIs" dxfId="18479" priority="5161" stopIfTrue="1" operator="equal">
      <formula>"Towel"</formula>
    </cfRule>
    <cfRule type="cellIs" dxfId="18478" priority="5162" stopIfTrue="1" operator="equal">
      <formula>"Napkin Hs"</formula>
    </cfRule>
  </conditionalFormatting>
  <conditionalFormatting sqref="C96">
    <cfRule type="cellIs" dxfId="18477" priority="5157" stopIfTrue="1" operator="equal">
      <formula>"Towel"</formula>
    </cfRule>
    <cfRule type="cellIs" dxfId="18476" priority="5158" stopIfTrue="1" operator="equal">
      <formula>"Napkin Hs"</formula>
    </cfRule>
  </conditionalFormatting>
  <conditionalFormatting sqref="B96:C96">
    <cfRule type="cellIs" dxfId="18475" priority="5155" stopIfTrue="1" operator="equal">
      <formula>"Towel"</formula>
    </cfRule>
    <cfRule type="cellIs" dxfId="18474" priority="5156" stopIfTrue="1" operator="equal">
      <formula>"Napkin Hs"</formula>
    </cfRule>
  </conditionalFormatting>
  <conditionalFormatting sqref="C96">
    <cfRule type="cellIs" dxfId="18473" priority="5163" stopIfTrue="1" operator="equal">
      <formula>"Towel"</formula>
    </cfRule>
    <cfRule type="cellIs" dxfId="18472" priority="5164" stopIfTrue="1" operator="equal">
      <formula>"Napkin Hs"</formula>
    </cfRule>
  </conditionalFormatting>
  <conditionalFormatting sqref="C96">
    <cfRule type="cellIs" dxfId="18471" priority="5165" stopIfTrue="1" operator="equal">
      <formula>"Towel"</formula>
    </cfRule>
    <cfRule type="cellIs" dxfId="18470" priority="5166" stopIfTrue="1" operator="equal">
      <formula>"Napkin Hs"</formula>
    </cfRule>
  </conditionalFormatting>
  <conditionalFormatting sqref="B94:C94">
    <cfRule type="cellIs" dxfId="18469" priority="5153" stopIfTrue="1" operator="equal">
      <formula>"Towel"</formula>
    </cfRule>
    <cfRule type="cellIs" dxfId="18468" priority="5154" stopIfTrue="1" operator="equal">
      <formula>"Napkin Hs"</formula>
    </cfRule>
  </conditionalFormatting>
  <conditionalFormatting sqref="C94">
    <cfRule type="cellIs" dxfId="18467" priority="5151" stopIfTrue="1" operator="equal">
      <formula>"Towel"</formula>
    </cfRule>
    <cfRule type="cellIs" dxfId="18466" priority="5152" stopIfTrue="1" operator="equal">
      <formula>"Napkin Hs"</formula>
    </cfRule>
  </conditionalFormatting>
  <conditionalFormatting sqref="C94">
    <cfRule type="cellIs" dxfId="18465" priority="5149" stopIfTrue="1" operator="equal">
      <formula>"Towel"</formula>
    </cfRule>
    <cfRule type="cellIs" dxfId="18464" priority="5150" stopIfTrue="1" operator="equal">
      <formula>"Napkin Hs"</formula>
    </cfRule>
  </conditionalFormatting>
  <conditionalFormatting sqref="C94">
    <cfRule type="cellIs" dxfId="18463" priority="5141" stopIfTrue="1" operator="equal">
      <formula>"Towel"</formula>
    </cfRule>
    <cfRule type="cellIs" dxfId="18462" priority="5142" stopIfTrue="1" operator="equal">
      <formula>"Napkin Hs"</formula>
    </cfRule>
  </conditionalFormatting>
  <conditionalFormatting sqref="B94:C94">
    <cfRule type="cellIs" dxfId="18461" priority="5143" stopIfTrue="1" operator="equal">
      <formula>"Towel"</formula>
    </cfRule>
    <cfRule type="cellIs" dxfId="18460" priority="5144" stopIfTrue="1" operator="equal">
      <formula>"Napkin Hs"</formula>
    </cfRule>
  </conditionalFormatting>
  <conditionalFormatting sqref="C94">
    <cfRule type="cellIs" dxfId="18459" priority="5139" stopIfTrue="1" operator="equal">
      <formula>"Towel"</formula>
    </cfRule>
    <cfRule type="cellIs" dxfId="18458" priority="5140" stopIfTrue="1" operator="equal">
      <formula>"Napkin Hs"</formula>
    </cfRule>
  </conditionalFormatting>
  <conditionalFormatting sqref="B94:C94">
    <cfRule type="cellIs" dxfId="18457" priority="5137" stopIfTrue="1" operator="equal">
      <formula>"Towel"</formula>
    </cfRule>
    <cfRule type="cellIs" dxfId="18456" priority="5138" stopIfTrue="1" operator="equal">
      <formula>"Napkin Hs"</formula>
    </cfRule>
  </conditionalFormatting>
  <conditionalFormatting sqref="C94">
    <cfRule type="cellIs" dxfId="18455" priority="5145" stopIfTrue="1" operator="equal">
      <formula>"Towel"</formula>
    </cfRule>
    <cfRule type="cellIs" dxfId="18454" priority="5146" stopIfTrue="1" operator="equal">
      <formula>"Napkin Hs"</formula>
    </cfRule>
  </conditionalFormatting>
  <conditionalFormatting sqref="C94">
    <cfRule type="cellIs" dxfId="18453" priority="5147" stopIfTrue="1" operator="equal">
      <formula>"Towel"</formula>
    </cfRule>
    <cfRule type="cellIs" dxfId="18452" priority="5148" stopIfTrue="1" operator="equal">
      <formula>"Napkin Hs"</formula>
    </cfRule>
  </conditionalFormatting>
  <conditionalFormatting sqref="B94:C94">
    <cfRule type="cellIs" dxfId="18451" priority="5135" stopIfTrue="1" operator="equal">
      <formula>"Towel"</formula>
    </cfRule>
    <cfRule type="cellIs" dxfId="18450" priority="5136" stopIfTrue="1" operator="equal">
      <formula>"Napkin Hs"</formula>
    </cfRule>
  </conditionalFormatting>
  <conditionalFormatting sqref="C94">
    <cfRule type="cellIs" dxfId="18449" priority="5134" stopIfTrue="1" operator="equal">
      <formula>"Napkin Hs"</formula>
    </cfRule>
  </conditionalFormatting>
  <conditionalFormatting sqref="C94">
    <cfRule type="cellIs" dxfId="18448" priority="5133" stopIfTrue="1" operator="equal">
      <formula>"Towel"</formula>
    </cfRule>
  </conditionalFormatting>
  <conditionalFormatting sqref="C94">
    <cfRule type="cellIs" dxfId="18447" priority="5131" stopIfTrue="1" operator="equal">
      <formula>"Towel"</formula>
    </cfRule>
    <cfRule type="cellIs" dxfId="18446" priority="5132" stopIfTrue="1" operator="equal">
      <formula>"Napkin Hs"</formula>
    </cfRule>
  </conditionalFormatting>
  <conditionalFormatting sqref="B94:C94">
    <cfRule type="cellIs" dxfId="18445" priority="5129" stopIfTrue="1" operator="equal">
      <formula>"Towel"</formula>
    </cfRule>
    <cfRule type="cellIs" dxfId="18444" priority="5130" stopIfTrue="1" operator="equal">
      <formula>"Napkin Hs"</formula>
    </cfRule>
  </conditionalFormatting>
  <conditionalFormatting sqref="C94">
    <cfRule type="cellIs" dxfId="18443" priority="5125" stopIfTrue="1" operator="equal">
      <formula>"Towel"</formula>
    </cfRule>
    <cfRule type="cellIs" dxfId="18442" priority="5126" stopIfTrue="1" operator="equal">
      <formula>"Napkin Hs"</formula>
    </cfRule>
  </conditionalFormatting>
  <conditionalFormatting sqref="C94">
    <cfRule type="cellIs" dxfId="18441" priority="5127" stopIfTrue="1" operator="equal">
      <formula>"Towel"</formula>
    </cfRule>
    <cfRule type="cellIs" dxfId="18440" priority="5128" stopIfTrue="1" operator="equal">
      <formula>"Napkin Hs"</formula>
    </cfRule>
  </conditionalFormatting>
  <conditionalFormatting sqref="B95:C95">
    <cfRule type="cellIs" dxfId="18439" priority="5123" stopIfTrue="1" operator="equal">
      <formula>"Towel"</formula>
    </cfRule>
    <cfRule type="cellIs" dxfId="18438" priority="5124" stopIfTrue="1" operator="equal">
      <formula>"Napkin Hs"</formula>
    </cfRule>
  </conditionalFormatting>
  <conditionalFormatting sqref="C95">
    <cfRule type="cellIs" dxfId="18437" priority="5119" stopIfTrue="1" operator="equal">
      <formula>"Towel"</formula>
    </cfRule>
    <cfRule type="cellIs" dxfId="18436" priority="5120" stopIfTrue="1" operator="equal">
      <formula>"Napkin Hs"</formula>
    </cfRule>
  </conditionalFormatting>
  <conditionalFormatting sqref="C95">
    <cfRule type="cellIs" dxfId="18435" priority="5121" stopIfTrue="1" operator="equal">
      <formula>"Towel"</formula>
    </cfRule>
    <cfRule type="cellIs" dxfId="18434" priority="5122" stopIfTrue="1" operator="equal">
      <formula>"Napkin Hs"</formula>
    </cfRule>
  </conditionalFormatting>
  <conditionalFormatting sqref="B95:C95">
    <cfRule type="cellIs" dxfId="18433" priority="5117" stopIfTrue="1" operator="equal">
      <formula>"Towel"</formula>
    </cfRule>
    <cfRule type="cellIs" dxfId="18432" priority="5118" stopIfTrue="1" operator="equal">
      <formula>"Napkin Hs"</formula>
    </cfRule>
  </conditionalFormatting>
  <conditionalFormatting sqref="C95">
    <cfRule type="cellIs" dxfId="18431" priority="5115" stopIfTrue="1" operator="equal">
      <formula>"Towel"</formula>
    </cfRule>
    <cfRule type="cellIs" dxfId="18430" priority="5116" stopIfTrue="1" operator="equal">
      <formula>"Napkin Hs"</formula>
    </cfRule>
  </conditionalFormatting>
  <conditionalFormatting sqref="C95">
    <cfRule type="cellIs" dxfId="18429" priority="5113" stopIfTrue="1" operator="equal">
      <formula>"Towel"</formula>
    </cfRule>
    <cfRule type="cellIs" dxfId="18428" priority="5114" stopIfTrue="1" operator="equal">
      <formula>"Napkin Hs"</formula>
    </cfRule>
  </conditionalFormatting>
  <conditionalFormatting sqref="B94:C94">
    <cfRule type="cellIs" dxfId="18427" priority="5111" stopIfTrue="1" operator="equal">
      <formula>"Towel"</formula>
    </cfRule>
    <cfRule type="cellIs" dxfId="18426" priority="5112" stopIfTrue="1" operator="equal">
      <formula>"Napkin Hs"</formula>
    </cfRule>
  </conditionalFormatting>
  <conditionalFormatting sqref="C94">
    <cfRule type="cellIs" dxfId="18425" priority="5109" stopIfTrue="1" operator="equal">
      <formula>"Towel"</formula>
    </cfRule>
    <cfRule type="cellIs" dxfId="18424" priority="5110" stopIfTrue="1" operator="equal">
      <formula>"Napkin Hs"</formula>
    </cfRule>
  </conditionalFormatting>
  <conditionalFormatting sqref="C94">
    <cfRule type="cellIs" dxfId="18423" priority="5107" stopIfTrue="1" operator="equal">
      <formula>"Towel"</formula>
    </cfRule>
    <cfRule type="cellIs" dxfId="18422" priority="5108" stopIfTrue="1" operator="equal">
      <formula>"Napkin Hs"</formula>
    </cfRule>
  </conditionalFormatting>
  <conditionalFormatting sqref="C94">
    <cfRule type="cellIs" dxfId="18421" priority="5099" stopIfTrue="1" operator="equal">
      <formula>"Towel"</formula>
    </cfRule>
    <cfRule type="cellIs" dxfId="18420" priority="5100" stopIfTrue="1" operator="equal">
      <formula>"Napkin Hs"</formula>
    </cfRule>
  </conditionalFormatting>
  <conditionalFormatting sqref="B94:C94">
    <cfRule type="cellIs" dxfId="18419" priority="5101" stopIfTrue="1" operator="equal">
      <formula>"Towel"</formula>
    </cfRule>
    <cfRule type="cellIs" dxfId="18418" priority="5102" stopIfTrue="1" operator="equal">
      <formula>"Napkin Hs"</formula>
    </cfRule>
  </conditionalFormatting>
  <conditionalFormatting sqref="C94">
    <cfRule type="cellIs" dxfId="18417" priority="5097" stopIfTrue="1" operator="equal">
      <formula>"Towel"</formula>
    </cfRule>
    <cfRule type="cellIs" dxfId="18416" priority="5098" stopIfTrue="1" operator="equal">
      <formula>"Napkin Hs"</formula>
    </cfRule>
  </conditionalFormatting>
  <conditionalFormatting sqref="B94:C94">
    <cfRule type="cellIs" dxfId="18415" priority="5095" stopIfTrue="1" operator="equal">
      <formula>"Towel"</formula>
    </cfRule>
    <cfRule type="cellIs" dxfId="18414" priority="5096" stopIfTrue="1" operator="equal">
      <formula>"Napkin Hs"</formula>
    </cfRule>
  </conditionalFormatting>
  <conditionalFormatting sqref="C94">
    <cfRule type="cellIs" dxfId="18413" priority="5103" stopIfTrue="1" operator="equal">
      <formula>"Towel"</formula>
    </cfRule>
    <cfRule type="cellIs" dxfId="18412" priority="5104" stopIfTrue="1" operator="equal">
      <formula>"Napkin Hs"</formula>
    </cfRule>
  </conditionalFormatting>
  <conditionalFormatting sqref="C94">
    <cfRule type="cellIs" dxfId="18411" priority="5105" stopIfTrue="1" operator="equal">
      <formula>"Towel"</formula>
    </cfRule>
    <cfRule type="cellIs" dxfId="18410" priority="5106" stopIfTrue="1" operator="equal">
      <formula>"Napkin Hs"</formula>
    </cfRule>
  </conditionalFormatting>
  <conditionalFormatting sqref="C97">
    <cfRule type="cellIs" dxfId="18409" priority="5087" stopIfTrue="1" operator="equal">
      <formula>"Towel"</formula>
    </cfRule>
    <cfRule type="cellIs" dxfId="18408" priority="5088" stopIfTrue="1" operator="equal">
      <formula>"Napkin Hs"</formula>
    </cfRule>
  </conditionalFormatting>
  <conditionalFormatting sqref="C97">
    <cfRule type="cellIs" dxfId="18407" priority="5085" stopIfTrue="1" operator="equal">
      <formula>"Towel"</formula>
    </cfRule>
    <cfRule type="cellIs" dxfId="18406" priority="5086" stopIfTrue="1" operator="equal">
      <formula>"Napkin Hs"</formula>
    </cfRule>
  </conditionalFormatting>
  <conditionalFormatting sqref="B97:C97">
    <cfRule type="cellIs" dxfId="18405" priority="5083" stopIfTrue="1" operator="equal">
      <formula>"Towel"</formula>
    </cfRule>
    <cfRule type="cellIs" dxfId="18404" priority="5084" stopIfTrue="1" operator="equal">
      <formula>"Napkin Hs"</formula>
    </cfRule>
  </conditionalFormatting>
  <conditionalFormatting sqref="B97:C97">
    <cfRule type="cellIs" dxfId="18403" priority="5093" stopIfTrue="1" operator="equal">
      <formula>"Towel"</formula>
    </cfRule>
    <cfRule type="cellIs" dxfId="18402" priority="5094" stopIfTrue="1" operator="equal">
      <formula>"Napkin Hs"</formula>
    </cfRule>
  </conditionalFormatting>
  <conditionalFormatting sqref="C97">
    <cfRule type="cellIs" dxfId="18401" priority="5091" stopIfTrue="1" operator="equal">
      <formula>"Towel"</formula>
    </cfRule>
    <cfRule type="cellIs" dxfId="18400" priority="5092" stopIfTrue="1" operator="equal">
      <formula>"Napkin Hs"</formula>
    </cfRule>
  </conditionalFormatting>
  <conditionalFormatting sqref="C97">
    <cfRule type="cellIs" dxfId="18399" priority="5089" stopIfTrue="1" operator="equal">
      <formula>"Towel"</formula>
    </cfRule>
    <cfRule type="cellIs" dxfId="18398" priority="5090" stopIfTrue="1" operator="equal">
      <formula>"Napkin Hs"</formula>
    </cfRule>
  </conditionalFormatting>
  <conditionalFormatting sqref="C96">
    <cfRule type="cellIs" dxfId="18397" priority="5069" stopIfTrue="1" operator="equal">
      <formula>"Towel"</formula>
    </cfRule>
    <cfRule type="cellIs" dxfId="18396" priority="5070" stopIfTrue="1" operator="equal">
      <formula>"Napkin Hs"</formula>
    </cfRule>
  </conditionalFormatting>
  <conditionalFormatting sqref="B96:C96">
    <cfRule type="cellIs" dxfId="18395" priority="5065" stopIfTrue="1" operator="equal">
      <formula>"Towel"</formula>
    </cfRule>
    <cfRule type="cellIs" dxfId="18394" priority="5066" stopIfTrue="1" operator="equal">
      <formula>"Napkin Hs"</formula>
    </cfRule>
  </conditionalFormatting>
  <conditionalFormatting sqref="C96">
    <cfRule type="cellIs" dxfId="18393" priority="5067" stopIfTrue="1" operator="equal">
      <formula>"Towel"</formula>
    </cfRule>
    <cfRule type="cellIs" dxfId="18392" priority="5068" stopIfTrue="1" operator="equal">
      <formula>"Napkin Hs"</formula>
    </cfRule>
  </conditionalFormatting>
  <conditionalFormatting sqref="C96">
    <cfRule type="cellIs" dxfId="18391" priority="5063" stopIfTrue="1" operator="equal">
      <formula>"Towel"</formula>
    </cfRule>
    <cfRule type="cellIs" dxfId="18390" priority="5064" stopIfTrue="1" operator="equal">
      <formula>"Napkin Hs"</formula>
    </cfRule>
  </conditionalFormatting>
  <conditionalFormatting sqref="B96:C96">
    <cfRule type="cellIs" dxfId="18389" priority="5059" stopIfTrue="1" operator="equal">
      <formula>"Towel"</formula>
    </cfRule>
    <cfRule type="cellIs" dxfId="18388" priority="5060" stopIfTrue="1" operator="equal">
      <formula>"Napkin Hs"</formula>
    </cfRule>
  </conditionalFormatting>
  <conditionalFormatting sqref="C96">
    <cfRule type="cellIs" dxfId="18387" priority="5061" stopIfTrue="1" operator="equal">
      <formula>"Towel"</formula>
    </cfRule>
    <cfRule type="cellIs" dxfId="18386" priority="5062" stopIfTrue="1" operator="equal">
      <formula>"Napkin Hs"</formula>
    </cfRule>
  </conditionalFormatting>
  <conditionalFormatting sqref="C97">
    <cfRule type="cellIs" dxfId="18385" priority="5081" stopIfTrue="1" operator="equal">
      <formula>"Towel"</formula>
    </cfRule>
    <cfRule type="cellIs" dxfId="18384" priority="5082" stopIfTrue="1" operator="equal">
      <formula>"Napkin Hs"</formula>
    </cfRule>
  </conditionalFormatting>
  <conditionalFormatting sqref="C97">
    <cfRule type="cellIs" dxfId="18383" priority="5079" stopIfTrue="1" operator="equal">
      <formula>"Towel"</formula>
    </cfRule>
    <cfRule type="cellIs" dxfId="18382" priority="5080" stopIfTrue="1" operator="equal">
      <formula>"Napkin Hs"</formula>
    </cfRule>
  </conditionalFormatting>
  <conditionalFormatting sqref="B97:C97">
    <cfRule type="cellIs" dxfId="18381" priority="5077" stopIfTrue="1" operator="equal">
      <formula>"Towel"</formula>
    </cfRule>
    <cfRule type="cellIs" dxfId="18380" priority="5078" stopIfTrue="1" operator="equal">
      <formula>"Napkin Hs"</formula>
    </cfRule>
  </conditionalFormatting>
  <conditionalFormatting sqref="B96:C96">
    <cfRule type="cellIs" dxfId="18379" priority="5075" stopIfTrue="1" operator="equal">
      <formula>"Towel"</formula>
    </cfRule>
    <cfRule type="cellIs" dxfId="18378" priority="5076" stopIfTrue="1" operator="equal">
      <formula>"Napkin Hs"</formula>
    </cfRule>
  </conditionalFormatting>
  <conditionalFormatting sqref="C96">
    <cfRule type="cellIs" dxfId="18377" priority="5073" stopIfTrue="1" operator="equal">
      <formula>"Towel"</formula>
    </cfRule>
    <cfRule type="cellIs" dxfId="18376" priority="5074" stopIfTrue="1" operator="equal">
      <formula>"Napkin Hs"</formula>
    </cfRule>
  </conditionalFormatting>
  <conditionalFormatting sqref="C96">
    <cfRule type="cellIs" dxfId="18375" priority="5071" stopIfTrue="1" operator="equal">
      <formula>"Towel"</formula>
    </cfRule>
    <cfRule type="cellIs" dxfId="18374" priority="5072" stopIfTrue="1" operator="equal">
      <formula>"Napkin Hs"</formula>
    </cfRule>
  </conditionalFormatting>
  <conditionalFormatting sqref="B94:C94">
    <cfRule type="cellIs" dxfId="18373" priority="5057" stopIfTrue="1" operator="equal">
      <formula>"Towel"</formula>
    </cfRule>
    <cfRule type="cellIs" dxfId="18372" priority="5058" stopIfTrue="1" operator="equal">
      <formula>"Napkin Hs"</formula>
    </cfRule>
  </conditionalFormatting>
  <conditionalFormatting sqref="C94">
    <cfRule type="cellIs" dxfId="18371" priority="5056" stopIfTrue="1" operator="equal">
      <formula>"Napkin Hs"</formula>
    </cfRule>
  </conditionalFormatting>
  <conditionalFormatting sqref="C94">
    <cfRule type="cellIs" dxfId="18370" priority="5055" stopIfTrue="1" operator="equal">
      <formula>"Towel"</formula>
    </cfRule>
  </conditionalFormatting>
  <conditionalFormatting sqref="C94">
    <cfRule type="cellIs" dxfId="18369" priority="5053" stopIfTrue="1" operator="equal">
      <formula>"Towel"</formula>
    </cfRule>
    <cfRule type="cellIs" dxfId="18368" priority="5054" stopIfTrue="1" operator="equal">
      <formula>"Napkin Hs"</formula>
    </cfRule>
  </conditionalFormatting>
  <conditionalFormatting sqref="B94:C94">
    <cfRule type="cellIs" dxfId="18367" priority="5051" stopIfTrue="1" operator="equal">
      <formula>"Towel"</formula>
    </cfRule>
    <cfRule type="cellIs" dxfId="18366" priority="5052" stopIfTrue="1" operator="equal">
      <formula>"Napkin Hs"</formula>
    </cfRule>
  </conditionalFormatting>
  <conditionalFormatting sqref="C94">
    <cfRule type="cellIs" dxfId="18365" priority="5047" stopIfTrue="1" operator="equal">
      <formula>"Towel"</formula>
    </cfRule>
    <cfRule type="cellIs" dxfId="18364" priority="5048" stopIfTrue="1" operator="equal">
      <formula>"Napkin Hs"</formula>
    </cfRule>
  </conditionalFormatting>
  <conditionalFormatting sqref="C94">
    <cfRule type="cellIs" dxfId="18363" priority="5049" stopIfTrue="1" operator="equal">
      <formula>"Towel"</formula>
    </cfRule>
    <cfRule type="cellIs" dxfId="18362" priority="5050" stopIfTrue="1" operator="equal">
      <formula>"Napkin Hs"</formula>
    </cfRule>
  </conditionalFormatting>
  <conditionalFormatting sqref="B94:C94">
    <cfRule type="cellIs" dxfId="18361" priority="5045" stopIfTrue="1" operator="equal">
      <formula>"Towel"</formula>
    </cfRule>
    <cfRule type="cellIs" dxfId="18360" priority="5046" stopIfTrue="1" operator="equal">
      <formula>"Napkin Hs"</formula>
    </cfRule>
  </conditionalFormatting>
  <conditionalFormatting sqref="B95:C95">
    <cfRule type="cellIs" dxfId="18359" priority="5039" stopIfTrue="1" operator="equal">
      <formula>"Towel"</formula>
    </cfRule>
    <cfRule type="cellIs" dxfId="18358" priority="5040" stopIfTrue="1" operator="equal">
      <formula>"Napkin Hs"</formula>
    </cfRule>
  </conditionalFormatting>
  <conditionalFormatting sqref="C94">
    <cfRule type="cellIs" dxfId="18357" priority="5044" stopIfTrue="1" operator="equal">
      <formula>"Napkin Hs"</formula>
    </cfRule>
  </conditionalFormatting>
  <conditionalFormatting sqref="C94">
    <cfRule type="cellIs" dxfId="18356" priority="5043" stopIfTrue="1" operator="equal">
      <formula>"Towel"</formula>
    </cfRule>
  </conditionalFormatting>
  <conditionalFormatting sqref="C94">
    <cfRule type="cellIs" dxfId="18355" priority="5041" stopIfTrue="1" operator="equal">
      <formula>"Towel"</formula>
    </cfRule>
    <cfRule type="cellIs" dxfId="18354" priority="5042" stopIfTrue="1" operator="equal">
      <formula>"Napkin Hs"</formula>
    </cfRule>
  </conditionalFormatting>
  <conditionalFormatting sqref="C95">
    <cfRule type="cellIs" dxfId="18353" priority="5037" stopIfTrue="1" operator="equal">
      <formula>"Towel"</formula>
    </cfRule>
    <cfRule type="cellIs" dxfId="18352" priority="5038" stopIfTrue="1" operator="equal">
      <formula>"Napkin Hs"</formula>
    </cfRule>
  </conditionalFormatting>
  <conditionalFormatting sqref="C95">
    <cfRule type="cellIs" dxfId="18351" priority="5035" stopIfTrue="1" operator="equal">
      <formula>"Towel"</formula>
    </cfRule>
    <cfRule type="cellIs" dxfId="18350" priority="5036" stopIfTrue="1" operator="equal">
      <formula>"Napkin Hs"</formula>
    </cfRule>
  </conditionalFormatting>
  <conditionalFormatting sqref="C95">
    <cfRule type="cellIs" dxfId="18349" priority="5033" stopIfTrue="1" operator="equal">
      <formula>"Towel"</formula>
    </cfRule>
    <cfRule type="cellIs" dxfId="18348" priority="5034" stopIfTrue="1" operator="equal">
      <formula>"Napkin Hs"</formula>
    </cfRule>
  </conditionalFormatting>
  <conditionalFormatting sqref="B95:C95">
    <cfRule type="cellIs" dxfId="18347" priority="5029" stopIfTrue="1" operator="equal">
      <formula>"Towel"</formula>
    </cfRule>
    <cfRule type="cellIs" dxfId="18346" priority="5030" stopIfTrue="1" operator="equal">
      <formula>"Napkin Hs"</formula>
    </cfRule>
  </conditionalFormatting>
  <conditionalFormatting sqref="C95">
    <cfRule type="cellIs" dxfId="18345" priority="5031" stopIfTrue="1" operator="equal">
      <formula>"Towel"</formula>
    </cfRule>
    <cfRule type="cellIs" dxfId="18344" priority="5032" stopIfTrue="1" operator="equal">
      <formula>"Napkin Hs"</formula>
    </cfRule>
  </conditionalFormatting>
  <conditionalFormatting sqref="C95">
    <cfRule type="cellIs" dxfId="18343" priority="5027" stopIfTrue="1" operator="equal">
      <formula>"Towel"</formula>
    </cfRule>
    <cfRule type="cellIs" dxfId="18342" priority="5028" stopIfTrue="1" operator="equal">
      <formula>"Napkin Hs"</formula>
    </cfRule>
  </conditionalFormatting>
  <conditionalFormatting sqref="B96:C97">
    <cfRule type="cellIs" dxfId="18341" priority="5021" stopIfTrue="1" operator="equal">
      <formula>"Towel"</formula>
    </cfRule>
    <cfRule type="cellIs" dxfId="18340" priority="5022" stopIfTrue="1" operator="equal">
      <formula>"Napkin Hs"</formula>
    </cfRule>
  </conditionalFormatting>
  <conditionalFormatting sqref="B95:C95">
    <cfRule type="cellIs" dxfId="18339" priority="5023" stopIfTrue="1" operator="equal">
      <formula>"Towel"</formula>
    </cfRule>
    <cfRule type="cellIs" dxfId="18338" priority="5024" stopIfTrue="1" operator="equal">
      <formula>"Napkin Hs"</formula>
    </cfRule>
  </conditionalFormatting>
  <conditionalFormatting sqref="C95">
    <cfRule type="cellIs" dxfId="18337" priority="5025" stopIfTrue="1" operator="equal">
      <formula>"Towel"</formula>
    </cfRule>
    <cfRule type="cellIs" dxfId="18336" priority="5026" stopIfTrue="1" operator="equal">
      <formula>"Napkin Hs"</formula>
    </cfRule>
  </conditionalFormatting>
  <conditionalFormatting sqref="C96:C97">
    <cfRule type="cellIs" dxfId="18335" priority="5019" stopIfTrue="1" operator="equal">
      <formula>"Towel"</formula>
    </cfRule>
    <cfRule type="cellIs" dxfId="18334" priority="5020" stopIfTrue="1" operator="equal">
      <formula>"Napkin Hs"</formula>
    </cfRule>
  </conditionalFormatting>
  <conditionalFormatting sqref="C96:C97">
    <cfRule type="cellIs" dxfId="18333" priority="5017" stopIfTrue="1" operator="equal">
      <formula>"Towel"</formula>
    </cfRule>
    <cfRule type="cellIs" dxfId="18332" priority="5018" stopIfTrue="1" operator="equal">
      <formula>"Napkin Hs"</formula>
    </cfRule>
  </conditionalFormatting>
  <conditionalFormatting sqref="C96:C97">
    <cfRule type="cellIs" dxfId="18331" priority="5009" stopIfTrue="1" operator="equal">
      <formula>"Towel"</formula>
    </cfRule>
    <cfRule type="cellIs" dxfId="18330" priority="5010" stopIfTrue="1" operator="equal">
      <formula>"Napkin Hs"</formula>
    </cfRule>
  </conditionalFormatting>
  <conditionalFormatting sqref="B96:C97">
    <cfRule type="cellIs" dxfId="18329" priority="5011" stopIfTrue="1" operator="equal">
      <formula>"Towel"</formula>
    </cfRule>
    <cfRule type="cellIs" dxfId="18328" priority="5012" stopIfTrue="1" operator="equal">
      <formula>"Napkin Hs"</formula>
    </cfRule>
  </conditionalFormatting>
  <conditionalFormatting sqref="C96:C97">
    <cfRule type="cellIs" dxfId="18327" priority="5007" stopIfTrue="1" operator="equal">
      <formula>"Towel"</formula>
    </cfRule>
    <cfRule type="cellIs" dxfId="18326" priority="5008" stopIfTrue="1" operator="equal">
      <formula>"Napkin Hs"</formula>
    </cfRule>
  </conditionalFormatting>
  <conditionalFormatting sqref="B96:C97">
    <cfRule type="cellIs" dxfId="18325" priority="5005" stopIfTrue="1" operator="equal">
      <formula>"Towel"</formula>
    </cfRule>
    <cfRule type="cellIs" dxfId="18324" priority="5006" stopIfTrue="1" operator="equal">
      <formula>"Napkin Hs"</formula>
    </cfRule>
  </conditionalFormatting>
  <conditionalFormatting sqref="C96:C97">
    <cfRule type="cellIs" dxfId="18323" priority="5013" stopIfTrue="1" operator="equal">
      <formula>"Towel"</formula>
    </cfRule>
    <cfRule type="cellIs" dxfId="18322" priority="5014" stopIfTrue="1" operator="equal">
      <formula>"Napkin Hs"</formula>
    </cfRule>
  </conditionalFormatting>
  <conditionalFormatting sqref="C96:C97">
    <cfRule type="cellIs" dxfId="18321" priority="5015" stopIfTrue="1" operator="equal">
      <formula>"Towel"</formula>
    </cfRule>
    <cfRule type="cellIs" dxfId="18320" priority="5016" stopIfTrue="1" operator="equal">
      <formula>"Napkin Hs"</formula>
    </cfRule>
  </conditionalFormatting>
  <conditionalFormatting sqref="B95:C95">
    <cfRule type="cellIs" dxfId="18319" priority="5003" stopIfTrue="1" operator="equal">
      <formula>"Towel"</formula>
    </cfRule>
    <cfRule type="cellIs" dxfId="18318" priority="5004" stopIfTrue="1" operator="equal">
      <formula>"Napkin Hs"</formula>
    </cfRule>
  </conditionalFormatting>
  <conditionalFormatting sqref="B94:C94">
    <cfRule type="cellIs" dxfId="18317" priority="4999" stopIfTrue="1" operator="equal">
      <formula>"Towel"</formula>
    </cfRule>
    <cfRule type="cellIs" dxfId="18316" priority="5000" stopIfTrue="1" operator="equal">
      <formula>"Napkin Hs"</formula>
    </cfRule>
  </conditionalFormatting>
  <conditionalFormatting sqref="C95">
    <cfRule type="cellIs" dxfId="18315" priority="5002" stopIfTrue="1" operator="equal">
      <formula>"Napkin Hs"</formula>
    </cfRule>
  </conditionalFormatting>
  <conditionalFormatting sqref="C95">
    <cfRule type="cellIs" dxfId="18314" priority="5001" stopIfTrue="1" operator="equal">
      <formula>"Towel"</formula>
    </cfRule>
  </conditionalFormatting>
  <conditionalFormatting sqref="C94">
    <cfRule type="cellIs" dxfId="18313" priority="4995" stopIfTrue="1" operator="equal">
      <formula>"Towel"</formula>
    </cfRule>
    <cfRule type="cellIs" dxfId="18312" priority="4996" stopIfTrue="1" operator="equal">
      <formula>"Napkin Hs"</formula>
    </cfRule>
  </conditionalFormatting>
  <conditionalFormatting sqref="C94:C95">
    <cfRule type="cellIs" dxfId="18311" priority="4997" stopIfTrue="1" operator="equal">
      <formula>"Towel"</formula>
    </cfRule>
    <cfRule type="cellIs" dxfId="18310" priority="4998" stopIfTrue="1" operator="equal">
      <formula>"Napkin Hs"</formula>
    </cfRule>
  </conditionalFormatting>
  <conditionalFormatting sqref="B94:C94">
    <cfRule type="cellIs" dxfId="18309" priority="4993" stopIfTrue="1" operator="equal">
      <formula>"Towel"</formula>
    </cfRule>
    <cfRule type="cellIs" dxfId="18308" priority="4994" stopIfTrue="1" operator="equal">
      <formula>"Napkin Hs"</formula>
    </cfRule>
  </conditionalFormatting>
  <conditionalFormatting sqref="C94">
    <cfRule type="cellIs" dxfId="18307" priority="4992" stopIfTrue="1" operator="equal">
      <formula>"Napkin Hs"</formula>
    </cfRule>
  </conditionalFormatting>
  <conditionalFormatting sqref="C94">
    <cfRule type="cellIs" dxfId="18306" priority="4991" stopIfTrue="1" operator="equal">
      <formula>"Towel"</formula>
    </cfRule>
  </conditionalFormatting>
  <conditionalFormatting sqref="C94">
    <cfRule type="cellIs" dxfId="18305" priority="4989" stopIfTrue="1" operator="equal">
      <formula>"Towel"</formula>
    </cfRule>
    <cfRule type="cellIs" dxfId="18304" priority="4990" stopIfTrue="1" operator="equal">
      <formula>"Napkin Hs"</formula>
    </cfRule>
  </conditionalFormatting>
  <conditionalFormatting sqref="C97">
    <cfRule type="cellIs" dxfId="18303" priority="4985" stopIfTrue="1" operator="equal">
      <formula>"Towel"</formula>
    </cfRule>
    <cfRule type="cellIs" dxfId="18302" priority="4986" stopIfTrue="1" operator="equal">
      <formula>"Napkin Hs"</formula>
    </cfRule>
  </conditionalFormatting>
  <conditionalFormatting sqref="C97">
    <cfRule type="cellIs" dxfId="18301" priority="4987" stopIfTrue="1" operator="equal">
      <formula>"Towel"</formula>
    </cfRule>
    <cfRule type="cellIs" dxfId="18300" priority="4988" stopIfTrue="1" operator="equal">
      <formula>"Napkin Hs"</formula>
    </cfRule>
  </conditionalFormatting>
  <conditionalFormatting sqref="B97:C97">
    <cfRule type="cellIs" dxfId="18299" priority="4983" stopIfTrue="1" operator="equal">
      <formula>"Towel"</formula>
    </cfRule>
    <cfRule type="cellIs" dxfId="18298" priority="4984" stopIfTrue="1" operator="equal">
      <formula>"Napkin Hs"</formula>
    </cfRule>
  </conditionalFormatting>
  <conditionalFormatting sqref="B97:C97">
    <cfRule type="cellIs" dxfId="18297" priority="4977" stopIfTrue="1" operator="equal">
      <formula>"Towel"</formula>
    </cfRule>
    <cfRule type="cellIs" dxfId="18296" priority="4978" stopIfTrue="1" operator="equal">
      <formula>"Napkin Hs"</formula>
    </cfRule>
  </conditionalFormatting>
  <conditionalFormatting sqref="C97">
    <cfRule type="cellIs" dxfId="18295" priority="4979" stopIfTrue="1" operator="equal">
      <formula>"Towel"</formula>
    </cfRule>
    <cfRule type="cellIs" dxfId="18294" priority="4980" stopIfTrue="1" operator="equal">
      <formula>"Napkin Hs"</formula>
    </cfRule>
  </conditionalFormatting>
  <conditionalFormatting sqref="C97">
    <cfRule type="cellIs" dxfId="18293" priority="4981" stopIfTrue="1" operator="equal">
      <formula>"Towel"</formula>
    </cfRule>
    <cfRule type="cellIs" dxfId="18292" priority="4982" stopIfTrue="1" operator="equal">
      <formula>"Napkin Hs"</formula>
    </cfRule>
  </conditionalFormatting>
  <conditionalFormatting sqref="C96">
    <cfRule type="cellIs" dxfId="18291" priority="4973" stopIfTrue="1" operator="equal">
      <formula>"Towel"</formula>
    </cfRule>
    <cfRule type="cellIs" dxfId="18290" priority="4974" stopIfTrue="1" operator="equal">
      <formula>"Napkin Hs"</formula>
    </cfRule>
  </conditionalFormatting>
  <conditionalFormatting sqref="C96">
    <cfRule type="cellIs" dxfId="18289" priority="4975" stopIfTrue="1" operator="equal">
      <formula>"Towel"</formula>
    </cfRule>
    <cfRule type="cellIs" dxfId="18288" priority="4976" stopIfTrue="1" operator="equal">
      <formula>"Napkin Hs"</formula>
    </cfRule>
  </conditionalFormatting>
  <conditionalFormatting sqref="C96">
    <cfRule type="cellIs" dxfId="18287" priority="4971" stopIfTrue="1" operator="equal">
      <formula>"Towel"</formula>
    </cfRule>
    <cfRule type="cellIs" dxfId="18286" priority="4972" stopIfTrue="1" operator="equal">
      <formula>"Napkin Hs"</formula>
    </cfRule>
  </conditionalFormatting>
  <conditionalFormatting sqref="C96">
    <cfRule type="cellIs" dxfId="18285" priority="4965" stopIfTrue="1" operator="equal">
      <formula>"Towel"</formula>
    </cfRule>
    <cfRule type="cellIs" dxfId="18284" priority="4966" stopIfTrue="1" operator="equal">
      <formula>"Napkin Hs"</formula>
    </cfRule>
  </conditionalFormatting>
  <conditionalFormatting sqref="C96">
    <cfRule type="cellIs" dxfId="18283" priority="4967" stopIfTrue="1" operator="equal">
      <formula>"Towel"</formula>
    </cfRule>
    <cfRule type="cellIs" dxfId="18282" priority="4968" stopIfTrue="1" operator="equal">
      <formula>"Napkin Hs"</formula>
    </cfRule>
  </conditionalFormatting>
  <conditionalFormatting sqref="C96">
    <cfRule type="cellIs" dxfId="18281" priority="4969" stopIfTrue="1" operator="equal">
      <formula>"Towel"</formula>
    </cfRule>
    <cfRule type="cellIs" dxfId="18280" priority="4970" stopIfTrue="1" operator="equal">
      <formula>"Napkin Hs"</formula>
    </cfRule>
  </conditionalFormatting>
  <conditionalFormatting sqref="B96">
    <cfRule type="cellIs" dxfId="18279" priority="4963" stopIfTrue="1" operator="equal">
      <formula>"Towel"</formula>
    </cfRule>
    <cfRule type="cellIs" dxfId="18278" priority="4964" stopIfTrue="1" operator="equal">
      <formula>"Napkin Hs"</formula>
    </cfRule>
  </conditionalFormatting>
  <conditionalFormatting sqref="B96">
    <cfRule type="cellIs" dxfId="18277" priority="4961" stopIfTrue="1" operator="equal">
      <formula>"Towel"</formula>
    </cfRule>
    <cfRule type="cellIs" dxfId="18276" priority="4962" stopIfTrue="1" operator="equal">
      <formula>"Napkin Hs"</formula>
    </cfRule>
  </conditionalFormatting>
  <conditionalFormatting sqref="C95">
    <cfRule type="cellIs" dxfId="18275" priority="4953" stopIfTrue="1" operator="equal">
      <formula>"Towel"</formula>
    </cfRule>
    <cfRule type="cellIs" dxfId="18274" priority="4954" stopIfTrue="1" operator="equal">
      <formula>"Napkin Hs"</formula>
    </cfRule>
  </conditionalFormatting>
  <conditionalFormatting sqref="B95:C95">
    <cfRule type="cellIs" dxfId="18273" priority="4955" stopIfTrue="1" operator="equal">
      <formula>"Towel"</formula>
    </cfRule>
    <cfRule type="cellIs" dxfId="18272" priority="4956" stopIfTrue="1" operator="equal">
      <formula>"Napkin Hs"</formula>
    </cfRule>
  </conditionalFormatting>
  <conditionalFormatting sqref="C95">
    <cfRule type="cellIs" dxfId="18271" priority="4951" stopIfTrue="1" operator="equal">
      <formula>"Towel"</formula>
    </cfRule>
    <cfRule type="cellIs" dxfId="18270" priority="4952" stopIfTrue="1" operator="equal">
      <formula>"Napkin Hs"</formula>
    </cfRule>
  </conditionalFormatting>
  <conditionalFormatting sqref="B95:C95">
    <cfRule type="cellIs" dxfId="18269" priority="4949" stopIfTrue="1" operator="equal">
      <formula>"Towel"</formula>
    </cfRule>
    <cfRule type="cellIs" dxfId="18268" priority="4950" stopIfTrue="1" operator="equal">
      <formula>"Napkin Hs"</formula>
    </cfRule>
  </conditionalFormatting>
  <conditionalFormatting sqref="C95">
    <cfRule type="cellIs" dxfId="18267" priority="4957" stopIfTrue="1" operator="equal">
      <formula>"Towel"</formula>
    </cfRule>
    <cfRule type="cellIs" dxfId="18266" priority="4958" stopIfTrue="1" operator="equal">
      <formula>"Napkin Hs"</formula>
    </cfRule>
  </conditionalFormatting>
  <conditionalFormatting sqref="C95">
    <cfRule type="cellIs" dxfId="18265" priority="4959" stopIfTrue="1" operator="equal">
      <formula>"Towel"</formula>
    </cfRule>
    <cfRule type="cellIs" dxfId="18264" priority="4960" stopIfTrue="1" operator="equal">
      <formula>"Napkin Hs"</formula>
    </cfRule>
  </conditionalFormatting>
  <conditionalFormatting sqref="B97:C97">
    <cfRule type="cellIs" dxfId="18263" priority="4947" stopIfTrue="1" operator="equal">
      <formula>"Towel"</formula>
    </cfRule>
    <cfRule type="cellIs" dxfId="18262" priority="4948" stopIfTrue="1" operator="equal">
      <formula>"Napkin Hs"</formula>
    </cfRule>
  </conditionalFormatting>
  <conditionalFormatting sqref="B96:C96">
    <cfRule type="cellIs" dxfId="18261" priority="4943" stopIfTrue="1" operator="equal">
      <formula>"Towel"</formula>
    </cfRule>
    <cfRule type="cellIs" dxfId="18260" priority="4944" stopIfTrue="1" operator="equal">
      <formula>"Napkin Hs"</formula>
    </cfRule>
  </conditionalFormatting>
  <conditionalFormatting sqref="C97">
    <cfRule type="cellIs" dxfId="18259" priority="4946" stopIfTrue="1" operator="equal">
      <formula>"Napkin Hs"</formula>
    </cfRule>
  </conditionalFormatting>
  <conditionalFormatting sqref="C97">
    <cfRule type="cellIs" dxfId="18258" priority="4945" stopIfTrue="1" operator="equal">
      <formula>"Towel"</formula>
    </cfRule>
  </conditionalFormatting>
  <conditionalFormatting sqref="C96">
    <cfRule type="cellIs" dxfId="18257" priority="4939" stopIfTrue="1" operator="equal">
      <formula>"Towel"</formula>
    </cfRule>
    <cfRule type="cellIs" dxfId="18256" priority="4940" stopIfTrue="1" operator="equal">
      <formula>"Napkin Hs"</formula>
    </cfRule>
  </conditionalFormatting>
  <conditionalFormatting sqref="C96:C97">
    <cfRule type="cellIs" dxfId="18255" priority="4941" stopIfTrue="1" operator="equal">
      <formula>"Towel"</formula>
    </cfRule>
    <cfRule type="cellIs" dxfId="18254" priority="4942" stopIfTrue="1" operator="equal">
      <formula>"Napkin Hs"</formula>
    </cfRule>
  </conditionalFormatting>
  <conditionalFormatting sqref="C95">
    <cfRule type="cellIs" dxfId="18253" priority="4931" stopIfTrue="1" operator="equal">
      <formula>"Towel"</formula>
    </cfRule>
    <cfRule type="cellIs" dxfId="18252" priority="4932" stopIfTrue="1" operator="equal">
      <formula>"Napkin Hs"</formula>
    </cfRule>
  </conditionalFormatting>
  <conditionalFormatting sqref="C95">
    <cfRule type="cellIs" dxfId="18251" priority="4933" stopIfTrue="1" operator="equal">
      <formula>"Towel"</formula>
    </cfRule>
    <cfRule type="cellIs" dxfId="18250" priority="4934" stopIfTrue="1" operator="equal">
      <formula>"Napkin Hs"</formula>
    </cfRule>
  </conditionalFormatting>
  <conditionalFormatting sqref="C95">
    <cfRule type="cellIs" dxfId="18249" priority="4929" stopIfTrue="1" operator="equal">
      <formula>"Towel"</formula>
    </cfRule>
    <cfRule type="cellIs" dxfId="18248" priority="4930" stopIfTrue="1" operator="equal">
      <formula>"Napkin Hs"</formula>
    </cfRule>
  </conditionalFormatting>
  <conditionalFormatting sqref="C95">
    <cfRule type="cellIs" dxfId="18247" priority="4927" stopIfTrue="1" operator="equal">
      <formula>"Towel"</formula>
    </cfRule>
    <cfRule type="cellIs" dxfId="18246" priority="4928" stopIfTrue="1" operator="equal">
      <formula>"Napkin Hs"</formula>
    </cfRule>
  </conditionalFormatting>
  <conditionalFormatting sqref="C95">
    <cfRule type="cellIs" dxfId="18245" priority="4935" stopIfTrue="1" operator="equal">
      <formula>"Towel"</formula>
    </cfRule>
    <cfRule type="cellIs" dxfId="18244" priority="4936" stopIfTrue="1" operator="equal">
      <formula>"Napkin Hs"</formula>
    </cfRule>
  </conditionalFormatting>
  <conditionalFormatting sqref="C95">
    <cfRule type="cellIs" dxfId="18243" priority="4937" stopIfTrue="1" operator="equal">
      <formula>"Towel"</formula>
    </cfRule>
    <cfRule type="cellIs" dxfId="18242" priority="4938" stopIfTrue="1" operator="equal">
      <formula>"Napkin Hs"</formula>
    </cfRule>
  </conditionalFormatting>
  <conditionalFormatting sqref="C94">
    <cfRule type="cellIs" dxfId="18241" priority="4919" stopIfTrue="1" operator="equal">
      <formula>"Towel"</formula>
    </cfRule>
    <cfRule type="cellIs" dxfId="18240" priority="4920" stopIfTrue="1" operator="equal">
      <formula>"Napkin Hs"</formula>
    </cfRule>
  </conditionalFormatting>
  <conditionalFormatting sqref="B94:C94">
    <cfRule type="cellIs" dxfId="18239" priority="4921" stopIfTrue="1" operator="equal">
      <formula>"Towel"</formula>
    </cfRule>
    <cfRule type="cellIs" dxfId="18238" priority="4922" stopIfTrue="1" operator="equal">
      <formula>"Napkin Hs"</formula>
    </cfRule>
  </conditionalFormatting>
  <conditionalFormatting sqref="C94">
    <cfRule type="cellIs" dxfId="18237" priority="4917" stopIfTrue="1" operator="equal">
      <formula>"Towel"</formula>
    </cfRule>
    <cfRule type="cellIs" dxfId="18236" priority="4918" stopIfTrue="1" operator="equal">
      <formula>"Napkin Hs"</formula>
    </cfRule>
  </conditionalFormatting>
  <conditionalFormatting sqref="B94:C94">
    <cfRule type="cellIs" dxfId="18235" priority="4915" stopIfTrue="1" operator="equal">
      <formula>"Towel"</formula>
    </cfRule>
    <cfRule type="cellIs" dxfId="18234" priority="4916" stopIfTrue="1" operator="equal">
      <formula>"Napkin Hs"</formula>
    </cfRule>
  </conditionalFormatting>
  <conditionalFormatting sqref="C94">
    <cfRule type="cellIs" dxfId="18233" priority="4923" stopIfTrue="1" operator="equal">
      <formula>"Towel"</formula>
    </cfRule>
    <cfRule type="cellIs" dxfId="18232" priority="4924" stopIfTrue="1" operator="equal">
      <formula>"Napkin Hs"</formula>
    </cfRule>
  </conditionalFormatting>
  <conditionalFormatting sqref="C94">
    <cfRule type="cellIs" dxfId="18231" priority="4925" stopIfTrue="1" operator="equal">
      <formula>"Towel"</formula>
    </cfRule>
    <cfRule type="cellIs" dxfId="18230" priority="4926" stopIfTrue="1" operator="equal">
      <formula>"Napkin Hs"</formula>
    </cfRule>
  </conditionalFormatting>
  <conditionalFormatting sqref="B95">
    <cfRule type="cellIs" dxfId="18229" priority="4913" stopIfTrue="1" operator="equal">
      <formula>"Towel"</formula>
    </cfRule>
    <cfRule type="cellIs" dxfId="18228" priority="4914" stopIfTrue="1" operator="equal">
      <formula>"Napkin Hs"</formula>
    </cfRule>
  </conditionalFormatting>
  <conditionalFormatting sqref="B94:C94">
    <cfRule type="cellIs" dxfId="18227" priority="4907" stopIfTrue="1" operator="equal">
      <formula>"Towel"</formula>
    </cfRule>
    <cfRule type="cellIs" dxfId="18226" priority="4908" stopIfTrue="1" operator="equal">
      <formula>"Napkin Hs"</formula>
    </cfRule>
  </conditionalFormatting>
  <conditionalFormatting sqref="B95:C97">
    <cfRule type="cellIs" dxfId="18225" priority="4911" stopIfTrue="1" operator="equal">
      <formula>"Towel"</formula>
    </cfRule>
    <cfRule type="cellIs" dxfId="18224" priority="4912" stopIfTrue="1" operator="equal">
      <formula>"Napkin Hs"</formula>
    </cfRule>
  </conditionalFormatting>
  <conditionalFormatting sqref="C94">
    <cfRule type="cellIs" dxfId="18223" priority="4903" stopIfTrue="1" operator="equal">
      <formula>"Towel"</formula>
    </cfRule>
    <cfRule type="cellIs" dxfId="18222" priority="4904" stopIfTrue="1" operator="equal">
      <formula>"Napkin Hs"</formula>
    </cfRule>
  </conditionalFormatting>
  <conditionalFormatting sqref="C94:C97">
    <cfRule type="cellIs" dxfId="18221" priority="4905" stopIfTrue="1" operator="equal">
      <formula>"Towel"</formula>
    </cfRule>
    <cfRule type="cellIs" dxfId="18220" priority="4906" stopIfTrue="1" operator="equal">
      <formula>"Napkin Hs"</formula>
    </cfRule>
  </conditionalFormatting>
  <conditionalFormatting sqref="C95:C97">
    <cfRule type="cellIs" dxfId="18219" priority="4909" stopIfTrue="1" operator="equal">
      <formula>"Towel"</formula>
    </cfRule>
    <cfRule type="cellIs" dxfId="18218" priority="4910" stopIfTrue="1" operator="equal">
      <formula>"Napkin Hs"</formula>
    </cfRule>
  </conditionalFormatting>
  <conditionalFormatting sqref="B97:C97">
    <cfRule type="cellIs" dxfId="18217" priority="4901" stopIfTrue="1" operator="equal">
      <formula>"Towel"</formula>
    </cfRule>
    <cfRule type="cellIs" dxfId="18216" priority="4902" stopIfTrue="1" operator="equal">
      <formula>"Napkin Hs"</formula>
    </cfRule>
  </conditionalFormatting>
  <conditionalFormatting sqref="C97">
    <cfRule type="cellIs" dxfId="18215" priority="4899" stopIfTrue="1" operator="equal">
      <formula>"Towel"</formula>
    </cfRule>
    <cfRule type="cellIs" dxfId="18214" priority="4900" stopIfTrue="1" operator="equal">
      <formula>"Napkin Hs"</formula>
    </cfRule>
  </conditionalFormatting>
  <conditionalFormatting sqref="C96">
    <cfRule type="cellIs" dxfId="18213" priority="4891" stopIfTrue="1" operator="equal">
      <formula>"Towel"</formula>
    </cfRule>
    <cfRule type="cellIs" dxfId="18212" priority="4892" stopIfTrue="1" operator="equal">
      <formula>"Napkin Hs"</formula>
    </cfRule>
  </conditionalFormatting>
  <conditionalFormatting sqref="C96">
    <cfRule type="cellIs" dxfId="18211" priority="4893" stopIfTrue="1" operator="equal">
      <formula>"Towel"</formula>
    </cfRule>
    <cfRule type="cellIs" dxfId="18210" priority="4894" stopIfTrue="1" operator="equal">
      <formula>"Napkin Hs"</formula>
    </cfRule>
  </conditionalFormatting>
  <conditionalFormatting sqref="C96">
    <cfRule type="cellIs" dxfId="18209" priority="4889" stopIfTrue="1" operator="equal">
      <formula>"Towel"</formula>
    </cfRule>
    <cfRule type="cellIs" dxfId="18208" priority="4890" stopIfTrue="1" operator="equal">
      <formula>"Napkin Hs"</formula>
    </cfRule>
  </conditionalFormatting>
  <conditionalFormatting sqref="C96">
    <cfRule type="cellIs" dxfId="18207" priority="4887" stopIfTrue="1" operator="equal">
      <formula>"Towel"</formula>
    </cfRule>
    <cfRule type="cellIs" dxfId="18206" priority="4888" stopIfTrue="1" operator="equal">
      <formula>"Napkin Hs"</formula>
    </cfRule>
  </conditionalFormatting>
  <conditionalFormatting sqref="C96">
    <cfRule type="cellIs" dxfId="18205" priority="4895" stopIfTrue="1" operator="equal">
      <formula>"Towel"</formula>
    </cfRule>
    <cfRule type="cellIs" dxfId="18204" priority="4896" stopIfTrue="1" operator="equal">
      <formula>"Napkin Hs"</formula>
    </cfRule>
  </conditionalFormatting>
  <conditionalFormatting sqref="C96">
    <cfRule type="cellIs" dxfId="18203" priority="4897" stopIfTrue="1" operator="equal">
      <formula>"Towel"</formula>
    </cfRule>
    <cfRule type="cellIs" dxfId="18202" priority="4898" stopIfTrue="1" operator="equal">
      <formula>"Napkin Hs"</formula>
    </cfRule>
  </conditionalFormatting>
  <conditionalFormatting sqref="C95">
    <cfRule type="cellIs" dxfId="18201" priority="4879" stopIfTrue="1" operator="equal">
      <formula>"Towel"</formula>
    </cfRule>
    <cfRule type="cellIs" dxfId="18200" priority="4880" stopIfTrue="1" operator="equal">
      <formula>"Napkin Hs"</formula>
    </cfRule>
  </conditionalFormatting>
  <conditionalFormatting sqref="B95:C95">
    <cfRule type="cellIs" dxfId="18199" priority="4881" stopIfTrue="1" operator="equal">
      <formula>"Towel"</formula>
    </cfRule>
    <cfRule type="cellIs" dxfId="18198" priority="4882" stopIfTrue="1" operator="equal">
      <formula>"Napkin Hs"</formula>
    </cfRule>
  </conditionalFormatting>
  <conditionalFormatting sqref="C95">
    <cfRule type="cellIs" dxfId="18197" priority="4877" stopIfTrue="1" operator="equal">
      <formula>"Towel"</formula>
    </cfRule>
    <cfRule type="cellIs" dxfId="18196" priority="4878" stopIfTrue="1" operator="equal">
      <formula>"Napkin Hs"</formula>
    </cfRule>
  </conditionalFormatting>
  <conditionalFormatting sqref="B95:C95">
    <cfRule type="cellIs" dxfId="18195" priority="4875" stopIfTrue="1" operator="equal">
      <formula>"Towel"</formula>
    </cfRule>
    <cfRule type="cellIs" dxfId="18194" priority="4876" stopIfTrue="1" operator="equal">
      <formula>"Napkin Hs"</formula>
    </cfRule>
  </conditionalFormatting>
  <conditionalFormatting sqref="C95">
    <cfRule type="cellIs" dxfId="18193" priority="4883" stopIfTrue="1" operator="equal">
      <formula>"Towel"</formula>
    </cfRule>
    <cfRule type="cellIs" dxfId="18192" priority="4884" stopIfTrue="1" operator="equal">
      <formula>"Napkin Hs"</formula>
    </cfRule>
  </conditionalFormatting>
  <conditionalFormatting sqref="C95">
    <cfRule type="cellIs" dxfId="18191" priority="4885" stopIfTrue="1" operator="equal">
      <formula>"Towel"</formula>
    </cfRule>
    <cfRule type="cellIs" dxfId="18190" priority="4886" stopIfTrue="1" operator="equal">
      <formula>"Napkin Hs"</formula>
    </cfRule>
  </conditionalFormatting>
  <conditionalFormatting sqref="B96">
    <cfRule type="cellIs" dxfId="18189" priority="4873" stopIfTrue="1" operator="equal">
      <formula>"Towel"</formula>
    </cfRule>
    <cfRule type="cellIs" dxfId="18188" priority="4874" stopIfTrue="1" operator="equal">
      <formula>"Napkin Hs"</formula>
    </cfRule>
  </conditionalFormatting>
  <conditionalFormatting sqref="C94">
    <cfRule type="cellIs" dxfId="18187" priority="4865" stopIfTrue="1" operator="equal">
      <formula>"Towel"</formula>
    </cfRule>
    <cfRule type="cellIs" dxfId="18186" priority="4866" stopIfTrue="1" operator="equal">
      <formula>"Napkin Hs"</formula>
    </cfRule>
  </conditionalFormatting>
  <conditionalFormatting sqref="B94:C94">
    <cfRule type="cellIs" dxfId="18185" priority="4867" stopIfTrue="1" operator="equal">
      <formula>"Towel"</formula>
    </cfRule>
    <cfRule type="cellIs" dxfId="18184" priority="4868" stopIfTrue="1" operator="equal">
      <formula>"Napkin Hs"</formula>
    </cfRule>
  </conditionalFormatting>
  <conditionalFormatting sqref="C94">
    <cfRule type="cellIs" dxfId="18183" priority="4863" stopIfTrue="1" operator="equal">
      <formula>"Towel"</formula>
    </cfRule>
    <cfRule type="cellIs" dxfId="18182" priority="4864" stopIfTrue="1" operator="equal">
      <formula>"Napkin Hs"</formula>
    </cfRule>
  </conditionalFormatting>
  <conditionalFormatting sqref="B94:C94">
    <cfRule type="cellIs" dxfId="18181" priority="4861" stopIfTrue="1" operator="equal">
      <formula>"Towel"</formula>
    </cfRule>
    <cfRule type="cellIs" dxfId="18180" priority="4862" stopIfTrue="1" operator="equal">
      <formula>"Napkin Hs"</formula>
    </cfRule>
  </conditionalFormatting>
  <conditionalFormatting sqref="C94">
    <cfRule type="cellIs" dxfId="18179" priority="4869" stopIfTrue="1" operator="equal">
      <formula>"Towel"</formula>
    </cfRule>
    <cfRule type="cellIs" dxfId="18178" priority="4870" stopIfTrue="1" operator="equal">
      <formula>"Napkin Hs"</formula>
    </cfRule>
  </conditionalFormatting>
  <conditionalFormatting sqref="C94">
    <cfRule type="cellIs" dxfId="18177" priority="4871" stopIfTrue="1" operator="equal">
      <formula>"Towel"</formula>
    </cfRule>
    <cfRule type="cellIs" dxfId="18176" priority="4872" stopIfTrue="1" operator="equal">
      <formula>"Napkin Hs"</formula>
    </cfRule>
  </conditionalFormatting>
  <conditionalFormatting sqref="B94:C94">
    <cfRule type="cellIs" dxfId="18175" priority="4859" stopIfTrue="1" operator="equal">
      <formula>"Towel"</formula>
    </cfRule>
    <cfRule type="cellIs" dxfId="18174" priority="4860" stopIfTrue="1" operator="equal">
      <formula>"Napkin Hs"</formula>
    </cfRule>
  </conditionalFormatting>
  <conditionalFormatting sqref="B95:C95">
    <cfRule type="cellIs" dxfId="18173" priority="4853" stopIfTrue="1" operator="equal">
      <formula>"Towel"</formula>
    </cfRule>
    <cfRule type="cellIs" dxfId="18172" priority="4854" stopIfTrue="1" operator="equal">
      <formula>"Napkin Hs"</formula>
    </cfRule>
  </conditionalFormatting>
  <conditionalFormatting sqref="C94">
    <cfRule type="cellIs" dxfId="18171" priority="4858" stopIfTrue="1" operator="equal">
      <formula>"Napkin Hs"</formula>
    </cfRule>
  </conditionalFormatting>
  <conditionalFormatting sqref="C94">
    <cfRule type="cellIs" dxfId="18170" priority="4857" stopIfTrue="1" operator="equal">
      <formula>"Towel"</formula>
    </cfRule>
  </conditionalFormatting>
  <conditionalFormatting sqref="C94">
    <cfRule type="cellIs" dxfId="18169" priority="4855" stopIfTrue="1" operator="equal">
      <formula>"Towel"</formula>
    </cfRule>
    <cfRule type="cellIs" dxfId="18168" priority="4856" stopIfTrue="1" operator="equal">
      <formula>"Napkin Hs"</formula>
    </cfRule>
  </conditionalFormatting>
  <conditionalFormatting sqref="C95">
    <cfRule type="cellIs" dxfId="18167" priority="4851" stopIfTrue="1" operator="equal">
      <formula>"Towel"</formula>
    </cfRule>
    <cfRule type="cellIs" dxfId="18166" priority="4852" stopIfTrue="1" operator="equal">
      <formula>"Napkin Hs"</formula>
    </cfRule>
  </conditionalFormatting>
  <conditionalFormatting sqref="B106:C106">
    <cfRule type="cellIs" dxfId="18165" priority="4849" stopIfTrue="1" operator="equal">
      <formula>"Towel"</formula>
    </cfRule>
    <cfRule type="cellIs" dxfId="18164" priority="4850" stopIfTrue="1" operator="equal">
      <formula>"Napkin Hs"</formula>
    </cfRule>
  </conditionalFormatting>
  <conditionalFormatting sqref="C106">
    <cfRule type="cellIs" dxfId="18163" priority="4845" stopIfTrue="1" operator="equal">
      <formula>"Towel"</formula>
    </cfRule>
    <cfRule type="cellIs" dxfId="18162" priority="4846" stopIfTrue="1" operator="equal">
      <formula>"Napkin Hs"</formula>
    </cfRule>
  </conditionalFormatting>
  <conditionalFormatting sqref="C106">
    <cfRule type="cellIs" dxfId="18161" priority="4847" stopIfTrue="1" operator="equal">
      <formula>"Towel"</formula>
    </cfRule>
    <cfRule type="cellIs" dxfId="18160" priority="4848" stopIfTrue="1" operator="equal">
      <formula>"Napkin Hs"</formula>
    </cfRule>
  </conditionalFormatting>
  <conditionalFormatting sqref="B105:C105">
    <cfRule type="cellIs" dxfId="18159" priority="4843" stopIfTrue="1" operator="equal">
      <formula>"Towel"</formula>
    </cfRule>
    <cfRule type="cellIs" dxfId="18158" priority="4844" stopIfTrue="1" operator="equal">
      <formula>"Napkin Hs"</formula>
    </cfRule>
  </conditionalFormatting>
  <conditionalFormatting sqref="C105">
    <cfRule type="cellIs" dxfId="18157" priority="4841" stopIfTrue="1" operator="equal">
      <formula>"Towel"</formula>
    </cfRule>
    <cfRule type="cellIs" dxfId="18156" priority="4842" stopIfTrue="1" operator="equal">
      <formula>"Napkin Hs"</formula>
    </cfRule>
  </conditionalFormatting>
  <conditionalFormatting sqref="C105">
    <cfRule type="cellIs" dxfId="18155" priority="4839" stopIfTrue="1" operator="equal">
      <formula>"Towel"</formula>
    </cfRule>
    <cfRule type="cellIs" dxfId="18154" priority="4840" stopIfTrue="1" operator="equal">
      <formula>"Napkin Hs"</formula>
    </cfRule>
  </conditionalFormatting>
  <conditionalFormatting sqref="C105">
    <cfRule type="cellIs" dxfId="18153" priority="4831" stopIfTrue="1" operator="equal">
      <formula>"Towel"</formula>
    </cfRule>
    <cfRule type="cellIs" dxfId="18152" priority="4832" stopIfTrue="1" operator="equal">
      <formula>"Napkin Hs"</formula>
    </cfRule>
  </conditionalFormatting>
  <conditionalFormatting sqref="B105:C105">
    <cfRule type="cellIs" dxfId="18151" priority="4833" stopIfTrue="1" operator="equal">
      <formula>"Towel"</formula>
    </cfRule>
    <cfRule type="cellIs" dxfId="18150" priority="4834" stopIfTrue="1" operator="equal">
      <formula>"Napkin Hs"</formula>
    </cfRule>
  </conditionalFormatting>
  <conditionalFormatting sqref="C105">
    <cfRule type="cellIs" dxfId="18149" priority="4829" stopIfTrue="1" operator="equal">
      <formula>"Towel"</formula>
    </cfRule>
    <cfRule type="cellIs" dxfId="18148" priority="4830" stopIfTrue="1" operator="equal">
      <formula>"Napkin Hs"</formula>
    </cfRule>
  </conditionalFormatting>
  <conditionalFormatting sqref="B105:C105">
    <cfRule type="cellIs" dxfId="18147" priority="4827" stopIfTrue="1" operator="equal">
      <formula>"Towel"</formula>
    </cfRule>
    <cfRule type="cellIs" dxfId="18146" priority="4828" stopIfTrue="1" operator="equal">
      <formula>"Napkin Hs"</formula>
    </cfRule>
  </conditionalFormatting>
  <conditionalFormatting sqref="C105">
    <cfRule type="cellIs" dxfId="18145" priority="4835" stopIfTrue="1" operator="equal">
      <formula>"Towel"</formula>
    </cfRule>
    <cfRule type="cellIs" dxfId="18144" priority="4836" stopIfTrue="1" operator="equal">
      <formula>"Napkin Hs"</formula>
    </cfRule>
  </conditionalFormatting>
  <conditionalFormatting sqref="C105">
    <cfRule type="cellIs" dxfId="18143" priority="4837" stopIfTrue="1" operator="equal">
      <formula>"Towel"</formula>
    </cfRule>
    <cfRule type="cellIs" dxfId="18142" priority="4838" stopIfTrue="1" operator="equal">
      <formula>"Napkin Hs"</formula>
    </cfRule>
  </conditionalFormatting>
  <conditionalFormatting sqref="B105:C105">
    <cfRule type="cellIs" dxfId="18141" priority="4825" stopIfTrue="1" operator="equal">
      <formula>"Towel"</formula>
    </cfRule>
    <cfRule type="cellIs" dxfId="18140" priority="4826" stopIfTrue="1" operator="equal">
      <formula>"Napkin Hs"</formula>
    </cfRule>
  </conditionalFormatting>
  <conditionalFormatting sqref="C105">
    <cfRule type="cellIs" dxfId="18139" priority="4823" stopIfTrue="1" operator="equal">
      <formula>"Towel"</formula>
    </cfRule>
    <cfRule type="cellIs" dxfId="18138" priority="4824" stopIfTrue="1" operator="equal">
      <formula>"Napkin Hs"</formula>
    </cfRule>
  </conditionalFormatting>
  <conditionalFormatting sqref="C105">
    <cfRule type="cellIs" dxfId="18137" priority="4821" stopIfTrue="1" operator="equal">
      <formula>"Towel"</formula>
    </cfRule>
    <cfRule type="cellIs" dxfId="18136" priority="4822" stopIfTrue="1" operator="equal">
      <formula>"Napkin Hs"</formula>
    </cfRule>
  </conditionalFormatting>
  <conditionalFormatting sqref="C105">
    <cfRule type="cellIs" dxfId="18135" priority="4813" stopIfTrue="1" operator="equal">
      <formula>"Towel"</formula>
    </cfRule>
    <cfRule type="cellIs" dxfId="18134" priority="4814" stopIfTrue="1" operator="equal">
      <formula>"Napkin Hs"</formula>
    </cfRule>
  </conditionalFormatting>
  <conditionalFormatting sqref="B105:C105">
    <cfRule type="cellIs" dxfId="18133" priority="4815" stopIfTrue="1" operator="equal">
      <formula>"Towel"</formula>
    </cfRule>
    <cfRule type="cellIs" dxfId="18132" priority="4816" stopIfTrue="1" operator="equal">
      <formula>"Napkin Hs"</formula>
    </cfRule>
  </conditionalFormatting>
  <conditionalFormatting sqref="C105">
    <cfRule type="cellIs" dxfId="18131" priority="4811" stopIfTrue="1" operator="equal">
      <formula>"Towel"</formula>
    </cfRule>
    <cfRule type="cellIs" dxfId="18130" priority="4812" stopIfTrue="1" operator="equal">
      <formula>"Napkin Hs"</formula>
    </cfRule>
  </conditionalFormatting>
  <conditionalFormatting sqref="B105:C105">
    <cfRule type="cellIs" dxfId="18129" priority="4809" stopIfTrue="1" operator="equal">
      <formula>"Towel"</formula>
    </cfRule>
    <cfRule type="cellIs" dxfId="18128" priority="4810" stopIfTrue="1" operator="equal">
      <formula>"Napkin Hs"</formula>
    </cfRule>
  </conditionalFormatting>
  <conditionalFormatting sqref="C105">
    <cfRule type="cellIs" dxfId="18127" priority="4817" stopIfTrue="1" operator="equal">
      <formula>"Towel"</formula>
    </cfRule>
    <cfRule type="cellIs" dxfId="18126" priority="4818" stopIfTrue="1" operator="equal">
      <formula>"Napkin Hs"</formula>
    </cfRule>
  </conditionalFormatting>
  <conditionalFormatting sqref="C105">
    <cfRule type="cellIs" dxfId="18125" priority="4819" stopIfTrue="1" operator="equal">
      <formula>"Towel"</formula>
    </cfRule>
    <cfRule type="cellIs" dxfId="18124" priority="4820" stopIfTrue="1" operator="equal">
      <formula>"Napkin Hs"</formula>
    </cfRule>
  </conditionalFormatting>
  <conditionalFormatting sqref="B106:C106">
    <cfRule type="cellIs" dxfId="18123" priority="4807" stopIfTrue="1" operator="equal">
      <formula>"Towel"</formula>
    </cfRule>
    <cfRule type="cellIs" dxfId="18122" priority="4808" stopIfTrue="1" operator="equal">
      <formula>"Napkin Hs"</formula>
    </cfRule>
  </conditionalFormatting>
  <conditionalFormatting sqref="C106">
    <cfRule type="cellIs" dxfId="18121" priority="4805" stopIfTrue="1" operator="equal">
      <formula>"Towel"</formula>
    </cfRule>
    <cfRule type="cellIs" dxfId="18120" priority="4806" stopIfTrue="1" operator="equal">
      <formula>"Napkin Hs"</formula>
    </cfRule>
  </conditionalFormatting>
  <conditionalFormatting sqref="C106">
    <cfRule type="cellIs" dxfId="18119" priority="4803" stopIfTrue="1" operator="equal">
      <formula>"Towel"</formula>
    </cfRule>
    <cfRule type="cellIs" dxfId="18118" priority="4804" stopIfTrue="1" operator="equal">
      <formula>"Napkin Hs"</formula>
    </cfRule>
  </conditionalFormatting>
  <conditionalFormatting sqref="C106">
    <cfRule type="cellIs" dxfId="18117" priority="4795" stopIfTrue="1" operator="equal">
      <formula>"Towel"</formula>
    </cfRule>
    <cfRule type="cellIs" dxfId="18116" priority="4796" stopIfTrue="1" operator="equal">
      <formula>"Napkin Hs"</formula>
    </cfRule>
  </conditionalFormatting>
  <conditionalFormatting sqref="B106:C106">
    <cfRule type="cellIs" dxfId="18115" priority="4797" stopIfTrue="1" operator="equal">
      <formula>"Towel"</formula>
    </cfRule>
    <cfRule type="cellIs" dxfId="18114" priority="4798" stopIfTrue="1" operator="equal">
      <formula>"Napkin Hs"</formula>
    </cfRule>
  </conditionalFormatting>
  <conditionalFormatting sqref="C106">
    <cfRule type="cellIs" dxfId="18113" priority="4793" stopIfTrue="1" operator="equal">
      <formula>"Towel"</formula>
    </cfRule>
    <cfRule type="cellIs" dxfId="18112" priority="4794" stopIfTrue="1" operator="equal">
      <formula>"Napkin Hs"</formula>
    </cfRule>
  </conditionalFormatting>
  <conditionalFormatting sqref="B106:C106">
    <cfRule type="cellIs" dxfId="18111" priority="4791" stopIfTrue="1" operator="equal">
      <formula>"Towel"</formula>
    </cfRule>
    <cfRule type="cellIs" dxfId="18110" priority="4792" stopIfTrue="1" operator="equal">
      <formula>"Napkin Hs"</formula>
    </cfRule>
  </conditionalFormatting>
  <conditionalFormatting sqref="C106">
    <cfRule type="cellIs" dxfId="18109" priority="4799" stopIfTrue="1" operator="equal">
      <formula>"Towel"</formula>
    </cfRule>
    <cfRule type="cellIs" dxfId="18108" priority="4800" stopIfTrue="1" operator="equal">
      <formula>"Napkin Hs"</formula>
    </cfRule>
  </conditionalFormatting>
  <conditionalFormatting sqref="C106">
    <cfRule type="cellIs" dxfId="18107" priority="4801" stopIfTrue="1" operator="equal">
      <formula>"Towel"</formula>
    </cfRule>
    <cfRule type="cellIs" dxfId="18106" priority="4802" stopIfTrue="1" operator="equal">
      <formula>"Napkin Hs"</formula>
    </cfRule>
  </conditionalFormatting>
  <conditionalFormatting sqref="B101:C101">
    <cfRule type="cellIs" dxfId="18105" priority="4787" stopIfTrue="1" operator="equal">
      <formula>"Towel"</formula>
    </cfRule>
    <cfRule type="cellIs" dxfId="18104" priority="4788" stopIfTrue="1" operator="equal">
      <formula>"Napkin Hs"</formula>
    </cfRule>
  </conditionalFormatting>
  <conditionalFormatting sqref="C101">
    <cfRule type="cellIs" dxfId="18103" priority="4789" stopIfTrue="1" operator="equal">
      <formula>"Towel"</formula>
    </cfRule>
    <cfRule type="cellIs" dxfId="18102" priority="4790" stopIfTrue="1" operator="equal">
      <formula>"Napkin Hs"</formula>
    </cfRule>
  </conditionalFormatting>
  <conditionalFormatting sqref="C101">
    <cfRule type="cellIs" dxfId="18101" priority="4785" stopIfTrue="1" operator="equal">
      <formula>"Towel"</formula>
    </cfRule>
    <cfRule type="cellIs" dxfId="18100" priority="4786" stopIfTrue="1" operator="equal">
      <formula>"Napkin Hs"</formula>
    </cfRule>
  </conditionalFormatting>
  <conditionalFormatting sqref="C98:C99">
    <cfRule type="cellIs" dxfId="18099" priority="4777" stopIfTrue="1" operator="equal">
      <formula>"Towel"</formula>
    </cfRule>
    <cfRule type="cellIs" dxfId="18098" priority="4778" stopIfTrue="1" operator="equal">
      <formula>"Napkin Hs"</formula>
    </cfRule>
  </conditionalFormatting>
  <conditionalFormatting sqref="C98:C99">
    <cfRule type="cellIs" dxfId="18097" priority="4775" stopIfTrue="1" operator="equal">
      <formula>"Towel"</formula>
    </cfRule>
    <cfRule type="cellIs" dxfId="18096" priority="4776" stopIfTrue="1" operator="equal">
      <formula>"Napkin Hs"</formula>
    </cfRule>
  </conditionalFormatting>
  <conditionalFormatting sqref="B98:C99">
    <cfRule type="cellIs" dxfId="18095" priority="4773" stopIfTrue="1" operator="equal">
      <formula>"Towel"</formula>
    </cfRule>
    <cfRule type="cellIs" dxfId="18094" priority="4774" stopIfTrue="1" operator="equal">
      <formula>"Napkin Hs"</formula>
    </cfRule>
  </conditionalFormatting>
  <conditionalFormatting sqref="B98:C99">
    <cfRule type="cellIs" dxfId="18093" priority="4783" stopIfTrue="1" operator="equal">
      <formula>"Towel"</formula>
    </cfRule>
    <cfRule type="cellIs" dxfId="18092" priority="4784" stopIfTrue="1" operator="equal">
      <formula>"Napkin Hs"</formula>
    </cfRule>
  </conditionalFormatting>
  <conditionalFormatting sqref="C98:C99">
    <cfRule type="cellIs" dxfId="18091" priority="4781" stopIfTrue="1" operator="equal">
      <formula>"Towel"</formula>
    </cfRule>
    <cfRule type="cellIs" dxfId="18090" priority="4782" stopIfTrue="1" operator="equal">
      <formula>"Napkin Hs"</formula>
    </cfRule>
  </conditionalFormatting>
  <conditionalFormatting sqref="C98:C99">
    <cfRule type="cellIs" dxfId="18089" priority="4779" stopIfTrue="1" operator="equal">
      <formula>"Towel"</formula>
    </cfRule>
    <cfRule type="cellIs" dxfId="18088" priority="4780" stopIfTrue="1" operator="equal">
      <formula>"Napkin Hs"</formula>
    </cfRule>
  </conditionalFormatting>
  <conditionalFormatting sqref="C98:C99">
    <cfRule type="cellIs" dxfId="18087" priority="4771" stopIfTrue="1" operator="equal">
      <formula>"Towel"</formula>
    </cfRule>
    <cfRule type="cellIs" dxfId="18086" priority="4772" stopIfTrue="1" operator="equal">
      <formula>"Napkin Hs"</formula>
    </cfRule>
  </conditionalFormatting>
  <conditionalFormatting sqref="C98:C99">
    <cfRule type="cellIs" dxfId="18085" priority="4769" stopIfTrue="1" operator="equal">
      <formula>"Towel"</formula>
    </cfRule>
    <cfRule type="cellIs" dxfId="18084" priority="4770" stopIfTrue="1" operator="equal">
      <formula>"Napkin Hs"</formula>
    </cfRule>
  </conditionalFormatting>
  <conditionalFormatting sqref="B98:C99">
    <cfRule type="cellIs" dxfId="18083" priority="4767" stopIfTrue="1" operator="equal">
      <formula>"Towel"</formula>
    </cfRule>
    <cfRule type="cellIs" dxfId="18082" priority="4768" stopIfTrue="1" operator="equal">
      <formula>"Napkin Hs"</formula>
    </cfRule>
  </conditionalFormatting>
  <conditionalFormatting sqref="B100:C100">
    <cfRule type="cellIs" dxfId="18081" priority="4765" stopIfTrue="1" operator="equal">
      <formula>"Towel"</formula>
    </cfRule>
    <cfRule type="cellIs" dxfId="18080" priority="4766" stopIfTrue="1" operator="equal">
      <formula>"Napkin Hs"</formula>
    </cfRule>
  </conditionalFormatting>
  <conditionalFormatting sqref="C100">
    <cfRule type="cellIs" dxfId="18079" priority="4763" stopIfTrue="1" operator="equal">
      <formula>"Towel"</formula>
    </cfRule>
    <cfRule type="cellIs" dxfId="18078" priority="4764" stopIfTrue="1" operator="equal">
      <formula>"Napkin Hs"</formula>
    </cfRule>
  </conditionalFormatting>
  <conditionalFormatting sqref="C100">
    <cfRule type="cellIs" dxfId="18077" priority="4761" stopIfTrue="1" operator="equal">
      <formula>"Towel"</formula>
    </cfRule>
    <cfRule type="cellIs" dxfId="18076" priority="4762" stopIfTrue="1" operator="equal">
      <formula>"Napkin Hs"</formula>
    </cfRule>
  </conditionalFormatting>
  <conditionalFormatting sqref="C100">
    <cfRule type="cellIs" dxfId="18075" priority="4753" stopIfTrue="1" operator="equal">
      <formula>"Towel"</formula>
    </cfRule>
    <cfRule type="cellIs" dxfId="18074" priority="4754" stopIfTrue="1" operator="equal">
      <formula>"Napkin Hs"</formula>
    </cfRule>
  </conditionalFormatting>
  <conditionalFormatting sqref="B100:C100">
    <cfRule type="cellIs" dxfId="18073" priority="4755" stopIfTrue="1" operator="equal">
      <formula>"Towel"</formula>
    </cfRule>
    <cfRule type="cellIs" dxfId="18072" priority="4756" stopIfTrue="1" operator="equal">
      <formula>"Napkin Hs"</formula>
    </cfRule>
  </conditionalFormatting>
  <conditionalFormatting sqref="C100">
    <cfRule type="cellIs" dxfId="18071" priority="4751" stopIfTrue="1" operator="equal">
      <formula>"Towel"</formula>
    </cfRule>
    <cfRule type="cellIs" dxfId="18070" priority="4752" stopIfTrue="1" operator="equal">
      <formula>"Napkin Hs"</formula>
    </cfRule>
  </conditionalFormatting>
  <conditionalFormatting sqref="B100:C100">
    <cfRule type="cellIs" dxfId="18069" priority="4749" stopIfTrue="1" operator="equal">
      <formula>"Towel"</formula>
    </cfRule>
    <cfRule type="cellIs" dxfId="18068" priority="4750" stopIfTrue="1" operator="equal">
      <formula>"Napkin Hs"</formula>
    </cfRule>
  </conditionalFormatting>
  <conditionalFormatting sqref="C100">
    <cfRule type="cellIs" dxfId="18067" priority="4757" stopIfTrue="1" operator="equal">
      <formula>"Towel"</formula>
    </cfRule>
    <cfRule type="cellIs" dxfId="18066" priority="4758" stopIfTrue="1" operator="equal">
      <formula>"Napkin Hs"</formula>
    </cfRule>
  </conditionalFormatting>
  <conditionalFormatting sqref="C100">
    <cfRule type="cellIs" dxfId="18065" priority="4759" stopIfTrue="1" operator="equal">
      <formula>"Towel"</formula>
    </cfRule>
    <cfRule type="cellIs" dxfId="18064" priority="4760" stopIfTrue="1" operator="equal">
      <formula>"Napkin Hs"</formula>
    </cfRule>
  </conditionalFormatting>
  <conditionalFormatting sqref="B98:C98">
    <cfRule type="cellIs" dxfId="18063" priority="4747" stopIfTrue="1" operator="equal">
      <formula>"Towel"</formula>
    </cfRule>
    <cfRule type="cellIs" dxfId="18062" priority="4748" stopIfTrue="1" operator="equal">
      <formula>"Napkin Hs"</formula>
    </cfRule>
  </conditionalFormatting>
  <conditionalFormatting sqref="C98">
    <cfRule type="cellIs" dxfId="18061" priority="4745" stopIfTrue="1" operator="equal">
      <formula>"Towel"</formula>
    </cfRule>
    <cfRule type="cellIs" dxfId="18060" priority="4746" stopIfTrue="1" operator="equal">
      <formula>"Napkin Hs"</formula>
    </cfRule>
  </conditionalFormatting>
  <conditionalFormatting sqref="C98">
    <cfRule type="cellIs" dxfId="18059" priority="4743" stopIfTrue="1" operator="equal">
      <formula>"Towel"</formula>
    </cfRule>
    <cfRule type="cellIs" dxfId="18058" priority="4744" stopIfTrue="1" operator="equal">
      <formula>"Napkin Hs"</formula>
    </cfRule>
  </conditionalFormatting>
  <conditionalFormatting sqref="C98">
    <cfRule type="cellIs" dxfId="18057" priority="4735" stopIfTrue="1" operator="equal">
      <formula>"Towel"</formula>
    </cfRule>
    <cfRule type="cellIs" dxfId="18056" priority="4736" stopIfTrue="1" operator="equal">
      <formula>"Napkin Hs"</formula>
    </cfRule>
  </conditionalFormatting>
  <conditionalFormatting sqref="B98:C98">
    <cfRule type="cellIs" dxfId="18055" priority="4737" stopIfTrue="1" operator="equal">
      <formula>"Towel"</formula>
    </cfRule>
    <cfRule type="cellIs" dxfId="18054" priority="4738" stopIfTrue="1" operator="equal">
      <formula>"Napkin Hs"</formula>
    </cfRule>
  </conditionalFormatting>
  <conditionalFormatting sqref="C98">
    <cfRule type="cellIs" dxfId="18053" priority="4733" stopIfTrue="1" operator="equal">
      <formula>"Towel"</formula>
    </cfRule>
    <cfRule type="cellIs" dxfId="18052" priority="4734" stopIfTrue="1" operator="equal">
      <formula>"Napkin Hs"</formula>
    </cfRule>
  </conditionalFormatting>
  <conditionalFormatting sqref="B98:C98">
    <cfRule type="cellIs" dxfId="18051" priority="4731" stopIfTrue="1" operator="equal">
      <formula>"Towel"</formula>
    </cfRule>
    <cfRule type="cellIs" dxfId="18050" priority="4732" stopIfTrue="1" operator="equal">
      <formula>"Napkin Hs"</formula>
    </cfRule>
  </conditionalFormatting>
  <conditionalFormatting sqref="C98">
    <cfRule type="cellIs" dxfId="18049" priority="4739" stopIfTrue="1" operator="equal">
      <formula>"Towel"</formula>
    </cfRule>
    <cfRule type="cellIs" dxfId="18048" priority="4740" stopIfTrue="1" operator="equal">
      <formula>"Napkin Hs"</formula>
    </cfRule>
  </conditionalFormatting>
  <conditionalFormatting sqref="C98">
    <cfRule type="cellIs" dxfId="18047" priority="4741" stopIfTrue="1" operator="equal">
      <formula>"Towel"</formula>
    </cfRule>
    <cfRule type="cellIs" dxfId="18046" priority="4742" stopIfTrue="1" operator="equal">
      <formula>"Napkin Hs"</formula>
    </cfRule>
  </conditionalFormatting>
  <conditionalFormatting sqref="B98:C98">
    <cfRule type="cellIs" dxfId="18045" priority="4729" stopIfTrue="1" operator="equal">
      <formula>"Towel"</formula>
    </cfRule>
    <cfRule type="cellIs" dxfId="18044" priority="4730" stopIfTrue="1" operator="equal">
      <formula>"Napkin Hs"</formula>
    </cfRule>
  </conditionalFormatting>
  <conditionalFormatting sqref="C98">
    <cfRule type="cellIs" dxfId="18043" priority="4728" stopIfTrue="1" operator="equal">
      <formula>"Napkin Hs"</formula>
    </cfRule>
  </conditionalFormatting>
  <conditionalFormatting sqref="C98">
    <cfRule type="cellIs" dxfId="18042" priority="4727" stopIfTrue="1" operator="equal">
      <formula>"Towel"</formula>
    </cfRule>
  </conditionalFormatting>
  <conditionalFormatting sqref="C98">
    <cfRule type="cellIs" dxfId="18041" priority="4725" stopIfTrue="1" operator="equal">
      <formula>"Towel"</formula>
    </cfRule>
    <cfRule type="cellIs" dxfId="18040" priority="4726" stopIfTrue="1" operator="equal">
      <formula>"Napkin Hs"</formula>
    </cfRule>
  </conditionalFormatting>
  <conditionalFormatting sqref="B98:C98">
    <cfRule type="cellIs" dxfId="18039" priority="4723" stopIfTrue="1" operator="equal">
      <formula>"Towel"</formula>
    </cfRule>
    <cfRule type="cellIs" dxfId="18038" priority="4724" stopIfTrue="1" operator="equal">
      <formula>"Napkin Hs"</formula>
    </cfRule>
  </conditionalFormatting>
  <conditionalFormatting sqref="C98">
    <cfRule type="cellIs" dxfId="18037" priority="4719" stopIfTrue="1" operator="equal">
      <formula>"Towel"</formula>
    </cfRule>
    <cfRule type="cellIs" dxfId="18036" priority="4720" stopIfTrue="1" operator="equal">
      <formula>"Napkin Hs"</formula>
    </cfRule>
  </conditionalFormatting>
  <conditionalFormatting sqref="C98">
    <cfRule type="cellIs" dxfId="18035" priority="4721" stopIfTrue="1" operator="equal">
      <formula>"Towel"</formula>
    </cfRule>
    <cfRule type="cellIs" dxfId="18034" priority="4722" stopIfTrue="1" operator="equal">
      <formula>"Napkin Hs"</formula>
    </cfRule>
  </conditionalFormatting>
  <conditionalFormatting sqref="B99:C99">
    <cfRule type="cellIs" dxfId="18033" priority="4717" stopIfTrue="1" operator="equal">
      <formula>"Towel"</formula>
    </cfRule>
    <cfRule type="cellIs" dxfId="18032" priority="4718" stopIfTrue="1" operator="equal">
      <formula>"Napkin Hs"</formula>
    </cfRule>
  </conditionalFormatting>
  <conditionalFormatting sqref="C99">
    <cfRule type="cellIs" dxfId="18031" priority="4713" stopIfTrue="1" operator="equal">
      <formula>"Towel"</formula>
    </cfRule>
    <cfRule type="cellIs" dxfId="18030" priority="4714" stopIfTrue="1" operator="equal">
      <formula>"Napkin Hs"</formula>
    </cfRule>
  </conditionalFormatting>
  <conditionalFormatting sqref="C99">
    <cfRule type="cellIs" dxfId="18029" priority="4715" stopIfTrue="1" operator="equal">
      <formula>"Towel"</formula>
    </cfRule>
    <cfRule type="cellIs" dxfId="18028" priority="4716" stopIfTrue="1" operator="equal">
      <formula>"Napkin Hs"</formula>
    </cfRule>
  </conditionalFormatting>
  <conditionalFormatting sqref="B99:C99">
    <cfRule type="cellIs" dxfId="18027" priority="4711" stopIfTrue="1" operator="equal">
      <formula>"Towel"</formula>
    </cfRule>
    <cfRule type="cellIs" dxfId="18026" priority="4712" stopIfTrue="1" operator="equal">
      <formula>"Napkin Hs"</formula>
    </cfRule>
  </conditionalFormatting>
  <conditionalFormatting sqref="C99">
    <cfRule type="cellIs" dxfId="18025" priority="4709" stopIfTrue="1" operator="equal">
      <formula>"Towel"</formula>
    </cfRule>
    <cfRule type="cellIs" dxfId="18024" priority="4710" stopIfTrue="1" operator="equal">
      <formula>"Napkin Hs"</formula>
    </cfRule>
  </conditionalFormatting>
  <conditionalFormatting sqref="C99">
    <cfRule type="cellIs" dxfId="18023" priority="4707" stopIfTrue="1" operator="equal">
      <formula>"Towel"</formula>
    </cfRule>
    <cfRule type="cellIs" dxfId="18022" priority="4708" stopIfTrue="1" operator="equal">
      <formula>"Napkin Hs"</formula>
    </cfRule>
  </conditionalFormatting>
  <conditionalFormatting sqref="B98:C98">
    <cfRule type="cellIs" dxfId="18021" priority="4705" stopIfTrue="1" operator="equal">
      <formula>"Towel"</formula>
    </cfRule>
    <cfRule type="cellIs" dxfId="18020" priority="4706" stopIfTrue="1" operator="equal">
      <formula>"Napkin Hs"</formula>
    </cfRule>
  </conditionalFormatting>
  <conditionalFormatting sqref="C98">
    <cfRule type="cellIs" dxfId="18019" priority="4703" stopIfTrue="1" operator="equal">
      <formula>"Towel"</formula>
    </cfRule>
    <cfRule type="cellIs" dxfId="18018" priority="4704" stopIfTrue="1" operator="equal">
      <formula>"Napkin Hs"</formula>
    </cfRule>
  </conditionalFormatting>
  <conditionalFormatting sqref="C98">
    <cfRule type="cellIs" dxfId="18017" priority="4701" stopIfTrue="1" operator="equal">
      <formula>"Towel"</formula>
    </cfRule>
    <cfRule type="cellIs" dxfId="18016" priority="4702" stopIfTrue="1" operator="equal">
      <formula>"Napkin Hs"</formula>
    </cfRule>
  </conditionalFormatting>
  <conditionalFormatting sqref="C98">
    <cfRule type="cellIs" dxfId="18015" priority="4693" stopIfTrue="1" operator="equal">
      <formula>"Towel"</formula>
    </cfRule>
    <cfRule type="cellIs" dxfId="18014" priority="4694" stopIfTrue="1" operator="equal">
      <formula>"Napkin Hs"</formula>
    </cfRule>
  </conditionalFormatting>
  <conditionalFormatting sqref="B98:C98">
    <cfRule type="cellIs" dxfId="18013" priority="4695" stopIfTrue="1" operator="equal">
      <formula>"Towel"</formula>
    </cfRule>
    <cfRule type="cellIs" dxfId="18012" priority="4696" stopIfTrue="1" operator="equal">
      <formula>"Napkin Hs"</formula>
    </cfRule>
  </conditionalFormatting>
  <conditionalFormatting sqref="C98">
    <cfRule type="cellIs" dxfId="18011" priority="4691" stopIfTrue="1" operator="equal">
      <formula>"Towel"</formula>
    </cfRule>
    <cfRule type="cellIs" dxfId="18010" priority="4692" stopIfTrue="1" operator="equal">
      <formula>"Napkin Hs"</formula>
    </cfRule>
  </conditionalFormatting>
  <conditionalFormatting sqref="B98:C98">
    <cfRule type="cellIs" dxfId="18009" priority="4689" stopIfTrue="1" operator="equal">
      <formula>"Towel"</formula>
    </cfRule>
    <cfRule type="cellIs" dxfId="18008" priority="4690" stopIfTrue="1" operator="equal">
      <formula>"Napkin Hs"</formula>
    </cfRule>
  </conditionalFormatting>
  <conditionalFormatting sqref="C98">
    <cfRule type="cellIs" dxfId="18007" priority="4697" stopIfTrue="1" operator="equal">
      <formula>"Towel"</formula>
    </cfRule>
    <cfRule type="cellIs" dxfId="18006" priority="4698" stopIfTrue="1" operator="equal">
      <formula>"Napkin Hs"</formula>
    </cfRule>
  </conditionalFormatting>
  <conditionalFormatting sqref="C98">
    <cfRule type="cellIs" dxfId="18005" priority="4699" stopIfTrue="1" operator="equal">
      <formula>"Towel"</formula>
    </cfRule>
    <cfRule type="cellIs" dxfId="18004" priority="4700" stopIfTrue="1" operator="equal">
      <formula>"Napkin Hs"</formula>
    </cfRule>
  </conditionalFormatting>
  <conditionalFormatting sqref="C101">
    <cfRule type="cellIs" dxfId="18003" priority="4681" stopIfTrue="1" operator="equal">
      <formula>"Towel"</formula>
    </cfRule>
    <cfRule type="cellIs" dxfId="18002" priority="4682" stopIfTrue="1" operator="equal">
      <formula>"Napkin Hs"</formula>
    </cfRule>
  </conditionalFormatting>
  <conditionalFormatting sqref="C101">
    <cfRule type="cellIs" dxfId="18001" priority="4679" stopIfTrue="1" operator="equal">
      <formula>"Towel"</formula>
    </cfRule>
    <cfRule type="cellIs" dxfId="18000" priority="4680" stopIfTrue="1" operator="equal">
      <formula>"Napkin Hs"</formula>
    </cfRule>
  </conditionalFormatting>
  <conditionalFormatting sqref="B101:C101">
    <cfRule type="cellIs" dxfId="17999" priority="4677" stopIfTrue="1" operator="equal">
      <formula>"Towel"</formula>
    </cfRule>
    <cfRule type="cellIs" dxfId="17998" priority="4678" stopIfTrue="1" operator="equal">
      <formula>"Napkin Hs"</formula>
    </cfRule>
  </conditionalFormatting>
  <conditionalFormatting sqref="B101:C101">
    <cfRule type="cellIs" dxfId="17997" priority="4687" stopIfTrue="1" operator="equal">
      <formula>"Towel"</formula>
    </cfRule>
    <cfRule type="cellIs" dxfId="17996" priority="4688" stopIfTrue="1" operator="equal">
      <formula>"Napkin Hs"</formula>
    </cfRule>
  </conditionalFormatting>
  <conditionalFormatting sqref="C101">
    <cfRule type="cellIs" dxfId="17995" priority="4685" stopIfTrue="1" operator="equal">
      <formula>"Towel"</formula>
    </cfRule>
    <cfRule type="cellIs" dxfId="17994" priority="4686" stopIfTrue="1" operator="equal">
      <formula>"Napkin Hs"</formula>
    </cfRule>
  </conditionalFormatting>
  <conditionalFormatting sqref="C101">
    <cfRule type="cellIs" dxfId="17993" priority="4683" stopIfTrue="1" operator="equal">
      <formula>"Towel"</formula>
    </cfRule>
    <cfRule type="cellIs" dxfId="17992" priority="4684" stopIfTrue="1" operator="equal">
      <formula>"Napkin Hs"</formula>
    </cfRule>
  </conditionalFormatting>
  <conditionalFormatting sqref="C100">
    <cfRule type="cellIs" dxfId="17991" priority="4663" stopIfTrue="1" operator="equal">
      <formula>"Towel"</formula>
    </cfRule>
    <cfRule type="cellIs" dxfId="17990" priority="4664" stopIfTrue="1" operator="equal">
      <formula>"Napkin Hs"</formula>
    </cfRule>
  </conditionalFormatting>
  <conditionalFormatting sqref="B100:C100">
    <cfRule type="cellIs" dxfId="17989" priority="4659" stopIfTrue="1" operator="equal">
      <formula>"Towel"</formula>
    </cfRule>
    <cfRule type="cellIs" dxfId="17988" priority="4660" stopIfTrue="1" operator="equal">
      <formula>"Napkin Hs"</formula>
    </cfRule>
  </conditionalFormatting>
  <conditionalFormatting sqref="C100">
    <cfRule type="cellIs" dxfId="17987" priority="4661" stopIfTrue="1" operator="equal">
      <formula>"Towel"</formula>
    </cfRule>
    <cfRule type="cellIs" dxfId="17986" priority="4662" stopIfTrue="1" operator="equal">
      <formula>"Napkin Hs"</formula>
    </cfRule>
  </conditionalFormatting>
  <conditionalFormatting sqref="C100">
    <cfRule type="cellIs" dxfId="17985" priority="4657" stopIfTrue="1" operator="equal">
      <formula>"Towel"</formula>
    </cfRule>
    <cfRule type="cellIs" dxfId="17984" priority="4658" stopIfTrue="1" operator="equal">
      <formula>"Napkin Hs"</formula>
    </cfRule>
  </conditionalFormatting>
  <conditionalFormatting sqref="B100:C100">
    <cfRule type="cellIs" dxfId="17983" priority="4653" stopIfTrue="1" operator="equal">
      <formula>"Towel"</formula>
    </cfRule>
    <cfRule type="cellIs" dxfId="17982" priority="4654" stopIfTrue="1" operator="equal">
      <formula>"Napkin Hs"</formula>
    </cfRule>
  </conditionalFormatting>
  <conditionalFormatting sqref="C100">
    <cfRule type="cellIs" dxfId="17981" priority="4655" stopIfTrue="1" operator="equal">
      <formula>"Towel"</formula>
    </cfRule>
    <cfRule type="cellIs" dxfId="17980" priority="4656" stopIfTrue="1" operator="equal">
      <formula>"Napkin Hs"</formula>
    </cfRule>
  </conditionalFormatting>
  <conditionalFormatting sqref="C101">
    <cfRule type="cellIs" dxfId="17979" priority="4675" stopIfTrue="1" operator="equal">
      <formula>"Towel"</formula>
    </cfRule>
    <cfRule type="cellIs" dxfId="17978" priority="4676" stopIfTrue="1" operator="equal">
      <formula>"Napkin Hs"</formula>
    </cfRule>
  </conditionalFormatting>
  <conditionalFormatting sqref="C101">
    <cfRule type="cellIs" dxfId="17977" priority="4673" stopIfTrue="1" operator="equal">
      <formula>"Towel"</formula>
    </cfRule>
    <cfRule type="cellIs" dxfId="17976" priority="4674" stopIfTrue="1" operator="equal">
      <formula>"Napkin Hs"</formula>
    </cfRule>
  </conditionalFormatting>
  <conditionalFormatting sqref="B101:C101">
    <cfRule type="cellIs" dxfId="17975" priority="4671" stopIfTrue="1" operator="equal">
      <formula>"Towel"</formula>
    </cfRule>
    <cfRule type="cellIs" dxfId="17974" priority="4672" stopIfTrue="1" operator="equal">
      <formula>"Napkin Hs"</formula>
    </cfRule>
  </conditionalFormatting>
  <conditionalFormatting sqref="B100:C100">
    <cfRule type="cellIs" dxfId="17973" priority="4669" stopIfTrue="1" operator="equal">
      <formula>"Towel"</formula>
    </cfRule>
    <cfRule type="cellIs" dxfId="17972" priority="4670" stopIfTrue="1" operator="equal">
      <formula>"Napkin Hs"</formula>
    </cfRule>
  </conditionalFormatting>
  <conditionalFormatting sqref="C100">
    <cfRule type="cellIs" dxfId="17971" priority="4667" stopIfTrue="1" operator="equal">
      <formula>"Towel"</formula>
    </cfRule>
    <cfRule type="cellIs" dxfId="17970" priority="4668" stopIfTrue="1" operator="equal">
      <formula>"Napkin Hs"</formula>
    </cfRule>
  </conditionalFormatting>
  <conditionalFormatting sqref="C100">
    <cfRule type="cellIs" dxfId="17969" priority="4665" stopIfTrue="1" operator="equal">
      <formula>"Towel"</formula>
    </cfRule>
    <cfRule type="cellIs" dxfId="17968" priority="4666" stopIfTrue="1" operator="equal">
      <formula>"Napkin Hs"</formula>
    </cfRule>
  </conditionalFormatting>
  <conditionalFormatting sqref="B98:C98">
    <cfRule type="cellIs" dxfId="17967" priority="4651" stopIfTrue="1" operator="equal">
      <formula>"Towel"</formula>
    </cfRule>
    <cfRule type="cellIs" dxfId="17966" priority="4652" stopIfTrue="1" operator="equal">
      <formula>"Napkin Hs"</formula>
    </cfRule>
  </conditionalFormatting>
  <conditionalFormatting sqref="C98">
    <cfRule type="cellIs" dxfId="17965" priority="4650" stopIfTrue="1" operator="equal">
      <formula>"Napkin Hs"</formula>
    </cfRule>
  </conditionalFormatting>
  <conditionalFormatting sqref="C98">
    <cfRule type="cellIs" dxfId="17964" priority="4649" stopIfTrue="1" operator="equal">
      <formula>"Towel"</formula>
    </cfRule>
  </conditionalFormatting>
  <conditionalFormatting sqref="C98">
    <cfRule type="cellIs" dxfId="17963" priority="4647" stopIfTrue="1" operator="equal">
      <formula>"Towel"</formula>
    </cfRule>
    <cfRule type="cellIs" dxfId="17962" priority="4648" stopIfTrue="1" operator="equal">
      <formula>"Napkin Hs"</formula>
    </cfRule>
  </conditionalFormatting>
  <conditionalFormatting sqref="B98:C98">
    <cfRule type="cellIs" dxfId="17961" priority="4645" stopIfTrue="1" operator="equal">
      <formula>"Towel"</formula>
    </cfRule>
    <cfRule type="cellIs" dxfId="17960" priority="4646" stopIfTrue="1" operator="equal">
      <formula>"Napkin Hs"</formula>
    </cfRule>
  </conditionalFormatting>
  <conditionalFormatting sqref="C98">
    <cfRule type="cellIs" dxfId="17959" priority="4641" stopIfTrue="1" operator="equal">
      <formula>"Towel"</formula>
    </cfRule>
    <cfRule type="cellIs" dxfId="17958" priority="4642" stopIfTrue="1" operator="equal">
      <formula>"Napkin Hs"</formula>
    </cfRule>
  </conditionalFormatting>
  <conditionalFormatting sqref="C98">
    <cfRule type="cellIs" dxfId="17957" priority="4643" stopIfTrue="1" operator="equal">
      <formula>"Towel"</formula>
    </cfRule>
    <cfRule type="cellIs" dxfId="17956" priority="4644" stopIfTrue="1" operator="equal">
      <formula>"Napkin Hs"</formula>
    </cfRule>
  </conditionalFormatting>
  <conditionalFormatting sqref="B98:C98">
    <cfRule type="cellIs" dxfId="17955" priority="4639" stopIfTrue="1" operator="equal">
      <formula>"Towel"</formula>
    </cfRule>
    <cfRule type="cellIs" dxfId="17954" priority="4640" stopIfTrue="1" operator="equal">
      <formula>"Napkin Hs"</formula>
    </cfRule>
  </conditionalFormatting>
  <conditionalFormatting sqref="B99:C99">
    <cfRule type="cellIs" dxfId="17953" priority="4633" stopIfTrue="1" operator="equal">
      <formula>"Towel"</formula>
    </cfRule>
    <cfRule type="cellIs" dxfId="17952" priority="4634" stopIfTrue="1" operator="equal">
      <formula>"Napkin Hs"</formula>
    </cfRule>
  </conditionalFormatting>
  <conditionalFormatting sqref="C98">
    <cfRule type="cellIs" dxfId="17951" priority="4638" stopIfTrue="1" operator="equal">
      <formula>"Napkin Hs"</formula>
    </cfRule>
  </conditionalFormatting>
  <conditionalFormatting sqref="C98">
    <cfRule type="cellIs" dxfId="17950" priority="4637" stopIfTrue="1" operator="equal">
      <formula>"Towel"</formula>
    </cfRule>
  </conditionalFormatting>
  <conditionalFormatting sqref="C98">
    <cfRule type="cellIs" dxfId="17949" priority="4635" stopIfTrue="1" operator="equal">
      <formula>"Towel"</formula>
    </cfRule>
    <cfRule type="cellIs" dxfId="17948" priority="4636" stopIfTrue="1" operator="equal">
      <formula>"Napkin Hs"</formula>
    </cfRule>
  </conditionalFormatting>
  <conditionalFormatting sqref="C99">
    <cfRule type="cellIs" dxfId="17947" priority="4631" stopIfTrue="1" operator="equal">
      <formula>"Towel"</formula>
    </cfRule>
    <cfRule type="cellIs" dxfId="17946" priority="4632" stopIfTrue="1" operator="equal">
      <formula>"Napkin Hs"</formula>
    </cfRule>
  </conditionalFormatting>
  <conditionalFormatting sqref="C99">
    <cfRule type="cellIs" dxfId="17945" priority="4629" stopIfTrue="1" operator="equal">
      <formula>"Towel"</formula>
    </cfRule>
    <cfRule type="cellIs" dxfId="17944" priority="4630" stopIfTrue="1" operator="equal">
      <formula>"Napkin Hs"</formula>
    </cfRule>
  </conditionalFormatting>
  <conditionalFormatting sqref="C99">
    <cfRule type="cellIs" dxfId="17943" priority="4627" stopIfTrue="1" operator="equal">
      <formula>"Towel"</formula>
    </cfRule>
    <cfRule type="cellIs" dxfId="17942" priority="4628" stopIfTrue="1" operator="equal">
      <formula>"Napkin Hs"</formula>
    </cfRule>
  </conditionalFormatting>
  <conditionalFormatting sqref="B99:C99">
    <cfRule type="cellIs" dxfId="17941" priority="4623" stopIfTrue="1" operator="equal">
      <formula>"Towel"</formula>
    </cfRule>
    <cfRule type="cellIs" dxfId="17940" priority="4624" stopIfTrue="1" operator="equal">
      <formula>"Napkin Hs"</formula>
    </cfRule>
  </conditionalFormatting>
  <conditionalFormatting sqref="C99">
    <cfRule type="cellIs" dxfId="17939" priority="4625" stopIfTrue="1" operator="equal">
      <formula>"Towel"</formula>
    </cfRule>
    <cfRule type="cellIs" dxfId="17938" priority="4626" stopIfTrue="1" operator="equal">
      <formula>"Napkin Hs"</formula>
    </cfRule>
  </conditionalFormatting>
  <conditionalFormatting sqref="C99">
    <cfRule type="cellIs" dxfId="17937" priority="4621" stopIfTrue="1" operator="equal">
      <formula>"Towel"</formula>
    </cfRule>
    <cfRule type="cellIs" dxfId="17936" priority="4622" stopIfTrue="1" operator="equal">
      <formula>"Napkin Hs"</formula>
    </cfRule>
  </conditionalFormatting>
  <conditionalFormatting sqref="B100:C101">
    <cfRule type="cellIs" dxfId="17935" priority="4615" stopIfTrue="1" operator="equal">
      <formula>"Towel"</formula>
    </cfRule>
    <cfRule type="cellIs" dxfId="17934" priority="4616" stopIfTrue="1" operator="equal">
      <formula>"Napkin Hs"</formula>
    </cfRule>
  </conditionalFormatting>
  <conditionalFormatting sqref="B99:C99">
    <cfRule type="cellIs" dxfId="17933" priority="4617" stopIfTrue="1" operator="equal">
      <formula>"Towel"</formula>
    </cfRule>
    <cfRule type="cellIs" dxfId="17932" priority="4618" stopIfTrue="1" operator="equal">
      <formula>"Napkin Hs"</formula>
    </cfRule>
  </conditionalFormatting>
  <conditionalFormatting sqref="C99">
    <cfRule type="cellIs" dxfId="17931" priority="4619" stopIfTrue="1" operator="equal">
      <formula>"Towel"</formula>
    </cfRule>
    <cfRule type="cellIs" dxfId="17930" priority="4620" stopIfTrue="1" operator="equal">
      <formula>"Napkin Hs"</formula>
    </cfRule>
  </conditionalFormatting>
  <conditionalFormatting sqref="C100:C101">
    <cfRule type="cellIs" dxfId="17929" priority="4613" stopIfTrue="1" operator="equal">
      <formula>"Towel"</formula>
    </cfRule>
    <cfRule type="cellIs" dxfId="17928" priority="4614" stopIfTrue="1" operator="equal">
      <formula>"Napkin Hs"</formula>
    </cfRule>
  </conditionalFormatting>
  <conditionalFormatting sqref="C100:C101">
    <cfRule type="cellIs" dxfId="17927" priority="4611" stopIfTrue="1" operator="equal">
      <formula>"Towel"</formula>
    </cfRule>
    <cfRule type="cellIs" dxfId="17926" priority="4612" stopIfTrue="1" operator="equal">
      <formula>"Napkin Hs"</formula>
    </cfRule>
  </conditionalFormatting>
  <conditionalFormatting sqref="C100:C101">
    <cfRule type="cellIs" dxfId="17925" priority="4603" stopIfTrue="1" operator="equal">
      <formula>"Towel"</formula>
    </cfRule>
    <cfRule type="cellIs" dxfId="17924" priority="4604" stopIfTrue="1" operator="equal">
      <formula>"Napkin Hs"</formula>
    </cfRule>
  </conditionalFormatting>
  <conditionalFormatting sqref="B100:C101">
    <cfRule type="cellIs" dxfId="17923" priority="4605" stopIfTrue="1" operator="equal">
      <formula>"Towel"</formula>
    </cfRule>
    <cfRule type="cellIs" dxfId="17922" priority="4606" stopIfTrue="1" operator="equal">
      <formula>"Napkin Hs"</formula>
    </cfRule>
  </conditionalFormatting>
  <conditionalFormatting sqref="C100:C101">
    <cfRule type="cellIs" dxfId="17921" priority="4601" stopIfTrue="1" operator="equal">
      <formula>"Towel"</formula>
    </cfRule>
    <cfRule type="cellIs" dxfId="17920" priority="4602" stopIfTrue="1" operator="equal">
      <formula>"Napkin Hs"</formula>
    </cfRule>
  </conditionalFormatting>
  <conditionalFormatting sqref="B100:C101">
    <cfRule type="cellIs" dxfId="17919" priority="4599" stopIfTrue="1" operator="equal">
      <formula>"Towel"</formula>
    </cfRule>
    <cfRule type="cellIs" dxfId="17918" priority="4600" stopIfTrue="1" operator="equal">
      <formula>"Napkin Hs"</formula>
    </cfRule>
  </conditionalFormatting>
  <conditionalFormatting sqref="C100:C101">
    <cfRule type="cellIs" dxfId="17917" priority="4607" stopIfTrue="1" operator="equal">
      <formula>"Towel"</formula>
    </cfRule>
    <cfRule type="cellIs" dxfId="17916" priority="4608" stopIfTrue="1" operator="equal">
      <formula>"Napkin Hs"</formula>
    </cfRule>
  </conditionalFormatting>
  <conditionalFormatting sqref="C100:C101">
    <cfRule type="cellIs" dxfId="17915" priority="4609" stopIfTrue="1" operator="equal">
      <formula>"Towel"</formula>
    </cfRule>
    <cfRule type="cellIs" dxfId="17914" priority="4610" stopIfTrue="1" operator="equal">
      <formula>"Napkin Hs"</formula>
    </cfRule>
  </conditionalFormatting>
  <conditionalFormatting sqref="B99:C99">
    <cfRule type="cellIs" dxfId="17913" priority="4597" stopIfTrue="1" operator="equal">
      <formula>"Towel"</formula>
    </cfRule>
    <cfRule type="cellIs" dxfId="17912" priority="4598" stopIfTrue="1" operator="equal">
      <formula>"Napkin Hs"</formula>
    </cfRule>
  </conditionalFormatting>
  <conditionalFormatting sqref="B98:C98">
    <cfRule type="cellIs" dxfId="17911" priority="4593" stopIfTrue="1" operator="equal">
      <formula>"Towel"</formula>
    </cfRule>
    <cfRule type="cellIs" dxfId="17910" priority="4594" stopIfTrue="1" operator="equal">
      <formula>"Napkin Hs"</formula>
    </cfRule>
  </conditionalFormatting>
  <conditionalFormatting sqref="C99">
    <cfRule type="cellIs" dxfId="17909" priority="4596" stopIfTrue="1" operator="equal">
      <formula>"Napkin Hs"</formula>
    </cfRule>
  </conditionalFormatting>
  <conditionalFormatting sqref="C99">
    <cfRule type="cellIs" dxfId="17908" priority="4595" stopIfTrue="1" operator="equal">
      <formula>"Towel"</formula>
    </cfRule>
  </conditionalFormatting>
  <conditionalFormatting sqref="C98">
    <cfRule type="cellIs" dxfId="17907" priority="4589" stopIfTrue="1" operator="equal">
      <formula>"Towel"</formula>
    </cfRule>
    <cfRule type="cellIs" dxfId="17906" priority="4590" stopIfTrue="1" operator="equal">
      <formula>"Napkin Hs"</formula>
    </cfRule>
  </conditionalFormatting>
  <conditionalFormatting sqref="C98:C99">
    <cfRule type="cellIs" dxfId="17905" priority="4591" stopIfTrue="1" operator="equal">
      <formula>"Towel"</formula>
    </cfRule>
    <cfRule type="cellIs" dxfId="17904" priority="4592" stopIfTrue="1" operator="equal">
      <formula>"Napkin Hs"</formula>
    </cfRule>
  </conditionalFormatting>
  <conditionalFormatting sqref="B98:C98">
    <cfRule type="cellIs" dxfId="17903" priority="4587" stopIfTrue="1" operator="equal">
      <formula>"Towel"</formula>
    </cfRule>
    <cfRule type="cellIs" dxfId="17902" priority="4588" stopIfTrue="1" operator="equal">
      <formula>"Napkin Hs"</formula>
    </cfRule>
  </conditionalFormatting>
  <conditionalFormatting sqref="C98">
    <cfRule type="cellIs" dxfId="17901" priority="4586" stopIfTrue="1" operator="equal">
      <formula>"Napkin Hs"</formula>
    </cfRule>
  </conditionalFormatting>
  <conditionalFormatting sqref="C98">
    <cfRule type="cellIs" dxfId="17900" priority="4585" stopIfTrue="1" operator="equal">
      <formula>"Towel"</formula>
    </cfRule>
  </conditionalFormatting>
  <conditionalFormatting sqref="C98">
    <cfRule type="cellIs" dxfId="17899" priority="4583" stopIfTrue="1" operator="equal">
      <formula>"Towel"</formula>
    </cfRule>
    <cfRule type="cellIs" dxfId="17898" priority="4584" stopIfTrue="1" operator="equal">
      <formula>"Napkin Hs"</formula>
    </cfRule>
  </conditionalFormatting>
  <conditionalFormatting sqref="C101">
    <cfRule type="cellIs" dxfId="17897" priority="4579" stopIfTrue="1" operator="equal">
      <formula>"Towel"</formula>
    </cfRule>
    <cfRule type="cellIs" dxfId="17896" priority="4580" stopIfTrue="1" operator="equal">
      <formula>"Napkin Hs"</formula>
    </cfRule>
  </conditionalFormatting>
  <conditionalFormatting sqref="C101">
    <cfRule type="cellIs" dxfId="17895" priority="4581" stopIfTrue="1" operator="equal">
      <formula>"Towel"</formula>
    </cfRule>
    <cfRule type="cellIs" dxfId="17894" priority="4582" stopIfTrue="1" operator="equal">
      <formula>"Napkin Hs"</formula>
    </cfRule>
  </conditionalFormatting>
  <conditionalFormatting sqref="B101:C101">
    <cfRule type="cellIs" dxfId="17893" priority="4577" stopIfTrue="1" operator="equal">
      <formula>"Towel"</formula>
    </cfRule>
    <cfRule type="cellIs" dxfId="17892" priority="4578" stopIfTrue="1" operator="equal">
      <formula>"Napkin Hs"</formula>
    </cfRule>
  </conditionalFormatting>
  <conditionalFormatting sqref="B101:C101">
    <cfRule type="cellIs" dxfId="17891" priority="4571" stopIfTrue="1" operator="equal">
      <formula>"Towel"</formula>
    </cfRule>
    <cfRule type="cellIs" dxfId="17890" priority="4572" stopIfTrue="1" operator="equal">
      <formula>"Napkin Hs"</formula>
    </cfRule>
  </conditionalFormatting>
  <conditionalFormatting sqref="C101">
    <cfRule type="cellIs" dxfId="17889" priority="4573" stopIfTrue="1" operator="equal">
      <formula>"Towel"</formula>
    </cfRule>
    <cfRule type="cellIs" dxfId="17888" priority="4574" stopIfTrue="1" operator="equal">
      <formula>"Napkin Hs"</formula>
    </cfRule>
  </conditionalFormatting>
  <conditionalFormatting sqref="C101">
    <cfRule type="cellIs" dxfId="17887" priority="4575" stopIfTrue="1" operator="equal">
      <formula>"Towel"</formula>
    </cfRule>
    <cfRule type="cellIs" dxfId="17886" priority="4576" stopIfTrue="1" operator="equal">
      <formula>"Napkin Hs"</formula>
    </cfRule>
  </conditionalFormatting>
  <conditionalFormatting sqref="C100">
    <cfRule type="cellIs" dxfId="17885" priority="4567" stopIfTrue="1" operator="equal">
      <formula>"Towel"</formula>
    </cfRule>
    <cfRule type="cellIs" dxfId="17884" priority="4568" stopIfTrue="1" operator="equal">
      <formula>"Napkin Hs"</formula>
    </cfRule>
  </conditionalFormatting>
  <conditionalFormatting sqref="C100">
    <cfRule type="cellIs" dxfId="17883" priority="4569" stopIfTrue="1" operator="equal">
      <formula>"Towel"</formula>
    </cfRule>
    <cfRule type="cellIs" dxfId="17882" priority="4570" stopIfTrue="1" operator="equal">
      <formula>"Napkin Hs"</formula>
    </cfRule>
  </conditionalFormatting>
  <conditionalFormatting sqref="C100">
    <cfRule type="cellIs" dxfId="17881" priority="4565" stopIfTrue="1" operator="equal">
      <formula>"Towel"</formula>
    </cfRule>
    <cfRule type="cellIs" dxfId="17880" priority="4566" stopIfTrue="1" operator="equal">
      <formula>"Napkin Hs"</formula>
    </cfRule>
  </conditionalFormatting>
  <conditionalFormatting sqref="C100">
    <cfRule type="cellIs" dxfId="17879" priority="4559" stopIfTrue="1" operator="equal">
      <formula>"Towel"</formula>
    </cfRule>
    <cfRule type="cellIs" dxfId="17878" priority="4560" stopIfTrue="1" operator="equal">
      <formula>"Napkin Hs"</formula>
    </cfRule>
  </conditionalFormatting>
  <conditionalFormatting sqref="C100">
    <cfRule type="cellIs" dxfId="17877" priority="4561" stopIfTrue="1" operator="equal">
      <formula>"Towel"</formula>
    </cfRule>
    <cfRule type="cellIs" dxfId="17876" priority="4562" stopIfTrue="1" operator="equal">
      <formula>"Napkin Hs"</formula>
    </cfRule>
  </conditionalFormatting>
  <conditionalFormatting sqref="C100">
    <cfRule type="cellIs" dxfId="17875" priority="4563" stopIfTrue="1" operator="equal">
      <formula>"Towel"</formula>
    </cfRule>
    <cfRule type="cellIs" dxfId="17874" priority="4564" stopIfTrue="1" operator="equal">
      <formula>"Napkin Hs"</formula>
    </cfRule>
  </conditionalFormatting>
  <conditionalFormatting sqref="B100">
    <cfRule type="cellIs" dxfId="17873" priority="4557" stopIfTrue="1" operator="equal">
      <formula>"Towel"</formula>
    </cfRule>
    <cfRule type="cellIs" dxfId="17872" priority="4558" stopIfTrue="1" operator="equal">
      <formula>"Napkin Hs"</formula>
    </cfRule>
  </conditionalFormatting>
  <conditionalFormatting sqref="B100">
    <cfRule type="cellIs" dxfId="17871" priority="4555" stopIfTrue="1" operator="equal">
      <formula>"Towel"</formula>
    </cfRule>
    <cfRule type="cellIs" dxfId="17870" priority="4556" stopIfTrue="1" operator="equal">
      <formula>"Napkin Hs"</formula>
    </cfRule>
  </conditionalFormatting>
  <conditionalFormatting sqref="C99">
    <cfRule type="cellIs" dxfId="17869" priority="4547" stopIfTrue="1" operator="equal">
      <formula>"Towel"</formula>
    </cfRule>
    <cfRule type="cellIs" dxfId="17868" priority="4548" stopIfTrue="1" operator="equal">
      <formula>"Napkin Hs"</formula>
    </cfRule>
  </conditionalFormatting>
  <conditionalFormatting sqref="B99:C99">
    <cfRule type="cellIs" dxfId="17867" priority="4549" stopIfTrue="1" operator="equal">
      <formula>"Towel"</formula>
    </cfRule>
    <cfRule type="cellIs" dxfId="17866" priority="4550" stopIfTrue="1" operator="equal">
      <formula>"Napkin Hs"</formula>
    </cfRule>
  </conditionalFormatting>
  <conditionalFormatting sqref="C99">
    <cfRule type="cellIs" dxfId="17865" priority="4545" stopIfTrue="1" operator="equal">
      <formula>"Towel"</formula>
    </cfRule>
    <cfRule type="cellIs" dxfId="17864" priority="4546" stopIfTrue="1" operator="equal">
      <formula>"Napkin Hs"</formula>
    </cfRule>
  </conditionalFormatting>
  <conditionalFormatting sqref="B99:C99">
    <cfRule type="cellIs" dxfId="17863" priority="4543" stopIfTrue="1" operator="equal">
      <formula>"Towel"</formula>
    </cfRule>
    <cfRule type="cellIs" dxfId="17862" priority="4544" stopIfTrue="1" operator="equal">
      <formula>"Napkin Hs"</formula>
    </cfRule>
  </conditionalFormatting>
  <conditionalFormatting sqref="C99">
    <cfRule type="cellIs" dxfId="17861" priority="4551" stopIfTrue="1" operator="equal">
      <formula>"Towel"</formula>
    </cfRule>
    <cfRule type="cellIs" dxfId="17860" priority="4552" stopIfTrue="1" operator="equal">
      <formula>"Napkin Hs"</formula>
    </cfRule>
  </conditionalFormatting>
  <conditionalFormatting sqref="C99">
    <cfRule type="cellIs" dxfId="17859" priority="4553" stopIfTrue="1" operator="equal">
      <formula>"Towel"</formula>
    </cfRule>
    <cfRule type="cellIs" dxfId="17858" priority="4554" stopIfTrue="1" operator="equal">
      <formula>"Napkin Hs"</formula>
    </cfRule>
  </conditionalFormatting>
  <conditionalFormatting sqref="B101:C101">
    <cfRule type="cellIs" dxfId="17857" priority="4541" stopIfTrue="1" operator="equal">
      <formula>"Towel"</formula>
    </cfRule>
    <cfRule type="cellIs" dxfId="17856" priority="4542" stopIfTrue="1" operator="equal">
      <formula>"Napkin Hs"</formula>
    </cfRule>
  </conditionalFormatting>
  <conditionalFormatting sqref="B100:C100">
    <cfRule type="cellIs" dxfId="17855" priority="4537" stopIfTrue="1" operator="equal">
      <formula>"Towel"</formula>
    </cfRule>
    <cfRule type="cellIs" dxfId="17854" priority="4538" stopIfTrue="1" operator="equal">
      <formula>"Napkin Hs"</formula>
    </cfRule>
  </conditionalFormatting>
  <conditionalFormatting sqref="C101">
    <cfRule type="cellIs" dxfId="17853" priority="4540" stopIfTrue="1" operator="equal">
      <formula>"Napkin Hs"</formula>
    </cfRule>
  </conditionalFormatting>
  <conditionalFormatting sqref="C101">
    <cfRule type="cellIs" dxfId="17852" priority="4539" stopIfTrue="1" operator="equal">
      <formula>"Towel"</formula>
    </cfRule>
  </conditionalFormatting>
  <conditionalFormatting sqref="C100">
    <cfRule type="cellIs" dxfId="17851" priority="4533" stopIfTrue="1" operator="equal">
      <formula>"Towel"</formula>
    </cfRule>
    <cfRule type="cellIs" dxfId="17850" priority="4534" stopIfTrue="1" operator="equal">
      <formula>"Napkin Hs"</formula>
    </cfRule>
  </conditionalFormatting>
  <conditionalFormatting sqref="C100:C101">
    <cfRule type="cellIs" dxfId="17849" priority="4535" stopIfTrue="1" operator="equal">
      <formula>"Towel"</formula>
    </cfRule>
    <cfRule type="cellIs" dxfId="17848" priority="4536" stopIfTrue="1" operator="equal">
      <formula>"Napkin Hs"</formula>
    </cfRule>
  </conditionalFormatting>
  <conditionalFormatting sqref="C99">
    <cfRule type="cellIs" dxfId="17847" priority="4525" stopIfTrue="1" operator="equal">
      <formula>"Towel"</formula>
    </cfRule>
    <cfRule type="cellIs" dxfId="17846" priority="4526" stopIfTrue="1" operator="equal">
      <formula>"Napkin Hs"</formula>
    </cfRule>
  </conditionalFormatting>
  <conditionalFormatting sqref="C99">
    <cfRule type="cellIs" dxfId="17845" priority="4527" stopIfTrue="1" operator="equal">
      <formula>"Towel"</formula>
    </cfRule>
    <cfRule type="cellIs" dxfId="17844" priority="4528" stopIfTrue="1" operator="equal">
      <formula>"Napkin Hs"</formula>
    </cfRule>
  </conditionalFormatting>
  <conditionalFormatting sqref="C99">
    <cfRule type="cellIs" dxfId="17843" priority="4523" stopIfTrue="1" operator="equal">
      <formula>"Towel"</formula>
    </cfRule>
    <cfRule type="cellIs" dxfId="17842" priority="4524" stopIfTrue="1" operator="equal">
      <formula>"Napkin Hs"</formula>
    </cfRule>
  </conditionalFormatting>
  <conditionalFormatting sqref="C99">
    <cfRule type="cellIs" dxfId="17841" priority="4521" stopIfTrue="1" operator="equal">
      <formula>"Towel"</formula>
    </cfRule>
    <cfRule type="cellIs" dxfId="17840" priority="4522" stopIfTrue="1" operator="equal">
      <formula>"Napkin Hs"</formula>
    </cfRule>
  </conditionalFormatting>
  <conditionalFormatting sqref="C99">
    <cfRule type="cellIs" dxfId="17839" priority="4529" stopIfTrue="1" operator="equal">
      <formula>"Towel"</formula>
    </cfRule>
    <cfRule type="cellIs" dxfId="17838" priority="4530" stopIfTrue="1" operator="equal">
      <formula>"Napkin Hs"</formula>
    </cfRule>
  </conditionalFormatting>
  <conditionalFormatting sqref="C99">
    <cfRule type="cellIs" dxfId="17837" priority="4531" stopIfTrue="1" operator="equal">
      <formula>"Towel"</formula>
    </cfRule>
    <cfRule type="cellIs" dxfId="17836" priority="4532" stopIfTrue="1" operator="equal">
      <formula>"Napkin Hs"</formula>
    </cfRule>
  </conditionalFormatting>
  <conditionalFormatting sqref="C98">
    <cfRule type="cellIs" dxfId="17835" priority="4513" stopIfTrue="1" operator="equal">
      <formula>"Towel"</formula>
    </cfRule>
    <cfRule type="cellIs" dxfId="17834" priority="4514" stopIfTrue="1" operator="equal">
      <formula>"Napkin Hs"</formula>
    </cfRule>
  </conditionalFormatting>
  <conditionalFormatting sqref="B98:C98">
    <cfRule type="cellIs" dxfId="17833" priority="4515" stopIfTrue="1" operator="equal">
      <formula>"Towel"</formula>
    </cfRule>
    <cfRule type="cellIs" dxfId="17832" priority="4516" stopIfTrue="1" operator="equal">
      <formula>"Napkin Hs"</formula>
    </cfRule>
  </conditionalFormatting>
  <conditionalFormatting sqref="C98">
    <cfRule type="cellIs" dxfId="17831" priority="4511" stopIfTrue="1" operator="equal">
      <formula>"Towel"</formula>
    </cfRule>
    <cfRule type="cellIs" dxfId="17830" priority="4512" stopIfTrue="1" operator="equal">
      <formula>"Napkin Hs"</formula>
    </cfRule>
  </conditionalFormatting>
  <conditionalFormatting sqref="B98:C98">
    <cfRule type="cellIs" dxfId="17829" priority="4509" stopIfTrue="1" operator="equal">
      <formula>"Towel"</formula>
    </cfRule>
    <cfRule type="cellIs" dxfId="17828" priority="4510" stopIfTrue="1" operator="equal">
      <formula>"Napkin Hs"</formula>
    </cfRule>
  </conditionalFormatting>
  <conditionalFormatting sqref="C98">
    <cfRule type="cellIs" dxfId="17827" priority="4517" stopIfTrue="1" operator="equal">
      <formula>"Towel"</formula>
    </cfRule>
    <cfRule type="cellIs" dxfId="17826" priority="4518" stopIfTrue="1" operator="equal">
      <formula>"Napkin Hs"</formula>
    </cfRule>
  </conditionalFormatting>
  <conditionalFormatting sqref="C98">
    <cfRule type="cellIs" dxfId="17825" priority="4519" stopIfTrue="1" operator="equal">
      <formula>"Towel"</formula>
    </cfRule>
    <cfRule type="cellIs" dxfId="17824" priority="4520" stopIfTrue="1" operator="equal">
      <formula>"Napkin Hs"</formula>
    </cfRule>
  </conditionalFormatting>
  <conditionalFormatting sqref="B99">
    <cfRule type="cellIs" dxfId="17823" priority="4507" stopIfTrue="1" operator="equal">
      <formula>"Towel"</formula>
    </cfRule>
    <cfRule type="cellIs" dxfId="17822" priority="4508" stopIfTrue="1" operator="equal">
      <formula>"Napkin Hs"</formula>
    </cfRule>
  </conditionalFormatting>
  <conditionalFormatting sqref="B98:C98">
    <cfRule type="cellIs" dxfId="17821" priority="4501" stopIfTrue="1" operator="equal">
      <formula>"Towel"</formula>
    </cfRule>
    <cfRule type="cellIs" dxfId="17820" priority="4502" stopIfTrue="1" operator="equal">
      <formula>"Napkin Hs"</formula>
    </cfRule>
  </conditionalFormatting>
  <conditionalFormatting sqref="B99:C101">
    <cfRule type="cellIs" dxfId="17819" priority="4505" stopIfTrue="1" operator="equal">
      <formula>"Towel"</formula>
    </cfRule>
    <cfRule type="cellIs" dxfId="17818" priority="4506" stopIfTrue="1" operator="equal">
      <formula>"Napkin Hs"</formula>
    </cfRule>
  </conditionalFormatting>
  <conditionalFormatting sqref="C98">
    <cfRule type="cellIs" dxfId="17817" priority="4497" stopIfTrue="1" operator="equal">
      <formula>"Towel"</formula>
    </cfRule>
    <cfRule type="cellIs" dxfId="17816" priority="4498" stopIfTrue="1" operator="equal">
      <formula>"Napkin Hs"</formula>
    </cfRule>
  </conditionalFormatting>
  <conditionalFormatting sqref="C98:C101">
    <cfRule type="cellIs" dxfId="17815" priority="4499" stopIfTrue="1" operator="equal">
      <formula>"Towel"</formula>
    </cfRule>
    <cfRule type="cellIs" dxfId="17814" priority="4500" stopIfTrue="1" operator="equal">
      <formula>"Napkin Hs"</formula>
    </cfRule>
  </conditionalFormatting>
  <conditionalFormatting sqref="C99:C101">
    <cfRule type="cellIs" dxfId="17813" priority="4503" stopIfTrue="1" operator="equal">
      <formula>"Towel"</formula>
    </cfRule>
    <cfRule type="cellIs" dxfId="17812" priority="4504" stopIfTrue="1" operator="equal">
      <formula>"Napkin Hs"</formula>
    </cfRule>
  </conditionalFormatting>
  <conditionalFormatting sqref="B101:C101">
    <cfRule type="cellIs" dxfId="17811" priority="4495" stopIfTrue="1" operator="equal">
      <formula>"Towel"</formula>
    </cfRule>
    <cfRule type="cellIs" dxfId="17810" priority="4496" stopIfTrue="1" operator="equal">
      <formula>"Napkin Hs"</formula>
    </cfRule>
  </conditionalFormatting>
  <conditionalFormatting sqref="C101">
    <cfRule type="cellIs" dxfId="17809" priority="4493" stopIfTrue="1" operator="equal">
      <formula>"Towel"</formula>
    </cfRule>
    <cfRule type="cellIs" dxfId="17808" priority="4494" stopIfTrue="1" operator="equal">
      <formula>"Napkin Hs"</formula>
    </cfRule>
  </conditionalFormatting>
  <conditionalFormatting sqref="C100">
    <cfRule type="cellIs" dxfId="17807" priority="4485" stopIfTrue="1" operator="equal">
      <formula>"Towel"</formula>
    </cfRule>
    <cfRule type="cellIs" dxfId="17806" priority="4486" stopIfTrue="1" operator="equal">
      <formula>"Napkin Hs"</formula>
    </cfRule>
  </conditionalFormatting>
  <conditionalFormatting sqref="C100">
    <cfRule type="cellIs" dxfId="17805" priority="4487" stopIfTrue="1" operator="equal">
      <formula>"Towel"</formula>
    </cfRule>
    <cfRule type="cellIs" dxfId="17804" priority="4488" stopIfTrue="1" operator="equal">
      <formula>"Napkin Hs"</formula>
    </cfRule>
  </conditionalFormatting>
  <conditionalFormatting sqref="C100">
    <cfRule type="cellIs" dxfId="17803" priority="4483" stopIfTrue="1" operator="equal">
      <formula>"Towel"</formula>
    </cfRule>
    <cfRule type="cellIs" dxfId="17802" priority="4484" stopIfTrue="1" operator="equal">
      <formula>"Napkin Hs"</formula>
    </cfRule>
  </conditionalFormatting>
  <conditionalFormatting sqref="C100">
    <cfRule type="cellIs" dxfId="17801" priority="4481" stopIfTrue="1" operator="equal">
      <formula>"Towel"</formula>
    </cfRule>
    <cfRule type="cellIs" dxfId="17800" priority="4482" stopIfTrue="1" operator="equal">
      <formula>"Napkin Hs"</formula>
    </cfRule>
  </conditionalFormatting>
  <conditionalFormatting sqref="C100">
    <cfRule type="cellIs" dxfId="17799" priority="4489" stopIfTrue="1" operator="equal">
      <formula>"Towel"</formula>
    </cfRule>
    <cfRule type="cellIs" dxfId="17798" priority="4490" stopIfTrue="1" operator="equal">
      <formula>"Napkin Hs"</formula>
    </cfRule>
  </conditionalFormatting>
  <conditionalFormatting sqref="C100">
    <cfRule type="cellIs" dxfId="17797" priority="4491" stopIfTrue="1" operator="equal">
      <formula>"Towel"</formula>
    </cfRule>
    <cfRule type="cellIs" dxfId="17796" priority="4492" stopIfTrue="1" operator="equal">
      <formula>"Napkin Hs"</formula>
    </cfRule>
  </conditionalFormatting>
  <conditionalFormatting sqref="C99">
    <cfRule type="cellIs" dxfId="17795" priority="4473" stopIfTrue="1" operator="equal">
      <formula>"Towel"</formula>
    </cfRule>
    <cfRule type="cellIs" dxfId="17794" priority="4474" stopIfTrue="1" operator="equal">
      <formula>"Napkin Hs"</formula>
    </cfRule>
  </conditionalFormatting>
  <conditionalFormatting sqref="B99:C99">
    <cfRule type="cellIs" dxfId="17793" priority="4475" stopIfTrue="1" operator="equal">
      <formula>"Towel"</formula>
    </cfRule>
    <cfRule type="cellIs" dxfId="17792" priority="4476" stopIfTrue="1" operator="equal">
      <formula>"Napkin Hs"</formula>
    </cfRule>
  </conditionalFormatting>
  <conditionalFormatting sqref="C99">
    <cfRule type="cellIs" dxfId="17791" priority="4471" stopIfTrue="1" operator="equal">
      <formula>"Towel"</formula>
    </cfRule>
    <cfRule type="cellIs" dxfId="17790" priority="4472" stopIfTrue="1" operator="equal">
      <formula>"Napkin Hs"</formula>
    </cfRule>
  </conditionalFormatting>
  <conditionalFormatting sqref="B99:C99">
    <cfRule type="cellIs" dxfId="17789" priority="4469" stopIfTrue="1" operator="equal">
      <formula>"Towel"</formula>
    </cfRule>
    <cfRule type="cellIs" dxfId="17788" priority="4470" stopIfTrue="1" operator="equal">
      <formula>"Napkin Hs"</formula>
    </cfRule>
  </conditionalFormatting>
  <conditionalFormatting sqref="C99">
    <cfRule type="cellIs" dxfId="17787" priority="4477" stopIfTrue="1" operator="equal">
      <formula>"Towel"</formula>
    </cfRule>
    <cfRule type="cellIs" dxfId="17786" priority="4478" stopIfTrue="1" operator="equal">
      <formula>"Napkin Hs"</formula>
    </cfRule>
  </conditionalFormatting>
  <conditionalFormatting sqref="C99">
    <cfRule type="cellIs" dxfId="17785" priority="4479" stopIfTrue="1" operator="equal">
      <formula>"Towel"</formula>
    </cfRule>
    <cfRule type="cellIs" dxfId="17784" priority="4480" stopIfTrue="1" operator="equal">
      <formula>"Napkin Hs"</formula>
    </cfRule>
  </conditionalFormatting>
  <conditionalFormatting sqref="B100">
    <cfRule type="cellIs" dxfId="17783" priority="4467" stopIfTrue="1" operator="equal">
      <formula>"Towel"</formula>
    </cfRule>
    <cfRule type="cellIs" dxfId="17782" priority="4468" stopIfTrue="1" operator="equal">
      <formula>"Napkin Hs"</formula>
    </cfRule>
  </conditionalFormatting>
  <conditionalFormatting sqref="C98">
    <cfRule type="cellIs" dxfId="17781" priority="4459" stopIfTrue="1" operator="equal">
      <formula>"Towel"</formula>
    </cfRule>
    <cfRule type="cellIs" dxfId="17780" priority="4460" stopIfTrue="1" operator="equal">
      <formula>"Napkin Hs"</formula>
    </cfRule>
  </conditionalFormatting>
  <conditionalFormatting sqref="B98:C98">
    <cfRule type="cellIs" dxfId="17779" priority="4461" stopIfTrue="1" operator="equal">
      <formula>"Towel"</formula>
    </cfRule>
    <cfRule type="cellIs" dxfId="17778" priority="4462" stopIfTrue="1" operator="equal">
      <formula>"Napkin Hs"</formula>
    </cfRule>
  </conditionalFormatting>
  <conditionalFormatting sqref="C98">
    <cfRule type="cellIs" dxfId="17777" priority="4457" stopIfTrue="1" operator="equal">
      <formula>"Towel"</formula>
    </cfRule>
    <cfRule type="cellIs" dxfId="17776" priority="4458" stopIfTrue="1" operator="equal">
      <formula>"Napkin Hs"</formula>
    </cfRule>
  </conditionalFormatting>
  <conditionalFormatting sqref="B98:C98">
    <cfRule type="cellIs" dxfId="17775" priority="4455" stopIfTrue="1" operator="equal">
      <formula>"Towel"</formula>
    </cfRule>
    <cfRule type="cellIs" dxfId="17774" priority="4456" stopIfTrue="1" operator="equal">
      <formula>"Napkin Hs"</formula>
    </cfRule>
  </conditionalFormatting>
  <conditionalFormatting sqref="C98">
    <cfRule type="cellIs" dxfId="17773" priority="4463" stopIfTrue="1" operator="equal">
      <formula>"Towel"</formula>
    </cfRule>
    <cfRule type="cellIs" dxfId="17772" priority="4464" stopIfTrue="1" operator="equal">
      <formula>"Napkin Hs"</formula>
    </cfRule>
  </conditionalFormatting>
  <conditionalFormatting sqref="C98">
    <cfRule type="cellIs" dxfId="17771" priority="4465" stopIfTrue="1" operator="equal">
      <formula>"Towel"</formula>
    </cfRule>
    <cfRule type="cellIs" dxfId="17770" priority="4466" stopIfTrue="1" operator="equal">
      <formula>"Napkin Hs"</formula>
    </cfRule>
  </conditionalFormatting>
  <conditionalFormatting sqref="B98:C98">
    <cfRule type="cellIs" dxfId="17769" priority="4453" stopIfTrue="1" operator="equal">
      <formula>"Towel"</formula>
    </cfRule>
    <cfRule type="cellIs" dxfId="17768" priority="4454" stopIfTrue="1" operator="equal">
      <formula>"Napkin Hs"</formula>
    </cfRule>
  </conditionalFormatting>
  <conditionalFormatting sqref="B99:C99">
    <cfRule type="cellIs" dxfId="17767" priority="4447" stopIfTrue="1" operator="equal">
      <formula>"Towel"</formula>
    </cfRule>
    <cfRule type="cellIs" dxfId="17766" priority="4448" stopIfTrue="1" operator="equal">
      <formula>"Napkin Hs"</formula>
    </cfRule>
  </conditionalFormatting>
  <conditionalFormatting sqref="C98">
    <cfRule type="cellIs" dxfId="17765" priority="4452" stopIfTrue="1" operator="equal">
      <formula>"Napkin Hs"</formula>
    </cfRule>
  </conditionalFormatting>
  <conditionalFormatting sqref="C98">
    <cfRule type="cellIs" dxfId="17764" priority="4451" stopIfTrue="1" operator="equal">
      <formula>"Towel"</formula>
    </cfRule>
  </conditionalFormatting>
  <conditionalFormatting sqref="C98">
    <cfRule type="cellIs" dxfId="17763" priority="4449" stopIfTrue="1" operator="equal">
      <formula>"Towel"</formula>
    </cfRule>
    <cfRule type="cellIs" dxfId="17762" priority="4450" stopIfTrue="1" operator="equal">
      <formula>"Napkin Hs"</formula>
    </cfRule>
  </conditionalFormatting>
  <conditionalFormatting sqref="C99">
    <cfRule type="cellIs" dxfId="17761" priority="4445" stopIfTrue="1" operator="equal">
      <formula>"Towel"</formula>
    </cfRule>
    <cfRule type="cellIs" dxfId="17760" priority="4446" stopIfTrue="1" operator="equal">
      <formula>"Napkin Hs"</formula>
    </cfRule>
  </conditionalFormatting>
  <conditionalFormatting sqref="C102">
    <cfRule type="cellIs" dxfId="17759" priority="4437" stopIfTrue="1" operator="equal">
      <formula>"Towel"</formula>
    </cfRule>
    <cfRule type="cellIs" dxfId="17758" priority="4438" stopIfTrue="1" operator="equal">
      <formula>"Napkin Hs"</formula>
    </cfRule>
  </conditionalFormatting>
  <conditionalFormatting sqref="C102">
    <cfRule type="cellIs" dxfId="17757" priority="4435" stopIfTrue="1" operator="equal">
      <formula>"Towel"</formula>
    </cfRule>
    <cfRule type="cellIs" dxfId="17756" priority="4436" stopIfTrue="1" operator="equal">
      <formula>"Napkin Hs"</formula>
    </cfRule>
  </conditionalFormatting>
  <conditionalFormatting sqref="B102:C102">
    <cfRule type="cellIs" dxfId="17755" priority="4433" stopIfTrue="1" operator="equal">
      <formula>"Towel"</formula>
    </cfRule>
    <cfRule type="cellIs" dxfId="17754" priority="4434" stopIfTrue="1" operator="equal">
      <formula>"Napkin Hs"</formula>
    </cfRule>
  </conditionalFormatting>
  <conditionalFormatting sqref="B102:C102">
    <cfRule type="cellIs" dxfId="17753" priority="4443" stopIfTrue="1" operator="equal">
      <formula>"Towel"</formula>
    </cfRule>
    <cfRule type="cellIs" dxfId="17752" priority="4444" stopIfTrue="1" operator="equal">
      <formula>"Napkin Hs"</formula>
    </cfRule>
  </conditionalFormatting>
  <conditionalFormatting sqref="C102">
    <cfRule type="cellIs" dxfId="17751" priority="4441" stopIfTrue="1" operator="equal">
      <formula>"Towel"</formula>
    </cfRule>
    <cfRule type="cellIs" dxfId="17750" priority="4442" stopIfTrue="1" operator="equal">
      <formula>"Napkin Hs"</formula>
    </cfRule>
  </conditionalFormatting>
  <conditionalFormatting sqref="C102">
    <cfRule type="cellIs" dxfId="17749" priority="4439" stopIfTrue="1" operator="equal">
      <formula>"Towel"</formula>
    </cfRule>
    <cfRule type="cellIs" dxfId="17748" priority="4440" stopIfTrue="1" operator="equal">
      <formula>"Napkin Hs"</formula>
    </cfRule>
  </conditionalFormatting>
  <conditionalFormatting sqref="C102">
    <cfRule type="cellIs" dxfId="17747" priority="4431" stopIfTrue="1" operator="equal">
      <formula>"Towel"</formula>
    </cfRule>
    <cfRule type="cellIs" dxfId="17746" priority="4432" stopIfTrue="1" operator="equal">
      <formula>"Napkin Hs"</formula>
    </cfRule>
  </conditionalFormatting>
  <conditionalFormatting sqref="C102">
    <cfRule type="cellIs" dxfId="17745" priority="4429" stopIfTrue="1" operator="equal">
      <formula>"Towel"</formula>
    </cfRule>
    <cfRule type="cellIs" dxfId="17744" priority="4430" stopIfTrue="1" operator="equal">
      <formula>"Napkin Hs"</formula>
    </cfRule>
  </conditionalFormatting>
  <conditionalFormatting sqref="B102:C102">
    <cfRule type="cellIs" dxfId="17743" priority="4427" stopIfTrue="1" operator="equal">
      <formula>"Towel"</formula>
    </cfRule>
    <cfRule type="cellIs" dxfId="17742" priority="4428" stopIfTrue="1" operator="equal">
      <formula>"Napkin Hs"</formula>
    </cfRule>
  </conditionalFormatting>
  <conditionalFormatting sqref="B104:C104">
    <cfRule type="cellIs" dxfId="17741" priority="4425" stopIfTrue="1" operator="equal">
      <formula>"Towel"</formula>
    </cfRule>
    <cfRule type="cellIs" dxfId="17740" priority="4426" stopIfTrue="1" operator="equal">
      <formula>"Napkin Hs"</formula>
    </cfRule>
  </conditionalFormatting>
  <conditionalFormatting sqref="C104">
    <cfRule type="cellIs" dxfId="17739" priority="4423" stopIfTrue="1" operator="equal">
      <formula>"Towel"</formula>
    </cfRule>
    <cfRule type="cellIs" dxfId="17738" priority="4424" stopIfTrue="1" operator="equal">
      <formula>"Napkin Hs"</formula>
    </cfRule>
  </conditionalFormatting>
  <conditionalFormatting sqref="C104">
    <cfRule type="cellIs" dxfId="17737" priority="4421" stopIfTrue="1" operator="equal">
      <formula>"Towel"</formula>
    </cfRule>
    <cfRule type="cellIs" dxfId="17736" priority="4422" stopIfTrue="1" operator="equal">
      <formula>"Napkin Hs"</formula>
    </cfRule>
  </conditionalFormatting>
  <conditionalFormatting sqref="C104">
    <cfRule type="cellIs" dxfId="17735" priority="4413" stopIfTrue="1" operator="equal">
      <formula>"Towel"</formula>
    </cfRule>
    <cfRule type="cellIs" dxfId="17734" priority="4414" stopIfTrue="1" operator="equal">
      <formula>"Napkin Hs"</formula>
    </cfRule>
  </conditionalFormatting>
  <conditionalFormatting sqref="B104:C104">
    <cfRule type="cellIs" dxfId="17733" priority="4415" stopIfTrue="1" operator="equal">
      <formula>"Towel"</formula>
    </cfRule>
    <cfRule type="cellIs" dxfId="17732" priority="4416" stopIfTrue="1" operator="equal">
      <formula>"Napkin Hs"</formula>
    </cfRule>
  </conditionalFormatting>
  <conditionalFormatting sqref="C104">
    <cfRule type="cellIs" dxfId="17731" priority="4411" stopIfTrue="1" operator="equal">
      <formula>"Towel"</formula>
    </cfRule>
    <cfRule type="cellIs" dxfId="17730" priority="4412" stopIfTrue="1" operator="equal">
      <formula>"Napkin Hs"</formula>
    </cfRule>
  </conditionalFormatting>
  <conditionalFormatting sqref="B104:C104">
    <cfRule type="cellIs" dxfId="17729" priority="4409" stopIfTrue="1" operator="equal">
      <formula>"Towel"</formula>
    </cfRule>
    <cfRule type="cellIs" dxfId="17728" priority="4410" stopIfTrue="1" operator="equal">
      <formula>"Napkin Hs"</formula>
    </cfRule>
  </conditionalFormatting>
  <conditionalFormatting sqref="C104">
    <cfRule type="cellIs" dxfId="17727" priority="4417" stopIfTrue="1" operator="equal">
      <formula>"Towel"</formula>
    </cfRule>
    <cfRule type="cellIs" dxfId="17726" priority="4418" stopIfTrue="1" operator="equal">
      <formula>"Napkin Hs"</formula>
    </cfRule>
  </conditionalFormatting>
  <conditionalFormatting sqref="C104">
    <cfRule type="cellIs" dxfId="17725" priority="4419" stopIfTrue="1" operator="equal">
      <formula>"Towel"</formula>
    </cfRule>
    <cfRule type="cellIs" dxfId="17724" priority="4420" stopIfTrue="1" operator="equal">
      <formula>"Napkin Hs"</formula>
    </cfRule>
  </conditionalFormatting>
  <conditionalFormatting sqref="B102:C102">
    <cfRule type="cellIs" dxfId="17723" priority="4407" stopIfTrue="1" operator="equal">
      <formula>"Towel"</formula>
    </cfRule>
    <cfRule type="cellIs" dxfId="17722" priority="4408" stopIfTrue="1" operator="equal">
      <formula>"Napkin Hs"</formula>
    </cfRule>
  </conditionalFormatting>
  <conditionalFormatting sqref="C102">
    <cfRule type="cellIs" dxfId="17721" priority="4405" stopIfTrue="1" operator="equal">
      <formula>"Towel"</formula>
    </cfRule>
    <cfRule type="cellIs" dxfId="17720" priority="4406" stopIfTrue="1" operator="equal">
      <formula>"Napkin Hs"</formula>
    </cfRule>
  </conditionalFormatting>
  <conditionalFormatting sqref="C102">
    <cfRule type="cellIs" dxfId="17719" priority="4403" stopIfTrue="1" operator="equal">
      <formula>"Towel"</formula>
    </cfRule>
    <cfRule type="cellIs" dxfId="17718" priority="4404" stopIfTrue="1" operator="equal">
      <formula>"Napkin Hs"</formula>
    </cfRule>
  </conditionalFormatting>
  <conditionalFormatting sqref="C102">
    <cfRule type="cellIs" dxfId="17717" priority="4395" stopIfTrue="1" operator="equal">
      <formula>"Towel"</formula>
    </cfRule>
    <cfRule type="cellIs" dxfId="17716" priority="4396" stopIfTrue="1" operator="equal">
      <formula>"Napkin Hs"</formula>
    </cfRule>
  </conditionalFormatting>
  <conditionalFormatting sqref="B102:C102">
    <cfRule type="cellIs" dxfId="17715" priority="4397" stopIfTrue="1" operator="equal">
      <formula>"Towel"</formula>
    </cfRule>
    <cfRule type="cellIs" dxfId="17714" priority="4398" stopIfTrue="1" operator="equal">
      <formula>"Napkin Hs"</formula>
    </cfRule>
  </conditionalFormatting>
  <conditionalFormatting sqref="C102">
    <cfRule type="cellIs" dxfId="17713" priority="4393" stopIfTrue="1" operator="equal">
      <formula>"Towel"</formula>
    </cfRule>
    <cfRule type="cellIs" dxfId="17712" priority="4394" stopIfTrue="1" operator="equal">
      <formula>"Napkin Hs"</formula>
    </cfRule>
  </conditionalFormatting>
  <conditionalFormatting sqref="B102:C102">
    <cfRule type="cellIs" dxfId="17711" priority="4391" stopIfTrue="1" operator="equal">
      <formula>"Towel"</formula>
    </cfRule>
    <cfRule type="cellIs" dxfId="17710" priority="4392" stopIfTrue="1" operator="equal">
      <formula>"Napkin Hs"</formula>
    </cfRule>
  </conditionalFormatting>
  <conditionalFormatting sqref="C102">
    <cfRule type="cellIs" dxfId="17709" priority="4399" stopIfTrue="1" operator="equal">
      <formula>"Towel"</formula>
    </cfRule>
    <cfRule type="cellIs" dxfId="17708" priority="4400" stopIfTrue="1" operator="equal">
      <formula>"Napkin Hs"</formula>
    </cfRule>
  </conditionalFormatting>
  <conditionalFormatting sqref="C102">
    <cfRule type="cellIs" dxfId="17707" priority="4401" stopIfTrue="1" operator="equal">
      <formula>"Towel"</formula>
    </cfRule>
    <cfRule type="cellIs" dxfId="17706" priority="4402" stopIfTrue="1" operator="equal">
      <formula>"Napkin Hs"</formula>
    </cfRule>
  </conditionalFormatting>
  <conditionalFormatting sqref="B102:C102">
    <cfRule type="cellIs" dxfId="17705" priority="4389" stopIfTrue="1" operator="equal">
      <formula>"Towel"</formula>
    </cfRule>
    <cfRule type="cellIs" dxfId="17704" priority="4390" stopIfTrue="1" operator="equal">
      <formula>"Napkin Hs"</formula>
    </cfRule>
  </conditionalFormatting>
  <conditionalFormatting sqref="C102">
    <cfRule type="cellIs" dxfId="17703" priority="4388" stopIfTrue="1" operator="equal">
      <formula>"Napkin Hs"</formula>
    </cfRule>
  </conditionalFormatting>
  <conditionalFormatting sqref="C102">
    <cfRule type="cellIs" dxfId="17702" priority="4387" stopIfTrue="1" operator="equal">
      <formula>"Towel"</formula>
    </cfRule>
  </conditionalFormatting>
  <conditionalFormatting sqref="C102">
    <cfRule type="cellIs" dxfId="17701" priority="4385" stopIfTrue="1" operator="equal">
      <formula>"Towel"</formula>
    </cfRule>
    <cfRule type="cellIs" dxfId="17700" priority="4386" stopIfTrue="1" operator="equal">
      <formula>"Napkin Hs"</formula>
    </cfRule>
  </conditionalFormatting>
  <conditionalFormatting sqref="B102:C102">
    <cfRule type="cellIs" dxfId="17699" priority="4383" stopIfTrue="1" operator="equal">
      <formula>"Towel"</formula>
    </cfRule>
    <cfRule type="cellIs" dxfId="17698" priority="4384" stopIfTrue="1" operator="equal">
      <formula>"Napkin Hs"</formula>
    </cfRule>
  </conditionalFormatting>
  <conditionalFormatting sqref="C102">
    <cfRule type="cellIs" dxfId="17697" priority="4379" stopIfTrue="1" operator="equal">
      <formula>"Towel"</formula>
    </cfRule>
    <cfRule type="cellIs" dxfId="17696" priority="4380" stopIfTrue="1" operator="equal">
      <formula>"Napkin Hs"</formula>
    </cfRule>
  </conditionalFormatting>
  <conditionalFormatting sqref="C102">
    <cfRule type="cellIs" dxfId="17695" priority="4381" stopIfTrue="1" operator="equal">
      <formula>"Towel"</formula>
    </cfRule>
    <cfRule type="cellIs" dxfId="17694" priority="4382" stopIfTrue="1" operator="equal">
      <formula>"Napkin Hs"</formula>
    </cfRule>
  </conditionalFormatting>
  <conditionalFormatting sqref="B102:C102">
    <cfRule type="cellIs" dxfId="17693" priority="4377" stopIfTrue="1" operator="equal">
      <formula>"Towel"</formula>
    </cfRule>
    <cfRule type="cellIs" dxfId="17692" priority="4378" stopIfTrue="1" operator="equal">
      <formula>"Napkin Hs"</formula>
    </cfRule>
  </conditionalFormatting>
  <conditionalFormatting sqref="C102">
    <cfRule type="cellIs" dxfId="17691" priority="4375" stopIfTrue="1" operator="equal">
      <formula>"Towel"</formula>
    </cfRule>
    <cfRule type="cellIs" dxfId="17690" priority="4376" stopIfTrue="1" operator="equal">
      <formula>"Napkin Hs"</formula>
    </cfRule>
  </conditionalFormatting>
  <conditionalFormatting sqref="C102">
    <cfRule type="cellIs" dxfId="17689" priority="4373" stopIfTrue="1" operator="equal">
      <formula>"Towel"</formula>
    </cfRule>
    <cfRule type="cellIs" dxfId="17688" priority="4374" stopIfTrue="1" operator="equal">
      <formula>"Napkin Hs"</formula>
    </cfRule>
  </conditionalFormatting>
  <conditionalFormatting sqref="C102">
    <cfRule type="cellIs" dxfId="17687" priority="4365" stopIfTrue="1" operator="equal">
      <formula>"Towel"</formula>
    </cfRule>
    <cfRule type="cellIs" dxfId="17686" priority="4366" stopIfTrue="1" operator="equal">
      <formula>"Napkin Hs"</formula>
    </cfRule>
  </conditionalFormatting>
  <conditionalFormatting sqref="B102:C102">
    <cfRule type="cellIs" dxfId="17685" priority="4367" stopIfTrue="1" operator="equal">
      <formula>"Towel"</formula>
    </cfRule>
    <cfRule type="cellIs" dxfId="17684" priority="4368" stopIfTrue="1" operator="equal">
      <formula>"Napkin Hs"</formula>
    </cfRule>
  </conditionalFormatting>
  <conditionalFormatting sqref="C102">
    <cfRule type="cellIs" dxfId="17683" priority="4363" stopIfTrue="1" operator="equal">
      <formula>"Towel"</formula>
    </cfRule>
    <cfRule type="cellIs" dxfId="17682" priority="4364" stopIfTrue="1" operator="equal">
      <formula>"Napkin Hs"</formula>
    </cfRule>
  </conditionalFormatting>
  <conditionalFormatting sqref="B102:C102">
    <cfRule type="cellIs" dxfId="17681" priority="4361" stopIfTrue="1" operator="equal">
      <formula>"Towel"</formula>
    </cfRule>
    <cfRule type="cellIs" dxfId="17680" priority="4362" stopIfTrue="1" operator="equal">
      <formula>"Napkin Hs"</formula>
    </cfRule>
  </conditionalFormatting>
  <conditionalFormatting sqref="C102">
    <cfRule type="cellIs" dxfId="17679" priority="4369" stopIfTrue="1" operator="equal">
      <formula>"Towel"</formula>
    </cfRule>
    <cfRule type="cellIs" dxfId="17678" priority="4370" stopIfTrue="1" operator="equal">
      <formula>"Napkin Hs"</formula>
    </cfRule>
  </conditionalFormatting>
  <conditionalFormatting sqref="C102">
    <cfRule type="cellIs" dxfId="17677" priority="4371" stopIfTrue="1" operator="equal">
      <formula>"Towel"</formula>
    </cfRule>
    <cfRule type="cellIs" dxfId="17676" priority="4372" stopIfTrue="1" operator="equal">
      <formula>"Napkin Hs"</formula>
    </cfRule>
  </conditionalFormatting>
  <conditionalFormatting sqref="C104">
    <cfRule type="cellIs" dxfId="17675" priority="4353" stopIfTrue="1" operator="equal">
      <formula>"Towel"</formula>
    </cfRule>
    <cfRule type="cellIs" dxfId="17674" priority="4354" stopIfTrue="1" operator="equal">
      <formula>"Napkin Hs"</formula>
    </cfRule>
  </conditionalFormatting>
  <conditionalFormatting sqref="B104:C104">
    <cfRule type="cellIs" dxfId="17673" priority="4349" stopIfTrue="1" operator="equal">
      <formula>"Towel"</formula>
    </cfRule>
    <cfRule type="cellIs" dxfId="17672" priority="4350" stopIfTrue="1" operator="equal">
      <formula>"Napkin Hs"</formula>
    </cfRule>
  </conditionalFormatting>
  <conditionalFormatting sqref="C104">
    <cfRule type="cellIs" dxfId="17671" priority="4351" stopIfTrue="1" operator="equal">
      <formula>"Towel"</formula>
    </cfRule>
    <cfRule type="cellIs" dxfId="17670" priority="4352" stopIfTrue="1" operator="equal">
      <formula>"Napkin Hs"</formula>
    </cfRule>
  </conditionalFormatting>
  <conditionalFormatting sqref="C104">
    <cfRule type="cellIs" dxfId="17669" priority="4347" stopIfTrue="1" operator="equal">
      <formula>"Towel"</formula>
    </cfRule>
    <cfRule type="cellIs" dxfId="17668" priority="4348" stopIfTrue="1" operator="equal">
      <formula>"Napkin Hs"</formula>
    </cfRule>
  </conditionalFormatting>
  <conditionalFormatting sqref="B104:C104">
    <cfRule type="cellIs" dxfId="17667" priority="4343" stopIfTrue="1" operator="equal">
      <formula>"Towel"</formula>
    </cfRule>
    <cfRule type="cellIs" dxfId="17666" priority="4344" stopIfTrue="1" operator="equal">
      <formula>"Napkin Hs"</formula>
    </cfRule>
  </conditionalFormatting>
  <conditionalFormatting sqref="C104">
    <cfRule type="cellIs" dxfId="17665" priority="4345" stopIfTrue="1" operator="equal">
      <formula>"Towel"</formula>
    </cfRule>
    <cfRule type="cellIs" dxfId="17664" priority="4346" stopIfTrue="1" operator="equal">
      <formula>"Napkin Hs"</formula>
    </cfRule>
  </conditionalFormatting>
  <conditionalFormatting sqref="B104:C104">
    <cfRule type="cellIs" dxfId="17663" priority="4359" stopIfTrue="1" operator="equal">
      <formula>"Towel"</formula>
    </cfRule>
    <cfRule type="cellIs" dxfId="17662" priority="4360" stopIfTrue="1" operator="equal">
      <formula>"Napkin Hs"</formula>
    </cfRule>
  </conditionalFormatting>
  <conditionalFormatting sqref="C104">
    <cfRule type="cellIs" dxfId="17661" priority="4357" stopIfTrue="1" operator="equal">
      <formula>"Towel"</formula>
    </cfRule>
    <cfRule type="cellIs" dxfId="17660" priority="4358" stopIfTrue="1" operator="equal">
      <formula>"Napkin Hs"</formula>
    </cfRule>
  </conditionalFormatting>
  <conditionalFormatting sqref="C104">
    <cfRule type="cellIs" dxfId="17659" priority="4355" stopIfTrue="1" operator="equal">
      <formula>"Towel"</formula>
    </cfRule>
    <cfRule type="cellIs" dxfId="17658" priority="4356" stopIfTrue="1" operator="equal">
      <formula>"Napkin Hs"</formula>
    </cfRule>
  </conditionalFormatting>
  <conditionalFormatting sqref="B102:C102">
    <cfRule type="cellIs" dxfId="17657" priority="4341" stopIfTrue="1" operator="equal">
      <formula>"Towel"</formula>
    </cfRule>
    <cfRule type="cellIs" dxfId="17656" priority="4342" stopIfTrue="1" operator="equal">
      <formula>"Napkin Hs"</formula>
    </cfRule>
  </conditionalFormatting>
  <conditionalFormatting sqref="C102">
    <cfRule type="cellIs" dxfId="17655" priority="4340" stopIfTrue="1" operator="equal">
      <formula>"Napkin Hs"</formula>
    </cfRule>
  </conditionalFormatting>
  <conditionalFormatting sqref="C102">
    <cfRule type="cellIs" dxfId="17654" priority="4339" stopIfTrue="1" operator="equal">
      <formula>"Towel"</formula>
    </cfRule>
  </conditionalFormatting>
  <conditionalFormatting sqref="C102">
    <cfRule type="cellIs" dxfId="17653" priority="4337" stopIfTrue="1" operator="equal">
      <formula>"Towel"</formula>
    </cfRule>
    <cfRule type="cellIs" dxfId="17652" priority="4338" stopIfTrue="1" operator="equal">
      <formula>"Napkin Hs"</formula>
    </cfRule>
  </conditionalFormatting>
  <conditionalFormatting sqref="B102:C102">
    <cfRule type="cellIs" dxfId="17651" priority="4335" stopIfTrue="1" operator="equal">
      <formula>"Towel"</formula>
    </cfRule>
    <cfRule type="cellIs" dxfId="17650" priority="4336" stopIfTrue="1" operator="equal">
      <formula>"Napkin Hs"</formula>
    </cfRule>
  </conditionalFormatting>
  <conditionalFormatting sqref="C102">
    <cfRule type="cellIs" dxfId="17649" priority="4331" stopIfTrue="1" operator="equal">
      <formula>"Towel"</formula>
    </cfRule>
    <cfRule type="cellIs" dxfId="17648" priority="4332" stopIfTrue="1" operator="equal">
      <formula>"Napkin Hs"</formula>
    </cfRule>
  </conditionalFormatting>
  <conditionalFormatting sqref="C102">
    <cfRule type="cellIs" dxfId="17647" priority="4333" stopIfTrue="1" operator="equal">
      <formula>"Towel"</formula>
    </cfRule>
    <cfRule type="cellIs" dxfId="17646" priority="4334" stopIfTrue="1" operator="equal">
      <formula>"Napkin Hs"</formula>
    </cfRule>
  </conditionalFormatting>
  <conditionalFormatting sqref="B102:C102">
    <cfRule type="cellIs" dxfId="17645" priority="4329" stopIfTrue="1" operator="equal">
      <formula>"Towel"</formula>
    </cfRule>
    <cfRule type="cellIs" dxfId="17644" priority="4330" stopIfTrue="1" operator="equal">
      <formula>"Napkin Hs"</formula>
    </cfRule>
  </conditionalFormatting>
  <conditionalFormatting sqref="C102">
    <cfRule type="cellIs" dxfId="17643" priority="4328" stopIfTrue="1" operator="equal">
      <formula>"Napkin Hs"</formula>
    </cfRule>
  </conditionalFormatting>
  <conditionalFormatting sqref="C102">
    <cfRule type="cellIs" dxfId="17642" priority="4327" stopIfTrue="1" operator="equal">
      <formula>"Towel"</formula>
    </cfRule>
  </conditionalFormatting>
  <conditionalFormatting sqref="C102">
    <cfRule type="cellIs" dxfId="17641" priority="4325" stopIfTrue="1" operator="equal">
      <formula>"Towel"</formula>
    </cfRule>
    <cfRule type="cellIs" dxfId="17640" priority="4326" stopIfTrue="1" operator="equal">
      <formula>"Napkin Hs"</formula>
    </cfRule>
  </conditionalFormatting>
  <conditionalFormatting sqref="B104:C104">
    <cfRule type="cellIs" dxfId="17639" priority="4323" stopIfTrue="1" operator="equal">
      <formula>"Towel"</formula>
    </cfRule>
    <cfRule type="cellIs" dxfId="17638" priority="4324" stopIfTrue="1" operator="equal">
      <formula>"Napkin Hs"</formula>
    </cfRule>
  </conditionalFormatting>
  <conditionalFormatting sqref="C104">
    <cfRule type="cellIs" dxfId="17637" priority="4321" stopIfTrue="1" operator="equal">
      <formula>"Towel"</formula>
    </cfRule>
    <cfRule type="cellIs" dxfId="17636" priority="4322" stopIfTrue="1" operator="equal">
      <formula>"Napkin Hs"</formula>
    </cfRule>
  </conditionalFormatting>
  <conditionalFormatting sqref="C104">
    <cfRule type="cellIs" dxfId="17635" priority="4319" stopIfTrue="1" operator="equal">
      <formula>"Towel"</formula>
    </cfRule>
    <cfRule type="cellIs" dxfId="17634" priority="4320" stopIfTrue="1" operator="equal">
      <formula>"Napkin Hs"</formula>
    </cfRule>
  </conditionalFormatting>
  <conditionalFormatting sqref="C104">
    <cfRule type="cellIs" dxfId="17633" priority="4311" stopIfTrue="1" operator="equal">
      <formula>"Towel"</formula>
    </cfRule>
    <cfRule type="cellIs" dxfId="17632" priority="4312" stopIfTrue="1" operator="equal">
      <formula>"Napkin Hs"</formula>
    </cfRule>
  </conditionalFormatting>
  <conditionalFormatting sqref="B104:C104">
    <cfRule type="cellIs" dxfId="17631" priority="4313" stopIfTrue="1" operator="equal">
      <formula>"Towel"</formula>
    </cfRule>
    <cfRule type="cellIs" dxfId="17630" priority="4314" stopIfTrue="1" operator="equal">
      <formula>"Napkin Hs"</formula>
    </cfRule>
  </conditionalFormatting>
  <conditionalFormatting sqref="C104">
    <cfRule type="cellIs" dxfId="17629" priority="4309" stopIfTrue="1" operator="equal">
      <formula>"Towel"</formula>
    </cfRule>
    <cfRule type="cellIs" dxfId="17628" priority="4310" stopIfTrue="1" operator="equal">
      <formula>"Napkin Hs"</formula>
    </cfRule>
  </conditionalFormatting>
  <conditionalFormatting sqref="B104:C104">
    <cfRule type="cellIs" dxfId="17627" priority="4307" stopIfTrue="1" operator="equal">
      <formula>"Towel"</formula>
    </cfRule>
    <cfRule type="cellIs" dxfId="17626" priority="4308" stopIfTrue="1" operator="equal">
      <formula>"Napkin Hs"</formula>
    </cfRule>
  </conditionalFormatting>
  <conditionalFormatting sqref="C104">
    <cfRule type="cellIs" dxfId="17625" priority="4315" stopIfTrue="1" operator="equal">
      <formula>"Towel"</formula>
    </cfRule>
    <cfRule type="cellIs" dxfId="17624" priority="4316" stopIfTrue="1" operator="equal">
      <formula>"Napkin Hs"</formula>
    </cfRule>
  </conditionalFormatting>
  <conditionalFormatting sqref="C104">
    <cfRule type="cellIs" dxfId="17623" priority="4317" stopIfTrue="1" operator="equal">
      <formula>"Towel"</formula>
    </cfRule>
    <cfRule type="cellIs" dxfId="17622" priority="4318" stopIfTrue="1" operator="equal">
      <formula>"Napkin Hs"</formula>
    </cfRule>
  </conditionalFormatting>
  <conditionalFormatting sqref="B102:C102">
    <cfRule type="cellIs" dxfId="17621" priority="4305" stopIfTrue="1" operator="equal">
      <formula>"Towel"</formula>
    </cfRule>
    <cfRule type="cellIs" dxfId="17620" priority="4306" stopIfTrue="1" operator="equal">
      <formula>"Napkin Hs"</formula>
    </cfRule>
  </conditionalFormatting>
  <conditionalFormatting sqref="C102">
    <cfRule type="cellIs" dxfId="17619" priority="4301" stopIfTrue="1" operator="equal">
      <formula>"Towel"</formula>
    </cfRule>
    <cfRule type="cellIs" dxfId="17618" priority="4302" stopIfTrue="1" operator="equal">
      <formula>"Napkin Hs"</formula>
    </cfRule>
  </conditionalFormatting>
  <conditionalFormatting sqref="C102">
    <cfRule type="cellIs" dxfId="17617" priority="4303" stopIfTrue="1" operator="equal">
      <formula>"Towel"</formula>
    </cfRule>
    <cfRule type="cellIs" dxfId="17616" priority="4304" stopIfTrue="1" operator="equal">
      <formula>"Napkin Hs"</formula>
    </cfRule>
  </conditionalFormatting>
  <conditionalFormatting sqref="B102:C102">
    <cfRule type="cellIs" dxfId="17615" priority="4299" stopIfTrue="1" operator="equal">
      <formula>"Towel"</formula>
    </cfRule>
    <cfRule type="cellIs" dxfId="17614" priority="4300" stopIfTrue="1" operator="equal">
      <formula>"Napkin Hs"</formula>
    </cfRule>
  </conditionalFormatting>
  <conditionalFormatting sqref="C102">
    <cfRule type="cellIs" dxfId="17613" priority="4298" stopIfTrue="1" operator="equal">
      <formula>"Napkin Hs"</formula>
    </cfRule>
  </conditionalFormatting>
  <conditionalFormatting sqref="C102">
    <cfRule type="cellIs" dxfId="17612" priority="4297" stopIfTrue="1" operator="equal">
      <formula>"Towel"</formula>
    </cfRule>
  </conditionalFormatting>
  <conditionalFormatting sqref="C102">
    <cfRule type="cellIs" dxfId="17611" priority="4295" stopIfTrue="1" operator="equal">
      <formula>"Towel"</formula>
    </cfRule>
    <cfRule type="cellIs" dxfId="17610" priority="4296" stopIfTrue="1" operator="equal">
      <formula>"Napkin Hs"</formula>
    </cfRule>
  </conditionalFormatting>
  <conditionalFormatting sqref="C104">
    <cfRule type="cellIs" dxfId="17609" priority="4291" stopIfTrue="1" operator="equal">
      <formula>"Towel"</formula>
    </cfRule>
    <cfRule type="cellIs" dxfId="17608" priority="4292" stopIfTrue="1" operator="equal">
      <formula>"Napkin Hs"</formula>
    </cfRule>
  </conditionalFormatting>
  <conditionalFormatting sqref="C104">
    <cfRule type="cellIs" dxfId="17607" priority="4293" stopIfTrue="1" operator="equal">
      <formula>"Towel"</formula>
    </cfRule>
    <cfRule type="cellIs" dxfId="17606" priority="4294" stopIfTrue="1" operator="equal">
      <formula>"Napkin Hs"</formula>
    </cfRule>
  </conditionalFormatting>
  <conditionalFormatting sqref="C104">
    <cfRule type="cellIs" dxfId="17605" priority="4289" stopIfTrue="1" operator="equal">
      <formula>"Towel"</formula>
    </cfRule>
    <cfRule type="cellIs" dxfId="17604" priority="4290" stopIfTrue="1" operator="equal">
      <formula>"Napkin Hs"</formula>
    </cfRule>
  </conditionalFormatting>
  <conditionalFormatting sqref="C104">
    <cfRule type="cellIs" dxfId="17603" priority="4283" stopIfTrue="1" operator="equal">
      <formula>"Towel"</formula>
    </cfRule>
    <cfRule type="cellIs" dxfId="17602" priority="4284" stopIfTrue="1" operator="equal">
      <formula>"Napkin Hs"</formula>
    </cfRule>
  </conditionalFormatting>
  <conditionalFormatting sqref="C104">
    <cfRule type="cellIs" dxfId="17601" priority="4285" stopIfTrue="1" operator="equal">
      <formula>"Towel"</formula>
    </cfRule>
    <cfRule type="cellIs" dxfId="17600" priority="4286" stopIfTrue="1" operator="equal">
      <formula>"Napkin Hs"</formula>
    </cfRule>
  </conditionalFormatting>
  <conditionalFormatting sqref="C104">
    <cfRule type="cellIs" dxfId="17599" priority="4287" stopIfTrue="1" operator="equal">
      <formula>"Towel"</formula>
    </cfRule>
    <cfRule type="cellIs" dxfId="17598" priority="4288" stopIfTrue="1" operator="equal">
      <formula>"Napkin Hs"</formula>
    </cfRule>
  </conditionalFormatting>
  <conditionalFormatting sqref="B104">
    <cfRule type="cellIs" dxfId="17597" priority="4281" stopIfTrue="1" operator="equal">
      <formula>"Towel"</formula>
    </cfRule>
    <cfRule type="cellIs" dxfId="17596" priority="4282" stopIfTrue="1" operator="equal">
      <formula>"Napkin Hs"</formula>
    </cfRule>
  </conditionalFormatting>
  <conditionalFormatting sqref="B104">
    <cfRule type="cellIs" dxfId="17595" priority="4279" stopIfTrue="1" operator="equal">
      <formula>"Towel"</formula>
    </cfRule>
    <cfRule type="cellIs" dxfId="17594" priority="4280" stopIfTrue="1" operator="equal">
      <formula>"Napkin Hs"</formula>
    </cfRule>
  </conditionalFormatting>
  <conditionalFormatting sqref="B104:C104">
    <cfRule type="cellIs" dxfId="17593" priority="4277" stopIfTrue="1" operator="equal">
      <formula>"Towel"</formula>
    </cfRule>
    <cfRule type="cellIs" dxfId="17592" priority="4278" stopIfTrue="1" operator="equal">
      <formula>"Napkin Hs"</formula>
    </cfRule>
  </conditionalFormatting>
  <conditionalFormatting sqref="C104">
    <cfRule type="cellIs" dxfId="17591" priority="4273" stopIfTrue="1" operator="equal">
      <formula>"Towel"</formula>
    </cfRule>
    <cfRule type="cellIs" dxfId="17590" priority="4274" stopIfTrue="1" operator="equal">
      <formula>"Napkin Hs"</formula>
    </cfRule>
  </conditionalFormatting>
  <conditionalFormatting sqref="C104">
    <cfRule type="cellIs" dxfId="17589" priority="4275" stopIfTrue="1" operator="equal">
      <formula>"Towel"</formula>
    </cfRule>
    <cfRule type="cellIs" dxfId="17588" priority="4276" stopIfTrue="1" operator="equal">
      <formula>"Napkin Hs"</formula>
    </cfRule>
  </conditionalFormatting>
  <conditionalFormatting sqref="C102">
    <cfRule type="cellIs" dxfId="17587" priority="4265" stopIfTrue="1" operator="equal">
      <formula>"Towel"</formula>
    </cfRule>
    <cfRule type="cellIs" dxfId="17586" priority="4266" stopIfTrue="1" operator="equal">
      <formula>"Napkin Hs"</formula>
    </cfRule>
  </conditionalFormatting>
  <conditionalFormatting sqref="B102:C102">
    <cfRule type="cellIs" dxfId="17585" priority="4267" stopIfTrue="1" operator="equal">
      <formula>"Towel"</formula>
    </cfRule>
    <cfRule type="cellIs" dxfId="17584" priority="4268" stopIfTrue="1" operator="equal">
      <formula>"Napkin Hs"</formula>
    </cfRule>
  </conditionalFormatting>
  <conditionalFormatting sqref="C102">
    <cfRule type="cellIs" dxfId="17583" priority="4263" stopIfTrue="1" operator="equal">
      <formula>"Towel"</formula>
    </cfRule>
    <cfRule type="cellIs" dxfId="17582" priority="4264" stopIfTrue="1" operator="equal">
      <formula>"Napkin Hs"</formula>
    </cfRule>
  </conditionalFormatting>
  <conditionalFormatting sqref="B102:C102">
    <cfRule type="cellIs" dxfId="17581" priority="4261" stopIfTrue="1" operator="equal">
      <formula>"Towel"</formula>
    </cfRule>
    <cfRule type="cellIs" dxfId="17580" priority="4262" stopIfTrue="1" operator="equal">
      <formula>"Napkin Hs"</formula>
    </cfRule>
  </conditionalFormatting>
  <conditionalFormatting sqref="C102">
    <cfRule type="cellIs" dxfId="17579" priority="4269" stopIfTrue="1" operator="equal">
      <formula>"Towel"</formula>
    </cfRule>
    <cfRule type="cellIs" dxfId="17578" priority="4270" stopIfTrue="1" operator="equal">
      <formula>"Napkin Hs"</formula>
    </cfRule>
  </conditionalFormatting>
  <conditionalFormatting sqref="C102">
    <cfRule type="cellIs" dxfId="17577" priority="4271" stopIfTrue="1" operator="equal">
      <formula>"Towel"</formula>
    </cfRule>
    <cfRule type="cellIs" dxfId="17576" priority="4272" stopIfTrue="1" operator="equal">
      <formula>"Napkin Hs"</formula>
    </cfRule>
  </conditionalFormatting>
  <conditionalFormatting sqref="B102:C102">
    <cfRule type="cellIs" dxfId="17575" priority="4255" stopIfTrue="1" operator="equal">
      <formula>"Towel"</formula>
    </cfRule>
    <cfRule type="cellIs" dxfId="17574" priority="4256" stopIfTrue="1" operator="equal">
      <formula>"Napkin Hs"</formula>
    </cfRule>
  </conditionalFormatting>
  <conditionalFormatting sqref="B104:C104">
    <cfRule type="cellIs" dxfId="17573" priority="4259" stopIfTrue="1" operator="equal">
      <formula>"Towel"</formula>
    </cfRule>
    <cfRule type="cellIs" dxfId="17572" priority="4260" stopIfTrue="1" operator="equal">
      <formula>"Napkin Hs"</formula>
    </cfRule>
  </conditionalFormatting>
  <conditionalFormatting sqref="C102">
    <cfRule type="cellIs" dxfId="17571" priority="4251" stopIfTrue="1" operator="equal">
      <formula>"Towel"</formula>
    </cfRule>
    <cfRule type="cellIs" dxfId="17570" priority="4252" stopIfTrue="1" operator="equal">
      <formula>"Napkin Hs"</formula>
    </cfRule>
  </conditionalFormatting>
  <conditionalFormatting sqref="C102 C104">
    <cfRule type="cellIs" dxfId="17569" priority="4253" stopIfTrue="1" operator="equal">
      <formula>"Towel"</formula>
    </cfRule>
    <cfRule type="cellIs" dxfId="17568" priority="4254" stopIfTrue="1" operator="equal">
      <formula>"Napkin Hs"</formula>
    </cfRule>
  </conditionalFormatting>
  <conditionalFormatting sqref="C104">
    <cfRule type="cellIs" dxfId="17567" priority="4257" stopIfTrue="1" operator="equal">
      <formula>"Towel"</formula>
    </cfRule>
    <cfRule type="cellIs" dxfId="17566" priority="4258" stopIfTrue="1" operator="equal">
      <formula>"Napkin Hs"</formula>
    </cfRule>
  </conditionalFormatting>
  <conditionalFormatting sqref="C104">
    <cfRule type="cellIs" dxfId="17565" priority="4243" stopIfTrue="1" operator="equal">
      <formula>"Towel"</formula>
    </cfRule>
    <cfRule type="cellIs" dxfId="17564" priority="4244" stopIfTrue="1" operator="equal">
      <formula>"Napkin Hs"</formula>
    </cfRule>
  </conditionalFormatting>
  <conditionalFormatting sqref="C104">
    <cfRule type="cellIs" dxfId="17563" priority="4245" stopIfTrue="1" operator="equal">
      <formula>"Towel"</formula>
    </cfRule>
    <cfRule type="cellIs" dxfId="17562" priority="4246" stopIfTrue="1" operator="equal">
      <formula>"Napkin Hs"</formula>
    </cfRule>
  </conditionalFormatting>
  <conditionalFormatting sqref="C104">
    <cfRule type="cellIs" dxfId="17561" priority="4241" stopIfTrue="1" operator="equal">
      <formula>"Towel"</formula>
    </cfRule>
    <cfRule type="cellIs" dxfId="17560" priority="4242" stopIfTrue="1" operator="equal">
      <formula>"Napkin Hs"</formula>
    </cfRule>
  </conditionalFormatting>
  <conditionalFormatting sqref="C104">
    <cfRule type="cellIs" dxfId="17559" priority="4239" stopIfTrue="1" operator="equal">
      <formula>"Towel"</formula>
    </cfRule>
    <cfRule type="cellIs" dxfId="17558" priority="4240" stopIfTrue="1" operator="equal">
      <formula>"Napkin Hs"</formula>
    </cfRule>
  </conditionalFormatting>
  <conditionalFormatting sqref="C104">
    <cfRule type="cellIs" dxfId="17557" priority="4247" stopIfTrue="1" operator="equal">
      <formula>"Towel"</formula>
    </cfRule>
    <cfRule type="cellIs" dxfId="17556" priority="4248" stopIfTrue="1" operator="equal">
      <formula>"Napkin Hs"</formula>
    </cfRule>
  </conditionalFormatting>
  <conditionalFormatting sqref="C104">
    <cfRule type="cellIs" dxfId="17555" priority="4249" stopIfTrue="1" operator="equal">
      <formula>"Towel"</formula>
    </cfRule>
    <cfRule type="cellIs" dxfId="17554" priority="4250" stopIfTrue="1" operator="equal">
      <formula>"Napkin Hs"</formula>
    </cfRule>
  </conditionalFormatting>
  <conditionalFormatting sqref="B104">
    <cfRule type="cellIs" dxfId="17553" priority="4237" stopIfTrue="1" operator="equal">
      <formula>"Towel"</formula>
    </cfRule>
    <cfRule type="cellIs" dxfId="17552" priority="4238" stopIfTrue="1" operator="equal">
      <formula>"Napkin Hs"</formula>
    </cfRule>
  </conditionalFormatting>
  <conditionalFormatting sqref="C102">
    <cfRule type="cellIs" dxfId="17551" priority="4229" stopIfTrue="1" operator="equal">
      <formula>"Towel"</formula>
    </cfRule>
    <cfRule type="cellIs" dxfId="17550" priority="4230" stopIfTrue="1" operator="equal">
      <formula>"Napkin Hs"</formula>
    </cfRule>
  </conditionalFormatting>
  <conditionalFormatting sqref="B102:C102">
    <cfRule type="cellIs" dxfId="17549" priority="4231" stopIfTrue="1" operator="equal">
      <formula>"Towel"</formula>
    </cfRule>
    <cfRule type="cellIs" dxfId="17548" priority="4232" stopIfTrue="1" operator="equal">
      <formula>"Napkin Hs"</formula>
    </cfRule>
  </conditionalFormatting>
  <conditionalFormatting sqref="C102">
    <cfRule type="cellIs" dxfId="17547" priority="4227" stopIfTrue="1" operator="equal">
      <formula>"Towel"</formula>
    </cfRule>
    <cfRule type="cellIs" dxfId="17546" priority="4228" stopIfTrue="1" operator="equal">
      <formula>"Napkin Hs"</formula>
    </cfRule>
  </conditionalFormatting>
  <conditionalFormatting sqref="B102:C102">
    <cfRule type="cellIs" dxfId="17545" priority="4225" stopIfTrue="1" operator="equal">
      <formula>"Towel"</formula>
    </cfRule>
    <cfRule type="cellIs" dxfId="17544" priority="4226" stopIfTrue="1" operator="equal">
      <formula>"Napkin Hs"</formula>
    </cfRule>
  </conditionalFormatting>
  <conditionalFormatting sqref="C102">
    <cfRule type="cellIs" dxfId="17543" priority="4233" stopIfTrue="1" operator="equal">
      <formula>"Towel"</formula>
    </cfRule>
    <cfRule type="cellIs" dxfId="17542" priority="4234" stopIfTrue="1" operator="equal">
      <formula>"Napkin Hs"</formula>
    </cfRule>
  </conditionalFormatting>
  <conditionalFormatting sqref="C102">
    <cfRule type="cellIs" dxfId="17541" priority="4235" stopIfTrue="1" operator="equal">
      <formula>"Towel"</formula>
    </cfRule>
    <cfRule type="cellIs" dxfId="17540" priority="4236" stopIfTrue="1" operator="equal">
      <formula>"Napkin Hs"</formula>
    </cfRule>
  </conditionalFormatting>
  <conditionalFormatting sqref="B102:C102">
    <cfRule type="cellIs" dxfId="17539" priority="4223" stopIfTrue="1" operator="equal">
      <formula>"Towel"</formula>
    </cfRule>
    <cfRule type="cellIs" dxfId="17538" priority="4224" stopIfTrue="1" operator="equal">
      <formula>"Napkin Hs"</formula>
    </cfRule>
  </conditionalFormatting>
  <conditionalFormatting sqref="C102">
    <cfRule type="cellIs" dxfId="17537" priority="4222" stopIfTrue="1" operator="equal">
      <formula>"Napkin Hs"</formula>
    </cfRule>
  </conditionalFormatting>
  <conditionalFormatting sqref="C102">
    <cfRule type="cellIs" dxfId="17536" priority="4221" stopIfTrue="1" operator="equal">
      <formula>"Towel"</formula>
    </cfRule>
  </conditionalFormatting>
  <conditionalFormatting sqref="C102">
    <cfRule type="cellIs" dxfId="17535" priority="4219" stopIfTrue="1" operator="equal">
      <formula>"Towel"</formula>
    </cfRule>
    <cfRule type="cellIs" dxfId="17534" priority="4220" stopIfTrue="1" operator="equal">
      <formula>"Napkin Hs"</formula>
    </cfRule>
  </conditionalFormatting>
  <conditionalFormatting sqref="C103">
    <cfRule type="cellIs" dxfId="17533" priority="4211" stopIfTrue="1" operator="equal">
      <formula>"Towel"</formula>
    </cfRule>
    <cfRule type="cellIs" dxfId="17532" priority="4212" stopIfTrue="1" operator="equal">
      <formula>"Napkin Hs"</formula>
    </cfRule>
  </conditionalFormatting>
  <conditionalFormatting sqref="C103">
    <cfRule type="cellIs" dxfId="17531" priority="4209" stopIfTrue="1" operator="equal">
      <formula>"Towel"</formula>
    </cfRule>
    <cfRule type="cellIs" dxfId="17530" priority="4210" stopIfTrue="1" operator="equal">
      <formula>"Napkin Hs"</formula>
    </cfRule>
  </conditionalFormatting>
  <conditionalFormatting sqref="B103:C103">
    <cfRule type="cellIs" dxfId="17529" priority="4207" stopIfTrue="1" operator="equal">
      <formula>"Towel"</formula>
    </cfRule>
    <cfRule type="cellIs" dxfId="17528" priority="4208" stopIfTrue="1" operator="equal">
      <formula>"Napkin Hs"</formula>
    </cfRule>
  </conditionalFormatting>
  <conditionalFormatting sqref="B103:C103">
    <cfRule type="cellIs" dxfId="17527" priority="4217" stopIfTrue="1" operator="equal">
      <formula>"Towel"</formula>
    </cfRule>
    <cfRule type="cellIs" dxfId="17526" priority="4218" stopIfTrue="1" operator="equal">
      <formula>"Napkin Hs"</formula>
    </cfRule>
  </conditionalFormatting>
  <conditionalFormatting sqref="C103">
    <cfRule type="cellIs" dxfId="17525" priority="4215" stopIfTrue="1" operator="equal">
      <formula>"Towel"</formula>
    </cfRule>
    <cfRule type="cellIs" dxfId="17524" priority="4216" stopIfTrue="1" operator="equal">
      <formula>"Napkin Hs"</formula>
    </cfRule>
  </conditionalFormatting>
  <conditionalFormatting sqref="C103">
    <cfRule type="cellIs" dxfId="17523" priority="4213" stopIfTrue="1" operator="equal">
      <formula>"Towel"</formula>
    </cfRule>
    <cfRule type="cellIs" dxfId="17522" priority="4214" stopIfTrue="1" operator="equal">
      <formula>"Napkin Hs"</formula>
    </cfRule>
  </conditionalFormatting>
  <conditionalFormatting sqref="C103">
    <cfRule type="cellIs" dxfId="17521" priority="4205" stopIfTrue="1" operator="equal">
      <formula>"Towel"</formula>
    </cfRule>
    <cfRule type="cellIs" dxfId="17520" priority="4206" stopIfTrue="1" operator="equal">
      <formula>"Napkin Hs"</formula>
    </cfRule>
  </conditionalFormatting>
  <conditionalFormatting sqref="C103">
    <cfRule type="cellIs" dxfId="17519" priority="4203" stopIfTrue="1" operator="equal">
      <formula>"Towel"</formula>
    </cfRule>
    <cfRule type="cellIs" dxfId="17518" priority="4204" stopIfTrue="1" operator="equal">
      <formula>"Napkin Hs"</formula>
    </cfRule>
  </conditionalFormatting>
  <conditionalFormatting sqref="B103:C103">
    <cfRule type="cellIs" dxfId="17517" priority="4201" stopIfTrue="1" operator="equal">
      <formula>"Towel"</formula>
    </cfRule>
    <cfRule type="cellIs" dxfId="17516" priority="4202" stopIfTrue="1" operator="equal">
      <formula>"Napkin Hs"</formula>
    </cfRule>
  </conditionalFormatting>
  <conditionalFormatting sqref="B103:C103">
    <cfRule type="cellIs" dxfId="17515" priority="4199" stopIfTrue="1" operator="equal">
      <formula>"Towel"</formula>
    </cfRule>
    <cfRule type="cellIs" dxfId="17514" priority="4200" stopIfTrue="1" operator="equal">
      <formula>"Napkin Hs"</formula>
    </cfRule>
  </conditionalFormatting>
  <conditionalFormatting sqref="C103">
    <cfRule type="cellIs" dxfId="17513" priority="4197" stopIfTrue="1" operator="equal">
      <formula>"Towel"</formula>
    </cfRule>
    <cfRule type="cellIs" dxfId="17512" priority="4198" stopIfTrue="1" operator="equal">
      <formula>"Napkin Hs"</formula>
    </cfRule>
  </conditionalFormatting>
  <conditionalFormatting sqref="C103">
    <cfRule type="cellIs" dxfId="17511" priority="4195" stopIfTrue="1" operator="equal">
      <formula>"Towel"</formula>
    </cfRule>
    <cfRule type="cellIs" dxfId="17510" priority="4196" stopIfTrue="1" operator="equal">
      <formula>"Napkin Hs"</formula>
    </cfRule>
  </conditionalFormatting>
  <conditionalFormatting sqref="C103">
    <cfRule type="cellIs" dxfId="17509" priority="4187" stopIfTrue="1" operator="equal">
      <formula>"Towel"</formula>
    </cfRule>
    <cfRule type="cellIs" dxfId="17508" priority="4188" stopIfTrue="1" operator="equal">
      <formula>"Napkin Hs"</formula>
    </cfRule>
  </conditionalFormatting>
  <conditionalFormatting sqref="B103:C103">
    <cfRule type="cellIs" dxfId="17507" priority="4189" stopIfTrue="1" operator="equal">
      <formula>"Towel"</formula>
    </cfRule>
    <cfRule type="cellIs" dxfId="17506" priority="4190" stopIfTrue="1" operator="equal">
      <formula>"Napkin Hs"</formula>
    </cfRule>
  </conditionalFormatting>
  <conditionalFormatting sqref="C103">
    <cfRule type="cellIs" dxfId="17505" priority="4185" stopIfTrue="1" operator="equal">
      <formula>"Towel"</formula>
    </cfRule>
    <cfRule type="cellIs" dxfId="17504" priority="4186" stopIfTrue="1" operator="equal">
      <formula>"Napkin Hs"</formula>
    </cfRule>
  </conditionalFormatting>
  <conditionalFormatting sqref="B103:C103">
    <cfRule type="cellIs" dxfId="17503" priority="4183" stopIfTrue="1" operator="equal">
      <formula>"Towel"</formula>
    </cfRule>
    <cfRule type="cellIs" dxfId="17502" priority="4184" stopIfTrue="1" operator="equal">
      <formula>"Napkin Hs"</formula>
    </cfRule>
  </conditionalFormatting>
  <conditionalFormatting sqref="C103">
    <cfRule type="cellIs" dxfId="17501" priority="4191" stopIfTrue="1" operator="equal">
      <formula>"Towel"</formula>
    </cfRule>
    <cfRule type="cellIs" dxfId="17500" priority="4192" stopIfTrue="1" operator="equal">
      <formula>"Napkin Hs"</formula>
    </cfRule>
  </conditionalFormatting>
  <conditionalFormatting sqref="C103">
    <cfRule type="cellIs" dxfId="17499" priority="4193" stopIfTrue="1" operator="equal">
      <formula>"Towel"</formula>
    </cfRule>
    <cfRule type="cellIs" dxfId="17498" priority="4194" stopIfTrue="1" operator="equal">
      <formula>"Napkin Hs"</formula>
    </cfRule>
  </conditionalFormatting>
  <conditionalFormatting sqref="B103:C103">
    <cfRule type="cellIs" dxfId="17497" priority="4181" stopIfTrue="1" operator="equal">
      <formula>"Towel"</formula>
    </cfRule>
    <cfRule type="cellIs" dxfId="17496" priority="4182" stopIfTrue="1" operator="equal">
      <formula>"Napkin Hs"</formula>
    </cfRule>
  </conditionalFormatting>
  <conditionalFormatting sqref="C103">
    <cfRule type="cellIs" dxfId="17495" priority="4180" stopIfTrue="1" operator="equal">
      <formula>"Napkin Hs"</formula>
    </cfRule>
  </conditionalFormatting>
  <conditionalFormatting sqref="C103">
    <cfRule type="cellIs" dxfId="17494" priority="4179" stopIfTrue="1" operator="equal">
      <formula>"Towel"</formula>
    </cfRule>
  </conditionalFormatting>
  <conditionalFormatting sqref="C103">
    <cfRule type="cellIs" dxfId="17493" priority="4177" stopIfTrue="1" operator="equal">
      <formula>"Towel"</formula>
    </cfRule>
    <cfRule type="cellIs" dxfId="17492" priority="4178" stopIfTrue="1" operator="equal">
      <formula>"Napkin Hs"</formula>
    </cfRule>
  </conditionalFormatting>
  <conditionalFormatting sqref="B103:C103">
    <cfRule type="cellIs" dxfId="17491" priority="4175" stopIfTrue="1" operator="equal">
      <formula>"Towel"</formula>
    </cfRule>
    <cfRule type="cellIs" dxfId="17490" priority="4176" stopIfTrue="1" operator="equal">
      <formula>"Napkin Hs"</formula>
    </cfRule>
  </conditionalFormatting>
  <conditionalFormatting sqref="C103">
    <cfRule type="cellIs" dxfId="17489" priority="4171" stopIfTrue="1" operator="equal">
      <formula>"Towel"</formula>
    </cfRule>
    <cfRule type="cellIs" dxfId="17488" priority="4172" stopIfTrue="1" operator="equal">
      <formula>"Napkin Hs"</formula>
    </cfRule>
  </conditionalFormatting>
  <conditionalFormatting sqref="C103">
    <cfRule type="cellIs" dxfId="17487" priority="4173" stopIfTrue="1" operator="equal">
      <formula>"Towel"</formula>
    </cfRule>
    <cfRule type="cellIs" dxfId="17486" priority="4174" stopIfTrue="1" operator="equal">
      <formula>"Napkin Hs"</formula>
    </cfRule>
  </conditionalFormatting>
  <conditionalFormatting sqref="B103:C103">
    <cfRule type="cellIs" dxfId="17485" priority="4169" stopIfTrue="1" operator="equal">
      <formula>"Towel"</formula>
    </cfRule>
    <cfRule type="cellIs" dxfId="17484" priority="4170" stopIfTrue="1" operator="equal">
      <formula>"Napkin Hs"</formula>
    </cfRule>
  </conditionalFormatting>
  <conditionalFormatting sqref="C103">
    <cfRule type="cellIs" dxfId="17483" priority="4167" stopIfTrue="1" operator="equal">
      <formula>"Towel"</formula>
    </cfRule>
    <cfRule type="cellIs" dxfId="17482" priority="4168" stopIfTrue="1" operator="equal">
      <formula>"Napkin Hs"</formula>
    </cfRule>
  </conditionalFormatting>
  <conditionalFormatting sqref="C103">
    <cfRule type="cellIs" dxfId="17481" priority="4165" stopIfTrue="1" operator="equal">
      <formula>"Towel"</formula>
    </cfRule>
    <cfRule type="cellIs" dxfId="17480" priority="4166" stopIfTrue="1" operator="equal">
      <formula>"Napkin Hs"</formula>
    </cfRule>
  </conditionalFormatting>
  <conditionalFormatting sqref="C103">
    <cfRule type="cellIs" dxfId="17479" priority="4157" stopIfTrue="1" operator="equal">
      <formula>"Towel"</formula>
    </cfRule>
    <cfRule type="cellIs" dxfId="17478" priority="4158" stopIfTrue="1" operator="equal">
      <formula>"Napkin Hs"</formula>
    </cfRule>
  </conditionalFormatting>
  <conditionalFormatting sqref="B103:C103">
    <cfRule type="cellIs" dxfId="17477" priority="4159" stopIfTrue="1" operator="equal">
      <formula>"Towel"</formula>
    </cfRule>
    <cfRule type="cellIs" dxfId="17476" priority="4160" stopIfTrue="1" operator="equal">
      <formula>"Napkin Hs"</formula>
    </cfRule>
  </conditionalFormatting>
  <conditionalFormatting sqref="C103">
    <cfRule type="cellIs" dxfId="17475" priority="4155" stopIfTrue="1" operator="equal">
      <formula>"Towel"</formula>
    </cfRule>
    <cfRule type="cellIs" dxfId="17474" priority="4156" stopIfTrue="1" operator="equal">
      <formula>"Napkin Hs"</formula>
    </cfRule>
  </conditionalFormatting>
  <conditionalFormatting sqref="B103:C103">
    <cfRule type="cellIs" dxfId="17473" priority="4153" stopIfTrue="1" operator="equal">
      <formula>"Towel"</formula>
    </cfRule>
    <cfRule type="cellIs" dxfId="17472" priority="4154" stopIfTrue="1" operator="equal">
      <formula>"Napkin Hs"</formula>
    </cfRule>
  </conditionalFormatting>
  <conditionalFormatting sqref="C103">
    <cfRule type="cellIs" dxfId="17471" priority="4161" stopIfTrue="1" operator="equal">
      <formula>"Towel"</formula>
    </cfRule>
    <cfRule type="cellIs" dxfId="17470" priority="4162" stopIfTrue="1" operator="equal">
      <formula>"Napkin Hs"</formula>
    </cfRule>
  </conditionalFormatting>
  <conditionalFormatting sqref="C103">
    <cfRule type="cellIs" dxfId="17469" priority="4163" stopIfTrue="1" operator="equal">
      <formula>"Towel"</formula>
    </cfRule>
    <cfRule type="cellIs" dxfId="17468" priority="4164" stopIfTrue="1" operator="equal">
      <formula>"Napkin Hs"</formula>
    </cfRule>
  </conditionalFormatting>
  <conditionalFormatting sqref="B103:C103">
    <cfRule type="cellIs" dxfId="17467" priority="4151" stopIfTrue="1" operator="equal">
      <formula>"Towel"</formula>
    </cfRule>
    <cfRule type="cellIs" dxfId="17466" priority="4152" stopIfTrue="1" operator="equal">
      <formula>"Napkin Hs"</formula>
    </cfRule>
  </conditionalFormatting>
  <conditionalFormatting sqref="C103">
    <cfRule type="cellIs" dxfId="17465" priority="4150" stopIfTrue="1" operator="equal">
      <formula>"Napkin Hs"</formula>
    </cfRule>
  </conditionalFormatting>
  <conditionalFormatting sqref="C103">
    <cfRule type="cellIs" dxfId="17464" priority="4149" stopIfTrue="1" operator="equal">
      <formula>"Towel"</formula>
    </cfRule>
  </conditionalFormatting>
  <conditionalFormatting sqref="C103">
    <cfRule type="cellIs" dxfId="17463" priority="4147" stopIfTrue="1" operator="equal">
      <formula>"Towel"</formula>
    </cfRule>
    <cfRule type="cellIs" dxfId="17462" priority="4148" stopIfTrue="1" operator="equal">
      <formula>"Napkin Hs"</formula>
    </cfRule>
  </conditionalFormatting>
  <conditionalFormatting sqref="B103:C103">
    <cfRule type="cellIs" dxfId="17461" priority="4145" stopIfTrue="1" operator="equal">
      <formula>"Towel"</formula>
    </cfRule>
    <cfRule type="cellIs" dxfId="17460" priority="4146" stopIfTrue="1" operator="equal">
      <formula>"Napkin Hs"</formula>
    </cfRule>
  </conditionalFormatting>
  <conditionalFormatting sqref="C103">
    <cfRule type="cellIs" dxfId="17459" priority="4141" stopIfTrue="1" operator="equal">
      <formula>"Towel"</formula>
    </cfRule>
    <cfRule type="cellIs" dxfId="17458" priority="4142" stopIfTrue="1" operator="equal">
      <formula>"Napkin Hs"</formula>
    </cfRule>
  </conditionalFormatting>
  <conditionalFormatting sqref="C103">
    <cfRule type="cellIs" dxfId="17457" priority="4143" stopIfTrue="1" operator="equal">
      <formula>"Towel"</formula>
    </cfRule>
    <cfRule type="cellIs" dxfId="17456" priority="4144" stopIfTrue="1" operator="equal">
      <formula>"Napkin Hs"</formula>
    </cfRule>
  </conditionalFormatting>
  <conditionalFormatting sqref="B103:C103">
    <cfRule type="cellIs" dxfId="17455" priority="4139" stopIfTrue="1" operator="equal">
      <formula>"Towel"</formula>
    </cfRule>
    <cfRule type="cellIs" dxfId="17454" priority="4140" stopIfTrue="1" operator="equal">
      <formula>"Napkin Hs"</formula>
    </cfRule>
  </conditionalFormatting>
  <conditionalFormatting sqref="C103">
    <cfRule type="cellIs" dxfId="17453" priority="4138" stopIfTrue="1" operator="equal">
      <formula>"Napkin Hs"</formula>
    </cfRule>
  </conditionalFormatting>
  <conditionalFormatting sqref="C103">
    <cfRule type="cellIs" dxfId="17452" priority="4137" stopIfTrue="1" operator="equal">
      <formula>"Towel"</formula>
    </cfRule>
  </conditionalFormatting>
  <conditionalFormatting sqref="C103">
    <cfRule type="cellIs" dxfId="17451" priority="4135" stopIfTrue="1" operator="equal">
      <formula>"Towel"</formula>
    </cfRule>
    <cfRule type="cellIs" dxfId="17450" priority="4136" stopIfTrue="1" operator="equal">
      <formula>"Napkin Hs"</formula>
    </cfRule>
  </conditionalFormatting>
  <conditionalFormatting sqref="B103:C103">
    <cfRule type="cellIs" dxfId="17449" priority="4133" stopIfTrue="1" operator="equal">
      <formula>"Towel"</formula>
    </cfRule>
    <cfRule type="cellIs" dxfId="17448" priority="4134" stopIfTrue="1" operator="equal">
      <formula>"Napkin Hs"</formula>
    </cfRule>
  </conditionalFormatting>
  <conditionalFormatting sqref="C103">
    <cfRule type="cellIs" dxfId="17447" priority="4129" stopIfTrue="1" operator="equal">
      <formula>"Towel"</formula>
    </cfRule>
    <cfRule type="cellIs" dxfId="17446" priority="4130" stopIfTrue="1" operator="equal">
      <formula>"Napkin Hs"</formula>
    </cfRule>
  </conditionalFormatting>
  <conditionalFormatting sqref="C103">
    <cfRule type="cellIs" dxfId="17445" priority="4131" stopIfTrue="1" operator="equal">
      <formula>"Towel"</formula>
    </cfRule>
    <cfRule type="cellIs" dxfId="17444" priority="4132" stopIfTrue="1" operator="equal">
      <formula>"Napkin Hs"</formula>
    </cfRule>
  </conditionalFormatting>
  <conditionalFormatting sqref="B103:C103">
    <cfRule type="cellIs" dxfId="17443" priority="4127" stopIfTrue="1" operator="equal">
      <formula>"Towel"</formula>
    </cfRule>
    <cfRule type="cellIs" dxfId="17442" priority="4128" stopIfTrue="1" operator="equal">
      <formula>"Napkin Hs"</formula>
    </cfRule>
  </conditionalFormatting>
  <conditionalFormatting sqref="C103">
    <cfRule type="cellIs" dxfId="17441" priority="4126" stopIfTrue="1" operator="equal">
      <formula>"Napkin Hs"</formula>
    </cfRule>
  </conditionalFormatting>
  <conditionalFormatting sqref="C103">
    <cfRule type="cellIs" dxfId="17440" priority="4125" stopIfTrue="1" operator="equal">
      <formula>"Towel"</formula>
    </cfRule>
  </conditionalFormatting>
  <conditionalFormatting sqref="C103">
    <cfRule type="cellIs" dxfId="17439" priority="4123" stopIfTrue="1" operator="equal">
      <formula>"Towel"</formula>
    </cfRule>
    <cfRule type="cellIs" dxfId="17438" priority="4124" stopIfTrue="1" operator="equal">
      <formula>"Napkin Hs"</formula>
    </cfRule>
  </conditionalFormatting>
  <conditionalFormatting sqref="C103">
    <cfRule type="cellIs" dxfId="17437" priority="4115" stopIfTrue="1" operator="equal">
      <formula>"Towel"</formula>
    </cfRule>
    <cfRule type="cellIs" dxfId="17436" priority="4116" stopIfTrue="1" operator="equal">
      <formula>"Napkin Hs"</formula>
    </cfRule>
  </conditionalFormatting>
  <conditionalFormatting sqref="B103:C103">
    <cfRule type="cellIs" dxfId="17435" priority="4117" stopIfTrue="1" operator="equal">
      <formula>"Towel"</formula>
    </cfRule>
    <cfRule type="cellIs" dxfId="17434" priority="4118" stopIfTrue="1" operator="equal">
      <formula>"Napkin Hs"</formula>
    </cfRule>
  </conditionalFormatting>
  <conditionalFormatting sqref="C103">
    <cfRule type="cellIs" dxfId="17433" priority="4113" stopIfTrue="1" operator="equal">
      <formula>"Towel"</formula>
    </cfRule>
    <cfRule type="cellIs" dxfId="17432" priority="4114" stopIfTrue="1" operator="equal">
      <formula>"Napkin Hs"</formula>
    </cfRule>
  </conditionalFormatting>
  <conditionalFormatting sqref="B103:C103">
    <cfRule type="cellIs" dxfId="17431" priority="4111" stopIfTrue="1" operator="equal">
      <formula>"Towel"</formula>
    </cfRule>
    <cfRule type="cellIs" dxfId="17430" priority="4112" stopIfTrue="1" operator="equal">
      <formula>"Napkin Hs"</formula>
    </cfRule>
  </conditionalFormatting>
  <conditionalFormatting sqref="C103">
    <cfRule type="cellIs" dxfId="17429" priority="4119" stopIfTrue="1" operator="equal">
      <formula>"Towel"</formula>
    </cfRule>
    <cfRule type="cellIs" dxfId="17428" priority="4120" stopIfTrue="1" operator="equal">
      <formula>"Napkin Hs"</formula>
    </cfRule>
  </conditionalFormatting>
  <conditionalFormatting sqref="C103">
    <cfRule type="cellIs" dxfId="17427" priority="4121" stopIfTrue="1" operator="equal">
      <formula>"Towel"</formula>
    </cfRule>
    <cfRule type="cellIs" dxfId="17426" priority="4122" stopIfTrue="1" operator="equal">
      <formula>"Napkin Hs"</formula>
    </cfRule>
  </conditionalFormatting>
  <conditionalFormatting sqref="B103:C103">
    <cfRule type="cellIs" dxfId="17425" priority="4109" stopIfTrue="1" operator="equal">
      <formula>"Towel"</formula>
    </cfRule>
    <cfRule type="cellIs" dxfId="17424" priority="4110" stopIfTrue="1" operator="equal">
      <formula>"Napkin Hs"</formula>
    </cfRule>
  </conditionalFormatting>
  <conditionalFormatting sqref="C103">
    <cfRule type="cellIs" dxfId="17423" priority="4105" stopIfTrue="1" operator="equal">
      <formula>"Towel"</formula>
    </cfRule>
    <cfRule type="cellIs" dxfId="17422" priority="4106" stopIfTrue="1" operator="equal">
      <formula>"Napkin Hs"</formula>
    </cfRule>
  </conditionalFormatting>
  <conditionalFormatting sqref="C103">
    <cfRule type="cellIs" dxfId="17421" priority="4107" stopIfTrue="1" operator="equal">
      <formula>"Towel"</formula>
    </cfRule>
    <cfRule type="cellIs" dxfId="17420" priority="4108" stopIfTrue="1" operator="equal">
      <formula>"Napkin Hs"</formula>
    </cfRule>
  </conditionalFormatting>
  <conditionalFormatting sqref="C103">
    <cfRule type="cellIs" dxfId="17419" priority="4097" stopIfTrue="1" operator="equal">
      <formula>"Towel"</formula>
    </cfRule>
    <cfRule type="cellIs" dxfId="17418" priority="4098" stopIfTrue="1" operator="equal">
      <formula>"Napkin Hs"</formula>
    </cfRule>
  </conditionalFormatting>
  <conditionalFormatting sqref="B103:C103">
    <cfRule type="cellIs" dxfId="17417" priority="4099" stopIfTrue="1" operator="equal">
      <formula>"Towel"</formula>
    </cfRule>
    <cfRule type="cellIs" dxfId="17416" priority="4100" stopIfTrue="1" operator="equal">
      <formula>"Napkin Hs"</formula>
    </cfRule>
  </conditionalFormatting>
  <conditionalFormatting sqref="C103">
    <cfRule type="cellIs" dxfId="17415" priority="4095" stopIfTrue="1" operator="equal">
      <formula>"Towel"</formula>
    </cfRule>
    <cfRule type="cellIs" dxfId="17414" priority="4096" stopIfTrue="1" operator="equal">
      <formula>"Napkin Hs"</formula>
    </cfRule>
  </conditionalFormatting>
  <conditionalFormatting sqref="B103:C103">
    <cfRule type="cellIs" dxfId="17413" priority="4093" stopIfTrue="1" operator="equal">
      <formula>"Towel"</formula>
    </cfRule>
    <cfRule type="cellIs" dxfId="17412" priority="4094" stopIfTrue="1" operator="equal">
      <formula>"Napkin Hs"</formula>
    </cfRule>
  </conditionalFormatting>
  <conditionalFormatting sqref="C103">
    <cfRule type="cellIs" dxfId="17411" priority="4101" stopIfTrue="1" operator="equal">
      <formula>"Towel"</formula>
    </cfRule>
    <cfRule type="cellIs" dxfId="17410" priority="4102" stopIfTrue="1" operator="equal">
      <formula>"Napkin Hs"</formula>
    </cfRule>
  </conditionalFormatting>
  <conditionalFormatting sqref="C103">
    <cfRule type="cellIs" dxfId="17409" priority="4103" stopIfTrue="1" operator="equal">
      <formula>"Towel"</formula>
    </cfRule>
    <cfRule type="cellIs" dxfId="17408" priority="4104" stopIfTrue="1" operator="equal">
      <formula>"Napkin Hs"</formula>
    </cfRule>
  </conditionalFormatting>
  <conditionalFormatting sqref="B103:C103">
    <cfRule type="cellIs" dxfId="17407" priority="4091" stopIfTrue="1" operator="equal">
      <formula>"Towel"</formula>
    </cfRule>
    <cfRule type="cellIs" dxfId="17406" priority="4092" stopIfTrue="1" operator="equal">
      <formula>"Napkin Hs"</formula>
    </cfRule>
  </conditionalFormatting>
  <conditionalFormatting sqref="C103">
    <cfRule type="cellIs" dxfId="17405" priority="4090" stopIfTrue="1" operator="equal">
      <formula>"Napkin Hs"</formula>
    </cfRule>
  </conditionalFormatting>
  <conditionalFormatting sqref="C103">
    <cfRule type="cellIs" dxfId="17404" priority="4089" stopIfTrue="1" operator="equal">
      <formula>"Towel"</formula>
    </cfRule>
  </conditionalFormatting>
  <conditionalFormatting sqref="C103">
    <cfRule type="cellIs" dxfId="17403" priority="4087" stopIfTrue="1" operator="equal">
      <formula>"Towel"</formula>
    </cfRule>
    <cfRule type="cellIs" dxfId="17402" priority="4088" stopIfTrue="1" operator="equal">
      <formula>"Napkin Hs"</formula>
    </cfRule>
  </conditionalFormatting>
  <conditionalFormatting sqref="B110:C110">
    <cfRule type="cellIs" dxfId="17401" priority="4085" stopIfTrue="1" operator="equal">
      <formula>"Towel"</formula>
    </cfRule>
    <cfRule type="cellIs" dxfId="17400" priority="4086" stopIfTrue="1" operator="equal">
      <formula>"Napkin Hs"</formula>
    </cfRule>
  </conditionalFormatting>
  <conditionalFormatting sqref="C110">
    <cfRule type="cellIs" dxfId="17399" priority="4083" stopIfTrue="1" operator="equal">
      <formula>"Towel"</formula>
    </cfRule>
    <cfRule type="cellIs" dxfId="17398" priority="4084" stopIfTrue="1" operator="equal">
      <formula>"Napkin Hs"</formula>
    </cfRule>
  </conditionalFormatting>
  <conditionalFormatting sqref="C110">
    <cfRule type="cellIs" dxfId="17397" priority="4081" stopIfTrue="1" operator="equal">
      <formula>"Towel"</formula>
    </cfRule>
    <cfRule type="cellIs" dxfId="17396" priority="4082" stopIfTrue="1" operator="equal">
      <formula>"Napkin Hs"</formula>
    </cfRule>
  </conditionalFormatting>
  <conditionalFormatting sqref="C110">
    <cfRule type="cellIs" dxfId="17395" priority="4073" stopIfTrue="1" operator="equal">
      <formula>"Towel"</formula>
    </cfRule>
    <cfRule type="cellIs" dxfId="17394" priority="4074" stopIfTrue="1" operator="equal">
      <formula>"Napkin Hs"</formula>
    </cfRule>
  </conditionalFormatting>
  <conditionalFormatting sqref="B110:C110">
    <cfRule type="cellIs" dxfId="17393" priority="4075" stopIfTrue="1" operator="equal">
      <formula>"Towel"</formula>
    </cfRule>
    <cfRule type="cellIs" dxfId="17392" priority="4076" stopIfTrue="1" operator="equal">
      <formula>"Napkin Hs"</formula>
    </cfRule>
  </conditionalFormatting>
  <conditionalFormatting sqref="C110">
    <cfRule type="cellIs" dxfId="17391" priority="4071" stopIfTrue="1" operator="equal">
      <formula>"Towel"</formula>
    </cfRule>
    <cfRule type="cellIs" dxfId="17390" priority="4072" stopIfTrue="1" operator="equal">
      <formula>"Napkin Hs"</formula>
    </cfRule>
  </conditionalFormatting>
  <conditionalFormatting sqref="B110:C110">
    <cfRule type="cellIs" dxfId="17389" priority="4069" stopIfTrue="1" operator="equal">
      <formula>"Towel"</formula>
    </cfRule>
    <cfRule type="cellIs" dxfId="17388" priority="4070" stopIfTrue="1" operator="equal">
      <formula>"Napkin Hs"</formula>
    </cfRule>
  </conditionalFormatting>
  <conditionalFormatting sqref="C110">
    <cfRule type="cellIs" dxfId="17387" priority="4077" stopIfTrue="1" operator="equal">
      <formula>"Towel"</formula>
    </cfRule>
    <cfRule type="cellIs" dxfId="17386" priority="4078" stopIfTrue="1" operator="equal">
      <formula>"Napkin Hs"</formula>
    </cfRule>
  </conditionalFormatting>
  <conditionalFormatting sqref="C110">
    <cfRule type="cellIs" dxfId="17385" priority="4079" stopIfTrue="1" operator="equal">
      <formula>"Towel"</formula>
    </cfRule>
    <cfRule type="cellIs" dxfId="17384" priority="4080" stopIfTrue="1" operator="equal">
      <formula>"Napkin Hs"</formula>
    </cfRule>
  </conditionalFormatting>
  <conditionalFormatting sqref="B110:C110">
    <cfRule type="cellIs" dxfId="17383" priority="4067" stopIfTrue="1" operator="equal">
      <formula>"Towel"</formula>
    </cfRule>
    <cfRule type="cellIs" dxfId="17382" priority="4068" stopIfTrue="1" operator="equal">
      <formula>"Napkin Hs"</formula>
    </cfRule>
  </conditionalFormatting>
  <conditionalFormatting sqref="C110">
    <cfRule type="cellIs" dxfId="17381" priority="4065" stopIfTrue="1" operator="equal">
      <formula>"Towel"</formula>
    </cfRule>
    <cfRule type="cellIs" dxfId="17380" priority="4066" stopIfTrue="1" operator="equal">
      <formula>"Napkin Hs"</formula>
    </cfRule>
  </conditionalFormatting>
  <conditionalFormatting sqref="C110">
    <cfRule type="cellIs" dxfId="17379" priority="4063" stopIfTrue="1" operator="equal">
      <formula>"Towel"</formula>
    </cfRule>
    <cfRule type="cellIs" dxfId="17378" priority="4064" stopIfTrue="1" operator="equal">
      <formula>"Napkin Hs"</formula>
    </cfRule>
  </conditionalFormatting>
  <conditionalFormatting sqref="C110">
    <cfRule type="cellIs" dxfId="17377" priority="4055" stopIfTrue="1" operator="equal">
      <formula>"Towel"</formula>
    </cfRule>
    <cfRule type="cellIs" dxfId="17376" priority="4056" stopIfTrue="1" operator="equal">
      <formula>"Napkin Hs"</formula>
    </cfRule>
  </conditionalFormatting>
  <conditionalFormatting sqref="B110:C110">
    <cfRule type="cellIs" dxfId="17375" priority="4057" stopIfTrue="1" operator="equal">
      <formula>"Towel"</formula>
    </cfRule>
    <cfRule type="cellIs" dxfId="17374" priority="4058" stopIfTrue="1" operator="equal">
      <formula>"Napkin Hs"</formula>
    </cfRule>
  </conditionalFormatting>
  <conditionalFormatting sqref="C110">
    <cfRule type="cellIs" dxfId="17373" priority="4053" stopIfTrue="1" operator="equal">
      <formula>"Towel"</formula>
    </cfRule>
    <cfRule type="cellIs" dxfId="17372" priority="4054" stopIfTrue="1" operator="equal">
      <formula>"Napkin Hs"</formula>
    </cfRule>
  </conditionalFormatting>
  <conditionalFormatting sqref="B110:C110">
    <cfRule type="cellIs" dxfId="17371" priority="4051" stopIfTrue="1" operator="equal">
      <formula>"Towel"</formula>
    </cfRule>
    <cfRule type="cellIs" dxfId="17370" priority="4052" stopIfTrue="1" operator="equal">
      <formula>"Napkin Hs"</formula>
    </cfRule>
  </conditionalFormatting>
  <conditionalFormatting sqref="C110">
    <cfRule type="cellIs" dxfId="17369" priority="4059" stopIfTrue="1" operator="equal">
      <formula>"Towel"</formula>
    </cfRule>
    <cfRule type="cellIs" dxfId="17368" priority="4060" stopIfTrue="1" operator="equal">
      <formula>"Napkin Hs"</formula>
    </cfRule>
  </conditionalFormatting>
  <conditionalFormatting sqref="C110">
    <cfRule type="cellIs" dxfId="17367" priority="4061" stopIfTrue="1" operator="equal">
      <formula>"Towel"</formula>
    </cfRule>
    <cfRule type="cellIs" dxfId="17366" priority="4062" stopIfTrue="1" operator="equal">
      <formula>"Napkin Hs"</formula>
    </cfRule>
  </conditionalFormatting>
  <conditionalFormatting sqref="B109:C109">
    <cfRule type="cellIs" dxfId="17365" priority="4049" stopIfTrue="1" operator="equal">
      <formula>"Towel"</formula>
    </cfRule>
    <cfRule type="cellIs" dxfId="17364" priority="4050" stopIfTrue="1" operator="equal">
      <formula>"Napkin Hs"</formula>
    </cfRule>
  </conditionalFormatting>
  <conditionalFormatting sqref="C109">
    <cfRule type="cellIs" dxfId="17363" priority="4047" stopIfTrue="1" operator="equal">
      <formula>"Towel"</formula>
    </cfRule>
    <cfRule type="cellIs" dxfId="17362" priority="4048" stopIfTrue="1" operator="equal">
      <formula>"Napkin Hs"</formula>
    </cfRule>
  </conditionalFormatting>
  <conditionalFormatting sqref="C109">
    <cfRule type="cellIs" dxfId="17361" priority="4045" stopIfTrue="1" operator="equal">
      <formula>"Towel"</formula>
    </cfRule>
    <cfRule type="cellIs" dxfId="17360" priority="4046" stopIfTrue="1" operator="equal">
      <formula>"Napkin Hs"</formula>
    </cfRule>
  </conditionalFormatting>
  <conditionalFormatting sqref="C109">
    <cfRule type="cellIs" dxfId="17359" priority="4037" stopIfTrue="1" operator="equal">
      <formula>"Towel"</formula>
    </cfRule>
    <cfRule type="cellIs" dxfId="17358" priority="4038" stopIfTrue="1" operator="equal">
      <formula>"Napkin Hs"</formula>
    </cfRule>
  </conditionalFormatting>
  <conditionalFormatting sqref="B109:C109">
    <cfRule type="cellIs" dxfId="17357" priority="4039" stopIfTrue="1" operator="equal">
      <formula>"Towel"</formula>
    </cfRule>
    <cfRule type="cellIs" dxfId="17356" priority="4040" stopIfTrue="1" operator="equal">
      <formula>"Napkin Hs"</formula>
    </cfRule>
  </conditionalFormatting>
  <conditionalFormatting sqref="C109">
    <cfRule type="cellIs" dxfId="17355" priority="4035" stopIfTrue="1" operator="equal">
      <formula>"Towel"</formula>
    </cfRule>
    <cfRule type="cellIs" dxfId="17354" priority="4036" stopIfTrue="1" operator="equal">
      <formula>"Napkin Hs"</formula>
    </cfRule>
  </conditionalFormatting>
  <conditionalFormatting sqref="B109:C109">
    <cfRule type="cellIs" dxfId="17353" priority="4033" stopIfTrue="1" operator="equal">
      <formula>"Towel"</formula>
    </cfRule>
    <cfRule type="cellIs" dxfId="17352" priority="4034" stopIfTrue="1" operator="equal">
      <formula>"Napkin Hs"</formula>
    </cfRule>
  </conditionalFormatting>
  <conditionalFormatting sqref="C109">
    <cfRule type="cellIs" dxfId="17351" priority="4041" stopIfTrue="1" operator="equal">
      <formula>"Towel"</formula>
    </cfRule>
    <cfRule type="cellIs" dxfId="17350" priority="4042" stopIfTrue="1" operator="equal">
      <formula>"Napkin Hs"</formula>
    </cfRule>
  </conditionalFormatting>
  <conditionalFormatting sqref="C109">
    <cfRule type="cellIs" dxfId="17349" priority="4043" stopIfTrue="1" operator="equal">
      <formula>"Towel"</formula>
    </cfRule>
    <cfRule type="cellIs" dxfId="17348" priority="4044" stopIfTrue="1" operator="equal">
      <formula>"Napkin Hs"</formula>
    </cfRule>
  </conditionalFormatting>
  <conditionalFormatting sqref="C109">
    <cfRule type="cellIs" dxfId="17347" priority="4025" stopIfTrue="1" operator="equal">
      <formula>"Towel"</formula>
    </cfRule>
    <cfRule type="cellIs" dxfId="17346" priority="4026" stopIfTrue="1" operator="equal">
      <formula>"Napkin Hs"</formula>
    </cfRule>
  </conditionalFormatting>
  <conditionalFormatting sqref="B109:C109">
    <cfRule type="cellIs" dxfId="17345" priority="4021" stopIfTrue="1" operator="equal">
      <formula>"Towel"</formula>
    </cfRule>
    <cfRule type="cellIs" dxfId="17344" priority="4022" stopIfTrue="1" operator="equal">
      <formula>"Napkin Hs"</formula>
    </cfRule>
  </conditionalFormatting>
  <conditionalFormatting sqref="C109">
    <cfRule type="cellIs" dxfId="17343" priority="4023" stopIfTrue="1" operator="equal">
      <formula>"Towel"</formula>
    </cfRule>
    <cfRule type="cellIs" dxfId="17342" priority="4024" stopIfTrue="1" operator="equal">
      <formula>"Napkin Hs"</formula>
    </cfRule>
  </conditionalFormatting>
  <conditionalFormatting sqref="C109">
    <cfRule type="cellIs" dxfId="17341" priority="4019" stopIfTrue="1" operator="equal">
      <formula>"Towel"</formula>
    </cfRule>
    <cfRule type="cellIs" dxfId="17340" priority="4020" stopIfTrue="1" operator="equal">
      <formula>"Napkin Hs"</formula>
    </cfRule>
  </conditionalFormatting>
  <conditionalFormatting sqref="B109:C109">
    <cfRule type="cellIs" dxfId="17339" priority="4015" stopIfTrue="1" operator="equal">
      <formula>"Towel"</formula>
    </cfRule>
    <cfRule type="cellIs" dxfId="17338" priority="4016" stopIfTrue="1" operator="equal">
      <formula>"Napkin Hs"</formula>
    </cfRule>
  </conditionalFormatting>
  <conditionalFormatting sqref="C109">
    <cfRule type="cellIs" dxfId="17337" priority="4017" stopIfTrue="1" operator="equal">
      <formula>"Towel"</formula>
    </cfRule>
    <cfRule type="cellIs" dxfId="17336" priority="4018" stopIfTrue="1" operator="equal">
      <formula>"Napkin Hs"</formula>
    </cfRule>
  </conditionalFormatting>
  <conditionalFormatting sqref="B109:C109">
    <cfRule type="cellIs" dxfId="17335" priority="4031" stopIfTrue="1" operator="equal">
      <formula>"Towel"</formula>
    </cfRule>
    <cfRule type="cellIs" dxfId="17334" priority="4032" stopIfTrue="1" operator="equal">
      <formula>"Napkin Hs"</formula>
    </cfRule>
  </conditionalFormatting>
  <conditionalFormatting sqref="C109">
    <cfRule type="cellIs" dxfId="17333" priority="4029" stopIfTrue="1" operator="equal">
      <formula>"Towel"</formula>
    </cfRule>
    <cfRule type="cellIs" dxfId="17332" priority="4030" stopIfTrue="1" operator="equal">
      <formula>"Napkin Hs"</formula>
    </cfRule>
  </conditionalFormatting>
  <conditionalFormatting sqref="C109">
    <cfRule type="cellIs" dxfId="17331" priority="4027" stopIfTrue="1" operator="equal">
      <formula>"Towel"</formula>
    </cfRule>
    <cfRule type="cellIs" dxfId="17330" priority="4028" stopIfTrue="1" operator="equal">
      <formula>"Napkin Hs"</formula>
    </cfRule>
  </conditionalFormatting>
  <conditionalFormatting sqref="B109:C109">
    <cfRule type="cellIs" dxfId="17329" priority="4013" stopIfTrue="1" operator="equal">
      <formula>"Towel"</formula>
    </cfRule>
    <cfRule type="cellIs" dxfId="17328" priority="4014" stopIfTrue="1" operator="equal">
      <formula>"Napkin Hs"</formula>
    </cfRule>
  </conditionalFormatting>
  <conditionalFormatting sqref="C109">
    <cfRule type="cellIs" dxfId="17327" priority="4011" stopIfTrue="1" operator="equal">
      <formula>"Towel"</formula>
    </cfRule>
    <cfRule type="cellIs" dxfId="17326" priority="4012" stopIfTrue="1" operator="equal">
      <formula>"Napkin Hs"</formula>
    </cfRule>
  </conditionalFormatting>
  <conditionalFormatting sqref="C109">
    <cfRule type="cellIs" dxfId="17325" priority="4009" stopIfTrue="1" operator="equal">
      <formula>"Towel"</formula>
    </cfRule>
    <cfRule type="cellIs" dxfId="17324" priority="4010" stopIfTrue="1" operator="equal">
      <formula>"Napkin Hs"</formula>
    </cfRule>
  </conditionalFormatting>
  <conditionalFormatting sqref="C109">
    <cfRule type="cellIs" dxfId="17323" priority="4001" stopIfTrue="1" operator="equal">
      <formula>"Towel"</formula>
    </cfRule>
    <cfRule type="cellIs" dxfId="17322" priority="4002" stopIfTrue="1" operator="equal">
      <formula>"Napkin Hs"</formula>
    </cfRule>
  </conditionalFormatting>
  <conditionalFormatting sqref="B109:C109">
    <cfRule type="cellIs" dxfId="17321" priority="4003" stopIfTrue="1" operator="equal">
      <formula>"Towel"</formula>
    </cfRule>
    <cfRule type="cellIs" dxfId="17320" priority="4004" stopIfTrue="1" operator="equal">
      <formula>"Napkin Hs"</formula>
    </cfRule>
  </conditionalFormatting>
  <conditionalFormatting sqref="C109">
    <cfRule type="cellIs" dxfId="17319" priority="3999" stopIfTrue="1" operator="equal">
      <formula>"Towel"</formula>
    </cfRule>
    <cfRule type="cellIs" dxfId="17318" priority="4000" stopIfTrue="1" operator="equal">
      <formula>"Napkin Hs"</formula>
    </cfRule>
  </conditionalFormatting>
  <conditionalFormatting sqref="B109:C109">
    <cfRule type="cellIs" dxfId="17317" priority="3997" stopIfTrue="1" operator="equal">
      <formula>"Towel"</formula>
    </cfRule>
    <cfRule type="cellIs" dxfId="17316" priority="3998" stopIfTrue="1" operator="equal">
      <formula>"Napkin Hs"</formula>
    </cfRule>
  </conditionalFormatting>
  <conditionalFormatting sqref="C109">
    <cfRule type="cellIs" dxfId="17315" priority="4005" stopIfTrue="1" operator="equal">
      <formula>"Towel"</formula>
    </cfRule>
    <cfRule type="cellIs" dxfId="17314" priority="4006" stopIfTrue="1" operator="equal">
      <formula>"Napkin Hs"</formula>
    </cfRule>
  </conditionalFormatting>
  <conditionalFormatting sqref="C109">
    <cfRule type="cellIs" dxfId="17313" priority="4007" stopIfTrue="1" operator="equal">
      <formula>"Towel"</formula>
    </cfRule>
    <cfRule type="cellIs" dxfId="17312" priority="4008" stopIfTrue="1" operator="equal">
      <formula>"Napkin Hs"</formula>
    </cfRule>
  </conditionalFormatting>
  <conditionalFormatting sqref="C109">
    <cfRule type="cellIs" dxfId="17311" priority="3993" stopIfTrue="1" operator="equal">
      <formula>"Towel"</formula>
    </cfRule>
    <cfRule type="cellIs" dxfId="17310" priority="3994" stopIfTrue="1" operator="equal">
      <formula>"Napkin Hs"</formula>
    </cfRule>
  </conditionalFormatting>
  <conditionalFormatting sqref="C109">
    <cfRule type="cellIs" dxfId="17309" priority="3995" stopIfTrue="1" operator="equal">
      <formula>"Towel"</formula>
    </cfRule>
    <cfRule type="cellIs" dxfId="17308" priority="3996" stopIfTrue="1" operator="equal">
      <formula>"Napkin Hs"</formula>
    </cfRule>
  </conditionalFormatting>
  <conditionalFormatting sqref="C109">
    <cfRule type="cellIs" dxfId="17307" priority="3991" stopIfTrue="1" operator="equal">
      <formula>"Towel"</formula>
    </cfRule>
    <cfRule type="cellIs" dxfId="17306" priority="3992" stopIfTrue="1" operator="equal">
      <formula>"Napkin Hs"</formula>
    </cfRule>
  </conditionalFormatting>
  <conditionalFormatting sqref="C109">
    <cfRule type="cellIs" dxfId="17305" priority="3985" stopIfTrue="1" operator="equal">
      <formula>"Towel"</formula>
    </cfRule>
    <cfRule type="cellIs" dxfId="17304" priority="3986" stopIfTrue="1" operator="equal">
      <formula>"Napkin Hs"</formula>
    </cfRule>
  </conditionalFormatting>
  <conditionalFormatting sqref="C109">
    <cfRule type="cellIs" dxfId="17303" priority="3987" stopIfTrue="1" operator="equal">
      <formula>"Towel"</formula>
    </cfRule>
    <cfRule type="cellIs" dxfId="17302" priority="3988" stopIfTrue="1" operator="equal">
      <formula>"Napkin Hs"</formula>
    </cfRule>
  </conditionalFormatting>
  <conditionalFormatting sqref="C109">
    <cfRule type="cellIs" dxfId="17301" priority="3989" stopIfTrue="1" operator="equal">
      <formula>"Towel"</formula>
    </cfRule>
    <cfRule type="cellIs" dxfId="17300" priority="3990" stopIfTrue="1" operator="equal">
      <formula>"Napkin Hs"</formula>
    </cfRule>
  </conditionalFormatting>
  <conditionalFormatting sqref="B109">
    <cfRule type="cellIs" dxfId="17299" priority="3983" stopIfTrue="1" operator="equal">
      <formula>"Towel"</formula>
    </cfRule>
    <cfRule type="cellIs" dxfId="17298" priority="3984" stopIfTrue="1" operator="equal">
      <formula>"Napkin Hs"</formula>
    </cfRule>
  </conditionalFormatting>
  <conditionalFormatting sqref="B109">
    <cfRule type="cellIs" dxfId="17297" priority="3981" stopIfTrue="1" operator="equal">
      <formula>"Towel"</formula>
    </cfRule>
    <cfRule type="cellIs" dxfId="17296" priority="3982" stopIfTrue="1" operator="equal">
      <formula>"Napkin Hs"</formula>
    </cfRule>
  </conditionalFormatting>
  <conditionalFormatting sqref="B109:C109">
    <cfRule type="cellIs" dxfId="17295" priority="3979" stopIfTrue="1" operator="equal">
      <formula>"Towel"</formula>
    </cfRule>
    <cfRule type="cellIs" dxfId="17294" priority="3980" stopIfTrue="1" operator="equal">
      <formula>"Napkin Hs"</formula>
    </cfRule>
  </conditionalFormatting>
  <conditionalFormatting sqref="C109">
    <cfRule type="cellIs" dxfId="17293" priority="3975" stopIfTrue="1" operator="equal">
      <formula>"Towel"</formula>
    </cfRule>
    <cfRule type="cellIs" dxfId="17292" priority="3976" stopIfTrue="1" operator="equal">
      <formula>"Napkin Hs"</formula>
    </cfRule>
  </conditionalFormatting>
  <conditionalFormatting sqref="C109">
    <cfRule type="cellIs" dxfId="17291" priority="3977" stopIfTrue="1" operator="equal">
      <formula>"Towel"</formula>
    </cfRule>
    <cfRule type="cellIs" dxfId="17290" priority="3978" stopIfTrue="1" operator="equal">
      <formula>"Napkin Hs"</formula>
    </cfRule>
  </conditionalFormatting>
  <conditionalFormatting sqref="B109:C109">
    <cfRule type="cellIs" dxfId="17289" priority="3973" stopIfTrue="1" operator="equal">
      <formula>"Towel"</formula>
    </cfRule>
    <cfRule type="cellIs" dxfId="17288" priority="3974" stopIfTrue="1" operator="equal">
      <formula>"Napkin Hs"</formula>
    </cfRule>
  </conditionalFormatting>
  <conditionalFormatting sqref="C109">
    <cfRule type="cellIs" dxfId="17287" priority="3969" stopIfTrue="1" operator="equal">
      <formula>"Towel"</formula>
    </cfRule>
    <cfRule type="cellIs" dxfId="17286" priority="3970" stopIfTrue="1" operator="equal">
      <formula>"Napkin Hs"</formula>
    </cfRule>
  </conditionalFormatting>
  <conditionalFormatting sqref="C109">
    <cfRule type="cellIs" dxfId="17285" priority="3971" stopIfTrue="1" operator="equal">
      <formula>"Towel"</formula>
    </cfRule>
    <cfRule type="cellIs" dxfId="17284" priority="3972" stopIfTrue="1" operator="equal">
      <formula>"Napkin Hs"</formula>
    </cfRule>
  </conditionalFormatting>
  <conditionalFormatting sqref="C109">
    <cfRule type="cellIs" dxfId="17283" priority="3961" stopIfTrue="1" operator="equal">
      <formula>"Towel"</formula>
    </cfRule>
    <cfRule type="cellIs" dxfId="17282" priority="3962" stopIfTrue="1" operator="equal">
      <formula>"Napkin Hs"</formula>
    </cfRule>
  </conditionalFormatting>
  <conditionalFormatting sqref="C109">
    <cfRule type="cellIs" dxfId="17281" priority="3963" stopIfTrue="1" operator="equal">
      <formula>"Towel"</formula>
    </cfRule>
    <cfRule type="cellIs" dxfId="17280" priority="3964" stopIfTrue="1" operator="equal">
      <formula>"Napkin Hs"</formula>
    </cfRule>
  </conditionalFormatting>
  <conditionalFormatting sqref="C109">
    <cfRule type="cellIs" dxfId="17279" priority="3959" stopIfTrue="1" operator="equal">
      <formula>"Towel"</formula>
    </cfRule>
    <cfRule type="cellIs" dxfId="17278" priority="3960" stopIfTrue="1" operator="equal">
      <formula>"Napkin Hs"</formula>
    </cfRule>
  </conditionalFormatting>
  <conditionalFormatting sqref="C109">
    <cfRule type="cellIs" dxfId="17277" priority="3957" stopIfTrue="1" operator="equal">
      <formula>"Towel"</formula>
    </cfRule>
    <cfRule type="cellIs" dxfId="17276" priority="3958" stopIfTrue="1" operator="equal">
      <formula>"Napkin Hs"</formula>
    </cfRule>
  </conditionalFormatting>
  <conditionalFormatting sqref="C109">
    <cfRule type="cellIs" dxfId="17275" priority="3965" stopIfTrue="1" operator="equal">
      <formula>"Towel"</formula>
    </cfRule>
    <cfRule type="cellIs" dxfId="17274" priority="3966" stopIfTrue="1" operator="equal">
      <formula>"Napkin Hs"</formula>
    </cfRule>
  </conditionalFormatting>
  <conditionalFormatting sqref="C109">
    <cfRule type="cellIs" dxfId="17273" priority="3967" stopIfTrue="1" operator="equal">
      <formula>"Towel"</formula>
    </cfRule>
    <cfRule type="cellIs" dxfId="17272" priority="3968" stopIfTrue="1" operator="equal">
      <formula>"Napkin Hs"</formula>
    </cfRule>
  </conditionalFormatting>
  <conditionalFormatting sqref="B109">
    <cfRule type="cellIs" dxfId="17271" priority="3955" stopIfTrue="1" operator="equal">
      <formula>"Towel"</formula>
    </cfRule>
    <cfRule type="cellIs" dxfId="17270" priority="3956" stopIfTrue="1" operator="equal">
      <formula>"Napkin Hs"</formula>
    </cfRule>
  </conditionalFormatting>
  <conditionalFormatting sqref="C108">
    <cfRule type="cellIs" dxfId="17269" priority="3947" stopIfTrue="1" operator="equal">
      <formula>"Towel"</formula>
    </cfRule>
    <cfRule type="cellIs" dxfId="17268" priority="3948" stopIfTrue="1" operator="equal">
      <formula>"Napkin Hs"</formula>
    </cfRule>
  </conditionalFormatting>
  <conditionalFormatting sqref="C108">
    <cfRule type="cellIs" dxfId="17267" priority="3945" stopIfTrue="1" operator="equal">
      <formula>"Towel"</formula>
    </cfRule>
    <cfRule type="cellIs" dxfId="17266" priority="3946" stopIfTrue="1" operator="equal">
      <formula>"Napkin Hs"</formula>
    </cfRule>
  </conditionalFormatting>
  <conditionalFormatting sqref="B108:C108">
    <cfRule type="cellIs" dxfId="17265" priority="3943" stopIfTrue="1" operator="equal">
      <formula>"Towel"</formula>
    </cfRule>
    <cfRule type="cellIs" dxfId="17264" priority="3944" stopIfTrue="1" operator="equal">
      <formula>"Napkin Hs"</formula>
    </cfRule>
  </conditionalFormatting>
  <conditionalFormatting sqref="B108:C108">
    <cfRule type="cellIs" dxfId="17263" priority="3953" stopIfTrue="1" operator="equal">
      <formula>"Towel"</formula>
    </cfRule>
    <cfRule type="cellIs" dxfId="17262" priority="3954" stopIfTrue="1" operator="equal">
      <formula>"Napkin Hs"</formula>
    </cfRule>
  </conditionalFormatting>
  <conditionalFormatting sqref="C108">
    <cfRule type="cellIs" dxfId="17261" priority="3951" stopIfTrue="1" operator="equal">
      <formula>"Towel"</formula>
    </cfRule>
    <cfRule type="cellIs" dxfId="17260" priority="3952" stopIfTrue="1" operator="equal">
      <formula>"Napkin Hs"</formula>
    </cfRule>
  </conditionalFormatting>
  <conditionalFormatting sqref="C108">
    <cfRule type="cellIs" dxfId="17259" priority="3949" stopIfTrue="1" operator="equal">
      <formula>"Towel"</formula>
    </cfRule>
    <cfRule type="cellIs" dxfId="17258" priority="3950" stopIfTrue="1" operator="equal">
      <formula>"Napkin Hs"</formula>
    </cfRule>
  </conditionalFormatting>
  <conditionalFormatting sqref="C108">
    <cfRule type="cellIs" dxfId="17257" priority="3941" stopIfTrue="1" operator="equal">
      <formula>"Towel"</formula>
    </cfRule>
    <cfRule type="cellIs" dxfId="17256" priority="3942" stopIfTrue="1" operator="equal">
      <formula>"Napkin Hs"</formula>
    </cfRule>
  </conditionalFormatting>
  <conditionalFormatting sqref="C108">
    <cfRule type="cellIs" dxfId="17255" priority="3939" stopIfTrue="1" operator="equal">
      <formula>"Towel"</formula>
    </cfRule>
    <cfRule type="cellIs" dxfId="17254" priority="3940" stopIfTrue="1" operator="equal">
      <formula>"Napkin Hs"</formula>
    </cfRule>
  </conditionalFormatting>
  <conditionalFormatting sqref="B108:C108">
    <cfRule type="cellIs" dxfId="17253" priority="3937" stopIfTrue="1" operator="equal">
      <formula>"Towel"</formula>
    </cfRule>
    <cfRule type="cellIs" dxfId="17252" priority="3938" stopIfTrue="1" operator="equal">
      <formula>"Napkin Hs"</formula>
    </cfRule>
  </conditionalFormatting>
  <conditionalFormatting sqref="B108:C108">
    <cfRule type="cellIs" dxfId="17251" priority="3935" stopIfTrue="1" operator="equal">
      <formula>"Towel"</formula>
    </cfRule>
    <cfRule type="cellIs" dxfId="17250" priority="3936" stopIfTrue="1" operator="equal">
      <formula>"Napkin Hs"</formula>
    </cfRule>
  </conditionalFormatting>
  <conditionalFormatting sqref="C108">
    <cfRule type="cellIs" dxfId="17249" priority="3933" stopIfTrue="1" operator="equal">
      <formula>"Towel"</formula>
    </cfRule>
    <cfRule type="cellIs" dxfId="17248" priority="3934" stopIfTrue="1" operator="equal">
      <formula>"Napkin Hs"</formula>
    </cfRule>
  </conditionalFormatting>
  <conditionalFormatting sqref="C108">
    <cfRule type="cellIs" dxfId="17247" priority="3931" stopIfTrue="1" operator="equal">
      <formula>"Towel"</formula>
    </cfRule>
    <cfRule type="cellIs" dxfId="17246" priority="3932" stopIfTrue="1" operator="equal">
      <formula>"Napkin Hs"</formula>
    </cfRule>
  </conditionalFormatting>
  <conditionalFormatting sqref="C108">
    <cfRule type="cellIs" dxfId="17245" priority="3923" stopIfTrue="1" operator="equal">
      <formula>"Towel"</formula>
    </cfRule>
    <cfRule type="cellIs" dxfId="17244" priority="3924" stopIfTrue="1" operator="equal">
      <formula>"Napkin Hs"</formula>
    </cfRule>
  </conditionalFormatting>
  <conditionalFormatting sqref="B108:C108">
    <cfRule type="cellIs" dxfId="17243" priority="3925" stopIfTrue="1" operator="equal">
      <formula>"Towel"</formula>
    </cfRule>
    <cfRule type="cellIs" dxfId="17242" priority="3926" stopIfTrue="1" operator="equal">
      <formula>"Napkin Hs"</formula>
    </cfRule>
  </conditionalFormatting>
  <conditionalFormatting sqref="C108">
    <cfRule type="cellIs" dxfId="17241" priority="3921" stopIfTrue="1" operator="equal">
      <formula>"Towel"</formula>
    </cfRule>
    <cfRule type="cellIs" dxfId="17240" priority="3922" stopIfTrue="1" operator="equal">
      <formula>"Napkin Hs"</formula>
    </cfRule>
  </conditionalFormatting>
  <conditionalFormatting sqref="B108:C108">
    <cfRule type="cellIs" dxfId="17239" priority="3919" stopIfTrue="1" operator="equal">
      <formula>"Towel"</formula>
    </cfRule>
    <cfRule type="cellIs" dxfId="17238" priority="3920" stopIfTrue="1" operator="equal">
      <formula>"Napkin Hs"</formula>
    </cfRule>
  </conditionalFormatting>
  <conditionalFormatting sqref="C108">
    <cfRule type="cellIs" dxfId="17237" priority="3927" stopIfTrue="1" operator="equal">
      <formula>"Towel"</formula>
    </cfRule>
    <cfRule type="cellIs" dxfId="17236" priority="3928" stopIfTrue="1" operator="equal">
      <formula>"Napkin Hs"</formula>
    </cfRule>
  </conditionalFormatting>
  <conditionalFormatting sqref="C108">
    <cfRule type="cellIs" dxfId="17235" priority="3929" stopIfTrue="1" operator="equal">
      <formula>"Towel"</formula>
    </cfRule>
    <cfRule type="cellIs" dxfId="17234" priority="3930" stopIfTrue="1" operator="equal">
      <formula>"Napkin Hs"</formula>
    </cfRule>
  </conditionalFormatting>
  <conditionalFormatting sqref="B108:C108">
    <cfRule type="cellIs" dxfId="17233" priority="3917" stopIfTrue="1" operator="equal">
      <formula>"Towel"</formula>
    </cfRule>
    <cfRule type="cellIs" dxfId="17232" priority="3918" stopIfTrue="1" operator="equal">
      <formula>"Napkin Hs"</formula>
    </cfRule>
  </conditionalFormatting>
  <conditionalFormatting sqref="C108">
    <cfRule type="cellIs" dxfId="17231" priority="3916" stopIfTrue="1" operator="equal">
      <formula>"Napkin Hs"</formula>
    </cfRule>
  </conditionalFormatting>
  <conditionalFormatting sqref="C108">
    <cfRule type="cellIs" dxfId="17230" priority="3915" stopIfTrue="1" operator="equal">
      <formula>"Towel"</formula>
    </cfRule>
  </conditionalFormatting>
  <conditionalFormatting sqref="C108">
    <cfRule type="cellIs" dxfId="17229" priority="3913" stopIfTrue="1" operator="equal">
      <formula>"Towel"</formula>
    </cfRule>
    <cfRule type="cellIs" dxfId="17228" priority="3914" stopIfTrue="1" operator="equal">
      <formula>"Napkin Hs"</formula>
    </cfRule>
  </conditionalFormatting>
  <conditionalFormatting sqref="B108:C108">
    <cfRule type="cellIs" dxfId="17227" priority="3911" stopIfTrue="1" operator="equal">
      <formula>"Towel"</formula>
    </cfRule>
    <cfRule type="cellIs" dxfId="17226" priority="3912" stopIfTrue="1" operator="equal">
      <formula>"Napkin Hs"</formula>
    </cfRule>
  </conditionalFormatting>
  <conditionalFormatting sqref="C108">
    <cfRule type="cellIs" dxfId="17225" priority="3907" stopIfTrue="1" operator="equal">
      <formula>"Towel"</formula>
    </cfRule>
    <cfRule type="cellIs" dxfId="17224" priority="3908" stopIfTrue="1" operator="equal">
      <formula>"Napkin Hs"</formula>
    </cfRule>
  </conditionalFormatting>
  <conditionalFormatting sqref="C108">
    <cfRule type="cellIs" dxfId="17223" priority="3909" stopIfTrue="1" operator="equal">
      <formula>"Towel"</formula>
    </cfRule>
    <cfRule type="cellIs" dxfId="17222" priority="3910" stopIfTrue="1" operator="equal">
      <formula>"Napkin Hs"</formula>
    </cfRule>
  </conditionalFormatting>
  <conditionalFormatting sqref="B108:C108">
    <cfRule type="cellIs" dxfId="17221" priority="3905" stopIfTrue="1" operator="equal">
      <formula>"Towel"</formula>
    </cfRule>
    <cfRule type="cellIs" dxfId="17220" priority="3906" stopIfTrue="1" operator="equal">
      <formula>"Napkin Hs"</formula>
    </cfRule>
  </conditionalFormatting>
  <conditionalFormatting sqref="C108">
    <cfRule type="cellIs" dxfId="17219" priority="3903" stopIfTrue="1" operator="equal">
      <formula>"Towel"</formula>
    </cfRule>
    <cfRule type="cellIs" dxfId="17218" priority="3904" stopIfTrue="1" operator="equal">
      <formula>"Napkin Hs"</formula>
    </cfRule>
  </conditionalFormatting>
  <conditionalFormatting sqref="C108">
    <cfRule type="cellIs" dxfId="17217" priority="3901" stopIfTrue="1" operator="equal">
      <formula>"Towel"</formula>
    </cfRule>
    <cfRule type="cellIs" dxfId="17216" priority="3902" stopIfTrue="1" operator="equal">
      <formula>"Napkin Hs"</formula>
    </cfRule>
  </conditionalFormatting>
  <conditionalFormatting sqref="C108">
    <cfRule type="cellIs" dxfId="17215" priority="3893" stopIfTrue="1" operator="equal">
      <formula>"Towel"</formula>
    </cfRule>
    <cfRule type="cellIs" dxfId="17214" priority="3894" stopIfTrue="1" operator="equal">
      <formula>"Napkin Hs"</formula>
    </cfRule>
  </conditionalFormatting>
  <conditionalFormatting sqref="B108:C108">
    <cfRule type="cellIs" dxfId="17213" priority="3895" stopIfTrue="1" operator="equal">
      <formula>"Towel"</formula>
    </cfRule>
    <cfRule type="cellIs" dxfId="17212" priority="3896" stopIfTrue="1" operator="equal">
      <formula>"Napkin Hs"</formula>
    </cfRule>
  </conditionalFormatting>
  <conditionalFormatting sqref="C108">
    <cfRule type="cellIs" dxfId="17211" priority="3891" stopIfTrue="1" operator="equal">
      <formula>"Towel"</formula>
    </cfRule>
    <cfRule type="cellIs" dxfId="17210" priority="3892" stopIfTrue="1" operator="equal">
      <formula>"Napkin Hs"</formula>
    </cfRule>
  </conditionalFormatting>
  <conditionalFormatting sqref="B108:C108">
    <cfRule type="cellIs" dxfId="17209" priority="3889" stopIfTrue="1" operator="equal">
      <formula>"Towel"</formula>
    </cfRule>
    <cfRule type="cellIs" dxfId="17208" priority="3890" stopIfTrue="1" operator="equal">
      <formula>"Napkin Hs"</formula>
    </cfRule>
  </conditionalFormatting>
  <conditionalFormatting sqref="C108">
    <cfRule type="cellIs" dxfId="17207" priority="3897" stopIfTrue="1" operator="equal">
      <formula>"Towel"</formula>
    </cfRule>
    <cfRule type="cellIs" dxfId="17206" priority="3898" stopIfTrue="1" operator="equal">
      <formula>"Napkin Hs"</formula>
    </cfRule>
  </conditionalFormatting>
  <conditionalFormatting sqref="C108">
    <cfRule type="cellIs" dxfId="17205" priority="3899" stopIfTrue="1" operator="equal">
      <formula>"Towel"</formula>
    </cfRule>
    <cfRule type="cellIs" dxfId="17204" priority="3900" stopIfTrue="1" operator="equal">
      <formula>"Napkin Hs"</formula>
    </cfRule>
  </conditionalFormatting>
  <conditionalFormatting sqref="B108:C108">
    <cfRule type="cellIs" dxfId="17203" priority="3887" stopIfTrue="1" operator="equal">
      <formula>"Towel"</formula>
    </cfRule>
    <cfRule type="cellIs" dxfId="17202" priority="3888" stopIfTrue="1" operator="equal">
      <formula>"Napkin Hs"</formula>
    </cfRule>
  </conditionalFormatting>
  <conditionalFormatting sqref="C108">
    <cfRule type="cellIs" dxfId="17201" priority="3886" stopIfTrue="1" operator="equal">
      <formula>"Napkin Hs"</formula>
    </cfRule>
  </conditionalFormatting>
  <conditionalFormatting sqref="C108">
    <cfRule type="cellIs" dxfId="17200" priority="3885" stopIfTrue="1" operator="equal">
      <formula>"Towel"</formula>
    </cfRule>
  </conditionalFormatting>
  <conditionalFormatting sqref="C108">
    <cfRule type="cellIs" dxfId="17199" priority="3883" stopIfTrue="1" operator="equal">
      <formula>"Towel"</formula>
    </cfRule>
    <cfRule type="cellIs" dxfId="17198" priority="3884" stopIfTrue="1" operator="equal">
      <formula>"Napkin Hs"</formula>
    </cfRule>
  </conditionalFormatting>
  <conditionalFormatting sqref="B108:C108">
    <cfRule type="cellIs" dxfId="17197" priority="3881" stopIfTrue="1" operator="equal">
      <formula>"Towel"</formula>
    </cfRule>
    <cfRule type="cellIs" dxfId="17196" priority="3882" stopIfTrue="1" operator="equal">
      <formula>"Napkin Hs"</formula>
    </cfRule>
  </conditionalFormatting>
  <conditionalFormatting sqref="C108">
    <cfRule type="cellIs" dxfId="17195" priority="3877" stopIfTrue="1" operator="equal">
      <formula>"Towel"</formula>
    </cfRule>
    <cfRule type="cellIs" dxfId="17194" priority="3878" stopIfTrue="1" operator="equal">
      <formula>"Napkin Hs"</formula>
    </cfRule>
  </conditionalFormatting>
  <conditionalFormatting sqref="C108">
    <cfRule type="cellIs" dxfId="17193" priority="3879" stopIfTrue="1" operator="equal">
      <formula>"Towel"</formula>
    </cfRule>
    <cfRule type="cellIs" dxfId="17192" priority="3880" stopIfTrue="1" operator="equal">
      <formula>"Napkin Hs"</formula>
    </cfRule>
  </conditionalFormatting>
  <conditionalFormatting sqref="B108:C108">
    <cfRule type="cellIs" dxfId="17191" priority="3875" stopIfTrue="1" operator="equal">
      <formula>"Towel"</formula>
    </cfRule>
    <cfRule type="cellIs" dxfId="17190" priority="3876" stopIfTrue="1" operator="equal">
      <formula>"Napkin Hs"</formula>
    </cfRule>
  </conditionalFormatting>
  <conditionalFormatting sqref="C108">
    <cfRule type="cellIs" dxfId="17189" priority="3874" stopIfTrue="1" operator="equal">
      <formula>"Napkin Hs"</formula>
    </cfRule>
  </conditionalFormatting>
  <conditionalFormatting sqref="C108">
    <cfRule type="cellIs" dxfId="17188" priority="3873" stopIfTrue="1" operator="equal">
      <formula>"Towel"</formula>
    </cfRule>
  </conditionalFormatting>
  <conditionalFormatting sqref="C108">
    <cfRule type="cellIs" dxfId="17187" priority="3871" stopIfTrue="1" operator="equal">
      <formula>"Towel"</formula>
    </cfRule>
    <cfRule type="cellIs" dxfId="17186" priority="3872" stopIfTrue="1" operator="equal">
      <formula>"Napkin Hs"</formula>
    </cfRule>
  </conditionalFormatting>
  <conditionalFormatting sqref="B108:C108">
    <cfRule type="cellIs" dxfId="17185" priority="3869" stopIfTrue="1" operator="equal">
      <formula>"Towel"</formula>
    </cfRule>
    <cfRule type="cellIs" dxfId="17184" priority="3870" stopIfTrue="1" operator="equal">
      <formula>"Napkin Hs"</formula>
    </cfRule>
  </conditionalFormatting>
  <conditionalFormatting sqref="C108">
    <cfRule type="cellIs" dxfId="17183" priority="3865" stopIfTrue="1" operator="equal">
      <formula>"Towel"</formula>
    </cfRule>
    <cfRule type="cellIs" dxfId="17182" priority="3866" stopIfTrue="1" operator="equal">
      <formula>"Napkin Hs"</formula>
    </cfRule>
  </conditionalFormatting>
  <conditionalFormatting sqref="C108">
    <cfRule type="cellIs" dxfId="17181" priority="3867" stopIfTrue="1" operator="equal">
      <formula>"Towel"</formula>
    </cfRule>
    <cfRule type="cellIs" dxfId="17180" priority="3868" stopIfTrue="1" operator="equal">
      <formula>"Napkin Hs"</formula>
    </cfRule>
  </conditionalFormatting>
  <conditionalFormatting sqref="B108:C108">
    <cfRule type="cellIs" dxfId="17179" priority="3863" stopIfTrue="1" operator="equal">
      <formula>"Towel"</formula>
    </cfRule>
    <cfRule type="cellIs" dxfId="17178" priority="3864" stopIfTrue="1" operator="equal">
      <formula>"Napkin Hs"</formula>
    </cfRule>
  </conditionalFormatting>
  <conditionalFormatting sqref="C108">
    <cfRule type="cellIs" dxfId="17177" priority="3862" stopIfTrue="1" operator="equal">
      <formula>"Napkin Hs"</formula>
    </cfRule>
  </conditionalFormatting>
  <conditionalFormatting sqref="C108">
    <cfRule type="cellIs" dxfId="17176" priority="3861" stopIfTrue="1" operator="equal">
      <formula>"Towel"</formula>
    </cfRule>
  </conditionalFormatting>
  <conditionalFormatting sqref="C108">
    <cfRule type="cellIs" dxfId="17175" priority="3859" stopIfTrue="1" operator="equal">
      <formula>"Towel"</formula>
    </cfRule>
    <cfRule type="cellIs" dxfId="17174" priority="3860" stopIfTrue="1" operator="equal">
      <formula>"Napkin Hs"</formula>
    </cfRule>
  </conditionalFormatting>
  <conditionalFormatting sqref="C108">
    <cfRule type="cellIs" dxfId="17173" priority="3851" stopIfTrue="1" operator="equal">
      <formula>"Towel"</formula>
    </cfRule>
    <cfRule type="cellIs" dxfId="17172" priority="3852" stopIfTrue="1" operator="equal">
      <formula>"Napkin Hs"</formula>
    </cfRule>
  </conditionalFormatting>
  <conditionalFormatting sqref="B108:C108">
    <cfRule type="cellIs" dxfId="17171" priority="3853" stopIfTrue="1" operator="equal">
      <formula>"Towel"</formula>
    </cfRule>
    <cfRule type="cellIs" dxfId="17170" priority="3854" stopIfTrue="1" operator="equal">
      <formula>"Napkin Hs"</formula>
    </cfRule>
  </conditionalFormatting>
  <conditionalFormatting sqref="C108">
    <cfRule type="cellIs" dxfId="17169" priority="3849" stopIfTrue="1" operator="equal">
      <formula>"Towel"</formula>
    </cfRule>
    <cfRule type="cellIs" dxfId="17168" priority="3850" stopIfTrue="1" operator="equal">
      <formula>"Napkin Hs"</formula>
    </cfRule>
  </conditionalFormatting>
  <conditionalFormatting sqref="B108:C108">
    <cfRule type="cellIs" dxfId="17167" priority="3847" stopIfTrue="1" operator="equal">
      <formula>"Towel"</formula>
    </cfRule>
    <cfRule type="cellIs" dxfId="17166" priority="3848" stopIfTrue="1" operator="equal">
      <formula>"Napkin Hs"</formula>
    </cfRule>
  </conditionalFormatting>
  <conditionalFormatting sqref="C108">
    <cfRule type="cellIs" dxfId="17165" priority="3855" stopIfTrue="1" operator="equal">
      <formula>"Towel"</formula>
    </cfRule>
    <cfRule type="cellIs" dxfId="17164" priority="3856" stopIfTrue="1" operator="equal">
      <formula>"Napkin Hs"</formula>
    </cfRule>
  </conditionalFormatting>
  <conditionalFormatting sqref="C108">
    <cfRule type="cellIs" dxfId="17163" priority="3857" stopIfTrue="1" operator="equal">
      <formula>"Towel"</formula>
    </cfRule>
    <cfRule type="cellIs" dxfId="17162" priority="3858" stopIfTrue="1" operator="equal">
      <formula>"Napkin Hs"</formula>
    </cfRule>
  </conditionalFormatting>
  <conditionalFormatting sqref="B108:C108">
    <cfRule type="cellIs" dxfId="17161" priority="3845" stopIfTrue="1" operator="equal">
      <formula>"Towel"</formula>
    </cfRule>
    <cfRule type="cellIs" dxfId="17160" priority="3846" stopIfTrue="1" operator="equal">
      <formula>"Napkin Hs"</formula>
    </cfRule>
  </conditionalFormatting>
  <conditionalFormatting sqref="C108">
    <cfRule type="cellIs" dxfId="17159" priority="3841" stopIfTrue="1" operator="equal">
      <formula>"Towel"</formula>
    </cfRule>
    <cfRule type="cellIs" dxfId="17158" priority="3842" stopIfTrue="1" operator="equal">
      <formula>"Napkin Hs"</formula>
    </cfRule>
  </conditionalFormatting>
  <conditionalFormatting sqref="C108">
    <cfRule type="cellIs" dxfId="17157" priority="3843" stopIfTrue="1" operator="equal">
      <formula>"Towel"</formula>
    </cfRule>
    <cfRule type="cellIs" dxfId="17156" priority="3844" stopIfTrue="1" operator="equal">
      <formula>"Napkin Hs"</formula>
    </cfRule>
  </conditionalFormatting>
  <conditionalFormatting sqref="C108">
    <cfRule type="cellIs" dxfId="17155" priority="3833" stopIfTrue="1" operator="equal">
      <formula>"Towel"</formula>
    </cfRule>
    <cfRule type="cellIs" dxfId="17154" priority="3834" stopIfTrue="1" operator="equal">
      <formula>"Napkin Hs"</formula>
    </cfRule>
  </conditionalFormatting>
  <conditionalFormatting sqref="B108:C108">
    <cfRule type="cellIs" dxfId="17153" priority="3835" stopIfTrue="1" operator="equal">
      <formula>"Towel"</formula>
    </cfRule>
    <cfRule type="cellIs" dxfId="17152" priority="3836" stopIfTrue="1" operator="equal">
      <formula>"Napkin Hs"</formula>
    </cfRule>
  </conditionalFormatting>
  <conditionalFormatting sqref="C108">
    <cfRule type="cellIs" dxfId="17151" priority="3831" stopIfTrue="1" operator="equal">
      <formula>"Towel"</formula>
    </cfRule>
    <cfRule type="cellIs" dxfId="17150" priority="3832" stopIfTrue="1" operator="equal">
      <formula>"Napkin Hs"</formula>
    </cfRule>
  </conditionalFormatting>
  <conditionalFormatting sqref="B108:C108">
    <cfRule type="cellIs" dxfId="17149" priority="3829" stopIfTrue="1" operator="equal">
      <formula>"Towel"</formula>
    </cfRule>
    <cfRule type="cellIs" dxfId="17148" priority="3830" stopIfTrue="1" operator="equal">
      <formula>"Napkin Hs"</formula>
    </cfRule>
  </conditionalFormatting>
  <conditionalFormatting sqref="C108">
    <cfRule type="cellIs" dxfId="17147" priority="3837" stopIfTrue="1" operator="equal">
      <formula>"Towel"</formula>
    </cfRule>
    <cfRule type="cellIs" dxfId="17146" priority="3838" stopIfTrue="1" operator="equal">
      <formula>"Napkin Hs"</formula>
    </cfRule>
  </conditionalFormatting>
  <conditionalFormatting sqref="C108">
    <cfRule type="cellIs" dxfId="17145" priority="3839" stopIfTrue="1" operator="equal">
      <formula>"Towel"</formula>
    </cfRule>
    <cfRule type="cellIs" dxfId="17144" priority="3840" stopIfTrue="1" operator="equal">
      <formula>"Napkin Hs"</formula>
    </cfRule>
  </conditionalFormatting>
  <conditionalFormatting sqref="B108:C108">
    <cfRule type="cellIs" dxfId="17143" priority="3827" stopIfTrue="1" operator="equal">
      <formula>"Towel"</formula>
    </cfRule>
    <cfRule type="cellIs" dxfId="17142" priority="3828" stopIfTrue="1" operator="equal">
      <formula>"Napkin Hs"</formula>
    </cfRule>
  </conditionalFormatting>
  <conditionalFormatting sqref="C108">
    <cfRule type="cellIs" dxfId="17141" priority="3826" stopIfTrue="1" operator="equal">
      <formula>"Napkin Hs"</formula>
    </cfRule>
  </conditionalFormatting>
  <conditionalFormatting sqref="C108">
    <cfRule type="cellIs" dxfId="17140" priority="3825" stopIfTrue="1" operator="equal">
      <formula>"Towel"</formula>
    </cfRule>
  </conditionalFormatting>
  <conditionalFormatting sqref="C108">
    <cfRule type="cellIs" dxfId="17139" priority="3823" stopIfTrue="1" operator="equal">
      <formula>"Towel"</formula>
    </cfRule>
    <cfRule type="cellIs" dxfId="17138" priority="3824" stopIfTrue="1" operator="equal">
      <formula>"Napkin Hs"</formula>
    </cfRule>
  </conditionalFormatting>
  <conditionalFormatting sqref="C107">
    <cfRule type="cellIs" dxfId="17137" priority="3815" stopIfTrue="1" operator="equal">
      <formula>"Towel"</formula>
    </cfRule>
    <cfRule type="cellIs" dxfId="17136" priority="3816" stopIfTrue="1" operator="equal">
      <formula>"Napkin Hs"</formula>
    </cfRule>
  </conditionalFormatting>
  <conditionalFormatting sqref="C107">
    <cfRule type="cellIs" dxfId="17135" priority="3813" stopIfTrue="1" operator="equal">
      <formula>"Towel"</formula>
    </cfRule>
    <cfRule type="cellIs" dxfId="17134" priority="3814" stopIfTrue="1" operator="equal">
      <formula>"Napkin Hs"</formula>
    </cfRule>
  </conditionalFormatting>
  <conditionalFormatting sqref="B107:C107">
    <cfRule type="cellIs" dxfId="17133" priority="3811" stopIfTrue="1" operator="equal">
      <formula>"Towel"</formula>
    </cfRule>
    <cfRule type="cellIs" dxfId="17132" priority="3812" stopIfTrue="1" operator="equal">
      <formula>"Napkin Hs"</formula>
    </cfRule>
  </conditionalFormatting>
  <conditionalFormatting sqref="B107:C107">
    <cfRule type="cellIs" dxfId="17131" priority="3821" stopIfTrue="1" operator="equal">
      <formula>"Towel"</formula>
    </cfRule>
    <cfRule type="cellIs" dxfId="17130" priority="3822" stopIfTrue="1" operator="equal">
      <formula>"Napkin Hs"</formula>
    </cfRule>
  </conditionalFormatting>
  <conditionalFormatting sqref="C107">
    <cfRule type="cellIs" dxfId="17129" priority="3819" stopIfTrue="1" operator="equal">
      <formula>"Towel"</formula>
    </cfRule>
    <cfRule type="cellIs" dxfId="17128" priority="3820" stopIfTrue="1" operator="equal">
      <formula>"Napkin Hs"</formula>
    </cfRule>
  </conditionalFormatting>
  <conditionalFormatting sqref="C107">
    <cfRule type="cellIs" dxfId="17127" priority="3817" stopIfTrue="1" operator="equal">
      <formula>"Towel"</formula>
    </cfRule>
    <cfRule type="cellIs" dxfId="17126" priority="3818" stopIfTrue="1" operator="equal">
      <formula>"Napkin Hs"</formula>
    </cfRule>
  </conditionalFormatting>
  <conditionalFormatting sqref="C107">
    <cfRule type="cellIs" dxfId="17125" priority="3809" stopIfTrue="1" operator="equal">
      <formula>"Towel"</formula>
    </cfRule>
    <cfRule type="cellIs" dxfId="17124" priority="3810" stopIfTrue="1" operator="equal">
      <formula>"Napkin Hs"</formula>
    </cfRule>
  </conditionalFormatting>
  <conditionalFormatting sqref="C107">
    <cfRule type="cellIs" dxfId="17123" priority="3807" stopIfTrue="1" operator="equal">
      <formula>"Towel"</formula>
    </cfRule>
    <cfRule type="cellIs" dxfId="17122" priority="3808" stopIfTrue="1" operator="equal">
      <formula>"Napkin Hs"</formula>
    </cfRule>
  </conditionalFormatting>
  <conditionalFormatting sqref="B107:C107">
    <cfRule type="cellIs" dxfId="17121" priority="3805" stopIfTrue="1" operator="equal">
      <formula>"Towel"</formula>
    </cfRule>
    <cfRule type="cellIs" dxfId="17120" priority="3806" stopIfTrue="1" operator="equal">
      <formula>"Napkin Hs"</formula>
    </cfRule>
  </conditionalFormatting>
  <conditionalFormatting sqref="B107:C107">
    <cfRule type="cellIs" dxfId="17119" priority="3803" stopIfTrue="1" operator="equal">
      <formula>"Towel"</formula>
    </cfRule>
    <cfRule type="cellIs" dxfId="17118" priority="3804" stopIfTrue="1" operator="equal">
      <formula>"Napkin Hs"</formula>
    </cfRule>
  </conditionalFormatting>
  <conditionalFormatting sqref="C107">
    <cfRule type="cellIs" dxfId="17117" priority="3801" stopIfTrue="1" operator="equal">
      <formula>"Towel"</formula>
    </cfRule>
    <cfRule type="cellIs" dxfId="17116" priority="3802" stopIfTrue="1" operator="equal">
      <formula>"Napkin Hs"</formula>
    </cfRule>
  </conditionalFormatting>
  <conditionalFormatting sqref="C107">
    <cfRule type="cellIs" dxfId="17115" priority="3799" stopIfTrue="1" operator="equal">
      <formula>"Towel"</formula>
    </cfRule>
    <cfRule type="cellIs" dxfId="17114" priority="3800" stopIfTrue="1" operator="equal">
      <formula>"Napkin Hs"</formula>
    </cfRule>
  </conditionalFormatting>
  <conditionalFormatting sqref="C107">
    <cfRule type="cellIs" dxfId="17113" priority="3791" stopIfTrue="1" operator="equal">
      <formula>"Towel"</formula>
    </cfRule>
    <cfRule type="cellIs" dxfId="17112" priority="3792" stopIfTrue="1" operator="equal">
      <formula>"Napkin Hs"</formula>
    </cfRule>
  </conditionalFormatting>
  <conditionalFormatting sqref="B107:C107">
    <cfRule type="cellIs" dxfId="17111" priority="3793" stopIfTrue="1" operator="equal">
      <formula>"Towel"</formula>
    </cfRule>
    <cfRule type="cellIs" dxfId="17110" priority="3794" stopIfTrue="1" operator="equal">
      <formula>"Napkin Hs"</formula>
    </cfRule>
  </conditionalFormatting>
  <conditionalFormatting sqref="C107">
    <cfRule type="cellIs" dxfId="17109" priority="3789" stopIfTrue="1" operator="equal">
      <formula>"Towel"</formula>
    </cfRule>
    <cfRule type="cellIs" dxfId="17108" priority="3790" stopIfTrue="1" operator="equal">
      <formula>"Napkin Hs"</formula>
    </cfRule>
  </conditionalFormatting>
  <conditionalFormatting sqref="B107:C107">
    <cfRule type="cellIs" dxfId="17107" priority="3787" stopIfTrue="1" operator="equal">
      <formula>"Towel"</formula>
    </cfRule>
    <cfRule type="cellIs" dxfId="17106" priority="3788" stopIfTrue="1" operator="equal">
      <formula>"Napkin Hs"</formula>
    </cfRule>
  </conditionalFormatting>
  <conditionalFormatting sqref="C107">
    <cfRule type="cellIs" dxfId="17105" priority="3795" stopIfTrue="1" operator="equal">
      <formula>"Towel"</formula>
    </cfRule>
    <cfRule type="cellIs" dxfId="17104" priority="3796" stopIfTrue="1" operator="equal">
      <formula>"Napkin Hs"</formula>
    </cfRule>
  </conditionalFormatting>
  <conditionalFormatting sqref="C107">
    <cfRule type="cellIs" dxfId="17103" priority="3797" stopIfTrue="1" operator="equal">
      <formula>"Towel"</formula>
    </cfRule>
    <cfRule type="cellIs" dxfId="17102" priority="3798" stopIfTrue="1" operator="equal">
      <formula>"Napkin Hs"</formula>
    </cfRule>
  </conditionalFormatting>
  <conditionalFormatting sqref="B107:C107">
    <cfRule type="cellIs" dxfId="17101" priority="3785" stopIfTrue="1" operator="equal">
      <formula>"Towel"</formula>
    </cfRule>
    <cfRule type="cellIs" dxfId="17100" priority="3786" stopIfTrue="1" operator="equal">
      <formula>"Napkin Hs"</formula>
    </cfRule>
  </conditionalFormatting>
  <conditionalFormatting sqref="C107">
    <cfRule type="cellIs" dxfId="17099" priority="3784" stopIfTrue="1" operator="equal">
      <formula>"Napkin Hs"</formula>
    </cfRule>
  </conditionalFormatting>
  <conditionalFormatting sqref="C107">
    <cfRule type="cellIs" dxfId="17098" priority="3783" stopIfTrue="1" operator="equal">
      <formula>"Towel"</formula>
    </cfRule>
  </conditionalFormatting>
  <conditionalFormatting sqref="C107">
    <cfRule type="cellIs" dxfId="17097" priority="3781" stopIfTrue="1" operator="equal">
      <formula>"Towel"</formula>
    </cfRule>
    <cfRule type="cellIs" dxfId="17096" priority="3782" stopIfTrue="1" operator="equal">
      <formula>"Napkin Hs"</formula>
    </cfRule>
  </conditionalFormatting>
  <conditionalFormatting sqref="B107:C107">
    <cfRule type="cellIs" dxfId="17095" priority="3779" stopIfTrue="1" operator="equal">
      <formula>"Towel"</formula>
    </cfRule>
    <cfRule type="cellIs" dxfId="17094" priority="3780" stopIfTrue="1" operator="equal">
      <formula>"Napkin Hs"</formula>
    </cfRule>
  </conditionalFormatting>
  <conditionalFormatting sqref="C107">
    <cfRule type="cellIs" dxfId="17093" priority="3775" stopIfTrue="1" operator="equal">
      <formula>"Towel"</formula>
    </cfRule>
    <cfRule type="cellIs" dxfId="17092" priority="3776" stopIfTrue="1" operator="equal">
      <formula>"Napkin Hs"</formula>
    </cfRule>
  </conditionalFormatting>
  <conditionalFormatting sqref="C107">
    <cfRule type="cellIs" dxfId="17091" priority="3777" stopIfTrue="1" operator="equal">
      <formula>"Towel"</formula>
    </cfRule>
    <cfRule type="cellIs" dxfId="17090" priority="3778" stopIfTrue="1" operator="equal">
      <formula>"Napkin Hs"</formula>
    </cfRule>
  </conditionalFormatting>
  <conditionalFormatting sqref="B107:C107">
    <cfRule type="cellIs" dxfId="17089" priority="3773" stopIfTrue="1" operator="equal">
      <formula>"Towel"</formula>
    </cfRule>
    <cfRule type="cellIs" dxfId="17088" priority="3774" stopIfTrue="1" operator="equal">
      <formula>"Napkin Hs"</formula>
    </cfRule>
  </conditionalFormatting>
  <conditionalFormatting sqref="C107">
    <cfRule type="cellIs" dxfId="17087" priority="3771" stopIfTrue="1" operator="equal">
      <formula>"Towel"</formula>
    </cfRule>
    <cfRule type="cellIs" dxfId="17086" priority="3772" stopIfTrue="1" operator="equal">
      <formula>"Napkin Hs"</formula>
    </cfRule>
  </conditionalFormatting>
  <conditionalFormatting sqref="C107">
    <cfRule type="cellIs" dxfId="17085" priority="3769" stopIfTrue="1" operator="equal">
      <formula>"Towel"</formula>
    </cfRule>
    <cfRule type="cellIs" dxfId="17084" priority="3770" stopIfTrue="1" operator="equal">
      <formula>"Napkin Hs"</formula>
    </cfRule>
  </conditionalFormatting>
  <conditionalFormatting sqref="C107">
    <cfRule type="cellIs" dxfId="17083" priority="3761" stopIfTrue="1" operator="equal">
      <formula>"Towel"</formula>
    </cfRule>
    <cfRule type="cellIs" dxfId="17082" priority="3762" stopIfTrue="1" operator="equal">
      <formula>"Napkin Hs"</formula>
    </cfRule>
  </conditionalFormatting>
  <conditionalFormatting sqref="B107:C107">
    <cfRule type="cellIs" dxfId="17081" priority="3763" stopIfTrue="1" operator="equal">
      <formula>"Towel"</formula>
    </cfRule>
    <cfRule type="cellIs" dxfId="17080" priority="3764" stopIfTrue="1" operator="equal">
      <formula>"Napkin Hs"</formula>
    </cfRule>
  </conditionalFormatting>
  <conditionalFormatting sqref="C107">
    <cfRule type="cellIs" dxfId="17079" priority="3759" stopIfTrue="1" operator="equal">
      <formula>"Towel"</formula>
    </cfRule>
    <cfRule type="cellIs" dxfId="17078" priority="3760" stopIfTrue="1" operator="equal">
      <formula>"Napkin Hs"</formula>
    </cfRule>
  </conditionalFormatting>
  <conditionalFormatting sqref="B107:C107">
    <cfRule type="cellIs" dxfId="17077" priority="3757" stopIfTrue="1" operator="equal">
      <formula>"Towel"</formula>
    </cfRule>
    <cfRule type="cellIs" dxfId="17076" priority="3758" stopIfTrue="1" operator="equal">
      <formula>"Napkin Hs"</formula>
    </cfRule>
  </conditionalFormatting>
  <conditionalFormatting sqref="C107">
    <cfRule type="cellIs" dxfId="17075" priority="3765" stopIfTrue="1" operator="equal">
      <formula>"Towel"</formula>
    </cfRule>
    <cfRule type="cellIs" dxfId="17074" priority="3766" stopIfTrue="1" operator="equal">
      <formula>"Napkin Hs"</formula>
    </cfRule>
  </conditionalFormatting>
  <conditionalFormatting sqref="C107">
    <cfRule type="cellIs" dxfId="17073" priority="3767" stopIfTrue="1" operator="equal">
      <formula>"Towel"</formula>
    </cfRule>
    <cfRule type="cellIs" dxfId="17072" priority="3768" stopIfTrue="1" operator="equal">
      <formula>"Napkin Hs"</formula>
    </cfRule>
  </conditionalFormatting>
  <conditionalFormatting sqref="B107:C107">
    <cfRule type="cellIs" dxfId="17071" priority="3755" stopIfTrue="1" operator="equal">
      <formula>"Towel"</formula>
    </cfRule>
    <cfRule type="cellIs" dxfId="17070" priority="3756" stopIfTrue="1" operator="equal">
      <formula>"Napkin Hs"</formula>
    </cfRule>
  </conditionalFormatting>
  <conditionalFormatting sqref="C107">
    <cfRule type="cellIs" dxfId="17069" priority="3754" stopIfTrue="1" operator="equal">
      <formula>"Napkin Hs"</formula>
    </cfRule>
  </conditionalFormatting>
  <conditionalFormatting sqref="C107">
    <cfRule type="cellIs" dxfId="17068" priority="3753" stopIfTrue="1" operator="equal">
      <formula>"Towel"</formula>
    </cfRule>
  </conditionalFormatting>
  <conditionalFormatting sqref="C107">
    <cfRule type="cellIs" dxfId="17067" priority="3751" stopIfTrue="1" operator="equal">
      <formula>"Towel"</formula>
    </cfRule>
    <cfRule type="cellIs" dxfId="17066" priority="3752" stopIfTrue="1" operator="equal">
      <formula>"Napkin Hs"</formula>
    </cfRule>
  </conditionalFormatting>
  <conditionalFormatting sqref="B107:C107">
    <cfRule type="cellIs" dxfId="17065" priority="3749" stopIfTrue="1" operator="equal">
      <formula>"Towel"</formula>
    </cfRule>
    <cfRule type="cellIs" dxfId="17064" priority="3750" stopIfTrue="1" operator="equal">
      <formula>"Napkin Hs"</formula>
    </cfRule>
  </conditionalFormatting>
  <conditionalFormatting sqref="C107">
    <cfRule type="cellIs" dxfId="17063" priority="3745" stopIfTrue="1" operator="equal">
      <formula>"Towel"</formula>
    </cfRule>
    <cfRule type="cellIs" dxfId="17062" priority="3746" stopIfTrue="1" operator="equal">
      <formula>"Napkin Hs"</formula>
    </cfRule>
  </conditionalFormatting>
  <conditionalFormatting sqref="C107">
    <cfRule type="cellIs" dxfId="17061" priority="3747" stopIfTrue="1" operator="equal">
      <formula>"Towel"</formula>
    </cfRule>
    <cfRule type="cellIs" dxfId="17060" priority="3748" stopIfTrue="1" operator="equal">
      <formula>"Napkin Hs"</formula>
    </cfRule>
  </conditionalFormatting>
  <conditionalFormatting sqref="B107:C107">
    <cfRule type="cellIs" dxfId="17059" priority="3743" stopIfTrue="1" operator="equal">
      <formula>"Towel"</formula>
    </cfRule>
    <cfRule type="cellIs" dxfId="17058" priority="3744" stopIfTrue="1" operator="equal">
      <formula>"Napkin Hs"</formula>
    </cfRule>
  </conditionalFormatting>
  <conditionalFormatting sqref="C107">
    <cfRule type="cellIs" dxfId="17057" priority="3742" stopIfTrue="1" operator="equal">
      <formula>"Napkin Hs"</formula>
    </cfRule>
  </conditionalFormatting>
  <conditionalFormatting sqref="C107">
    <cfRule type="cellIs" dxfId="17056" priority="3741" stopIfTrue="1" operator="equal">
      <formula>"Towel"</formula>
    </cfRule>
  </conditionalFormatting>
  <conditionalFormatting sqref="C107">
    <cfRule type="cellIs" dxfId="17055" priority="3739" stopIfTrue="1" operator="equal">
      <formula>"Towel"</formula>
    </cfRule>
    <cfRule type="cellIs" dxfId="17054" priority="3740" stopIfTrue="1" operator="equal">
      <formula>"Napkin Hs"</formula>
    </cfRule>
  </conditionalFormatting>
  <conditionalFormatting sqref="B107:C107">
    <cfRule type="cellIs" dxfId="17053" priority="3737" stopIfTrue="1" operator="equal">
      <formula>"Towel"</formula>
    </cfRule>
    <cfRule type="cellIs" dxfId="17052" priority="3738" stopIfTrue="1" operator="equal">
      <formula>"Napkin Hs"</formula>
    </cfRule>
  </conditionalFormatting>
  <conditionalFormatting sqref="C107">
    <cfRule type="cellIs" dxfId="17051" priority="3733" stopIfTrue="1" operator="equal">
      <formula>"Towel"</formula>
    </cfRule>
    <cfRule type="cellIs" dxfId="17050" priority="3734" stopIfTrue="1" operator="equal">
      <formula>"Napkin Hs"</formula>
    </cfRule>
  </conditionalFormatting>
  <conditionalFormatting sqref="C107">
    <cfRule type="cellIs" dxfId="17049" priority="3735" stopIfTrue="1" operator="equal">
      <formula>"Towel"</formula>
    </cfRule>
    <cfRule type="cellIs" dxfId="17048" priority="3736" stopIfTrue="1" operator="equal">
      <formula>"Napkin Hs"</formula>
    </cfRule>
  </conditionalFormatting>
  <conditionalFormatting sqref="B107:C107">
    <cfRule type="cellIs" dxfId="17047" priority="3731" stopIfTrue="1" operator="equal">
      <formula>"Towel"</formula>
    </cfRule>
    <cfRule type="cellIs" dxfId="17046" priority="3732" stopIfTrue="1" operator="equal">
      <formula>"Napkin Hs"</formula>
    </cfRule>
  </conditionalFormatting>
  <conditionalFormatting sqref="C107">
    <cfRule type="cellIs" dxfId="17045" priority="3730" stopIfTrue="1" operator="equal">
      <formula>"Napkin Hs"</formula>
    </cfRule>
  </conditionalFormatting>
  <conditionalFormatting sqref="C107">
    <cfRule type="cellIs" dxfId="17044" priority="3729" stopIfTrue="1" operator="equal">
      <formula>"Towel"</formula>
    </cfRule>
  </conditionalFormatting>
  <conditionalFormatting sqref="C107">
    <cfRule type="cellIs" dxfId="17043" priority="3727" stopIfTrue="1" operator="equal">
      <formula>"Towel"</formula>
    </cfRule>
    <cfRule type="cellIs" dxfId="17042" priority="3728" stopIfTrue="1" operator="equal">
      <formula>"Napkin Hs"</formula>
    </cfRule>
  </conditionalFormatting>
  <conditionalFormatting sqref="C107">
    <cfRule type="cellIs" dxfId="17041" priority="3719" stopIfTrue="1" operator="equal">
      <formula>"Towel"</formula>
    </cfRule>
    <cfRule type="cellIs" dxfId="17040" priority="3720" stopIfTrue="1" operator="equal">
      <formula>"Napkin Hs"</formula>
    </cfRule>
  </conditionalFormatting>
  <conditionalFormatting sqref="B107:C107">
    <cfRule type="cellIs" dxfId="17039" priority="3721" stopIfTrue="1" operator="equal">
      <formula>"Towel"</formula>
    </cfRule>
    <cfRule type="cellIs" dxfId="17038" priority="3722" stopIfTrue="1" operator="equal">
      <formula>"Napkin Hs"</formula>
    </cfRule>
  </conditionalFormatting>
  <conditionalFormatting sqref="C107">
    <cfRule type="cellIs" dxfId="17037" priority="3717" stopIfTrue="1" operator="equal">
      <formula>"Towel"</formula>
    </cfRule>
    <cfRule type="cellIs" dxfId="17036" priority="3718" stopIfTrue="1" operator="equal">
      <formula>"Napkin Hs"</formula>
    </cfRule>
  </conditionalFormatting>
  <conditionalFormatting sqref="B107:C107">
    <cfRule type="cellIs" dxfId="17035" priority="3715" stopIfTrue="1" operator="equal">
      <formula>"Towel"</formula>
    </cfRule>
    <cfRule type="cellIs" dxfId="17034" priority="3716" stopIfTrue="1" operator="equal">
      <formula>"Napkin Hs"</formula>
    </cfRule>
  </conditionalFormatting>
  <conditionalFormatting sqref="C107">
    <cfRule type="cellIs" dxfId="17033" priority="3723" stopIfTrue="1" operator="equal">
      <formula>"Towel"</formula>
    </cfRule>
    <cfRule type="cellIs" dxfId="17032" priority="3724" stopIfTrue="1" operator="equal">
      <formula>"Napkin Hs"</formula>
    </cfRule>
  </conditionalFormatting>
  <conditionalFormatting sqref="C107">
    <cfRule type="cellIs" dxfId="17031" priority="3725" stopIfTrue="1" operator="equal">
      <formula>"Towel"</formula>
    </cfRule>
    <cfRule type="cellIs" dxfId="17030" priority="3726" stopIfTrue="1" operator="equal">
      <formula>"Napkin Hs"</formula>
    </cfRule>
  </conditionalFormatting>
  <conditionalFormatting sqref="B107:C107">
    <cfRule type="cellIs" dxfId="17029" priority="3713" stopIfTrue="1" operator="equal">
      <formula>"Towel"</formula>
    </cfRule>
    <cfRule type="cellIs" dxfId="17028" priority="3714" stopIfTrue="1" operator="equal">
      <formula>"Napkin Hs"</formula>
    </cfRule>
  </conditionalFormatting>
  <conditionalFormatting sqref="C107">
    <cfRule type="cellIs" dxfId="17027" priority="3709" stopIfTrue="1" operator="equal">
      <formula>"Towel"</formula>
    </cfRule>
    <cfRule type="cellIs" dxfId="17026" priority="3710" stopIfTrue="1" operator="equal">
      <formula>"Napkin Hs"</formula>
    </cfRule>
  </conditionalFormatting>
  <conditionalFormatting sqref="C107">
    <cfRule type="cellIs" dxfId="17025" priority="3711" stopIfTrue="1" operator="equal">
      <formula>"Towel"</formula>
    </cfRule>
    <cfRule type="cellIs" dxfId="17024" priority="3712" stopIfTrue="1" operator="equal">
      <formula>"Napkin Hs"</formula>
    </cfRule>
  </conditionalFormatting>
  <conditionalFormatting sqref="C107">
    <cfRule type="cellIs" dxfId="17023" priority="3701" stopIfTrue="1" operator="equal">
      <formula>"Towel"</formula>
    </cfRule>
    <cfRule type="cellIs" dxfId="17022" priority="3702" stopIfTrue="1" operator="equal">
      <formula>"Napkin Hs"</formula>
    </cfRule>
  </conditionalFormatting>
  <conditionalFormatting sqref="B107:C107">
    <cfRule type="cellIs" dxfId="17021" priority="3703" stopIfTrue="1" operator="equal">
      <formula>"Towel"</formula>
    </cfRule>
    <cfRule type="cellIs" dxfId="17020" priority="3704" stopIfTrue="1" operator="equal">
      <formula>"Napkin Hs"</formula>
    </cfRule>
  </conditionalFormatting>
  <conditionalFormatting sqref="C107">
    <cfRule type="cellIs" dxfId="17019" priority="3699" stopIfTrue="1" operator="equal">
      <formula>"Towel"</formula>
    </cfRule>
    <cfRule type="cellIs" dxfId="17018" priority="3700" stopIfTrue="1" operator="equal">
      <formula>"Napkin Hs"</formula>
    </cfRule>
  </conditionalFormatting>
  <conditionalFormatting sqref="B107:C107">
    <cfRule type="cellIs" dxfId="17017" priority="3697" stopIfTrue="1" operator="equal">
      <formula>"Towel"</formula>
    </cfRule>
    <cfRule type="cellIs" dxfId="17016" priority="3698" stopIfTrue="1" operator="equal">
      <formula>"Napkin Hs"</formula>
    </cfRule>
  </conditionalFormatting>
  <conditionalFormatting sqref="C107">
    <cfRule type="cellIs" dxfId="17015" priority="3705" stopIfTrue="1" operator="equal">
      <formula>"Towel"</formula>
    </cfRule>
    <cfRule type="cellIs" dxfId="17014" priority="3706" stopIfTrue="1" operator="equal">
      <formula>"Napkin Hs"</formula>
    </cfRule>
  </conditionalFormatting>
  <conditionalFormatting sqref="C107">
    <cfRule type="cellIs" dxfId="17013" priority="3707" stopIfTrue="1" operator="equal">
      <formula>"Towel"</formula>
    </cfRule>
    <cfRule type="cellIs" dxfId="17012" priority="3708" stopIfTrue="1" operator="equal">
      <formula>"Napkin Hs"</formula>
    </cfRule>
  </conditionalFormatting>
  <conditionalFormatting sqref="B107:C107">
    <cfRule type="cellIs" dxfId="17011" priority="3695" stopIfTrue="1" operator="equal">
      <formula>"Towel"</formula>
    </cfRule>
    <cfRule type="cellIs" dxfId="17010" priority="3696" stopIfTrue="1" operator="equal">
      <formula>"Napkin Hs"</formula>
    </cfRule>
  </conditionalFormatting>
  <conditionalFormatting sqref="C107">
    <cfRule type="cellIs" dxfId="17009" priority="3694" stopIfTrue="1" operator="equal">
      <formula>"Napkin Hs"</formula>
    </cfRule>
  </conditionalFormatting>
  <conditionalFormatting sqref="C107">
    <cfRule type="cellIs" dxfId="17008" priority="3693" stopIfTrue="1" operator="equal">
      <formula>"Towel"</formula>
    </cfRule>
  </conditionalFormatting>
  <conditionalFormatting sqref="C107">
    <cfRule type="cellIs" dxfId="17007" priority="3691" stopIfTrue="1" operator="equal">
      <formula>"Towel"</formula>
    </cfRule>
    <cfRule type="cellIs" dxfId="17006" priority="3692" stopIfTrue="1" operator="equal">
      <formula>"Napkin Hs"</formula>
    </cfRule>
  </conditionalFormatting>
  <conditionalFormatting sqref="B117:C117">
    <cfRule type="cellIs" dxfId="17005" priority="3687" stopIfTrue="1" operator="equal">
      <formula>"Towel"</formula>
    </cfRule>
    <cfRule type="cellIs" dxfId="17004" priority="3688" stopIfTrue="1" operator="equal">
      <formula>"Napkin Hs"</formula>
    </cfRule>
  </conditionalFormatting>
  <conditionalFormatting sqref="C117">
    <cfRule type="cellIs" dxfId="17003" priority="3689" stopIfTrue="1" operator="equal">
      <formula>"Towel"</formula>
    </cfRule>
    <cfRule type="cellIs" dxfId="17002" priority="3690" stopIfTrue="1" operator="equal">
      <formula>"Napkin Hs"</formula>
    </cfRule>
  </conditionalFormatting>
  <conditionalFormatting sqref="C117">
    <cfRule type="cellIs" dxfId="17001" priority="3685" stopIfTrue="1" operator="equal">
      <formula>"Towel"</formula>
    </cfRule>
    <cfRule type="cellIs" dxfId="17000" priority="3686" stopIfTrue="1" operator="equal">
      <formula>"Napkin Hs"</formula>
    </cfRule>
  </conditionalFormatting>
  <conditionalFormatting sqref="B116:C116">
    <cfRule type="cellIs" dxfId="16999" priority="3681" stopIfTrue="1" operator="equal">
      <formula>"Towel"</formula>
    </cfRule>
    <cfRule type="cellIs" dxfId="16998" priority="3682" stopIfTrue="1" operator="equal">
      <formula>"Napkin Hs"</formula>
    </cfRule>
  </conditionalFormatting>
  <conditionalFormatting sqref="C116">
    <cfRule type="cellIs" dxfId="16997" priority="3683" stopIfTrue="1" operator="equal">
      <formula>"Towel"</formula>
    </cfRule>
    <cfRule type="cellIs" dxfId="16996" priority="3684" stopIfTrue="1" operator="equal">
      <formula>"Napkin Hs"</formula>
    </cfRule>
  </conditionalFormatting>
  <conditionalFormatting sqref="C116">
    <cfRule type="cellIs" dxfId="16995" priority="3679" stopIfTrue="1" operator="equal">
      <formula>"Towel"</formula>
    </cfRule>
    <cfRule type="cellIs" dxfId="16994" priority="3680" stopIfTrue="1" operator="equal">
      <formula>"Napkin Hs"</formula>
    </cfRule>
  </conditionalFormatting>
  <conditionalFormatting sqref="B115:C115">
    <cfRule type="cellIs" dxfId="16993" priority="3677" stopIfTrue="1" operator="equal">
      <formula>"Towel"</formula>
    </cfRule>
    <cfRule type="cellIs" dxfId="16992" priority="3678" stopIfTrue="1" operator="equal">
      <formula>"Napkin Hs"</formula>
    </cfRule>
  </conditionalFormatting>
  <conditionalFormatting sqref="C115">
    <cfRule type="cellIs" dxfId="16991" priority="3673" stopIfTrue="1" operator="equal">
      <formula>"Towel"</formula>
    </cfRule>
    <cfRule type="cellIs" dxfId="16990" priority="3674" stopIfTrue="1" operator="equal">
      <formula>"Napkin Hs"</formula>
    </cfRule>
  </conditionalFormatting>
  <conditionalFormatting sqref="C115">
    <cfRule type="cellIs" dxfId="16989" priority="3675" stopIfTrue="1" operator="equal">
      <formula>"Towel"</formula>
    </cfRule>
    <cfRule type="cellIs" dxfId="16988" priority="3676" stopIfTrue="1" operator="equal">
      <formula>"Napkin Hs"</formula>
    </cfRule>
  </conditionalFormatting>
  <conditionalFormatting sqref="C114">
    <cfRule type="cellIs" dxfId="16987" priority="3665" stopIfTrue="1" operator="equal">
      <formula>"Towel"</formula>
    </cfRule>
    <cfRule type="cellIs" dxfId="16986" priority="3666" stopIfTrue="1" operator="equal">
      <formula>"Napkin Hs"</formula>
    </cfRule>
  </conditionalFormatting>
  <conditionalFormatting sqref="C114">
    <cfRule type="cellIs" dxfId="16985" priority="3663" stopIfTrue="1" operator="equal">
      <formula>"Towel"</formula>
    </cfRule>
    <cfRule type="cellIs" dxfId="16984" priority="3664" stopIfTrue="1" operator="equal">
      <formula>"Napkin Hs"</formula>
    </cfRule>
  </conditionalFormatting>
  <conditionalFormatting sqref="B114:C114">
    <cfRule type="cellIs" dxfId="16983" priority="3661" stopIfTrue="1" operator="equal">
      <formula>"Towel"</formula>
    </cfRule>
    <cfRule type="cellIs" dxfId="16982" priority="3662" stopIfTrue="1" operator="equal">
      <formula>"Napkin Hs"</formula>
    </cfRule>
  </conditionalFormatting>
  <conditionalFormatting sqref="B116:C116">
    <cfRule type="cellIs" dxfId="16981" priority="3653" stopIfTrue="1" operator="equal">
      <formula>"Towel"</formula>
    </cfRule>
    <cfRule type="cellIs" dxfId="16980" priority="3654" stopIfTrue="1" operator="equal">
      <formula>"Napkin Hs"</formula>
    </cfRule>
  </conditionalFormatting>
  <conditionalFormatting sqref="B114:C114">
    <cfRule type="cellIs" dxfId="16979" priority="3655" stopIfTrue="1" operator="equal">
      <formula>"Towel"</formula>
    </cfRule>
    <cfRule type="cellIs" dxfId="16978" priority="3656" stopIfTrue="1" operator="equal">
      <formula>"Napkin Hs"</formula>
    </cfRule>
  </conditionalFormatting>
  <conditionalFormatting sqref="C116">
    <cfRule type="cellIs" dxfId="16977" priority="3651" stopIfTrue="1" operator="equal">
      <formula>"Towel"</formula>
    </cfRule>
    <cfRule type="cellIs" dxfId="16976" priority="3652" stopIfTrue="1" operator="equal">
      <formula>"Napkin Hs"</formula>
    </cfRule>
  </conditionalFormatting>
  <conditionalFormatting sqref="C116">
    <cfRule type="cellIs" dxfId="16975" priority="3649" stopIfTrue="1" operator="equal">
      <formula>"Towel"</formula>
    </cfRule>
    <cfRule type="cellIs" dxfId="16974" priority="3650" stopIfTrue="1" operator="equal">
      <formula>"Napkin Hs"</formula>
    </cfRule>
  </conditionalFormatting>
  <conditionalFormatting sqref="C114">
    <cfRule type="cellIs" dxfId="16973" priority="3657" stopIfTrue="1" operator="equal">
      <formula>"Towel"</formula>
    </cfRule>
    <cfRule type="cellIs" dxfId="16972" priority="3658" stopIfTrue="1" operator="equal">
      <formula>"Napkin Hs"</formula>
    </cfRule>
  </conditionalFormatting>
  <conditionalFormatting sqref="C114">
    <cfRule type="cellIs" dxfId="16971" priority="3659" stopIfTrue="1" operator="equal">
      <formula>"Towel"</formula>
    </cfRule>
    <cfRule type="cellIs" dxfId="16970" priority="3660" stopIfTrue="1" operator="equal">
      <formula>"Napkin Hs"</formula>
    </cfRule>
  </conditionalFormatting>
  <conditionalFormatting sqref="B114:C114">
    <cfRule type="cellIs" dxfId="16969" priority="3671" stopIfTrue="1" operator="equal">
      <formula>"Towel"</formula>
    </cfRule>
    <cfRule type="cellIs" dxfId="16968" priority="3672" stopIfTrue="1" operator="equal">
      <formula>"Napkin Hs"</formula>
    </cfRule>
  </conditionalFormatting>
  <conditionalFormatting sqref="C114">
    <cfRule type="cellIs" dxfId="16967" priority="3669" stopIfTrue="1" operator="equal">
      <formula>"Towel"</formula>
    </cfRule>
    <cfRule type="cellIs" dxfId="16966" priority="3670" stopIfTrue="1" operator="equal">
      <formula>"Napkin Hs"</formula>
    </cfRule>
  </conditionalFormatting>
  <conditionalFormatting sqref="C114">
    <cfRule type="cellIs" dxfId="16965" priority="3667" stopIfTrue="1" operator="equal">
      <formula>"Towel"</formula>
    </cfRule>
    <cfRule type="cellIs" dxfId="16964" priority="3668" stopIfTrue="1" operator="equal">
      <formula>"Napkin Hs"</formula>
    </cfRule>
  </conditionalFormatting>
  <conditionalFormatting sqref="C114">
    <cfRule type="cellIs" dxfId="16963" priority="3635" stopIfTrue="1" operator="equal">
      <formula>"Towel"</formula>
    </cfRule>
    <cfRule type="cellIs" dxfId="16962" priority="3636" stopIfTrue="1" operator="equal">
      <formula>"Napkin Hs"</formula>
    </cfRule>
  </conditionalFormatting>
  <conditionalFormatting sqref="C114">
    <cfRule type="cellIs" dxfId="16961" priority="3633" stopIfTrue="1" operator="equal">
      <formula>"Towel"</formula>
    </cfRule>
    <cfRule type="cellIs" dxfId="16960" priority="3634" stopIfTrue="1" operator="equal">
      <formula>"Napkin Hs"</formula>
    </cfRule>
  </conditionalFormatting>
  <conditionalFormatting sqref="B114:C114">
    <cfRule type="cellIs" dxfId="16959" priority="3631" stopIfTrue="1" operator="equal">
      <formula>"Towel"</formula>
    </cfRule>
    <cfRule type="cellIs" dxfId="16958" priority="3632" stopIfTrue="1" operator="equal">
      <formula>"Napkin Hs"</formula>
    </cfRule>
  </conditionalFormatting>
  <conditionalFormatting sqref="C114">
    <cfRule type="cellIs" dxfId="16957" priority="3641" stopIfTrue="1" operator="equal">
      <formula>"Towel"</formula>
    </cfRule>
    <cfRule type="cellIs" dxfId="16956" priority="3642" stopIfTrue="1" operator="equal">
      <formula>"Napkin Hs"</formula>
    </cfRule>
  </conditionalFormatting>
  <conditionalFormatting sqref="C114">
    <cfRule type="cellIs" dxfId="16955" priority="3639" stopIfTrue="1" operator="equal">
      <formula>"Towel"</formula>
    </cfRule>
    <cfRule type="cellIs" dxfId="16954" priority="3640" stopIfTrue="1" operator="equal">
      <formula>"Napkin Hs"</formula>
    </cfRule>
  </conditionalFormatting>
  <conditionalFormatting sqref="B114:C114">
    <cfRule type="cellIs" dxfId="16953" priority="3637" stopIfTrue="1" operator="equal">
      <formula>"Towel"</formula>
    </cfRule>
    <cfRule type="cellIs" dxfId="16952" priority="3638" stopIfTrue="1" operator="equal">
      <formula>"Napkin Hs"</formula>
    </cfRule>
  </conditionalFormatting>
  <conditionalFormatting sqref="B115:C115">
    <cfRule type="cellIs" dxfId="16951" priority="3629" stopIfTrue="1" operator="equal">
      <formula>"Towel"</formula>
    </cfRule>
    <cfRule type="cellIs" dxfId="16950" priority="3630" stopIfTrue="1" operator="equal">
      <formula>"Napkin Hs"</formula>
    </cfRule>
  </conditionalFormatting>
  <conditionalFormatting sqref="C115">
    <cfRule type="cellIs" dxfId="16949" priority="3627" stopIfTrue="1" operator="equal">
      <formula>"Towel"</formula>
    </cfRule>
    <cfRule type="cellIs" dxfId="16948" priority="3628" stopIfTrue="1" operator="equal">
      <formula>"Napkin Hs"</formula>
    </cfRule>
  </conditionalFormatting>
  <conditionalFormatting sqref="C115">
    <cfRule type="cellIs" dxfId="16947" priority="3625" stopIfTrue="1" operator="equal">
      <formula>"Towel"</formula>
    </cfRule>
    <cfRule type="cellIs" dxfId="16946" priority="3626" stopIfTrue="1" operator="equal">
      <formula>"Napkin Hs"</formula>
    </cfRule>
  </conditionalFormatting>
  <conditionalFormatting sqref="B114:C114">
    <cfRule type="cellIs" dxfId="16945" priority="3647" stopIfTrue="1" operator="equal">
      <formula>"Towel"</formula>
    </cfRule>
    <cfRule type="cellIs" dxfId="16944" priority="3648" stopIfTrue="1" operator="equal">
      <formula>"Napkin Hs"</formula>
    </cfRule>
  </conditionalFormatting>
  <conditionalFormatting sqref="C114">
    <cfRule type="cellIs" dxfId="16943" priority="3645" stopIfTrue="1" operator="equal">
      <formula>"Towel"</formula>
    </cfRule>
    <cfRule type="cellIs" dxfId="16942" priority="3646" stopIfTrue="1" operator="equal">
      <formula>"Napkin Hs"</formula>
    </cfRule>
  </conditionalFormatting>
  <conditionalFormatting sqref="C114">
    <cfRule type="cellIs" dxfId="16941" priority="3643" stopIfTrue="1" operator="equal">
      <formula>"Towel"</formula>
    </cfRule>
    <cfRule type="cellIs" dxfId="16940" priority="3644" stopIfTrue="1" operator="equal">
      <formula>"Napkin Hs"</formula>
    </cfRule>
  </conditionalFormatting>
  <conditionalFormatting sqref="C115">
    <cfRule type="cellIs" dxfId="16939" priority="3617" stopIfTrue="1" operator="equal">
      <formula>"Towel"</formula>
    </cfRule>
    <cfRule type="cellIs" dxfId="16938" priority="3618" stopIfTrue="1" operator="equal">
      <formula>"Napkin Hs"</formula>
    </cfRule>
  </conditionalFormatting>
  <conditionalFormatting sqref="B115:C115">
    <cfRule type="cellIs" dxfId="16937" priority="3619" stopIfTrue="1" operator="equal">
      <formula>"Towel"</formula>
    </cfRule>
    <cfRule type="cellIs" dxfId="16936" priority="3620" stopIfTrue="1" operator="equal">
      <formula>"Napkin Hs"</formula>
    </cfRule>
  </conditionalFormatting>
  <conditionalFormatting sqref="C115">
    <cfRule type="cellIs" dxfId="16935" priority="3615" stopIfTrue="1" operator="equal">
      <formula>"Towel"</formula>
    </cfRule>
    <cfRule type="cellIs" dxfId="16934" priority="3616" stopIfTrue="1" operator="equal">
      <formula>"Napkin Hs"</formula>
    </cfRule>
  </conditionalFormatting>
  <conditionalFormatting sqref="B115:C115">
    <cfRule type="cellIs" dxfId="16933" priority="3613" stopIfTrue="1" operator="equal">
      <formula>"Towel"</formula>
    </cfRule>
    <cfRule type="cellIs" dxfId="16932" priority="3614" stopIfTrue="1" operator="equal">
      <formula>"Napkin Hs"</formula>
    </cfRule>
  </conditionalFormatting>
  <conditionalFormatting sqref="C115">
    <cfRule type="cellIs" dxfId="16931" priority="3621" stopIfTrue="1" operator="equal">
      <formula>"Towel"</formula>
    </cfRule>
    <cfRule type="cellIs" dxfId="16930" priority="3622" stopIfTrue="1" operator="equal">
      <formula>"Napkin Hs"</formula>
    </cfRule>
  </conditionalFormatting>
  <conditionalFormatting sqref="C115">
    <cfRule type="cellIs" dxfId="16929" priority="3623" stopIfTrue="1" operator="equal">
      <formula>"Towel"</formula>
    </cfRule>
    <cfRule type="cellIs" dxfId="16928" priority="3624" stopIfTrue="1" operator="equal">
      <formula>"Napkin Hs"</formula>
    </cfRule>
  </conditionalFormatting>
  <conditionalFormatting sqref="B113:C113">
    <cfRule type="cellIs" dxfId="16927" priority="3611" stopIfTrue="1" operator="equal">
      <formula>"Towel"</formula>
    </cfRule>
    <cfRule type="cellIs" dxfId="16926" priority="3612" stopIfTrue="1" operator="equal">
      <formula>"Napkin Hs"</formula>
    </cfRule>
  </conditionalFormatting>
  <conditionalFormatting sqref="C113">
    <cfRule type="cellIs" dxfId="16925" priority="3607" stopIfTrue="1" operator="equal">
      <formula>"Towel"</formula>
    </cfRule>
    <cfRule type="cellIs" dxfId="16924" priority="3608" stopIfTrue="1" operator="equal">
      <formula>"Napkin Hs"</formula>
    </cfRule>
  </conditionalFormatting>
  <conditionalFormatting sqref="C113">
    <cfRule type="cellIs" dxfId="16923" priority="3609" stopIfTrue="1" operator="equal">
      <formula>"Towel"</formula>
    </cfRule>
    <cfRule type="cellIs" dxfId="16922" priority="3610" stopIfTrue="1" operator="equal">
      <formula>"Napkin Hs"</formula>
    </cfRule>
  </conditionalFormatting>
  <conditionalFormatting sqref="B113:C113">
    <cfRule type="cellIs" dxfId="16921" priority="3605" stopIfTrue="1" operator="equal">
      <formula>"Towel"</formula>
    </cfRule>
    <cfRule type="cellIs" dxfId="16920" priority="3606" stopIfTrue="1" operator="equal">
      <formula>"Napkin Hs"</formula>
    </cfRule>
  </conditionalFormatting>
  <conditionalFormatting sqref="C113">
    <cfRule type="cellIs" dxfId="16919" priority="3603" stopIfTrue="1" operator="equal">
      <formula>"Towel"</formula>
    </cfRule>
    <cfRule type="cellIs" dxfId="16918" priority="3604" stopIfTrue="1" operator="equal">
      <formula>"Napkin Hs"</formula>
    </cfRule>
  </conditionalFormatting>
  <conditionalFormatting sqref="C113">
    <cfRule type="cellIs" dxfId="16917" priority="3601" stopIfTrue="1" operator="equal">
      <formula>"Towel"</formula>
    </cfRule>
    <cfRule type="cellIs" dxfId="16916" priority="3602" stopIfTrue="1" operator="equal">
      <formula>"Napkin Hs"</formula>
    </cfRule>
  </conditionalFormatting>
  <conditionalFormatting sqref="C113">
    <cfRule type="cellIs" dxfId="16915" priority="3593" stopIfTrue="1" operator="equal">
      <formula>"Towel"</formula>
    </cfRule>
    <cfRule type="cellIs" dxfId="16914" priority="3594" stopIfTrue="1" operator="equal">
      <formula>"Napkin Hs"</formula>
    </cfRule>
  </conditionalFormatting>
  <conditionalFormatting sqref="B113:C113">
    <cfRule type="cellIs" dxfId="16913" priority="3595" stopIfTrue="1" operator="equal">
      <formula>"Towel"</formula>
    </cfRule>
    <cfRule type="cellIs" dxfId="16912" priority="3596" stopIfTrue="1" operator="equal">
      <formula>"Napkin Hs"</formula>
    </cfRule>
  </conditionalFormatting>
  <conditionalFormatting sqref="C113">
    <cfRule type="cellIs" dxfId="16911" priority="3591" stopIfTrue="1" operator="equal">
      <formula>"Towel"</formula>
    </cfRule>
    <cfRule type="cellIs" dxfId="16910" priority="3592" stopIfTrue="1" operator="equal">
      <formula>"Napkin Hs"</formula>
    </cfRule>
  </conditionalFormatting>
  <conditionalFormatting sqref="B113:C113">
    <cfRule type="cellIs" dxfId="16909" priority="3589" stopIfTrue="1" operator="equal">
      <formula>"Towel"</formula>
    </cfRule>
    <cfRule type="cellIs" dxfId="16908" priority="3590" stopIfTrue="1" operator="equal">
      <formula>"Napkin Hs"</formula>
    </cfRule>
  </conditionalFormatting>
  <conditionalFormatting sqref="C113">
    <cfRule type="cellIs" dxfId="16907" priority="3597" stopIfTrue="1" operator="equal">
      <formula>"Towel"</formula>
    </cfRule>
    <cfRule type="cellIs" dxfId="16906" priority="3598" stopIfTrue="1" operator="equal">
      <formula>"Napkin Hs"</formula>
    </cfRule>
  </conditionalFormatting>
  <conditionalFormatting sqref="C113">
    <cfRule type="cellIs" dxfId="16905" priority="3599" stopIfTrue="1" operator="equal">
      <formula>"Towel"</formula>
    </cfRule>
    <cfRule type="cellIs" dxfId="16904" priority="3600" stopIfTrue="1" operator="equal">
      <formula>"Napkin Hs"</formula>
    </cfRule>
  </conditionalFormatting>
  <conditionalFormatting sqref="B114:C114">
    <cfRule type="cellIs" dxfId="16903" priority="3587" stopIfTrue="1" operator="equal">
      <formula>"Towel"</formula>
    </cfRule>
    <cfRule type="cellIs" dxfId="16902" priority="3588" stopIfTrue="1" operator="equal">
      <formula>"Napkin Hs"</formula>
    </cfRule>
  </conditionalFormatting>
  <conditionalFormatting sqref="C114">
    <cfRule type="cellIs" dxfId="16901" priority="3583" stopIfTrue="1" operator="equal">
      <formula>"Towel"</formula>
    </cfRule>
    <cfRule type="cellIs" dxfId="16900" priority="3584" stopIfTrue="1" operator="equal">
      <formula>"Napkin Hs"</formula>
    </cfRule>
  </conditionalFormatting>
  <conditionalFormatting sqref="C114">
    <cfRule type="cellIs" dxfId="16899" priority="3585" stopIfTrue="1" operator="equal">
      <formula>"Towel"</formula>
    </cfRule>
    <cfRule type="cellIs" dxfId="16898" priority="3586" stopIfTrue="1" operator="equal">
      <formula>"Napkin Hs"</formula>
    </cfRule>
  </conditionalFormatting>
  <conditionalFormatting sqref="C113">
    <cfRule type="cellIs" dxfId="16897" priority="3575" stopIfTrue="1" operator="equal">
      <formula>"Towel"</formula>
    </cfRule>
    <cfRule type="cellIs" dxfId="16896" priority="3576" stopIfTrue="1" operator="equal">
      <formula>"Napkin Hs"</formula>
    </cfRule>
  </conditionalFormatting>
  <conditionalFormatting sqref="C113">
    <cfRule type="cellIs" dxfId="16895" priority="3573" stopIfTrue="1" operator="equal">
      <formula>"Towel"</formula>
    </cfRule>
    <cfRule type="cellIs" dxfId="16894" priority="3574" stopIfTrue="1" operator="equal">
      <formula>"Napkin Hs"</formula>
    </cfRule>
  </conditionalFormatting>
  <conditionalFormatting sqref="B113:C113">
    <cfRule type="cellIs" dxfId="16893" priority="3571" stopIfTrue="1" operator="equal">
      <formula>"Towel"</formula>
    </cfRule>
    <cfRule type="cellIs" dxfId="16892" priority="3572" stopIfTrue="1" operator="equal">
      <formula>"Napkin Hs"</formula>
    </cfRule>
  </conditionalFormatting>
  <conditionalFormatting sqref="B113:C113">
    <cfRule type="cellIs" dxfId="16891" priority="3565" stopIfTrue="1" operator="equal">
      <formula>"Towel"</formula>
    </cfRule>
    <cfRule type="cellIs" dxfId="16890" priority="3566" stopIfTrue="1" operator="equal">
      <formula>"Napkin Hs"</formula>
    </cfRule>
  </conditionalFormatting>
  <conditionalFormatting sqref="C113">
    <cfRule type="cellIs" dxfId="16889" priority="3567" stopIfTrue="1" operator="equal">
      <formula>"Towel"</formula>
    </cfRule>
    <cfRule type="cellIs" dxfId="16888" priority="3568" stopIfTrue="1" operator="equal">
      <formula>"Napkin Hs"</formula>
    </cfRule>
  </conditionalFormatting>
  <conditionalFormatting sqref="C113">
    <cfRule type="cellIs" dxfId="16887" priority="3569" stopIfTrue="1" operator="equal">
      <formula>"Towel"</formula>
    </cfRule>
    <cfRule type="cellIs" dxfId="16886" priority="3570" stopIfTrue="1" operator="equal">
      <formula>"Napkin Hs"</formula>
    </cfRule>
  </conditionalFormatting>
  <conditionalFormatting sqref="B113:C113">
    <cfRule type="cellIs" dxfId="16885" priority="3581" stopIfTrue="1" operator="equal">
      <formula>"Towel"</formula>
    </cfRule>
    <cfRule type="cellIs" dxfId="16884" priority="3582" stopIfTrue="1" operator="equal">
      <formula>"Napkin Hs"</formula>
    </cfRule>
  </conditionalFormatting>
  <conditionalFormatting sqref="C113">
    <cfRule type="cellIs" dxfId="16883" priority="3579" stopIfTrue="1" operator="equal">
      <formula>"Towel"</formula>
    </cfRule>
    <cfRule type="cellIs" dxfId="16882" priority="3580" stopIfTrue="1" operator="equal">
      <formula>"Napkin Hs"</formula>
    </cfRule>
  </conditionalFormatting>
  <conditionalFormatting sqref="C113">
    <cfRule type="cellIs" dxfId="16881" priority="3577" stopIfTrue="1" operator="equal">
      <formula>"Towel"</formula>
    </cfRule>
    <cfRule type="cellIs" dxfId="16880" priority="3578" stopIfTrue="1" operator="equal">
      <formula>"Napkin Hs"</formula>
    </cfRule>
  </conditionalFormatting>
  <conditionalFormatting sqref="C113">
    <cfRule type="cellIs" dxfId="16879" priority="3551" stopIfTrue="1" operator="equal">
      <formula>"Towel"</formula>
    </cfRule>
    <cfRule type="cellIs" dxfId="16878" priority="3552" stopIfTrue="1" operator="equal">
      <formula>"Napkin Hs"</formula>
    </cfRule>
  </conditionalFormatting>
  <conditionalFormatting sqref="C113">
    <cfRule type="cellIs" dxfId="16877" priority="3549" stopIfTrue="1" operator="equal">
      <formula>"Towel"</formula>
    </cfRule>
    <cfRule type="cellIs" dxfId="16876" priority="3550" stopIfTrue="1" operator="equal">
      <formula>"Napkin Hs"</formula>
    </cfRule>
  </conditionalFormatting>
  <conditionalFormatting sqref="B113:C113">
    <cfRule type="cellIs" dxfId="16875" priority="3547" stopIfTrue="1" operator="equal">
      <formula>"Towel"</formula>
    </cfRule>
    <cfRule type="cellIs" dxfId="16874" priority="3548" stopIfTrue="1" operator="equal">
      <formula>"Napkin Hs"</formula>
    </cfRule>
  </conditionalFormatting>
  <conditionalFormatting sqref="C113">
    <cfRule type="cellIs" dxfId="16873" priority="3557" stopIfTrue="1" operator="equal">
      <formula>"Towel"</formula>
    </cfRule>
    <cfRule type="cellIs" dxfId="16872" priority="3558" stopIfTrue="1" operator="equal">
      <formula>"Napkin Hs"</formula>
    </cfRule>
  </conditionalFormatting>
  <conditionalFormatting sqref="C113">
    <cfRule type="cellIs" dxfId="16871" priority="3555" stopIfTrue="1" operator="equal">
      <formula>"Towel"</formula>
    </cfRule>
    <cfRule type="cellIs" dxfId="16870" priority="3556" stopIfTrue="1" operator="equal">
      <formula>"Napkin Hs"</formula>
    </cfRule>
  </conditionalFormatting>
  <conditionalFormatting sqref="B113:C113">
    <cfRule type="cellIs" dxfId="16869" priority="3553" stopIfTrue="1" operator="equal">
      <formula>"Towel"</formula>
    </cfRule>
    <cfRule type="cellIs" dxfId="16868" priority="3554" stopIfTrue="1" operator="equal">
      <formula>"Napkin Hs"</formula>
    </cfRule>
  </conditionalFormatting>
  <conditionalFormatting sqref="B114:C114">
    <cfRule type="cellIs" dxfId="16867" priority="3545" stopIfTrue="1" operator="equal">
      <formula>"Towel"</formula>
    </cfRule>
    <cfRule type="cellIs" dxfId="16866" priority="3546" stopIfTrue="1" operator="equal">
      <formula>"Napkin Hs"</formula>
    </cfRule>
  </conditionalFormatting>
  <conditionalFormatting sqref="C114">
    <cfRule type="cellIs" dxfId="16865" priority="3543" stopIfTrue="1" operator="equal">
      <formula>"Towel"</formula>
    </cfRule>
    <cfRule type="cellIs" dxfId="16864" priority="3544" stopIfTrue="1" operator="equal">
      <formula>"Napkin Hs"</formula>
    </cfRule>
  </conditionalFormatting>
  <conditionalFormatting sqref="C114">
    <cfRule type="cellIs" dxfId="16863" priority="3541" stopIfTrue="1" operator="equal">
      <formula>"Towel"</formula>
    </cfRule>
    <cfRule type="cellIs" dxfId="16862" priority="3542" stopIfTrue="1" operator="equal">
      <formula>"Napkin Hs"</formula>
    </cfRule>
  </conditionalFormatting>
  <conditionalFormatting sqref="B113:C113">
    <cfRule type="cellIs" dxfId="16861" priority="3563" stopIfTrue="1" operator="equal">
      <formula>"Towel"</formula>
    </cfRule>
    <cfRule type="cellIs" dxfId="16860" priority="3564" stopIfTrue="1" operator="equal">
      <formula>"Napkin Hs"</formula>
    </cfRule>
  </conditionalFormatting>
  <conditionalFormatting sqref="C113">
    <cfRule type="cellIs" dxfId="16859" priority="3561" stopIfTrue="1" operator="equal">
      <formula>"Towel"</formula>
    </cfRule>
    <cfRule type="cellIs" dxfId="16858" priority="3562" stopIfTrue="1" operator="equal">
      <formula>"Napkin Hs"</formula>
    </cfRule>
  </conditionalFormatting>
  <conditionalFormatting sqref="C113">
    <cfRule type="cellIs" dxfId="16857" priority="3559" stopIfTrue="1" operator="equal">
      <formula>"Towel"</formula>
    </cfRule>
    <cfRule type="cellIs" dxfId="16856" priority="3560" stopIfTrue="1" operator="equal">
      <formula>"Napkin Hs"</formula>
    </cfRule>
  </conditionalFormatting>
  <conditionalFormatting sqref="C114">
    <cfRule type="cellIs" dxfId="16855" priority="3533" stopIfTrue="1" operator="equal">
      <formula>"Towel"</formula>
    </cfRule>
    <cfRule type="cellIs" dxfId="16854" priority="3534" stopIfTrue="1" operator="equal">
      <formula>"Napkin Hs"</formula>
    </cfRule>
  </conditionalFormatting>
  <conditionalFormatting sqref="B114:C114">
    <cfRule type="cellIs" dxfId="16853" priority="3535" stopIfTrue="1" operator="equal">
      <formula>"Towel"</formula>
    </cfRule>
    <cfRule type="cellIs" dxfId="16852" priority="3536" stopIfTrue="1" operator="equal">
      <formula>"Napkin Hs"</formula>
    </cfRule>
  </conditionalFormatting>
  <conditionalFormatting sqref="C114">
    <cfRule type="cellIs" dxfId="16851" priority="3531" stopIfTrue="1" operator="equal">
      <formula>"Towel"</formula>
    </cfRule>
    <cfRule type="cellIs" dxfId="16850" priority="3532" stopIfTrue="1" operator="equal">
      <formula>"Napkin Hs"</formula>
    </cfRule>
  </conditionalFormatting>
  <conditionalFormatting sqref="B114:C114">
    <cfRule type="cellIs" dxfId="16849" priority="3529" stopIfTrue="1" operator="equal">
      <formula>"Towel"</formula>
    </cfRule>
    <cfRule type="cellIs" dxfId="16848" priority="3530" stopIfTrue="1" operator="equal">
      <formula>"Napkin Hs"</formula>
    </cfRule>
  </conditionalFormatting>
  <conditionalFormatting sqref="C114">
    <cfRule type="cellIs" dxfId="16847" priority="3537" stopIfTrue="1" operator="equal">
      <formula>"Towel"</formula>
    </cfRule>
    <cfRule type="cellIs" dxfId="16846" priority="3538" stopIfTrue="1" operator="equal">
      <formula>"Napkin Hs"</formula>
    </cfRule>
  </conditionalFormatting>
  <conditionalFormatting sqref="C114">
    <cfRule type="cellIs" dxfId="16845" priority="3539" stopIfTrue="1" operator="equal">
      <formula>"Towel"</formula>
    </cfRule>
    <cfRule type="cellIs" dxfId="16844" priority="3540" stopIfTrue="1" operator="equal">
      <formula>"Napkin Hs"</formula>
    </cfRule>
  </conditionalFormatting>
  <conditionalFormatting sqref="B111:C111">
    <cfRule type="cellIs" dxfId="16843" priority="3527" stopIfTrue="1" operator="equal">
      <formula>"Towel"</formula>
    </cfRule>
    <cfRule type="cellIs" dxfId="16842" priority="3528" stopIfTrue="1" operator="equal">
      <formula>"Napkin Hs"</formula>
    </cfRule>
  </conditionalFormatting>
  <conditionalFormatting sqref="C111">
    <cfRule type="cellIs" dxfId="16841" priority="3523" stopIfTrue="1" operator="equal">
      <formula>"Towel"</formula>
    </cfRule>
    <cfRule type="cellIs" dxfId="16840" priority="3524" stopIfTrue="1" operator="equal">
      <formula>"Napkin Hs"</formula>
    </cfRule>
  </conditionalFormatting>
  <conditionalFormatting sqref="C111">
    <cfRule type="cellIs" dxfId="16839" priority="3525" stopIfTrue="1" operator="equal">
      <formula>"Towel"</formula>
    </cfRule>
    <cfRule type="cellIs" dxfId="16838" priority="3526" stopIfTrue="1" operator="equal">
      <formula>"Napkin Hs"</formula>
    </cfRule>
  </conditionalFormatting>
  <conditionalFormatting sqref="B111:C111">
    <cfRule type="cellIs" dxfId="16837" priority="3521" stopIfTrue="1" operator="equal">
      <formula>"Towel"</formula>
    </cfRule>
    <cfRule type="cellIs" dxfId="16836" priority="3522" stopIfTrue="1" operator="equal">
      <formula>"Napkin Hs"</formula>
    </cfRule>
  </conditionalFormatting>
  <conditionalFormatting sqref="C111">
    <cfRule type="cellIs" dxfId="16835" priority="3519" stopIfTrue="1" operator="equal">
      <formula>"Towel"</formula>
    </cfRule>
    <cfRule type="cellIs" dxfId="16834" priority="3520" stopIfTrue="1" operator="equal">
      <formula>"Napkin Hs"</formula>
    </cfRule>
  </conditionalFormatting>
  <conditionalFormatting sqref="C111">
    <cfRule type="cellIs" dxfId="16833" priority="3517" stopIfTrue="1" operator="equal">
      <formula>"Towel"</formula>
    </cfRule>
    <cfRule type="cellIs" dxfId="16832" priority="3518" stopIfTrue="1" operator="equal">
      <formula>"Napkin Hs"</formula>
    </cfRule>
  </conditionalFormatting>
  <conditionalFormatting sqref="C111">
    <cfRule type="cellIs" dxfId="16831" priority="3509" stopIfTrue="1" operator="equal">
      <formula>"Towel"</formula>
    </cfRule>
    <cfRule type="cellIs" dxfId="16830" priority="3510" stopIfTrue="1" operator="equal">
      <formula>"Napkin Hs"</formula>
    </cfRule>
  </conditionalFormatting>
  <conditionalFormatting sqref="B111:C111">
    <cfRule type="cellIs" dxfId="16829" priority="3511" stopIfTrue="1" operator="equal">
      <formula>"Towel"</formula>
    </cfRule>
    <cfRule type="cellIs" dxfId="16828" priority="3512" stopIfTrue="1" operator="equal">
      <formula>"Napkin Hs"</formula>
    </cfRule>
  </conditionalFormatting>
  <conditionalFormatting sqref="C111">
    <cfRule type="cellIs" dxfId="16827" priority="3507" stopIfTrue="1" operator="equal">
      <formula>"Towel"</formula>
    </cfRule>
    <cfRule type="cellIs" dxfId="16826" priority="3508" stopIfTrue="1" operator="equal">
      <formula>"Napkin Hs"</formula>
    </cfRule>
  </conditionalFormatting>
  <conditionalFormatting sqref="B111:C111">
    <cfRule type="cellIs" dxfId="16825" priority="3505" stopIfTrue="1" operator="equal">
      <formula>"Towel"</formula>
    </cfRule>
    <cfRule type="cellIs" dxfId="16824" priority="3506" stopIfTrue="1" operator="equal">
      <formula>"Napkin Hs"</formula>
    </cfRule>
  </conditionalFormatting>
  <conditionalFormatting sqref="C111">
    <cfRule type="cellIs" dxfId="16823" priority="3513" stopIfTrue="1" operator="equal">
      <formula>"Towel"</formula>
    </cfRule>
    <cfRule type="cellIs" dxfId="16822" priority="3514" stopIfTrue="1" operator="equal">
      <formula>"Napkin Hs"</formula>
    </cfRule>
  </conditionalFormatting>
  <conditionalFormatting sqref="C111">
    <cfRule type="cellIs" dxfId="16821" priority="3515" stopIfTrue="1" operator="equal">
      <formula>"Towel"</formula>
    </cfRule>
    <cfRule type="cellIs" dxfId="16820" priority="3516" stopIfTrue="1" operator="equal">
      <formula>"Napkin Hs"</formula>
    </cfRule>
  </conditionalFormatting>
  <conditionalFormatting sqref="C116">
    <cfRule type="cellIs" dxfId="16819" priority="3499" stopIfTrue="1" operator="equal">
      <formula>"Towel"</formula>
    </cfRule>
    <cfRule type="cellIs" dxfId="16818" priority="3500" stopIfTrue="1" operator="equal">
      <formula>"Napkin Hs"</formula>
    </cfRule>
  </conditionalFormatting>
  <conditionalFormatting sqref="B116:C116">
    <cfRule type="cellIs" dxfId="16817" priority="3503" stopIfTrue="1" operator="equal">
      <formula>"Towel"</formula>
    </cfRule>
    <cfRule type="cellIs" dxfId="16816" priority="3504" stopIfTrue="1" operator="equal">
      <formula>"Napkin Hs"</formula>
    </cfRule>
  </conditionalFormatting>
  <conditionalFormatting sqref="C116">
    <cfRule type="cellIs" dxfId="16815" priority="3501" stopIfTrue="1" operator="equal">
      <formula>"Towel"</formula>
    </cfRule>
    <cfRule type="cellIs" dxfId="16814" priority="3502" stopIfTrue="1" operator="equal">
      <formula>"Napkin Hs"</formula>
    </cfRule>
  </conditionalFormatting>
  <conditionalFormatting sqref="B115:C115">
    <cfRule type="cellIs" dxfId="16813" priority="3497" stopIfTrue="1" operator="equal">
      <formula>"Towel"</formula>
    </cfRule>
    <cfRule type="cellIs" dxfId="16812" priority="3498" stopIfTrue="1" operator="equal">
      <formula>"Napkin Hs"</formula>
    </cfRule>
  </conditionalFormatting>
  <conditionalFormatting sqref="C115">
    <cfRule type="cellIs" dxfId="16811" priority="3493" stopIfTrue="1" operator="equal">
      <formula>"Towel"</formula>
    </cfRule>
    <cfRule type="cellIs" dxfId="16810" priority="3494" stopIfTrue="1" operator="equal">
      <formula>"Napkin Hs"</formula>
    </cfRule>
  </conditionalFormatting>
  <conditionalFormatting sqref="C115">
    <cfRule type="cellIs" dxfId="16809" priority="3495" stopIfTrue="1" operator="equal">
      <formula>"Towel"</formula>
    </cfRule>
    <cfRule type="cellIs" dxfId="16808" priority="3496" stopIfTrue="1" operator="equal">
      <formula>"Napkin Hs"</formula>
    </cfRule>
  </conditionalFormatting>
  <conditionalFormatting sqref="B114:C114">
    <cfRule type="cellIs" dxfId="16807" priority="3491" stopIfTrue="1" operator="equal">
      <formula>"Towel"</formula>
    </cfRule>
    <cfRule type="cellIs" dxfId="16806" priority="3492" stopIfTrue="1" operator="equal">
      <formula>"Napkin Hs"</formula>
    </cfRule>
  </conditionalFormatting>
  <conditionalFormatting sqref="C114">
    <cfRule type="cellIs" dxfId="16805" priority="3489" stopIfTrue="1" operator="equal">
      <formula>"Towel"</formula>
    </cfRule>
    <cfRule type="cellIs" dxfId="16804" priority="3490" stopIfTrue="1" operator="equal">
      <formula>"Napkin Hs"</formula>
    </cfRule>
  </conditionalFormatting>
  <conditionalFormatting sqref="C114">
    <cfRule type="cellIs" dxfId="16803" priority="3487" stopIfTrue="1" operator="equal">
      <formula>"Towel"</formula>
    </cfRule>
    <cfRule type="cellIs" dxfId="16802" priority="3488" stopIfTrue="1" operator="equal">
      <formula>"Napkin Hs"</formula>
    </cfRule>
  </conditionalFormatting>
  <conditionalFormatting sqref="C114">
    <cfRule type="cellIs" dxfId="16801" priority="3479" stopIfTrue="1" operator="equal">
      <formula>"Towel"</formula>
    </cfRule>
    <cfRule type="cellIs" dxfId="16800" priority="3480" stopIfTrue="1" operator="equal">
      <formula>"Napkin Hs"</formula>
    </cfRule>
  </conditionalFormatting>
  <conditionalFormatting sqref="B114:C114">
    <cfRule type="cellIs" dxfId="16799" priority="3481" stopIfTrue="1" operator="equal">
      <formula>"Towel"</formula>
    </cfRule>
    <cfRule type="cellIs" dxfId="16798" priority="3482" stopIfTrue="1" operator="equal">
      <formula>"Napkin Hs"</formula>
    </cfRule>
  </conditionalFormatting>
  <conditionalFormatting sqref="C114">
    <cfRule type="cellIs" dxfId="16797" priority="3477" stopIfTrue="1" operator="equal">
      <formula>"Towel"</formula>
    </cfRule>
    <cfRule type="cellIs" dxfId="16796" priority="3478" stopIfTrue="1" operator="equal">
      <formula>"Napkin Hs"</formula>
    </cfRule>
  </conditionalFormatting>
  <conditionalFormatting sqref="B114:C114">
    <cfRule type="cellIs" dxfId="16795" priority="3475" stopIfTrue="1" operator="equal">
      <formula>"Towel"</formula>
    </cfRule>
    <cfRule type="cellIs" dxfId="16794" priority="3476" stopIfTrue="1" operator="equal">
      <formula>"Napkin Hs"</formula>
    </cfRule>
  </conditionalFormatting>
  <conditionalFormatting sqref="C114">
    <cfRule type="cellIs" dxfId="16793" priority="3483" stopIfTrue="1" operator="equal">
      <formula>"Towel"</formula>
    </cfRule>
    <cfRule type="cellIs" dxfId="16792" priority="3484" stopIfTrue="1" operator="equal">
      <formula>"Napkin Hs"</formula>
    </cfRule>
  </conditionalFormatting>
  <conditionalFormatting sqref="C114">
    <cfRule type="cellIs" dxfId="16791" priority="3485" stopIfTrue="1" operator="equal">
      <formula>"Towel"</formula>
    </cfRule>
    <cfRule type="cellIs" dxfId="16790" priority="3486" stopIfTrue="1" operator="equal">
      <formula>"Napkin Hs"</formula>
    </cfRule>
  </conditionalFormatting>
  <conditionalFormatting sqref="B114:C114">
    <cfRule type="cellIs" dxfId="16789" priority="3473" stopIfTrue="1" operator="equal">
      <formula>"Towel"</formula>
    </cfRule>
    <cfRule type="cellIs" dxfId="16788" priority="3474" stopIfTrue="1" operator="equal">
      <formula>"Napkin Hs"</formula>
    </cfRule>
  </conditionalFormatting>
  <conditionalFormatting sqref="C114">
    <cfRule type="cellIs" dxfId="16787" priority="3471" stopIfTrue="1" operator="equal">
      <formula>"Towel"</formula>
    </cfRule>
    <cfRule type="cellIs" dxfId="16786" priority="3472" stopIfTrue="1" operator="equal">
      <formula>"Napkin Hs"</formula>
    </cfRule>
  </conditionalFormatting>
  <conditionalFormatting sqref="C114">
    <cfRule type="cellIs" dxfId="16785" priority="3469" stopIfTrue="1" operator="equal">
      <formula>"Towel"</formula>
    </cfRule>
    <cfRule type="cellIs" dxfId="16784" priority="3470" stopIfTrue="1" operator="equal">
      <formula>"Napkin Hs"</formula>
    </cfRule>
  </conditionalFormatting>
  <conditionalFormatting sqref="C114">
    <cfRule type="cellIs" dxfId="16783" priority="3461" stopIfTrue="1" operator="equal">
      <formula>"Towel"</formula>
    </cfRule>
    <cfRule type="cellIs" dxfId="16782" priority="3462" stopIfTrue="1" operator="equal">
      <formula>"Napkin Hs"</formula>
    </cfRule>
  </conditionalFormatting>
  <conditionalFormatting sqref="B114:C114">
    <cfRule type="cellIs" dxfId="16781" priority="3463" stopIfTrue="1" operator="equal">
      <formula>"Towel"</formula>
    </cfRule>
    <cfRule type="cellIs" dxfId="16780" priority="3464" stopIfTrue="1" operator="equal">
      <formula>"Napkin Hs"</formula>
    </cfRule>
  </conditionalFormatting>
  <conditionalFormatting sqref="C114">
    <cfRule type="cellIs" dxfId="16779" priority="3459" stopIfTrue="1" operator="equal">
      <formula>"Towel"</formula>
    </cfRule>
    <cfRule type="cellIs" dxfId="16778" priority="3460" stopIfTrue="1" operator="equal">
      <formula>"Napkin Hs"</formula>
    </cfRule>
  </conditionalFormatting>
  <conditionalFormatting sqref="B114:C114">
    <cfRule type="cellIs" dxfId="16777" priority="3457" stopIfTrue="1" operator="equal">
      <formula>"Towel"</formula>
    </cfRule>
    <cfRule type="cellIs" dxfId="16776" priority="3458" stopIfTrue="1" operator="equal">
      <formula>"Napkin Hs"</formula>
    </cfRule>
  </conditionalFormatting>
  <conditionalFormatting sqref="C114">
    <cfRule type="cellIs" dxfId="16775" priority="3465" stopIfTrue="1" operator="equal">
      <formula>"Towel"</formula>
    </cfRule>
    <cfRule type="cellIs" dxfId="16774" priority="3466" stopIfTrue="1" operator="equal">
      <formula>"Napkin Hs"</formula>
    </cfRule>
  </conditionalFormatting>
  <conditionalFormatting sqref="C114">
    <cfRule type="cellIs" dxfId="16773" priority="3467" stopIfTrue="1" operator="equal">
      <formula>"Towel"</formula>
    </cfRule>
    <cfRule type="cellIs" dxfId="16772" priority="3468" stopIfTrue="1" operator="equal">
      <formula>"Napkin Hs"</formula>
    </cfRule>
  </conditionalFormatting>
  <conditionalFormatting sqref="B115:C115">
    <cfRule type="cellIs" dxfId="16771" priority="3455" stopIfTrue="1" operator="equal">
      <formula>"Towel"</formula>
    </cfRule>
    <cfRule type="cellIs" dxfId="16770" priority="3456" stopIfTrue="1" operator="equal">
      <formula>"Napkin Hs"</formula>
    </cfRule>
  </conditionalFormatting>
  <conditionalFormatting sqref="C115">
    <cfRule type="cellIs" dxfId="16769" priority="3453" stopIfTrue="1" operator="equal">
      <formula>"Towel"</formula>
    </cfRule>
    <cfRule type="cellIs" dxfId="16768" priority="3454" stopIfTrue="1" operator="equal">
      <formula>"Napkin Hs"</formula>
    </cfRule>
  </conditionalFormatting>
  <conditionalFormatting sqref="C115">
    <cfRule type="cellIs" dxfId="16767" priority="3451" stopIfTrue="1" operator="equal">
      <formula>"Towel"</formula>
    </cfRule>
    <cfRule type="cellIs" dxfId="16766" priority="3452" stopIfTrue="1" operator="equal">
      <formula>"Napkin Hs"</formula>
    </cfRule>
  </conditionalFormatting>
  <conditionalFormatting sqref="C115">
    <cfRule type="cellIs" dxfId="16765" priority="3443" stopIfTrue="1" operator="equal">
      <formula>"Towel"</formula>
    </cfRule>
    <cfRule type="cellIs" dxfId="16764" priority="3444" stopIfTrue="1" operator="equal">
      <formula>"Napkin Hs"</formula>
    </cfRule>
  </conditionalFormatting>
  <conditionalFormatting sqref="B115:C115">
    <cfRule type="cellIs" dxfId="16763" priority="3445" stopIfTrue="1" operator="equal">
      <formula>"Towel"</formula>
    </cfRule>
    <cfRule type="cellIs" dxfId="16762" priority="3446" stopIfTrue="1" operator="equal">
      <formula>"Napkin Hs"</formula>
    </cfRule>
  </conditionalFormatting>
  <conditionalFormatting sqref="C115">
    <cfRule type="cellIs" dxfId="16761" priority="3441" stopIfTrue="1" operator="equal">
      <formula>"Towel"</formula>
    </cfRule>
    <cfRule type="cellIs" dxfId="16760" priority="3442" stopIfTrue="1" operator="equal">
      <formula>"Napkin Hs"</formula>
    </cfRule>
  </conditionalFormatting>
  <conditionalFormatting sqref="B115:C115">
    <cfRule type="cellIs" dxfId="16759" priority="3439" stopIfTrue="1" operator="equal">
      <formula>"Towel"</formula>
    </cfRule>
    <cfRule type="cellIs" dxfId="16758" priority="3440" stopIfTrue="1" operator="equal">
      <formula>"Napkin Hs"</formula>
    </cfRule>
  </conditionalFormatting>
  <conditionalFormatting sqref="C115">
    <cfRule type="cellIs" dxfId="16757" priority="3447" stopIfTrue="1" operator="equal">
      <formula>"Towel"</formula>
    </cfRule>
    <cfRule type="cellIs" dxfId="16756" priority="3448" stopIfTrue="1" operator="equal">
      <formula>"Napkin Hs"</formula>
    </cfRule>
  </conditionalFormatting>
  <conditionalFormatting sqref="C115">
    <cfRule type="cellIs" dxfId="16755" priority="3449" stopIfTrue="1" operator="equal">
      <formula>"Towel"</formula>
    </cfRule>
    <cfRule type="cellIs" dxfId="16754" priority="3450" stopIfTrue="1" operator="equal">
      <formula>"Napkin Hs"</formula>
    </cfRule>
  </conditionalFormatting>
  <conditionalFormatting sqref="B113:C113">
    <cfRule type="cellIs" dxfId="16753" priority="3437" stopIfTrue="1" operator="equal">
      <formula>"Towel"</formula>
    </cfRule>
    <cfRule type="cellIs" dxfId="16752" priority="3438" stopIfTrue="1" operator="equal">
      <formula>"Napkin Hs"</formula>
    </cfRule>
  </conditionalFormatting>
  <conditionalFormatting sqref="C113">
    <cfRule type="cellIs" dxfId="16751" priority="3435" stopIfTrue="1" operator="equal">
      <formula>"Towel"</formula>
    </cfRule>
    <cfRule type="cellIs" dxfId="16750" priority="3436" stopIfTrue="1" operator="equal">
      <formula>"Napkin Hs"</formula>
    </cfRule>
  </conditionalFormatting>
  <conditionalFormatting sqref="C113">
    <cfRule type="cellIs" dxfId="16749" priority="3433" stopIfTrue="1" operator="equal">
      <formula>"Towel"</formula>
    </cfRule>
    <cfRule type="cellIs" dxfId="16748" priority="3434" stopIfTrue="1" operator="equal">
      <formula>"Napkin Hs"</formula>
    </cfRule>
  </conditionalFormatting>
  <conditionalFormatting sqref="C113">
    <cfRule type="cellIs" dxfId="16747" priority="3425" stopIfTrue="1" operator="equal">
      <formula>"Towel"</formula>
    </cfRule>
    <cfRule type="cellIs" dxfId="16746" priority="3426" stopIfTrue="1" operator="equal">
      <formula>"Napkin Hs"</formula>
    </cfRule>
  </conditionalFormatting>
  <conditionalFormatting sqref="B113:C113">
    <cfRule type="cellIs" dxfId="16745" priority="3427" stopIfTrue="1" operator="equal">
      <formula>"Towel"</formula>
    </cfRule>
    <cfRule type="cellIs" dxfId="16744" priority="3428" stopIfTrue="1" operator="equal">
      <formula>"Napkin Hs"</formula>
    </cfRule>
  </conditionalFormatting>
  <conditionalFormatting sqref="C113">
    <cfRule type="cellIs" dxfId="16743" priority="3423" stopIfTrue="1" operator="equal">
      <formula>"Towel"</formula>
    </cfRule>
    <cfRule type="cellIs" dxfId="16742" priority="3424" stopIfTrue="1" operator="equal">
      <formula>"Napkin Hs"</formula>
    </cfRule>
  </conditionalFormatting>
  <conditionalFormatting sqref="B113:C113">
    <cfRule type="cellIs" dxfId="16741" priority="3421" stopIfTrue="1" operator="equal">
      <formula>"Towel"</formula>
    </cfRule>
    <cfRule type="cellIs" dxfId="16740" priority="3422" stopIfTrue="1" operator="equal">
      <formula>"Napkin Hs"</formula>
    </cfRule>
  </conditionalFormatting>
  <conditionalFormatting sqref="C113">
    <cfRule type="cellIs" dxfId="16739" priority="3429" stopIfTrue="1" operator="equal">
      <formula>"Towel"</formula>
    </cfRule>
    <cfRule type="cellIs" dxfId="16738" priority="3430" stopIfTrue="1" operator="equal">
      <formula>"Napkin Hs"</formula>
    </cfRule>
  </conditionalFormatting>
  <conditionalFormatting sqref="C113">
    <cfRule type="cellIs" dxfId="16737" priority="3431" stopIfTrue="1" operator="equal">
      <formula>"Towel"</formula>
    </cfRule>
    <cfRule type="cellIs" dxfId="16736" priority="3432" stopIfTrue="1" operator="equal">
      <formula>"Napkin Hs"</formula>
    </cfRule>
  </conditionalFormatting>
  <conditionalFormatting sqref="C113">
    <cfRule type="cellIs" dxfId="16735" priority="3413" stopIfTrue="1" operator="equal">
      <formula>"Towel"</formula>
    </cfRule>
    <cfRule type="cellIs" dxfId="16734" priority="3414" stopIfTrue="1" operator="equal">
      <formula>"Napkin Hs"</formula>
    </cfRule>
  </conditionalFormatting>
  <conditionalFormatting sqref="B113:C113">
    <cfRule type="cellIs" dxfId="16733" priority="3409" stopIfTrue="1" operator="equal">
      <formula>"Towel"</formula>
    </cfRule>
    <cfRule type="cellIs" dxfId="16732" priority="3410" stopIfTrue="1" operator="equal">
      <formula>"Napkin Hs"</formula>
    </cfRule>
  </conditionalFormatting>
  <conditionalFormatting sqref="C113">
    <cfRule type="cellIs" dxfId="16731" priority="3411" stopIfTrue="1" operator="equal">
      <formula>"Towel"</formula>
    </cfRule>
    <cfRule type="cellIs" dxfId="16730" priority="3412" stopIfTrue="1" operator="equal">
      <formula>"Napkin Hs"</formula>
    </cfRule>
  </conditionalFormatting>
  <conditionalFormatting sqref="C113">
    <cfRule type="cellIs" dxfId="16729" priority="3407" stopIfTrue="1" operator="equal">
      <formula>"Towel"</formula>
    </cfRule>
    <cfRule type="cellIs" dxfId="16728" priority="3408" stopIfTrue="1" operator="equal">
      <formula>"Napkin Hs"</formula>
    </cfRule>
  </conditionalFormatting>
  <conditionalFormatting sqref="B113:C113">
    <cfRule type="cellIs" dxfId="16727" priority="3403" stopIfTrue="1" operator="equal">
      <formula>"Towel"</formula>
    </cfRule>
    <cfRule type="cellIs" dxfId="16726" priority="3404" stopIfTrue="1" operator="equal">
      <formula>"Napkin Hs"</formula>
    </cfRule>
  </conditionalFormatting>
  <conditionalFormatting sqref="C113">
    <cfRule type="cellIs" dxfId="16725" priority="3405" stopIfTrue="1" operator="equal">
      <formula>"Towel"</formula>
    </cfRule>
    <cfRule type="cellIs" dxfId="16724" priority="3406" stopIfTrue="1" operator="equal">
      <formula>"Napkin Hs"</formula>
    </cfRule>
  </conditionalFormatting>
  <conditionalFormatting sqref="B113:C113">
    <cfRule type="cellIs" dxfId="16723" priority="3419" stopIfTrue="1" operator="equal">
      <formula>"Towel"</formula>
    </cfRule>
    <cfRule type="cellIs" dxfId="16722" priority="3420" stopIfTrue="1" operator="equal">
      <formula>"Napkin Hs"</formula>
    </cfRule>
  </conditionalFormatting>
  <conditionalFormatting sqref="C113">
    <cfRule type="cellIs" dxfId="16721" priority="3417" stopIfTrue="1" operator="equal">
      <formula>"Towel"</formula>
    </cfRule>
    <cfRule type="cellIs" dxfId="16720" priority="3418" stopIfTrue="1" operator="equal">
      <formula>"Napkin Hs"</formula>
    </cfRule>
  </conditionalFormatting>
  <conditionalFormatting sqref="C113">
    <cfRule type="cellIs" dxfId="16719" priority="3415" stopIfTrue="1" operator="equal">
      <formula>"Towel"</formula>
    </cfRule>
    <cfRule type="cellIs" dxfId="16718" priority="3416" stopIfTrue="1" operator="equal">
      <formula>"Napkin Hs"</formula>
    </cfRule>
  </conditionalFormatting>
  <conditionalFormatting sqref="B113:C113">
    <cfRule type="cellIs" dxfId="16717" priority="3401" stopIfTrue="1" operator="equal">
      <formula>"Towel"</formula>
    </cfRule>
    <cfRule type="cellIs" dxfId="16716" priority="3402" stopIfTrue="1" operator="equal">
      <formula>"Napkin Hs"</formula>
    </cfRule>
  </conditionalFormatting>
  <conditionalFormatting sqref="C113">
    <cfRule type="cellIs" dxfId="16715" priority="3399" stopIfTrue="1" operator="equal">
      <formula>"Towel"</formula>
    </cfRule>
    <cfRule type="cellIs" dxfId="16714" priority="3400" stopIfTrue="1" operator="equal">
      <formula>"Napkin Hs"</formula>
    </cfRule>
  </conditionalFormatting>
  <conditionalFormatting sqref="C113">
    <cfRule type="cellIs" dxfId="16713" priority="3397" stopIfTrue="1" operator="equal">
      <formula>"Towel"</formula>
    </cfRule>
    <cfRule type="cellIs" dxfId="16712" priority="3398" stopIfTrue="1" operator="equal">
      <formula>"Napkin Hs"</formula>
    </cfRule>
  </conditionalFormatting>
  <conditionalFormatting sqref="C113">
    <cfRule type="cellIs" dxfId="16711" priority="3389" stopIfTrue="1" operator="equal">
      <formula>"Towel"</formula>
    </cfRule>
    <cfRule type="cellIs" dxfId="16710" priority="3390" stopIfTrue="1" operator="equal">
      <formula>"Napkin Hs"</formula>
    </cfRule>
  </conditionalFormatting>
  <conditionalFormatting sqref="B113:C113">
    <cfRule type="cellIs" dxfId="16709" priority="3391" stopIfTrue="1" operator="equal">
      <formula>"Towel"</formula>
    </cfRule>
    <cfRule type="cellIs" dxfId="16708" priority="3392" stopIfTrue="1" operator="equal">
      <formula>"Napkin Hs"</formula>
    </cfRule>
  </conditionalFormatting>
  <conditionalFormatting sqref="C113">
    <cfRule type="cellIs" dxfId="16707" priority="3387" stopIfTrue="1" operator="equal">
      <formula>"Towel"</formula>
    </cfRule>
    <cfRule type="cellIs" dxfId="16706" priority="3388" stopIfTrue="1" operator="equal">
      <formula>"Napkin Hs"</formula>
    </cfRule>
  </conditionalFormatting>
  <conditionalFormatting sqref="B113:C113">
    <cfRule type="cellIs" dxfId="16705" priority="3385" stopIfTrue="1" operator="equal">
      <formula>"Towel"</formula>
    </cfRule>
    <cfRule type="cellIs" dxfId="16704" priority="3386" stopIfTrue="1" operator="equal">
      <formula>"Napkin Hs"</formula>
    </cfRule>
  </conditionalFormatting>
  <conditionalFormatting sqref="C113">
    <cfRule type="cellIs" dxfId="16703" priority="3393" stopIfTrue="1" operator="equal">
      <formula>"Towel"</formula>
    </cfRule>
    <cfRule type="cellIs" dxfId="16702" priority="3394" stopIfTrue="1" operator="equal">
      <formula>"Napkin Hs"</formula>
    </cfRule>
  </conditionalFormatting>
  <conditionalFormatting sqref="C113">
    <cfRule type="cellIs" dxfId="16701" priority="3395" stopIfTrue="1" operator="equal">
      <formula>"Towel"</formula>
    </cfRule>
    <cfRule type="cellIs" dxfId="16700" priority="3396" stopIfTrue="1" operator="equal">
      <formula>"Napkin Hs"</formula>
    </cfRule>
  </conditionalFormatting>
  <conditionalFormatting sqref="C113">
    <cfRule type="cellIs" dxfId="16699" priority="3381" stopIfTrue="1" operator="equal">
      <formula>"Towel"</formula>
    </cfRule>
    <cfRule type="cellIs" dxfId="16698" priority="3382" stopIfTrue="1" operator="equal">
      <formula>"Napkin Hs"</formula>
    </cfRule>
  </conditionalFormatting>
  <conditionalFormatting sqref="C113">
    <cfRule type="cellIs" dxfId="16697" priority="3383" stopIfTrue="1" operator="equal">
      <formula>"Towel"</formula>
    </cfRule>
    <cfRule type="cellIs" dxfId="16696" priority="3384" stopIfTrue="1" operator="equal">
      <formula>"Napkin Hs"</formula>
    </cfRule>
  </conditionalFormatting>
  <conditionalFormatting sqref="C113">
    <cfRule type="cellIs" dxfId="16695" priority="3379" stopIfTrue="1" operator="equal">
      <formula>"Towel"</formula>
    </cfRule>
    <cfRule type="cellIs" dxfId="16694" priority="3380" stopIfTrue="1" operator="equal">
      <formula>"Napkin Hs"</formula>
    </cfRule>
  </conditionalFormatting>
  <conditionalFormatting sqref="C113">
    <cfRule type="cellIs" dxfId="16693" priority="3373" stopIfTrue="1" operator="equal">
      <formula>"Towel"</formula>
    </cfRule>
    <cfRule type="cellIs" dxfId="16692" priority="3374" stopIfTrue="1" operator="equal">
      <formula>"Napkin Hs"</formula>
    </cfRule>
  </conditionalFormatting>
  <conditionalFormatting sqref="C113">
    <cfRule type="cellIs" dxfId="16691" priority="3375" stopIfTrue="1" operator="equal">
      <formula>"Towel"</formula>
    </cfRule>
    <cfRule type="cellIs" dxfId="16690" priority="3376" stopIfTrue="1" operator="equal">
      <formula>"Napkin Hs"</formula>
    </cfRule>
  </conditionalFormatting>
  <conditionalFormatting sqref="C113">
    <cfRule type="cellIs" dxfId="16689" priority="3377" stopIfTrue="1" operator="equal">
      <formula>"Towel"</formula>
    </cfRule>
    <cfRule type="cellIs" dxfId="16688" priority="3378" stopIfTrue="1" operator="equal">
      <formula>"Napkin Hs"</formula>
    </cfRule>
  </conditionalFormatting>
  <conditionalFormatting sqref="B113">
    <cfRule type="cellIs" dxfId="16687" priority="3371" stopIfTrue="1" operator="equal">
      <formula>"Towel"</formula>
    </cfRule>
    <cfRule type="cellIs" dxfId="16686" priority="3372" stopIfTrue="1" operator="equal">
      <formula>"Napkin Hs"</formula>
    </cfRule>
  </conditionalFormatting>
  <conditionalFormatting sqref="B113">
    <cfRule type="cellIs" dxfId="16685" priority="3369" stopIfTrue="1" operator="equal">
      <formula>"Towel"</formula>
    </cfRule>
    <cfRule type="cellIs" dxfId="16684" priority="3370" stopIfTrue="1" operator="equal">
      <formula>"Napkin Hs"</formula>
    </cfRule>
  </conditionalFormatting>
  <conditionalFormatting sqref="B113:C113">
    <cfRule type="cellIs" dxfId="16683" priority="3367" stopIfTrue="1" operator="equal">
      <formula>"Towel"</formula>
    </cfRule>
    <cfRule type="cellIs" dxfId="16682" priority="3368" stopIfTrue="1" operator="equal">
      <formula>"Napkin Hs"</formula>
    </cfRule>
  </conditionalFormatting>
  <conditionalFormatting sqref="C113">
    <cfRule type="cellIs" dxfId="16681" priority="3363" stopIfTrue="1" operator="equal">
      <formula>"Towel"</formula>
    </cfRule>
    <cfRule type="cellIs" dxfId="16680" priority="3364" stopIfTrue="1" operator="equal">
      <formula>"Napkin Hs"</formula>
    </cfRule>
  </conditionalFormatting>
  <conditionalFormatting sqref="C113">
    <cfRule type="cellIs" dxfId="16679" priority="3365" stopIfTrue="1" operator="equal">
      <formula>"Towel"</formula>
    </cfRule>
    <cfRule type="cellIs" dxfId="16678" priority="3366" stopIfTrue="1" operator="equal">
      <formula>"Napkin Hs"</formula>
    </cfRule>
  </conditionalFormatting>
  <conditionalFormatting sqref="B113:C113">
    <cfRule type="cellIs" dxfId="16677" priority="3361" stopIfTrue="1" operator="equal">
      <formula>"Towel"</formula>
    </cfRule>
    <cfRule type="cellIs" dxfId="16676" priority="3362" stopIfTrue="1" operator="equal">
      <formula>"Napkin Hs"</formula>
    </cfRule>
  </conditionalFormatting>
  <conditionalFormatting sqref="C113">
    <cfRule type="cellIs" dxfId="16675" priority="3357" stopIfTrue="1" operator="equal">
      <formula>"Towel"</formula>
    </cfRule>
    <cfRule type="cellIs" dxfId="16674" priority="3358" stopIfTrue="1" operator="equal">
      <formula>"Napkin Hs"</formula>
    </cfRule>
  </conditionalFormatting>
  <conditionalFormatting sqref="C113">
    <cfRule type="cellIs" dxfId="16673" priority="3359" stopIfTrue="1" operator="equal">
      <formula>"Towel"</formula>
    </cfRule>
    <cfRule type="cellIs" dxfId="16672" priority="3360" stopIfTrue="1" operator="equal">
      <formula>"Napkin Hs"</formula>
    </cfRule>
  </conditionalFormatting>
  <conditionalFormatting sqref="C113">
    <cfRule type="cellIs" dxfId="16671" priority="3349" stopIfTrue="1" operator="equal">
      <formula>"Towel"</formula>
    </cfRule>
    <cfRule type="cellIs" dxfId="16670" priority="3350" stopIfTrue="1" operator="equal">
      <formula>"Napkin Hs"</formula>
    </cfRule>
  </conditionalFormatting>
  <conditionalFormatting sqref="C113">
    <cfRule type="cellIs" dxfId="16669" priority="3351" stopIfTrue="1" operator="equal">
      <formula>"Towel"</formula>
    </cfRule>
    <cfRule type="cellIs" dxfId="16668" priority="3352" stopIfTrue="1" operator="equal">
      <formula>"Napkin Hs"</formula>
    </cfRule>
  </conditionalFormatting>
  <conditionalFormatting sqref="C113">
    <cfRule type="cellIs" dxfId="16667" priority="3347" stopIfTrue="1" operator="equal">
      <formula>"Towel"</formula>
    </cfRule>
    <cfRule type="cellIs" dxfId="16666" priority="3348" stopIfTrue="1" operator="equal">
      <formula>"Napkin Hs"</formula>
    </cfRule>
  </conditionalFormatting>
  <conditionalFormatting sqref="C113">
    <cfRule type="cellIs" dxfId="16665" priority="3345" stopIfTrue="1" operator="equal">
      <formula>"Towel"</formula>
    </cfRule>
    <cfRule type="cellIs" dxfId="16664" priority="3346" stopIfTrue="1" operator="equal">
      <formula>"Napkin Hs"</formula>
    </cfRule>
  </conditionalFormatting>
  <conditionalFormatting sqref="C113">
    <cfRule type="cellIs" dxfId="16663" priority="3353" stopIfTrue="1" operator="equal">
      <formula>"Towel"</formula>
    </cfRule>
    <cfRule type="cellIs" dxfId="16662" priority="3354" stopIfTrue="1" operator="equal">
      <formula>"Napkin Hs"</formula>
    </cfRule>
  </conditionalFormatting>
  <conditionalFormatting sqref="C113">
    <cfRule type="cellIs" dxfId="16661" priority="3355" stopIfTrue="1" operator="equal">
      <formula>"Towel"</formula>
    </cfRule>
    <cfRule type="cellIs" dxfId="16660" priority="3356" stopIfTrue="1" operator="equal">
      <formula>"Napkin Hs"</formula>
    </cfRule>
  </conditionalFormatting>
  <conditionalFormatting sqref="B113">
    <cfRule type="cellIs" dxfId="16659" priority="3343" stopIfTrue="1" operator="equal">
      <formula>"Towel"</formula>
    </cfRule>
    <cfRule type="cellIs" dxfId="16658" priority="3344" stopIfTrue="1" operator="equal">
      <formula>"Napkin Hs"</formula>
    </cfRule>
  </conditionalFormatting>
  <conditionalFormatting sqref="C111">
    <cfRule type="cellIs" dxfId="16657" priority="3335" stopIfTrue="1" operator="equal">
      <formula>"Towel"</formula>
    </cfRule>
    <cfRule type="cellIs" dxfId="16656" priority="3336" stopIfTrue="1" operator="equal">
      <formula>"Napkin Hs"</formula>
    </cfRule>
  </conditionalFormatting>
  <conditionalFormatting sqref="C111">
    <cfRule type="cellIs" dxfId="16655" priority="3333" stopIfTrue="1" operator="equal">
      <formula>"Towel"</formula>
    </cfRule>
    <cfRule type="cellIs" dxfId="16654" priority="3334" stopIfTrue="1" operator="equal">
      <formula>"Napkin Hs"</formula>
    </cfRule>
  </conditionalFormatting>
  <conditionalFormatting sqref="B111:C111">
    <cfRule type="cellIs" dxfId="16653" priority="3331" stopIfTrue="1" operator="equal">
      <formula>"Towel"</formula>
    </cfRule>
    <cfRule type="cellIs" dxfId="16652" priority="3332" stopIfTrue="1" operator="equal">
      <formula>"Napkin Hs"</formula>
    </cfRule>
  </conditionalFormatting>
  <conditionalFormatting sqref="B111:C111">
    <cfRule type="cellIs" dxfId="16651" priority="3341" stopIfTrue="1" operator="equal">
      <formula>"Towel"</formula>
    </cfRule>
    <cfRule type="cellIs" dxfId="16650" priority="3342" stopIfTrue="1" operator="equal">
      <formula>"Napkin Hs"</formula>
    </cfRule>
  </conditionalFormatting>
  <conditionalFormatting sqref="C111">
    <cfRule type="cellIs" dxfId="16649" priority="3339" stopIfTrue="1" operator="equal">
      <formula>"Towel"</formula>
    </cfRule>
    <cfRule type="cellIs" dxfId="16648" priority="3340" stopIfTrue="1" operator="equal">
      <formula>"Napkin Hs"</formula>
    </cfRule>
  </conditionalFormatting>
  <conditionalFormatting sqref="C111">
    <cfRule type="cellIs" dxfId="16647" priority="3337" stopIfTrue="1" operator="equal">
      <formula>"Towel"</formula>
    </cfRule>
    <cfRule type="cellIs" dxfId="16646" priority="3338" stopIfTrue="1" operator="equal">
      <formula>"Napkin Hs"</formula>
    </cfRule>
  </conditionalFormatting>
  <conditionalFormatting sqref="C111">
    <cfRule type="cellIs" dxfId="16645" priority="3329" stopIfTrue="1" operator="equal">
      <formula>"Towel"</formula>
    </cfRule>
    <cfRule type="cellIs" dxfId="16644" priority="3330" stopIfTrue="1" operator="equal">
      <formula>"Napkin Hs"</formula>
    </cfRule>
  </conditionalFormatting>
  <conditionalFormatting sqref="C111">
    <cfRule type="cellIs" dxfId="16643" priority="3327" stopIfTrue="1" operator="equal">
      <formula>"Towel"</formula>
    </cfRule>
    <cfRule type="cellIs" dxfId="16642" priority="3328" stopIfTrue="1" operator="equal">
      <formula>"Napkin Hs"</formula>
    </cfRule>
  </conditionalFormatting>
  <conditionalFormatting sqref="B111:C111">
    <cfRule type="cellIs" dxfId="16641" priority="3325" stopIfTrue="1" operator="equal">
      <formula>"Towel"</formula>
    </cfRule>
    <cfRule type="cellIs" dxfId="16640" priority="3326" stopIfTrue="1" operator="equal">
      <formula>"Napkin Hs"</formula>
    </cfRule>
  </conditionalFormatting>
  <conditionalFormatting sqref="B111:C111">
    <cfRule type="cellIs" dxfId="16639" priority="3323" stopIfTrue="1" operator="equal">
      <formula>"Towel"</formula>
    </cfRule>
    <cfRule type="cellIs" dxfId="16638" priority="3324" stopIfTrue="1" operator="equal">
      <formula>"Napkin Hs"</formula>
    </cfRule>
  </conditionalFormatting>
  <conditionalFormatting sqref="C111">
    <cfRule type="cellIs" dxfId="16637" priority="3321" stopIfTrue="1" operator="equal">
      <formula>"Towel"</formula>
    </cfRule>
    <cfRule type="cellIs" dxfId="16636" priority="3322" stopIfTrue="1" operator="equal">
      <formula>"Napkin Hs"</formula>
    </cfRule>
  </conditionalFormatting>
  <conditionalFormatting sqref="C111">
    <cfRule type="cellIs" dxfId="16635" priority="3319" stopIfTrue="1" operator="equal">
      <formula>"Towel"</formula>
    </cfRule>
    <cfRule type="cellIs" dxfId="16634" priority="3320" stopIfTrue="1" operator="equal">
      <formula>"Napkin Hs"</formula>
    </cfRule>
  </conditionalFormatting>
  <conditionalFormatting sqref="C111">
    <cfRule type="cellIs" dxfId="16633" priority="3311" stopIfTrue="1" operator="equal">
      <formula>"Towel"</formula>
    </cfRule>
    <cfRule type="cellIs" dxfId="16632" priority="3312" stopIfTrue="1" operator="equal">
      <formula>"Napkin Hs"</formula>
    </cfRule>
  </conditionalFormatting>
  <conditionalFormatting sqref="B111:C111">
    <cfRule type="cellIs" dxfId="16631" priority="3313" stopIfTrue="1" operator="equal">
      <formula>"Towel"</formula>
    </cfRule>
    <cfRule type="cellIs" dxfId="16630" priority="3314" stopIfTrue="1" operator="equal">
      <formula>"Napkin Hs"</formula>
    </cfRule>
  </conditionalFormatting>
  <conditionalFormatting sqref="C111">
    <cfRule type="cellIs" dxfId="16629" priority="3309" stopIfTrue="1" operator="equal">
      <formula>"Towel"</formula>
    </cfRule>
    <cfRule type="cellIs" dxfId="16628" priority="3310" stopIfTrue="1" operator="equal">
      <formula>"Napkin Hs"</formula>
    </cfRule>
  </conditionalFormatting>
  <conditionalFormatting sqref="B111:C111">
    <cfRule type="cellIs" dxfId="16627" priority="3307" stopIfTrue="1" operator="equal">
      <formula>"Towel"</formula>
    </cfRule>
    <cfRule type="cellIs" dxfId="16626" priority="3308" stopIfTrue="1" operator="equal">
      <formula>"Napkin Hs"</formula>
    </cfRule>
  </conditionalFormatting>
  <conditionalFormatting sqref="C111">
    <cfRule type="cellIs" dxfId="16625" priority="3315" stopIfTrue="1" operator="equal">
      <formula>"Towel"</formula>
    </cfRule>
    <cfRule type="cellIs" dxfId="16624" priority="3316" stopIfTrue="1" operator="equal">
      <formula>"Napkin Hs"</formula>
    </cfRule>
  </conditionalFormatting>
  <conditionalFormatting sqref="C111">
    <cfRule type="cellIs" dxfId="16623" priority="3317" stopIfTrue="1" operator="equal">
      <formula>"Towel"</formula>
    </cfRule>
    <cfRule type="cellIs" dxfId="16622" priority="3318" stopIfTrue="1" operator="equal">
      <formula>"Napkin Hs"</formula>
    </cfRule>
  </conditionalFormatting>
  <conditionalFormatting sqref="B111:C111">
    <cfRule type="cellIs" dxfId="16621" priority="3305" stopIfTrue="1" operator="equal">
      <formula>"Towel"</formula>
    </cfRule>
    <cfRule type="cellIs" dxfId="16620" priority="3306" stopIfTrue="1" operator="equal">
      <formula>"Napkin Hs"</formula>
    </cfRule>
  </conditionalFormatting>
  <conditionalFormatting sqref="C111">
    <cfRule type="cellIs" dxfId="16619" priority="3304" stopIfTrue="1" operator="equal">
      <formula>"Napkin Hs"</formula>
    </cfRule>
  </conditionalFormatting>
  <conditionalFormatting sqref="C111">
    <cfRule type="cellIs" dxfId="16618" priority="3303" stopIfTrue="1" operator="equal">
      <formula>"Towel"</formula>
    </cfRule>
  </conditionalFormatting>
  <conditionalFormatting sqref="C111">
    <cfRule type="cellIs" dxfId="16617" priority="3301" stopIfTrue="1" operator="equal">
      <formula>"Towel"</formula>
    </cfRule>
    <cfRule type="cellIs" dxfId="16616" priority="3302" stopIfTrue="1" operator="equal">
      <formula>"Napkin Hs"</formula>
    </cfRule>
  </conditionalFormatting>
  <conditionalFormatting sqref="B111:C111">
    <cfRule type="cellIs" dxfId="16615" priority="3299" stopIfTrue="1" operator="equal">
      <formula>"Towel"</formula>
    </cfRule>
    <cfRule type="cellIs" dxfId="16614" priority="3300" stopIfTrue="1" operator="equal">
      <formula>"Napkin Hs"</formula>
    </cfRule>
  </conditionalFormatting>
  <conditionalFormatting sqref="C111">
    <cfRule type="cellIs" dxfId="16613" priority="3295" stopIfTrue="1" operator="equal">
      <formula>"Towel"</formula>
    </cfRule>
    <cfRule type="cellIs" dxfId="16612" priority="3296" stopIfTrue="1" operator="equal">
      <formula>"Napkin Hs"</formula>
    </cfRule>
  </conditionalFormatting>
  <conditionalFormatting sqref="C111">
    <cfRule type="cellIs" dxfId="16611" priority="3297" stopIfTrue="1" operator="equal">
      <formula>"Towel"</formula>
    </cfRule>
    <cfRule type="cellIs" dxfId="16610" priority="3298" stopIfTrue="1" operator="equal">
      <formula>"Napkin Hs"</formula>
    </cfRule>
  </conditionalFormatting>
  <conditionalFormatting sqref="B111:C111">
    <cfRule type="cellIs" dxfId="16609" priority="3293" stopIfTrue="1" operator="equal">
      <formula>"Towel"</formula>
    </cfRule>
    <cfRule type="cellIs" dxfId="16608" priority="3294" stopIfTrue="1" operator="equal">
      <formula>"Napkin Hs"</formula>
    </cfRule>
  </conditionalFormatting>
  <conditionalFormatting sqref="C111">
    <cfRule type="cellIs" dxfId="16607" priority="3291" stopIfTrue="1" operator="equal">
      <formula>"Towel"</formula>
    </cfRule>
    <cfRule type="cellIs" dxfId="16606" priority="3292" stopIfTrue="1" operator="equal">
      <formula>"Napkin Hs"</formula>
    </cfRule>
  </conditionalFormatting>
  <conditionalFormatting sqref="C111">
    <cfRule type="cellIs" dxfId="16605" priority="3289" stopIfTrue="1" operator="equal">
      <formula>"Towel"</formula>
    </cfRule>
    <cfRule type="cellIs" dxfId="16604" priority="3290" stopIfTrue="1" operator="equal">
      <formula>"Napkin Hs"</formula>
    </cfRule>
  </conditionalFormatting>
  <conditionalFormatting sqref="C111">
    <cfRule type="cellIs" dxfId="16603" priority="3281" stopIfTrue="1" operator="equal">
      <formula>"Towel"</formula>
    </cfRule>
    <cfRule type="cellIs" dxfId="16602" priority="3282" stopIfTrue="1" operator="equal">
      <formula>"Napkin Hs"</formula>
    </cfRule>
  </conditionalFormatting>
  <conditionalFormatting sqref="B111:C111">
    <cfRule type="cellIs" dxfId="16601" priority="3283" stopIfTrue="1" operator="equal">
      <formula>"Towel"</formula>
    </cfRule>
    <cfRule type="cellIs" dxfId="16600" priority="3284" stopIfTrue="1" operator="equal">
      <formula>"Napkin Hs"</formula>
    </cfRule>
  </conditionalFormatting>
  <conditionalFormatting sqref="C111">
    <cfRule type="cellIs" dxfId="16599" priority="3279" stopIfTrue="1" operator="equal">
      <formula>"Towel"</formula>
    </cfRule>
    <cfRule type="cellIs" dxfId="16598" priority="3280" stopIfTrue="1" operator="equal">
      <formula>"Napkin Hs"</formula>
    </cfRule>
  </conditionalFormatting>
  <conditionalFormatting sqref="B111:C111">
    <cfRule type="cellIs" dxfId="16597" priority="3277" stopIfTrue="1" operator="equal">
      <formula>"Towel"</formula>
    </cfRule>
    <cfRule type="cellIs" dxfId="16596" priority="3278" stopIfTrue="1" operator="equal">
      <formula>"Napkin Hs"</formula>
    </cfRule>
  </conditionalFormatting>
  <conditionalFormatting sqref="C111">
    <cfRule type="cellIs" dxfId="16595" priority="3285" stopIfTrue="1" operator="equal">
      <formula>"Towel"</formula>
    </cfRule>
    <cfRule type="cellIs" dxfId="16594" priority="3286" stopIfTrue="1" operator="equal">
      <formula>"Napkin Hs"</formula>
    </cfRule>
  </conditionalFormatting>
  <conditionalFormatting sqref="C111">
    <cfRule type="cellIs" dxfId="16593" priority="3287" stopIfTrue="1" operator="equal">
      <formula>"Towel"</formula>
    </cfRule>
    <cfRule type="cellIs" dxfId="16592" priority="3288" stopIfTrue="1" operator="equal">
      <formula>"Napkin Hs"</formula>
    </cfRule>
  </conditionalFormatting>
  <conditionalFormatting sqref="B111:C111">
    <cfRule type="cellIs" dxfId="16591" priority="3275" stopIfTrue="1" operator="equal">
      <formula>"Towel"</formula>
    </cfRule>
    <cfRule type="cellIs" dxfId="16590" priority="3276" stopIfTrue="1" operator="equal">
      <formula>"Napkin Hs"</formula>
    </cfRule>
  </conditionalFormatting>
  <conditionalFormatting sqref="C111">
    <cfRule type="cellIs" dxfId="16589" priority="3274" stopIfTrue="1" operator="equal">
      <formula>"Napkin Hs"</formula>
    </cfRule>
  </conditionalFormatting>
  <conditionalFormatting sqref="C111">
    <cfRule type="cellIs" dxfId="16588" priority="3273" stopIfTrue="1" operator="equal">
      <formula>"Towel"</formula>
    </cfRule>
  </conditionalFormatting>
  <conditionalFormatting sqref="C111">
    <cfRule type="cellIs" dxfId="16587" priority="3271" stopIfTrue="1" operator="equal">
      <formula>"Towel"</formula>
    </cfRule>
    <cfRule type="cellIs" dxfId="16586" priority="3272" stopIfTrue="1" operator="equal">
      <formula>"Napkin Hs"</formula>
    </cfRule>
  </conditionalFormatting>
  <conditionalFormatting sqref="B111:C111">
    <cfRule type="cellIs" dxfId="16585" priority="3269" stopIfTrue="1" operator="equal">
      <formula>"Towel"</formula>
    </cfRule>
    <cfRule type="cellIs" dxfId="16584" priority="3270" stopIfTrue="1" operator="equal">
      <formula>"Napkin Hs"</formula>
    </cfRule>
  </conditionalFormatting>
  <conditionalFormatting sqref="C111">
    <cfRule type="cellIs" dxfId="16583" priority="3265" stopIfTrue="1" operator="equal">
      <formula>"Towel"</formula>
    </cfRule>
    <cfRule type="cellIs" dxfId="16582" priority="3266" stopIfTrue="1" operator="equal">
      <formula>"Napkin Hs"</formula>
    </cfRule>
  </conditionalFormatting>
  <conditionalFormatting sqref="C111">
    <cfRule type="cellIs" dxfId="16581" priority="3267" stopIfTrue="1" operator="equal">
      <formula>"Towel"</formula>
    </cfRule>
    <cfRule type="cellIs" dxfId="16580" priority="3268" stopIfTrue="1" operator="equal">
      <formula>"Napkin Hs"</formula>
    </cfRule>
  </conditionalFormatting>
  <conditionalFormatting sqref="B111:C111">
    <cfRule type="cellIs" dxfId="16579" priority="3263" stopIfTrue="1" operator="equal">
      <formula>"Towel"</formula>
    </cfRule>
    <cfRule type="cellIs" dxfId="16578" priority="3264" stopIfTrue="1" operator="equal">
      <formula>"Napkin Hs"</formula>
    </cfRule>
  </conditionalFormatting>
  <conditionalFormatting sqref="C111">
    <cfRule type="cellIs" dxfId="16577" priority="3262" stopIfTrue="1" operator="equal">
      <formula>"Napkin Hs"</formula>
    </cfRule>
  </conditionalFormatting>
  <conditionalFormatting sqref="C111">
    <cfRule type="cellIs" dxfId="16576" priority="3261" stopIfTrue="1" operator="equal">
      <formula>"Towel"</formula>
    </cfRule>
  </conditionalFormatting>
  <conditionalFormatting sqref="C111">
    <cfRule type="cellIs" dxfId="16575" priority="3259" stopIfTrue="1" operator="equal">
      <formula>"Towel"</formula>
    </cfRule>
    <cfRule type="cellIs" dxfId="16574" priority="3260" stopIfTrue="1" operator="equal">
      <formula>"Napkin Hs"</formula>
    </cfRule>
  </conditionalFormatting>
  <conditionalFormatting sqref="B111:C111">
    <cfRule type="cellIs" dxfId="16573" priority="3257" stopIfTrue="1" operator="equal">
      <formula>"Towel"</formula>
    </cfRule>
    <cfRule type="cellIs" dxfId="16572" priority="3258" stopIfTrue="1" operator="equal">
      <formula>"Napkin Hs"</formula>
    </cfRule>
  </conditionalFormatting>
  <conditionalFormatting sqref="C111">
    <cfRule type="cellIs" dxfId="16571" priority="3253" stopIfTrue="1" operator="equal">
      <formula>"Towel"</formula>
    </cfRule>
    <cfRule type="cellIs" dxfId="16570" priority="3254" stopIfTrue="1" operator="equal">
      <formula>"Napkin Hs"</formula>
    </cfRule>
  </conditionalFormatting>
  <conditionalFormatting sqref="C111">
    <cfRule type="cellIs" dxfId="16569" priority="3255" stopIfTrue="1" operator="equal">
      <formula>"Towel"</formula>
    </cfRule>
    <cfRule type="cellIs" dxfId="16568" priority="3256" stopIfTrue="1" operator="equal">
      <formula>"Napkin Hs"</formula>
    </cfRule>
  </conditionalFormatting>
  <conditionalFormatting sqref="B111:C111">
    <cfRule type="cellIs" dxfId="16567" priority="3251" stopIfTrue="1" operator="equal">
      <formula>"Towel"</formula>
    </cfRule>
    <cfRule type="cellIs" dxfId="16566" priority="3252" stopIfTrue="1" operator="equal">
      <formula>"Napkin Hs"</formula>
    </cfRule>
  </conditionalFormatting>
  <conditionalFormatting sqref="C111">
    <cfRule type="cellIs" dxfId="16565" priority="3250" stopIfTrue="1" operator="equal">
      <formula>"Napkin Hs"</formula>
    </cfRule>
  </conditionalFormatting>
  <conditionalFormatting sqref="C111">
    <cfRule type="cellIs" dxfId="16564" priority="3249" stopIfTrue="1" operator="equal">
      <formula>"Towel"</formula>
    </cfRule>
  </conditionalFormatting>
  <conditionalFormatting sqref="C111">
    <cfRule type="cellIs" dxfId="16563" priority="3247" stopIfTrue="1" operator="equal">
      <formula>"Towel"</formula>
    </cfRule>
    <cfRule type="cellIs" dxfId="16562" priority="3248" stopIfTrue="1" operator="equal">
      <formula>"Napkin Hs"</formula>
    </cfRule>
  </conditionalFormatting>
  <conditionalFormatting sqref="C111">
    <cfRule type="cellIs" dxfId="16561" priority="3239" stopIfTrue="1" operator="equal">
      <formula>"Towel"</formula>
    </cfRule>
    <cfRule type="cellIs" dxfId="16560" priority="3240" stopIfTrue="1" operator="equal">
      <formula>"Napkin Hs"</formula>
    </cfRule>
  </conditionalFormatting>
  <conditionalFormatting sqref="B111:C111">
    <cfRule type="cellIs" dxfId="16559" priority="3241" stopIfTrue="1" operator="equal">
      <formula>"Towel"</formula>
    </cfRule>
    <cfRule type="cellIs" dxfId="16558" priority="3242" stopIfTrue="1" operator="equal">
      <formula>"Napkin Hs"</formula>
    </cfRule>
  </conditionalFormatting>
  <conditionalFormatting sqref="C111">
    <cfRule type="cellIs" dxfId="16557" priority="3237" stopIfTrue="1" operator="equal">
      <formula>"Towel"</formula>
    </cfRule>
    <cfRule type="cellIs" dxfId="16556" priority="3238" stopIfTrue="1" operator="equal">
      <formula>"Napkin Hs"</formula>
    </cfRule>
  </conditionalFormatting>
  <conditionalFormatting sqref="B111:C111">
    <cfRule type="cellIs" dxfId="16555" priority="3235" stopIfTrue="1" operator="equal">
      <formula>"Towel"</formula>
    </cfRule>
    <cfRule type="cellIs" dxfId="16554" priority="3236" stopIfTrue="1" operator="equal">
      <formula>"Napkin Hs"</formula>
    </cfRule>
  </conditionalFormatting>
  <conditionalFormatting sqref="C111">
    <cfRule type="cellIs" dxfId="16553" priority="3243" stopIfTrue="1" operator="equal">
      <formula>"Towel"</formula>
    </cfRule>
    <cfRule type="cellIs" dxfId="16552" priority="3244" stopIfTrue="1" operator="equal">
      <formula>"Napkin Hs"</formula>
    </cfRule>
  </conditionalFormatting>
  <conditionalFormatting sqref="C111">
    <cfRule type="cellIs" dxfId="16551" priority="3245" stopIfTrue="1" operator="equal">
      <formula>"Towel"</formula>
    </cfRule>
    <cfRule type="cellIs" dxfId="16550" priority="3246" stopIfTrue="1" operator="equal">
      <formula>"Napkin Hs"</formula>
    </cfRule>
  </conditionalFormatting>
  <conditionalFormatting sqref="B111:C111">
    <cfRule type="cellIs" dxfId="16549" priority="3233" stopIfTrue="1" operator="equal">
      <formula>"Towel"</formula>
    </cfRule>
    <cfRule type="cellIs" dxfId="16548" priority="3234" stopIfTrue="1" operator="equal">
      <formula>"Napkin Hs"</formula>
    </cfRule>
  </conditionalFormatting>
  <conditionalFormatting sqref="C111">
    <cfRule type="cellIs" dxfId="16547" priority="3229" stopIfTrue="1" operator="equal">
      <formula>"Towel"</formula>
    </cfRule>
    <cfRule type="cellIs" dxfId="16546" priority="3230" stopIfTrue="1" operator="equal">
      <formula>"Napkin Hs"</formula>
    </cfRule>
  </conditionalFormatting>
  <conditionalFormatting sqref="C111">
    <cfRule type="cellIs" dxfId="16545" priority="3231" stopIfTrue="1" operator="equal">
      <formula>"Towel"</formula>
    </cfRule>
    <cfRule type="cellIs" dxfId="16544" priority="3232" stopIfTrue="1" operator="equal">
      <formula>"Napkin Hs"</formula>
    </cfRule>
  </conditionalFormatting>
  <conditionalFormatting sqref="C111">
    <cfRule type="cellIs" dxfId="16543" priority="3221" stopIfTrue="1" operator="equal">
      <formula>"Towel"</formula>
    </cfRule>
    <cfRule type="cellIs" dxfId="16542" priority="3222" stopIfTrue="1" operator="equal">
      <formula>"Napkin Hs"</formula>
    </cfRule>
  </conditionalFormatting>
  <conditionalFormatting sqref="B111:C111">
    <cfRule type="cellIs" dxfId="16541" priority="3223" stopIfTrue="1" operator="equal">
      <formula>"Towel"</formula>
    </cfRule>
    <cfRule type="cellIs" dxfId="16540" priority="3224" stopIfTrue="1" operator="equal">
      <formula>"Napkin Hs"</formula>
    </cfRule>
  </conditionalFormatting>
  <conditionalFormatting sqref="C111">
    <cfRule type="cellIs" dxfId="16539" priority="3219" stopIfTrue="1" operator="equal">
      <formula>"Towel"</formula>
    </cfRule>
    <cfRule type="cellIs" dxfId="16538" priority="3220" stopIfTrue="1" operator="equal">
      <formula>"Napkin Hs"</formula>
    </cfRule>
  </conditionalFormatting>
  <conditionalFormatting sqref="B111:C111">
    <cfRule type="cellIs" dxfId="16537" priority="3217" stopIfTrue="1" operator="equal">
      <formula>"Towel"</formula>
    </cfRule>
    <cfRule type="cellIs" dxfId="16536" priority="3218" stopIfTrue="1" operator="equal">
      <formula>"Napkin Hs"</formula>
    </cfRule>
  </conditionalFormatting>
  <conditionalFormatting sqref="C111">
    <cfRule type="cellIs" dxfId="16535" priority="3225" stopIfTrue="1" operator="equal">
      <formula>"Towel"</formula>
    </cfRule>
    <cfRule type="cellIs" dxfId="16534" priority="3226" stopIfTrue="1" operator="equal">
      <formula>"Napkin Hs"</formula>
    </cfRule>
  </conditionalFormatting>
  <conditionalFormatting sqref="C111">
    <cfRule type="cellIs" dxfId="16533" priority="3227" stopIfTrue="1" operator="equal">
      <formula>"Towel"</formula>
    </cfRule>
    <cfRule type="cellIs" dxfId="16532" priority="3228" stopIfTrue="1" operator="equal">
      <formula>"Napkin Hs"</formula>
    </cfRule>
  </conditionalFormatting>
  <conditionalFormatting sqref="B111:C111">
    <cfRule type="cellIs" dxfId="16531" priority="3215" stopIfTrue="1" operator="equal">
      <formula>"Towel"</formula>
    </cfRule>
    <cfRule type="cellIs" dxfId="16530" priority="3216" stopIfTrue="1" operator="equal">
      <formula>"Napkin Hs"</formula>
    </cfRule>
  </conditionalFormatting>
  <conditionalFormatting sqref="C111">
    <cfRule type="cellIs" dxfId="16529" priority="3214" stopIfTrue="1" operator="equal">
      <formula>"Napkin Hs"</formula>
    </cfRule>
  </conditionalFormatting>
  <conditionalFormatting sqref="C111">
    <cfRule type="cellIs" dxfId="16528" priority="3213" stopIfTrue="1" operator="equal">
      <formula>"Towel"</formula>
    </cfRule>
  </conditionalFormatting>
  <conditionalFormatting sqref="C111">
    <cfRule type="cellIs" dxfId="16527" priority="3211" stopIfTrue="1" operator="equal">
      <formula>"Towel"</formula>
    </cfRule>
    <cfRule type="cellIs" dxfId="16526" priority="3212" stopIfTrue="1" operator="equal">
      <formula>"Napkin Hs"</formula>
    </cfRule>
  </conditionalFormatting>
  <conditionalFormatting sqref="B112:C112">
    <cfRule type="cellIs" dxfId="16525" priority="3209" stopIfTrue="1" operator="equal">
      <formula>"Towel"</formula>
    </cfRule>
    <cfRule type="cellIs" dxfId="16524" priority="3210" stopIfTrue="1" operator="equal">
      <formula>"Napkin Hs"</formula>
    </cfRule>
  </conditionalFormatting>
  <conditionalFormatting sqref="C112">
    <cfRule type="cellIs" dxfId="16523" priority="3205" stopIfTrue="1" operator="equal">
      <formula>"Towel"</formula>
    </cfRule>
    <cfRule type="cellIs" dxfId="16522" priority="3206" stopIfTrue="1" operator="equal">
      <formula>"Napkin Hs"</formula>
    </cfRule>
  </conditionalFormatting>
  <conditionalFormatting sqref="C112">
    <cfRule type="cellIs" dxfId="16521" priority="3207" stopIfTrue="1" operator="equal">
      <formula>"Towel"</formula>
    </cfRule>
    <cfRule type="cellIs" dxfId="16520" priority="3208" stopIfTrue="1" operator="equal">
      <formula>"Napkin Hs"</formula>
    </cfRule>
  </conditionalFormatting>
  <conditionalFormatting sqref="B112:C112">
    <cfRule type="cellIs" dxfId="16519" priority="3203" stopIfTrue="1" operator="equal">
      <formula>"Towel"</formula>
    </cfRule>
    <cfRule type="cellIs" dxfId="16518" priority="3204" stopIfTrue="1" operator="equal">
      <formula>"Napkin Hs"</formula>
    </cfRule>
  </conditionalFormatting>
  <conditionalFormatting sqref="C112">
    <cfRule type="cellIs" dxfId="16517" priority="3201" stopIfTrue="1" operator="equal">
      <formula>"Towel"</formula>
    </cfRule>
    <cfRule type="cellIs" dxfId="16516" priority="3202" stopIfTrue="1" operator="equal">
      <formula>"Napkin Hs"</formula>
    </cfRule>
  </conditionalFormatting>
  <conditionalFormatting sqref="C112">
    <cfRule type="cellIs" dxfId="16515" priority="3199" stopIfTrue="1" operator="equal">
      <formula>"Towel"</formula>
    </cfRule>
    <cfRule type="cellIs" dxfId="16514" priority="3200" stopIfTrue="1" operator="equal">
      <formula>"Napkin Hs"</formula>
    </cfRule>
  </conditionalFormatting>
  <conditionalFormatting sqref="C112">
    <cfRule type="cellIs" dxfId="16513" priority="3191" stopIfTrue="1" operator="equal">
      <formula>"Towel"</formula>
    </cfRule>
    <cfRule type="cellIs" dxfId="16512" priority="3192" stopIfTrue="1" operator="equal">
      <formula>"Napkin Hs"</formula>
    </cfRule>
  </conditionalFormatting>
  <conditionalFormatting sqref="B112:C112">
    <cfRule type="cellIs" dxfId="16511" priority="3193" stopIfTrue="1" operator="equal">
      <formula>"Towel"</formula>
    </cfRule>
    <cfRule type="cellIs" dxfId="16510" priority="3194" stopIfTrue="1" operator="equal">
      <formula>"Napkin Hs"</formula>
    </cfRule>
  </conditionalFormatting>
  <conditionalFormatting sqref="C112">
    <cfRule type="cellIs" dxfId="16509" priority="3189" stopIfTrue="1" operator="equal">
      <formula>"Towel"</formula>
    </cfRule>
    <cfRule type="cellIs" dxfId="16508" priority="3190" stopIfTrue="1" operator="equal">
      <formula>"Napkin Hs"</formula>
    </cfRule>
  </conditionalFormatting>
  <conditionalFormatting sqref="B112:C112">
    <cfRule type="cellIs" dxfId="16507" priority="3187" stopIfTrue="1" operator="equal">
      <formula>"Towel"</formula>
    </cfRule>
    <cfRule type="cellIs" dxfId="16506" priority="3188" stopIfTrue="1" operator="equal">
      <formula>"Napkin Hs"</formula>
    </cfRule>
  </conditionalFormatting>
  <conditionalFormatting sqref="C112">
    <cfRule type="cellIs" dxfId="16505" priority="3195" stopIfTrue="1" operator="equal">
      <formula>"Towel"</formula>
    </cfRule>
    <cfRule type="cellIs" dxfId="16504" priority="3196" stopIfTrue="1" operator="equal">
      <formula>"Napkin Hs"</formula>
    </cfRule>
  </conditionalFormatting>
  <conditionalFormatting sqref="C112">
    <cfRule type="cellIs" dxfId="16503" priority="3197" stopIfTrue="1" operator="equal">
      <formula>"Towel"</formula>
    </cfRule>
    <cfRule type="cellIs" dxfId="16502" priority="3198" stopIfTrue="1" operator="equal">
      <formula>"Napkin Hs"</formula>
    </cfRule>
  </conditionalFormatting>
  <conditionalFormatting sqref="C112">
    <cfRule type="cellIs" dxfId="16501" priority="3179" stopIfTrue="1" operator="equal">
      <formula>"Towel"</formula>
    </cfRule>
    <cfRule type="cellIs" dxfId="16500" priority="3180" stopIfTrue="1" operator="equal">
      <formula>"Napkin Hs"</formula>
    </cfRule>
  </conditionalFormatting>
  <conditionalFormatting sqref="C112">
    <cfRule type="cellIs" dxfId="16499" priority="3177" stopIfTrue="1" operator="equal">
      <formula>"Towel"</formula>
    </cfRule>
    <cfRule type="cellIs" dxfId="16498" priority="3178" stopIfTrue="1" operator="equal">
      <formula>"Napkin Hs"</formula>
    </cfRule>
  </conditionalFormatting>
  <conditionalFormatting sqref="B112:C112">
    <cfRule type="cellIs" dxfId="16497" priority="3175" stopIfTrue="1" operator="equal">
      <formula>"Towel"</formula>
    </cfRule>
    <cfRule type="cellIs" dxfId="16496" priority="3176" stopIfTrue="1" operator="equal">
      <formula>"Napkin Hs"</formula>
    </cfRule>
  </conditionalFormatting>
  <conditionalFormatting sqref="B112:C112">
    <cfRule type="cellIs" dxfId="16495" priority="3185" stopIfTrue="1" operator="equal">
      <formula>"Towel"</formula>
    </cfRule>
    <cfRule type="cellIs" dxfId="16494" priority="3186" stopIfTrue="1" operator="equal">
      <formula>"Napkin Hs"</formula>
    </cfRule>
  </conditionalFormatting>
  <conditionalFormatting sqref="C112">
    <cfRule type="cellIs" dxfId="16493" priority="3183" stopIfTrue="1" operator="equal">
      <formula>"Towel"</formula>
    </cfRule>
    <cfRule type="cellIs" dxfId="16492" priority="3184" stopIfTrue="1" operator="equal">
      <formula>"Napkin Hs"</formula>
    </cfRule>
  </conditionalFormatting>
  <conditionalFormatting sqref="C112">
    <cfRule type="cellIs" dxfId="16491" priority="3181" stopIfTrue="1" operator="equal">
      <formula>"Towel"</formula>
    </cfRule>
    <cfRule type="cellIs" dxfId="16490" priority="3182" stopIfTrue="1" operator="equal">
      <formula>"Napkin Hs"</formula>
    </cfRule>
  </conditionalFormatting>
  <conditionalFormatting sqref="C112">
    <cfRule type="cellIs" dxfId="16489" priority="3173" stopIfTrue="1" operator="equal">
      <formula>"Towel"</formula>
    </cfRule>
    <cfRule type="cellIs" dxfId="16488" priority="3174" stopIfTrue="1" operator="equal">
      <formula>"Napkin Hs"</formula>
    </cfRule>
  </conditionalFormatting>
  <conditionalFormatting sqref="C112">
    <cfRule type="cellIs" dxfId="16487" priority="3171" stopIfTrue="1" operator="equal">
      <formula>"Towel"</formula>
    </cfRule>
    <cfRule type="cellIs" dxfId="16486" priority="3172" stopIfTrue="1" operator="equal">
      <formula>"Napkin Hs"</formula>
    </cfRule>
  </conditionalFormatting>
  <conditionalFormatting sqref="B112:C112">
    <cfRule type="cellIs" dxfId="16485" priority="3169" stopIfTrue="1" operator="equal">
      <formula>"Towel"</formula>
    </cfRule>
    <cfRule type="cellIs" dxfId="16484" priority="3170" stopIfTrue="1" operator="equal">
      <formula>"Napkin Hs"</formula>
    </cfRule>
  </conditionalFormatting>
  <conditionalFormatting sqref="B112:C112">
    <cfRule type="cellIs" dxfId="16483" priority="3167" stopIfTrue="1" operator="equal">
      <formula>"Towel"</formula>
    </cfRule>
    <cfRule type="cellIs" dxfId="16482" priority="3168" stopIfTrue="1" operator="equal">
      <formula>"Napkin Hs"</formula>
    </cfRule>
  </conditionalFormatting>
  <conditionalFormatting sqref="C112">
    <cfRule type="cellIs" dxfId="16481" priority="3165" stopIfTrue="1" operator="equal">
      <formula>"Towel"</formula>
    </cfRule>
    <cfRule type="cellIs" dxfId="16480" priority="3166" stopIfTrue="1" operator="equal">
      <formula>"Napkin Hs"</formula>
    </cfRule>
  </conditionalFormatting>
  <conditionalFormatting sqref="C112">
    <cfRule type="cellIs" dxfId="16479" priority="3163" stopIfTrue="1" operator="equal">
      <formula>"Towel"</formula>
    </cfRule>
    <cfRule type="cellIs" dxfId="16478" priority="3164" stopIfTrue="1" operator="equal">
      <formula>"Napkin Hs"</formula>
    </cfRule>
  </conditionalFormatting>
  <conditionalFormatting sqref="C112">
    <cfRule type="cellIs" dxfId="16477" priority="3155" stopIfTrue="1" operator="equal">
      <formula>"Towel"</formula>
    </cfRule>
    <cfRule type="cellIs" dxfId="16476" priority="3156" stopIfTrue="1" operator="equal">
      <formula>"Napkin Hs"</formula>
    </cfRule>
  </conditionalFormatting>
  <conditionalFormatting sqref="B112:C112">
    <cfRule type="cellIs" dxfId="16475" priority="3157" stopIfTrue="1" operator="equal">
      <formula>"Towel"</formula>
    </cfRule>
    <cfRule type="cellIs" dxfId="16474" priority="3158" stopIfTrue="1" operator="equal">
      <formula>"Napkin Hs"</formula>
    </cfRule>
  </conditionalFormatting>
  <conditionalFormatting sqref="C112">
    <cfRule type="cellIs" dxfId="16473" priority="3153" stopIfTrue="1" operator="equal">
      <formula>"Towel"</formula>
    </cfRule>
    <cfRule type="cellIs" dxfId="16472" priority="3154" stopIfTrue="1" operator="equal">
      <formula>"Napkin Hs"</formula>
    </cfRule>
  </conditionalFormatting>
  <conditionalFormatting sqref="B112:C112">
    <cfRule type="cellIs" dxfId="16471" priority="3151" stopIfTrue="1" operator="equal">
      <formula>"Towel"</formula>
    </cfRule>
    <cfRule type="cellIs" dxfId="16470" priority="3152" stopIfTrue="1" operator="equal">
      <formula>"Napkin Hs"</formula>
    </cfRule>
  </conditionalFormatting>
  <conditionalFormatting sqref="C112">
    <cfRule type="cellIs" dxfId="16469" priority="3159" stopIfTrue="1" operator="equal">
      <formula>"Towel"</formula>
    </cfRule>
    <cfRule type="cellIs" dxfId="16468" priority="3160" stopIfTrue="1" operator="equal">
      <formula>"Napkin Hs"</formula>
    </cfRule>
  </conditionalFormatting>
  <conditionalFormatting sqref="C112">
    <cfRule type="cellIs" dxfId="16467" priority="3161" stopIfTrue="1" operator="equal">
      <formula>"Towel"</formula>
    </cfRule>
    <cfRule type="cellIs" dxfId="16466" priority="3162" stopIfTrue="1" operator="equal">
      <formula>"Napkin Hs"</formula>
    </cfRule>
  </conditionalFormatting>
  <conditionalFormatting sqref="B112:C112">
    <cfRule type="cellIs" dxfId="16465" priority="3149" stopIfTrue="1" operator="equal">
      <formula>"Towel"</formula>
    </cfRule>
    <cfRule type="cellIs" dxfId="16464" priority="3150" stopIfTrue="1" operator="equal">
      <formula>"Napkin Hs"</formula>
    </cfRule>
  </conditionalFormatting>
  <conditionalFormatting sqref="C112">
    <cfRule type="cellIs" dxfId="16463" priority="3148" stopIfTrue="1" operator="equal">
      <formula>"Napkin Hs"</formula>
    </cfRule>
  </conditionalFormatting>
  <conditionalFormatting sqref="C112">
    <cfRule type="cellIs" dxfId="16462" priority="3147" stopIfTrue="1" operator="equal">
      <formula>"Towel"</formula>
    </cfRule>
  </conditionalFormatting>
  <conditionalFormatting sqref="C112">
    <cfRule type="cellIs" dxfId="16461" priority="3145" stopIfTrue="1" operator="equal">
      <formula>"Towel"</formula>
    </cfRule>
    <cfRule type="cellIs" dxfId="16460" priority="3146" stopIfTrue="1" operator="equal">
      <formula>"Napkin Hs"</formula>
    </cfRule>
  </conditionalFormatting>
  <conditionalFormatting sqref="B112:C112">
    <cfRule type="cellIs" dxfId="16459" priority="3143" stopIfTrue="1" operator="equal">
      <formula>"Towel"</formula>
    </cfRule>
    <cfRule type="cellIs" dxfId="16458" priority="3144" stopIfTrue="1" operator="equal">
      <formula>"Napkin Hs"</formula>
    </cfRule>
  </conditionalFormatting>
  <conditionalFormatting sqref="C112">
    <cfRule type="cellIs" dxfId="16457" priority="3139" stopIfTrue="1" operator="equal">
      <formula>"Towel"</formula>
    </cfRule>
    <cfRule type="cellIs" dxfId="16456" priority="3140" stopIfTrue="1" operator="equal">
      <formula>"Napkin Hs"</formula>
    </cfRule>
  </conditionalFormatting>
  <conditionalFormatting sqref="C112">
    <cfRule type="cellIs" dxfId="16455" priority="3141" stopIfTrue="1" operator="equal">
      <formula>"Towel"</formula>
    </cfRule>
    <cfRule type="cellIs" dxfId="16454" priority="3142" stopIfTrue="1" operator="equal">
      <formula>"Napkin Hs"</formula>
    </cfRule>
  </conditionalFormatting>
  <conditionalFormatting sqref="B112:C112">
    <cfRule type="cellIs" dxfId="16453" priority="3137" stopIfTrue="1" operator="equal">
      <formula>"Towel"</formula>
    </cfRule>
    <cfRule type="cellIs" dxfId="16452" priority="3138" stopIfTrue="1" operator="equal">
      <formula>"Napkin Hs"</formula>
    </cfRule>
  </conditionalFormatting>
  <conditionalFormatting sqref="C112">
    <cfRule type="cellIs" dxfId="16451" priority="3135" stopIfTrue="1" operator="equal">
      <formula>"Towel"</formula>
    </cfRule>
    <cfRule type="cellIs" dxfId="16450" priority="3136" stopIfTrue="1" operator="equal">
      <formula>"Napkin Hs"</formula>
    </cfRule>
  </conditionalFormatting>
  <conditionalFormatting sqref="C112">
    <cfRule type="cellIs" dxfId="16449" priority="3133" stopIfTrue="1" operator="equal">
      <formula>"Towel"</formula>
    </cfRule>
    <cfRule type="cellIs" dxfId="16448" priority="3134" stopIfTrue="1" operator="equal">
      <formula>"Napkin Hs"</formula>
    </cfRule>
  </conditionalFormatting>
  <conditionalFormatting sqref="C112">
    <cfRule type="cellIs" dxfId="16447" priority="3125" stopIfTrue="1" operator="equal">
      <formula>"Towel"</formula>
    </cfRule>
    <cfRule type="cellIs" dxfId="16446" priority="3126" stopIfTrue="1" operator="equal">
      <formula>"Napkin Hs"</formula>
    </cfRule>
  </conditionalFormatting>
  <conditionalFormatting sqref="B112:C112">
    <cfRule type="cellIs" dxfId="16445" priority="3127" stopIfTrue="1" operator="equal">
      <formula>"Towel"</formula>
    </cfRule>
    <cfRule type="cellIs" dxfId="16444" priority="3128" stopIfTrue="1" operator="equal">
      <formula>"Napkin Hs"</formula>
    </cfRule>
  </conditionalFormatting>
  <conditionalFormatting sqref="C112">
    <cfRule type="cellIs" dxfId="16443" priority="3123" stopIfTrue="1" operator="equal">
      <formula>"Towel"</formula>
    </cfRule>
    <cfRule type="cellIs" dxfId="16442" priority="3124" stopIfTrue="1" operator="equal">
      <formula>"Napkin Hs"</formula>
    </cfRule>
  </conditionalFormatting>
  <conditionalFormatting sqref="B112:C112">
    <cfRule type="cellIs" dxfId="16441" priority="3121" stopIfTrue="1" operator="equal">
      <formula>"Towel"</formula>
    </cfRule>
    <cfRule type="cellIs" dxfId="16440" priority="3122" stopIfTrue="1" operator="equal">
      <formula>"Napkin Hs"</formula>
    </cfRule>
  </conditionalFormatting>
  <conditionalFormatting sqref="C112">
    <cfRule type="cellIs" dxfId="16439" priority="3129" stopIfTrue="1" operator="equal">
      <formula>"Towel"</formula>
    </cfRule>
    <cfRule type="cellIs" dxfId="16438" priority="3130" stopIfTrue="1" operator="equal">
      <formula>"Napkin Hs"</formula>
    </cfRule>
  </conditionalFormatting>
  <conditionalFormatting sqref="C112">
    <cfRule type="cellIs" dxfId="16437" priority="3131" stopIfTrue="1" operator="equal">
      <formula>"Towel"</formula>
    </cfRule>
    <cfRule type="cellIs" dxfId="16436" priority="3132" stopIfTrue="1" operator="equal">
      <formula>"Napkin Hs"</formula>
    </cfRule>
  </conditionalFormatting>
  <conditionalFormatting sqref="B112:C112">
    <cfRule type="cellIs" dxfId="16435" priority="3119" stopIfTrue="1" operator="equal">
      <formula>"Towel"</formula>
    </cfRule>
    <cfRule type="cellIs" dxfId="16434" priority="3120" stopIfTrue="1" operator="equal">
      <formula>"Napkin Hs"</formula>
    </cfRule>
  </conditionalFormatting>
  <conditionalFormatting sqref="C112">
    <cfRule type="cellIs" dxfId="16433" priority="3118" stopIfTrue="1" operator="equal">
      <formula>"Napkin Hs"</formula>
    </cfRule>
  </conditionalFormatting>
  <conditionalFormatting sqref="C112">
    <cfRule type="cellIs" dxfId="16432" priority="3117" stopIfTrue="1" operator="equal">
      <formula>"Towel"</formula>
    </cfRule>
  </conditionalFormatting>
  <conditionalFormatting sqref="C112">
    <cfRule type="cellIs" dxfId="16431" priority="3115" stopIfTrue="1" operator="equal">
      <formula>"Towel"</formula>
    </cfRule>
    <cfRule type="cellIs" dxfId="16430" priority="3116" stopIfTrue="1" operator="equal">
      <formula>"Napkin Hs"</formula>
    </cfRule>
  </conditionalFormatting>
  <conditionalFormatting sqref="B112:C112">
    <cfRule type="cellIs" dxfId="16429" priority="3113" stopIfTrue="1" operator="equal">
      <formula>"Towel"</formula>
    </cfRule>
    <cfRule type="cellIs" dxfId="16428" priority="3114" stopIfTrue="1" operator="equal">
      <formula>"Napkin Hs"</formula>
    </cfRule>
  </conditionalFormatting>
  <conditionalFormatting sqref="C112">
    <cfRule type="cellIs" dxfId="16427" priority="3109" stopIfTrue="1" operator="equal">
      <formula>"Towel"</formula>
    </cfRule>
    <cfRule type="cellIs" dxfId="16426" priority="3110" stopIfTrue="1" operator="equal">
      <formula>"Napkin Hs"</formula>
    </cfRule>
  </conditionalFormatting>
  <conditionalFormatting sqref="C112">
    <cfRule type="cellIs" dxfId="16425" priority="3111" stopIfTrue="1" operator="equal">
      <formula>"Towel"</formula>
    </cfRule>
    <cfRule type="cellIs" dxfId="16424" priority="3112" stopIfTrue="1" operator="equal">
      <formula>"Napkin Hs"</formula>
    </cfRule>
  </conditionalFormatting>
  <conditionalFormatting sqref="B112:C112">
    <cfRule type="cellIs" dxfId="16423" priority="3107" stopIfTrue="1" operator="equal">
      <formula>"Towel"</formula>
    </cfRule>
    <cfRule type="cellIs" dxfId="16422" priority="3108" stopIfTrue="1" operator="equal">
      <formula>"Napkin Hs"</formula>
    </cfRule>
  </conditionalFormatting>
  <conditionalFormatting sqref="C112">
    <cfRule type="cellIs" dxfId="16421" priority="3106" stopIfTrue="1" operator="equal">
      <formula>"Napkin Hs"</formula>
    </cfRule>
  </conditionalFormatting>
  <conditionalFormatting sqref="C112">
    <cfRule type="cellIs" dxfId="16420" priority="3105" stopIfTrue="1" operator="equal">
      <formula>"Towel"</formula>
    </cfRule>
  </conditionalFormatting>
  <conditionalFormatting sqref="C112">
    <cfRule type="cellIs" dxfId="16419" priority="3103" stopIfTrue="1" operator="equal">
      <formula>"Towel"</formula>
    </cfRule>
    <cfRule type="cellIs" dxfId="16418" priority="3104" stopIfTrue="1" operator="equal">
      <formula>"Napkin Hs"</formula>
    </cfRule>
  </conditionalFormatting>
  <conditionalFormatting sqref="B112:C112">
    <cfRule type="cellIs" dxfId="16417" priority="3101" stopIfTrue="1" operator="equal">
      <formula>"Towel"</formula>
    </cfRule>
    <cfRule type="cellIs" dxfId="16416" priority="3102" stopIfTrue="1" operator="equal">
      <formula>"Napkin Hs"</formula>
    </cfRule>
  </conditionalFormatting>
  <conditionalFormatting sqref="C112">
    <cfRule type="cellIs" dxfId="16415" priority="3097" stopIfTrue="1" operator="equal">
      <formula>"Towel"</formula>
    </cfRule>
    <cfRule type="cellIs" dxfId="16414" priority="3098" stopIfTrue="1" operator="equal">
      <formula>"Napkin Hs"</formula>
    </cfRule>
  </conditionalFormatting>
  <conditionalFormatting sqref="C112">
    <cfRule type="cellIs" dxfId="16413" priority="3099" stopIfTrue="1" operator="equal">
      <formula>"Towel"</formula>
    </cfRule>
    <cfRule type="cellIs" dxfId="16412" priority="3100" stopIfTrue="1" operator="equal">
      <formula>"Napkin Hs"</formula>
    </cfRule>
  </conditionalFormatting>
  <conditionalFormatting sqref="B112:C112">
    <cfRule type="cellIs" dxfId="16411" priority="3095" stopIfTrue="1" operator="equal">
      <formula>"Towel"</formula>
    </cfRule>
    <cfRule type="cellIs" dxfId="16410" priority="3096" stopIfTrue="1" operator="equal">
      <formula>"Napkin Hs"</formula>
    </cfRule>
  </conditionalFormatting>
  <conditionalFormatting sqref="C112">
    <cfRule type="cellIs" dxfId="16409" priority="3094" stopIfTrue="1" operator="equal">
      <formula>"Napkin Hs"</formula>
    </cfRule>
  </conditionalFormatting>
  <conditionalFormatting sqref="C112">
    <cfRule type="cellIs" dxfId="16408" priority="3093" stopIfTrue="1" operator="equal">
      <formula>"Towel"</formula>
    </cfRule>
  </conditionalFormatting>
  <conditionalFormatting sqref="C112">
    <cfRule type="cellIs" dxfId="16407" priority="3091" stopIfTrue="1" operator="equal">
      <formula>"Towel"</formula>
    </cfRule>
    <cfRule type="cellIs" dxfId="16406" priority="3092" stopIfTrue="1" operator="equal">
      <formula>"Napkin Hs"</formula>
    </cfRule>
  </conditionalFormatting>
  <conditionalFormatting sqref="C112">
    <cfRule type="cellIs" dxfId="16405" priority="3083" stopIfTrue="1" operator="equal">
      <formula>"Towel"</formula>
    </cfRule>
    <cfRule type="cellIs" dxfId="16404" priority="3084" stopIfTrue="1" operator="equal">
      <formula>"Napkin Hs"</formula>
    </cfRule>
  </conditionalFormatting>
  <conditionalFormatting sqref="B112:C112">
    <cfRule type="cellIs" dxfId="16403" priority="3085" stopIfTrue="1" operator="equal">
      <formula>"Towel"</formula>
    </cfRule>
    <cfRule type="cellIs" dxfId="16402" priority="3086" stopIfTrue="1" operator="equal">
      <formula>"Napkin Hs"</formula>
    </cfRule>
  </conditionalFormatting>
  <conditionalFormatting sqref="C112">
    <cfRule type="cellIs" dxfId="16401" priority="3081" stopIfTrue="1" operator="equal">
      <formula>"Towel"</formula>
    </cfRule>
    <cfRule type="cellIs" dxfId="16400" priority="3082" stopIfTrue="1" operator="equal">
      <formula>"Napkin Hs"</formula>
    </cfRule>
  </conditionalFormatting>
  <conditionalFormatting sqref="B112:C112">
    <cfRule type="cellIs" dxfId="16399" priority="3079" stopIfTrue="1" operator="equal">
      <formula>"Towel"</formula>
    </cfRule>
    <cfRule type="cellIs" dxfId="16398" priority="3080" stopIfTrue="1" operator="equal">
      <formula>"Napkin Hs"</formula>
    </cfRule>
  </conditionalFormatting>
  <conditionalFormatting sqref="C112">
    <cfRule type="cellIs" dxfId="16397" priority="3087" stopIfTrue="1" operator="equal">
      <formula>"Towel"</formula>
    </cfRule>
    <cfRule type="cellIs" dxfId="16396" priority="3088" stopIfTrue="1" operator="equal">
      <formula>"Napkin Hs"</formula>
    </cfRule>
  </conditionalFormatting>
  <conditionalFormatting sqref="C112">
    <cfRule type="cellIs" dxfId="16395" priority="3089" stopIfTrue="1" operator="equal">
      <formula>"Towel"</formula>
    </cfRule>
    <cfRule type="cellIs" dxfId="16394" priority="3090" stopIfTrue="1" operator="equal">
      <formula>"Napkin Hs"</formula>
    </cfRule>
  </conditionalFormatting>
  <conditionalFormatting sqref="B112:C112">
    <cfRule type="cellIs" dxfId="16393" priority="3077" stopIfTrue="1" operator="equal">
      <formula>"Towel"</formula>
    </cfRule>
    <cfRule type="cellIs" dxfId="16392" priority="3078" stopIfTrue="1" operator="equal">
      <formula>"Napkin Hs"</formula>
    </cfRule>
  </conditionalFormatting>
  <conditionalFormatting sqref="C112">
    <cfRule type="cellIs" dxfId="16391" priority="3073" stopIfTrue="1" operator="equal">
      <formula>"Towel"</formula>
    </cfRule>
    <cfRule type="cellIs" dxfId="16390" priority="3074" stopIfTrue="1" operator="equal">
      <formula>"Napkin Hs"</formula>
    </cfRule>
  </conditionalFormatting>
  <conditionalFormatting sqref="C112">
    <cfRule type="cellIs" dxfId="16389" priority="3075" stopIfTrue="1" operator="equal">
      <formula>"Towel"</formula>
    </cfRule>
    <cfRule type="cellIs" dxfId="16388" priority="3076" stopIfTrue="1" operator="equal">
      <formula>"Napkin Hs"</formula>
    </cfRule>
  </conditionalFormatting>
  <conditionalFormatting sqref="C112">
    <cfRule type="cellIs" dxfId="16387" priority="3065" stopIfTrue="1" operator="equal">
      <formula>"Towel"</formula>
    </cfRule>
    <cfRule type="cellIs" dxfId="16386" priority="3066" stopIfTrue="1" operator="equal">
      <formula>"Napkin Hs"</formula>
    </cfRule>
  </conditionalFormatting>
  <conditionalFormatting sqref="B112:C112">
    <cfRule type="cellIs" dxfId="16385" priority="3067" stopIfTrue="1" operator="equal">
      <formula>"Towel"</formula>
    </cfRule>
    <cfRule type="cellIs" dxfId="16384" priority="3068" stopIfTrue="1" operator="equal">
      <formula>"Napkin Hs"</formula>
    </cfRule>
  </conditionalFormatting>
  <conditionalFormatting sqref="C112">
    <cfRule type="cellIs" dxfId="16383" priority="3063" stopIfTrue="1" operator="equal">
      <formula>"Towel"</formula>
    </cfRule>
    <cfRule type="cellIs" dxfId="16382" priority="3064" stopIfTrue="1" operator="equal">
      <formula>"Napkin Hs"</formula>
    </cfRule>
  </conditionalFormatting>
  <conditionalFormatting sqref="B112:C112">
    <cfRule type="cellIs" dxfId="16381" priority="3061" stopIfTrue="1" operator="equal">
      <formula>"Towel"</formula>
    </cfRule>
    <cfRule type="cellIs" dxfId="16380" priority="3062" stopIfTrue="1" operator="equal">
      <formula>"Napkin Hs"</formula>
    </cfRule>
  </conditionalFormatting>
  <conditionalFormatting sqref="C112">
    <cfRule type="cellIs" dxfId="16379" priority="3069" stopIfTrue="1" operator="equal">
      <formula>"Towel"</formula>
    </cfRule>
    <cfRule type="cellIs" dxfId="16378" priority="3070" stopIfTrue="1" operator="equal">
      <formula>"Napkin Hs"</formula>
    </cfRule>
  </conditionalFormatting>
  <conditionalFormatting sqref="C112">
    <cfRule type="cellIs" dxfId="16377" priority="3071" stopIfTrue="1" operator="equal">
      <formula>"Towel"</formula>
    </cfRule>
    <cfRule type="cellIs" dxfId="16376" priority="3072" stopIfTrue="1" operator="equal">
      <formula>"Napkin Hs"</formula>
    </cfRule>
  </conditionalFormatting>
  <conditionalFormatting sqref="B112:C112">
    <cfRule type="cellIs" dxfId="16375" priority="3059" stopIfTrue="1" operator="equal">
      <formula>"Towel"</formula>
    </cfRule>
    <cfRule type="cellIs" dxfId="16374" priority="3060" stopIfTrue="1" operator="equal">
      <formula>"Napkin Hs"</formula>
    </cfRule>
  </conditionalFormatting>
  <conditionalFormatting sqref="C112">
    <cfRule type="cellIs" dxfId="16373" priority="3058" stopIfTrue="1" operator="equal">
      <formula>"Napkin Hs"</formula>
    </cfRule>
  </conditionalFormatting>
  <conditionalFormatting sqref="C112">
    <cfRule type="cellIs" dxfId="16372" priority="3057" stopIfTrue="1" operator="equal">
      <formula>"Towel"</formula>
    </cfRule>
  </conditionalFormatting>
  <conditionalFormatting sqref="C112">
    <cfRule type="cellIs" dxfId="16371" priority="3055" stopIfTrue="1" operator="equal">
      <formula>"Towel"</formula>
    </cfRule>
    <cfRule type="cellIs" dxfId="16370" priority="3056" stopIfTrue="1" operator="equal">
      <formula>"Napkin Hs"</formula>
    </cfRule>
  </conditionalFormatting>
  <conditionalFormatting sqref="B122:C122">
    <cfRule type="cellIs" dxfId="16369" priority="3051" stopIfTrue="1" operator="equal">
      <formula>"Towel"</formula>
    </cfRule>
    <cfRule type="cellIs" dxfId="16368" priority="3052" stopIfTrue="1" operator="equal">
      <formula>"Napkin Hs"</formula>
    </cfRule>
  </conditionalFormatting>
  <conditionalFormatting sqref="C122">
    <cfRule type="cellIs" dxfId="16367" priority="3053" stopIfTrue="1" operator="equal">
      <formula>"Towel"</formula>
    </cfRule>
    <cfRule type="cellIs" dxfId="16366" priority="3054" stopIfTrue="1" operator="equal">
      <formula>"Napkin Hs"</formula>
    </cfRule>
  </conditionalFormatting>
  <conditionalFormatting sqref="C122">
    <cfRule type="cellIs" dxfId="16365" priority="3049" stopIfTrue="1" operator="equal">
      <formula>"Towel"</formula>
    </cfRule>
    <cfRule type="cellIs" dxfId="16364" priority="3050" stopIfTrue="1" operator="equal">
      <formula>"Napkin Hs"</formula>
    </cfRule>
  </conditionalFormatting>
  <conditionalFormatting sqref="B122:C122">
    <cfRule type="cellIs" dxfId="16363" priority="3047" stopIfTrue="1" operator="equal">
      <formula>"Towel"</formula>
    </cfRule>
    <cfRule type="cellIs" dxfId="16362" priority="3048" stopIfTrue="1" operator="equal">
      <formula>"Napkin Hs"</formula>
    </cfRule>
  </conditionalFormatting>
  <conditionalFormatting sqref="C122">
    <cfRule type="cellIs" dxfId="16361" priority="3045" stopIfTrue="1" operator="equal">
      <formula>"Towel"</formula>
    </cfRule>
    <cfRule type="cellIs" dxfId="16360" priority="3046" stopIfTrue="1" operator="equal">
      <formula>"Napkin Hs"</formula>
    </cfRule>
  </conditionalFormatting>
  <conditionalFormatting sqref="C122">
    <cfRule type="cellIs" dxfId="16359" priority="3043" stopIfTrue="1" operator="equal">
      <formula>"Towel"</formula>
    </cfRule>
    <cfRule type="cellIs" dxfId="16358" priority="3044" stopIfTrue="1" operator="equal">
      <formula>"Napkin Hs"</formula>
    </cfRule>
  </conditionalFormatting>
  <conditionalFormatting sqref="C121">
    <cfRule type="cellIs" dxfId="16357" priority="3035" stopIfTrue="1" operator="equal">
      <formula>"Towel"</formula>
    </cfRule>
    <cfRule type="cellIs" dxfId="16356" priority="3036" stopIfTrue="1" operator="equal">
      <formula>"Napkin Hs"</formula>
    </cfRule>
  </conditionalFormatting>
  <conditionalFormatting sqref="C121">
    <cfRule type="cellIs" dxfId="16355" priority="3033" stopIfTrue="1" operator="equal">
      <formula>"Towel"</formula>
    </cfRule>
    <cfRule type="cellIs" dxfId="16354" priority="3034" stopIfTrue="1" operator="equal">
      <formula>"Napkin Hs"</formula>
    </cfRule>
  </conditionalFormatting>
  <conditionalFormatting sqref="B121:C121">
    <cfRule type="cellIs" dxfId="16353" priority="3031" stopIfTrue="1" operator="equal">
      <formula>"Towel"</formula>
    </cfRule>
    <cfRule type="cellIs" dxfId="16352" priority="3032" stopIfTrue="1" operator="equal">
      <formula>"Napkin Hs"</formula>
    </cfRule>
  </conditionalFormatting>
  <conditionalFormatting sqref="B121:C121">
    <cfRule type="cellIs" dxfId="16351" priority="3025" stopIfTrue="1" operator="equal">
      <formula>"Towel"</formula>
    </cfRule>
    <cfRule type="cellIs" dxfId="16350" priority="3026" stopIfTrue="1" operator="equal">
      <formula>"Napkin Hs"</formula>
    </cfRule>
  </conditionalFormatting>
  <conditionalFormatting sqref="C121">
    <cfRule type="cellIs" dxfId="16349" priority="3027" stopIfTrue="1" operator="equal">
      <formula>"Towel"</formula>
    </cfRule>
    <cfRule type="cellIs" dxfId="16348" priority="3028" stopIfTrue="1" operator="equal">
      <formula>"Napkin Hs"</formula>
    </cfRule>
  </conditionalFormatting>
  <conditionalFormatting sqref="C121">
    <cfRule type="cellIs" dxfId="16347" priority="3029" stopIfTrue="1" operator="equal">
      <formula>"Towel"</formula>
    </cfRule>
    <cfRule type="cellIs" dxfId="16346" priority="3030" stopIfTrue="1" operator="equal">
      <formula>"Napkin Hs"</formula>
    </cfRule>
  </conditionalFormatting>
  <conditionalFormatting sqref="B121:C121">
    <cfRule type="cellIs" dxfId="16345" priority="3041" stopIfTrue="1" operator="equal">
      <formula>"Towel"</formula>
    </cfRule>
    <cfRule type="cellIs" dxfId="16344" priority="3042" stopIfTrue="1" operator="equal">
      <formula>"Napkin Hs"</formula>
    </cfRule>
  </conditionalFormatting>
  <conditionalFormatting sqref="C121">
    <cfRule type="cellIs" dxfId="16343" priority="3039" stopIfTrue="1" operator="equal">
      <formula>"Towel"</formula>
    </cfRule>
    <cfRule type="cellIs" dxfId="16342" priority="3040" stopIfTrue="1" operator="equal">
      <formula>"Napkin Hs"</formula>
    </cfRule>
  </conditionalFormatting>
  <conditionalFormatting sqref="C121">
    <cfRule type="cellIs" dxfId="16341" priority="3037" stopIfTrue="1" operator="equal">
      <formula>"Towel"</formula>
    </cfRule>
    <cfRule type="cellIs" dxfId="16340" priority="3038" stopIfTrue="1" operator="equal">
      <formula>"Napkin Hs"</formula>
    </cfRule>
  </conditionalFormatting>
  <conditionalFormatting sqref="C121">
    <cfRule type="cellIs" dxfId="16339" priority="3011" stopIfTrue="1" operator="equal">
      <formula>"Towel"</formula>
    </cfRule>
    <cfRule type="cellIs" dxfId="16338" priority="3012" stopIfTrue="1" operator="equal">
      <formula>"Napkin Hs"</formula>
    </cfRule>
  </conditionalFormatting>
  <conditionalFormatting sqref="C121">
    <cfRule type="cellIs" dxfId="16337" priority="3009" stopIfTrue="1" operator="equal">
      <formula>"Towel"</formula>
    </cfRule>
    <cfRule type="cellIs" dxfId="16336" priority="3010" stopIfTrue="1" operator="equal">
      <formula>"Napkin Hs"</formula>
    </cfRule>
  </conditionalFormatting>
  <conditionalFormatting sqref="B121:C121">
    <cfRule type="cellIs" dxfId="16335" priority="3007" stopIfTrue="1" operator="equal">
      <formula>"Towel"</formula>
    </cfRule>
    <cfRule type="cellIs" dxfId="16334" priority="3008" stopIfTrue="1" operator="equal">
      <formula>"Napkin Hs"</formula>
    </cfRule>
  </conditionalFormatting>
  <conditionalFormatting sqref="C121">
    <cfRule type="cellIs" dxfId="16333" priority="3017" stopIfTrue="1" operator="equal">
      <formula>"Towel"</formula>
    </cfRule>
    <cfRule type="cellIs" dxfId="16332" priority="3018" stopIfTrue="1" operator="equal">
      <formula>"Napkin Hs"</formula>
    </cfRule>
  </conditionalFormatting>
  <conditionalFormatting sqref="C121">
    <cfRule type="cellIs" dxfId="16331" priority="3015" stopIfTrue="1" operator="equal">
      <formula>"Towel"</formula>
    </cfRule>
    <cfRule type="cellIs" dxfId="16330" priority="3016" stopIfTrue="1" operator="equal">
      <formula>"Napkin Hs"</formula>
    </cfRule>
  </conditionalFormatting>
  <conditionalFormatting sqref="B121:C121">
    <cfRule type="cellIs" dxfId="16329" priority="3013" stopIfTrue="1" operator="equal">
      <formula>"Towel"</formula>
    </cfRule>
    <cfRule type="cellIs" dxfId="16328" priority="3014" stopIfTrue="1" operator="equal">
      <formula>"Napkin Hs"</formula>
    </cfRule>
  </conditionalFormatting>
  <conditionalFormatting sqref="B121:C121">
    <cfRule type="cellIs" dxfId="16327" priority="3023" stopIfTrue="1" operator="equal">
      <formula>"Towel"</formula>
    </cfRule>
    <cfRule type="cellIs" dxfId="16326" priority="3024" stopIfTrue="1" operator="equal">
      <formula>"Napkin Hs"</formula>
    </cfRule>
  </conditionalFormatting>
  <conditionalFormatting sqref="C121">
    <cfRule type="cellIs" dxfId="16325" priority="3021" stopIfTrue="1" operator="equal">
      <formula>"Towel"</formula>
    </cfRule>
    <cfRule type="cellIs" dxfId="16324" priority="3022" stopIfTrue="1" operator="equal">
      <formula>"Napkin Hs"</formula>
    </cfRule>
  </conditionalFormatting>
  <conditionalFormatting sqref="C121">
    <cfRule type="cellIs" dxfId="16323" priority="3019" stopIfTrue="1" operator="equal">
      <formula>"Towel"</formula>
    </cfRule>
    <cfRule type="cellIs" dxfId="16322" priority="3020" stopIfTrue="1" operator="equal">
      <formula>"Napkin Hs"</formula>
    </cfRule>
  </conditionalFormatting>
  <conditionalFormatting sqref="B120:C120">
    <cfRule type="cellIs" dxfId="16321" priority="3005" stopIfTrue="1" operator="equal">
      <formula>"Towel"</formula>
    </cfRule>
    <cfRule type="cellIs" dxfId="16320" priority="3006" stopIfTrue="1" operator="equal">
      <formula>"Napkin Hs"</formula>
    </cfRule>
  </conditionalFormatting>
  <conditionalFormatting sqref="C120">
    <cfRule type="cellIs" dxfId="16319" priority="3001" stopIfTrue="1" operator="equal">
      <formula>"Towel"</formula>
    </cfRule>
    <cfRule type="cellIs" dxfId="16318" priority="3002" stopIfTrue="1" operator="equal">
      <formula>"Napkin Hs"</formula>
    </cfRule>
  </conditionalFormatting>
  <conditionalFormatting sqref="C120">
    <cfRule type="cellIs" dxfId="16317" priority="3003" stopIfTrue="1" operator="equal">
      <formula>"Towel"</formula>
    </cfRule>
    <cfRule type="cellIs" dxfId="16316" priority="3004" stopIfTrue="1" operator="equal">
      <formula>"Napkin Hs"</formula>
    </cfRule>
  </conditionalFormatting>
  <conditionalFormatting sqref="B120:C120">
    <cfRule type="cellIs" dxfId="16315" priority="2999" stopIfTrue="1" operator="equal">
      <formula>"Towel"</formula>
    </cfRule>
    <cfRule type="cellIs" dxfId="16314" priority="3000" stopIfTrue="1" operator="equal">
      <formula>"Napkin Hs"</formula>
    </cfRule>
  </conditionalFormatting>
  <conditionalFormatting sqref="C120">
    <cfRule type="cellIs" dxfId="16313" priority="2997" stopIfTrue="1" operator="equal">
      <formula>"Towel"</formula>
    </cfRule>
    <cfRule type="cellIs" dxfId="16312" priority="2998" stopIfTrue="1" operator="equal">
      <formula>"Napkin Hs"</formula>
    </cfRule>
  </conditionalFormatting>
  <conditionalFormatting sqref="C120">
    <cfRule type="cellIs" dxfId="16311" priority="2995" stopIfTrue="1" operator="equal">
      <formula>"Towel"</formula>
    </cfRule>
    <cfRule type="cellIs" dxfId="16310" priority="2996" stopIfTrue="1" operator="equal">
      <formula>"Napkin Hs"</formula>
    </cfRule>
  </conditionalFormatting>
  <conditionalFormatting sqref="C120">
    <cfRule type="cellIs" dxfId="16309" priority="2987" stopIfTrue="1" operator="equal">
      <formula>"Towel"</formula>
    </cfRule>
    <cfRule type="cellIs" dxfId="16308" priority="2988" stopIfTrue="1" operator="equal">
      <formula>"Napkin Hs"</formula>
    </cfRule>
  </conditionalFormatting>
  <conditionalFormatting sqref="B120:C120">
    <cfRule type="cellIs" dxfId="16307" priority="2989" stopIfTrue="1" operator="equal">
      <formula>"Towel"</formula>
    </cfRule>
    <cfRule type="cellIs" dxfId="16306" priority="2990" stopIfTrue="1" operator="equal">
      <formula>"Napkin Hs"</formula>
    </cfRule>
  </conditionalFormatting>
  <conditionalFormatting sqref="C120">
    <cfRule type="cellIs" dxfId="16305" priority="2985" stopIfTrue="1" operator="equal">
      <formula>"Towel"</formula>
    </cfRule>
    <cfRule type="cellIs" dxfId="16304" priority="2986" stopIfTrue="1" operator="equal">
      <formula>"Napkin Hs"</formula>
    </cfRule>
  </conditionalFormatting>
  <conditionalFormatting sqref="B120:C120">
    <cfRule type="cellIs" dxfId="16303" priority="2983" stopIfTrue="1" operator="equal">
      <formula>"Towel"</formula>
    </cfRule>
    <cfRule type="cellIs" dxfId="16302" priority="2984" stopIfTrue="1" operator="equal">
      <formula>"Napkin Hs"</formula>
    </cfRule>
  </conditionalFormatting>
  <conditionalFormatting sqref="C120">
    <cfRule type="cellIs" dxfId="16301" priority="2991" stopIfTrue="1" operator="equal">
      <formula>"Towel"</formula>
    </cfRule>
    <cfRule type="cellIs" dxfId="16300" priority="2992" stopIfTrue="1" operator="equal">
      <formula>"Napkin Hs"</formula>
    </cfRule>
  </conditionalFormatting>
  <conditionalFormatting sqref="C120">
    <cfRule type="cellIs" dxfId="16299" priority="2993" stopIfTrue="1" operator="equal">
      <formula>"Towel"</formula>
    </cfRule>
    <cfRule type="cellIs" dxfId="16298" priority="2994" stopIfTrue="1" operator="equal">
      <formula>"Napkin Hs"</formula>
    </cfRule>
  </conditionalFormatting>
  <conditionalFormatting sqref="B121:C121">
    <cfRule type="cellIs" dxfId="16297" priority="2981" stopIfTrue="1" operator="equal">
      <formula>"Towel"</formula>
    </cfRule>
    <cfRule type="cellIs" dxfId="16296" priority="2982" stopIfTrue="1" operator="equal">
      <formula>"Napkin Hs"</formula>
    </cfRule>
  </conditionalFormatting>
  <conditionalFormatting sqref="C121">
    <cfRule type="cellIs" dxfId="16295" priority="2977" stopIfTrue="1" operator="equal">
      <formula>"Towel"</formula>
    </cfRule>
    <cfRule type="cellIs" dxfId="16294" priority="2978" stopIfTrue="1" operator="equal">
      <formula>"Napkin Hs"</formula>
    </cfRule>
  </conditionalFormatting>
  <conditionalFormatting sqref="C121">
    <cfRule type="cellIs" dxfId="16293" priority="2979" stopIfTrue="1" operator="equal">
      <formula>"Towel"</formula>
    </cfRule>
    <cfRule type="cellIs" dxfId="16292" priority="2980" stopIfTrue="1" operator="equal">
      <formula>"Napkin Hs"</formula>
    </cfRule>
  </conditionalFormatting>
  <conditionalFormatting sqref="C120">
    <cfRule type="cellIs" dxfId="16291" priority="2969" stopIfTrue="1" operator="equal">
      <formula>"Towel"</formula>
    </cfRule>
    <cfRule type="cellIs" dxfId="16290" priority="2970" stopIfTrue="1" operator="equal">
      <formula>"Napkin Hs"</formula>
    </cfRule>
  </conditionalFormatting>
  <conditionalFormatting sqref="C120">
    <cfRule type="cellIs" dxfId="16289" priority="2967" stopIfTrue="1" operator="equal">
      <formula>"Towel"</formula>
    </cfRule>
    <cfRule type="cellIs" dxfId="16288" priority="2968" stopIfTrue="1" operator="equal">
      <formula>"Napkin Hs"</formula>
    </cfRule>
  </conditionalFormatting>
  <conditionalFormatting sqref="B120:C120">
    <cfRule type="cellIs" dxfId="16287" priority="2965" stopIfTrue="1" operator="equal">
      <formula>"Towel"</formula>
    </cfRule>
    <cfRule type="cellIs" dxfId="16286" priority="2966" stopIfTrue="1" operator="equal">
      <formula>"Napkin Hs"</formula>
    </cfRule>
  </conditionalFormatting>
  <conditionalFormatting sqref="B120:C120">
    <cfRule type="cellIs" dxfId="16285" priority="2959" stopIfTrue="1" operator="equal">
      <formula>"Towel"</formula>
    </cfRule>
    <cfRule type="cellIs" dxfId="16284" priority="2960" stopIfTrue="1" operator="equal">
      <formula>"Napkin Hs"</formula>
    </cfRule>
  </conditionalFormatting>
  <conditionalFormatting sqref="C120">
    <cfRule type="cellIs" dxfId="16283" priority="2961" stopIfTrue="1" operator="equal">
      <formula>"Towel"</formula>
    </cfRule>
    <cfRule type="cellIs" dxfId="16282" priority="2962" stopIfTrue="1" operator="equal">
      <formula>"Napkin Hs"</formula>
    </cfRule>
  </conditionalFormatting>
  <conditionalFormatting sqref="C120">
    <cfRule type="cellIs" dxfId="16281" priority="2963" stopIfTrue="1" operator="equal">
      <formula>"Towel"</formula>
    </cfRule>
    <cfRule type="cellIs" dxfId="16280" priority="2964" stopIfTrue="1" operator="equal">
      <formula>"Napkin Hs"</formula>
    </cfRule>
  </conditionalFormatting>
  <conditionalFormatting sqref="B120:C120">
    <cfRule type="cellIs" dxfId="16279" priority="2975" stopIfTrue="1" operator="equal">
      <formula>"Towel"</formula>
    </cfRule>
    <cfRule type="cellIs" dxfId="16278" priority="2976" stopIfTrue="1" operator="equal">
      <formula>"Napkin Hs"</formula>
    </cfRule>
  </conditionalFormatting>
  <conditionalFormatting sqref="C120">
    <cfRule type="cellIs" dxfId="16277" priority="2973" stopIfTrue="1" operator="equal">
      <formula>"Towel"</formula>
    </cfRule>
    <cfRule type="cellIs" dxfId="16276" priority="2974" stopIfTrue="1" operator="equal">
      <formula>"Napkin Hs"</formula>
    </cfRule>
  </conditionalFormatting>
  <conditionalFormatting sqref="C120">
    <cfRule type="cellIs" dxfId="16275" priority="2971" stopIfTrue="1" operator="equal">
      <formula>"Towel"</formula>
    </cfRule>
    <cfRule type="cellIs" dxfId="16274" priority="2972" stopIfTrue="1" operator="equal">
      <formula>"Napkin Hs"</formula>
    </cfRule>
  </conditionalFormatting>
  <conditionalFormatting sqref="C120">
    <cfRule type="cellIs" dxfId="16273" priority="2945" stopIfTrue="1" operator="equal">
      <formula>"Towel"</formula>
    </cfRule>
    <cfRule type="cellIs" dxfId="16272" priority="2946" stopIfTrue="1" operator="equal">
      <formula>"Napkin Hs"</formula>
    </cfRule>
  </conditionalFormatting>
  <conditionalFormatting sqref="C120">
    <cfRule type="cellIs" dxfId="16271" priority="2943" stopIfTrue="1" operator="equal">
      <formula>"Towel"</formula>
    </cfRule>
    <cfRule type="cellIs" dxfId="16270" priority="2944" stopIfTrue="1" operator="equal">
      <formula>"Napkin Hs"</formula>
    </cfRule>
  </conditionalFormatting>
  <conditionalFormatting sqref="B120:C120">
    <cfRule type="cellIs" dxfId="16269" priority="2941" stopIfTrue="1" operator="equal">
      <formula>"Towel"</formula>
    </cfRule>
    <cfRule type="cellIs" dxfId="16268" priority="2942" stopIfTrue="1" operator="equal">
      <formula>"Napkin Hs"</formula>
    </cfRule>
  </conditionalFormatting>
  <conditionalFormatting sqref="C120">
    <cfRule type="cellIs" dxfId="16267" priority="2951" stopIfTrue="1" operator="equal">
      <formula>"Towel"</formula>
    </cfRule>
    <cfRule type="cellIs" dxfId="16266" priority="2952" stopIfTrue="1" operator="equal">
      <formula>"Napkin Hs"</formula>
    </cfRule>
  </conditionalFormatting>
  <conditionalFormatting sqref="C120">
    <cfRule type="cellIs" dxfId="16265" priority="2949" stopIfTrue="1" operator="equal">
      <formula>"Towel"</formula>
    </cfRule>
    <cfRule type="cellIs" dxfId="16264" priority="2950" stopIfTrue="1" operator="equal">
      <formula>"Napkin Hs"</formula>
    </cfRule>
  </conditionalFormatting>
  <conditionalFormatting sqref="B120:C120">
    <cfRule type="cellIs" dxfId="16263" priority="2947" stopIfTrue="1" operator="equal">
      <formula>"Towel"</formula>
    </cfRule>
    <cfRule type="cellIs" dxfId="16262" priority="2948" stopIfTrue="1" operator="equal">
      <formula>"Napkin Hs"</formula>
    </cfRule>
  </conditionalFormatting>
  <conditionalFormatting sqref="B121:C121">
    <cfRule type="cellIs" dxfId="16261" priority="2939" stopIfTrue="1" operator="equal">
      <formula>"Towel"</formula>
    </cfRule>
    <cfRule type="cellIs" dxfId="16260" priority="2940" stopIfTrue="1" operator="equal">
      <formula>"Napkin Hs"</formula>
    </cfRule>
  </conditionalFormatting>
  <conditionalFormatting sqref="C121">
    <cfRule type="cellIs" dxfId="16259" priority="2937" stopIfTrue="1" operator="equal">
      <formula>"Towel"</formula>
    </cfRule>
    <cfRule type="cellIs" dxfId="16258" priority="2938" stopIfTrue="1" operator="equal">
      <formula>"Napkin Hs"</formula>
    </cfRule>
  </conditionalFormatting>
  <conditionalFormatting sqref="C121">
    <cfRule type="cellIs" dxfId="16257" priority="2935" stopIfTrue="1" operator="equal">
      <formula>"Towel"</formula>
    </cfRule>
    <cfRule type="cellIs" dxfId="16256" priority="2936" stopIfTrue="1" operator="equal">
      <formula>"Napkin Hs"</formula>
    </cfRule>
  </conditionalFormatting>
  <conditionalFormatting sqref="B120:C120">
    <cfRule type="cellIs" dxfId="16255" priority="2957" stopIfTrue="1" operator="equal">
      <formula>"Towel"</formula>
    </cfRule>
    <cfRule type="cellIs" dxfId="16254" priority="2958" stopIfTrue="1" operator="equal">
      <formula>"Napkin Hs"</formula>
    </cfRule>
  </conditionalFormatting>
  <conditionalFormatting sqref="C120">
    <cfRule type="cellIs" dxfId="16253" priority="2955" stopIfTrue="1" operator="equal">
      <formula>"Towel"</formula>
    </cfRule>
    <cfRule type="cellIs" dxfId="16252" priority="2956" stopIfTrue="1" operator="equal">
      <formula>"Napkin Hs"</formula>
    </cfRule>
  </conditionalFormatting>
  <conditionalFormatting sqref="C120">
    <cfRule type="cellIs" dxfId="16251" priority="2953" stopIfTrue="1" operator="equal">
      <formula>"Towel"</formula>
    </cfRule>
    <cfRule type="cellIs" dxfId="16250" priority="2954" stopIfTrue="1" operator="equal">
      <formula>"Napkin Hs"</formula>
    </cfRule>
  </conditionalFormatting>
  <conditionalFormatting sqref="C121">
    <cfRule type="cellIs" dxfId="16249" priority="2927" stopIfTrue="1" operator="equal">
      <formula>"Towel"</formula>
    </cfRule>
    <cfRule type="cellIs" dxfId="16248" priority="2928" stopIfTrue="1" operator="equal">
      <formula>"Napkin Hs"</formula>
    </cfRule>
  </conditionalFormatting>
  <conditionalFormatting sqref="B121:C121">
    <cfRule type="cellIs" dxfId="16247" priority="2929" stopIfTrue="1" operator="equal">
      <formula>"Towel"</formula>
    </cfRule>
    <cfRule type="cellIs" dxfId="16246" priority="2930" stopIfTrue="1" operator="equal">
      <formula>"Napkin Hs"</formula>
    </cfRule>
  </conditionalFormatting>
  <conditionalFormatting sqref="C121">
    <cfRule type="cellIs" dxfId="16245" priority="2925" stopIfTrue="1" operator="equal">
      <formula>"Towel"</formula>
    </cfRule>
    <cfRule type="cellIs" dxfId="16244" priority="2926" stopIfTrue="1" operator="equal">
      <formula>"Napkin Hs"</formula>
    </cfRule>
  </conditionalFormatting>
  <conditionalFormatting sqref="B121:C121">
    <cfRule type="cellIs" dxfId="16243" priority="2923" stopIfTrue="1" operator="equal">
      <formula>"Towel"</formula>
    </cfRule>
    <cfRule type="cellIs" dxfId="16242" priority="2924" stopIfTrue="1" operator="equal">
      <formula>"Napkin Hs"</formula>
    </cfRule>
  </conditionalFormatting>
  <conditionalFormatting sqref="C121">
    <cfRule type="cellIs" dxfId="16241" priority="2931" stopIfTrue="1" operator="equal">
      <formula>"Towel"</formula>
    </cfRule>
    <cfRule type="cellIs" dxfId="16240" priority="2932" stopIfTrue="1" operator="equal">
      <formula>"Napkin Hs"</formula>
    </cfRule>
  </conditionalFormatting>
  <conditionalFormatting sqref="C121">
    <cfRule type="cellIs" dxfId="16239" priority="2933" stopIfTrue="1" operator="equal">
      <formula>"Towel"</formula>
    </cfRule>
    <cfRule type="cellIs" dxfId="16238" priority="2934" stopIfTrue="1" operator="equal">
      <formula>"Napkin Hs"</formula>
    </cfRule>
  </conditionalFormatting>
  <conditionalFormatting sqref="B121:C121">
    <cfRule type="cellIs" dxfId="16237" priority="2921" stopIfTrue="1" operator="equal">
      <formula>"Towel"</formula>
    </cfRule>
    <cfRule type="cellIs" dxfId="16236" priority="2922" stopIfTrue="1" operator="equal">
      <formula>"Napkin Hs"</formula>
    </cfRule>
  </conditionalFormatting>
  <conditionalFormatting sqref="C121">
    <cfRule type="cellIs" dxfId="16235" priority="2919" stopIfTrue="1" operator="equal">
      <formula>"Towel"</formula>
    </cfRule>
    <cfRule type="cellIs" dxfId="16234" priority="2920" stopIfTrue="1" operator="equal">
      <formula>"Napkin Hs"</formula>
    </cfRule>
  </conditionalFormatting>
  <conditionalFormatting sqref="C121">
    <cfRule type="cellIs" dxfId="16233" priority="2917" stopIfTrue="1" operator="equal">
      <formula>"Towel"</formula>
    </cfRule>
    <cfRule type="cellIs" dxfId="16232" priority="2918" stopIfTrue="1" operator="equal">
      <formula>"Napkin Hs"</formula>
    </cfRule>
  </conditionalFormatting>
  <conditionalFormatting sqref="C121">
    <cfRule type="cellIs" dxfId="16231" priority="2909" stopIfTrue="1" operator="equal">
      <formula>"Towel"</formula>
    </cfRule>
    <cfRule type="cellIs" dxfId="16230" priority="2910" stopIfTrue="1" operator="equal">
      <formula>"Napkin Hs"</formula>
    </cfRule>
  </conditionalFormatting>
  <conditionalFormatting sqref="B121:C121">
    <cfRule type="cellIs" dxfId="16229" priority="2911" stopIfTrue="1" operator="equal">
      <formula>"Towel"</formula>
    </cfRule>
    <cfRule type="cellIs" dxfId="16228" priority="2912" stopIfTrue="1" operator="equal">
      <formula>"Napkin Hs"</formula>
    </cfRule>
  </conditionalFormatting>
  <conditionalFormatting sqref="C121">
    <cfRule type="cellIs" dxfId="16227" priority="2907" stopIfTrue="1" operator="equal">
      <formula>"Towel"</formula>
    </cfRule>
    <cfRule type="cellIs" dxfId="16226" priority="2908" stopIfTrue="1" operator="equal">
      <formula>"Napkin Hs"</formula>
    </cfRule>
  </conditionalFormatting>
  <conditionalFormatting sqref="B121:C121">
    <cfRule type="cellIs" dxfId="16225" priority="2905" stopIfTrue="1" operator="equal">
      <formula>"Towel"</formula>
    </cfRule>
    <cfRule type="cellIs" dxfId="16224" priority="2906" stopIfTrue="1" operator="equal">
      <formula>"Napkin Hs"</formula>
    </cfRule>
  </conditionalFormatting>
  <conditionalFormatting sqref="C121">
    <cfRule type="cellIs" dxfId="16223" priority="2913" stopIfTrue="1" operator="equal">
      <formula>"Towel"</formula>
    </cfRule>
    <cfRule type="cellIs" dxfId="16222" priority="2914" stopIfTrue="1" operator="equal">
      <formula>"Napkin Hs"</formula>
    </cfRule>
  </conditionalFormatting>
  <conditionalFormatting sqref="C121">
    <cfRule type="cellIs" dxfId="16221" priority="2915" stopIfTrue="1" operator="equal">
      <formula>"Towel"</formula>
    </cfRule>
    <cfRule type="cellIs" dxfId="16220" priority="2916" stopIfTrue="1" operator="equal">
      <formula>"Napkin Hs"</formula>
    </cfRule>
  </conditionalFormatting>
  <conditionalFormatting sqref="B121:C121">
    <cfRule type="cellIs" dxfId="16219" priority="2903" stopIfTrue="1" operator="equal">
      <formula>"Towel"</formula>
    </cfRule>
    <cfRule type="cellIs" dxfId="16218" priority="2904" stopIfTrue="1" operator="equal">
      <formula>"Napkin Hs"</formula>
    </cfRule>
  </conditionalFormatting>
  <conditionalFormatting sqref="C121">
    <cfRule type="cellIs" dxfId="16217" priority="2901" stopIfTrue="1" operator="equal">
      <formula>"Towel"</formula>
    </cfRule>
    <cfRule type="cellIs" dxfId="16216" priority="2902" stopIfTrue="1" operator="equal">
      <formula>"Napkin Hs"</formula>
    </cfRule>
  </conditionalFormatting>
  <conditionalFormatting sqref="C121">
    <cfRule type="cellIs" dxfId="16215" priority="2899" stopIfTrue="1" operator="equal">
      <formula>"Towel"</formula>
    </cfRule>
    <cfRule type="cellIs" dxfId="16214" priority="2900" stopIfTrue="1" operator="equal">
      <formula>"Napkin Hs"</formula>
    </cfRule>
  </conditionalFormatting>
  <conditionalFormatting sqref="C121">
    <cfRule type="cellIs" dxfId="16213" priority="2891" stopIfTrue="1" operator="equal">
      <formula>"Towel"</formula>
    </cfRule>
    <cfRule type="cellIs" dxfId="16212" priority="2892" stopIfTrue="1" operator="equal">
      <formula>"Napkin Hs"</formula>
    </cfRule>
  </conditionalFormatting>
  <conditionalFormatting sqref="B121:C121">
    <cfRule type="cellIs" dxfId="16211" priority="2893" stopIfTrue="1" operator="equal">
      <formula>"Towel"</formula>
    </cfRule>
    <cfRule type="cellIs" dxfId="16210" priority="2894" stopIfTrue="1" operator="equal">
      <formula>"Napkin Hs"</formula>
    </cfRule>
  </conditionalFormatting>
  <conditionalFormatting sqref="C121">
    <cfRule type="cellIs" dxfId="16209" priority="2889" stopIfTrue="1" operator="equal">
      <formula>"Towel"</formula>
    </cfRule>
    <cfRule type="cellIs" dxfId="16208" priority="2890" stopIfTrue="1" operator="equal">
      <formula>"Napkin Hs"</formula>
    </cfRule>
  </conditionalFormatting>
  <conditionalFormatting sqref="B121:C121">
    <cfRule type="cellIs" dxfId="16207" priority="2887" stopIfTrue="1" operator="equal">
      <formula>"Towel"</formula>
    </cfRule>
    <cfRule type="cellIs" dxfId="16206" priority="2888" stopIfTrue="1" operator="equal">
      <formula>"Napkin Hs"</formula>
    </cfRule>
  </conditionalFormatting>
  <conditionalFormatting sqref="C121">
    <cfRule type="cellIs" dxfId="16205" priority="2895" stopIfTrue="1" operator="equal">
      <formula>"Towel"</formula>
    </cfRule>
    <cfRule type="cellIs" dxfId="16204" priority="2896" stopIfTrue="1" operator="equal">
      <formula>"Napkin Hs"</formula>
    </cfRule>
  </conditionalFormatting>
  <conditionalFormatting sqref="C121">
    <cfRule type="cellIs" dxfId="16203" priority="2897" stopIfTrue="1" operator="equal">
      <formula>"Towel"</formula>
    </cfRule>
    <cfRule type="cellIs" dxfId="16202" priority="2898" stopIfTrue="1" operator="equal">
      <formula>"Napkin Hs"</formula>
    </cfRule>
  </conditionalFormatting>
  <conditionalFormatting sqref="B120:C120">
    <cfRule type="cellIs" dxfId="16201" priority="2885" stopIfTrue="1" operator="equal">
      <formula>"Towel"</formula>
    </cfRule>
    <cfRule type="cellIs" dxfId="16200" priority="2886" stopIfTrue="1" operator="equal">
      <formula>"Napkin Hs"</formula>
    </cfRule>
  </conditionalFormatting>
  <conditionalFormatting sqref="C120">
    <cfRule type="cellIs" dxfId="16199" priority="2883" stopIfTrue="1" operator="equal">
      <formula>"Towel"</formula>
    </cfRule>
    <cfRule type="cellIs" dxfId="16198" priority="2884" stopIfTrue="1" operator="equal">
      <formula>"Napkin Hs"</formula>
    </cfRule>
  </conditionalFormatting>
  <conditionalFormatting sqref="C120">
    <cfRule type="cellIs" dxfId="16197" priority="2881" stopIfTrue="1" operator="equal">
      <formula>"Towel"</formula>
    </cfRule>
    <cfRule type="cellIs" dxfId="16196" priority="2882" stopIfTrue="1" operator="equal">
      <formula>"Napkin Hs"</formula>
    </cfRule>
  </conditionalFormatting>
  <conditionalFormatting sqref="C120">
    <cfRule type="cellIs" dxfId="16195" priority="2873" stopIfTrue="1" operator="equal">
      <formula>"Towel"</formula>
    </cfRule>
    <cfRule type="cellIs" dxfId="16194" priority="2874" stopIfTrue="1" operator="equal">
      <formula>"Napkin Hs"</formula>
    </cfRule>
  </conditionalFormatting>
  <conditionalFormatting sqref="B120:C120">
    <cfRule type="cellIs" dxfId="16193" priority="2875" stopIfTrue="1" operator="equal">
      <formula>"Towel"</formula>
    </cfRule>
    <cfRule type="cellIs" dxfId="16192" priority="2876" stopIfTrue="1" operator="equal">
      <formula>"Napkin Hs"</formula>
    </cfRule>
  </conditionalFormatting>
  <conditionalFormatting sqref="C120">
    <cfRule type="cellIs" dxfId="16191" priority="2871" stopIfTrue="1" operator="equal">
      <formula>"Towel"</formula>
    </cfRule>
    <cfRule type="cellIs" dxfId="16190" priority="2872" stopIfTrue="1" operator="equal">
      <formula>"Napkin Hs"</formula>
    </cfRule>
  </conditionalFormatting>
  <conditionalFormatting sqref="B120:C120">
    <cfRule type="cellIs" dxfId="16189" priority="2869" stopIfTrue="1" operator="equal">
      <formula>"Towel"</formula>
    </cfRule>
    <cfRule type="cellIs" dxfId="16188" priority="2870" stopIfTrue="1" operator="equal">
      <formula>"Napkin Hs"</formula>
    </cfRule>
  </conditionalFormatting>
  <conditionalFormatting sqref="C120">
    <cfRule type="cellIs" dxfId="16187" priority="2877" stopIfTrue="1" operator="equal">
      <formula>"Towel"</formula>
    </cfRule>
    <cfRule type="cellIs" dxfId="16186" priority="2878" stopIfTrue="1" operator="equal">
      <formula>"Napkin Hs"</formula>
    </cfRule>
  </conditionalFormatting>
  <conditionalFormatting sqref="C120">
    <cfRule type="cellIs" dxfId="16185" priority="2879" stopIfTrue="1" operator="equal">
      <formula>"Towel"</formula>
    </cfRule>
    <cfRule type="cellIs" dxfId="16184" priority="2880" stopIfTrue="1" operator="equal">
      <formula>"Napkin Hs"</formula>
    </cfRule>
  </conditionalFormatting>
  <conditionalFormatting sqref="C120">
    <cfRule type="cellIs" dxfId="16183" priority="2861" stopIfTrue="1" operator="equal">
      <formula>"Towel"</formula>
    </cfRule>
    <cfRule type="cellIs" dxfId="16182" priority="2862" stopIfTrue="1" operator="equal">
      <formula>"Napkin Hs"</formula>
    </cfRule>
  </conditionalFormatting>
  <conditionalFormatting sqref="B120:C120">
    <cfRule type="cellIs" dxfId="16181" priority="2857" stopIfTrue="1" operator="equal">
      <formula>"Towel"</formula>
    </cfRule>
    <cfRule type="cellIs" dxfId="16180" priority="2858" stopIfTrue="1" operator="equal">
      <formula>"Napkin Hs"</formula>
    </cfRule>
  </conditionalFormatting>
  <conditionalFormatting sqref="C120">
    <cfRule type="cellIs" dxfId="16179" priority="2859" stopIfTrue="1" operator="equal">
      <formula>"Towel"</formula>
    </cfRule>
    <cfRule type="cellIs" dxfId="16178" priority="2860" stopIfTrue="1" operator="equal">
      <formula>"Napkin Hs"</formula>
    </cfRule>
  </conditionalFormatting>
  <conditionalFormatting sqref="C120">
    <cfRule type="cellIs" dxfId="16177" priority="2855" stopIfTrue="1" operator="equal">
      <formula>"Towel"</formula>
    </cfRule>
    <cfRule type="cellIs" dxfId="16176" priority="2856" stopIfTrue="1" operator="equal">
      <formula>"Napkin Hs"</formula>
    </cfRule>
  </conditionalFormatting>
  <conditionalFormatting sqref="B120:C120">
    <cfRule type="cellIs" dxfId="16175" priority="2851" stopIfTrue="1" operator="equal">
      <formula>"Towel"</formula>
    </cfRule>
    <cfRule type="cellIs" dxfId="16174" priority="2852" stopIfTrue="1" operator="equal">
      <formula>"Napkin Hs"</formula>
    </cfRule>
  </conditionalFormatting>
  <conditionalFormatting sqref="C120">
    <cfRule type="cellIs" dxfId="16173" priority="2853" stopIfTrue="1" operator="equal">
      <formula>"Towel"</formula>
    </cfRule>
    <cfRule type="cellIs" dxfId="16172" priority="2854" stopIfTrue="1" operator="equal">
      <formula>"Napkin Hs"</formula>
    </cfRule>
  </conditionalFormatting>
  <conditionalFormatting sqref="B120:C120">
    <cfRule type="cellIs" dxfId="16171" priority="2867" stopIfTrue="1" operator="equal">
      <formula>"Towel"</formula>
    </cfRule>
    <cfRule type="cellIs" dxfId="16170" priority="2868" stopIfTrue="1" operator="equal">
      <formula>"Napkin Hs"</formula>
    </cfRule>
  </conditionalFormatting>
  <conditionalFormatting sqref="C120">
    <cfRule type="cellIs" dxfId="16169" priority="2865" stopIfTrue="1" operator="equal">
      <formula>"Towel"</formula>
    </cfRule>
    <cfRule type="cellIs" dxfId="16168" priority="2866" stopIfTrue="1" operator="equal">
      <formula>"Napkin Hs"</formula>
    </cfRule>
  </conditionalFormatting>
  <conditionalFormatting sqref="C120">
    <cfRule type="cellIs" dxfId="16167" priority="2863" stopIfTrue="1" operator="equal">
      <formula>"Towel"</formula>
    </cfRule>
    <cfRule type="cellIs" dxfId="16166" priority="2864" stopIfTrue="1" operator="equal">
      <formula>"Napkin Hs"</formula>
    </cfRule>
  </conditionalFormatting>
  <conditionalFormatting sqref="B120:C120">
    <cfRule type="cellIs" dxfId="16165" priority="2849" stopIfTrue="1" operator="equal">
      <formula>"Towel"</formula>
    </cfRule>
    <cfRule type="cellIs" dxfId="16164" priority="2850" stopIfTrue="1" operator="equal">
      <formula>"Napkin Hs"</formula>
    </cfRule>
  </conditionalFormatting>
  <conditionalFormatting sqref="C120">
    <cfRule type="cellIs" dxfId="16163" priority="2847" stopIfTrue="1" operator="equal">
      <formula>"Towel"</formula>
    </cfRule>
    <cfRule type="cellIs" dxfId="16162" priority="2848" stopIfTrue="1" operator="equal">
      <formula>"Napkin Hs"</formula>
    </cfRule>
  </conditionalFormatting>
  <conditionalFormatting sqref="C120">
    <cfRule type="cellIs" dxfId="16161" priority="2845" stopIfTrue="1" operator="equal">
      <formula>"Towel"</formula>
    </cfRule>
    <cfRule type="cellIs" dxfId="16160" priority="2846" stopIfTrue="1" operator="equal">
      <formula>"Napkin Hs"</formula>
    </cfRule>
  </conditionalFormatting>
  <conditionalFormatting sqref="C120">
    <cfRule type="cellIs" dxfId="16159" priority="2837" stopIfTrue="1" operator="equal">
      <formula>"Towel"</formula>
    </cfRule>
    <cfRule type="cellIs" dxfId="16158" priority="2838" stopIfTrue="1" operator="equal">
      <formula>"Napkin Hs"</formula>
    </cfRule>
  </conditionalFormatting>
  <conditionalFormatting sqref="B120:C120">
    <cfRule type="cellIs" dxfId="16157" priority="2839" stopIfTrue="1" operator="equal">
      <formula>"Towel"</formula>
    </cfRule>
    <cfRule type="cellIs" dxfId="16156" priority="2840" stopIfTrue="1" operator="equal">
      <formula>"Napkin Hs"</formula>
    </cfRule>
  </conditionalFormatting>
  <conditionalFormatting sqref="C120">
    <cfRule type="cellIs" dxfId="16155" priority="2835" stopIfTrue="1" operator="equal">
      <formula>"Towel"</formula>
    </cfRule>
    <cfRule type="cellIs" dxfId="16154" priority="2836" stopIfTrue="1" operator="equal">
      <formula>"Napkin Hs"</formula>
    </cfRule>
  </conditionalFormatting>
  <conditionalFormatting sqref="B120:C120">
    <cfRule type="cellIs" dxfId="16153" priority="2833" stopIfTrue="1" operator="equal">
      <formula>"Towel"</formula>
    </cfRule>
    <cfRule type="cellIs" dxfId="16152" priority="2834" stopIfTrue="1" operator="equal">
      <formula>"Napkin Hs"</formula>
    </cfRule>
  </conditionalFormatting>
  <conditionalFormatting sqref="C120">
    <cfRule type="cellIs" dxfId="16151" priority="2841" stopIfTrue="1" operator="equal">
      <formula>"Towel"</formula>
    </cfRule>
    <cfRule type="cellIs" dxfId="16150" priority="2842" stopIfTrue="1" operator="equal">
      <formula>"Napkin Hs"</formula>
    </cfRule>
  </conditionalFormatting>
  <conditionalFormatting sqref="C120">
    <cfRule type="cellIs" dxfId="16149" priority="2843" stopIfTrue="1" operator="equal">
      <formula>"Towel"</formula>
    </cfRule>
    <cfRule type="cellIs" dxfId="16148" priority="2844" stopIfTrue="1" operator="equal">
      <formula>"Napkin Hs"</formula>
    </cfRule>
  </conditionalFormatting>
  <conditionalFormatting sqref="C120">
    <cfRule type="cellIs" dxfId="16147" priority="2829" stopIfTrue="1" operator="equal">
      <formula>"Towel"</formula>
    </cfRule>
    <cfRule type="cellIs" dxfId="16146" priority="2830" stopIfTrue="1" operator="equal">
      <formula>"Napkin Hs"</formula>
    </cfRule>
  </conditionalFormatting>
  <conditionalFormatting sqref="C120">
    <cfRule type="cellIs" dxfId="16145" priority="2831" stopIfTrue="1" operator="equal">
      <formula>"Towel"</formula>
    </cfRule>
    <cfRule type="cellIs" dxfId="16144" priority="2832" stopIfTrue="1" operator="equal">
      <formula>"Napkin Hs"</formula>
    </cfRule>
  </conditionalFormatting>
  <conditionalFormatting sqref="C120">
    <cfRule type="cellIs" dxfId="16143" priority="2827" stopIfTrue="1" operator="equal">
      <formula>"Towel"</formula>
    </cfRule>
    <cfRule type="cellIs" dxfId="16142" priority="2828" stopIfTrue="1" operator="equal">
      <formula>"Napkin Hs"</formula>
    </cfRule>
  </conditionalFormatting>
  <conditionalFormatting sqref="C120">
    <cfRule type="cellIs" dxfId="16141" priority="2821" stopIfTrue="1" operator="equal">
      <formula>"Towel"</formula>
    </cfRule>
    <cfRule type="cellIs" dxfId="16140" priority="2822" stopIfTrue="1" operator="equal">
      <formula>"Napkin Hs"</formula>
    </cfRule>
  </conditionalFormatting>
  <conditionalFormatting sqref="C120">
    <cfRule type="cellIs" dxfId="16139" priority="2823" stopIfTrue="1" operator="equal">
      <formula>"Towel"</formula>
    </cfRule>
    <cfRule type="cellIs" dxfId="16138" priority="2824" stopIfTrue="1" operator="equal">
      <formula>"Napkin Hs"</formula>
    </cfRule>
  </conditionalFormatting>
  <conditionalFormatting sqref="C120">
    <cfRule type="cellIs" dxfId="16137" priority="2825" stopIfTrue="1" operator="equal">
      <formula>"Towel"</formula>
    </cfRule>
    <cfRule type="cellIs" dxfId="16136" priority="2826" stopIfTrue="1" operator="equal">
      <formula>"Napkin Hs"</formula>
    </cfRule>
  </conditionalFormatting>
  <conditionalFormatting sqref="B120">
    <cfRule type="cellIs" dxfId="16135" priority="2819" stopIfTrue="1" operator="equal">
      <formula>"Towel"</formula>
    </cfRule>
    <cfRule type="cellIs" dxfId="16134" priority="2820" stopIfTrue="1" operator="equal">
      <formula>"Napkin Hs"</formula>
    </cfRule>
  </conditionalFormatting>
  <conditionalFormatting sqref="B120">
    <cfRule type="cellIs" dxfId="16133" priority="2817" stopIfTrue="1" operator="equal">
      <formula>"Towel"</formula>
    </cfRule>
    <cfRule type="cellIs" dxfId="16132" priority="2818" stopIfTrue="1" operator="equal">
      <formula>"Napkin Hs"</formula>
    </cfRule>
  </conditionalFormatting>
  <conditionalFormatting sqref="B120:C120">
    <cfRule type="cellIs" dxfId="16131" priority="2815" stopIfTrue="1" operator="equal">
      <formula>"Towel"</formula>
    </cfRule>
    <cfRule type="cellIs" dxfId="16130" priority="2816" stopIfTrue="1" operator="equal">
      <formula>"Napkin Hs"</formula>
    </cfRule>
  </conditionalFormatting>
  <conditionalFormatting sqref="C120">
    <cfRule type="cellIs" dxfId="16129" priority="2811" stopIfTrue="1" operator="equal">
      <formula>"Towel"</formula>
    </cfRule>
    <cfRule type="cellIs" dxfId="16128" priority="2812" stopIfTrue="1" operator="equal">
      <formula>"Napkin Hs"</formula>
    </cfRule>
  </conditionalFormatting>
  <conditionalFormatting sqref="C120">
    <cfRule type="cellIs" dxfId="16127" priority="2813" stopIfTrue="1" operator="equal">
      <formula>"Towel"</formula>
    </cfRule>
    <cfRule type="cellIs" dxfId="16126" priority="2814" stopIfTrue="1" operator="equal">
      <formula>"Napkin Hs"</formula>
    </cfRule>
  </conditionalFormatting>
  <conditionalFormatting sqref="B120:C120">
    <cfRule type="cellIs" dxfId="16125" priority="2809" stopIfTrue="1" operator="equal">
      <formula>"Towel"</formula>
    </cfRule>
    <cfRule type="cellIs" dxfId="16124" priority="2810" stopIfTrue="1" operator="equal">
      <formula>"Napkin Hs"</formula>
    </cfRule>
  </conditionalFormatting>
  <conditionalFormatting sqref="C120">
    <cfRule type="cellIs" dxfId="16123" priority="2805" stopIfTrue="1" operator="equal">
      <formula>"Towel"</formula>
    </cfRule>
    <cfRule type="cellIs" dxfId="16122" priority="2806" stopIfTrue="1" operator="equal">
      <formula>"Napkin Hs"</formula>
    </cfRule>
  </conditionalFormatting>
  <conditionalFormatting sqref="C120">
    <cfRule type="cellIs" dxfId="16121" priority="2807" stopIfTrue="1" operator="equal">
      <formula>"Towel"</formula>
    </cfRule>
    <cfRule type="cellIs" dxfId="16120" priority="2808" stopIfTrue="1" operator="equal">
      <formula>"Napkin Hs"</formula>
    </cfRule>
  </conditionalFormatting>
  <conditionalFormatting sqref="C120">
    <cfRule type="cellIs" dxfId="16119" priority="2797" stopIfTrue="1" operator="equal">
      <formula>"Towel"</formula>
    </cfRule>
    <cfRule type="cellIs" dxfId="16118" priority="2798" stopIfTrue="1" operator="equal">
      <formula>"Napkin Hs"</formula>
    </cfRule>
  </conditionalFormatting>
  <conditionalFormatting sqref="C120">
    <cfRule type="cellIs" dxfId="16117" priority="2799" stopIfTrue="1" operator="equal">
      <formula>"Towel"</formula>
    </cfRule>
    <cfRule type="cellIs" dxfId="16116" priority="2800" stopIfTrue="1" operator="equal">
      <formula>"Napkin Hs"</formula>
    </cfRule>
  </conditionalFormatting>
  <conditionalFormatting sqref="C120">
    <cfRule type="cellIs" dxfId="16115" priority="2795" stopIfTrue="1" operator="equal">
      <formula>"Towel"</formula>
    </cfRule>
    <cfRule type="cellIs" dxfId="16114" priority="2796" stopIfTrue="1" operator="equal">
      <formula>"Napkin Hs"</formula>
    </cfRule>
  </conditionalFormatting>
  <conditionalFormatting sqref="C120">
    <cfRule type="cellIs" dxfId="16113" priority="2793" stopIfTrue="1" operator="equal">
      <formula>"Towel"</formula>
    </cfRule>
    <cfRule type="cellIs" dxfId="16112" priority="2794" stopIfTrue="1" operator="equal">
      <formula>"Napkin Hs"</formula>
    </cfRule>
  </conditionalFormatting>
  <conditionalFormatting sqref="C120">
    <cfRule type="cellIs" dxfId="16111" priority="2801" stopIfTrue="1" operator="equal">
      <formula>"Towel"</formula>
    </cfRule>
    <cfRule type="cellIs" dxfId="16110" priority="2802" stopIfTrue="1" operator="equal">
      <formula>"Napkin Hs"</formula>
    </cfRule>
  </conditionalFormatting>
  <conditionalFormatting sqref="C120">
    <cfRule type="cellIs" dxfId="16109" priority="2803" stopIfTrue="1" operator="equal">
      <formula>"Towel"</formula>
    </cfRule>
    <cfRule type="cellIs" dxfId="16108" priority="2804" stopIfTrue="1" operator="equal">
      <formula>"Napkin Hs"</formula>
    </cfRule>
  </conditionalFormatting>
  <conditionalFormatting sqref="B120">
    <cfRule type="cellIs" dxfId="16107" priority="2791" stopIfTrue="1" operator="equal">
      <formula>"Towel"</formula>
    </cfRule>
    <cfRule type="cellIs" dxfId="16106" priority="2792" stopIfTrue="1" operator="equal">
      <formula>"Napkin Hs"</formula>
    </cfRule>
  </conditionalFormatting>
  <conditionalFormatting sqref="B119:C119">
    <cfRule type="cellIs" dxfId="16105" priority="2789" stopIfTrue="1" operator="equal">
      <formula>"Towel"</formula>
    </cfRule>
    <cfRule type="cellIs" dxfId="16104" priority="2790" stopIfTrue="1" operator="equal">
      <formula>"Napkin Hs"</formula>
    </cfRule>
  </conditionalFormatting>
  <conditionalFormatting sqref="C119">
    <cfRule type="cellIs" dxfId="16103" priority="2785" stopIfTrue="1" operator="equal">
      <formula>"Towel"</formula>
    </cfRule>
    <cfRule type="cellIs" dxfId="16102" priority="2786" stopIfTrue="1" operator="equal">
      <formula>"Napkin Hs"</formula>
    </cfRule>
  </conditionalFormatting>
  <conditionalFormatting sqref="C119">
    <cfRule type="cellIs" dxfId="16101" priority="2787" stopIfTrue="1" operator="equal">
      <formula>"Towel"</formula>
    </cfRule>
    <cfRule type="cellIs" dxfId="16100" priority="2788" stopIfTrue="1" operator="equal">
      <formula>"Napkin Hs"</formula>
    </cfRule>
  </conditionalFormatting>
  <conditionalFormatting sqref="B119:C119">
    <cfRule type="cellIs" dxfId="16099" priority="2783" stopIfTrue="1" operator="equal">
      <formula>"Towel"</formula>
    </cfRule>
    <cfRule type="cellIs" dxfId="16098" priority="2784" stopIfTrue="1" operator="equal">
      <formula>"Napkin Hs"</formula>
    </cfRule>
  </conditionalFormatting>
  <conditionalFormatting sqref="C119">
    <cfRule type="cellIs" dxfId="16097" priority="2781" stopIfTrue="1" operator="equal">
      <formula>"Towel"</formula>
    </cfRule>
    <cfRule type="cellIs" dxfId="16096" priority="2782" stopIfTrue="1" operator="equal">
      <formula>"Napkin Hs"</formula>
    </cfRule>
  </conditionalFormatting>
  <conditionalFormatting sqref="C119">
    <cfRule type="cellIs" dxfId="16095" priority="2779" stopIfTrue="1" operator="equal">
      <formula>"Towel"</formula>
    </cfRule>
    <cfRule type="cellIs" dxfId="16094" priority="2780" stopIfTrue="1" operator="equal">
      <formula>"Napkin Hs"</formula>
    </cfRule>
  </conditionalFormatting>
  <conditionalFormatting sqref="C119">
    <cfRule type="cellIs" dxfId="16093" priority="2771" stopIfTrue="1" operator="equal">
      <formula>"Towel"</formula>
    </cfRule>
    <cfRule type="cellIs" dxfId="16092" priority="2772" stopIfTrue="1" operator="equal">
      <formula>"Napkin Hs"</formula>
    </cfRule>
  </conditionalFormatting>
  <conditionalFormatting sqref="B119:C119">
    <cfRule type="cellIs" dxfId="16091" priority="2773" stopIfTrue="1" operator="equal">
      <formula>"Towel"</formula>
    </cfRule>
    <cfRule type="cellIs" dxfId="16090" priority="2774" stopIfTrue="1" operator="equal">
      <formula>"Napkin Hs"</formula>
    </cfRule>
  </conditionalFormatting>
  <conditionalFormatting sqref="C119">
    <cfRule type="cellIs" dxfId="16089" priority="2769" stopIfTrue="1" operator="equal">
      <formula>"Towel"</formula>
    </cfRule>
    <cfRule type="cellIs" dxfId="16088" priority="2770" stopIfTrue="1" operator="equal">
      <formula>"Napkin Hs"</formula>
    </cfRule>
  </conditionalFormatting>
  <conditionalFormatting sqref="B119:C119">
    <cfRule type="cellIs" dxfId="16087" priority="2767" stopIfTrue="1" operator="equal">
      <formula>"Towel"</formula>
    </cfRule>
    <cfRule type="cellIs" dxfId="16086" priority="2768" stopIfTrue="1" operator="equal">
      <formula>"Napkin Hs"</formula>
    </cfRule>
  </conditionalFormatting>
  <conditionalFormatting sqref="C119">
    <cfRule type="cellIs" dxfId="16085" priority="2775" stopIfTrue="1" operator="equal">
      <formula>"Towel"</formula>
    </cfRule>
    <cfRule type="cellIs" dxfId="16084" priority="2776" stopIfTrue="1" operator="equal">
      <formula>"Napkin Hs"</formula>
    </cfRule>
  </conditionalFormatting>
  <conditionalFormatting sqref="C119">
    <cfRule type="cellIs" dxfId="16083" priority="2777" stopIfTrue="1" operator="equal">
      <formula>"Towel"</formula>
    </cfRule>
    <cfRule type="cellIs" dxfId="16082" priority="2778" stopIfTrue="1" operator="equal">
      <formula>"Napkin Hs"</formula>
    </cfRule>
  </conditionalFormatting>
  <conditionalFormatting sqref="C119">
    <cfRule type="cellIs" dxfId="16081" priority="2759" stopIfTrue="1" operator="equal">
      <formula>"Towel"</formula>
    </cfRule>
    <cfRule type="cellIs" dxfId="16080" priority="2760" stopIfTrue="1" operator="equal">
      <formula>"Napkin Hs"</formula>
    </cfRule>
  </conditionalFormatting>
  <conditionalFormatting sqref="C119">
    <cfRule type="cellIs" dxfId="16079" priority="2757" stopIfTrue="1" operator="equal">
      <formula>"Towel"</formula>
    </cfRule>
    <cfRule type="cellIs" dxfId="16078" priority="2758" stopIfTrue="1" operator="equal">
      <formula>"Napkin Hs"</formula>
    </cfRule>
  </conditionalFormatting>
  <conditionalFormatting sqref="B119:C119">
    <cfRule type="cellIs" dxfId="16077" priority="2755" stopIfTrue="1" operator="equal">
      <formula>"Towel"</formula>
    </cfRule>
    <cfRule type="cellIs" dxfId="16076" priority="2756" stopIfTrue="1" operator="equal">
      <formula>"Napkin Hs"</formula>
    </cfRule>
  </conditionalFormatting>
  <conditionalFormatting sqref="B119:C119">
    <cfRule type="cellIs" dxfId="16075" priority="2765" stopIfTrue="1" operator="equal">
      <formula>"Towel"</formula>
    </cfRule>
    <cfRule type="cellIs" dxfId="16074" priority="2766" stopIfTrue="1" operator="equal">
      <formula>"Napkin Hs"</formula>
    </cfRule>
  </conditionalFormatting>
  <conditionalFormatting sqref="C119">
    <cfRule type="cellIs" dxfId="16073" priority="2763" stopIfTrue="1" operator="equal">
      <formula>"Towel"</formula>
    </cfRule>
    <cfRule type="cellIs" dxfId="16072" priority="2764" stopIfTrue="1" operator="equal">
      <formula>"Napkin Hs"</formula>
    </cfRule>
  </conditionalFormatting>
  <conditionalFormatting sqref="C119">
    <cfRule type="cellIs" dxfId="16071" priority="2761" stopIfTrue="1" operator="equal">
      <formula>"Towel"</formula>
    </cfRule>
    <cfRule type="cellIs" dxfId="16070" priority="2762" stopIfTrue="1" operator="equal">
      <formula>"Napkin Hs"</formula>
    </cfRule>
  </conditionalFormatting>
  <conditionalFormatting sqref="C119">
    <cfRule type="cellIs" dxfId="16069" priority="2753" stopIfTrue="1" operator="equal">
      <formula>"Towel"</formula>
    </cfRule>
    <cfRule type="cellIs" dxfId="16068" priority="2754" stopIfTrue="1" operator="equal">
      <formula>"Napkin Hs"</formula>
    </cfRule>
  </conditionalFormatting>
  <conditionalFormatting sqref="C119">
    <cfRule type="cellIs" dxfId="16067" priority="2751" stopIfTrue="1" operator="equal">
      <formula>"Towel"</formula>
    </cfRule>
    <cfRule type="cellIs" dxfId="16066" priority="2752" stopIfTrue="1" operator="equal">
      <formula>"Napkin Hs"</formula>
    </cfRule>
  </conditionalFormatting>
  <conditionalFormatting sqref="B119:C119">
    <cfRule type="cellIs" dxfId="16065" priority="2749" stopIfTrue="1" operator="equal">
      <formula>"Towel"</formula>
    </cfRule>
    <cfRule type="cellIs" dxfId="16064" priority="2750" stopIfTrue="1" operator="equal">
      <formula>"Napkin Hs"</formula>
    </cfRule>
  </conditionalFormatting>
  <conditionalFormatting sqref="B119:C119">
    <cfRule type="cellIs" dxfId="16063" priority="2747" stopIfTrue="1" operator="equal">
      <formula>"Towel"</formula>
    </cfRule>
    <cfRule type="cellIs" dxfId="16062" priority="2748" stopIfTrue="1" operator="equal">
      <formula>"Napkin Hs"</formula>
    </cfRule>
  </conditionalFormatting>
  <conditionalFormatting sqref="C119">
    <cfRule type="cellIs" dxfId="16061" priority="2745" stopIfTrue="1" operator="equal">
      <formula>"Towel"</formula>
    </cfRule>
    <cfRule type="cellIs" dxfId="16060" priority="2746" stopIfTrue="1" operator="equal">
      <formula>"Napkin Hs"</formula>
    </cfRule>
  </conditionalFormatting>
  <conditionalFormatting sqref="C119">
    <cfRule type="cellIs" dxfId="16059" priority="2743" stopIfTrue="1" operator="equal">
      <formula>"Towel"</formula>
    </cfRule>
    <cfRule type="cellIs" dxfId="16058" priority="2744" stopIfTrue="1" operator="equal">
      <formula>"Napkin Hs"</formula>
    </cfRule>
  </conditionalFormatting>
  <conditionalFormatting sqref="C119">
    <cfRule type="cellIs" dxfId="16057" priority="2735" stopIfTrue="1" operator="equal">
      <formula>"Towel"</formula>
    </cfRule>
    <cfRule type="cellIs" dxfId="16056" priority="2736" stopIfTrue="1" operator="equal">
      <formula>"Napkin Hs"</formula>
    </cfRule>
  </conditionalFormatting>
  <conditionalFormatting sqref="B119:C119">
    <cfRule type="cellIs" dxfId="16055" priority="2737" stopIfTrue="1" operator="equal">
      <formula>"Towel"</formula>
    </cfRule>
    <cfRule type="cellIs" dxfId="16054" priority="2738" stopIfTrue="1" operator="equal">
      <formula>"Napkin Hs"</formula>
    </cfRule>
  </conditionalFormatting>
  <conditionalFormatting sqref="C119">
    <cfRule type="cellIs" dxfId="16053" priority="2733" stopIfTrue="1" operator="equal">
      <formula>"Towel"</formula>
    </cfRule>
    <cfRule type="cellIs" dxfId="16052" priority="2734" stopIfTrue="1" operator="equal">
      <formula>"Napkin Hs"</formula>
    </cfRule>
  </conditionalFormatting>
  <conditionalFormatting sqref="B119:C119">
    <cfRule type="cellIs" dxfId="16051" priority="2731" stopIfTrue="1" operator="equal">
      <formula>"Towel"</formula>
    </cfRule>
    <cfRule type="cellIs" dxfId="16050" priority="2732" stopIfTrue="1" operator="equal">
      <formula>"Napkin Hs"</formula>
    </cfRule>
  </conditionalFormatting>
  <conditionalFormatting sqref="C119">
    <cfRule type="cellIs" dxfId="16049" priority="2739" stopIfTrue="1" operator="equal">
      <formula>"Towel"</formula>
    </cfRule>
    <cfRule type="cellIs" dxfId="16048" priority="2740" stopIfTrue="1" operator="equal">
      <formula>"Napkin Hs"</formula>
    </cfRule>
  </conditionalFormatting>
  <conditionalFormatting sqref="C119">
    <cfRule type="cellIs" dxfId="16047" priority="2741" stopIfTrue="1" operator="equal">
      <formula>"Towel"</formula>
    </cfRule>
    <cfRule type="cellIs" dxfId="16046" priority="2742" stopIfTrue="1" operator="equal">
      <formula>"Napkin Hs"</formula>
    </cfRule>
  </conditionalFormatting>
  <conditionalFormatting sqref="B119:C119">
    <cfRule type="cellIs" dxfId="16045" priority="2729" stopIfTrue="1" operator="equal">
      <formula>"Towel"</formula>
    </cfRule>
    <cfRule type="cellIs" dxfId="16044" priority="2730" stopIfTrue="1" operator="equal">
      <formula>"Napkin Hs"</formula>
    </cfRule>
  </conditionalFormatting>
  <conditionalFormatting sqref="C119">
    <cfRule type="cellIs" dxfId="16043" priority="2728" stopIfTrue="1" operator="equal">
      <formula>"Napkin Hs"</formula>
    </cfRule>
  </conditionalFormatting>
  <conditionalFormatting sqref="C119">
    <cfRule type="cellIs" dxfId="16042" priority="2727" stopIfTrue="1" operator="equal">
      <formula>"Towel"</formula>
    </cfRule>
  </conditionalFormatting>
  <conditionalFormatting sqref="C119">
    <cfRule type="cellIs" dxfId="16041" priority="2725" stopIfTrue="1" operator="equal">
      <formula>"Towel"</formula>
    </cfRule>
    <cfRule type="cellIs" dxfId="16040" priority="2726" stopIfTrue="1" operator="equal">
      <formula>"Napkin Hs"</formula>
    </cfRule>
  </conditionalFormatting>
  <conditionalFormatting sqref="B119:C119">
    <cfRule type="cellIs" dxfId="16039" priority="2723" stopIfTrue="1" operator="equal">
      <formula>"Towel"</formula>
    </cfRule>
    <cfRule type="cellIs" dxfId="16038" priority="2724" stopIfTrue="1" operator="equal">
      <formula>"Napkin Hs"</formula>
    </cfRule>
  </conditionalFormatting>
  <conditionalFormatting sqref="C119">
    <cfRule type="cellIs" dxfId="16037" priority="2719" stopIfTrue="1" operator="equal">
      <formula>"Towel"</formula>
    </cfRule>
    <cfRule type="cellIs" dxfId="16036" priority="2720" stopIfTrue="1" operator="equal">
      <formula>"Napkin Hs"</formula>
    </cfRule>
  </conditionalFormatting>
  <conditionalFormatting sqref="C119">
    <cfRule type="cellIs" dxfId="16035" priority="2721" stopIfTrue="1" operator="equal">
      <formula>"Towel"</formula>
    </cfRule>
    <cfRule type="cellIs" dxfId="16034" priority="2722" stopIfTrue="1" operator="equal">
      <formula>"Napkin Hs"</formula>
    </cfRule>
  </conditionalFormatting>
  <conditionalFormatting sqref="B119:C119">
    <cfRule type="cellIs" dxfId="16033" priority="2717" stopIfTrue="1" operator="equal">
      <formula>"Towel"</formula>
    </cfRule>
    <cfRule type="cellIs" dxfId="16032" priority="2718" stopIfTrue="1" operator="equal">
      <formula>"Napkin Hs"</formula>
    </cfRule>
  </conditionalFormatting>
  <conditionalFormatting sqref="C119">
    <cfRule type="cellIs" dxfId="16031" priority="2715" stopIfTrue="1" operator="equal">
      <formula>"Towel"</formula>
    </cfRule>
    <cfRule type="cellIs" dxfId="16030" priority="2716" stopIfTrue="1" operator="equal">
      <formula>"Napkin Hs"</formula>
    </cfRule>
  </conditionalFormatting>
  <conditionalFormatting sqref="C119">
    <cfRule type="cellIs" dxfId="16029" priority="2713" stopIfTrue="1" operator="equal">
      <formula>"Towel"</formula>
    </cfRule>
    <cfRule type="cellIs" dxfId="16028" priority="2714" stopIfTrue="1" operator="equal">
      <formula>"Napkin Hs"</formula>
    </cfRule>
  </conditionalFormatting>
  <conditionalFormatting sqref="C119">
    <cfRule type="cellIs" dxfId="16027" priority="2705" stopIfTrue="1" operator="equal">
      <formula>"Towel"</formula>
    </cfRule>
    <cfRule type="cellIs" dxfId="16026" priority="2706" stopIfTrue="1" operator="equal">
      <formula>"Napkin Hs"</formula>
    </cfRule>
  </conditionalFormatting>
  <conditionalFormatting sqref="B119:C119">
    <cfRule type="cellIs" dxfId="16025" priority="2707" stopIfTrue="1" operator="equal">
      <formula>"Towel"</formula>
    </cfRule>
    <cfRule type="cellIs" dxfId="16024" priority="2708" stopIfTrue="1" operator="equal">
      <formula>"Napkin Hs"</formula>
    </cfRule>
  </conditionalFormatting>
  <conditionalFormatting sqref="C119">
    <cfRule type="cellIs" dxfId="16023" priority="2703" stopIfTrue="1" operator="equal">
      <formula>"Towel"</formula>
    </cfRule>
    <cfRule type="cellIs" dxfId="16022" priority="2704" stopIfTrue="1" operator="equal">
      <formula>"Napkin Hs"</formula>
    </cfRule>
  </conditionalFormatting>
  <conditionalFormatting sqref="B119:C119">
    <cfRule type="cellIs" dxfId="16021" priority="2701" stopIfTrue="1" operator="equal">
      <formula>"Towel"</formula>
    </cfRule>
    <cfRule type="cellIs" dxfId="16020" priority="2702" stopIfTrue="1" operator="equal">
      <formula>"Napkin Hs"</formula>
    </cfRule>
  </conditionalFormatting>
  <conditionalFormatting sqref="C119">
    <cfRule type="cellIs" dxfId="16019" priority="2709" stopIfTrue="1" operator="equal">
      <formula>"Towel"</formula>
    </cfRule>
    <cfRule type="cellIs" dxfId="16018" priority="2710" stopIfTrue="1" operator="equal">
      <formula>"Napkin Hs"</formula>
    </cfRule>
  </conditionalFormatting>
  <conditionalFormatting sqref="C119">
    <cfRule type="cellIs" dxfId="16017" priority="2711" stopIfTrue="1" operator="equal">
      <formula>"Towel"</formula>
    </cfRule>
    <cfRule type="cellIs" dxfId="16016" priority="2712" stopIfTrue="1" operator="equal">
      <formula>"Napkin Hs"</formula>
    </cfRule>
  </conditionalFormatting>
  <conditionalFormatting sqref="B119:C119">
    <cfRule type="cellIs" dxfId="16015" priority="2699" stopIfTrue="1" operator="equal">
      <formula>"Towel"</formula>
    </cfRule>
    <cfRule type="cellIs" dxfId="16014" priority="2700" stopIfTrue="1" operator="equal">
      <formula>"Napkin Hs"</formula>
    </cfRule>
  </conditionalFormatting>
  <conditionalFormatting sqref="C119">
    <cfRule type="cellIs" dxfId="16013" priority="2698" stopIfTrue="1" operator="equal">
      <formula>"Napkin Hs"</formula>
    </cfRule>
  </conditionalFormatting>
  <conditionalFormatting sqref="C119">
    <cfRule type="cellIs" dxfId="16012" priority="2697" stopIfTrue="1" operator="equal">
      <formula>"Towel"</formula>
    </cfRule>
  </conditionalFormatting>
  <conditionalFormatting sqref="C119">
    <cfRule type="cellIs" dxfId="16011" priority="2695" stopIfTrue="1" operator="equal">
      <formula>"Towel"</formula>
    </cfRule>
    <cfRule type="cellIs" dxfId="16010" priority="2696" stopIfTrue="1" operator="equal">
      <formula>"Napkin Hs"</formula>
    </cfRule>
  </conditionalFormatting>
  <conditionalFormatting sqref="B119:C119">
    <cfRule type="cellIs" dxfId="16009" priority="2693" stopIfTrue="1" operator="equal">
      <formula>"Towel"</formula>
    </cfRule>
    <cfRule type="cellIs" dxfId="16008" priority="2694" stopIfTrue="1" operator="equal">
      <formula>"Napkin Hs"</formula>
    </cfRule>
  </conditionalFormatting>
  <conditionalFormatting sqref="C119">
    <cfRule type="cellIs" dxfId="16007" priority="2689" stopIfTrue="1" operator="equal">
      <formula>"Towel"</formula>
    </cfRule>
    <cfRule type="cellIs" dxfId="16006" priority="2690" stopIfTrue="1" operator="equal">
      <formula>"Napkin Hs"</formula>
    </cfRule>
  </conditionalFormatting>
  <conditionalFormatting sqref="C119">
    <cfRule type="cellIs" dxfId="16005" priority="2691" stopIfTrue="1" operator="equal">
      <formula>"Towel"</formula>
    </cfRule>
    <cfRule type="cellIs" dxfId="16004" priority="2692" stopIfTrue="1" operator="equal">
      <formula>"Napkin Hs"</formula>
    </cfRule>
  </conditionalFormatting>
  <conditionalFormatting sqref="B119:C119">
    <cfRule type="cellIs" dxfId="16003" priority="2687" stopIfTrue="1" operator="equal">
      <formula>"Towel"</formula>
    </cfRule>
    <cfRule type="cellIs" dxfId="16002" priority="2688" stopIfTrue="1" operator="equal">
      <formula>"Napkin Hs"</formula>
    </cfRule>
  </conditionalFormatting>
  <conditionalFormatting sqref="C119">
    <cfRule type="cellIs" dxfId="16001" priority="2686" stopIfTrue="1" operator="equal">
      <formula>"Napkin Hs"</formula>
    </cfRule>
  </conditionalFormatting>
  <conditionalFormatting sqref="C119">
    <cfRule type="cellIs" dxfId="16000" priority="2685" stopIfTrue="1" operator="equal">
      <formula>"Towel"</formula>
    </cfRule>
  </conditionalFormatting>
  <conditionalFormatting sqref="C119">
    <cfRule type="cellIs" dxfId="15999" priority="2683" stopIfTrue="1" operator="equal">
      <formula>"Towel"</formula>
    </cfRule>
    <cfRule type="cellIs" dxfId="15998" priority="2684" stopIfTrue="1" operator="equal">
      <formula>"Napkin Hs"</formula>
    </cfRule>
  </conditionalFormatting>
  <conditionalFormatting sqref="B119:C119">
    <cfRule type="cellIs" dxfId="15997" priority="2681" stopIfTrue="1" operator="equal">
      <formula>"Towel"</formula>
    </cfRule>
    <cfRule type="cellIs" dxfId="15996" priority="2682" stopIfTrue="1" operator="equal">
      <formula>"Napkin Hs"</formula>
    </cfRule>
  </conditionalFormatting>
  <conditionalFormatting sqref="C119">
    <cfRule type="cellIs" dxfId="15995" priority="2677" stopIfTrue="1" operator="equal">
      <formula>"Towel"</formula>
    </cfRule>
    <cfRule type="cellIs" dxfId="15994" priority="2678" stopIfTrue="1" operator="equal">
      <formula>"Napkin Hs"</formula>
    </cfRule>
  </conditionalFormatting>
  <conditionalFormatting sqref="C119">
    <cfRule type="cellIs" dxfId="15993" priority="2679" stopIfTrue="1" operator="equal">
      <formula>"Towel"</formula>
    </cfRule>
    <cfRule type="cellIs" dxfId="15992" priority="2680" stopIfTrue="1" operator="equal">
      <formula>"Napkin Hs"</formula>
    </cfRule>
  </conditionalFormatting>
  <conditionalFormatting sqref="B119:C119">
    <cfRule type="cellIs" dxfId="15991" priority="2675" stopIfTrue="1" operator="equal">
      <formula>"Towel"</formula>
    </cfRule>
    <cfRule type="cellIs" dxfId="15990" priority="2676" stopIfTrue="1" operator="equal">
      <formula>"Napkin Hs"</formula>
    </cfRule>
  </conditionalFormatting>
  <conditionalFormatting sqref="C119">
    <cfRule type="cellIs" dxfId="15989" priority="2674" stopIfTrue="1" operator="equal">
      <formula>"Napkin Hs"</formula>
    </cfRule>
  </conditionalFormatting>
  <conditionalFormatting sqref="C119">
    <cfRule type="cellIs" dxfId="15988" priority="2673" stopIfTrue="1" operator="equal">
      <formula>"Towel"</formula>
    </cfRule>
  </conditionalFormatting>
  <conditionalFormatting sqref="C119">
    <cfRule type="cellIs" dxfId="15987" priority="2671" stopIfTrue="1" operator="equal">
      <formula>"Towel"</formula>
    </cfRule>
    <cfRule type="cellIs" dxfId="15986" priority="2672" stopIfTrue="1" operator="equal">
      <formula>"Napkin Hs"</formula>
    </cfRule>
  </conditionalFormatting>
  <conditionalFormatting sqref="C119">
    <cfRule type="cellIs" dxfId="15985" priority="2663" stopIfTrue="1" operator="equal">
      <formula>"Towel"</formula>
    </cfRule>
    <cfRule type="cellIs" dxfId="15984" priority="2664" stopIfTrue="1" operator="equal">
      <formula>"Napkin Hs"</formula>
    </cfRule>
  </conditionalFormatting>
  <conditionalFormatting sqref="B119:C119">
    <cfRule type="cellIs" dxfId="15983" priority="2665" stopIfTrue="1" operator="equal">
      <formula>"Towel"</formula>
    </cfRule>
    <cfRule type="cellIs" dxfId="15982" priority="2666" stopIfTrue="1" operator="equal">
      <formula>"Napkin Hs"</formula>
    </cfRule>
  </conditionalFormatting>
  <conditionalFormatting sqref="C119">
    <cfRule type="cellIs" dxfId="15981" priority="2661" stopIfTrue="1" operator="equal">
      <formula>"Towel"</formula>
    </cfRule>
    <cfRule type="cellIs" dxfId="15980" priority="2662" stopIfTrue="1" operator="equal">
      <formula>"Napkin Hs"</formula>
    </cfRule>
  </conditionalFormatting>
  <conditionalFormatting sqref="B119:C119">
    <cfRule type="cellIs" dxfId="15979" priority="2659" stopIfTrue="1" operator="equal">
      <formula>"Towel"</formula>
    </cfRule>
    <cfRule type="cellIs" dxfId="15978" priority="2660" stopIfTrue="1" operator="equal">
      <formula>"Napkin Hs"</formula>
    </cfRule>
  </conditionalFormatting>
  <conditionalFormatting sqref="C119">
    <cfRule type="cellIs" dxfId="15977" priority="2667" stopIfTrue="1" operator="equal">
      <formula>"Towel"</formula>
    </cfRule>
    <cfRule type="cellIs" dxfId="15976" priority="2668" stopIfTrue="1" operator="equal">
      <formula>"Napkin Hs"</formula>
    </cfRule>
  </conditionalFormatting>
  <conditionalFormatting sqref="C119">
    <cfRule type="cellIs" dxfId="15975" priority="2669" stopIfTrue="1" operator="equal">
      <formula>"Towel"</formula>
    </cfRule>
    <cfRule type="cellIs" dxfId="15974" priority="2670" stopIfTrue="1" operator="equal">
      <formula>"Napkin Hs"</formula>
    </cfRule>
  </conditionalFormatting>
  <conditionalFormatting sqref="B119:C119">
    <cfRule type="cellIs" dxfId="15973" priority="2657" stopIfTrue="1" operator="equal">
      <formula>"Towel"</formula>
    </cfRule>
    <cfRule type="cellIs" dxfId="15972" priority="2658" stopIfTrue="1" operator="equal">
      <formula>"Napkin Hs"</formula>
    </cfRule>
  </conditionalFormatting>
  <conditionalFormatting sqref="C119">
    <cfRule type="cellIs" dxfId="15971" priority="2653" stopIfTrue="1" operator="equal">
      <formula>"Towel"</formula>
    </cfRule>
    <cfRule type="cellIs" dxfId="15970" priority="2654" stopIfTrue="1" operator="equal">
      <formula>"Napkin Hs"</formula>
    </cfRule>
  </conditionalFormatting>
  <conditionalFormatting sqref="C119">
    <cfRule type="cellIs" dxfId="15969" priority="2655" stopIfTrue="1" operator="equal">
      <formula>"Towel"</formula>
    </cfRule>
    <cfRule type="cellIs" dxfId="15968" priority="2656" stopIfTrue="1" operator="equal">
      <formula>"Napkin Hs"</formula>
    </cfRule>
  </conditionalFormatting>
  <conditionalFormatting sqref="C119">
    <cfRule type="cellIs" dxfId="15967" priority="2645" stopIfTrue="1" operator="equal">
      <formula>"Towel"</formula>
    </cfRule>
    <cfRule type="cellIs" dxfId="15966" priority="2646" stopIfTrue="1" operator="equal">
      <formula>"Napkin Hs"</formula>
    </cfRule>
  </conditionalFormatting>
  <conditionalFormatting sqref="B119:C119">
    <cfRule type="cellIs" dxfId="15965" priority="2647" stopIfTrue="1" operator="equal">
      <formula>"Towel"</formula>
    </cfRule>
    <cfRule type="cellIs" dxfId="15964" priority="2648" stopIfTrue="1" operator="equal">
      <formula>"Napkin Hs"</formula>
    </cfRule>
  </conditionalFormatting>
  <conditionalFormatting sqref="C119">
    <cfRule type="cellIs" dxfId="15963" priority="2643" stopIfTrue="1" operator="equal">
      <formula>"Towel"</formula>
    </cfRule>
    <cfRule type="cellIs" dxfId="15962" priority="2644" stopIfTrue="1" operator="equal">
      <formula>"Napkin Hs"</formula>
    </cfRule>
  </conditionalFormatting>
  <conditionalFormatting sqref="B119:C119">
    <cfRule type="cellIs" dxfId="15961" priority="2641" stopIfTrue="1" operator="equal">
      <formula>"Towel"</formula>
    </cfRule>
    <cfRule type="cellIs" dxfId="15960" priority="2642" stopIfTrue="1" operator="equal">
      <formula>"Napkin Hs"</formula>
    </cfRule>
  </conditionalFormatting>
  <conditionalFormatting sqref="C119">
    <cfRule type="cellIs" dxfId="15959" priority="2649" stopIfTrue="1" operator="equal">
      <formula>"Towel"</formula>
    </cfRule>
    <cfRule type="cellIs" dxfId="15958" priority="2650" stopIfTrue="1" operator="equal">
      <formula>"Napkin Hs"</formula>
    </cfRule>
  </conditionalFormatting>
  <conditionalFormatting sqref="C119">
    <cfRule type="cellIs" dxfId="15957" priority="2651" stopIfTrue="1" operator="equal">
      <formula>"Towel"</formula>
    </cfRule>
    <cfRule type="cellIs" dxfId="15956" priority="2652" stopIfTrue="1" operator="equal">
      <formula>"Napkin Hs"</formula>
    </cfRule>
  </conditionalFormatting>
  <conditionalFormatting sqref="B119:C119">
    <cfRule type="cellIs" dxfId="15955" priority="2639" stopIfTrue="1" operator="equal">
      <formula>"Towel"</formula>
    </cfRule>
    <cfRule type="cellIs" dxfId="15954" priority="2640" stopIfTrue="1" operator="equal">
      <formula>"Napkin Hs"</formula>
    </cfRule>
  </conditionalFormatting>
  <conditionalFormatting sqref="C119">
    <cfRule type="cellIs" dxfId="15953" priority="2638" stopIfTrue="1" operator="equal">
      <formula>"Napkin Hs"</formula>
    </cfRule>
  </conditionalFormatting>
  <conditionalFormatting sqref="C119">
    <cfRule type="cellIs" dxfId="15952" priority="2637" stopIfTrue="1" operator="equal">
      <formula>"Towel"</formula>
    </cfRule>
  </conditionalFormatting>
  <conditionalFormatting sqref="C119">
    <cfRule type="cellIs" dxfId="15951" priority="2635" stopIfTrue="1" operator="equal">
      <formula>"Towel"</formula>
    </cfRule>
    <cfRule type="cellIs" dxfId="15950" priority="2636" stopIfTrue="1" operator="equal">
      <formula>"Napkin Hs"</formula>
    </cfRule>
  </conditionalFormatting>
  <conditionalFormatting sqref="B118:C118">
    <cfRule type="cellIs" dxfId="15949" priority="2633" stopIfTrue="1" operator="equal">
      <formula>"Towel"</formula>
    </cfRule>
    <cfRule type="cellIs" dxfId="15948" priority="2634" stopIfTrue="1" operator="equal">
      <formula>"Napkin Hs"</formula>
    </cfRule>
  </conditionalFormatting>
  <conditionalFormatting sqref="C118">
    <cfRule type="cellIs" dxfId="15947" priority="2629" stopIfTrue="1" operator="equal">
      <formula>"Towel"</formula>
    </cfRule>
    <cfRule type="cellIs" dxfId="15946" priority="2630" stopIfTrue="1" operator="equal">
      <formula>"Napkin Hs"</formula>
    </cfRule>
  </conditionalFormatting>
  <conditionalFormatting sqref="C118">
    <cfRule type="cellIs" dxfId="15945" priority="2631" stopIfTrue="1" operator="equal">
      <formula>"Towel"</formula>
    </cfRule>
    <cfRule type="cellIs" dxfId="15944" priority="2632" stopIfTrue="1" operator="equal">
      <formula>"Napkin Hs"</formula>
    </cfRule>
  </conditionalFormatting>
  <conditionalFormatting sqref="B118:C118">
    <cfRule type="cellIs" dxfId="15943" priority="2627" stopIfTrue="1" operator="equal">
      <formula>"Towel"</formula>
    </cfRule>
    <cfRule type="cellIs" dxfId="15942" priority="2628" stopIfTrue="1" operator="equal">
      <formula>"Napkin Hs"</formula>
    </cfRule>
  </conditionalFormatting>
  <conditionalFormatting sqref="C118">
    <cfRule type="cellIs" dxfId="15941" priority="2625" stopIfTrue="1" operator="equal">
      <formula>"Towel"</formula>
    </cfRule>
    <cfRule type="cellIs" dxfId="15940" priority="2626" stopIfTrue="1" operator="equal">
      <formula>"Napkin Hs"</formula>
    </cfRule>
  </conditionalFormatting>
  <conditionalFormatting sqref="C118">
    <cfRule type="cellIs" dxfId="15939" priority="2623" stopIfTrue="1" operator="equal">
      <formula>"Towel"</formula>
    </cfRule>
    <cfRule type="cellIs" dxfId="15938" priority="2624" stopIfTrue="1" operator="equal">
      <formula>"Napkin Hs"</formula>
    </cfRule>
  </conditionalFormatting>
  <conditionalFormatting sqref="C118">
    <cfRule type="cellIs" dxfId="15937" priority="2615" stopIfTrue="1" operator="equal">
      <formula>"Towel"</formula>
    </cfRule>
    <cfRule type="cellIs" dxfId="15936" priority="2616" stopIfTrue="1" operator="equal">
      <formula>"Napkin Hs"</formula>
    </cfRule>
  </conditionalFormatting>
  <conditionalFormatting sqref="B118:C118">
    <cfRule type="cellIs" dxfId="15935" priority="2617" stopIfTrue="1" operator="equal">
      <formula>"Towel"</formula>
    </cfRule>
    <cfRule type="cellIs" dxfId="15934" priority="2618" stopIfTrue="1" operator="equal">
      <formula>"Napkin Hs"</formula>
    </cfRule>
  </conditionalFormatting>
  <conditionalFormatting sqref="C118">
    <cfRule type="cellIs" dxfId="15933" priority="2613" stopIfTrue="1" operator="equal">
      <formula>"Towel"</formula>
    </cfRule>
    <cfRule type="cellIs" dxfId="15932" priority="2614" stopIfTrue="1" operator="equal">
      <formula>"Napkin Hs"</formula>
    </cfRule>
  </conditionalFormatting>
  <conditionalFormatting sqref="B118:C118">
    <cfRule type="cellIs" dxfId="15931" priority="2611" stopIfTrue="1" operator="equal">
      <formula>"Towel"</formula>
    </cfRule>
    <cfRule type="cellIs" dxfId="15930" priority="2612" stopIfTrue="1" operator="equal">
      <formula>"Napkin Hs"</formula>
    </cfRule>
  </conditionalFormatting>
  <conditionalFormatting sqref="C118">
    <cfRule type="cellIs" dxfId="15929" priority="2619" stopIfTrue="1" operator="equal">
      <formula>"Towel"</formula>
    </cfRule>
    <cfRule type="cellIs" dxfId="15928" priority="2620" stopIfTrue="1" operator="equal">
      <formula>"Napkin Hs"</formula>
    </cfRule>
  </conditionalFormatting>
  <conditionalFormatting sqref="C118">
    <cfRule type="cellIs" dxfId="15927" priority="2621" stopIfTrue="1" operator="equal">
      <formula>"Towel"</formula>
    </cfRule>
    <cfRule type="cellIs" dxfId="15926" priority="2622" stopIfTrue="1" operator="equal">
      <formula>"Napkin Hs"</formula>
    </cfRule>
  </conditionalFormatting>
  <conditionalFormatting sqref="C118">
    <cfRule type="cellIs" dxfId="15925" priority="2603" stopIfTrue="1" operator="equal">
      <formula>"Towel"</formula>
    </cfRule>
    <cfRule type="cellIs" dxfId="15924" priority="2604" stopIfTrue="1" operator="equal">
      <formula>"Napkin Hs"</formula>
    </cfRule>
  </conditionalFormatting>
  <conditionalFormatting sqref="C118">
    <cfRule type="cellIs" dxfId="15923" priority="2601" stopIfTrue="1" operator="equal">
      <formula>"Towel"</formula>
    </cfRule>
    <cfRule type="cellIs" dxfId="15922" priority="2602" stopIfTrue="1" operator="equal">
      <formula>"Napkin Hs"</formula>
    </cfRule>
  </conditionalFormatting>
  <conditionalFormatting sqref="B118:C118">
    <cfRule type="cellIs" dxfId="15921" priority="2599" stopIfTrue="1" operator="equal">
      <formula>"Towel"</formula>
    </cfRule>
    <cfRule type="cellIs" dxfId="15920" priority="2600" stopIfTrue="1" operator="equal">
      <formula>"Napkin Hs"</formula>
    </cfRule>
  </conditionalFormatting>
  <conditionalFormatting sqref="B118:C118">
    <cfRule type="cellIs" dxfId="15919" priority="2609" stopIfTrue="1" operator="equal">
      <formula>"Towel"</formula>
    </cfRule>
    <cfRule type="cellIs" dxfId="15918" priority="2610" stopIfTrue="1" operator="equal">
      <formula>"Napkin Hs"</formula>
    </cfRule>
  </conditionalFormatting>
  <conditionalFormatting sqref="C118">
    <cfRule type="cellIs" dxfId="15917" priority="2607" stopIfTrue="1" operator="equal">
      <formula>"Towel"</formula>
    </cfRule>
    <cfRule type="cellIs" dxfId="15916" priority="2608" stopIfTrue="1" operator="equal">
      <formula>"Napkin Hs"</formula>
    </cfRule>
  </conditionalFormatting>
  <conditionalFormatting sqref="C118">
    <cfRule type="cellIs" dxfId="15915" priority="2605" stopIfTrue="1" operator="equal">
      <formula>"Towel"</formula>
    </cfRule>
    <cfRule type="cellIs" dxfId="15914" priority="2606" stopIfTrue="1" operator="equal">
      <formula>"Napkin Hs"</formula>
    </cfRule>
  </conditionalFormatting>
  <conditionalFormatting sqref="C118">
    <cfRule type="cellIs" dxfId="15913" priority="2597" stopIfTrue="1" operator="equal">
      <formula>"Towel"</formula>
    </cfRule>
    <cfRule type="cellIs" dxfId="15912" priority="2598" stopIfTrue="1" operator="equal">
      <formula>"Napkin Hs"</formula>
    </cfRule>
  </conditionalFormatting>
  <conditionalFormatting sqref="C118">
    <cfRule type="cellIs" dxfId="15911" priority="2595" stopIfTrue="1" operator="equal">
      <formula>"Towel"</formula>
    </cfRule>
    <cfRule type="cellIs" dxfId="15910" priority="2596" stopIfTrue="1" operator="equal">
      <formula>"Napkin Hs"</formula>
    </cfRule>
  </conditionalFormatting>
  <conditionalFormatting sqref="B118:C118">
    <cfRule type="cellIs" dxfId="15909" priority="2593" stopIfTrue="1" operator="equal">
      <formula>"Towel"</formula>
    </cfRule>
    <cfRule type="cellIs" dxfId="15908" priority="2594" stopIfTrue="1" operator="equal">
      <formula>"Napkin Hs"</formula>
    </cfRule>
  </conditionalFormatting>
  <conditionalFormatting sqref="B118:C118">
    <cfRule type="cellIs" dxfId="15907" priority="2591" stopIfTrue="1" operator="equal">
      <formula>"Towel"</formula>
    </cfRule>
    <cfRule type="cellIs" dxfId="15906" priority="2592" stopIfTrue="1" operator="equal">
      <formula>"Napkin Hs"</formula>
    </cfRule>
  </conditionalFormatting>
  <conditionalFormatting sqref="C118">
    <cfRule type="cellIs" dxfId="15905" priority="2589" stopIfTrue="1" operator="equal">
      <formula>"Towel"</formula>
    </cfRule>
    <cfRule type="cellIs" dxfId="15904" priority="2590" stopIfTrue="1" operator="equal">
      <formula>"Napkin Hs"</formula>
    </cfRule>
  </conditionalFormatting>
  <conditionalFormatting sqref="C118">
    <cfRule type="cellIs" dxfId="15903" priority="2587" stopIfTrue="1" operator="equal">
      <formula>"Towel"</formula>
    </cfRule>
    <cfRule type="cellIs" dxfId="15902" priority="2588" stopIfTrue="1" operator="equal">
      <formula>"Napkin Hs"</formula>
    </cfRule>
  </conditionalFormatting>
  <conditionalFormatting sqref="C118">
    <cfRule type="cellIs" dxfId="15901" priority="2579" stopIfTrue="1" operator="equal">
      <formula>"Towel"</formula>
    </cfRule>
    <cfRule type="cellIs" dxfId="15900" priority="2580" stopIfTrue="1" operator="equal">
      <formula>"Napkin Hs"</formula>
    </cfRule>
  </conditionalFormatting>
  <conditionalFormatting sqref="B118:C118">
    <cfRule type="cellIs" dxfId="15899" priority="2581" stopIfTrue="1" operator="equal">
      <formula>"Towel"</formula>
    </cfRule>
    <cfRule type="cellIs" dxfId="15898" priority="2582" stopIfTrue="1" operator="equal">
      <formula>"Napkin Hs"</formula>
    </cfRule>
  </conditionalFormatting>
  <conditionalFormatting sqref="C118">
    <cfRule type="cellIs" dxfId="15897" priority="2577" stopIfTrue="1" operator="equal">
      <formula>"Towel"</formula>
    </cfRule>
    <cfRule type="cellIs" dxfId="15896" priority="2578" stopIfTrue="1" operator="equal">
      <formula>"Napkin Hs"</formula>
    </cfRule>
  </conditionalFormatting>
  <conditionalFormatting sqref="B118:C118">
    <cfRule type="cellIs" dxfId="15895" priority="2575" stopIfTrue="1" operator="equal">
      <formula>"Towel"</formula>
    </cfRule>
    <cfRule type="cellIs" dxfId="15894" priority="2576" stopIfTrue="1" operator="equal">
      <formula>"Napkin Hs"</formula>
    </cfRule>
  </conditionalFormatting>
  <conditionalFormatting sqref="C118">
    <cfRule type="cellIs" dxfId="15893" priority="2583" stopIfTrue="1" operator="equal">
      <formula>"Towel"</formula>
    </cfRule>
    <cfRule type="cellIs" dxfId="15892" priority="2584" stopIfTrue="1" operator="equal">
      <formula>"Napkin Hs"</formula>
    </cfRule>
  </conditionalFormatting>
  <conditionalFormatting sqref="C118">
    <cfRule type="cellIs" dxfId="15891" priority="2585" stopIfTrue="1" operator="equal">
      <formula>"Towel"</formula>
    </cfRule>
    <cfRule type="cellIs" dxfId="15890" priority="2586" stopIfTrue="1" operator="equal">
      <formula>"Napkin Hs"</formula>
    </cfRule>
  </conditionalFormatting>
  <conditionalFormatting sqref="B118:C118">
    <cfRule type="cellIs" dxfId="15889" priority="2573" stopIfTrue="1" operator="equal">
      <formula>"Towel"</formula>
    </cfRule>
    <cfRule type="cellIs" dxfId="15888" priority="2574" stopIfTrue="1" operator="equal">
      <formula>"Napkin Hs"</formula>
    </cfRule>
  </conditionalFormatting>
  <conditionalFormatting sqref="C118">
    <cfRule type="cellIs" dxfId="15887" priority="2572" stopIfTrue="1" operator="equal">
      <formula>"Napkin Hs"</formula>
    </cfRule>
  </conditionalFormatting>
  <conditionalFormatting sqref="C118">
    <cfRule type="cellIs" dxfId="15886" priority="2571" stopIfTrue="1" operator="equal">
      <formula>"Towel"</formula>
    </cfRule>
  </conditionalFormatting>
  <conditionalFormatting sqref="C118">
    <cfRule type="cellIs" dxfId="15885" priority="2569" stopIfTrue="1" operator="equal">
      <formula>"Towel"</formula>
    </cfRule>
    <cfRule type="cellIs" dxfId="15884" priority="2570" stopIfTrue="1" operator="equal">
      <formula>"Napkin Hs"</formula>
    </cfRule>
  </conditionalFormatting>
  <conditionalFormatting sqref="B118:C118">
    <cfRule type="cellIs" dxfId="15883" priority="2567" stopIfTrue="1" operator="equal">
      <formula>"Towel"</formula>
    </cfRule>
    <cfRule type="cellIs" dxfId="15882" priority="2568" stopIfTrue="1" operator="equal">
      <formula>"Napkin Hs"</formula>
    </cfRule>
  </conditionalFormatting>
  <conditionalFormatting sqref="C118">
    <cfRule type="cellIs" dxfId="15881" priority="2563" stopIfTrue="1" operator="equal">
      <formula>"Towel"</formula>
    </cfRule>
    <cfRule type="cellIs" dxfId="15880" priority="2564" stopIfTrue="1" operator="equal">
      <formula>"Napkin Hs"</formula>
    </cfRule>
  </conditionalFormatting>
  <conditionalFormatting sqref="C118">
    <cfRule type="cellIs" dxfId="15879" priority="2565" stopIfTrue="1" operator="equal">
      <formula>"Towel"</formula>
    </cfRule>
    <cfRule type="cellIs" dxfId="15878" priority="2566" stopIfTrue="1" operator="equal">
      <formula>"Napkin Hs"</formula>
    </cfRule>
  </conditionalFormatting>
  <conditionalFormatting sqref="B118:C118">
    <cfRule type="cellIs" dxfId="15877" priority="2561" stopIfTrue="1" operator="equal">
      <formula>"Towel"</formula>
    </cfRule>
    <cfRule type="cellIs" dxfId="15876" priority="2562" stopIfTrue="1" operator="equal">
      <formula>"Napkin Hs"</formula>
    </cfRule>
  </conditionalFormatting>
  <conditionalFormatting sqref="C118">
    <cfRule type="cellIs" dxfId="15875" priority="2559" stopIfTrue="1" operator="equal">
      <formula>"Towel"</formula>
    </cfRule>
    <cfRule type="cellIs" dxfId="15874" priority="2560" stopIfTrue="1" operator="equal">
      <formula>"Napkin Hs"</formula>
    </cfRule>
  </conditionalFormatting>
  <conditionalFormatting sqref="C118">
    <cfRule type="cellIs" dxfId="15873" priority="2557" stopIfTrue="1" operator="equal">
      <formula>"Towel"</formula>
    </cfRule>
    <cfRule type="cellIs" dxfId="15872" priority="2558" stopIfTrue="1" operator="equal">
      <formula>"Napkin Hs"</formula>
    </cfRule>
  </conditionalFormatting>
  <conditionalFormatting sqref="C118">
    <cfRule type="cellIs" dxfId="15871" priority="2549" stopIfTrue="1" operator="equal">
      <formula>"Towel"</formula>
    </cfRule>
    <cfRule type="cellIs" dxfId="15870" priority="2550" stopIfTrue="1" operator="equal">
      <formula>"Napkin Hs"</formula>
    </cfRule>
  </conditionalFormatting>
  <conditionalFormatting sqref="B118:C118">
    <cfRule type="cellIs" dxfId="15869" priority="2551" stopIfTrue="1" operator="equal">
      <formula>"Towel"</formula>
    </cfRule>
    <cfRule type="cellIs" dxfId="15868" priority="2552" stopIfTrue="1" operator="equal">
      <formula>"Napkin Hs"</formula>
    </cfRule>
  </conditionalFormatting>
  <conditionalFormatting sqref="C118">
    <cfRule type="cellIs" dxfId="15867" priority="2547" stopIfTrue="1" operator="equal">
      <formula>"Towel"</formula>
    </cfRule>
    <cfRule type="cellIs" dxfId="15866" priority="2548" stopIfTrue="1" operator="equal">
      <formula>"Napkin Hs"</formula>
    </cfRule>
  </conditionalFormatting>
  <conditionalFormatting sqref="B118:C118">
    <cfRule type="cellIs" dxfId="15865" priority="2545" stopIfTrue="1" operator="equal">
      <formula>"Towel"</formula>
    </cfRule>
    <cfRule type="cellIs" dxfId="15864" priority="2546" stopIfTrue="1" operator="equal">
      <formula>"Napkin Hs"</formula>
    </cfRule>
  </conditionalFormatting>
  <conditionalFormatting sqref="C118">
    <cfRule type="cellIs" dxfId="15863" priority="2553" stopIfTrue="1" operator="equal">
      <formula>"Towel"</formula>
    </cfRule>
    <cfRule type="cellIs" dxfId="15862" priority="2554" stopIfTrue="1" operator="equal">
      <formula>"Napkin Hs"</formula>
    </cfRule>
  </conditionalFormatting>
  <conditionalFormatting sqref="C118">
    <cfRule type="cellIs" dxfId="15861" priority="2555" stopIfTrue="1" operator="equal">
      <formula>"Towel"</formula>
    </cfRule>
    <cfRule type="cellIs" dxfId="15860" priority="2556" stopIfTrue="1" operator="equal">
      <formula>"Napkin Hs"</formula>
    </cfRule>
  </conditionalFormatting>
  <conditionalFormatting sqref="B118:C118">
    <cfRule type="cellIs" dxfId="15859" priority="2543" stopIfTrue="1" operator="equal">
      <formula>"Towel"</formula>
    </cfRule>
    <cfRule type="cellIs" dxfId="15858" priority="2544" stopIfTrue="1" operator="equal">
      <formula>"Napkin Hs"</formula>
    </cfRule>
  </conditionalFormatting>
  <conditionalFormatting sqref="C118">
    <cfRule type="cellIs" dxfId="15857" priority="2542" stopIfTrue="1" operator="equal">
      <formula>"Napkin Hs"</formula>
    </cfRule>
  </conditionalFormatting>
  <conditionalFormatting sqref="C118">
    <cfRule type="cellIs" dxfId="15856" priority="2541" stopIfTrue="1" operator="equal">
      <formula>"Towel"</formula>
    </cfRule>
  </conditionalFormatting>
  <conditionalFormatting sqref="C118">
    <cfRule type="cellIs" dxfId="15855" priority="2539" stopIfTrue="1" operator="equal">
      <formula>"Towel"</formula>
    </cfRule>
    <cfRule type="cellIs" dxfId="15854" priority="2540" stopIfTrue="1" operator="equal">
      <formula>"Napkin Hs"</formula>
    </cfRule>
  </conditionalFormatting>
  <conditionalFormatting sqref="B118:C118">
    <cfRule type="cellIs" dxfId="15853" priority="2537" stopIfTrue="1" operator="equal">
      <formula>"Towel"</formula>
    </cfRule>
    <cfRule type="cellIs" dxfId="15852" priority="2538" stopIfTrue="1" operator="equal">
      <formula>"Napkin Hs"</formula>
    </cfRule>
  </conditionalFormatting>
  <conditionalFormatting sqref="C118">
    <cfRule type="cellIs" dxfId="15851" priority="2533" stopIfTrue="1" operator="equal">
      <formula>"Towel"</formula>
    </cfRule>
    <cfRule type="cellIs" dxfId="15850" priority="2534" stopIfTrue="1" operator="equal">
      <formula>"Napkin Hs"</formula>
    </cfRule>
  </conditionalFormatting>
  <conditionalFormatting sqref="C118">
    <cfRule type="cellIs" dxfId="15849" priority="2535" stopIfTrue="1" operator="equal">
      <formula>"Towel"</formula>
    </cfRule>
    <cfRule type="cellIs" dxfId="15848" priority="2536" stopIfTrue="1" operator="equal">
      <formula>"Napkin Hs"</formula>
    </cfRule>
  </conditionalFormatting>
  <conditionalFormatting sqref="B118:C118">
    <cfRule type="cellIs" dxfId="15847" priority="2531" stopIfTrue="1" operator="equal">
      <formula>"Towel"</formula>
    </cfRule>
    <cfRule type="cellIs" dxfId="15846" priority="2532" stopIfTrue="1" operator="equal">
      <formula>"Napkin Hs"</formula>
    </cfRule>
  </conditionalFormatting>
  <conditionalFormatting sqref="C118">
    <cfRule type="cellIs" dxfId="15845" priority="2530" stopIfTrue="1" operator="equal">
      <formula>"Napkin Hs"</formula>
    </cfRule>
  </conditionalFormatting>
  <conditionalFormatting sqref="C118">
    <cfRule type="cellIs" dxfId="15844" priority="2529" stopIfTrue="1" operator="equal">
      <formula>"Towel"</formula>
    </cfRule>
  </conditionalFormatting>
  <conditionalFormatting sqref="C118">
    <cfRule type="cellIs" dxfId="15843" priority="2527" stopIfTrue="1" operator="equal">
      <formula>"Towel"</formula>
    </cfRule>
    <cfRule type="cellIs" dxfId="15842" priority="2528" stopIfTrue="1" operator="equal">
      <formula>"Napkin Hs"</formula>
    </cfRule>
  </conditionalFormatting>
  <conditionalFormatting sqref="B118:C118">
    <cfRule type="cellIs" dxfId="15841" priority="2525" stopIfTrue="1" operator="equal">
      <formula>"Towel"</formula>
    </cfRule>
    <cfRule type="cellIs" dxfId="15840" priority="2526" stopIfTrue="1" operator="equal">
      <formula>"Napkin Hs"</formula>
    </cfRule>
  </conditionalFormatting>
  <conditionalFormatting sqref="C118">
    <cfRule type="cellIs" dxfId="15839" priority="2521" stopIfTrue="1" operator="equal">
      <formula>"Towel"</formula>
    </cfRule>
    <cfRule type="cellIs" dxfId="15838" priority="2522" stopIfTrue="1" operator="equal">
      <formula>"Napkin Hs"</formula>
    </cfRule>
  </conditionalFormatting>
  <conditionalFormatting sqref="C118">
    <cfRule type="cellIs" dxfId="15837" priority="2523" stopIfTrue="1" operator="equal">
      <formula>"Towel"</formula>
    </cfRule>
    <cfRule type="cellIs" dxfId="15836" priority="2524" stopIfTrue="1" operator="equal">
      <formula>"Napkin Hs"</formula>
    </cfRule>
  </conditionalFormatting>
  <conditionalFormatting sqref="B118:C118">
    <cfRule type="cellIs" dxfId="15835" priority="2519" stopIfTrue="1" operator="equal">
      <formula>"Towel"</formula>
    </cfRule>
    <cfRule type="cellIs" dxfId="15834" priority="2520" stopIfTrue="1" operator="equal">
      <formula>"Napkin Hs"</formula>
    </cfRule>
  </conditionalFormatting>
  <conditionalFormatting sqref="C118">
    <cfRule type="cellIs" dxfId="15833" priority="2518" stopIfTrue="1" operator="equal">
      <formula>"Napkin Hs"</formula>
    </cfRule>
  </conditionalFormatting>
  <conditionalFormatting sqref="C118">
    <cfRule type="cellIs" dxfId="15832" priority="2517" stopIfTrue="1" operator="equal">
      <formula>"Towel"</formula>
    </cfRule>
  </conditionalFormatting>
  <conditionalFormatting sqref="C118">
    <cfRule type="cellIs" dxfId="15831" priority="2515" stopIfTrue="1" operator="equal">
      <formula>"Towel"</formula>
    </cfRule>
    <cfRule type="cellIs" dxfId="15830" priority="2516" stopIfTrue="1" operator="equal">
      <formula>"Napkin Hs"</formula>
    </cfRule>
  </conditionalFormatting>
  <conditionalFormatting sqref="C118">
    <cfRule type="cellIs" dxfId="15829" priority="2507" stopIfTrue="1" operator="equal">
      <formula>"Towel"</formula>
    </cfRule>
    <cfRule type="cellIs" dxfId="15828" priority="2508" stopIfTrue="1" operator="equal">
      <formula>"Napkin Hs"</formula>
    </cfRule>
  </conditionalFormatting>
  <conditionalFormatting sqref="B118:C118">
    <cfRule type="cellIs" dxfId="15827" priority="2509" stopIfTrue="1" operator="equal">
      <formula>"Towel"</formula>
    </cfRule>
    <cfRule type="cellIs" dxfId="15826" priority="2510" stopIfTrue="1" operator="equal">
      <formula>"Napkin Hs"</formula>
    </cfRule>
  </conditionalFormatting>
  <conditionalFormatting sqref="C118">
    <cfRule type="cellIs" dxfId="15825" priority="2505" stopIfTrue="1" operator="equal">
      <formula>"Towel"</formula>
    </cfRule>
    <cfRule type="cellIs" dxfId="15824" priority="2506" stopIfTrue="1" operator="equal">
      <formula>"Napkin Hs"</formula>
    </cfRule>
  </conditionalFormatting>
  <conditionalFormatting sqref="B118:C118">
    <cfRule type="cellIs" dxfId="15823" priority="2503" stopIfTrue="1" operator="equal">
      <formula>"Towel"</formula>
    </cfRule>
    <cfRule type="cellIs" dxfId="15822" priority="2504" stopIfTrue="1" operator="equal">
      <formula>"Napkin Hs"</formula>
    </cfRule>
  </conditionalFormatting>
  <conditionalFormatting sqref="C118">
    <cfRule type="cellIs" dxfId="15821" priority="2511" stopIfTrue="1" operator="equal">
      <formula>"Towel"</formula>
    </cfRule>
    <cfRule type="cellIs" dxfId="15820" priority="2512" stopIfTrue="1" operator="equal">
      <formula>"Napkin Hs"</formula>
    </cfRule>
  </conditionalFormatting>
  <conditionalFormatting sqref="C118">
    <cfRule type="cellIs" dxfId="15819" priority="2513" stopIfTrue="1" operator="equal">
      <formula>"Towel"</formula>
    </cfRule>
    <cfRule type="cellIs" dxfId="15818" priority="2514" stopIfTrue="1" operator="equal">
      <formula>"Napkin Hs"</formula>
    </cfRule>
  </conditionalFormatting>
  <conditionalFormatting sqref="B118:C118">
    <cfRule type="cellIs" dxfId="15817" priority="2501" stopIfTrue="1" operator="equal">
      <formula>"Towel"</formula>
    </cfRule>
    <cfRule type="cellIs" dxfId="15816" priority="2502" stopIfTrue="1" operator="equal">
      <formula>"Napkin Hs"</formula>
    </cfRule>
  </conditionalFormatting>
  <conditionalFormatting sqref="C118">
    <cfRule type="cellIs" dxfId="15815" priority="2497" stopIfTrue="1" operator="equal">
      <formula>"Towel"</formula>
    </cfRule>
    <cfRule type="cellIs" dxfId="15814" priority="2498" stopIfTrue="1" operator="equal">
      <formula>"Napkin Hs"</formula>
    </cfRule>
  </conditionalFormatting>
  <conditionalFormatting sqref="C118">
    <cfRule type="cellIs" dxfId="15813" priority="2499" stopIfTrue="1" operator="equal">
      <formula>"Towel"</formula>
    </cfRule>
    <cfRule type="cellIs" dxfId="15812" priority="2500" stopIfTrue="1" operator="equal">
      <formula>"Napkin Hs"</formula>
    </cfRule>
  </conditionalFormatting>
  <conditionalFormatting sqref="C118">
    <cfRule type="cellIs" dxfId="15811" priority="2489" stopIfTrue="1" operator="equal">
      <formula>"Towel"</formula>
    </cfRule>
    <cfRule type="cellIs" dxfId="15810" priority="2490" stopIfTrue="1" operator="equal">
      <formula>"Napkin Hs"</formula>
    </cfRule>
  </conditionalFormatting>
  <conditionalFormatting sqref="B118:C118">
    <cfRule type="cellIs" dxfId="15809" priority="2491" stopIfTrue="1" operator="equal">
      <formula>"Towel"</formula>
    </cfRule>
    <cfRule type="cellIs" dxfId="15808" priority="2492" stopIfTrue="1" operator="equal">
      <formula>"Napkin Hs"</formula>
    </cfRule>
  </conditionalFormatting>
  <conditionalFormatting sqref="C118">
    <cfRule type="cellIs" dxfId="15807" priority="2487" stopIfTrue="1" operator="equal">
      <formula>"Towel"</formula>
    </cfRule>
    <cfRule type="cellIs" dxfId="15806" priority="2488" stopIfTrue="1" operator="equal">
      <formula>"Napkin Hs"</formula>
    </cfRule>
  </conditionalFormatting>
  <conditionalFormatting sqref="B118:C118">
    <cfRule type="cellIs" dxfId="15805" priority="2485" stopIfTrue="1" operator="equal">
      <formula>"Towel"</formula>
    </cfRule>
    <cfRule type="cellIs" dxfId="15804" priority="2486" stopIfTrue="1" operator="equal">
      <formula>"Napkin Hs"</formula>
    </cfRule>
  </conditionalFormatting>
  <conditionalFormatting sqref="C118">
    <cfRule type="cellIs" dxfId="15803" priority="2493" stopIfTrue="1" operator="equal">
      <formula>"Towel"</formula>
    </cfRule>
    <cfRule type="cellIs" dxfId="15802" priority="2494" stopIfTrue="1" operator="equal">
      <formula>"Napkin Hs"</formula>
    </cfRule>
  </conditionalFormatting>
  <conditionalFormatting sqref="C118">
    <cfRule type="cellIs" dxfId="15801" priority="2495" stopIfTrue="1" operator="equal">
      <formula>"Towel"</formula>
    </cfRule>
    <cfRule type="cellIs" dxfId="15800" priority="2496" stopIfTrue="1" operator="equal">
      <formula>"Napkin Hs"</formula>
    </cfRule>
  </conditionalFormatting>
  <conditionalFormatting sqref="B118:C118">
    <cfRule type="cellIs" dxfId="15799" priority="2483" stopIfTrue="1" operator="equal">
      <formula>"Towel"</formula>
    </cfRule>
    <cfRule type="cellIs" dxfId="15798" priority="2484" stopIfTrue="1" operator="equal">
      <formula>"Napkin Hs"</formula>
    </cfRule>
  </conditionalFormatting>
  <conditionalFormatting sqref="C118">
    <cfRule type="cellIs" dxfId="15797" priority="2482" stopIfTrue="1" operator="equal">
      <formula>"Napkin Hs"</formula>
    </cfRule>
  </conditionalFormatting>
  <conditionalFormatting sqref="C118">
    <cfRule type="cellIs" dxfId="15796" priority="2481" stopIfTrue="1" operator="equal">
      <formula>"Towel"</formula>
    </cfRule>
  </conditionalFormatting>
  <conditionalFormatting sqref="C118">
    <cfRule type="cellIs" dxfId="15795" priority="2479" stopIfTrue="1" operator="equal">
      <formula>"Towel"</formula>
    </cfRule>
    <cfRule type="cellIs" dxfId="15794" priority="2480" stopIfTrue="1" operator="equal">
      <formula>"Napkin Hs"</formula>
    </cfRule>
  </conditionalFormatting>
  <conditionalFormatting sqref="B123:C123">
    <cfRule type="cellIs" dxfId="15793" priority="2477" stopIfTrue="1" operator="equal">
      <formula>"Towel"</formula>
    </cfRule>
    <cfRule type="cellIs" dxfId="15792" priority="2478" stopIfTrue="1" operator="equal">
      <formula>"Napkin Hs"</formula>
    </cfRule>
  </conditionalFormatting>
  <conditionalFormatting sqref="C124">
    <cfRule type="cellIs" dxfId="15791" priority="2471" stopIfTrue="1" operator="equal">
      <formula>"Towel"</formula>
    </cfRule>
    <cfRule type="cellIs" dxfId="15790" priority="2472" stopIfTrue="1" operator="equal">
      <formula>"Napkin Hs"</formula>
    </cfRule>
  </conditionalFormatting>
  <conditionalFormatting sqref="C123">
    <cfRule type="cellIs" dxfId="15789" priority="2476" stopIfTrue="1" operator="equal">
      <formula>"Napkin Hs"</formula>
    </cfRule>
  </conditionalFormatting>
  <conditionalFormatting sqref="C123">
    <cfRule type="cellIs" dxfId="15788" priority="2475" stopIfTrue="1" operator="equal">
      <formula>"Towel"</formula>
    </cfRule>
  </conditionalFormatting>
  <conditionalFormatting sqref="C123">
    <cfRule type="cellIs" dxfId="15787" priority="2473" stopIfTrue="1" operator="equal">
      <formula>"Towel"</formula>
    </cfRule>
    <cfRule type="cellIs" dxfId="15786" priority="2474" stopIfTrue="1" operator="equal">
      <formula>"Napkin Hs"</formula>
    </cfRule>
  </conditionalFormatting>
  <conditionalFormatting sqref="C124">
    <cfRule type="cellIs" dxfId="15785" priority="2467" stopIfTrue="1" operator="equal">
      <formula>"Towel"</formula>
    </cfRule>
    <cfRule type="cellIs" dxfId="15784" priority="2468" stopIfTrue="1" operator="equal">
      <formula>"Napkin Hs"</formula>
    </cfRule>
  </conditionalFormatting>
  <conditionalFormatting sqref="C124">
    <cfRule type="cellIs" dxfId="15783" priority="2469" stopIfTrue="1" operator="equal">
      <formula>"Towel"</formula>
    </cfRule>
    <cfRule type="cellIs" dxfId="15782" priority="2470" stopIfTrue="1" operator="equal">
      <formula>"Napkin Hs"</formula>
    </cfRule>
  </conditionalFormatting>
  <conditionalFormatting sqref="C126">
    <cfRule type="cellIs" dxfId="15781" priority="2465" stopIfTrue="1" operator="equal">
      <formula>"Towel"</formula>
    </cfRule>
    <cfRule type="cellIs" dxfId="15780" priority="2466" stopIfTrue="1" operator="equal">
      <formula>"Napkin Hs"</formula>
    </cfRule>
  </conditionalFormatting>
  <conditionalFormatting sqref="C126">
    <cfRule type="cellIs" dxfId="15779" priority="2457" stopIfTrue="1" operator="equal">
      <formula>"Towel"</formula>
    </cfRule>
    <cfRule type="cellIs" dxfId="15778" priority="2458" stopIfTrue="1" operator="equal">
      <formula>"Napkin Hs"</formula>
    </cfRule>
  </conditionalFormatting>
  <conditionalFormatting sqref="C126">
    <cfRule type="cellIs" dxfId="15777" priority="2455" stopIfTrue="1" operator="equal">
      <formula>"Towel"</formula>
    </cfRule>
    <cfRule type="cellIs" dxfId="15776" priority="2456" stopIfTrue="1" operator="equal">
      <formula>"Napkin Hs"</formula>
    </cfRule>
  </conditionalFormatting>
  <conditionalFormatting sqref="C126">
    <cfRule type="cellIs" dxfId="15775" priority="2453" stopIfTrue="1" operator="equal">
      <formula>"Towel"</formula>
    </cfRule>
    <cfRule type="cellIs" dxfId="15774" priority="2454" stopIfTrue="1" operator="equal">
      <formula>"Napkin Hs"</formula>
    </cfRule>
  </conditionalFormatting>
  <conditionalFormatting sqref="C126">
    <cfRule type="cellIs" dxfId="15773" priority="2447" stopIfTrue="1" operator="equal">
      <formula>"Towel"</formula>
    </cfRule>
    <cfRule type="cellIs" dxfId="15772" priority="2448" stopIfTrue="1" operator="equal">
      <formula>"Napkin Hs"</formula>
    </cfRule>
  </conditionalFormatting>
  <conditionalFormatting sqref="C126">
    <cfRule type="cellIs" dxfId="15771" priority="2449" stopIfTrue="1" operator="equal">
      <formula>"Towel"</formula>
    </cfRule>
    <cfRule type="cellIs" dxfId="15770" priority="2450" stopIfTrue="1" operator="equal">
      <formula>"Napkin Hs"</formula>
    </cfRule>
  </conditionalFormatting>
  <conditionalFormatting sqref="C126">
    <cfRule type="cellIs" dxfId="15769" priority="2451" stopIfTrue="1" operator="equal">
      <formula>"Towel"</formula>
    </cfRule>
    <cfRule type="cellIs" dxfId="15768" priority="2452" stopIfTrue="1" operator="equal">
      <formula>"Napkin Hs"</formula>
    </cfRule>
  </conditionalFormatting>
  <conditionalFormatting sqref="C126">
    <cfRule type="cellIs" dxfId="15767" priority="2463" stopIfTrue="1" operator="equal">
      <formula>"Towel"</formula>
    </cfRule>
    <cfRule type="cellIs" dxfId="15766" priority="2464" stopIfTrue="1" operator="equal">
      <formula>"Napkin Hs"</formula>
    </cfRule>
  </conditionalFormatting>
  <conditionalFormatting sqref="C126">
    <cfRule type="cellIs" dxfId="15765" priority="2461" stopIfTrue="1" operator="equal">
      <formula>"Towel"</formula>
    </cfRule>
    <cfRule type="cellIs" dxfId="15764" priority="2462" stopIfTrue="1" operator="equal">
      <formula>"Napkin Hs"</formula>
    </cfRule>
  </conditionalFormatting>
  <conditionalFormatting sqref="C126">
    <cfRule type="cellIs" dxfId="15763" priority="2459" stopIfTrue="1" operator="equal">
      <formula>"Towel"</formula>
    </cfRule>
    <cfRule type="cellIs" dxfId="15762" priority="2460" stopIfTrue="1" operator="equal">
      <formula>"Napkin Hs"</formula>
    </cfRule>
  </conditionalFormatting>
  <conditionalFormatting sqref="B125:C125">
    <cfRule type="cellIs" dxfId="15761" priority="2433" stopIfTrue="1" operator="equal">
      <formula>"Towel"</formula>
    </cfRule>
    <cfRule type="cellIs" dxfId="15760" priority="2434" stopIfTrue="1" operator="equal">
      <formula>"Napkin Hs"</formula>
    </cfRule>
  </conditionalFormatting>
  <conditionalFormatting sqref="C125">
    <cfRule type="cellIs" dxfId="15759" priority="2431" stopIfTrue="1" operator="equal">
      <formula>"Towel"</formula>
    </cfRule>
    <cfRule type="cellIs" dxfId="15758" priority="2432" stopIfTrue="1" operator="equal">
      <formula>"Napkin Hs"</formula>
    </cfRule>
  </conditionalFormatting>
  <conditionalFormatting sqref="C125">
    <cfRule type="cellIs" dxfId="15757" priority="2429" stopIfTrue="1" operator="equal">
      <formula>"Towel"</formula>
    </cfRule>
    <cfRule type="cellIs" dxfId="15756" priority="2430" stopIfTrue="1" operator="equal">
      <formula>"Napkin Hs"</formula>
    </cfRule>
  </conditionalFormatting>
  <conditionalFormatting sqref="B126">
    <cfRule type="cellIs" dxfId="15755" priority="2439" stopIfTrue="1" operator="equal">
      <formula>"Towel"</formula>
    </cfRule>
    <cfRule type="cellIs" dxfId="15754" priority="2440" stopIfTrue="1" operator="equal">
      <formula>"Napkin Hs"</formula>
    </cfRule>
  </conditionalFormatting>
  <conditionalFormatting sqref="B126">
    <cfRule type="cellIs" dxfId="15753" priority="2437" stopIfTrue="1" operator="equal">
      <formula>"Towel"</formula>
    </cfRule>
    <cfRule type="cellIs" dxfId="15752" priority="2438" stopIfTrue="1" operator="equal">
      <formula>"Napkin Hs"</formula>
    </cfRule>
  </conditionalFormatting>
  <conditionalFormatting sqref="B126">
    <cfRule type="cellIs" dxfId="15751" priority="2435" stopIfTrue="1" operator="equal">
      <formula>"Towel"</formula>
    </cfRule>
    <cfRule type="cellIs" dxfId="15750" priority="2436" stopIfTrue="1" operator="equal">
      <formula>"Napkin Hs"</formula>
    </cfRule>
  </conditionalFormatting>
  <conditionalFormatting sqref="B125:C125">
    <cfRule type="cellIs" dxfId="15749" priority="2427" stopIfTrue="1" operator="equal">
      <formula>"Towel"</formula>
    </cfRule>
    <cfRule type="cellIs" dxfId="15748" priority="2428" stopIfTrue="1" operator="equal">
      <formula>"Napkin Hs"</formula>
    </cfRule>
  </conditionalFormatting>
  <conditionalFormatting sqref="C125">
    <cfRule type="cellIs" dxfId="15747" priority="2425" stopIfTrue="1" operator="equal">
      <formula>"Towel"</formula>
    </cfRule>
    <cfRule type="cellIs" dxfId="15746" priority="2426" stopIfTrue="1" operator="equal">
      <formula>"Napkin Hs"</formula>
    </cfRule>
  </conditionalFormatting>
  <conditionalFormatting sqref="C125">
    <cfRule type="cellIs" dxfId="15745" priority="2423" stopIfTrue="1" operator="equal">
      <formula>"Towel"</formula>
    </cfRule>
    <cfRule type="cellIs" dxfId="15744" priority="2424" stopIfTrue="1" operator="equal">
      <formula>"Napkin Hs"</formula>
    </cfRule>
  </conditionalFormatting>
  <conditionalFormatting sqref="C126">
    <cfRule type="cellIs" dxfId="15743" priority="2445" stopIfTrue="1" operator="equal">
      <formula>"Towel"</formula>
    </cfRule>
    <cfRule type="cellIs" dxfId="15742" priority="2446" stopIfTrue="1" operator="equal">
      <formula>"Napkin Hs"</formula>
    </cfRule>
  </conditionalFormatting>
  <conditionalFormatting sqref="C126">
    <cfRule type="cellIs" dxfId="15741" priority="2443" stopIfTrue="1" operator="equal">
      <formula>"Towel"</formula>
    </cfRule>
    <cfRule type="cellIs" dxfId="15740" priority="2444" stopIfTrue="1" operator="equal">
      <formula>"Napkin Hs"</formula>
    </cfRule>
  </conditionalFormatting>
  <conditionalFormatting sqref="B126">
    <cfRule type="cellIs" dxfId="15739" priority="2441" stopIfTrue="1" operator="equal">
      <formula>"Towel"</formula>
    </cfRule>
    <cfRule type="cellIs" dxfId="15738" priority="2442" stopIfTrue="1" operator="equal">
      <formula>"Napkin Hs"</formula>
    </cfRule>
  </conditionalFormatting>
  <conditionalFormatting sqref="C125">
    <cfRule type="cellIs" dxfId="15737" priority="2415" stopIfTrue="1" operator="equal">
      <formula>"Towel"</formula>
    </cfRule>
    <cfRule type="cellIs" dxfId="15736" priority="2416" stopIfTrue="1" operator="equal">
      <formula>"Napkin Hs"</formula>
    </cfRule>
  </conditionalFormatting>
  <conditionalFormatting sqref="B125:C125">
    <cfRule type="cellIs" dxfId="15735" priority="2417" stopIfTrue="1" operator="equal">
      <formula>"Towel"</formula>
    </cfRule>
    <cfRule type="cellIs" dxfId="15734" priority="2418" stopIfTrue="1" operator="equal">
      <formula>"Napkin Hs"</formula>
    </cfRule>
  </conditionalFormatting>
  <conditionalFormatting sqref="C125">
    <cfRule type="cellIs" dxfId="15733" priority="2413" stopIfTrue="1" operator="equal">
      <formula>"Towel"</formula>
    </cfRule>
    <cfRule type="cellIs" dxfId="15732" priority="2414" stopIfTrue="1" operator="equal">
      <formula>"Napkin Hs"</formula>
    </cfRule>
  </conditionalFormatting>
  <conditionalFormatting sqref="B125:C125">
    <cfRule type="cellIs" dxfId="15731" priority="2411" stopIfTrue="1" operator="equal">
      <formula>"Towel"</formula>
    </cfRule>
    <cfRule type="cellIs" dxfId="15730" priority="2412" stopIfTrue="1" operator="equal">
      <formula>"Napkin Hs"</formula>
    </cfRule>
  </conditionalFormatting>
  <conditionalFormatting sqref="C125">
    <cfRule type="cellIs" dxfId="15729" priority="2419" stopIfTrue="1" operator="equal">
      <formula>"Towel"</formula>
    </cfRule>
    <cfRule type="cellIs" dxfId="15728" priority="2420" stopIfTrue="1" operator="equal">
      <formula>"Napkin Hs"</formula>
    </cfRule>
  </conditionalFormatting>
  <conditionalFormatting sqref="C125">
    <cfRule type="cellIs" dxfId="15727" priority="2421" stopIfTrue="1" operator="equal">
      <formula>"Towel"</formula>
    </cfRule>
    <cfRule type="cellIs" dxfId="15726" priority="2422" stopIfTrue="1" operator="equal">
      <formula>"Napkin Hs"</formula>
    </cfRule>
  </conditionalFormatting>
  <conditionalFormatting sqref="C126">
    <cfRule type="cellIs" dxfId="15725" priority="2403" stopIfTrue="1" operator="equal">
      <formula>"Towel"</formula>
    </cfRule>
    <cfRule type="cellIs" dxfId="15724" priority="2404" stopIfTrue="1" operator="equal">
      <formula>"Napkin Hs"</formula>
    </cfRule>
  </conditionalFormatting>
  <conditionalFormatting sqref="C126">
    <cfRule type="cellIs" dxfId="15723" priority="2401" stopIfTrue="1" operator="equal">
      <formula>"Towel"</formula>
    </cfRule>
    <cfRule type="cellIs" dxfId="15722" priority="2402" stopIfTrue="1" operator="equal">
      <formula>"Napkin Hs"</formula>
    </cfRule>
  </conditionalFormatting>
  <conditionalFormatting sqref="B126:C126">
    <cfRule type="cellIs" dxfId="15721" priority="2399" stopIfTrue="1" operator="equal">
      <formula>"Towel"</formula>
    </cfRule>
    <cfRule type="cellIs" dxfId="15720" priority="2400" stopIfTrue="1" operator="equal">
      <formula>"Napkin Hs"</formula>
    </cfRule>
  </conditionalFormatting>
  <conditionalFormatting sqref="B126:C126">
    <cfRule type="cellIs" dxfId="15719" priority="2393" stopIfTrue="1" operator="equal">
      <formula>"Towel"</formula>
    </cfRule>
    <cfRule type="cellIs" dxfId="15718" priority="2394" stopIfTrue="1" operator="equal">
      <formula>"Napkin Hs"</formula>
    </cfRule>
  </conditionalFormatting>
  <conditionalFormatting sqref="C126">
    <cfRule type="cellIs" dxfId="15717" priority="2395" stopIfTrue="1" operator="equal">
      <formula>"Towel"</formula>
    </cfRule>
    <cfRule type="cellIs" dxfId="15716" priority="2396" stopIfTrue="1" operator="equal">
      <formula>"Napkin Hs"</formula>
    </cfRule>
  </conditionalFormatting>
  <conditionalFormatting sqref="C126">
    <cfRule type="cellIs" dxfId="15715" priority="2397" stopIfTrue="1" operator="equal">
      <formula>"Towel"</formula>
    </cfRule>
    <cfRule type="cellIs" dxfId="15714" priority="2398" stopIfTrue="1" operator="equal">
      <formula>"Napkin Hs"</formula>
    </cfRule>
  </conditionalFormatting>
  <conditionalFormatting sqref="B126:C126">
    <cfRule type="cellIs" dxfId="15713" priority="2409" stopIfTrue="1" operator="equal">
      <formula>"Towel"</formula>
    </cfRule>
    <cfRule type="cellIs" dxfId="15712" priority="2410" stopIfTrue="1" operator="equal">
      <formula>"Napkin Hs"</formula>
    </cfRule>
  </conditionalFormatting>
  <conditionalFormatting sqref="C126">
    <cfRule type="cellIs" dxfId="15711" priority="2407" stopIfTrue="1" operator="equal">
      <formula>"Towel"</formula>
    </cfRule>
    <cfRule type="cellIs" dxfId="15710" priority="2408" stopIfTrue="1" operator="equal">
      <formula>"Napkin Hs"</formula>
    </cfRule>
  </conditionalFormatting>
  <conditionalFormatting sqref="C126">
    <cfRule type="cellIs" dxfId="15709" priority="2405" stopIfTrue="1" operator="equal">
      <formula>"Towel"</formula>
    </cfRule>
    <cfRule type="cellIs" dxfId="15708" priority="2406" stopIfTrue="1" operator="equal">
      <formula>"Napkin Hs"</formula>
    </cfRule>
  </conditionalFormatting>
  <conditionalFormatting sqref="C126">
    <cfRule type="cellIs" dxfId="15707" priority="2379" stopIfTrue="1" operator="equal">
      <formula>"Towel"</formula>
    </cfRule>
    <cfRule type="cellIs" dxfId="15706" priority="2380" stopIfTrue="1" operator="equal">
      <formula>"Napkin Hs"</formula>
    </cfRule>
  </conditionalFormatting>
  <conditionalFormatting sqref="C126">
    <cfRule type="cellIs" dxfId="15705" priority="2377" stopIfTrue="1" operator="equal">
      <formula>"Towel"</formula>
    </cfRule>
    <cfRule type="cellIs" dxfId="15704" priority="2378" stopIfTrue="1" operator="equal">
      <formula>"Napkin Hs"</formula>
    </cfRule>
  </conditionalFormatting>
  <conditionalFormatting sqref="B126:C126">
    <cfRule type="cellIs" dxfId="15703" priority="2375" stopIfTrue="1" operator="equal">
      <formula>"Towel"</formula>
    </cfRule>
    <cfRule type="cellIs" dxfId="15702" priority="2376" stopIfTrue="1" operator="equal">
      <formula>"Napkin Hs"</formula>
    </cfRule>
  </conditionalFormatting>
  <conditionalFormatting sqref="C126">
    <cfRule type="cellIs" dxfId="15701" priority="2385" stopIfTrue="1" operator="equal">
      <formula>"Towel"</formula>
    </cfRule>
    <cfRule type="cellIs" dxfId="15700" priority="2386" stopIfTrue="1" operator="equal">
      <formula>"Napkin Hs"</formula>
    </cfRule>
  </conditionalFormatting>
  <conditionalFormatting sqref="C126">
    <cfRule type="cellIs" dxfId="15699" priority="2383" stopIfTrue="1" operator="equal">
      <formula>"Towel"</formula>
    </cfRule>
    <cfRule type="cellIs" dxfId="15698" priority="2384" stopIfTrue="1" operator="equal">
      <formula>"Napkin Hs"</formula>
    </cfRule>
  </conditionalFormatting>
  <conditionalFormatting sqref="B126:C126">
    <cfRule type="cellIs" dxfId="15697" priority="2381" stopIfTrue="1" operator="equal">
      <formula>"Towel"</formula>
    </cfRule>
    <cfRule type="cellIs" dxfId="15696" priority="2382" stopIfTrue="1" operator="equal">
      <formula>"Napkin Hs"</formula>
    </cfRule>
  </conditionalFormatting>
  <conditionalFormatting sqref="B126:C126">
    <cfRule type="cellIs" dxfId="15695" priority="2391" stopIfTrue="1" operator="equal">
      <formula>"Towel"</formula>
    </cfRule>
    <cfRule type="cellIs" dxfId="15694" priority="2392" stopIfTrue="1" operator="equal">
      <formula>"Napkin Hs"</formula>
    </cfRule>
  </conditionalFormatting>
  <conditionalFormatting sqref="C126">
    <cfRule type="cellIs" dxfId="15693" priority="2389" stopIfTrue="1" operator="equal">
      <formula>"Towel"</formula>
    </cfRule>
    <cfRule type="cellIs" dxfId="15692" priority="2390" stopIfTrue="1" operator="equal">
      <formula>"Napkin Hs"</formula>
    </cfRule>
  </conditionalFormatting>
  <conditionalFormatting sqref="C126">
    <cfRule type="cellIs" dxfId="15691" priority="2387" stopIfTrue="1" operator="equal">
      <formula>"Towel"</formula>
    </cfRule>
    <cfRule type="cellIs" dxfId="15690" priority="2388" stopIfTrue="1" operator="equal">
      <formula>"Napkin Hs"</formula>
    </cfRule>
  </conditionalFormatting>
  <conditionalFormatting sqref="B125:C125">
    <cfRule type="cellIs" dxfId="15689" priority="2373" stopIfTrue="1" operator="equal">
      <formula>"Towel"</formula>
    </cfRule>
    <cfRule type="cellIs" dxfId="15688" priority="2374" stopIfTrue="1" operator="equal">
      <formula>"Napkin Hs"</formula>
    </cfRule>
  </conditionalFormatting>
  <conditionalFormatting sqref="C125">
    <cfRule type="cellIs" dxfId="15687" priority="2369" stopIfTrue="1" operator="equal">
      <formula>"Towel"</formula>
    </cfRule>
    <cfRule type="cellIs" dxfId="15686" priority="2370" stopIfTrue="1" operator="equal">
      <formula>"Napkin Hs"</formula>
    </cfRule>
  </conditionalFormatting>
  <conditionalFormatting sqref="C125">
    <cfRule type="cellIs" dxfId="15685" priority="2371" stopIfTrue="1" operator="equal">
      <formula>"Towel"</formula>
    </cfRule>
    <cfRule type="cellIs" dxfId="15684" priority="2372" stopIfTrue="1" operator="equal">
      <formula>"Napkin Hs"</formula>
    </cfRule>
  </conditionalFormatting>
  <conditionalFormatting sqref="B125:C125">
    <cfRule type="cellIs" dxfId="15683" priority="2367" stopIfTrue="1" operator="equal">
      <formula>"Towel"</formula>
    </cfRule>
    <cfRule type="cellIs" dxfId="15682" priority="2368" stopIfTrue="1" operator="equal">
      <formula>"Napkin Hs"</formula>
    </cfRule>
  </conditionalFormatting>
  <conditionalFormatting sqref="C125">
    <cfRule type="cellIs" dxfId="15681" priority="2365" stopIfTrue="1" operator="equal">
      <formula>"Towel"</formula>
    </cfRule>
    <cfRule type="cellIs" dxfId="15680" priority="2366" stopIfTrue="1" operator="equal">
      <formula>"Napkin Hs"</formula>
    </cfRule>
  </conditionalFormatting>
  <conditionalFormatting sqref="C125">
    <cfRule type="cellIs" dxfId="15679" priority="2363" stopIfTrue="1" operator="equal">
      <formula>"Towel"</formula>
    </cfRule>
    <cfRule type="cellIs" dxfId="15678" priority="2364" stopIfTrue="1" operator="equal">
      <formula>"Napkin Hs"</formula>
    </cfRule>
  </conditionalFormatting>
  <conditionalFormatting sqref="C125">
    <cfRule type="cellIs" dxfId="15677" priority="2355" stopIfTrue="1" operator="equal">
      <formula>"Towel"</formula>
    </cfRule>
    <cfRule type="cellIs" dxfId="15676" priority="2356" stopIfTrue="1" operator="equal">
      <formula>"Napkin Hs"</formula>
    </cfRule>
  </conditionalFormatting>
  <conditionalFormatting sqref="B125:C125">
    <cfRule type="cellIs" dxfId="15675" priority="2357" stopIfTrue="1" operator="equal">
      <formula>"Towel"</formula>
    </cfRule>
    <cfRule type="cellIs" dxfId="15674" priority="2358" stopIfTrue="1" operator="equal">
      <formula>"Napkin Hs"</formula>
    </cfRule>
  </conditionalFormatting>
  <conditionalFormatting sqref="C125">
    <cfRule type="cellIs" dxfId="15673" priority="2353" stopIfTrue="1" operator="equal">
      <formula>"Towel"</formula>
    </cfRule>
    <cfRule type="cellIs" dxfId="15672" priority="2354" stopIfTrue="1" operator="equal">
      <formula>"Napkin Hs"</formula>
    </cfRule>
  </conditionalFormatting>
  <conditionalFormatting sqref="B125:C125">
    <cfRule type="cellIs" dxfId="15671" priority="2351" stopIfTrue="1" operator="equal">
      <formula>"Towel"</formula>
    </cfRule>
    <cfRule type="cellIs" dxfId="15670" priority="2352" stopIfTrue="1" operator="equal">
      <formula>"Napkin Hs"</formula>
    </cfRule>
  </conditionalFormatting>
  <conditionalFormatting sqref="C125">
    <cfRule type="cellIs" dxfId="15669" priority="2359" stopIfTrue="1" operator="equal">
      <formula>"Towel"</formula>
    </cfRule>
    <cfRule type="cellIs" dxfId="15668" priority="2360" stopIfTrue="1" operator="equal">
      <formula>"Napkin Hs"</formula>
    </cfRule>
  </conditionalFormatting>
  <conditionalFormatting sqref="C125">
    <cfRule type="cellIs" dxfId="15667" priority="2361" stopIfTrue="1" operator="equal">
      <formula>"Towel"</formula>
    </cfRule>
    <cfRule type="cellIs" dxfId="15666" priority="2362" stopIfTrue="1" operator="equal">
      <formula>"Napkin Hs"</formula>
    </cfRule>
  </conditionalFormatting>
  <conditionalFormatting sqref="B126:C126">
    <cfRule type="cellIs" dxfId="15665" priority="2349" stopIfTrue="1" operator="equal">
      <formula>"Towel"</formula>
    </cfRule>
    <cfRule type="cellIs" dxfId="15664" priority="2350" stopIfTrue="1" operator="equal">
      <formula>"Napkin Hs"</formula>
    </cfRule>
  </conditionalFormatting>
  <conditionalFormatting sqref="C126">
    <cfRule type="cellIs" dxfId="15663" priority="2345" stopIfTrue="1" operator="equal">
      <formula>"Towel"</formula>
    </cfRule>
    <cfRule type="cellIs" dxfId="15662" priority="2346" stopIfTrue="1" operator="equal">
      <formula>"Napkin Hs"</formula>
    </cfRule>
  </conditionalFormatting>
  <conditionalFormatting sqref="C126">
    <cfRule type="cellIs" dxfId="15661" priority="2347" stopIfTrue="1" operator="equal">
      <formula>"Towel"</formula>
    </cfRule>
    <cfRule type="cellIs" dxfId="15660" priority="2348" stopIfTrue="1" operator="equal">
      <formula>"Napkin Hs"</formula>
    </cfRule>
  </conditionalFormatting>
  <conditionalFormatting sqref="C125">
    <cfRule type="cellIs" dxfId="15659" priority="2337" stopIfTrue="1" operator="equal">
      <formula>"Towel"</formula>
    </cfRule>
    <cfRule type="cellIs" dxfId="15658" priority="2338" stopIfTrue="1" operator="equal">
      <formula>"Napkin Hs"</formula>
    </cfRule>
  </conditionalFormatting>
  <conditionalFormatting sqref="C125">
    <cfRule type="cellIs" dxfId="15657" priority="2335" stopIfTrue="1" operator="equal">
      <formula>"Towel"</formula>
    </cfRule>
    <cfRule type="cellIs" dxfId="15656" priority="2336" stopIfTrue="1" operator="equal">
      <formula>"Napkin Hs"</formula>
    </cfRule>
  </conditionalFormatting>
  <conditionalFormatting sqref="B125:C125">
    <cfRule type="cellIs" dxfId="15655" priority="2333" stopIfTrue="1" operator="equal">
      <formula>"Towel"</formula>
    </cfRule>
    <cfRule type="cellIs" dxfId="15654" priority="2334" stopIfTrue="1" operator="equal">
      <formula>"Napkin Hs"</formula>
    </cfRule>
  </conditionalFormatting>
  <conditionalFormatting sqref="B125:C125">
    <cfRule type="cellIs" dxfId="15653" priority="2327" stopIfTrue="1" operator="equal">
      <formula>"Towel"</formula>
    </cfRule>
    <cfRule type="cellIs" dxfId="15652" priority="2328" stopIfTrue="1" operator="equal">
      <formula>"Napkin Hs"</formula>
    </cfRule>
  </conditionalFormatting>
  <conditionalFormatting sqref="C125">
    <cfRule type="cellIs" dxfId="15651" priority="2329" stopIfTrue="1" operator="equal">
      <formula>"Towel"</formula>
    </cfRule>
    <cfRule type="cellIs" dxfId="15650" priority="2330" stopIfTrue="1" operator="equal">
      <formula>"Napkin Hs"</formula>
    </cfRule>
  </conditionalFormatting>
  <conditionalFormatting sqref="C125">
    <cfRule type="cellIs" dxfId="15649" priority="2331" stopIfTrue="1" operator="equal">
      <formula>"Towel"</formula>
    </cfRule>
    <cfRule type="cellIs" dxfId="15648" priority="2332" stopIfTrue="1" operator="equal">
      <formula>"Napkin Hs"</formula>
    </cfRule>
  </conditionalFormatting>
  <conditionalFormatting sqref="B125:C125">
    <cfRule type="cellIs" dxfId="15647" priority="2343" stopIfTrue="1" operator="equal">
      <formula>"Towel"</formula>
    </cfRule>
    <cfRule type="cellIs" dxfId="15646" priority="2344" stopIfTrue="1" operator="equal">
      <formula>"Napkin Hs"</formula>
    </cfRule>
  </conditionalFormatting>
  <conditionalFormatting sqref="C125">
    <cfRule type="cellIs" dxfId="15645" priority="2341" stopIfTrue="1" operator="equal">
      <formula>"Towel"</formula>
    </cfRule>
    <cfRule type="cellIs" dxfId="15644" priority="2342" stopIfTrue="1" operator="equal">
      <formula>"Napkin Hs"</formula>
    </cfRule>
  </conditionalFormatting>
  <conditionalFormatting sqref="C125">
    <cfRule type="cellIs" dxfId="15643" priority="2339" stopIfTrue="1" operator="equal">
      <formula>"Towel"</formula>
    </cfRule>
    <cfRule type="cellIs" dxfId="15642" priority="2340" stopIfTrue="1" operator="equal">
      <formula>"Napkin Hs"</formula>
    </cfRule>
  </conditionalFormatting>
  <conditionalFormatting sqref="C125">
    <cfRule type="cellIs" dxfId="15641" priority="2313" stopIfTrue="1" operator="equal">
      <formula>"Towel"</formula>
    </cfRule>
    <cfRule type="cellIs" dxfId="15640" priority="2314" stopIfTrue="1" operator="equal">
      <formula>"Napkin Hs"</formula>
    </cfRule>
  </conditionalFormatting>
  <conditionalFormatting sqref="C125">
    <cfRule type="cellIs" dxfId="15639" priority="2311" stopIfTrue="1" operator="equal">
      <formula>"Towel"</formula>
    </cfRule>
    <cfRule type="cellIs" dxfId="15638" priority="2312" stopIfTrue="1" operator="equal">
      <formula>"Napkin Hs"</formula>
    </cfRule>
  </conditionalFormatting>
  <conditionalFormatting sqref="B125:C125">
    <cfRule type="cellIs" dxfId="15637" priority="2309" stopIfTrue="1" operator="equal">
      <formula>"Towel"</formula>
    </cfRule>
    <cfRule type="cellIs" dxfId="15636" priority="2310" stopIfTrue="1" operator="equal">
      <formula>"Napkin Hs"</formula>
    </cfRule>
  </conditionalFormatting>
  <conditionalFormatting sqref="C125">
    <cfRule type="cellIs" dxfId="15635" priority="2319" stopIfTrue="1" operator="equal">
      <formula>"Towel"</formula>
    </cfRule>
    <cfRule type="cellIs" dxfId="15634" priority="2320" stopIfTrue="1" operator="equal">
      <formula>"Napkin Hs"</formula>
    </cfRule>
  </conditionalFormatting>
  <conditionalFormatting sqref="C125">
    <cfRule type="cellIs" dxfId="15633" priority="2317" stopIfTrue="1" operator="equal">
      <formula>"Towel"</formula>
    </cfRule>
    <cfRule type="cellIs" dxfId="15632" priority="2318" stopIfTrue="1" operator="equal">
      <formula>"Napkin Hs"</formula>
    </cfRule>
  </conditionalFormatting>
  <conditionalFormatting sqref="B125:C125">
    <cfRule type="cellIs" dxfId="15631" priority="2315" stopIfTrue="1" operator="equal">
      <formula>"Towel"</formula>
    </cfRule>
    <cfRule type="cellIs" dxfId="15630" priority="2316" stopIfTrue="1" operator="equal">
      <formula>"Napkin Hs"</formula>
    </cfRule>
  </conditionalFormatting>
  <conditionalFormatting sqref="B126:C126">
    <cfRule type="cellIs" dxfId="15629" priority="2307" stopIfTrue="1" operator="equal">
      <formula>"Towel"</formula>
    </cfRule>
    <cfRule type="cellIs" dxfId="15628" priority="2308" stopIfTrue="1" operator="equal">
      <formula>"Napkin Hs"</formula>
    </cfRule>
  </conditionalFormatting>
  <conditionalFormatting sqref="C126">
    <cfRule type="cellIs" dxfId="15627" priority="2305" stopIfTrue="1" operator="equal">
      <formula>"Towel"</formula>
    </cfRule>
    <cfRule type="cellIs" dxfId="15626" priority="2306" stopIfTrue="1" operator="equal">
      <formula>"Napkin Hs"</formula>
    </cfRule>
  </conditionalFormatting>
  <conditionalFormatting sqref="C126">
    <cfRule type="cellIs" dxfId="15625" priority="2303" stopIfTrue="1" operator="equal">
      <formula>"Towel"</formula>
    </cfRule>
    <cfRule type="cellIs" dxfId="15624" priority="2304" stopIfTrue="1" operator="equal">
      <formula>"Napkin Hs"</formula>
    </cfRule>
  </conditionalFormatting>
  <conditionalFormatting sqref="B125:C125">
    <cfRule type="cellIs" dxfId="15623" priority="2325" stopIfTrue="1" operator="equal">
      <formula>"Towel"</formula>
    </cfRule>
    <cfRule type="cellIs" dxfId="15622" priority="2326" stopIfTrue="1" operator="equal">
      <formula>"Napkin Hs"</formula>
    </cfRule>
  </conditionalFormatting>
  <conditionalFormatting sqref="C125">
    <cfRule type="cellIs" dxfId="15621" priority="2323" stopIfTrue="1" operator="equal">
      <formula>"Towel"</formula>
    </cfRule>
    <cfRule type="cellIs" dxfId="15620" priority="2324" stopIfTrue="1" operator="equal">
      <formula>"Napkin Hs"</formula>
    </cfRule>
  </conditionalFormatting>
  <conditionalFormatting sqref="C125">
    <cfRule type="cellIs" dxfId="15619" priority="2321" stopIfTrue="1" operator="equal">
      <formula>"Towel"</formula>
    </cfRule>
    <cfRule type="cellIs" dxfId="15618" priority="2322" stopIfTrue="1" operator="equal">
      <formula>"Napkin Hs"</formula>
    </cfRule>
  </conditionalFormatting>
  <conditionalFormatting sqref="C126">
    <cfRule type="cellIs" dxfId="15617" priority="2295" stopIfTrue="1" operator="equal">
      <formula>"Towel"</formula>
    </cfRule>
    <cfRule type="cellIs" dxfId="15616" priority="2296" stopIfTrue="1" operator="equal">
      <formula>"Napkin Hs"</formula>
    </cfRule>
  </conditionalFormatting>
  <conditionalFormatting sqref="B126:C126">
    <cfRule type="cellIs" dxfId="15615" priority="2297" stopIfTrue="1" operator="equal">
      <formula>"Towel"</formula>
    </cfRule>
    <cfRule type="cellIs" dxfId="15614" priority="2298" stopIfTrue="1" operator="equal">
      <formula>"Napkin Hs"</formula>
    </cfRule>
  </conditionalFormatting>
  <conditionalFormatting sqref="C126">
    <cfRule type="cellIs" dxfId="15613" priority="2293" stopIfTrue="1" operator="equal">
      <formula>"Towel"</formula>
    </cfRule>
    <cfRule type="cellIs" dxfId="15612" priority="2294" stopIfTrue="1" operator="equal">
      <formula>"Napkin Hs"</formula>
    </cfRule>
  </conditionalFormatting>
  <conditionalFormatting sqref="B126:C126">
    <cfRule type="cellIs" dxfId="15611" priority="2291" stopIfTrue="1" operator="equal">
      <formula>"Towel"</formula>
    </cfRule>
    <cfRule type="cellIs" dxfId="15610" priority="2292" stopIfTrue="1" operator="equal">
      <formula>"Napkin Hs"</formula>
    </cfRule>
  </conditionalFormatting>
  <conditionalFormatting sqref="C126">
    <cfRule type="cellIs" dxfId="15609" priority="2299" stopIfTrue="1" operator="equal">
      <formula>"Towel"</formula>
    </cfRule>
    <cfRule type="cellIs" dxfId="15608" priority="2300" stopIfTrue="1" operator="equal">
      <formula>"Napkin Hs"</formula>
    </cfRule>
  </conditionalFormatting>
  <conditionalFormatting sqref="C126">
    <cfRule type="cellIs" dxfId="15607" priority="2301" stopIfTrue="1" operator="equal">
      <formula>"Towel"</formula>
    </cfRule>
    <cfRule type="cellIs" dxfId="15606" priority="2302" stopIfTrue="1" operator="equal">
      <formula>"Napkin Hs"</formula>
    </cfRule>
  </conditionalFormatting>
  <conditionalFormatting sqref="B126:C126">
    <cfRule type="cellIs" dxfId="15605" priority="2289" stopIfTrue="1" operator="equal">
      <formula>"Towel"</formula>
    </cfRule>
    <cfRule type="cellIs" dxfId="15604" priority="2290" stopIfTrue="1" operator="equal">
      <formula>"Napkin Hs"</formula>
    </cfRule>
  </conditionalFormatting>
  <conditionalFormatting sqref="C126">
    <cfRule type="cellIs" dxfId="15603" priority="2287" stopIfTrue="1" operator="equal">
      <formula>"Towel"</formula>
    </cfRule>
    <cfRule type="cellIs" dxfId="15602" priority="2288" stopIfTrue="1" operator="equal">
      <formula>"Napkin Hs"</formula>
    </cfRule>
  </conditionalFormatting>
  <conditionalFormatting sqref="C126">
    <cfRule type="cellIs" dxfId="15601" priority="2285" stopIfTrue="1" operator="equal">
      <formula>"Towel"</formula>
    </cfRule>
    <cfRule type="cellIs" dxfId="15600" priority="2286" stopIfTrue="1" operator="equal">
      <formula>"Napkin Hs"</formula>
    </cfRule>
  </conditionalFormatting>
  <conditionalFormatting sqref="C126">
    <cfRule type="cellIs" dxfId="15599" priority="2277" stopIfTrue="1" operator="equal">
      <formula>"Towel"</formula>
    </cfRule>
    <cfRule type="cellIs" dxfId="15598" priority="2278" stopIfTrue="1" operator="equal">
      <formula>"Napkin Hs"</formula>
    </cfRule>
  </conditionalFormatting>
  <conditionalFormatting sqref="B126:C126">
    <cfRule type="cellIs" dxfId="15597" priority="2279" stopIfTrue="1" operator="equal">
      <formula>"Towel"</formula>
    </cfRule>
    <cfRule type="cellIs" dxfId="15596" priority="2280" stopIfTrue="1" operator="equal">
      <formula>"Napkin Hs"</formula>
    </cfRule>
  </conditionalFormatting>
  <conditionalFormatting sqref="C126">
    <cfRule type="cellIs" dxfId="15595" priority="2275" stopIfTrue="1" operator="equal">
      <formula>"Towel"</formula>
    </cfRule>
    <cfRule type="cellIs" dxfId="15594" priority="2276" stopIfTrue="1" operator="equal">
      <formula>"Napkin Hs"</formula>
    </cfRule>
  </conditionalFormatting>
  <conditionalFormatting sqref="B126:C126">
    <cfRule type="cellIs" dxfId="15593" priority="2273" stopIfTrue="1" operator="equal">
      <formula>"Towel"</formula>
    </cfRule>
    <cfRule type="cellIs" dxfId="15592" priority="2274" stopIfTrue="1" operator="equal">
      <formula>"Napkin Hs"</formula>
    </cfRule>
  </conditionalFormatting>
  <conditionalFormatting sqref="C126">
    <cfRule type="cellIs" dxfId="15591" priority="2281" stopIfTrue="1" operator="equal">
      <formula>"Towel"</formula>
    </cfRule>
    <cfRule type="cellIs" dxfId="15590" priority="2282" stopIfTrue="1" operator="equal">
      <formula>"Napkin Hs"</formula>
    </cfRule>
  </conditionalFormatting>
  <conditionalFormatting sqref="C126">
    <cfRule type="cellIs" dxfId="15589" priority="2283" stopIfTrue="1" operator="equal">
      <formula>"Towel"</formula>
    </cfRule>
    <cfRule type="cellIs" dxfId="15588" priority="2284" stopIfTrue="1" operator="equal">
      <formula>"Napkin Hs"</formula>
    </cfRule>
  </conditionalFormatting>
  <conditionalFormatting sqref="B126:C126">
    <cfRule type="cellIs" dxfId="15587" priority="2271" stopIfTrue="1" operator="equal">
      <formula>"Towel"</formula>
    </cfRule>
    <cfRule type="cellIs" dxfId="15586" priority="2272" stopIfTrue="1" operator="equal">
      <formula>"Napkin Hs"</formula>
    </cfRule>
  </conditionalFormatting>
  <conditionalFormatting sqref="C126">
    <cfRule type="cellIs" dxfId="15585" priority="2269" stopIfTrue="1" operator="equal">
      <formula>"Towel"</formula>
    </cfRule>
    <cfRule type="cellIs" dxfId="15584" priority="2270" stopIfTrue="1" operator="equal">
      <formula>"Napkin Hs"</formula>
    </cfRule>
  </conditionalFormatting>
  <conditionalFormatting sqref="C126">
    <cfRule type="cellIs" dxfId="15583" priority="2267" stopIfTrue="1" operator="equal">
      <formula>"Towel"</formula>
    </cfRule>
    <cfRule type="cellIs" dxfId="15582" priority="2268" stopIfTrue="1" operator="equal">
      <formula>"Napkin Hs"</formula>
    </cfRule>
  </conditionalFormatting>
  <conditionalFormatting sqref="C126">
    <cfRule type="cellIs" dxfId="15581" priority="2259" stopIfTrue="1" operator="equal">
      <formula>"Towel"</formula>
    </cfRule>
    <cfRule type="cellIs" dxfId="15580" priority="2260" stopIfTrue="1" operator="equal">
      <formula>"Napkin Hs"</formula>
    </cfRule>
  </conditionalFormatting>
  <conditionalFormatting sqref="B126:C126">
    <cfRule type="cellIs" dxfId="15579" priority="2261" stopIfTrue="1" operator="equal">
      <formula>"Towel"</formula>
    </cfRule>
    <cfRule type="cellIs" dxfId="15578" priority="2262" stopIfTrue="1" operator="equal">
      <formula>"Napkin Hs"</formula>
    </cfRule>
  </conditionalFormatting>
  <conditionalFormatting sqref="C126">
    <cfRule type="cellIs" dxfId="15577" priority="2257" stopIfTrue="1" operator="equal">
      <formula>"Towel"</formula>
    </cfRule>
    <cfRule type="cellIs" dxfId="15576" priority="2258" stopIfTrue="1" operator="equal">
      <formula>"Napkin Hs"</formula>
    </cfRule>
  </conditionalFormatting>
  <conditionalFormatting sqref="B126:C126">
    <cfRule type="cellIs" dxfId="15575" priority="2255" stopIfTrue="1" operator="equal">
      <formula>"Towel"</formula>
    </cfRule>
    <cfRule type="cellIs" dxfId="15574" priority="2256" stopIfTrue="1" operator="equal">
      <formula>"Napkin Hs"</formula>
    </cfRule>
  </conditionalFormatting>
  <conditionalFormatting sqref="C126">
    <cfRule type="cellIs" dxfId="15573" priority="2263" stopIfTrue="1" operator="equal">
      <formula>"Towel"</formula>
    </cfRule>
    <cfRule type="cellIs" dxfId="15572" priority="2264" stopIfTrue="1" operator="equal">
      <formula>"Napkin Hs"</formula>
    </cfRule>
  </conditionalFormatting>
  <conditionalFormatting sqref="C126">
    <cfRule type="cellIs" dxfId="15571" priority="2265" stopIfTrue="1" operator="equal">
      <formula>"Towel"</formula>
    </cfRule>
    <cfRule type="cellIs" dxfId="15570" priority="2266" stopIfTrue="1" operator="equal">
      <formula>"Napkin Hs"</formula>
    </cfRule>
  </conditionalFormatting>
  <conditionalFormatting sqref="B125:C125">
    <cfRule type="cellIs" dxfId="15569" priority="2253" stopIfTrue="1" operator="equal">
      <formula>"Towel"</formula>
    </cfRule>
    <cfRule type="cellIs" dxfId="15568" priority="2254" stopIfTrue="1" operator="equal">
      <formula>"Napkin Hs"</formula>
    </cfRule>
  </conditionalFormatting>
  <conditionalFormatting sqref="C125">
    <cfRule type="cellIs" dxfId="15567" priority="2251" stopIfTrue="1" operator="equal">
      <formula>"Towel"</formula>
    </cfRule>
    <cfRule type="cellIs" dxfId="15566" priority="2252" stopIfTrue="1" operator="equal">
      <formula>"Napkin Hs"</formula>
    </cfRule>
  </conditionalFormatting>
  <conditionalFormatting sqref="C125">
    <cfRule type="cellIs" dxfId="15565" priority="2249" stopIfTrue="1" operator="equal">
      <formula>"Towel"</formula>
    </cfRule>
    <cfRule type="cellIs" dxfId="15564" priority="2250" stopIfTrue="1" operator="equal">
      <formula>"Napkin Hs"</formula>
    </cfRule>
  </conditionalFormatting>
  <conditionalFormatting sqref="C125">
    <cfRule type="cellIs" dxfId="15563" priority="2241" stopIfTrue="1" operator="equal">
      <formula>"Towel"</formula>
    </cfRule>
    <cfRule type="cellIs" dxfId="15562" priority="2242" stopIfTrue="1" operator="equal">
      <formula>"Napkin Hs"</formula>
    </cfRule>
  </conditionalFormatting>
  <conditionalFormatting sqref="B125:C125">
    <cfRule type="cellIs" dxfId="15561" priority="2243" stopIfTrue="1" operator="equal">
      <formula>"Towel"</formula>
    </cfRule>
    <cfRule type="cellIs" dxfId="15560" priority="2244" stopIfTrue="1" operator="equal">
      <formula>"Napkin Hs"</formula>
    </cfRule>
  </conditionalFormatting>
  <conditionalFormatting sqref="C125">
    <cfRule type="cellIs" dxfId="15559" priority="2239" stopIfTrue="1" operator="equal">
      <formula>"Towel"</formula>
    </cfRule>
    <cfRule type="cellIs" dxfId="15558" priority="2240" stopIfTrue="1" operator="equal">
      <formula>"Napkin Hs"</formula>
    </cfRule>
  </conditionalFormatting>
  <conditionalFormatting sqref="B125:C125">
    <cfRule type="cellIs" dxfId="15557" priority="2237" stopIfTrue="1" operator="equal">
      <formula>"Towel"</formula>
    </cfRule>
    <cfRule type="cellIs" dxfId="15556" priority="2238" stopIfTrue="1" operator="equal">
      <formula>"Napkin Hs"</formula>
    </cfRule>
  </conditionalFormatting>
  <conditionalFormatting sqref="C125">
    <cfRule type="cellIs" dxfId="15555" priority="2245" stopIfTrue="1" operator="equal">
      <formula>"Towel"</formula>
    </cfRule>
    <cfRule type="cellIs" dxfId="15554" priority="2246" stopIfTrue="1" operator="equal">
      <formula>"Napkin Hs"</formula>
    </cfRule>
  </conditionalFormatting>
  <conditionalFormatting sqref="C125">
    <cfRule type="cellIs" dxfId="15553" priority="2247" stopIfTrue="1" operator="equal">
      <formula>"Towel"</formula>
    </cfRule>
    <cfRule type="cellIs" dxfId="15552" priority="2248" stopIfTrue="1" operator="equal">
      <formula>"Napkin Hs"</formula>
    </cfRule>
  </conditionalFormatting>
  <conditionalFormatting sqref="C125">
    <cfRule type="cellIs" dxfId="15551" priority="2229" stopIfTrue="1" operator="equal">
      <formula>"Towel"</formula>
    </cfRule>
    <cfRule type="cellIs" dxfId="15550" priority="2230" stopIfTrue="1" operator="equal">
      <formula>"Napkin Hs"</formula>
    </cfRule>
  </conditionalFormatting>
  <conditionalFormatting sqref="B125:C125">
    <cfRule type="cellIs" dxfId="15549" priority="2225" stopIfTrue="1" operator="equal">
      <formula>"Towel"</formula>
    </cfRule>
    <cfRule type="cellIs" dxfId="15548" priority="2226" stopIfTrue="1" operator="equal">
      <formula>"Napkin Hs"</formula>
    </cfRule>
  </conditionalFormatting>
  <conditionalFormatting sqref="C125">
    <cfRule type="cellIs" dxfId="15547" priority="2227" stopIfTrue="1" operator="equal">
      <formula>"Towel"</formula>
    </cfRule>
    <cfRule type="cellIs" dxfId="15546" priority="2228" stopIfTrue="1" operator="equal">
      <formula>"Napkin Hs"</formula>
    </cfRule>
  </conditionalFormatting>
  <conditionalFormatting sqref="C125">
    <cfRule type="cellIs" dxfId="15545" priority="2223" stopIfTrue="1" operator="equal">
      <formula>"Towel"</formula>
    </cfRule>
    <cfRule type="cellIs" dxfId="15544" priority="2224" stopIfTrue="1" operator="equal">
      <formula>"Napkin Hs"</formula>
    </cfRule>
  </conditionalFormatting>
  <conditionalFormatting sqref="B125:C125">
    <cfRule type="cellIs" dxfId="15543" priority="2219" stopIfTrue="1" operator="equal">
      <formula>"Towel"</formula>
    </cfRule>
    <cfRule type="cellIs" dxfId="15542" priority="2220" stopIfTrue="1" operator="equal">
      <formula>"Napkin Hs"</formula>
    </cfRule>
  </conditionalFormatting>
  <conditionalFormatting sqref="C125">
    <cfRule type="cellIs" dxfId="15541" priority="2221" stopIfTrue="1" operator="equal">
      <formula>"Towel"</formula>
    </cfRule>
    <cfRule type="cellIs" dxfId="15540" priority="2222" stopIfTrue="1" operator="equal">
      <formula>"Napkin Hs"</formula>
    </cfRule>
  </conditionalFormatting>
  <conditionalFormatting sqref="B125:C125">
    <cfRule type="cellIs" dxfId="15539" priority="2235" stopIfTrue="1" operator="equal">
      <formula>"Towel"</formula>
    </cfRule>
    <cfRule type="cellIs" dxfId="15538" priority="2236" stopIfTrue="1" operator="equal">
      <formula>"Napkin Hs"</formula>
    </cfRule>
  </conditionalFormatting>
  <conditionalFormatting sqref="C125">
    <cfRule type="cellIs" dxfId="15537" priority="2233" stopIfTrue="1" operator="equal">
      <formula>"Towel"</formula>
    </cfRule>
    <cfRule type="cellIs" dxfId="15536" priority="2234" stopIfTrue="1" operator="equal">
      <formula>"Napkin Hs"</formula>
    </cfRule>
  </conditionalFormatting>
  <conditionalFormatting sqref="C125">
    <cfRule type="cellIs" dxfId="15535" priority="2231" stopIfTrue="1" operator="equal">
      <formula>"Towel"</formula>
    </cfRule>
    <cfRule type="cellIs" dxfId="15534" priority="2232" stopIfTrue="1" operator="equal">
      <formula>"Napkin Hs"</formula>
    </cfRule>
  </conditionalFormatting>
  <conditionalFormatting sqref="B125:C125">
    <cfRule type="cellIs" dxfId="15533" priority="2217" stopIfTrue="1" operator="equal">
      <formula>"Towel"</formula>
    </cfRule>
    <cfRule type="cellIs" dxfId="15532" priority="2218" stopIfTrue="1" operator="equal">
      <formula>"Napkin Hs"</formula>
    </cfRule>
  </conditionalFormatting>
  <conditionalFormatting sqref="C125">
    <cfRule type="cellIs" dxfId="15531" priority="2215" stopIfTrue="1" operator="equal">
      <formula>"Towel"</formula>
    </cfRule>
    <cfRule type="cellIs" dxfId="15530" priority="2216" stopIfTrue="1" operator="equal">
      <formula>"Napkin Hs"</formula>
    </cfRule>
  </conditionalFormatting>
  <conditionalFormatting sqref="C125">
    <cfRule type="cellIs" dxfId="15529" priority="2213" stopIfTrue="1" operator="equal">
      <formula>"Towel"</formula>
    </cfRule>
    <cfRule type="cellIs" dxfId="15528" priority="2214" stopIfTrue="1" operator="equal">
      <formula>"Napkin Hs"</formula>
    </cfRule>
  </conditionalFormatting>
  <conditionalFormatting sqref="C125">
    <cfRule type="cellIs" dxfId="15527" priority="2205" stopIfTrue="1" operator="equal">
      <formula>"Towel"</formula>
    </cfRule>
    <cfRule type="cellIs" dxfId="15526" priority="2206" stopIfTrue="1" operator="equal">
      <formula>"Napkin Hs"</formula>
    </cfRule>
  </conditionalFormatting>
  <conditionalFormatting sqref="B125:C125">
    <cfRule type="cellIs" dxfId="15525" priority="2207" stopIfTrue="1" operator="equal">
      <formula>"Towel"</formula>
    </cfRule>
    <cfRule type="cellIs" dxfId="15524" priority="2208" stopIfTrue="1" operator="equal">
      <formula>"Napkin Hs"</formula>
    </cfRule>
  </conditionalFormatting>
  <conditionalFormatting sqref="C125">
    <cfRule type="cellIs" dxfId="15523" priority="2203" stopIfTrue="1" operator="equal">
      <formula>"Towel"</formula>
    </cfRule>
    <cfRule type="cellIs" dxfId="15522" priority="2204" stopIfTrue="1" operator="equal">
      <formula>"Napkin Hs"</formula>
    </cfRule>
  </conditionalFormatting>
  <conditionalFormatting sqref="B125:C125">
    <cfRule type="cellIs" dxfId="15521" priority="2201" stopIfTrue="1" operator="equal">
      <formula>"Towel"</formula>
    </cfRule>
    <cfRule type="cellIs" dxfId="15520" priority="2202" stopIfTrue="1" operator="equal">
      <formula>"Napkin Hs"</formula>
    </cfRule>
  </conditionalFormatting>
  <conditionalFormatting sqref="C125">
    <cfRule type="cellIs" dxfId="15519" priority="2209" stopIfTrue="1" operator="equal">
      <formula>"Towel"</formula>
    </cfRule>
    <cfRule type="cellIs" dxfId="15518" priority="2210" stopIfTrue="1" operator="equal">
      <formula>"Napkin Hs"</formula>
    </cfRule>
  </conditionalFormatting>
  <conditionalFormatting sqref="C125">
    <cfRule type="cellIs" dxfId="15517" priority="2211" stopIfTrue="1" operator="equal">
      <formula>"Towel"</formula>
    </cfRule>
    <cfRule type="cellIs" dxfId="15516" priority="2212" stopIfTrue="1" operator="equal">
      <formula>"Napkin Hs"</formula>
    </cfRule>
  </conditionalFormatting>
  <conditionalFormatting sqref="C125">
    <cfRule type="cellIs" dxfId="15515" priority="2197" stopIfTrue="1" operator="equal">
      <formula>"Towel"</formula>
    </cfRule>
    <cfRule type="cellIs" dxfId="15514" priority="2198" stopIfTrue="1" operator="equal">
      <formula>"Napkin Hs"</formula>
    </cfRule>
  </conditionalFormatting>
  <conditionalFormatting sqref="C125">
    <cfRule type="cellIs" dxfId="15513" priority="2199" stopIfTrue="1" operator="equal">
      <formula>"Towel"</formula>
    </cfRule>
    <cfRule type="cellIs" dxfId="15512" priority="2200" stopIfTrue="1" operator="equal">
      <formula>"Napkin Hs"</formula>
    </cfRule>
  </conditionalFormatting>
  <conditionalFormatting sqref="C125">
    <cfRule type="cellIs" dxfId="15511" priority="2195" stopIfTrue="1" operator="equal">
      <formula>"Towel"</formula>
    </cfRule>
    <cfRule type="cellIs" dxfId="15510" priority="2196" stopIfTrue="1" operator="equal">
      <formula>"Napkin Hs"</formula>
    </cfRule>
  </conditionalFormatting>
  <conditionalFormatting sqref="C125">
    <cfRule type="cellIs" dxfId="15509" priority="2189" stopIfTrue="1" operator="equal">
      <formula>"Towel"</formula>
    </cfRule>
    <cfRule type="cellIs" dxfId="15508" priority="2190" stopIfTrue="1" operator="equal">
      <formula>"Napkin Hs"</formula>
    </cfRule>
  </conditionalFormatting>
  <conditionalFormatting sqref="C125">
    <cfRule type="cellIs" dxfId="15507" priority="2191" stopIfTrue="1" operator="equal">
      <formula>"Towel"</formula>
    </cfRule>
    <cfRule type="cellIs" dxfId="15506" priority="2192" stopIfTrue="1" operator="equal">
      <formula>"Napkin Hs"</formula>
    </cfRule>
  </conditionalFormatting>
  <conditionalFormatting sqref="C125">
    <cfRule type="cellIs" dxfId="15505" priority="2193" stopIfTrue="1" operator="equal">
      <formula>"Towel"</formula>
    </cfRule>
    <cfRule type="cellIs" dxfId="15504" priority="2194" stopIfTrue="1" operator="equal">
      <formula>"Napkin Hs"</formula>
    </cfRule>
  </conditionalFormatting>
  <conditionalFormatting sqref="B125">
    <cfRule type="cellIs" dxfId="15503" priority="2187" stopIfTrue="1" operator="equal">
      <formula>"Towel"</formula>
    </cfRule>
    <cfRule type="cellIs" dxfId="15502" priority="2188" stopIfTrue="1" operator="equal">
      <formula>"Napkin Hs"</formula>
    </cfRule>
  </conditionalFormatting>
  <conditionalFormatting sqref="B125">
    <cfRule type="cellIs" dxfId="15501" priority="2185" stopIfTrue="1" operator="equal">
      <formula>"Towel"</formula>
    </cfRule>
    <cfRule type="cellIs" dxfId="15500" priority="2186" stopIfTrue="1" operator="equal">
      <formula>"Napkin Hs"</formula>
    </cfRule>
  </conditionalFormatting>
  <conditionalFormatting sqref="B125:C125">
    <cfRule type="cellIs" dxfId="15499" priority="2183" stopIfTrue="1" operator="equal">
      <formula>"Towel"</formula>
    </cfRule>
    <cfRule type="cellIs" dxfId="15498" priority="2184" stopIfTrue="1" operator="equal">
      <formula>"Napkin Hs"</formula>
    </cfRule>
  </conditionalFormatting>
  <conditionalFormatting sqref="C125">
    <cfRule type="cellIs" dxfId="15497" priority="2179" stopIfTrue="1" operator="equal">
      <formula>"Towel"</formula>
    </cfRule>
    <cfRule type="cellIs" dxfId="15496" priority="2180" stopIfTrue="1" operator="equal">
      <formula>"Napkin Hs"</formula>
    </cfRule>
  </conditionalFormatting>
  <conditionalFormatting sqref="C125">
    <cfRule type="cellIs" dxfId="15495" priority="2181" stopIfTrue="1" operator="equal">
      <formula>"Towel"</formula>
    </cfRule>
    <cfRule type="cellIs" dxfId="15494" priority="2182" stopIfTrue="1" operator="equal">
      <formula>"Napkin Hs"</formula>
    </cfRule>
  </conditionalFormatting>
  <conditionalFormatting sqref="B125:C125">
    <cfRule type="cellIs" dxfId="15493" priority="2177" stopIfTrue="1" operator="equal">
      <formula>"Towel"</formula>
    </cfRule>
    <cfRule type="cellIs" dxfId="15492" priority="2178" stopIfTrue="1" operator="equal">
      <formula>"Napkin Hs"</formula>
    </cfRule>
  </conditionalFormatting>
  <conditionalFormatting sqref="C125">
    <cfRule type="cellIs" dxfId="15491" priority="2173" stopIfTrue="1" operator="equal">
      <formula>"Towel"</formula>
    </cfRule>
    <cfRule type="cellIs" dxfId="15490" priority="2174" stopIfTrue="1" operator="equal">
      <formula>"Napkin Hs"</formula>
    </cfRule>
  </conditionalFormatting>
  <conditionalFormatting sqref="C125">
    <cfRule type="cellIs" dxfId="15489" priority="2175" stopIfTrue="1" operator="equal">
      <formula>"Towel"</formula>
    </cfRule>
    <cfRule type="cellIs" dxfId="15488" priority="2176" stopIfTrue="1" operator="equal">
      <formula>"Napkin Hs"</formula>
    </cfRule>
  </conditionalFormatting>
  <conditionalFormatting sqref="C125">
    <cfRule type="cellIs" dxfId="15487" priority="2165" stopIfTrue="1" operator="equal">
      <formula>"Towel"</formula>
    </cfRule>
    <cfRule type="cellIs" dxfId="15486" priority="2166" stopIfTrue="1" operator="equal">
      <formula>"Napkin Hs"</formula>
    </cfRule>
  </conditionalFormatting>
  <conditionalFormatting sqref="C125">
    <cfRule type="cellIs" dxfId="15485" priority="2167" stopIfTrue="1" operator="equal">
      <formula>"Towel"</formula>
    </cfRule>
    <cfRule type="cellIs" dxfId="15484" priority="2168" stopIfTrue="1" operator="equal">
      <formula>"Napkin Hs"</formula>
    </cfRule>
  </conditionalFormatting>
  <conditionalFormatting sqref="C125">
    <cfRule type="cellIs" dxfId="15483" priority="2163" stopIfTrue="1" operator="equal">
      <formula>"Towel"</formula>
    </cfRule>
    <cfRule type="cellIs" dxfId="15482" priority="2164" stopIfTrue="1" operator="equal">
      <formula>"Napkin Hs"</formula>
    </cfRule>
  </conditionalFormatting>
  <conditionalFormatting sqref="C125">
    <cfRule type="cellIs" dxfId="15481" priority="2161" stopIfTrue="1" operator="equal">
      <formula>"Towel"</formula>
    </cfRule>
    <cfRule type="cellIs" dxfId="15480" priority="2162" stopIfTrue="1" operator="equal">
      <formula>"Napkin Hs"</formula>
    </cfRule>
  </conditionalFormatting>
  <conditionalFormatting sqref="C125">
    <cfRule type="cellIs" dxfId="15479" priority="2169" stopIfTrue="1" operator="equal">
      <formula>"Towel"</formula>
    </cfRule>
    <cfRule type="cellIs" dxfId="15478" priority="2170" stopIfTrue="1" operator="equal">
      <formula>"Napkin Hs"</formula>
    </cfRule>
  </conditionalFormatting>
  <conditionalFormatting sqref="C125">
    <cfRule type="cellIs" dxfId="15477" priority="2171" stopIfTrue="1" operator="equal">
      <formula>"Towel"</formula>
    </cfRule>
    <cfRule type="cellIs" dxfId="15476" priority="2172" stopIfTrue="1" operator="equal">
      <formula>"Napkin Hs"</formula>
    </cfRule>
  </conditionalFormatting>
  <conditionalFormatting sqref="B125">
    <cfRule type="cellIs" dxfId="15475" priority="2159" stopIfTrue="1" operator="equal">
      <formula>"Towel"</formula>
    </cfRule>
    <cfRule type="cellIs" dxfId="15474" priority="2160" stopIfTrue="1" operator="equal">
      <formula>"Napkin Hs"</formula>
    </cfRule>
  </conditionalFormatting>
  <conditionalFormatting sqref="C124">
    <cfRule type="cellIs" dxfId="15473" priority="2157" stopIfTrue="1" operator="equal">
      <formula>"Towel"</formula>
    </cfRule>
    <cfRule type="cellIs" dxfId="15472" priority="2158" stopIfTrue="1" operator="equal">
      <formula>"Napkin Hs"</formula>
    </cfRule>
  </conditionalFormatting>
  <conditionalFormatting sqref="C124">
    <cfRule type="cellIs" dxfId="15471" priority="2153" stopIfTrue="1" operator="equal">
      <formula>"Towel"</formula>
    </cfRule>
    <cfRule type="cellIs" dxfId="15470" priority="2154" stopIfTrue="1" operator="equal">
      <formula>"Napkin Hs"</formula>
    </cfRule>
  </conditionalFormatting>
  <conditionalFormatting sqref="C124">
    <cfRule type="cellIs" dxfId="15469" priority="2155" stopIfTrue="1" operator="equal">
      <formula>"Towel"</formula>
    </cfRule>
    <cfRule type="cellIs" dxfId="15468" priority="2156" stopIfTrue="1" operator="equal">
      <formula>"Napkin Hs"</formula>
    </cfRule>
  </conditionalFormatting>
  <conditionalFormatting sqref="C124">
    <cfRule type="cellIs" dxfId="15467" priority="2151" stopIfTrue="1" operator="equal">
      <formula>"Towel"</formula>
    </cfRule>
    <cfRule type="cellIs" dxfId="15466" priority="2152" stopIfTrue="1" operator="equal">
      <formula>"Napkin Hs"</formula>
    </cfRule>
  </conditionalFormatting>
  <conditionalFormatting sqref="C124">
    <cfRule type="cellIs" dxfId="15465" priority="2149" stopIfTrue="1" operator="equal">
      <formula>"Towel"</formula>
    </cfRule>
    <cfRule type="cellIs" dxfId="15464" priority="2150" stopIfTrue="1" operator="equal">
      <formula>"Napkin Hs"</formula>
    </cfRule>
  </conditionalFormatting>
  <conditionalFormatting sqref="C124">
    <cfRule type="cellIs" dxfId="15463" priority="2147" stopIfTrue="1" operator="equal">
      <formula>"Towel"</formula>
    </cfRule>
    <cfRule type="cellIs" dxfId="15462" priority="2148" stopIfTrue="1" operator="equal">
      <formula>"Napkin Hs"</formula>
    </cfRule>
  </conditionalFormatting>
  <conditionalFormatting sqref="C124">
    <cfRule type="cellIs" dxfId="15461" priority="2139" stopIfTrue="1" operator="equal">
      <formula>"Towel"</formula>
    </cfRule>
    <cfRule type="cellIs" dxfId="15460" priority="2140" stopIfTrue="1" operator="equal">
      <formula>"Napkin Hs"</formula>
    </cfRule>
  </conditionalFormatting>
  <conditionalFormatting sqref="C124">
    <cfRule type="cellIs" dxfId="15459" priority="2141" stopIfTrue="1" operator="equal">
      <formula>"Towel"</formula>
    </cfRule>
    <cfRule type="cellIs" dxfId="15458" priority="2142" stopIfTrue="1" operator="equal">
      <formula>"Napkin Hs"</formula>
    </cfRule>
  </conditionalFormatting>
  <conditionalFormatting sqref="C124">
    <cfRule type="cellIs" dxfId="15457" priority="2137" stopIfTrue="1" operator="equal">
      <formula>"Towel"</formula>
    </cfRule>
    <cfRule type="cellIs" dxfId="15456" priority="2138" stopIfTrue="1" operator="equal">
      <formula>"Napkin Hs"</formula>
    </cfRule>
  </conditionalFormatting>
  <conditionalFormatting sqref="C124">
    <cfRule type="cellIs" dxfId="15455" priority="2135" stopIfTrue="1" operator="equal">
      <formula>"Towel"</formula>
    </cfRule>
    <cfRule type="cellIs" dxfId="15454" priority="2136" stopIfTrue="1" operator="equal">
      <formula>"Napkin Hs"</formula>
    </cfRule>
  </conditionalFormatting>
  <conditionalFormatting sqref="C124">
    <cfRule type="cellIs" dxfId="15453" priority="2143" stopIfTrue="1" operator="equal">
      <formula>"Towel"</formula>
    </cfRule>
    <cfRule type="cellIs" dxfId="15452" priority="2144" stopIfTrue="1" operator="equal">
      <formula>"Napkin Hs"</formula>
    </cfRule>
  </conditionalFormatting>
  <conditionalFormatting sqref="C124">
    <cfRule type="cellIs" dxfId="15451" priority="2145" stopIfTrue="1" operator="equal">
      <formula>"Towel"</formula>
    </cfRule>
    <cfRule type="cellIs" dxfId="15450" priority="2146" stopIfTrue="1" operator="equal">
      <formula>"Napkin Hs"</formula>
    </cfRule>
  </conditionalFormatting>
  <conditionalFormatting sqref="C124">
    <cfRule type="cellIs" dxfId="15449" priority="2127" stopIfTrue="1" operator="equal">
      <formula>"Towel"</formula>
    </cfRule>
    <cfRule type="cellIs" dxfId="15448" priority="2128" stopIfTrue="1" operator="equal">
      <formula>"Napkin Hs"</formula>
    </cfRule>
  </conditionalFormatting>
  <conditionalFormatting sqref="C124">
    <cfRule type="cellIs" dxfId="15447" priority="2125" stopIfTrue="1" operator="equal">
      <formula>"Towel"</formula>
    </cfRule>
    <cfRule type="cellIs" dxfId="15446" priority="2126" stopIfTrue="1" operator="equal">
      <formula>"Napkin Hs"</formula>
    </cfRule>
  </conditionalFormatting>
  <conditionalFormatting sqref="C124">
    <cfRule type="cellIs" dxfId="15445" priority="2123" stopIfTrue="1" operator="equal">
      <formula>"Towel"</formula>
    </cfRule>
    <cfRule type="cellIs" dxfId="15444" priority="2124" stopIfTrue="1" operator="equal">
      <formula>"Napkin Hs"</formula>
    </cfRule>
  </conditionalFormatting>
  <conditionalFormatting sqref="C124">
    <cfRule type="cellIs" dxfId="15443" priority="2133" stopIfTrue="1" operator="equal">
      <formula>"Towel"</formula>
    </cfRule>
    <cfRule type="cellIs" dxfId="15442" priority="2134" stopIfTrue="1" operator="equal">
      <formula>"Napkin Hs"</formula>
    </cfRule>
  </conditionalFormatting>
  <conditionalFormatting sqref="C124">
    <cfRule type="cellIs" dxfId="15441" priority="2131" stopIfTrue="1" operator="equal">
      <formula>"Towel"</formula>
    </cfRule>
    <cfRule type="cellIs" dxfId="15440" priority="2132" stopIfTrue="1" operator="equal">
      <formula>"Napkin Hs"</formula>
    </cfRule>
  </conditionalFormatting>
  <conditionalFormatting sqref="C124">
    <cfRule type="cellIs" dxfId="15439" priority="2129" stopIfTrue="1" operator="equal">
      <formula>"Towel"</formula>
    </cfRule>
    <cfRule type="cellIs" dxfId="15438" priority="2130" stopIfTrue="1" operator="equal">
      <formula>"Napkin Hs"</formula>
    </cfRule>
  </conditionalFormatting>
  <conditionalFormatting sqref="C124">
    <cfRule type="cellIs" dxfId="15437" priority="2121" stopIfTrue="1" operator="equal">
      <formula>"Towel"</formula>
    </cfRule>
    <cfRule type="cellIs" dxfId="15436" priority="2122" stopIfTrue="1" operator="equal">
      <formula>"Napkin Hs"</formula>
    </cfRule>
  </conditionalFormatting>
  <conditionalFormatting sqref="C124">
    <cfRule type="cellIs" dxfId="15435" priority="2119" stopIfTrue="1" operator="equal">
      <formula>"Towel"</formula>
    </cfRule>
    <cfRule type="cellIs" dxfId="15434" priority="2120" stopIfTrue="1" operator="equal">
      <formula>"Napkin Hs"</formula>
    </cfRule>
  </conditionalFormatting>
  <conditionalFormatting sqref="C124">
    <cfRule type="cellIs" dxfId="15433" priority="2117" stopIfTrue="1" operator="equal">
      <formula>"Towel"</formula>
    </cfRule>
    <cfRule type="cellIs" dxfId="15432" priority="2118" stopIfTrue="1" operator="equal">
      <formula>"Napkin Hs"</formula>
    </cfRule>
  </conditionalFormatting>
  <conditionalFormatting sqref="C124">
    <cfRule type="cellIs" dxfId="15431" priority="2115" stopIfTrue="1" operator="equal">
      <formula>"Towel"</formula>
    </cfRule>
    <cfRule type="cellIs" dxfId="15430" priority="2116" stopIfTrue="1" operator="equal">
      <formula>"Napkin Hs"</formula>
    </cfRule>
  </conditionalFormatting>
  <conditionalFormatting sqref="C124">
    <cfRule type="cellIs" dxfId="15429" priority="2113" stopIfTrue="1" operator="equal">
      <formula>"Towel"</formula>
    </cfRule>
    <cfRule type="cellIs" dxfId="15428" priority="2114" stopIfTrue="1" operator="equal">
      <formula>"Napkin Hs"</formula>
    </cfRule>
  </conditionalFormatting>
  <conditionalFormatting sqref="C124">
    <cfRule type="cellIs" dxfId="15427" priority="2111" stopIfTrue="1" operator="equal">
      <formula>"Towel"</formula>
    </cfRule>
    <cfRule type="cellIs" dxfId="15426" priority="2112" stopIfTrue="1" operator="equal">
      <formula>"Napkin Hs"</formula>
    </cfRule>
  </conditionalFormatting>
  <conditionalFormatting sqref="C124">
    <cfRule type="cellIs" dxfId="15425" priority="2103" stopIfTrue="1" operator="equal">
      <formula>"Towel"</formula>
    </cfRule>
    <cfRule type="cellIs" dxfId="15424" priority="2104" stopIfTrue="1" operator="equal">
      <formula>"Napkin Hs"</formula>
    </cfRule>
  </conditionalFormatting>
  <conditionalFormatting sqref="C124">
    <cfRule type="cellIs" dxfId="15423" priority="2105" stopIfTrue="1" operator="equal">
      <formula>"Towel"</formula>
    </cfRule>
    <cfRule type="cellIs" dxfId="15422" priority="2106" stopIfTrue="1" operator="equal">
      <formula>"Napkin Hs"</formula>
    </cfRule>
  </conditionalFormatting>
  <conditionalFormatting sqref="C124">
    <cfRule type="cellIs" dxfId="15421" priority="2101" stopIfTrue="1" operator="equal">
      <formula>"Towel"</formula>
    </cfRule>
    <cfRule type="cellIs" dxfId="15420" priority="2102" stopIfTrue="1" operator="equal">
      <formula>"Napkin Hs"</formula>
    </cfRule>
  </conditionalFormatting>
  <conditionalFormatting sqref="C124">
    <cfRule type="cellIs" dxfId="15419" priority="2099" stopIfTrue="1" operator="equal">
      <formula>"Towel"</formula>
    </cfRule>
    <cfRule type="cellIs" dxfId="15418" priority="2100" stopIfTrue="1" operator="equal">
      <formula>"Napkin Hs"</formula>
    </cfRule>
  </conditionalFormatting>
  <conditionalFormatting sqref="C124">
    <cfRule type="cellIs" dxfId="15417" priority="2107" stopIfTrue="1" operator="equal">
      <formula>"Towel"</formula>
    </cfRule>
    <cfRule type="cellIs" dxfId="15416" priority="2108" stopIfTrue="1" operator="equal">
      <formula>"Napkin Hs"</formula>
    </cfRule>
  </conditionalFormatting>
  <conditionalFormatting sqref="C124">
    <cfRule type="cellIs" dxfId="15415" priority="2109" stopIfTrue="1" operator="equal">
      <formula>"Towel"</formula>
    </cfRule>
    <cfRule type="cellIs" dxfId="15414" priority="2110" stopIfTrue="1" operator="equal">
      <formula>"Napkin Hs"</formula>
    </cfRule>
  </conditionalFormatting>
  <conditionalFormatting sqref="C124">
    <cfRule type="cellIs" dxfId="15413" priority="2097" stopIfTrue="1" operator="equal">
      <formula>"Towel"</formula>
    </cfRule>
    <cfRule type="cellIs" dxfId="15412" priority="2098" stopIfTrue="1" operator="equal">
      <formula>"Napkin Hs"</formula>
    </cfRule>
  </conditionalFormatting>
  <conditionalFormatting sqref="C124">
    <cfRule type="cellIs" dxfId="15411" priority="2096" stopIfTrue="1" operator="equal">
      <formula>"Napkin Hs"</formula>
    </cfRule>
  </conditionalFormatting>
  <conditionalFormatting sqref="C124">
    <cfRule type="cellIs" dxfId="15410" priority="2095" stopIfTrue="1" operator="equal">
      <formula>"Towel"</formula>
    </cfRule>
  </conditionalFormatting>
  <conditionalFormatting sqref="C124">
    <cfRule type="cellIs" dxfId="15409" priority="2093" stopIfTrue="1" operator="equal">
      <formula>"Towel"</formula>
    </cfRule>
    <cfRule type="cellIs" dxfId="15408" priority="2094" stopIfTrue="1" operator="equal">
      <formula>"Napkin Hs"</formula>
    </cfRule>
  </conditionalFormatting>
  <conditionalFormatting sqref="C124">
    <cfRule type="cellIs" dxfId="15407" priority="2091" stopIfTrue="1" operator="equal">
      <formula>"Towel"</formula>
    </cfRule>
    <cfRule type="cellIs" dxfId="15406" priority="2092" stopIfTrue="1" operator="equal">
      <formula>"Napkin Hs"</formula>
    </cfRule>
  </conditionalFormatting>
  <conditionalFormatting sqref="C124">
    <cfRule type="cellIs" dxfId="15405" priority="2087" stopIfTrue="1" operator="equal">
      <formula>"Towel"</formula>
    </cfRule>
    <cfRule type="cellIs" dxfId="15404" priority="2088" stopIfTrue="1" operator="equal">
      <formula>"Napkin Hs"</formula>
    </cfRule>
  </conditionalFormatting>
  <conditionalFormatting sqref="C124">
    <cfRule type="cellIs" dxfId="15403" priority="2089" stopIfTrue="1" operator="equal">
      <formula>"Towel"</formula>
    </cfRule>
    <cfRule type="cellIs" dxfId="15402" priority="2090" stopIfTrue="1" operator="equal">
      <formula>"Napkin Hs"</formula>
    </cfRule>
  </conditionalFormatting>
  <conditionalFormatting sqref="C124">
    <cfRule type="cellIs" dxfId="15401" priority="2085" stopIfTrue="1" operator="equal">
      <formula>"Towel"</formula>
    </cfRule>
    <cfRule type="cellIs" dxfId="15400" priority="2086" stopIfTrue="1" operator="equal">
      <formula>"Napkin Hs"</formula>
    </cfRule>
  </conditionalFormatting>
  <conditionalFormatting sqref="C124">
    <cfRule type="cellIs" dxfId="15399" priority="2083" stopIfTrue="1" operator="equal">
      <formula>"Towel"</formula>
    </cfRule>
    <cfRule type="cellIs" dxfId="15398" priority="2084" stopIfTrue="1" operator="equal">
      <formula>"Napkin Hs"</formula>
    </cfRule>
  </conditionalFormatting>
  <conditionalFormatting sqref="C124">
    <cfRule type="cellIs" dxfId="15397" priority="2081" stopIfTrue="1" operator="equal">
      <formula>"Towel"</formula>
    </cfRule>
    <cfRule type="cellIs" dxfId="15396" priority="2082" stopIfTrue="1" operator="equal">
      <formula>"Napkin Hs"</formula>
    </cfRule>
  </conditionalFormatting>
  <conditionalFormatting sqref="C124">
    <cfRule type="cellIs" dxfId="15395" priority="2073" stopIfTrue="1" operator="equal">
      <formula>"Towel"</formula>
    </cfRule>
    <cfRule type="cellIs" dxfId="15394" priority="2074" stopIfTrue="1" operator="equal">
      <formula>"Napkin Hs"</formula>
    </cfRule>
  </conditionalFormatting>
  <conditionalFormatting sqref="C124">
    <cfRule type="cellIs" dxfId="15393" priority="2075" stopIfTrue="1" operator="equal">
      <formula>"Towel"</formula>
    </cfRule>
    <cfRule type="cellIs" dxfId="15392" priority="2076" stopIfTrue="1" operator="equal">
      <formula>"Napkin Hs"</formula>
    </cfRule>
  </conditionalFormatting>
  <conditionalFormatting sqref="C124">
    <cfRule type="cellIs" dxfId="15391" priority="2071" stopIfTrue="1" operator="equal">
      <formula>"Towel"</formula>
    </cfRule>
    <cfRule type="cellIs" dxfId="15390" priority="2072" stopIfTrue="1" operator="equal">
      <formula>"Napkin Hs"</formula>
    </cfRule>
  </conditionalFormatting>
  <conditionalFormatting sqref="C124">
    <cfRule type="cellIs" dxfId="15389" priority="2069" stopIfTrue="1" operator="equal">
      <formula>"Towel"</formula>
    </cfRule>
    <cfRule type="cellIs" dxfId="15388" priority="2070" stopIfTrue="1" operator="equal">
      <formula>"Napkin Hs"</formula>
    </cfRule>
  </conditionalFormatting>
  <conditionalFormatting sqref="C124">
    <cfRule type="cellIs" dxfId="15387" priority="2077" stopIfTrue="1" operator="equal">
      <formula>"Towel"</formula>
    </cfRule>
    <cfRule type="cellIs" dxfId="15386" priority="2078" stopIfTrue="1" operator="equal">
      <formula>"Napkin Hs"</formula>
    </cfRule>
  </conditionalFormatting>
  <conditionalFormatting sqref="C124">
    <cfRule type="cellIs" dxfId="15385" priority="2079" stopIfTrue="1" operator="equal">
      <formula>"Towel"</formula>
    </cfRule>
    <cfRule type="cellIs" dxfId="15384" priority="2080" stopIfTrue="1" operator="equal">
      <formula>"Napkin Hs"</formula>
    </cfRule>
  </conditionalFormatting>
  <conditionalFormatting sqref="C124">
    <cfRule type="cellIs" dxfId="15383" priority="2067" stopIfTrue="1" operator="equal">
      <formula>"Towel"</formula>
    </cfRule>
    <cfRule type="cellIs" dxfId="15382" priority="2068" stopIfTrue="1" operator="equal">
      <formula>"Napkin Hs"</formula>
    </cfRule>
  </conditionalFormatting>
  <conditionalFormatting sqref="C124">
    <cfRule type="cellIs" dxfId="15381" priority="2066" stopIfTrue="1" operator="equal">
      <formula>"Napkin Hs"</formula>
    </cfRule>
  </conditionalFormatting>
  <conditionalFormatting sqref="C124">
    <cfRule type="cellIs" dxfId="15380" priority="2065" stopIfTrue="1" operator="equal">
      <formula>"Towel"</formula>
    </cfRule>
  </conditionalFormatting>
  <conditionalFormatting sqref="C124">
    <cfRule type="cellIs" dxfId="15379" priority="2063" stopIfTrue="1" operator="equal">
      <formula>"Towel"</formula>
    </cfRule>
    <cfRule type="cellIs" dxfId="15378" priority="2064" stopIfTrue="1" operator="equal">
      <formula>"Napkin Hs"</formula>
    </cfRule>
  </conditionalFormatting>
  <conditionalFormatting sqref="C124">
    <cfRule type="cellIs" dxfId="15377" priority="2061" stopIfTrue="1" operator="equal">
      <formula>"Towel"</formula>
    </cfRule>
    <cfRule type="cellIs" dxfId="15376" priority="2062" stopIfTrue="1" operator="equal">
      <formula>"Napkin Hs"</formula>
    </cfRule>
  </conditionalFormatting>
  <conditionalFormatting sqref="C124">
    <cfRule type="cellIs" dxfId="15375" priority="2057" stopIfTrue="1" operator="equal">
      <formula>"Towel"</formula>
    </cfRule>
    <cfRule type="cellIs" dxfId="15374" priority="2058" stopIfTrue="1" operator="equal">
      <formula>"Napkin Hs"</formula>
    </cfRule>
  </conditionalFormatting>
  <conditionalFormatting sqref="C124">
    <cfRule type="cellIs" dxfId="15373" priority="2059" stopIfTrue="1" operator="equal">
      <formula>"Towel"</formula>
    </cfRule>
    <cfRule type="cellIs" dxfId="15372" priority="2060" stopIfTrue="1" operator="equal">
      <formula>"Napkin Hs"</formula>
    </cfRule>
  </conditionalFormatting>
  <conditionalFormatting sqref="C124">
    <cfRule type="cellIs" dxfId="15371" priority="2055" stopIfTrue="1" operator="equal">
      <formula>"Towel"</formula>
    </cfRule>
    <cfRule type="cellIs" dxfId="15370" priority="2056" stopIfTrue="1" operator="equal">
      <formula>"Napkin Hs"</formula>
    </cfRule>
  </conditionalFormatting>
  <conditionalFormatting sqref="C124">
    <cfRule type="cellIs" dxfId="15369" priority="2054" stopIfTrue="1" operator="equal">
      <formula>"Napkin Hs"</formula>
    </cfRule>
  </conditionalFormatting>
  <conditionalFormatting sqref="C124">
    <cfRule type="cellIs" dxfId="15368" priority="2053" stopIfTrue="1" operator="equal">
      <formula>"Towel"</formula>
    </cfRule>
  </conditionalFormatting>
  <conditionalFormatting sqref="C124">
    <cfRule type="cellIs" dxfId="15367" priority="2051" stopIfTrue="1" operator="equal">
      <formula>"Towel"</formula>
    </cfRule>
    <cfRule type="cellIs" dxfId="15366" priority="2052" stopIfTrue="1" operator="equal">
      <formula>"Napkin Hs"</formula>
    </cfRule>
  </conditionalFormatting>
  <conditionalFormatting sqref="C124">
    <cfRule type="cellIs" dxfId="15365" priority="2049" stopIfTrue="1" operator="equal">
      <formula>"Towel"</formula>
    </cfRule>
    <cfRule type="cellIs" dxfId="15364" priority="2050" stopIfTrue="1" operator="equal">
      <formula>"Napkin Hs"</formula>
    </cfRule>
  </conditionalFormatting>
  <conditionalFormatting sqref="C124">
    <cfRule type="cellIs" dxfId="15363" priority="2045" stopIfTrue="1" operator="equal">
      <formula>"Towel"</formula>
    </cfRule>
    <cfRule type="cellIs" dxfId="15362" priority="2046" stopIfTrue="1" operator="equal">
      <formula>"Napkin Hs"</formula>
    </cfRule>
  </conditionalFormatting>
  <conditionalFormatting sqref="C124">
    <cfRule type="cellIs" dxfId="15361" priority="2047" stopIfTrue="1" operator="equal">
      <formula>"Towel"</formula>
    </cfRule>
    <cfRule type="cellIs" dxfId="15360" priority="2048" stopIfTrue="1" operator="equal">
      <formula>"Napkin Hs"</formula>
    </cfRule>
  </conditionalFormatting>
  <conditionalFormatting sqref="C124">
    <cfRule type="cellIs" dxfId="15359" priority="2043" stopIfTrue="1" operator="equal">
      <formula>"Towel"</formula>
    </cfRule>
    <cfRule type="cellIs" dxfId="15358" priority="2044" stopIfTrue="1" operator="equal">
      <formula>"Napkin Hs"</formula>
    </cfRule>
  </conditionalFormatting>
  <conditionalFormatting sqref="C124">
    <cfRule type="cellIs" dxfId="15357" priority="2042" stopIfTrue="1" operator="equal">
      <formula>"Napkin Hs"</formula>
    </cfRule>
  </conditionalFormatting>
  <conditionalFormatting sqref="C124">
    <cfRule type="cellIs" dxfId="15356" priority="2041" stopIfTrue="1" operator="equal">
      <formula>"Towel"</formula>
    </cfRule>
  </conditionalFormatting>
  <conditionalFormatting sqref="C124">
    <cfRule type="cellIs" dxfId="15355" priority="2039" stopIfTrue="1" operator="equal">
      <formula>"Towel"</formula>
    </cfRule>
    <cfRule type="cellIs" dxfId="15354" priority="2040" stopIfTrue="1" operator="equal">
      <formula>"Napkin Hs"</formula>
    </cfRule>
  </conditionalFormatting>
  <conditionalFormatting sqref="C124">
    <cfRule type="cellIs" dxfId="15353" priority="2031" stopIfTrue="1" operator="equal">
      <formula>"Towel"</formula>
    </cfRule>
    <cfRule type="cellIs" dxfId="15352" priority="2032" stopIfTrue="1" operator="equal">
      <formula>"Napkin Hs"</formula>
    </cfRule>
  </conditionalFormatting>
  <conditionalFormatting sqref="C124">
    <cfRule type="cellIs" dxfId="15351" priority="2033" stopIfTrue="1" operator="equal">
      <formula>"Towel"</formula>
    </cfRule>
    <cfRule type="cellIs" dxfId="15350" priority="2034" stopIfTrue="1" operator="equal">
      <formula>"Napkin Hs"</formula>
    </cfRule>
  </conditionalFormatting>
  <conditionalFormatting sqref="C124">
    <cfRule type="cellIs" dxfId="15349" priority="2029" stopIfTrue="1" operator="equal">
      <formula>"Towel"</formula>
    </cfRule>
    <cfRule type="cellIs" dxfId="15348" priority="2030" stopIfTrue="1" operator="equal">
      <formula>"Napkin Hs"</formula>
    </cfRule>
  </conditionalFormatting>
  <conditionalFormatting sqref="C124">
    <cfRule type="cellIs" dxfId="15347" priority="2027" stopIfTrue="1" operator="equal">
      <formula>"Towel"</formula>
    </cfRule>
    <cfRule type="cellIs" dxfId="15346" priority="2028" stopIfTrue="1" operator="equal">
      <formula>"Napkin Hs"</formula>
    </cfRule>
  </conditionalFormatting>
  <conditionalFormatting sqref="C124">
    <cfRule type="cellIs" dxfId="15345" priority="2035" stopIfTrue="1" operator="equal">
      <formula>"Towel"</formula>
    </cfRule>
    <cfRule type="cellIs" dxfId="15344" priority="2036" stopIfTrue="1" operator="equal">
      <formula>"Napkin Hs"</formula>
    </cfRule>
  </conditionalFormatting>
  <conditionalFormatting sqref="C124">
    <cfRule type="cellIs" dxfId="15343" priority="2037" stopIfTrue="1" operator="equal">
      <formula>"Towel"</formula>
    </cfRule>
    <cfRule type="cellIs" dxfId="15342" priority="2038" stopIfTrue="1" operator="equal">
      <formula>"Napkin Hs"</formula>
    </cfRule>
  </conditionalFormatting>
  <conditionalFormatting sqref="C124">
    <cfRule type="cellIs" dxfId="15341" priority="2025" stopIfTrue="1" operator="equal">
      <formula>"Towel"</formula>
    </cfRule>
    <cfRule type="cellIs" dxfId="15340" priority="2026" stopIfTrue="1" operator="equal">
      <formula>"Napkin Hs"</formula>
    </cfRule>
  </conditionalFormatting>
  <conditionalFormatting sqref="C124">
    <cfRule type="cellIs" dxfId="15339" priority="2021" stopIfTrue="1" operator="equal">
      <formula>"Towel"</formula>
    </cfRule>
    <cfRule type="cellIs" dxfId="15338" priority="2022" stopIfTrue="1" operator="equal">
      <formula>"Napkin Hs"</formula>
    </cfRule>
  </conditionalFormatting>
  <conditionalFormatting sqref="C124">
    <cfRule type="cellIs" dxfId="15337" priority="2023" stopIfTrue="1" operator="equal">
      <formula>"Towel"</formula>
    </cfRule>
    <cfRule type="cellIs" dxfId="15336" priority="2024" stopIfTrue="1" operator="equal">
      <formula>"Napkin Hs"</formula>
    </cfRule>
  </conditionalFormatting>
  <conditionalFormatting sqref="C124">
    <cfRule type="cellIs" dxfId="15335" priority="2013" stopIfTrue="1" operator="equal">
      <formula>"Towel"</formula>
    </cfRule>
    <cfRule type="cellIs" dxfId="15334" priority="2014" stopIfTrue="1" operator="equal">
      <formula>"Napkin Hs"</formula>
    </cfRule>
  </conditionalFormatting>
  <conditionalFormatting sqref="C124">
    <cfRule type="cellIs" dxfId="15333" priority="2015" stopIfTrue="1" operator="equal">
      <formula>"Towel"</formula>
    </cfRule>
    <cfRule type="cellIs" dxfId="15332" priority="2016" stopIfTrue="1" operator="equal">
      <formula>"Napkin Hs"</formula>
    </cfRule>
  </conditionalFormatting>
  <conditionalFormatting sqref="C124">
    <cfRule type="cellIs" dxfId="15331" priority="2011" stopIfTrue="1" operator="equal">
      <formula>"Towel"</formula>
    </cfRule>
    <cfRule type="cellIs" dxfId="15330" priority="2012" stopIfTrue="1" operator="equal">
      <formula>"Napkin Hs"</formula>
    </cfRule>
  </conditionalFormatting>
  <conditionalFormatting sqref="C124">
    <cfRule type="cellIs" dxfId="15329" priority="2009" stopIfTrue="1" operator="equal">
      <formula>"Towel"</formula>
    </cfRule>
    <cfRule type="cellIs" dxfId="15328" priority="2010" stopIfTrue="1" operator="equal">
      <formula>"Napkin Hs"</formula>
    </cfRule>
  </conditionalFormatting>
  <conditionalFormatting sqref="C124">
    <cfRule type="cellIs" dxfId="15327" priority="2017" stopIfTrue="1" operator="equal">
      <formula>"Towel"</formula>
    </cfRule>
    <cfRule type="cellIs" dxfId="15326" priority="2018" stopIfTrue="1" operator="equal">
      <formula>"Napkin Hs"</formula>
    </cfRule>
  </conditionalFormatting>
  <conditionalFormatting sqref="C124">
    <cfRule type="cellIs" dxfId="15325" priority="2019" stopIfTrue="1" operator="equal">
      <formula>"Towel"</formula>
    </cfRule>
    <cfRule type="cellIs" dxfId="15324" priority="2020" stopIfTrue="1" operator="equal">
      <formula>"Napkin Hs"</formula>
    </cfRule>
  </conditionalFormatting>
  <conditionalFormatting sqref="C124">
    <cfRule type="cellIs" dxfId="15323" priority="2007" stopIfTrue="1" operator="equal">
      <formula>"Towel"</formula>
    </cfRule>
    <cfRule type="cellIs" dxfId="15322" priority="2008" stopIfTrue="1" operator="equal">
      <formula>"Napkin Hs"</formula>
    </cfRule>
  </conditionalFormatting>
  <conditionalFormatting sqref="C124">
    <cfRule type="cellIs" dxfId="15321" priority="2006" stopIfTrue="1" operator="equal">
      <formula>"Napkin Hs"</formula>
    </cfRule>
  </conditionalFormatting>
  <conditionalFormatting sqref="C124">
    <cfRule type="cellIs" dxfId="15320" priority="2005" stopIfTrue="1" operator="equal">
      <formula>"Towel"</formula>
    </cfRule>
  </conditionalFormatting>
  <conditionalFormatting sqref="C124">
    <cfRule type="cellIs" dxfId="15319" priority="2003" stopIfTrue="1" operator="equal">
      <formula>"Towel"</formula>
    </cfRule>
    <cfRule type="cellIs" dxfId="15318" priority="2004" stopIfTrue="1" operator="equal">
      <formula>"Napkin Hs"</formula>
    </cfRule>
  </conditionalFormatting>
  <conditionalFormatting sqref="B123:C123">
    <cfRule type="cellIs" dxfId="15317" priority="2001" stopIfTrue="1" operator="equal">
      <formula>"Towel"</formula>
    </cfRule>
    <cfRule type="cellIs" dxfId="15316" priority="2002" stopIfTrue="1" operator="equal">
      <formula>"Napkin Hs"</formula>
    </cfRule>
  </conditionalFormatting>
  <conditionalFormatting sqref="C123">
    <cfRule type="cellIs" dxfId="15315" priority="1997" stopIfTrue="1" operator="equal">
      <formula>"Towel"</formula>
    </cfRule>
    <cfRule type="cellIs" dxfId="15314" priority="1998" stopIfTrue="1" operator="equal">
      <formula>"Napkin Hs"</formula>
    </cfRule>
  </conditionalFormatting>
  <conditionalFormatting sqref="C123">
    <cfRule type="cellIs" dxfId="15313" priority="1999" stopIfTrue="1" operator="equal">
      <formula>"Towel"</formula>
    </cfRule>
    <cfRule type="cellIs" dxfId="15312" priority="2000" stopIfTrue="1" operator="equal">
      <formula>"Napkin Hs"</formula>
    </cfRule>
  </conditionalFormatting>
  <conditionalFormatting sqref="B123:C123">
    <cfRule type="cellIs" dxfId="15311" priority="1995" stopIfTrue="1" operator="equal">
      <formula>"Towel"</formula>
    </cfRule>
    <cfRule type="cellIs" dxfId="15310" priority="1996" stopIfTrue="1" operator="equal">
      <formula>"Napkin Hs"</formula>
    </cfRule>
  </conditionalFormatting>
  <conditionalFormatting sqref="C123">
    <cfRule type="cellIs" dxfId="15309" priority="1993" stopIfTrue="1" operator="equal">
      <formula>"Towel"</formula>
    </cfRule>
    <cfRule type="cellIs" dxfId="15308" priority="1994" stopIfTrue="1" operator="equal">
      <formula>"Napkin Hs"</formula>
    </cfRule>
  </conditionalFormatting>
  <conditionalFormatting sqref="C123">
    <cfRule type="cellIs" dxfId="15307" priority="1991" stopIfTrue="1" operator="equal">
      <formula>"Towel"</formula>
    </cfRule>
    <cfRule type="cellIs" dxfId="15306" priority="1992" stopIfTrue="1" operator="equal">
      <formula>"Napkin Hs"</formula>
    </cfRule>
  </conditionalFormatting>
  <conditionalFormatting sqref="C123">
    <cfRule type="cellIs" dxfId="15305" priority="1983" stopIfTrue="1" operator="equal">
      <formula>"Towel"</formula>
    </cfRule>
    <cfRule type="cellIs" dxfId="15304" priority="1984" stopIfTrue="1" operator="equal">
      <formula>"Napkin Hs"</formula>
    </cfRule>
  </conditionalFormatting>
  <conditionalFormatting sqref="B123:C123">
    <cfRule type="cellIs" dxfId="15303" priority="1985" stopIfTrue="1" operator="equal">
      <formula>"Towel"</formula>
    </cfRule>
    <cfRule type="cellIs" dxfId="15302" priority="1986" stopIfTrue="1" operator="equal">
      <formula>"Napkin Hs"</formula>
    </cfRule>
  </conditionalFormatting>
  <conditionalFormatting sqref="C123">
    <cfRule type="cellIs" dxfId="15301" priority="1981" stopIfTrue="1" operator="equal">
      <formula>"Towel"</formula>
    </cfRule>
    <cfRule type="cellIs" dxfId="15300" priority="1982" stopIfTrue="1" operator="equal">
      <formula>"Napkin Hs"</formula>
    </cfRule>
  </conditionalFormatting>
  <conditionalFormatting sqref="B123:C123">
    <cfRule type="cellIs" dxfId="15299" priority="1979" stopIfTrue="1" operator="equal">
      <formula>"Towel"</formula>
    </cfRule>
    <cfRule type="cellIs" dxfId="15298" priority="1980" stopIfTrue="1" operator="equal">
      <formula>"Napkin Hs"</formula>
    </cfRule>
  </conditionalFormatting>
  <conditionalFormatting sqref="C123">
    <cfRule type="cellIs" dxfId="15297" priority="1987" stopIfTrue="1" operator="equal">
      <formula>"Towel"</formula>
    </cfRule>
    <cfRule type="cellIs" dxfId="15296" priority="1988" stopIfTrue="1" operator="equal">
      <formula>"Napkin Hs"</formula>
    </cfRule>
  </conditionalFormatting>
  <conditionalFormatting sqref="C123">
    <cfRule type="cellIs" dxfId="15295" priority="1989" stopIfTrue="1" operator="equal">
      <formula>"Towel"</formula>
    </cfRule>
    <cfRule type="cellIs" dxfId="15294" priority="1990" stopIfTrue="1" operator="equal">
      <formula>"Napkin Hs"</formula>
    </cfRule>
  </conditionalFormatting>
  <conditionalFormatting sqref="C123">
    <cfRule type="cellIs" dxfId="15293" priority="1971" stopIfTrue="1" operator="equal">
      <formula>"Towel"</formula>
    </cfRule>
    <cfRule type="cellIs" dxfId="15292" priority="1972" stopIfTrue="1" operator="equal">
      <formula>"Napkin Hs"</formula>
    </cfRule>
  </conditionalFormatting>
  <conditionalFormatting sqref="C123">
    <cfRule type="cellIs" dxfId="15291" priority="1969" stopIfTrue="1" operator="equal">
      <formula>"Towel"</formula>
    </cfRule>
    <cfRule type="cellIs" dxfId="15290" priority="1970" stopIfTrue="1" operator="equal">
      <formula>"Napkin Hs"</formula>
    </cfRule>
  </conditionalFormatting>
  <conditionalFormatting sqref="B123:C123">
    <cfRule type="cellIs" dxfId="15289" priority="1967" stopIfTrue="1" operator="equal">
      <formula>"Towel"</formula>
    </cfRule>
    <cfRule type="cellIs" dxfId="15288" priority="1968" stopIfTrue="1" operator="equal">
      <formula>"Napkin Hs"</formula>
    </cfRule>
  </conditionalFormatting>
  <conditionalFormatting sqref="B123:C123">
    <cfRule type="cellIs" dxfId="15287" priority="1977" stopIfTrue="1" operator="equal">
      <formula>"Towel"</formula>
    </cfRule>
    <cfRule type="cellIs" dxfId="15286" priority="1978" stopIfTrue="1" operator="equal">
      <formula>"Napkin Hs"</formula>
    </cfRule>
  </conditionalFormatting>
  <conditionalFormatting sqref="C123">
    <cfRule type="cellIs" dxfId="15285" priority="1975" stopIfTrue="1" operator="equal">
      <formula>"Towel"</formula>
    </cfRule>
    <cfRule type="cellIs" dxfId="15284" priority="1976" stopIfTrue="1" operator="equal">
      <formula>"Napkin Hs"</formula>
    </cfRule>
  </conditionalFormatting>
  <conditionalFormatting sqref="C123">
    <cfRule type="cellIs" dxfId="15283" priority="1973" stopIfTrue="1" operator="equal">
      <formula>"Towel"</formula>
    </cfRule>
    <cfRule type="cellIs" dxfId="15282" priority="1974" stopIfTrue="1" operator="equal">
      <formula>"Napkin Hs"</formula>
    </cfRule>
  </conditionalFormatting>
  <conditionalFormatting sqref="C123">
    <cfRule type="cellIs" dxfId="15281" priority="1965" stopIfTrue="1" operator="equal">
      <formula>"Towel"</formula>
    </cfRule>
    <cfRule type="cellIs" dxfId="15280" priority="1966" stopIfTrue="1" operator="equal">
      <formula>"Napkin Hs"</formula>
    </cfRule>
  </conditionalFormatting>
  <conditionalFormatting sqref="C123">
    <cfRule type="cellIs" dxfId="15279" priority="1963" stopIfTrue="1" operator="equal">
      <formula>"Towel"</formula>
    </cfRule>
    <cfRule type="cellIs" dxfId="15278" priority="1964" stopIfTrue="1" operator="equal">
      <formula>"Napkin Hs"</formula>
    </cfRule>
  </conditionalFormatting>
  <conditionalFormatting sqref="B123:C123">
    <cfRule type="cellIs" dxfId="15277" priority="1961" stopIfTrue="1" operator="equal">
      <formula>"Towel"</formula>
    </cfRule>
    <cfRule type="cellIs" dxfId="15276" priority="1962" stopIfTrue="1" operator="equal">
      <formula>"Napkin Hs"</formula>
    </cfRule>
  </conditionalFormatting>
  <conditionalFormatting sqref="B123:C123">
    <cfRule type="cellIs" dxfId="15275" priority="1959" stopIfTrue="1" operator="equal">
      <formula>"Towel"</formula>
    </cfRule>
    <cfRule type="cellIs" dxfId="15274" priority="1960" stopIfTrue="1" operator="equal">
      <formula>"Napkin Hs"</formula>
    </cfRule>
  </conditionalFormatting>
  <conditionalFormatting sqref="C123">
    <cfRule type="cellIs" dxfId="15273" priority="1957" stopIfTrue="1" operator="equal">
      <formula>"Towel"</formula>
    </cfRule>
    <cfRule type="cellIs" dxfId="15272" priority="1958" stopIfTrue="1" operator="equal">
      <formula>"Napkin Hs"</formula>
    </cfRule>
  </conditionalFormatting>
  <conditionalFormatting sqref="C123">
    <cfRule type="cellIs" dxfId="15271" priority="1955" stopIfTrue="1" operator="equal">
      <formula>"Towel"</formula>
    </cfRule>
    <cfRule type="cellIs" dxfId="15270" priority="1956" stopIfTrue="1" operator="equal">
      <formula>"Napkin Hs"</formula>
    </cfRule>
  </conditionalFormatting>
  <conditionalFormatting sqref="C123">
    <cfRule type="cellIs" dxfId="15269" priority="1947" stopIfTrue="1" operator="equal">
      <formula>"Towel"</formula>
    </cfRule>
    <cfRule type="cellIs" dxfId="15268" priority="1948" stopIfTrue="1" operator="equal">
      <formula>"Napkin Hs"</formula>
    </cfRule>
  </conditionalFormatting>
  <conditionalFormatting sqref="B123:C123">
    <cfRule type="cellIs" dxfId="15267" priority="1949" stopIfTrue="1" operator="equal">
      <formula>"Towel"</formula>
    </cfRule>
    <cfRule type="cellIs" dxfId="15266" priority="1950" stopIfTrue="1" operator="equal">
      <formula>"Napkin Hs"</formula>
    </cfRule>
  </conditionalFormatting>
  <conditionalFormatting sqref="C123">
    <cfRule type="cellIs" dxfId="15265" priority="1945" stopIfTrue="1" operator="equal">
      <formula>"Towel"</formula>
    </cfRule>
    <cfRule type="cellIs" dxfId="15264" priority="1946" stopIfTrue="1" operator="equal">
      <formula>"Napkin Hs"</formula>
    </cfRule>
  </conditionalFormatting>
  <conditionalFormatting sqref="B123:C123">
    <cfRule type="cellIs" dxfId="15263" priority="1943" stopIfTrue="1" operator="equal">
      <formula>"Towel"</formula>
    </cfRule>
    <cfRule type="cellIs" dxfId="15262" priority="1944" stopIfTrue="1" operator="equal">
      <formula>"Napkin Hs"</formula>
    </cfRule>
  </conditionalFormatting>
  <conditionalFormatting sqref="C123">
    <cfRule type="cellIs" dxfId="15261" priority="1951" stopIfTrue="1" operator="equal">
      <formula>"Towel"</formula>
    </cfRule>
    <cfRule type="cellIs" dxfId="15260" priority="1952" stopIfTrue="1" operator="equal">
      <formula>"Napkin Hs"</formula>
    </cfRule>
  </conditionalFormatting>
  <conditionalFormatting sqref="C123">
    <cfRule type="cellIs" dxfId="15259" priority="1953" stopIfTrue="1" operator="equal">
      <formula>"Towel"</formula>
    </cfRule>
    <cfRule type="cellIs" dxfId="15258" priority="1954" stopIfTrue="1" operator="equal">
      <formula>"Napkin Hs"</formula>
    </cfRule>
  </conditionalFormatting>
  <conditionalFormatting sqref="B123:C123">
    <cfRule type="cellIs" dxfId="15257" priority="1941" stopIfTrue="1" operator="equal">
      <formula>"Towel"</formula>
    </cfRule>
    <cfRule type="cellIs" dxfId="15256" priority="1942" stopIfTrue="1" operator="equal">
      <formula>"Napkin Hs"</formula>
    </cfRule>
  </conditionalFormatting>
  <conditionalFormatting sqref="C123">
    <cfRule type="cellIs" dxfId="15255" priority="1940" stopIfTrue="1" operator="equal">
      <formula>"Napkin Hs"</formula>
    </cfRule>
  </conditionalFormatting>
  <conditionalFormatting sqref="C123">
    <cfRule type="cellIs" dxfId="15254" priority="1939" stopIfTrue="1" operator="equal">
      <formula>"Towel"</formula>
    </cfRule>
  </conditionalFormatting>
  <conditionalFormatting sqref="C123">
    <cfRule type="cellIs" dxfId="15253" priority="1937" stopIfTrue="1" operator="equal">
      <formula>"Towel"</formula>
    </cfRule>
    <cfRule type="cellIs" dxfId="15252" priority="1938" stopIfTrue="1" operator="equal">
      <formula>"Napkin Hs"</formula>
    </cfRule>
  </conditionalFormatting>
  <conditionalFormatting sqref="B123:C123">
    <cfRule type="cellIs" dxfId="15251" priority="1935" stopIfTrue="1" operator="equal">
      <formula>"Towel"</formula>
    </cfRule>
    <cfRule type="cellIs" dxfId="15250" priority="1936" stopIfTrue="1" operator="equal">
      <formula>"Napkin Hs"</formula>
    </cfRule>
  </conditionalFormatting>
  <conditionalFormatting sqref="C123">
    <cfRule type="cellIs" dxfId="15249" priority="1931" stopIfTrue="1" operator="equal">
      <formula>"Towel"</formula>
    </cfRule>
    <cfRule type="cellIs" dxfId="15248" priority="1932" stopIfTrue="1" operator="equal">
      <formula>"Napkin Hs"</formula>
    </cfRule>
  </conditionalFormatting>
  <conditionalFormatting sqref="C123">
    <cfRule type="cellIs" dxfId="15247" priority="1933" stopIfTrue="1" operator="equal">
      <formula>"Towel"</formula>
    </cfRule>
    <cfRule type="cellIs" dxfId="15246" priority="1934" stopIfTrue="1" operator="equal">
      <formula>"Napkin Hs"</formula>
    </cfRule>
  </conditionalFormatting>
  <conditionalFormatting sqref="B123:C123">
    <cfRule type="cellIs" dxfId="15245" priority="1929" stopIfTrue="1" operator="equal">
      <formula>"Towel"</formula>
    </cfRule>
    <cfRule type="cellIs" dxfId="15244" priority="1930" stopIfTrue="1" operator="equal">
      <formula>"Napkin Hs"</formula>
    </cfRule>
  </conditionalFormatting>
  <conditionalFormatting sqref="C123">
    <cfRule type="cellIs" dxfId="15243" priority="1927" stopIfTrue="1" operator="equal">
      <formula>"Towel"</formula>
    </cfRule>
    <cfRule type="cellIs" dxfId="15242" priority="1928" stopIfTrue="1" operator="equal">
      <formula>"Napkin Hs"</formula>
    </cfRule>
  </conditionalFormatting>
  <conditionalFormatting sqref="C123">
    <cfRule type="cellIs" dxfId="15241" priority="1925" stopIfTrue="1" operator="equal">
      <formula>"Towel"</formula>
    </cfRule>
    <cfRule type="cellIs" dxfId="15240" priority="1926" stopIfTrue="1" operator="equal">
      <formula>"Napkin Hs"</formula>
    </cfRule>
  </conditionalFormatting>
  <conditionalFormatting sqref="C123">
    <cfRule type="cellIs" dxfId="15239" priority="1917" stopIfTrue="1" operator="equal">
      <formula>"Towel"</formula>
    </cfRule>
    <cfRule type="cellIs" dxfId="15238" priority="1918" stopIfTrue="1" operator="equal">
      <formula>"Napkin Hs"</formula>
    </cfRule>
  </conditionalFormatting>
  <conditionalFormatting sqref="B123:C123">
    <cfRule type="cellIs" dxfId="15237" priority="1919" stopIfTrue="1" operator="equal">
      <formula>"Towel"</formula>
    </cfRule>
    <cfRule type="cellIs" dxfId="15236" priority="1920" stopIfTrue="1" operator="equal">
      <formula>"Napkin Hs"</formula>
    </cfRule>
  </conditionalFormatting>
  <conditionalFormatting sqref="C123">
    <cfRule type="cellIs" dxfId="15235" priority="1915" stopIfTrue="1" operator="equal">
      <formula>"Towel"</formula>
    </cfRule>
    <cfRule type="cellIs" dxfId="15234" priority="1916" stopIfTrue="1" operator="equal">
      <formula>"Napkin Hs"</formula>
    </cfRule>
  </conditionalFormatting>
  <conditionalFormatting sqref="B123:C123">
    <cfRule type="cellIs" dxfId="15233" priority="1913" stopIfTrue="1" operator="equal">
      <formula>"Towel"</formula>
    </cfRule>
    <cfRule type="cellIs" dxfId="15232" priority="1914" stopIfTrue="1" operator="equal">
      <formula>"Napkin Hs"</formula>
    </cfRule>
  </conditionalFormatting>
  <conditionalFormatting sqref="C123">
    <cfRule type="cellIs" dxfId="15231" priority="1921" stopIfTrue="1" operator="equal">
      <formula>"Towel"</formula>
    </cfRule>
    <cfRule type="cellIs" dxfId="15230" priority="1922" stopIfTrue="1" operator="equal">
      <formula>"Napkin Hs"</formula>
    </cfRule>
  </conditionalFormatting>
  <conditionalFormatting sqref="C123">
    <cfRule type="cellIs" dxfId="15229" priority="1923" stopIfTrue="1" operator="equal">
      <formula>"Towel"</formula>
    </cfRule>
    <cfRule type="cellIs" dxfId="15228" priority="1924" stopIfTrue="1" operator="equal">
      <formula>"Napkin Hs"</formula>
    </cfRule>
  </conditionalFormatting>
  <conditionalFormatting sqref="B123:C123">
    <cfRule type="cellIs" dxfId="15227" priority="1911" stopIfTrue="1" operator="equal">
      <formula>"Towel"</formula>
    </cfRule>
    <cfRule type="cellIs" dxfId="15226" priority="1912" stopIfTrue="1" operator="equal">
      <formula>"Napkin Hs"</formula>
    </cfRule>
  </conditionalFormatting>
  <conditionalFormatting sqref="C123">
    <cfRule type="cellIs" dxfId="15225" priority="1910" stopIfTrue="1" operator="equal">
      <formula>"Napkin Hs"</formula>
    </cfRule>
  </conditionalFormatting>
  <conditionalFormatting sqref="C123">
    <cfRule type="cellIs" dxfId="15224" priority="1909" stopIfTrue="1" operator="equal">
      <formula>"Towel"</formula>
    </cfRule>
  </conditionalFormatting>
  <conditionalFormatting sqref="C123">
    <cfRule type="cellIs" dxfId="15223" priority="1907" stopIfTrue="1" operator="equal">
      <formula>"Towel"</formula>
    </cfRule>
    <cfRule type="cellIs" dxfId="15222" priority="1908" stopIfTrue="1" operator="equal">
      <formula>"Napkin Hs"</formula>
    </cfRule>
  </conditionalFormatting>
  <conditionalFormatting sqref="B123:C123">
    <cfRule type="cellIs" dxfId="15221" priority="1905" stopIfTrue="1" operator="equal">
      <formula>"Towel"</formula>
    </cfRule>
    <cfRule type="cellIs" dxfId="15220" priority="1906" stopIfTrue="1" operator="equal">
      <formula>"Napkin Hs"</formula>
    </cfRule>
  </conditionalFormatting>
  <conditionalFormatting sqref="C123">
    <cfRule type="cellIs" dxfId="15219" priority="1901" stopIfTrue="1" operator="equal">
      <formula>"Towel"</formula>
    </cfRule>
    <cfRule type="cellIs" dxfId="15218" priority="1902" stopIfTrue="1" operator="equal">
      <formula>"Napkin Hs"</formula>
    </cfRule>
  </conditionalFormatting>
  <conditionalFormatting sqref="C123">
    <cfRule type="cellIs" dxfId="15217" priority="1903" stopIfTrue="1" operator="equal">
      <formula>"Towel"</formula>
    </cfRule>
    <cfRule type="cellIs" dxfId="15216" priority="1904" stopIfTrue="1" operator="equal">
      <formula>"Napkin Hs"</formula>
    </cfRule>
  </conditionalFormatting>
  <conditionalFormatting sqref="B123:C123">
    <cfRule type="cellIs" dxfId="15215" priority="1899" stopIfTrue="1" operator="equal">
      <formula>"Towel"</formula>
    </cfRule>
    <cfRule type="cellIs" dxfId="15214" priority="1900" stopIfTrue="1" operator="equal">
      <formula>"Napkin Hs"</formula>
    </cfRule>
  </conditionalFormatting>
  <conditionalFormatting sqref="C123">
    <cfRule type="cellIs" dxfId="15213" priority="1898" stopIfTrue="1" operator="equal">
      <formula>"Napkin Hs"</formula>
    </cfRule>
  </conditionalFormatting>
  <conditionalFormatting sqref="C123">
    <cfRule type="cellIs" dxfId="15212" priority="1897" stopIfTrue="1" operator="equal">
      <formula>"Towel"</formula>
    </cfRule>
  </conditionalFormatting>
  <conditionalFormatting sqref="C123">
    <cfRule type="cellIs" dxfId="15211" priority="1895" stopIfTrue="1" operator="equal">
      <formula>"Towel"</formula>
    </cfRule>
    <cfRule type="cellIs" dxfId="15210" priority="1896" stopIfTrue="1" operator="equal">
      <formula>"Napkin Hs"</formula>
    </cfRule>
  </conditionalFormatting>
  <conditionalFormatting sqref="B123:C123">
    <cfRule type="cellIs" dxfId="15209" priority="1893" stopIfTrue="1" operator="equal">
      <formula>"Towel"</formula>
    </cfRule>
    <cfRule type="cellIs" dxfId="15208" priority="1894" stopIfTrue="1" operator="equal">
      <formula>"Napkin Hs"</formula>
    </cfRule>
  </conditionalFormatting>
  <conditionalFormatting sqref="C123">
    <cfRule type="cellIs" dxfId="15207" priority="1889" stopIfTrue="1" operator="equal">
      <formula>"Towel"</formula>
    </cfRule>
    <cfRule type="cellIs" dxfId="15206" priority="1890" stopIfTrue="1" operator="equal">
      <formula>"Napkin Hs"</formula>
    </cfRule>
  </conditionalFormatting>
  <conditionalFormatting sqref="C123">
    <cfRule type="cellIs" dxfId="15205" priority="1891" stopIfTrue="1" operator="equal">
      <formula>"Towel"</formula>
    </cfRule>
    <cfRule type="cellIs" dxfId="15204" priority="1892" stopIfTrue="1" operator="equal">
      <formula>"Napkin Hs"</formula>
    </cfRule>
  </conditionalFormatting>
  <conditionalFormatting sqref="B123:C123">
    <cfRule type="cellIs" dxfId="15203" priority="1887" stopIfTrue="1" operator="equal">
      <formula>"Towel"</formula>
    </cfRule>
    <cfRule type="cellIs" dxfId="15202" priority="1888" stopIfTrue="1" operator="equal">
      <formula>"Napkin Hs"</formula>
    </cfRule>
  </conditionalFormatting>
  <conditionalFormatting sqref="C123">
    <cfRule type="cellIs" dxfId="15201" priority="1886" stopIfTrue="1" operator="equal">
      <formula>"Napkin Hs"</formula>
    </cfRule>
  </conditionalFormatting>
  <conditionalFormatting sqref="C123">
    <cfRule type="cellIs" dxfId="15200" priority="1885" stopIfTrue="1" operator="equal">
      <formula>"Towel"</formula>
    </cfRule>
  </conditionalFormatting>
  <conditionalFormatting sqref="C123">
    <cfRule type="cellIs" dxfId="15199" priority="1883" stopIfTrue="1" operator="equal">
      <formula>"Towel"</formula>
    </cfRule>
    <cfRule type="cellIs" dxfId="15198" priority="1884" stopIfTrue="1" operator="equal">
      <formula>"Napkin Hs"</formula>
    </cfRule>
  </conditionalFormatting>
  <conditionalFormatting sqref="C123">
    <cfRule type="cellIs" dxfId="15197" priority="1875" stopIfTrue="1" operator="equal">
      <formula>"Towel"</formula>
    </cfRule>
    <cfRule type="cellIs" dxfId="15196" priority="1876" stopIfTrue="1" operator="equal">
      <formula>"Napkin Hs"</formula>
    </cfRule>
  </conditionalFormatting>
  <conditionalFormatting sqref="B123:C123">
    <cfRule type="cellIs" dxfId="15195" priority="1877" stopIfTrue="1" operator="equal">
      <formula>"Towel"</formula>
    </cfRule>
    <cfRule type="cellIs" dxfId="15194" priority="1878" stopIfTrue="1" operator="equal">
      <formula>"Napkin Hs"</formula>
    </cfRule>
  </conditionalFormatting>
  <conditionalFormatting sqref="C123">
    <cfRule type="cellIs" dxfId="15193" priority="1873" stopIfTrue="1" operator="equal">
      <formula>"Towel"</formula>
    </cfRule>
    <cfRule type="cellIs" dxfId="15192" priority="1874" stopIfTrue="1" operator="equal">
      <formula>"Napkin Hs"</formula>
    </cfRule>
  </conditionalFormatting>
  <conditionalFormatting sqref="B123:C123">
    <cfRule type="cellIs" dxfId="15191" priority="1871" stopIfTrue="1" operator="equal">
      <formula>"Towel"</formula>
    </cfRule>
    <cfRule type="cellIs" dxfId="15190" priority="1872" stopIfTrue="1" operator="equal">
      <formula>"Napkin Hs"</formula>
    </cfRule>
  </conditionalFormatting>
  <conditionalFormatting sqref="C123">
    <cfRule type="cellIs" dxfId="15189" priority="1879" stopIfTrue="1" operator="equal">
      <formula>"Towel"</formula>
    </cfRule>
    <cfRule type="cellIs" dxfId="15188" priority="1880" stopIfTrue="1" operator="equal">
      <formula>"Napkin Hs"</formula>
    </cfRule>
  </conditionalFormatting>
  <conditionalFormatting sqref="C123">
    <cfRule type="cellIs" dxfId="15187" priority="1881" stopIfTrue="1" operator="equal">
      <formula>"Towel"</formula>
    </cfRule>
    <cfRule type="cellIs" dxfId="15186" priority="1882" stopIfTrue="1" operator="equal">
      <formula>"Napkin Hs"</formula>
    </cfRule>
  </conditionalFormatting>
  <conditionalFormatting sqref="B123:C123">
    <cfRule type="cellIs" dxfId="15185" priority="1869" stopIfTrue="1" operator="equal">
      <formula>"Towel"</formula>
    </cfRule>
    <cfRule type="cellIs" dxfId="15184" priority="1870" stopIfTrue="1" operator="equal">
      <formula>"Napkin Hs"</formula>
    </cfRule>
  </conditionalFormatting>
  <conditionalFormatting sqref="C123">
    <cfRule type="cellIs" dxfId="15183" priority="1865" stopIfTrue="1" operator="equal">
      <formula>"Towel"</formula>
    </cfRule>
    <cfRule type="cellIs" dxfId="15182" priority="1866" stopIfTrue="1" operator="equal">
      <formula>"Napkin Hs"</formula>
    </cfRule>
  </conditionalFormatting>
  <conditionalFormatting sqref="C123">
    <cfRule type="cellIs" dxfId="15181" priority="1867" stopIfTrue="1" operator="equal">
      <formula>"Towel"</formula>
    </cfRule>
    <cfRule type="cellIs" dxfId="15180" priority="1868" stopIfTrue="1" operator="equal">
      <formula>"Napkin Hs"</formula>
    </cfRule>
  </conditionalFormatting>
  <conditionalFormatting sqref="C123">
    <cfRule type="cellIs" dxfId="15179" priority="1857" stopIfTrue="1" operator="equal">
      <formula>"Towel"</formula>
    </cfRule>
    <cfRule type="cellIs" dxfId="15178" priority="1858" stopIfTrue="1" operator="equal">
      <formula>"Napkin Hs"</formula>
    </cfRule>
  </conditionalFormatting>
  <conditionalFormatting sqref="B123:C123">
    <cfRule type="cellIs" dxfId="15177" priority="1859" stopIfTrue="1" operator="equal">
      <formula>"Towel"</formula>
    </cfRule>
    <cfRule type="cellIs" dxfId="15176" priority="1860" stopIfTrue="1" operator="equal">
      <formula>"Napkin Hs"</formula>
    </cfRule>
  </conditionalFormatting>
  <conditionalFormatting sqref="C123">
    <cfRule type="cellIs" dxfId="15175" priority="1855" stopIfTrue="1" operator="equal">
      <formula>"Towel"</formula>
    </cfRule>
    <cfRule type="cellIs" dxfId="15174" priority="1856" stopIfTrue="1" operator="equal">
      <formula>"Napkin Hs"</formula>
    </cfRule>
  </conditionalFormatting>
  <conditionalFormatting sqref="B123:C123">
    <cfRule type="cellIs" dxfId="15173" priority="1853" stopIfTrue="1" operator="equal">
      <formula>"Towel"</formula>
    </cfRule>
    <cfRule type="cellIs" dxfId="15172" priority="1854" stopIfTrue="1" operator="equal">
      <formula>"Napkin Hs"</formula>
    </cfRule>
  </conditionalFormatting>
  <conditionalFormatting sqref="C123">
    <cfRule type="cellIs" dxfId="15171" priority="1861" stopIfTrue="1" operator="equal">
      <formula>"Towel"</formula>
    </cfRule>
    <cfRule type="cellIs" dxfId="15170" priority="1862" stopIfTrue="1" operator="equal">
      <formula>"Napkin Hs"</formula>
    </cfRule>
  </conditionalFormatting>
  <conditionalFormatting sqref="C123">
    <cfRule type="cellIs" dxfId="15169" priority="1863" stopIfTrue="1" operator="equal">
      <formula>"Towel"</formula>
    </cfRule>
    <cfRule type="cellIs" dxfId="15168" priority="1864" stopIfTrue="1" operator="equal">
      <formula>"Napkin Hs"</formula>
    </cfRule>
  </conditionalFormatting>
  <conditionalFormatting sqref="B123:C123">
    <cfRule type="cellIs" dxfId="15167" priority="1851" stopIfTrue="1" operator="equal">
      <formula>"Towel"</formula>
    </cfRule>
    <cfRule type="cellIs" dxfId="15166" priority="1852" stopIfTrue="1" operator="equal">
      <formula>"Napkin Hs"</formula>
    </cfRule>
  </conditionalFormatting>
  <conditionalFormatting sqref="C123">
    <cfRule type="cellIs" dxfId="15165" priority="1850" stopIfTrue="1" operator="equal">
      <formula>"Napkin Hs"</formula>
    </cfRule>
  </conditionalFormatting>
  <conditionalFormatting sqref="C123">
    <cfRule type="cellIs" dxfId="15164" priority="1849" stopIfTrue="1" operator="equal">
      <formula>"Towel"</formula>
    </cfRule>
  </conditionalFormatting>
  <conditionalFormatting sqref="C123">
    <cfRule type="cellIs" dxfId="15163" priority="1847" stopIfTrue="1" operator="equal">
      <formula>"Towel"</formula>
    </cfRule>
    <cfRule type="cellIs" dxfId="15162" priority="1848" stopIfTrue="1" operator="equal">
      <formula>"Napkin Hs"</formula>
    </cfRule>
  </conditionalFormatting>
  <conditionalFormatting sqref="B124">
    <cfRule type="cellIs" dxfId="15161" priority="1845" stopIfTrue="1" operator="equal">
      <formula>"Towel"</formula>
    </cfRule>
    <cfRule type="cellIs" dxfId="15160" priority="1846" stopIfTrue="1" operator="equal">
      <formula>"Napkin Hs"</formula>
    </cfRule>
  </conditionalFormatting>
  <conditionalFormatting sqref="B124">
    <cfRule type="cellIs" dxfId="15159" priority="1843" stopIfTrue="1" operator="equal">
      <formula>"Towel"</formula>
    </cfRule>
    <cfRule type="cellIs" dxfId="15158" priority="1844" stopIfTrue="1" operator="equal">
      <formula>"Napkin Hs"</formula>
    </cfRule>
  </conditionalFormatting>
  <conditionalFormatting sqref="B124">
    <cfRule type="cellIs" dxfId="15157" priority="1841" stopIfTrue="1" operator="equal">
      <formula>"Towel"</formula>
    </cfRule>
    <cfRule type="cellIs" dxfId="15156" priority="1842" stopIfTrue="1" operator="equal">
      <formula>"Napkin Hs"</formula>
    </cfRule>
  </conditionalFormatting>
  <conditionalFormatting sqref="B124">
    <cfRule type="cellIs" dxfId="15155" priority="1839" stopIfTrue="1" operator="equal">
      <formula>"Towel"</formula>
    </cfRule>
    <cfRule type="cellIs" dxfId="15154" priority="1840" stopIfTrue="1" operator="equal">
      <formula>"Napkin Hs"</formula>
    </cfRule>
  </conditionalFormatting>
  <conditionalFormatting sqref="B124">
    <cfRule type="cellIs" dxfId="15153" priority="1837" stopIfTrue="1" operator="equal">
      <formula>"Towel"</formula>
    </cfRule>
    <cfRule type="cellIs" dxfId="15152" priority="1838" stopIfTrue="1" operator="equal">
      <formula>"Napkin Hs"</formula>
    </cfRule>
  </conditionalFormatting>
  <conditionalFormatting sqref="B124">
    <cfRule type="cellIs" dxfId="15151" priority="1835" stopIfTrue="1" operator="equal">
      <formula>"Towel"</formula>
    </cfRule>
    <cfRule type="cellIs" dxfId="15150" priority="1836" stopIfTrue="1" operator="equal">
      <formula>"Napkin Hs"</formula>
    </cfRule>
  </conditionalFormatting>
  <conditionalFormatting sqref="B124">
    <cfRule type="cellIs" dxfId="15149" priority="1833" stopIfTrue="1" operator="equal">
      <formula>"Towel"</formula>
    </cfRule>
    <cfRule type="cellIs" dxfId="15148" priority="1834" stopIfTrue="1" operator="equal">
      <formula>"Napkin Hs"</formula>
    </cfRule>
  </conditionalFormatting>
  <conditionalFormatting sqref="B124">
    <cfRule type="cellIs" dxfId="15147" priority="1831" stopIfTrue="1" operator="equal">
      <formula>"Towel"</formula>
    </cfRule>
    <cfRule type="cellIs" dxfId="15146" priority="1832" stopIfTrue="1" operator="equal">
      <formula>"Napkin Hs"</formula>
    </cfRule>
  </conditionalFormatting>
  <conditionalFormatting sqref="B124">
    <cfRule type="cellIs" dxfId="15145" priority="1827" stopIfTrue="1" operator="equal">
      <formula>"Towel"</formula>
    </cfRule>
    <cfRule type="cellIs" dxfId="15144" priority="1828" stopIfTrue="1" operator="equal">
      <formula>"Napkin Hs"</formula>
    </cfRule>
  </conditionalFormatting>
  <conditionalFormatting sqref="B124">
    <cfRule type="cellIs" dxfId="15143" priority="1825" stopIfTrue="1" operator="equal">
      <formula>"Towel"</formula>
    </cfRule>
    <cfRule type="cellIs" dxfId="15142" priority="1826" stopIfTrue="1" operator="equal">
      <formula>"Napkin Hs"</formula>
    </cfRule>
  </conditionalFormatting>
  <conditionalFormatting sqref="B124">
    <cfRule type="cellIs" dxfId="15141" priority="1829" stopIfTrue="1" operator="equal">
      <formula>"Towel"</formula>
    </cfRule>
    <cfRule type="cellIs" dxfId="15140" priority="1830" stopIfTrue="1" operator="equal">
      <formula>"Napkin Hs"</formula>
    </cfRule>
  </conditionalFormatting>
  <conditionalFormatting sqref="B124">
    <cfRule type="cellIs" dxfId="15139" priority="1819" stopIfTrue="1" operator="equal">
      <formula>"Towel"</formula>
    </cfRule>
    <cfRule type="cellIs" dxfId="15138" priority="1820" stopIfTrue="1" operator="equal">
      <formula>"Napkin Hs"</formula>
    </cfRule>
  </conditionalFormatting>
  <conditionalFormatting sqref="B124">
    <cfRule type="cellIs" dxfId="15137" priority="1821" stopIfTrue="1" operator="equal">
      <formula>"Towel"</formula>
    </cfRule>
    <cfRule type="cellIs" dxfId="15136" priority="1822" stopIfTrue="1" operator="equal">
      <formula>"Napkin Hs"</formula>
    </cfRule>
  </conditionalFormatting>
  <conditionalFormatting sqref="B124">
    <cfRule type="cellIs" dxfId="15135" priority="1823" stopIfTrue="1" operator="equal">
      <formula>"Towel"</formula>
    </cfRule>
    <cfRule type="cellIs" dxfId="15134" priority="1824" stopIfTrue="1" operator="equal">
      <formula>"Napkin Hs"</formula>
    </cfRule>
  </conditionalFormatting>
  <conditionalFormatting sqref="B124">
    <cfRule type="cellIs" dxfId="15133" priority="1817" stopIfTrue="1" operator="equal">
      <formula>"Towel"</formula>
    </cfRule>
    <cfRule type="cellIs" dxfId="15132" priority="1818" stopIfTrue="1" operator="equal">
      <formula>"Napkin Hs"</formula>
    </cfRule>
  </conditionalFormatting>
  <conditionalFormatting sqref="B124">
    <cfRule type="cellIs" dxfId="15131" priority="1815" stopIfTrue="1" operator="equal">
      <formula>"Towel"</formula>
    </cfRule>
    <cfRule type="cellIs" dxfId="15130" priority="1816" stopIfTrue="1" operator="equal">
      <formula>"Napkin Hs"</formula>
    </cfRule>
  </conditionalFormatting>
  <conditionalFormatting sqref="B124">
    <cfRule type="cellIs" dxfId="15129" priority="1813" stopIfTrue="1" operator="equal">
      <formula>"Towel"</formula>
    </cfRule>
    <cfRule type="cellIs" dxfId="15128" priority="1814" stopIfTrue="1" operator="equal">
      <formula>"Napkin Hs"</formula>
    </cfRule>
  </conditionalFormatting>
  <conditionalFormatting sqref="B124">
    <cfRule type="cellIs" dxfId="15127" priority="1809" stopIfTrue="1" operator="equal">
      <formula>"Towel"</formula>
    </cfRule>
    <cfRule type="cellIs" dxfId="15126" priority="1810" stopIfTrue="1" operator="equal">
      <formula>"Napkin Hs"</formula>
    </cfRule>
  </conditionalFormatting>
  <conditionalFormatting sqref="B124">
    <cfRule type="cellIs" dxfId="15125" priority="1807" stopIfTrue="1" operator="equal">
      <formula>"Towel"</formula>
    </cfRule>
    <cfRule type="cellIs" dxfId="15124" priority="1808" stopIfTrue="1" operator="equal">
      <formula>"Napkin Hs"</formula>
    </cfRule>
  </conditionalFormatting>
  <conditionalFormatting sqref="B124">
    <cfRule type="cellIs" dxfId="15123" priority="1811" stopIfTrue="1" operator="equal">
      <formula>"Towel"</formula>
    </cfRule>
    <cfRule type="cellIs" dxfId="15122" priority="1812" stopIfTrue="1" operator="equal">
      <formula>"Napkin Hs"</formula>
    </cfRule>
  </conditionalFormatting>
  <conditionalFormatting sqref="B124">
    <cfRule type="cellIs" dxfId="15121" priority="1805" stopIfTrue="1" operator="equal">
      <formula>"Towel"</formula>
    </cfRule>
    <cfRule type="cellIs" dxfId="15120" priority="1806" stopIfTrue="1" operator="equal">
      <formula>"Napkin Hs"</formula>
    </cfRule>
  </conditionalFormatting>
  <conditionalFormatting sqref="B124">
    <cfRule type="cellIs" dxfId="15119" priority="1803" stopIfTrue="1" operator="equal">
      <formula>"Towel"</formula>
    </cfRule>
    <cfRule type="cellIs" dxfId="15118" priority="1804" stopIfTrue="1" operator="equal">
      <formula>"Napkin Hs"</formula>
    </cfRule>
  </conditionalFormatting>
  <conditionalFormatting sqref="B124">
    <cfRule type="cellIs" dxfId="15117" priority="1801" stopIfTrue="1" operator="equal">
      <formula>"Towel"</formula>
    </cfRule>
    <cfRule type="cellIs" dxfId="15116" priority="1802" stopIfTrue="1" operator="equal">
      <formula>"Napkin Hs"</formula>
    </cfRule>
  </conditionalFormatting>
  <conditionalFormatting sqref="B124">
    <cfRule type="cellIs" dxfId="15115" priority="1799" stopIfTrue="1" operator="equal">
      <formula>"Towel"</formula>
    </cfRule>
    <cfRule type="cellIs" dxfId="15114" priority="1800" stopIfTrue="1" operator="equal">
      <formula>"Napkin Hs"</formula>
    </cfRule>
  </conditionalFormatting>
  <conditionalFormatting sqref="B124">
    <cfRule type="cellIs" dxfId="15113" priority="1797" stopIfTrue="1" operator="equal">
      <formula>"Towel"</formula>
    </cfRule>
    <cfRule type="cellIs" dxfId="15112" priority="1798" stopIfTrue="1" operator="equal">
      <formula>"Napkin Hs"</formula>
    </cfRule>
  </conditionalFormatting>
  <conditionalFormatting sqref="B124">
    <cfRule type="cellIs" dxfId="15111" priority="1795" stopIfTrue="1" operator="equal">
      <formula>"Towel"</formula>
    </cfRule>
    <cfRule type="cellIs" dxfId="15110" priority="1796" stopIfTrue="1" operator="equal">
      <formula>"Napkin Hs"</formula>
    </cfRule>
  </conditionalFormatting>
  <conditionalFormatting sqref="B124">
    <cfRule type="cellIs" dxfId="15109" priority="1793" stopIfTrue="1" operator="equal">
      <formula>"Towel"</formula>
    </cfRule>
    <cfRule type="cellIs" dxfId="15108" priority="1794" stopIfTrue="1" operator="equal">
      <formula>"Napkin Hs"</formula>
    </cfRule>
  </conditionalFormatting>
  <conditionalFormatting sqref="B124">
    <cfRule type="cellIs" dxfId="15107" priority="1791" stopIfTrue="1" operator="equal">
      <formula>"Towel"</formula>
    </cfRule>
    <cfRule type="cellIs" dxfId="15106" priority="1792" stopIfTrue="1" operator="equal">
      <formula>"Napkin Hs"</formula>
    </cfRule>
  </conditionalFormatting>
  <conditionalFormatting sqref="B127:C127">
    <cfRule type="cellIs" dxfId="15105" priority="1789" stopIfTrue="1" operator="equal">
      <formula>"Towel"</formula>
    </cfRule>
    <cfRule type="cellIs" dxfId="15104" priority="1790" stopIfTrue="1" operator="equal">
      <formula>"Napkin Hs"</formula>
    </cfRule>
  </conditionalFormatting>
  <conditionalFormatting sqref="C128">
    <cfRule type="cellIs" dxfId="15103" priority="1783" stopIfTrue="1" operator="equal">
      <formula>"Towel"</formula>
    </cfRule>
    <cfRule type="cellIs" dxfId="15102" priority="1784" stopIfTrue="1" operator="equal">
      <formula>"Napkin Hs"</formula>
    </cfRule>
  </conditionalFormatting>
  <conditionalFormatting sqref="C127">
    <cfRule type="cellIs" dxfId="15101" priority="1788" stopIfTrue="1" operator="equal">
      <formula>"Napkin Hs"</formula>
    </cfRule>
  </conditionalFormatting>
  <conditionalFormatting sqref="C127">
    <cfRule type="cellIs" dxfId="15100" priority="1787" stopIfTrue="1" operator="equal">
      <formula>"Towel"</formula>
    </cfRule>
  </conditionalFormatting>
  <conditionalFormatting sqref="C127">
    <cfRule type="cellIs" dxfId="15099" priority="1785" stopIfTrue="1" operator="equal">
      <formula>"Towel"</formula>
    </cfRule>
    <cfRule type="cellIs" dxfId="15098" priority="1786" stopIfTrue="1" operator="equal">
      <formula>"Napkin Hs"</formula>
    </cfRule>
  </conditionalFormatting>
  <conditionalFormatting sqref="C128">
    <cfRule type="cellIs" dxfId="15097" priority="1779" stopIfTrue="1" operator="equal">
      <formula>"Towel"</formula>
    </cfRule>
    <cfRule type="cellIs" dxfId="15096" priority="1780" stopIfTrue="1" operator="equal">
      <formula>"Napkin Hs"</formula>
    </cfRule>
  </conditionalFormatting>
  <conditionalFormatting sqref="C128">
    <cfRule type="cellIs" dxfId="15095" priority="1781" stopIfTrue="1" operator="equal">
      <formula>"Towel"</formula>
    </cfRule>
    <cfRule type="cellIs" dxfId="15094" priority="1782" stopIfTrue="1" operator="equal">
      <formula>"Napkin Hs"</formula>
    </cfRule>
  </conditionalFormatting>
  <conditionalFormatting sqref="C130">
    <cfRule type="cellIs" dxfId="15093" priority="1777" stopIfTrue="1" operator="equal">
      <formula>"Towel"</formula>
    </cfRule>
    <cfRule type="cellIs" dxfId="15092" priority="1778" stopIfTrue="1" operator="equal">
      <formula>"Napkin Hs"</formula>
    </cfRule>
  </conditionalFormatting>
  <conditionalFormatting sqref="C130">
    <cfRule type="cellIs" dxfId="15091" priority="1769" stopIfTrue="1" operator="equal">
      <formula>"Towel"</formula>
    </cfRule>
    <cfRule type="cellIs" dxfId="15090" priority="1770" stopIfTrue="1" operator="equal">
      <formula>"Napkin Hs"</formula>
    </cfRule>
  </conditionalFormatting>
  <conditionalFormatting sqref="C130">
    <cfRule type="cellIs" dxfId="15089" priority="1767" stopIfTrue="1" operator="equal">
      <formula>"Towel"</formula>
    </cfRule>
    <cfRule type="cellIs" dxfId="15088" priority="1768" stopIfTrue="1" operator="equal">
      <formula>"Napkin Hs"</formula>
    </cfRule>
  </conditionalFormatting>
  <conditionalFormatting sqref="C130">
    <cfRule type="cellIs" dxfId="15087" priority="1765" stopIfTrue="1" operator="equal">
      <formula>"Towel"</formula>
    </cfRule>
    <cfRule type="cellIs" dxfId="15086" priority="1766" stopIfTrue="1" operator="equal">
      <formula>"Napkin Hs"</formula>
    </cfRule>
  </conditionalFormatting>
  <conditionalFormatting sqref="C130">
    <cfRule type="cellIs" dxfId="15085" priority="1759" stopIfTrue="1" operator="equal">
      <formula>"Towel"</formula>
    </cfRule>
    <cfRule type="cellIs" dxfId="15084" priority="1760" stopIfTrue="1" operator="equal">
      <formula>"Napkin Hs"</formula>
    </cfRule>
  </conditionalFormatting>
  <conditionalFormatting sqref="C130">
    <cfRule type="cellIs" dxfId="15083" priority="1761" stopIfTrue="1" operator="equal">
      <formula>"Towel"</formula>
    </cfRule>
    <cfRule type="cellIs" dxfId="15082" priority="1762" stopIfTrue="1" operator="equal">
      <formula>"Napkin Hs"</formula>
    </cfRule>
  </conditionalFormatting>
  <conditionalFormatting sqref="C130">
    <cfRule type="cellIs" dxfId="15081" priority="1763" stopIfTrue="1" operator="equal">
      <formula>"Towel"</formula>
    </cfRule>
    <cfRule type="cellIs" dxfId="15080" priority="1764" stopIfTrue="1" operator="equal">
      <formula>"Napkin Hs"</formula>
    </cfRule>
  </conditionalFormatting>
  <conditionalFormatting sqref="C130">
    <cfRule type="cellIs" dxfId="15079" priority="1775" stopIfTrue="1" operator="equal">
      <formula>"Towel"</formula>
    </cfRule>
    <cfRule type="cellIs" dxfId="15078" priority="1776" stopIfTrue="1" operator="equal">
      <formula>"Napkin Hs"</formula>
    </cfRule>
  </conditionalFormatting>
  <conditionalFormatting sqref="C130">
    <cfRule type="cellIs" dxfId="15077" priority="1773" stopIfTrue="1" operator="equal">
      <formula>"Towel"</formula>
    </cfRule>
    <cfRule type="cellIs" dxfId="15076" priority="1774" stopIfTrue="1" operator="equal">
      <formula>"Napkin Hs"</formula>
    </cfRule>
  </conditionalFormatting>
  <conditionalFormatting sqref="C130">
    <cfRule type="cellIs" dxfId="15075" priority="1771" stopIfTrue="1" operator="equal">
      <formula>"Towel"</formula>
    </cfRule>
    <cfRule type="cellIs" dxfId="15074" priority="1772" stopIfTrue="1" operator="equal">
      <formula>"Napkin Hs"</formula>
    </cfRule>
  </conditionalFormatting>
  <conditionalFormatting sqref="B129:C129">
    <cfRule type="cellIs" dxfId="15073" priority="1745" stopIfTrue="1" operator="equal">
      <formula>"Towel"</formula>
    </cfRule>
    <cfRule type="cellIs" dxfId="15072" priority="1746" stopIfTrue="1" operator="equal">
      <formula>"Napkin Hs"</formula>
    </cfRule>
  </conditionalFormatting>
  <conditionalFormatting sqref="C129">
    <cfRule type="cellIs" dxfId="15071" priority="1743" stopIfTrue="1" operator="equal">
      <formula>"Towel"</formula>
    </cfRule>
    <cfRule type="cellIs" dxfId="15070" priority="1744" stopIfTrue="1" operator="equal">
      <formula>"Napkin Hs"</formula>
    </cfRule>
  </conditionalFormatting>
  <conditionalFormatting sqref="C129">
    <cfRule type="cellIs" dxfId="15069" priority="1741" stopIfTrue="1" operator="equal">
      <formula>"Towel"</formula>
    </cfRule>
    <cfRule type="cellIs" dxfId="15068" priority="1742" stopIfTrue="1" operator="equal">
      <formula>"Napkin Hs"</formula>
    </cfRule>
  </conditionalFormatting>
  <conditionalFormatting sqref="B130">
    <cfRule type="cellIs" dxfId="15067" priority="1751" stopIfTrue="1" operator="equal">
      <formula>"Towel"</formula>
    </cfRule>
    <cfRule type="cellIs" dxfId="15066" priority="1752" stopIfTrue="1" operator="equal">
      <formula>"Napkin Hs"</formula>
    </cfRule>
  </conditionalFormatting>
  <conditionalFormatting sqref="B130">
    <cfRule type="cellIs" dxfId="15065" priority="1749" stopIfTrue="1" operator="equal">
      <formula>"Towel"</formula>
    </cfRule>
    <cfRule type="cellIs" dxfId="15064" priority="1750" stopIfTrue="1" operator="equal">
      <formula>"Napkin Hs"</formula>
    </cfRule>
  </conditionalFormatting>
  <conditionalFormatting sqref="B130">
    <cfRule type="cellIs" dxfId="15063" priority="1747" stopIfTrue="1" operator="equal">
      <formula>"Towel"</formula>
    </cfRule>
    <cfRule type="cellIs" dxfId="15062" priority="1748" stopIfTrue="1" operator="equal">
      <formula>"Napkin Hs"</formula>
    </cfRule>
  </conditionalFormatting>
  <conditionalFormatting sqref="B129:C129">
    <cfRule type="cellIs" dxfId="15061" priority="1739" stopIfTrue="1" operator="equal">
      <formula>"Towel"</formula>
    </cfRule>
    <cfRule type="cellIs" dxfId="15060" priority="1740" stopIfTrue="1" operator="equal">
      <formula>"Napkin Hs"</formula>
    </cfRule>
  </conditionalFormatting>
  <conditionalFormatting sqref="C129">
    <cfRule type="cellIs" dxfId="15059" priority="1737" stopIfTrue="1" operator="equal">
      <formula>"Towel"</formula>
    </cfRule>
    <cfRule type="cellIs" dxfId="15058" priority="1738" stopIfTrue="1" operator="equal">
      <formula>"Napkin Hs"</formula>
    </cfRule>
  </conditionalFormatting>
  <conditionalFormatting sqref="C129">
    <cfRule type="cellIs" dxfId="15057" priority="1735" stopIfTrue="1" operator="equal">
      <formula>"Towel"</formula>
    </cfRule>
    <cfRule type="cellIs" dxfId="15056" priority="1736" stopIfTrue="1" operator="equal">
      <formula>"Napkin Hs"</formula>
    </cfRule>
  </conditionalFormatting>
  <conditionalFormatting sqref="C130">
    <cfRule type="cellIs" dxfId="15055" priority="1757" stopIfTrue="1" operator="equal">
      <formula>"Towel"</formula>
    </cfRule>
    <cfRule type="cellIs" dxfId="15054" priority="1758" stopIfTrue="1" operator="equal">
      <formula>"Napkin Hs"</formula>
    </cfRule>
  </conditionalFormatting>
  <conditionalFormatting sqref="C130">
    <cfRule type="cellIs" dxfId="15053" priority="1755" stopIfTrue="1" operator="equal">
      <formula>"Towel"</formula>
    </cfRule>
    <cfRule type="cellIs" dxfId="15052" priority="1756" stopIfTrue="1" operator="equal">
      <formula>"Napkin Hs"</formula>
    </cfRule>
  </conditionalFormatting>
  <conditionalFormatting sqref="B130">
    <cfRule type="cellIs" dxfId="15051" priority="1753" stopIfTrue="1" operator="equal">
      <formula>"Towel"</formula>
    </cfRule>
    <cfRule type="cellIs" dxfId="15050" priority="1754" stopIfTrue="1" operator="equal">
      <formula>"Napkin Hs"</formula>
    </cfRule>
  </conditionalFormatting>
  <conditionalFormatting sqref="C129">
    <cfRule type="cellIs" dxfId="15049" priority="1727" stopIfTrue="1" operator="equal">
      <formula>"Towel"</formula>
    </cfRule>
    <cfRule type="cellIs" dxfId="15048" priority="1728" stopIfTrue="1" operator="equal">
      <formula>"Napkin Hs"</formula>
    </cfRule>
  </conditionalFormatting>
  <conditionalFormatting sqref="B129:C129">
    <cfRule type="cellIs" dxfId="15047" priority="1729" stopIfTrue="1" operator="equal">
      <formula>"Towel"</formula>
    </cfRule>
    <cfRule type="cellIs" dxfId="15046" priority="1730" stopIfTrue="1" operator="equal">
      <formula>"Napkin Hs"</formula>
    </cfRule>
  </conditionalFormatting>
  <conditionalFormatting sqref="C129">
    <cfRule type="cellIs" dxfId="15045" priority="1725" stopIfTrue="1" operator="equal">
      <formula>"Towel"</formula>
    </cfRule>
    <cfRule type="cellIs" dxfId="15044" priority="1726" stopIfTrue="1" operator="equal">
      <formula>"Napkin Hs"</formula>
    </cfRule>
  </conditionalFormatting>
  <conditionalFormatting sqref="B129:C129">
    <cfRule type="cellIs" dxfId="15043" priority="1723" stopIfTrue="1" operator="equal">
      <formula>"Towel"</formula>
    </cfRule>
    <cfRule type="cellIs" dxfId="15042" priority="1724" stopIfTrue="1" operator="equal">
      <formula>"Napkin Hs"</formula>
    </cfRule>
  </conditionalFormatting>
  <conditionalFormatting sqref="C129">
    <cfRule type="cellIs" dxfId="15041" priority="1731" stopIfTrue="1" operator="equal">
      <formula>"Towel"</formula>
    </cfRule>
    <cfRule type="cellIs" dxfId="15040" priority="1732" stopIfTrue="1" operator="equal">
      <formula>"Napkin Hs"</formula>
    </cfRule>
  </conditionalFormatting>
  <conditionalFormatting sqref="C129">
    <cfRule type="cellIs" dxfId="15039" priority="1733" stopIfTrue="1" operator="equal">
      <formula>"Towel"</formula>
    </cfRule>
    <cfRule type="cellIs" dxfId="15038" priority="1734" stopIfTrue="1" operator="equal">
      <formula>"Napkin Hs"</formula>
    </cfRule>
  </conditionalFormatting>
  <conditionalFormatting sqref="C130">
    <cfRule type="cellIs" dxfId="15037" priority="1715" stopIfTrue="1" operator="equal">
      <formula>"Towel"</formula>
    </cfRule>
    <cfRule type="cellIs" dxfId="15036" priority="1716" stopIfTrue="1" operator="equal">
      <formula>"Napkin Hs"</formula>
    </cfRule>
  </conditionalFormatting>
  <conditionalFormatting sqref="C130">
    <cfRule type="cellIs" dxfId="15035" priority="1713" stopIfTrue="1" operator="equal">
      <formula>"Towel"</formula>
    </cfRule>
    <cfRule type="cellIs" dxfId="15034" priority="1714" stopIfTrue="1" operator="equal">
      <formula>"Napkin Hs"</formula>
    </cfRule>
  </conditionalFormatting>
  <conditionalFormatting sqref="B130:C130">
    <cfRule type="cellIs" dxfId="15033" priority="1711" stopIfTrue="1" operator="equal">
      <formula>"Towel"</formula>
    </cfRule>
    <cfRule type="cellIs" dxfId="15032" priority="1712" stopIfTrue="1" operator="equal">
      <formula>"Napkin Hs"</formula>
    </cfRule>
  </conditionalFormatting>
  <conditionalFormatting sqref="B130:C130">
    <cfRule type="cellIs" dxfId="15031" priority="1705" stopIfTrue="1" operator="equal">
      <formula>"Towel"</formula>
    </cfRule>
    <cfRule type="cellIs" dxfId="15030" priority="1706" stopIfTrue="1" operator="equal">
      <formula>"Napkin Hs"</formula>
    </cfRule>
  </conditionalFormatting>
  <conditionalFormatting sqref="C130">
    <cfRule type="cellIs" dxfId="15029" priority="1707" stopIfTrue="1" operator="equal">
      <formula>"Towel"</formula>
    </cfRule>
    <cfRule type="cellIs" dxfId="15028" priority="1708" stopIfTrue="1" operator="equal">
      <formula>"Napkin Hs"</formula>
    </cfRule>
  </conditionalFormatting>
  <conditionalFormatting sqref="C130">
    <cfRule type="cellIs" dxfId="15027" priority="1709" stopIfTrue="1" operator="equal">
      <formula>"Towel"</formula>
    </cfRule>
    <cfRule type="cellIs" dxfId="15026" priority="1710" stopIfTrue="1" operator="equal">
      <formula>"Napkin Hs"</formula>
    </cfRule>
  </conditionalFormatting>
  <conditionalFormatting sqref="B130:C130">
    <cfRule type="cellIs" dxfId="15025" priority="1721" stopIfTrue="1" operator="equal">
      <formula>"Towel"</formula>
    </cfRule>
    <cfRule type="cellIs" dxfId="15024" priority="1722" stopIfTrue="1" operator="equal">
      <formula>"Napkin Hs"</formula>
    </cfRule>
  </conditionalFormatting>
  <conditionalFormatting sqref="C130">
    <cfRule type="cellIs" dxfId="15023" priority="1719" stopIfTrue="1" operator="equal">
      <formula>"Towel"</formula>
    </cfRule>
    <cfRule type="cellIs" dxfId="15022" priority="1720" stopIfTrue="1" operator="equal">
      <formula>"Napkin Hs"</formula>
    </cfRule>
  </conditionalFormatting>
  <conditionalFormatting sqref="C130">
    <cfRule type="cellIs" dxfId="15021" priority="1717" stopIfTrue="1" operator="equal">
      <formula>"Towel"</formula>
    </cfRule>
    <cfRule type="cellIs" dxfId="15020" priority="1718" stopIfTrue="1" operator="equal">
      <formula>"Napkin Hs"</formula>
    </cfRule>
  </conditionalFormatting>
  <conditionalFormatting sqref="C130">
    <cfRule type="cellIs" dxfId="15019" priority="1691" stopIfTrue="1" operator="equal">
      <formula>"Towel"</formula>
    </cfRule>
    <cfRule type="cellIs" dxfId="15018" priority="1692" stopIfTrue="1" operator="equal">
      <formula>"Napkin Hs"</formula>
    </cfRule>
  </conditionalFormatting>
  <conditionalFormatting sqref="C130">
    <cfRule type="cellIs" dxfId="15017" priority="1689" stopIfTrue="1" operator="equal">
      <formula>"Towel"</formula>
    </cfRule>
    <cfRule type="cellIs" dxfId="15016" priority="1690" stopIfTrue="1" operator="equal">
      <formula>"Napkin Hs"</formula>
    </cfRule>
  </conditionalFormatting>
  <conditionalFormatting sqref="B130:C130">
    <cfRule type="cellIs" dxfId="15015" priority="1687" stopIfTrue="1" operator="equal">
      <formula>"Towel"</formula>
    </cfRule>
    <cfRule type="cellIs" dxfId="15014" priority="1688" stopIfTrue="1" operator="equal">
      <formula>"Napkin Hs"</formula>
    </cfRule>
  </conditionalFormatting>
  <conditionalFormatting sqref="C130">
    <cfRule type="cellIs" dxfId="15013" priority="1697" stopIfTrue="1" operator="equal">
      <formula>"Towel"</formula>
    </cfRule>
    <cfRule type="cellIs" dxfId="15012" priority="1698" stopIfTrue="1" operator="equal">
      <formula>"Napkin Hs"</formula>
    </cfRule>
  </conditionalFormatting>
  <conditionalFormatting sqref="C130">
    <cfRule type="cellIs" dxfId="15011" priority="1695" stopIfTrue="1" operator="equal">
      <formula>"Towel"</formula>
    </cfRule>
    <cfRule type="cellIs" dxfId="15010" priority="1696" stopIfTrue="1" operator="equal">
      <formula>"Napkin Hs"</formula>
    </cfRule>
  </conditionalFormatting>
  <conditionalFormatting sqref="B130:C130">
    <cfRule type="cellIs" dxfId="15009" priority="1693" stopIfTrue="1" operator="equal">
      <formula>"Towel"</formula>
    </cfRule>
    <cfRule type="cellIs" dxfId="15008" priority="1694" stopIfTrue="1" operator="equal">
      <formula>"Napkin Hs"</formula>
    </cfRule>
  </conditionalFormatting>
  <conditionalFormatting sqref="B130:C130">
    <cfRule type="cellIs" dxfId="15007" priority="1703" stopIfTrue="1" operator="equal">
      <formula>"Towel"</formula>
    </cfRule>
    <cfRule type="cellIs" dxfId="15006" priority="1704" stopIfTrue="1" operator="equal">
      <formula>"Napkin Hs"</formula>
    </cfRule>
  </conditionalFormatting>
  <conditionalFormatting sqref="C130">
    <cfRule type="cellIs" dxfId="15005" priority="1701" stopIfTrue="1" operator="equal">
      <formula>"Towel"</formula>
    </cfRule>
    <cfRule type="cellIs" dxfId="15004" priority="1702" stopIfTrue="1" operator="equal">
      <formula>"Napkin Hs"</formula>
    </cfRule>
  </conditionalFormatting>
  <conditionalFormatting sqref="C130">
    <cfRule type="cellIs" dxfId="15003" priority="1699" stopIfTrue="1" operator="equal">
      <formula>"Towel"</formula>
    </cfRule>
    <cfRule type="cellIs" dxfId="15002" priority="1700" stopIfTrue="1" operator="equal">
      <formula>"Napkin Hs"</formula>
    </cfRule>
  </conditionalFormatting>
  <conditionalFormatting sqref="B129:C129">
    <cfRule type="cellIs" dxfId="15001" priority="1685" stopIfTrue="1" operator="equal">
      <formula>"Towel"</formula>
    </cfRule>
    <cfRule type="cellIs" dxfId="15000" priority="1686" stopIfTrue="1" operator="equal">
      <formula>"Napkin Hs"</formula>
    </cfRule>
  </conditionalFormatting>
  <conditionalFormatting sqref="C129">
    <cfRule type="cellIs" dxfId="14999" priority="1681" stopIfTrue="1" operator="equal">
      <formula>"Towel"</formula>
    </cfRule>
    <cfRule type="cellIs" dxfId="14998" priority="1682" stopIfTrue="1" operator="equal">
      <formula>"Napkin Hs"</formula>
    </cfRule>
  </conditionalFormatting>
  <conditionalFormatting sqref="C129">
    <cfRule type="cellIs" dxfId="14997" priority="1683" stopIfTrue="1" operator="equal">
      <formula>"Towel"</formula>
    </cfRule>
    <cfRule type="cellIs" dxfId="14996" priority="1684" stopIfTrue="1" operator="equal">
      <formula>"Napkin Hs"</formula>
    </cfRule>
  </conditionalFormatting>
  <conditionalFormatting sqref="B129:C129">
    <cfRule type="cellIs" dxfId="14995" priority="1679" stopIfTrue="1" operator="equal">
      <formula>"Towel"</formula>
    </cfRule>
    <cfRule type="cellIs" dxfId="14994" priority="1680" stopIfTrue="1" operator="equal">
      <formula>"Napkin Hs"</formula>
    </cfRule>
  </conditionalFormatting>
  <conditionalFormatting sqref="C129">
    <cfRule type="cellIs" dxfId="14993" priority="1677" stopIfTrue="1" operator="equal">
      <formula>"Towel"</formula>
    </cfRule>
    <cfRule type="cellIs" dxfId="14992" priority="1678" stopIfTrue="1" operator="equal">
      <formula>"Napkin Hs"</formula>
    </cfRule>
  </conditionalFormatting>
  <conditionalFormatting sqref="C129">
    <cfRule type="cellIs" dxfId="14991" priority="1675" stopIfTrue="1" operator="equal">
      <formula>"Towel"</formula>
    </cfRule>
    <cfRule type="cellIs" dxfId="14990" priority="1676" stopIfTrue="1" operator="equal">
      <formula>"Napkin Hs"</formula>
    </cfRule>
  </conditionalFormatting>
  <conditionalFormatting sqref="C129">
    <cfRule type="cellIs" dxfId="14989" priority="1667" stopIfTrue="1" operator="equal">
      <formula>"Towel"</formula>
    </cfRule>
    <cfRule type="cellIs" dxfId="14988" priority="1668" stopIfTrue="1" operator="equal">
      <formula>"Napkin Hs"</formula>
    </cfRule>
  </conditionalFormatting>
  <conditionalFormatting sqref="B129:C129">
    <cfRule type="cellIs" dxfId="14987" priority="1669" stopIfTrue="1" operator="equal">
      <formula>"Towel"</formula>
    </cfRule>
    <cfRule type="cellIs" dxfId="14986" priority="1670" stopIfTrue="1" operator="equal">
      <formula>"Napkin Hs"</formula>
    </cfRule>
  </conditionalFormatting>
  <conditionalFormatting sqref="C129">
    <cfRule type="cellIs" dxfId="14985" priority="1665" stopIfTrue="1" operator="equal">
      <formula>"Towel"</formula>
    </cfRule>
    <cfRule type="cellIs" dxfId="14984" priority="1666" stopIfTrue="1" operator="equal">
      <formula>"Napkin Hs"</formula>
    </cfRule>
  </conditionalFormatting>
  <conditionalFormatting sqref="B129:C129">
    <cfRule type="cellIs" dxfId="14983" priority="1663" stopIfTrue="1" operator="equal">
      <formula>"Towel"</formula>
    </cfRule>
    <cfRule type="cellIs" dxfId="14982" priority="1664" stopIfTrue="1" operator="equal">
      <formula>"Napkin Hs"</formula>
    </cfRule>
  </conditionalFormatting>
  <conditionalFormatting sqref="C129">
    <cfRule type="cellIs" dxfId="14981" priority="1671" stopIfTrue="1" operator="equal">
      <formula>"Towel"</formula>
    </cfRule>
    <cfRule type="cellIs" dxfId="14980" priority="1672" stopIfTrue="1" operator="equal">
      <formula>"Napkin Hs"</formula>
    </cfRule>
  </conditionalFormatting>
  <conditionalFormatting sqref="C129">
    <cfRule type="cellIs" dxfId="14979" priority="1673" stopIfTrue="1" operator="equal">
      <formula>"Towel"</formula>
    </cfRule>
    <cfRule type="cellIs" dxfId="14978" priority="1674" stopIfTrue="1" operator="equal">
      <formula>"Napkin Hs"</formula>
    </cfRule>
  </conditionalFormatting>
  <conditionalFormatting sqref="B130:C130">
    <cfRule type="cellIs" dxfId="14977" priority="1661" stopIfTrue="1" operator="equal">
      <formula>"Towel"</formula>
    </cfRule>
    <cfRule type="cellIs" dxfId="14976" priority="1662" stopIfTrue="1" operator="equal">
      <formula>"Napkin Hs"</formula>
    </cfRule>
  </conditionalFormatting>
  <conditionalFormatting sqref="C130">
    <cfRule type="cellIs" dxfId="14975" priority="1657" stopIfTrue="1" operator="equal">
      <formula>"Towel"</formula>
    </cfRule>
    <cfRule type="cellIs" dxfId="14974" priority="1658" stopIfTrue="1" operator="equal">
      <formula>"Napkin Hs"</formula>
    </cfRule>
  </conditionalFormatting>
  <conditionalFormatting sqref="C130">
    <cfRule type="cellIs" dxfId="14973" priority="1659" stopIfTrue="1" operator="equal">
      <formula>"Towel"</formula>
    </cfRule>
    <cfRule type="cellIs" dxfId="14972" priority="1660" stopIfTrue="1" operator="equal">
      <formula>"Napkin Hs"</formula>
    </cfRule>
  </conditionalFormatting>
  <conditionalFormatting sqref="C129">
    <cfRule type="cellIs" dxfId="14971" priority="1649" stopIfTrue="1" operator="equal">
      <formula>"Towel"</formula>
    </cfRule>
    <cfRule type="cellIs" dxfId="14970" priority="1650" stopIfTrue="1" operator="equal">
      <formula>"Napkin Hs"</formula>
    </cfRule>
  </conditionalFormatting>
  <conditionalFormatting sqref="C129">
    <cfRule type="cellIs" dxfId="14969" priority="1647" stopIfTrue="1" operator="equal">
      <formula>"Towel"</formula>
    </cfRule>
    <cfRule type="cellIs" dxfId="14968" priority="1648" stopIfTrue="1" operator="equal">
      <formula>"Napkin Hs"</formula>
    </cfRule>
  </conditionalFormatting>
  <conditionalFormatting sqref="B129:C129">
    <cfRule type="cellIs" dxfId="14967" priority="1645" stopIfTrue="1" operator="equal">
      <formula>"Towel"</formula>
    </cfRule>
    <cfRule type="cellIs" dxfId="14966" priority="1646" stopIfTrue="1" operator="equal">
      <formula>"Napkin Hs"</formula>
    </cfRule>
  </conditionalFormatting>
  <conditionalFormatting sqref="B129:C129">
    <cfRule type="cellIs" dxfId="14965" priority="1639" stopIfTrue="1" operator="equal">
      <formula>"Towel"</formula>
    </cfRule>
    <cfRule type="cellIs" dxfId="14964" priority="1640" stopIfTrue="1" operator="equal">
      <formula>"Napkin Hs"</formula>
    </cfRule>
  </conditionalFormatting>
  <conditionalFormatting sqref="C129">
    <cfRule type="cellIs" dxfId="14963" priority="1641" stopIfTrue="1" operator="equal">
      <formula>"Towel"</formula>
    </cfRule>
    <cfRule type="cellIs" dxfId="14962" priority="1642" stopIfTrue="1" operator="equal">
      <formula>"Napkin Hs"</formula>
    </cfRule>
  </conditionalFormatting>
  <conditionalFormatting sqref="C129">
    <cfRule type="cellIs" dxfId="14961" priority="1643" stopIfTrue="1" operator="equal">
      <formula>"Towel"</formula>
    </cfRule>
    <cfRule type="cellIs" dxfId="14960" priority="1644" stopIfTrue="1" operator="equal">
      <formula>"Napkin Hs"</formula>
    </cfRule>
  </conditionalFormatting>
  <conditionalFormatting sqref="B129:C129">
    <cfRule type="cellIs" dxfId="14959" priority="1655" stopIfTrue="1" operator="equal">
      <formula>"Towel"</formula>
    </cfRule>
    <cfRule type="cellIs" dxfId="14958" priority="1656" stopIfTrue="1" operator="equal">
      <formula>"Napkin Hs"</formula>
    </cfRule>
  </conditionalFormatting>
  <conditionalFormatting sqref="C129">
    <cfRule type="cellIs" dxfId="14957" priority="1653" stopIfTrue="1" operator="equal">
      <formula>"Towel"</formula>
    </cfRule>
    <cfRule type="cellIs" dxfId="14956" priority="1654" stopIfTrue="1" operator="equal">
      <formula>"Napkin Hs"</formula>
    </cfRule>
  </conditionalFormatting>
  <conditionalFormatting sqref="C129">
    <cfRule type="cellIs" dxfId="14955" priority="1651" stopIfTrue="1" operator="equal">
      <formula>"Towel"</formula>
    </cfRule>
    <cfRule type="cellIs" dxfId="14954" priority="1652" stopIfTrue="1" operator="equal">
      <formula>"Napkin Hs"</formula>
    </cfRule>
  </conditionalFormatting>
  <conditionalFormatting sqref="C129">
    <cfRule type="cellIs" dxfId="14953" priority="1625" stopIfTrue="1" operator="equal">
      <formula>"Towel"</formula>
    </cfRule>
    <cfRule type="cellIs" dxfId="14952" priority="1626" stopIfTrue="1" operator="equal">
      <formula>"Napkin Hs"</formula>
    </cfRule>
  </conditionalFormatting>
  <conditionalFormatting sqref="C129">
    <cfRule type="cellIs" dxfId="14951" priority="1623" stopIfTrue="1" operator="equal">
      <formula>"Towel"</formula>
    </cfRule>
    <cfRule type="cellIs" dxfId="14950" priority="1624" stopIfTrue="1" operator="equal">
      <formula>"Napkin Hs"</formula>
    </cfRule>
  </conditionalFormatting>
  <conditionalFormatting sqref="B129:C129">
    <cfRule type="cellIs" dxfId="14949" priority="1621" stopIfTrue="1" operator="equal">
      <formula>"Towel"</formula>
    </cfRule>
    <cfRule type="cellIs" dxfId="14948" priority="1622" stopIfTrue="1" operator="equal">
      <formula>"Napkin Hs"</formula>
    </cfRule>
  </conditionalFormatting>
  <conditionalFormatting sqref="C129">
    <cfRule type="cellIs" dxfId="14947" priority="1631" stopIfTrue="1" operator="equal">
      <formula>"Towel"</formula>
    </cfRule>
    <cfRule type="cellIs" dxfId="14946" priority="1632" stopIfTrue="1" operator="equal">
      <formula>"Napkin Hs"</formula>
    </cfRule>
  </conditionalFormatting>
  <conditionalFormatting sqref="C129">
    <cfRule type="cellIs" dxfId="14945" priority="1629" stopIfTrue="1" operator="equal">
      <formula>"Towel"</formula>
    </cfRule>
    <cfRule type="cellIs" dxfId="14944" priority="1630" stopIfTrue="1" operator="equal">
      <formula>"Napkin Hs"</formula>
    </cfRule>
  </conditionalFormatting>
  <conditionalFormatting sqref="B129:C129">
    <cfRule type="cellIs" dxfId="14943" priority="1627" stopIfTrue="1" operator="equal">
      <formula>"Towel"</formula>
    </cfRule>
    <cfRule type="cellIs" dxfId="14942" priority="1628" stopIfTrue="1" operator="equal">
      <formula>"Napkin Hs"</formula>
    </cfRule>
  </conditionalFormatting>
  <conditionalFormatting sqref="B130:C130">
    <cfRule type="cellIs" dxfId="14941" priority="1619" stopIfTrue="1" operator="equal">
      <formula>"Towel"</formula>
    </cfRule>
    <cfRule type="cellIs" dxfId="14940" priority="1620" stopIfTrue="1" operator="equal">
      <formula>"Napkin Hs"</formula>
    </cfRule>
  </conditionalFormatting>
  <conditionalFormatting sqref="C130">
    <cfRule type="cellIs" dxfId="14939" priority="1617" stopIfTrue="1" operator="equal">
      <formula>"Towel"</formula>
    </cfRule>
    <cfRule type="cellIs" dxfId="14938" priority="1618" stopIfTrue="1" operator="equal">
      <formula>"Napkin Hs"</formula>
    </cfRule>
  </conditionalFormatting>
  <conditionalFormatting sqref="C130">
    <cfRule type="cellIs" dxfId="14937" priority="1615" stopIfTrue="1" operator="equal">
      <formula>"Towel"</formula>
    </cfRule>
    <cfRule type="cellIs" dxfId="14936" priority="1616" stopIfTrue="1" operator="equal">
      <formula>"Napkin Hs"</formula>
    </cfRule>
  </conditionalFormatting>
  <conditionalFormatting sqref="B129:C129">
    <cfRule type="cellIs" dxfId="14935" priority="1637" stopIfTrue="1" operator="equal">
      <formula>"Towel"</formula>
    </cfRule>
    <cfRule type="cellIs" dxfId="14934" priority="1638" stopIfTrue="1" operator="equal">
      <formula>"Napkin Hs"</formula>
    </cfRule>
  </conditionalFormatting>
  <conditionalFormatting sqref="C129">
    <cfRule type="cellIs" dxfId="14933" priority="1635" stopIfTrue="1" operator="equal">
      <formula>"Towel"</formula>
    </cfRule>
    <cfRule type="cellIs" dxfId="14932" priority="1636" stopIfTrue="1" operator="equal">
      <formula>"Napkin Hs"</formula>
    </cfRule>
  </conditionalFormatting>
  <conditionalFormatting sqref="C129">
    <cfRule type="cellIs" dxfId="14931" priority="1633" stopIfTrue="1" operator="equal">
      <formula>"Towel"</formula>
    </cfRule>
    <cfRule type="cellIs" dxfId="14930" priority="1634" stopIfTrue="1" operator="equal">
      <formula>"Napkin Hs"</formula>
    </cfRule>
  </conditionalFormatting>
  <conditionalFormatting sqref="C130">
    <cfRule type="cellIs" dxfId="14929" priority="1607" stopIfTrue="1" operator="equal">
      <formula>"Towel"</formula>
    </cfRule>
    <cfRule type="cellIs" dxfId="14928" priority="1608" stopIfTrue="1" operator="equal">
      <formula>"Napkin Hs"</formula>
    </cfRule>
  </conditionalFormatting>
  <conditionalFormatting sqref="B130:C130">
    <cfRule type="cellIs" dxfId="14927" priority="1609" stopIfTrue="1" operator="equal">
      <formula>"Towel"</formula>
    </cfRule>
    <cfRule type="cellIs" dxfId="14926" priority="1610" stopIfTrue="1" operator="equal">
      <formula>"Napkin Hs"</formula>
    </cfRule>
  </conditionalFormatting>
  <conditionalFormatting sqref="C130">
    <cfRule type="cellIs" dxfId="14925" priority="1605" stopIfTrue="1" operator="equal">
      <formula>"Towel"</formula>
    </cfRule>
    <cfRule type="cellIs" dxfId="14924" priority="1606" stopIfTrue="1" operator="equal">
      <formula>"Napkin Hs"</formula>
    </cfRule>
  </conditionalFormatting>
  <conditionalFormatting sqref="B130:C130">
    <cfRule type="cellIs" dxfId="14923" priority="1603" stopIfTrue="1" operator="equal">
      <formula>"Towel"</formula>
    </cfRule>
    <cfRule type="cellIs" dxfId="14922" priority="1604" stopIfTrue="1" operator="equal">
      <formula>"Napkin Hs"</formula>
    </cfRule>
  </conditionalFormatting>
  <conditionalFormatting sqref="C130">
    <cfRule type="cellIs" dxfId="14921" priority="1611" stopIfTrue="1" operator="equal">
      <formula>"Towel"</formula>
    </cfRule>
    <cfRule type="cellIs" dxfId="14920" priority="1612" stopIfTrue="1" operator="equal">
      <formula>"Napkin Hs"</formula>
    </cfRule>
  </conditionalFormatting>
  <conditionalFormatting sqref="C130">
    <cfRule type="cellIs" dxfId="14919" priority="1613" stopIfTrue="1" operator="equal">
      <formula>"Towel"</formula>
    </cfRule>
    <cfRule type="cellIs" dxfId="14918" priority="1614" stopIfTrue="1" operator="equal">
      <formula>"Napkin Hs"</formula>
    </cfRule>
  </conditionalFormatting>
  <conditionalFormatting sqref="B130:C130">
    <cfRule type="cellIs" dxfId="14917" priority="1601" stopIfTrue="1" operator="equal">
      <formula>"Towel"</formula>
    </cfRule>
    <cfRule type="cellIs" dxfId="14916" priority="1602" stopIfTrue="1" operator="equal">
      <formula>"Napkin Hs"</formula>
    </cfRule>
  </conditionalFormatting>
  <conditionalFormatting sqref="C130">
    <cfRule type="cellIs" dxfId="14915" priority="1599" stopIfTrue="1" operator="equal">
      <formula>"Towel"</formula>
    </cfRule>
    <cfRule type="cellIs" dxfId="14914" priority="1600" stopIfTrue="1" operator="equal">
      <formula>"Napkin Hs"</formula>
    </cfRule>
  </conditionalFormatting>
  <conditionalFormatting sqref="C130">
    <cfRule type="cellIs" dxfId="14913" priority="1597" stopIfTrue="1" operator="equal">
      <formula>"Towel"</formula>
    </cfRule>
    <cfRule type="cellIs" dxfId="14912" priority="1598" stopIfTrue="1" operator="equal">
      <formula>"Napkin Hs"</formula>
    </cfRule>
  </conditionalFormatting>
  <conditionalFormatting sqref="C130">
    <cfRule type="cellIs" dxfId="14911" priority="1589" stopIfTrue="1" operator="equal">
      <formula>"Towel"</formula>
    </cfRule>
    <cfRule type="cellIs" dxfId="14910" priority="1590" stopIfTrue="1" operator="equal">
      <formula>"Napkin Hs"</formula>
    </cfRule>
  </conditionalFormatting>
  <conditionalFormatting sqref="B130:C130">
    <cfRule type="cellIs" dxfId="14909" priority="1591" stopIfTrue="1" operator="equal">
      <formula>"Towel"</formula>
    </cfRule>
    <cfRule type="cellIs" dxfId="14908" priority="1592" stopIfTrue="1" operator="equal">
      <formula>"Napkin Hs"</formula>
    </cfRule>
  </conditionalFormatting>
  <conditionalFormatting sqref="C130">
    <cfRule type="cellIs" dxfId="14907" priority="1587" stopIfTrue="1" operator="equal">
      <formula>"Towel"</formula>
    </cfRule>
    <cfRule type="cellIs" dxfId="14906" priority="1588" stopIfTrue="1" operator="equal">
      <formula>"Napkin Hs"</formula>
    </cfRule>
  </conditionalFormatting>
  <conditionalFormatting sqref="B130:C130">
    <cfRule type="cellIs" dxfId="14905" priority="1585" stopIfTrue="1" operator="equal">
      <formula>"Towel"</formula>
    </cfRule>
    <cfRule type="cellIs" dxfId="14904" priority="1586" stopIfTrue="1" operator="equal">
      <formula>"Napkin Hs"</formula>
    </cfRule>
  </conditionalFormatting>
  <conditionalFormatting sqref="C130">
    <cfRule type="cellIs" dxfId="14903" priority="1593" stopIfTrue="1" operator="equal">
      <formula>"Towel"</formula>
    </cfRule>
    <cfRule type="cellIs" dxfId="14902" priority="1594" stopIfTrue="1" operator="equal">
      <formula>"Napkin Hs"</formula>
    </cfRule>
  </conditionalFormatting>
  <conditionalFormatting sqref="C130">
    <cfRule type="cellIs" dxfId="14901" priority="1595" stopIfTrue="1" operator="equal">
      <formula>"Towel"</formula>
    </cfRule>
    <cfRule type="cellIs" dxfId="14900" priority="1596" stopIfTrue="1" operator="equal">
      <formula>"Napkin Hs"</formula>
    </cfRule>
  </conditionalFormatting>
  <conditionalFormatting sqref="B130:C130">
    <cfRule type="cellIs" dxfId="14899" priority="1583" stopIfTrue="1" operator="equal">
      <formula>"Towel"</formula>
    </cfRule>
    <cfRule type="cellIs" dxfId="14898" priority="1584" stopIfTrue="1" operator="equal">
      <formula>"Napkin Hs"</formula>
    </cfRule>
  </conditionalFormatting>
  <conditionalFormatting sqref="C130">
    <cfRule type="cellIs" dxfId="14897" priority="1581" stopIfTrue="1" operator="equal">
      <formula>"Towel"</formula>
    </cfRule>
    <cfRule type="cellIs" dxfId="14896" priority="1582" stopIfTrue="1" operator="equal">
      <formula>"Napkin Hs"</formula>
    </cfRule>
  </conditionalFormatting>
  <conditionalFormatting sqref="C130">
    <cfRule type="cellIs" dxfId="14895" priority="1579" stopIfTrue="1" operator="equal">
      <formula>"Towel"</formula>
    </cfRule>
    <cfRule type="cellIs" dxfId="14894" priority="1580" stopIfTrue="1" operator="equal">
      <formula>"Napkin Hs"</formula>
    </cfRule>
  </conditionalFormatting>
  <conditionalFormatting sqref="C130">
    <cfRule type="cellIs" dxfId="14893" priority="1571" stopIfTrue="1" operator="equal">
      <formula>"Towel"</formula>
    </cfRule>
    <cfRule type="cellIs" dxfId="14892" priority="1572" stopIfTrue="1" operator="equal">
      <formula>"Napkin Hs"</formula>
    </cfRule>
  </conditionalFormatting>
  <conditionalFormatting sqref="B130:C130">
    <cfRule type="cellIs" dxfId="14891" priority="1573" stopIfTrue="1" operator="equal">
      <formula>"Towel"</formula>
    </cfRule>
    <cfRule type="cellIs" dxfId="14890" priority="1574" stopIfTrue="1" operator="equal">
      <formula>"Napkin Hs"</formula>
    </cfRule>
  </conditionalFormatting>
  <conditionalFormatting sqref="C130">
    <cfRule type="cellIs" dxfId="14889" priority="1569" stopIfTrue="1" operator="equal">
      <formula>"Towel"</formula>
    </cfRule>
    <cfRule type="cellIs" dxfId="14888" priority="1570" stopIfTrue="1" operator="equal">
      <formula>"Napkin Hs"</formula>
    </cfRule>
  </conditionalFormatting>
  <conditionalFormatting sqref="B130:C130">
    <cfRule type="cellIs" dxfId="14887" priority="1567" stopIfTrue="1" operator="equal">
      <formula>"Towel"</formula>
    </cfRule>
    <cfRule type="cellIs" dxfId="14886" priority="1568" stopIfTrue="1" operator="equal">
      <formula>"Napkin Hs"</formula>
    </cfRule>
  </conditionalFormatting>
  <conditionalFormatting sqref="C130">
    <cfRule type="cellIs" dxfId="14885" priority="1575" stopIfTrue="1" operator="equal">
      <formula>"Towel"</formula>
    </cfRule>
    <cfRule type="cellIs" dxfId="14884" priority="1576" stopIfTrue="1" operator="equal">
      <formula>"Napkin Hs"</formula>
    </cfRule>
  </conditionalFormatting>
  <conditionalFormatting sqref="C130">
    <cfRule type="cellIs" dxfId="14883" priority="1577" stopIfTrue="1" operator="equal">
      <formula>"Towel"</formula>
    </cfRule>
    <cfRule type="cellIs" dxfId="14882" priority="1578" stopIfTrue="1" operator="equal">
      <formula>"Napkin Hs"</formula>
    </cfRule>
  </conditionalFormatting>
  <conditionalFormatting sqref="B129:C129">
    <cfRule type="cellIs" dxfId="14881" priority="1565" stopIfTrue="1" operator="equal">
      <formula>"Towel"</formula>
    </cfRule>
    <cfRule type="cellIs" dxfId="14880" priority="1566" stopIfTrue="1" operator="equal">
      <formula>"Napkin Hs"</formula>
    </cfRule>
  </conditionalFormatting>
  <conditionalFormatting sqref="C129">
    <cfRule type="cellIs" dxfId="14879" priority="1563" stopIfTrue="1" operator="equal">
      <formula>"Towel"</formula>
    </cfRule>
    <cfRule type="cellIs" dxfId="14878" priority="1564" stopIfTrue="1" operator="equal">
      <formula>"Napkin Hs"</formula>
    </cfRule>
  </conditionalFormatting>
  <conditionalFormatting sqref="C129">
    <cfRule type="cellIs" dxfId="14877" priority="1561" stopIfTrue="1" operator="equal">
      <formula>"Towel"</formula>
    </cfRule>
    <cfRule type="cellIs" dxfId="14876" priority="1562" stopIfTrue="1" operator="equal">
      <formula>"Napkin Hs"</formula>
    </cfRule>
  </conditionalFormatting>
  <conditionalFormatting sqref="C129">
    <cfRule type="cellIs" dxfId="14875" priority="1553" stopIfTrue="1" operator="equal">
      <formula>"Towel"</formula>
    </cfRule>
    <cfRule type="cellIs" dxfId="14874" priority="1554" stopIfTrue="1" operator="equal">
      <formula>"Napkin Hs"</formula>
    </cfRule>
  </conditionalFormatting>
  <conditionalFormatting sqref="B129:C129">
    <cfRule type="cellIs" dxfId="14873" priority="1555" stopIfTrue="1" operator="equal">
      <formula>"Towel"</formula>
    </cfRule>
    <cfRule type="cellIs" dxfId="14872" priority="1556" stopIfTrue="1" operator="equal">
      <formula>"Napkin Hs"</formula>
    </cfRule>
  </conditionalFormatting>
  <conditionalFormatting sqref="C129">
    <cfRule type="cellIs" dxfId="14871" priority="1551" stopIfTrue="1" operator="equal">
      <formula>"Towel"</formula>
    </cfRule>
    <cfRule type="cellIs" dxfId="14870" priority="1552" stopIfTrue="1" operator="equal">
      <formula>"Napkin Hs"</formula>
    </cfRule>
  </conditionalFormatting>
  <conditionalFormatting sqref="B129:C129">
    <cfRule type="cellIs" dxfId="14869" priority="1549" stopIfTrue="1" operator="equal">
      <formula>"Towel"</formula>
    </cfRule>
    <cfRule type="cellIs" dxfId="14868" priority="1550" stopIfTrue="1" operator="equal">
      <formula>"Napkin Hs"</formula>
    </cfRule>
  </conditionalFormatting>
  <conditionalFormatting sqref="C129">
    <cfRule type="cellIs" dxfId="14867" priority="1557" stopIfTrue="1" operator="equal">
      <formula>"Towel"</formula>
    </cfRule>
    <cfRule type="cellIs" dxfId="14866" priority="1558" stopIfTrue="1" operator="equal">
      <formula>"Napkin Hs"</formula>
    </cfRule>
  </conditionalFormatting>
  <conditionalFormatting sqref="C129">
    <cfRule type="cellIs" dxfId="14865" priority="1559" stopIfTrue="1" operator="equal">
      <formula>"Towel"</formula>
    </cfRule>
    <cfRule type="cellIs" dxfId="14864" priority="1560" stopIfTrue="1" operator="equal">
      <formula>"Napkin Hs"</formula>
    </cfRule>
  </conditionalFormatting>
  <conditionalFormatting sqref="C129">
    <cfRule type="cellIs" dxfId="14863" priority="1541" stopIfTrue="1" operator="equal">
      <formula>"Towel"</formula>
    </cfRule>
    <cfRule type="cellIs" dxfId="14862" priority="1542" stopIfTrue="1" operator="equal">
      <formula>"Napkin Hs"</formula>
    </cfRule>
  </conditionalFormatting>
  <conditionalFormatting sqref="B129:C129">
    <cfRule type="cellIs" dxfId="14861" priority="1537" stopIfTrue="1" operator="equal">
      <formula>"Towel"</formula>
    </cfRule>
    <cfRule type="cellIs" dxfId="14860" priority="1538" stopIfTrue="1" operator="equal">
      <formula>"Napkin Hs"</formula>
    </cfRule>
  </conditionalFormatting>
  <conditionalFormatting sqref="C129">
    <cfRule type="cellIs" dxfId="14859" priority="1539" stopIfTrue="1" operator="equal">
      <formula>"Towel"</formula>
    </cfRule>
    <cfRule type="cellIs" dxfId="14858" priority="1540" stopIfTrue="1" operator="equal">
      <formula>"Napkin Hs"</formula>
    </cfRule>
  </conditionalFormatting>
  <conditionalFormatting sqref="C129">
    <cfRule type="cellIs" dxfId="14857" priority="1535" stopIfTrue="1" operator="equal">
      <formula>"Towel"</formula>
    </cfRule>
    <cfRule type="cellIs" dxfId="14856" priority="1536" stopIfTrue="1" operator="equal">
      <formula>"Napkin Hs"</formula>
    </cfRule>
  </conditionalFormatting>
  <conditionalFormatting sqref="B129:C129">
    <cfRule type="cellIs" dxfId="14855" priority="1531" stopIfTrue="1" operator="equal">
      <formula>"Towel"</formula>
    </cfRule>
    <cfRule type="cellIs" dxfId="14854" priority="1532" stopIfTrue="1" operator="equal">
      <formula>"Napkin Hs"</formula>
    </cfRule>
  </conditionalFormatting>
  <conditionalFormatting sqref="C129">
    <cfRule type="cellIs" dxfId="14853" priority="1533" stopIfTrue="1" operator="equal">
      <formula>"Towel"</formula>
    </cfRule>
    <cfRule type="cellIs" dxfId="14852" priority="1534" stopIfTrue="1" operator="equal">
      <formula>"Napkin Hs"</formula>
    </cfRule>
  </conditionalFormatting>
  <conditionalFormatting sqref="B129:C129">
    <cfRule type="cellIs" dxfId="14851" priority="1547" stopIfTrue="1" operator="equal">
      <formula>"Towel"</formula>
    </cfRule>
    <cfRule type="cellIs" dxfId="14850" priority="1548" stopIfTrue="1" operator="equal">
      <formula>"Napkin Hs"</formula>
    </cfRule>
  </conditionalFormatting>
  <conditionalFormatting sqref="C129">
    <cfRule type="cellIs" dxfId="14849" priority="1545" stopIfTrue="1" operator="equal">
      <formula>"Towel"</formula>
    </cfRule>
    <cfRule type="cellIs" dxfId="14848" priority="1546" stopIfTrue="1" operator="equal">
      <formula>"Napkin Hs"</formula>
    </cfRule>
  </conditionalFormatting>
  <conditionalFormatting sqref="C129">
    <cfRule type="cellIs" dxfId="14847" priority="1543" stopIfTrue="1" operator="equal">
      <formula>"Towel"</formula>
    </cfRule>
    <cfRule type="cellIs" dxfId="14846" priority="1544" stopIfTrue="1" operator="equal">
      <formula>"Napkin Hs"</formula>
    </cfRule>
  </conditionalFormatting>
  <conditionalFormatting sqref="B129:C129">
    <cfRule type="cellIs" dxfId="14845" priority="1529" stopIfTrue="1" operator="equal">
      <formula>"Towel"</formula>
    </cfRule>
    <cfRule type="cellIs" dxfId="14844" priority="1530" stopIfTrue="1" operator="equal">
      <formula>"Napkin Hs"</formula>
    </cfRule>
  </conditionalFormatting>
  <conditionalFormatting sqref="C129">
    <cfRule type="cellIs" dxfId="14843" priority="1527" stopIfTrue="1" operator="equal">
      <formula>"Towel"</formula>
    </cfRule>
    <cfRule type="cellIs" dxfId="14842" priority="1528" stopIfTrue="1" operator="equal">
      <formula>"Napkin Hs"</formula>
    </cfRule>
  </conditionalFormatting>
  <conditionalFormatting sqref="C129">
    <cfRule type="cellIs" dxfId="14841" priority="1525" stopIfTrue="1" operator="equal">
      <formula>"Towel"</formula>
    </cfRule>
    <cfRule type="cellIs" dxfId="14840" priority="1526" stopIfTrue="1" operator="equal">
      <formula>"Napkin Hs"</formula>
    </cfRule>
  </conditionalFormatting>
  <conditionalFormatting sqref="C129">
    <cfRule type="cellIs" dxfId="14839" priority="1517" stopIfTrue="1" operator="equal">
      <formula>"Towel"</formula>
    </cfRule>
    <cfRule type="cellIs" dxfId="14838" priority="1518" stopIfTrue="1" operator="equal">
      <formula>"Napkin Hs"</formula>
    </cfRule>
  </conditionalFormatting>
  <conditionalFormatting sqref="B129:C129">
    <cfRule type="cellIs" dxfId="14837" priority="1519" stopIfTrue="1" operator="equal">
      <formula>"Towel"</formula>
    </cfRule>
    <cfRule type="cellIs" dxfId="14836" priority="1520" stopIfTrue="1" operator="equal">
      <formula>"Napkin Hs"</formula>
    </cfRule>
  </conditionalFormatting>
  <conditionalFormatting sqref="C129">
    <cfRule type="cellIs" dxfId="14835" priority="1515" stopIfTrue="1" operator="equal">
      <formula>"Towel"</formula>
    </cfRule>
    <cfRule type="cellIs" dxfId="14834" priority="1516" stopIfTrue="1" operator="equal">
      <formula>"Napkin Hs"</formula>
    </cfRule>
  </conditionalFormatting>
  <conditionalFormatting sqref="B129:C129">
    <cfRule type="cellIs" dxfId="14833" priority="1513" stopIfTrue="1" operator="equal">
      <formula>"Towel"</formula>
    </cfRule>
    <cfRule type="cellIs" dxfId="14832" priority="1514" stopIfTrue="1" operator="equal">
      <formula>"Napkin Hs"</formula>
    </cfRule>
  </conditionalFormatting>
  <conditionalFormatting sqref="C129">
    <cfRule type="cellIs" dxfId="14831" priority="1521" stopIfTrue="1" operator="equal">
      <formula>"Towel"</formula>
    </cfRule>
    <cfRule type="cellIs" dxfId="14830" priority="1522" stopIfTrue="1" operator="equal">
      <formula>"Napkin Hs"</formula>
    </cfRule>
  </conditionalFormatting>
  <conditionalFormatting sqref="C129">
    <cfRule type="cellIs" dxfId="14829" priority="1523" stopIfTrue="1" operator="equal">
      <formula>"Towel"</formula>
    </cfRule>
    <cfRule type="cellIs" dxfId="14828" priority="1524" stopIfTrue="1" operator="equal">
      <formula>"Napkin Hs"</formula>
    </cfRule>
  </conditionalFormatting>
  <conditionalFormatting sqref="C129">
    <cfRule type="cellIs" dxfId="14827" priority="1509" stopIfTrue="1" operator="equal">
      <formula>"Towel"</formula>
    </cfRule>
    <cfRule type="cellIs" dxfId="14826" priority="1510" stopIfTrue="1" operator="equal">
      <formula>"Napkin Hs"</formula>
    </cfRule>
  </conditionalFormatting>
  <conditionalFormatting sqref="C129">
    <cfRule type="cellIs" dxfId="14825" priority="1511" stopIfTrue="1" operator="equal">
      <formula>"Towel"</formula>
    </cfRule>
    <cfRule type="cellIs" dxfId="14824" priority="1512" stopIfTrue="1" operator="equal">
      <formula>"Napkin Hs"</formula>
    </cfRule>
  </conditionalFormatting>
  <conditionalFormatting sqref="C129">
    <cfRule type="cellIs" dxfId="14823" priority="1507" stopIfTrue="1" operator="equal">
      <formula>"Towel"</formula>
    </cfRule>
    <cfRule type="cellIs" dxfId="14822" priority="1508" stopIfTrue="1" operator="equal">
      <formula>"Napkin Hs"</formula>
    </cfRule>
  </conditionalFormatting>
  <conditionalFormatting sqref="C129">
    <cfRule type="cellIs" dxfId="14821" priority="1501" stopIfTrue="1" operator="equal">
      <formula>"Towel"</formula>
    </cfRule>
    <cfRule type="cellIs" dxfId="14820" priority="1502" stopIfTrue="1" operator="equal">
      <formula>"Napkin Hs"</formula>
    </cfRule>
  </conditionalFormatting>
  <conditionalFormatting sqref="C129">
    <cfRule type="cellIs" dxfId="14819" priority="1503" stopIfTrue="1" operator="equal">
      <formula>"Towel"</formula>
    </cfRule>
    <cfRule type="cellIs" dxfId="14818" priority="1504" stopIfTrue="1" operator="equal">
      <formula>"Napkin Hs"</formula>
    </cfRule>
  </conditionalFormatting>
  <conditionalFormatting sqref="C129">
    <cfRule type="cellIs" dxfId="14817" priority="1505" stopIfTrue="1" operator="equal">
      <formula>"Towel"</formula>
    </cfRule>
    <cfRule type="cellIs" dxfId="14816" priority="1506" stopIfTrue="1" operator="equal">
      <formula>"Napkin Hs"</formula>
    </cfRule>
  </conditionalFormatting>
  <conditionalFormatting sqref="B129">
    <cfRule type="cellIs" dxfId="14815" priority="1499" stopIfTrue="1" operator="equal">
      <formula>"Towel"</formula>
    </cfRule>
    <cfRule type="cellIs" dxfId="14814" priority="1500" stopIfTrue="1" operator="equal">
      <formula>"Napkin Hs"</formula>
    </cfRule>
  </conditionalFormatting>
  <conditionalFormatting sqref="B129">
    <cfRule type="cellIs" dxfId="14813" priority="1497" stopIfTrue="1" operator="equal">
      <formula>"Towel"</formula>
    </cfRule>
    <cfRule type="cellIs" dxfId="14812" priority="1498" stopIfTrue="1" operator="equal">
      <formula>"Napkin Hs"</formula>
    </cfRule>
  </conditionalFormatting>
  <conditionalFormatting sqref="B129:C129">
    <cfRule type="cellIs" dxfId="14811" priority="1495" stopIfTrue="1" operator="equal">
      <formula>"Towel"</formula>
    </cfRule>
    <cfRule type="cellIs" dxfId="14810" priority="1496" stopIfTrue="1" operator="equal">
      <formula>"Napkin Hs"</formula>
    </cfRule>
  </conditionalFormatting>
  <conditionalFormatting sqref="C129">
    <cfRule type="cellIs" dxfId="14809" priority="1491" stopIfTrue="1" operator="equal">
      <formula>"Towel"</formula>
    </cfRule>
    <cfRule type="cellIs" dxfId="14808" priority="1492" stopIfTrue="1" operator="equal">
      <formula>"Napkin Hs"</formula>
    </cfRule>
  </conditionalFormatting>
  <conditionalFormatting sqref="C129">
    <cfRule type="cellIs" dxfId="14807" priority="1493" stopIfTrue="1" operator="equal">
      <formula>"Towel"</formula>
    </cfRule>
    <cfRule type="cellIs" dxfId="14806" priority="1494" stopIfTrue="1" operator="equal">
      <formula>"Napkin Hs"</formula>
    </cfRule>
  </conditionalFormatting>
  <conditionalFormatting sqref="B129:C129">
    <cfRule type="cellIs" dxfId="14805" priority="1489" stopIfTrue="1" operator="equal">
      <formula>"Towel"</formula>
    </cfRule>
    <cfRule type="cellIs" dxfId="14804" priority="1490" stopIfTrue="1" operator="equal">
      <formula>"Napkin Hs"</formula>
    </cfRule>
  </conditionalFormatting>
  <conditionalFormatting sqref="C129">
    <cfRule type="cellIs" dxfId="14803" priority="1485" stopIfTrue="1" operator="equal">
      <formula>"Towel"</formula>
    </cfRule>
    <cfRule type="cellIs" dxfId="14802" priority="1486" stopIfTrue="1" operator="equal">
      <formula>"Napkin Hs"</formula>
    </cfRule>
  </conditionalFormatting>
  <conditionalFormatting sqref="C129">
    <cfRule type="cellIs" dxfId="14801" priority="1487" stopIfTrue="1" operator="equal">
      <formula>"Towel"</formula>
    </cfRule>
    <cfRule type="cellIs" dxfId="14800" priority="1488" stopIfTrue="1" operator="equal">
      <formula>"Napkin Hs"</formula>
    </cfRule>
  </conditionalFormatting>
  <conditionalFormatting sqref="C129">
    <cfRule type="cellIs" dxfId="14799" priority="1477" stopIfTrue="1" operator="equal">
      <formula>"Towel"</formula>
    </cfRule>
    <cfRule type="cellIs" dxfId="14798" priority="1478" stopIfTrue="1" operator="equal">
      <formula>"Napkin Hs"</formula>
    </cfRule>
  </conditionalFormatting>
  <conditionalFormatting sqref="C129">
    <cfRule type="cellIs" dxfId="14797" priority="1479" stopIfTrue="1" operator="equal">
      <formula>"Towel"</formula>
    </cfRule>
    <cfRule type="cellIs" dxfId="14796" priority="1480" stopIfTrue="1" operator="equal">
      <formula>"Napkin Hs"</formula>
    </cfRule>
  </conditionalFormatting>
  <conditionalFormatting sqref="C129">
    <cfRule type="cellIs" dxfId="14795" priority="1475" stopIfTrue="1" operator="equal">
      <formula>"Towel"</formula>
    </cfRule>
    <cfRule type="cellIs" dxfId="14794" priority="1476" stopIfTrue="1" operator="equal">
      <formula>"Napkin Hs"</formula>
    </cfRule>
  </conditionalFormatting>
  <conditionalFormatting sqref="C129">
    <cfRule type="cellIs" dxfId="14793" priority="1473" stopIfTrue="1" operator="equal">
      <formula>"Towel"</formula>
    </cfRule>
    <cfRule type="cellIs" dxfId="14792" priority="1474" stopIfTrue="1" operator="equal">
      <formula>"Napkin Hs"</formula>
    </cfRule>
  </conditionalFormatting>
  <conditionalFormatting sqref="C129">
    <cfRule type="cellIs" dxfId="14791" priority="1481" stopIfTrue="1" operator="equal">
      <formula>"Towel"</formula>
    </cfRule>
    <cfRule type="cellIs" dxfId="14790" priority="1482" stopIfTrue="1" operator="equal">
      <formula>"Napkin Hs"</formula>
    </cfRule>
  </conditionalFormatting>
  <conditionalFormatting sqref="C129">
    <cfRule type="cellIs" dxfId="14789" priority="1483" stopIfTrue="1" operator="equal">
      <formula>"Towel"</formula>
    </cfRule>
    <cfRule type="cellIs" dxfId="14788" priority="1484" stopIfTrue="1" operator="equal">
      <formula>"Napkin Hs"</formula>
    </cfRule>
  </conditionalFormatting>
  <conditionalFormatting sqref="B129">
    <cfRule type="cellIs" dxfId="14787" priority="1471" stopIfTrue="1" operator="equal">
      <formula>"Towel"</formula>
    </cfRule>
    <cfRule type="cellIs" dxfId="14786" priority="1472" stopIfTrue="1" operator="equal">
      <formula>"Napkin Hs"</formula>
    </cfRule>
  </conditionalFormatting>
  <conditionalFormatting sqref="C128">
    <cfRule type="cellIs" dxfId="14785" priority="1469" stopIfTrue="1" operator="equal">
      <formula>"Towel"</formula>
    </cfRule>
    <cfRule type="cellIs" dxfId="14784" priority="1470" stopIfTrue="1" operator="equal">
      <formula>"Napkin Hs"</formula>
    </cfRule>
  </conditionalFormatting>
  <conditionalFormatting sqref="C128">
    <cfRule type="cellIs" dxfId="14783" priority="1465" stopIfTrue="1" operator="equal">
      <formula>"Towel"</formula>
    </cfRule>
    <cfRule type="cellIs" dxfId="14782" priority="1466" stopIfTrue="1" operator="equal">
      <formula>"Napkin Hs"</formula>
    </cfRule>
  </conditionalFormatting>
  <conditionalFormatting sqref="C128">
    <cfRule type="cellIs" dxfId="14781" priority="1467" stopIfTrue="1" operator="equal">
      <formula>"Towel"</formula>
    </cfRule>
    <cfRule type="cellIs" dxfId="14780" priority="1468" stopIfTrue="1" operator="equal">
      <formula>"Napkin Hs"</formula>
    </cfRule>
  </conditionalFormatting>
  <conditionalFormatting sqref="C128">
    <cfRule type="cellIs" dxfId="14779" priority="1463" stopIfTrue="1" operator="equal">
      <formula>"Towel"</formula>
    </cfRule>
    <cfRule type="cellIs" dxfId="14778" priority="1464" stopIfTrue="1" operator="equal">
      <formula>"Napkin Hs"</formula>
    </cfRule>
  </conditionalFormatting>
  <conditionalFormatting sqref="C128">
    <cfRule type="cellIs" dxfId="14777" priority="1461" stopIfTrue="1" operator="equal">
      <formula>"Towel"</formula>
    </cfRule>
    <cfRule type="cellIs" dxfId="14776" priority="1462" stopIfTrue="1" operator="equal">
      <formula>"Napkin Hs"</formula>
    </cfRule>
  </conditionalFormatting>
  <conditionalFormatting sqref="C128">
    <cfRule type="cellIs" dxfId="14775" priority="1459" stopIfTrue="1" operator="equal">
      <formula>"Towel"</formula>
    </cfRule>
    <cfRule type="cellIs" dxfId="14774" priority="1460" stopIfTrue="1" operator="equal">
      <formula>"Napkin Hs"</formula>
    </cfRule>
  </conditionalFormatting>
  <conditionalFormatting sqref="C128">
    <cfRule type="cellIs" dxfId="14773" priority="1451" stopIfTrue="1" operator="equal">
      <formula>"Towel"</formula>
    </cfRule>
    <cfRule type="cellIs" dxfId="14772" priority="1452" stopIfTrue="1" operator="equal">
      <formula>"Napkin Hs"</formula>
    </cfRule>
  </conditionalFormatting>
  <conditionalFormatting sqref="C128">
    <cfRule type="cellIs" dxfId="14771" priority="1453" stopIfTrue="1" operator="equal">
      <formula>"Towel"</formula>
    </cfRule>
    <cfRule type="cellIs" dxfId="14770" priority="1454" stopIfTrue="1" operator="equal">
      <formula>"Napkin Hs"</formula>
    </cfRule>
  </conditionalFormatting>
  <conditionalFormatting sqref="C128">
    <cfRule type="cellIs" dxfId="14769" priority="1449" stopIfTrue="1" operator="equal">
      <formula>"Towel"</formula>
    </cfRule>
    <cfRule type="cellIs" dxfId="14768" priority="1450" stopIfTrue="1" operator="equal">
      <formula>"Napkin Hs"</formula>
    </cfRule>
  </conditionalFormatting>
  <conditionalFormatting sqref="C128">
    <cfRule type="cellIs" dxfId="14767" priority="1447" stopIfTrue="1" operator="equal">
      <formula>"Towel"</formula>
    </cfRule>
    <cfRule type="cellIs" dxfId="14766" priority="1448" stopIfTrue="1" operator="equal">
      <formula>"Napkin Hs"</formula>
    </cfRule>
  </conditionalFormatting>
  <conditionalFormatting sqref="C128">
    <cfRule type="cellIs" dxfId="14765" priority="1455" stopIfTrue="1" operator="equal">
      <formula>"Towel"</formula>
    </cfRule>
    <cfRule type="cellIs" dxfId="14764" priority="1456" stopIfTrue="1" operator="equal">
      <formula>"Napkin Hs"</formula>
    </cfRule>
  </conditionalFormatting>
  <conditionalFormatting sqref="C128">
    <cfRule type="cellIs" dxfId="14763" priority="1457" stopIfTrue="1" operator="equal">
      <formula>"Towel"</formula>
    </cfRule>
    <cfRule type="cellIs" dxfId="14762" priority="1458" stopIfTrue="1" operator="equal">
      <formula>"Napkin Hs"</formula>
    </cfRule>
  </conditionalFormatting>
  <conditionalFormatting sqref="C128">
    <cfRule type="cellIs" dxfId="14761" priority="1439" stopIfTrue="1" operator="equal">
      <formula>"Towel"</formula>
    </cfRule>
    <cfRule type="cellIs" dxfId="14760" priority="1440" stopIfTrue="1" operator="equal">
      <formula>"Napkin Hs"</formula>
    </cfRule>
  </conditionalFormatting>
  <conditionalFormatting sqref="C128">
    <cfRule type="cellIs" dxfId="14759" priority="1437" stopIfTrue="1" operator="equal">
      <formula>"Towel"</formula>
    </cfRule>
    <cfRule type="cellIs" dxfId="14758" priority="1438" stopIfTrue="1" operator="equal">
      <formula>"Napkin Hs"</formula>
    </cfRule>
  </conditionalFormatting>
  <conditionalFormatting sqref="C128">
    <cfRule type="cellIs" dxfId="14757" priority="1435" stopIfTrue="1" operator="equal">
      <formula>"Towel"</formula>
    </cfRule>
    <cfRule type="cellIs" dxfId="14756" priority="1436" stopIfTrue="1" operator="equal">
      <formula>"Napkin Hs"</formula>
    </cfRule>
  </conditionalFormatting>
  <conditionalFormatting sqref="C128">
    <cfRule type="cellIs" dxfId="14755" priority="1445" stopIfTrue="1" operator="equal">
      <formula>"Towel"</formula>
    </cfRule>
    <cfRule type="cellIs" dxfId="14754" priority="1446" stopIfTrue="1" operator="equal">
      <formula>"Napkin Hs"</formula>
    </cfRule>
  </conditionalFormatting>
  <conditionalFormatting sqref="C128">
    <cfRule type="cellIs" dxfId="14753" priority="1443" stopIfTrue="1" operator="equal">
      <formula>"Towel"</formula>
    </cfRule>
    <cfRule type="cellIs" dxfId="14752" priority="1444" stopIfTrue="1" operator="equal">
      <formula>"Napkin Hs"</formula>
    </cfRule>
  </conditionalFormatting>
  <conditionalFormatting sqref="C128">
    <cfRule type="cellIs" dxfId="14751" priority="1441" stopIfTrue="1" operator="equal">
      <formula>"Towel"</formula>
    </cfRule>
    <cfRule type="cellIs" dxfId="14750" priority="1442" stopIfTrue="1" operator="equal">
      <formula>"Napkin Hs"</formula>
    </cfRule>
  </conditionalFormatting>
  <conditionalFormatting sqref="C128">
    <cfRule type="cellIs" dxfId="14749" priority="1433" stopIfTrue="1" operator="equal">
      <formula>"Towel"</formula>
    </cfRule>
    <cfRule type="cellIs" dxfId="14748" priority="1434" stopIfTrue="1" operator="equal">
      <formula>"Napkin Hs"</formula>
    </cfRule>
  </conditionalFormatting>
  <conditionalFormatting sqref="C128">
    <cfRule type="cellIs" dxfId="14747" priority="1431" stopIfTrue="1" operator="equal">
      <formula>"Towel"</formula>
    </cfRule>
    <cfRule type="cellIs" dxfId="14746" priority="1432" stopIfTrue="1" operator="equal">
      <formula>"Napkin Hs"</formula>
    </cfRule>
  </conditionalFormatting>
  <conditionalFormatting sqref="C128">
    <cfRule type="cellIs" dxfId="14745" priority="1429" stopIfTrue="1" operator="equal">
      <formula>"Towel"</formula>
    </cfRule>
    <cfRule type="cellIs" dxfId="14744" priority="1430" stopIfTrue="1" operator="equal">
      <formula>"Napkin Hs"</formula>
    </cfRule>
  </conditionalFormatting>
  <conditionalFormatting sqref="C128">
    <cfRule type="cellIs" dxfId="14743" priority="1427" stopIfTrue="1" operator="equal">
      <formula>"Towel"</formula>
    </cfRule>
    <cfRule type="cellIs" dxfId="14742" priority="1428" stopIfTrue="1" operator="equal">
      <formula>"Napkin Hs"</formula>
    </cfRule>
  </conditionalFormatting>
  <conditionalFormatting sqref="C128">
    <cfRule type="cellIs" dxfId="14741" priority="1425" stopIfTrue="1" operator="equal">
      <formula>"Towel"</formula>
    </cfRule>
    <cfRule type="cellIs" dxfId="14740" priority="1426" stopIfTrue="1" operator="equal">
      <formula>"Napkin Hs"</formula>
    </cfRule>
  </conditionalFormatting>
  <conditionalFormatting sqref="C128">
    <cfRule type="cellIs" dxfId="14739" priority="1423" stopIfTrue="1" operator="equal">
      <formula>"Towel"</formula>
    </cfRule>
    <cfRule type="cellIs" dxfId="14738" priority="1424" stopIfTrue="1" operator="equal">
      <formula>"Napkin Hs"</formula>
    </cfRule>
  </conditionalFormatting>
  <conditionalFormatting sqref="C128">
    <cfRule type="cellIs" dxfId="14737" priority="1415" stopIfTrue="1" operator="equal">
      <formula>"Towel"</formula>
    </cfRule>
    <cfRule type="cellIs" dxfId="14736" priority="1416" stopIfTrue="1" operator="equal">
      <formula>"Napkin Hs"</formula>
    </cfRule>
  </conditionalFormatting>
  <conditionalFormatting sqref="C128">
    <cfRule type="cellIs" dxfId="14735" priority="1417" stopIfTrue="1" operator="equal">
      <formula>"Towel"</formula>
    </cfRule>
    <cfRule type="cellIs" dxfId="14734" priority="1418" stopIfTrue="1" operator="equal">
      <formula>"Napkin Hs"</formula>
    </cfRule>
  </conditionalFormatting>
  <conditionalFormatting sqref="C128">
    <cfRule type="cellIs" dxfId="14733" priority="1413" stopIfTrue="1" operator="equal">
      <formula>"Towel"</formula>
    </cfRule>
    <cfRule type="cellIs" dxfId="14732" priority="1414" stopIfTrue="1" operator="equal">
      <formula>"Napkin Hs"</formula>
    </cfRule>
  </conditionalFormatting>
  <conditionalFormatting sqref="C128">
    <cfRule type="cellIs" dxfId="14731" priority="1411" stopIfTrue="1" operator="equal">
      <formula>"Towel"</formula>
    </cfRule>
    <cfRule type="cellIs" dxfId="14730" priority="1412" stopIfTrue="1" operator="equal">
      <formula>"Napkin Hs"</formula>
    </cfRule>
  </conditionalFormatting>
  <conditionalFormatting sqref="C128">
    <cfRule type="cellIs" dxfId="14729" priority="1419" stopIfTrue="1" operator="equal">
      <formula>"Towel"</formula>
    </cfRule>
    <cfRule type="cellIs" dxfId="14728" priority="1420" stopIfTrue="1" operator="equal">
      <formula>"Napkin Hs"</formula>
    </cfRule>
  </conditionalFormatting>
  <conditionalFormatting sqref="C128">
    <cfRule type="cellIs" dxfId="14727" priority="1421" stopIfTrue="1" operator="equal">
      <formula>"Towel"</formula>
    </cfRule>
    <cfRule type="cellIs" dxfId="14726" priority="1422" stopIfTrue="1" operator="equal">
      <formula>"Napkin Hs"</formula>
    </cfRule>
  </conditionalFormatting>
  <conditionalFormatting sqref="C128">
    <cfRule type="cellIs" dxfId="14725" priority="1409" stopIfTrue="1" operator="equal">
      <formula>"Towel"</formula>
    </cfRule>
    <cfRule type="cellIs" dxfId="14724" priority="1410" stopIfTrue="1" operator="equal">
      <formula>"Napkin Hs"</formula>
    </cfRule>
  </conditionalFormatting>
  <conditionalFormatting sqref="C128">
    <cfRule type="cellIs" dxfId="14723" priority="1408" stopIfTrue="1" operator="equal">
      <formula>"Napkin Hs"</formula>
    </cfRule>
  </conditionalFormatting>
  <conditionalFormatting sqref="C128">
    <cfRule type="cellIs" dxfId="14722" priority="1407" stopIfTrue="1" operator="equal">
      <formula>"Towel"</formula>
    </cfRule>
  </conditionalFormatting>
  <conditionalFormatting sqref="C128">
    <cfRule type="cellIs" dxfId="14721" priority="1405" stopIfTrue="1" operator="equal">
      <formula>"Towel"</formula>
    </cfRule>
    <cfRule type="cellIs" dxfId="14720" priority="1406" stopIfTrue="1" operator="equal">
      <formula>"Napkin Hs"</formula>
    </cfRule>
  </conditionalFormatting>
  <conditionalFormatting sqref="C128">
    <cfRule type="cellIs" dxfId="14719" priority="1403" stopIfTrue="1" operator="equal">
      <formula>"Towel"</formula>
    </cfRule>
    <cfRule type="cellIs" dxfId="14718" priority="1404" stopIfTrue="1" operator="equal">
      <formula>"Napkin Hs"</formula>
    </cfRule>
  </conditionalFormatting>
  <conditionalFormatting sqref="C128">
    <cfRule type="cellIs" dxfId="14717" priority="1399" stopIfTrue="1" operator="equal">
      <formula>"Towel"</formula>
    </cfRule>
    <cfRule type="cellIs" dxfId="14716" priority="1400" stopIfTrue="1" operator="equal">
      <formula>"Napkin Hs"</formula>
    </cfRule>
  </conditionalFormatting>
  <conditionalFormatting sqref="C128">
    <cfRule type="cellIs" dxfId="14715" priority="1401" stopIfTrue="1" operator="equal">
      <formula>"Towel"</formula>
    </cfRule>
    <cfRule type="cellIs" dxfId="14714" priority="1402" stopIfTrue="1" operator="equal">
      <formula>"Napkin Hs"</formula>
    </cfRule>
  </conditionalFormatting>
  <conditionalFormatting sqref="C128">
    <cfRule type="cellIs" dxfId="14713" priority="1397" stopIfTrue="1" operator="equal">
      <formula>"Towel"</formula>
    </cfRule>
    <cfRule type="cellIs" dxfId="14712" priority="1398" stopIfTrue="1" operator="equal">
      <formula>"Napkin Hs"</formula>
    </cfRule>
  </conditionalFormatting>
  <conditionalFormatting sqref="C128">
    <cfRule type="cellIs" dxfId="14711" priority="1395" stopIfTrue="1" operator="equal">
      <formula>"Towel"</formula>
    </cfRule>
    <cfRule type="cellIs" dxfId="14710" priority="1396" stopIfTrue="1" operator="equal">
      <formula>"Napkin Hs"</formula>
    </cfRule>
  </conditionalFormatting>
  <conditionalFormatting sqref="C128">
    <cfRule type="cellIs" dxfId="14709" priority="1393" stopIfTrue="1" operator="equal">
      <formula>"Towel"</formula>
    </cfRule>
    <cfRule type="cellIs" dxfId="14708" priority="1394" stopIfTrue="1" operator="equal">
      <formula>"Napkin Hs"</formula>
    </cfRule>
  </conditionalFormatting>
  <conditionalFormatting sqref="C128">
    <cfRule type="cellIs" dxfId="14707" priority="1385" stopIfTrue="1" operator="equal">
      <formula>"Towel"</formula>
    </cfRule>
    <cfRule type="cellIs" dxfId="14706" priority="1386" stopIfTrue="1" operator="equal">
      <formula>"Napkin Hs"</formula>
    </cfRule>
  </conditionalFormatting>
  <conditionalFormatting sqref="C128">
    <cfRule type="cellIs" dxfId="14705" priority="1387" stopIfTrue="1" operator="equal">
      <formula>"Towel"</formula>
    </cfRule>
    <cfRule type="cellIs" dxfId="14704" priority="1388" stopIfTrue="1" operator="equal">
      <formula>"Napkin Hs"</formula>
    </cfRule>
  </conditionalFormatting>
  <conditionalFormatting sqref="C128">
    <cfRule type="cellIs" dxfId="14703" priority="1383" stopIfTrue="1" operator="equal">
      <formula>"Towel"</formula>
    </cfRule>
    <cfRule type="cellIs" dxfId="14702" priority="1384" stopIfTrue="1" operator="equal">
      <formula>"Napkin Hs"</formula>
    </cfRule>
  </conditionalFormatting>
  <conditionalFormatting sqref="C128">
    <cfRule type="cellIs" dxfId="14701" priority="1381" stopIfTrue="1" operator="equal">
      <formula>"Towel"</formula>
    </cfRule>
    <cfRule type="cellIs" dxfId="14700" priority="1382" stopIfTrue="1" operator="equal">
      <formula>"Napkin Hs"</formula>
    </cfRule>
  </conditionalFormatting>
  <conditionalFormatting sqref="C128">
    <cfRule type="cellIs" dxfId="14699" priority="1389" stopIfTrue="1" operator="equal">
      <formula>"Towel"</formula>
    </cfRule>
    <cfRule type="cellIs" dxfId="14698" priority="1390" stopIfTrue="1" operator="equal">
      <formula>"Napkin Hs"</formula>
    </cfRule>
  </conditionalFormatting>
  <conditionalFormatting sqref="C128">
    <cfRule type="cellIs" dxfId="14697" priority="1391" stopIfTrue="1" operator="equal">
      <formula>"Towel"</formula>
    </cfRule>
    <cfRule type="cellIs" dxfId="14696" priority="1392" stopIfTrue="1" operator="equal">
      <formula>"Napkin Hs"</formula>
    </cfRule>
  </conditionalFormatting>
  <conditionalFormatting sqref="C128">
    <cfRule type="cellIs" dxfId="14695" priority="1379" stopIfTrue="1" operator="equal">
      <formula>"Towel"</formula>
    </cfRule>
    <cfRule type="cellIs" dxfId="14694" priority="1380" stopIfTrue="1" operator="equal">
      <formula>"Napkin Hs"</formula>
    </cfRule>
  </conditionalFormatting>
  <conditionalFormatting sqref="C128">
    <cfRule type="cellIs" dxfId="14693" priority="1378" stopIfTrue="1" operator="equal">
      <formula>"Napkin Hs"</formula>
    </cfRule>
  </conditionalFormatting>
  <conditionalFormatting sqref="C128">
    <cfRule type="cellIs" dxfId="14692" priority="1377" stopIfTrue="1" operator="equal">
      <formula>"Towel"</formula>
    </cfRule>
  </conditionalFormatting>
  <conditionalFormatting sqref="C128">
    <cfRule type="cellIs" dxfId="14691" priority="1375" stopIfTrue="1" operator="equal">
      <formula>"Towel"</formula>
    </cfRule>
    <cfRule type="cellIs" dxfId="14690" priority="1376" stopIfTrue="1" operator="equal">
      <formula>"Napkin Hs"</formula>
    </cfRule>
  </conditionalFormatting>
  <conditionalFormatting sqref="C128">
    <cfRule type="cellIs" dxfId="14689" priority="1373" stopIfTrue="1" operator="equal">
      <formula>"Towel"</formula>
    </cfRule>
    <cfRule type="cellIs" dxfId="14688" priority="1374" stopIfTrue="1" operator="equal">
      <formula>"Napkin Hs"</formula>
    </cfRule>
  </conditionalFormatting>
  <conditionalFormatting sqref="C128">
    <cfRule type="cellIs" dxfId="14687" priority="1369" stopIfTrue="1" operator="equal">
      <formula>"Towel"</formula>
    </cfRule>
    <cfRule type="cellIs" dxfId="14686" priority="1370" stopIfTrue="1" operator="equal">
      <formula>"Napkin Hs"</formula>
    </cfRule>
  </conditionalFormatting>
  <conditionalFormatting sqref="C128">
    <cfRule type="cellIs" dxfId="14685" priority="1371" stopIfTrue="1" operator="equal">
      <formula>"Towel"</formula>
    </cfRule>
    <cfRule type="cellIs" dxfId="14684" priority="1372" stopIfTrue="1" operator="equal">
      <formula>"Napkin Hs"</formula>
    </cfRule>
  </conditionalFormatting>
  <conditionalFormatting sqref="C128">
    <cfRule type="cellIs" dxfId="14683" priority="1367" stopIfTrue="1" operator="equal">
      <formula>"Towel"</formula>
    </cfRule>
    <cfRule type="cellIs" dxfId="14682" priority="1368" stopIfTrue="1" operator="equal">
      <formula>"Napkin Hs"</formula>
    </cfRule>
  </conditionalFormatting>
  <conditionalFormatting sqref="C128">
    <cfRule type="cellIs" dxfId="14681" priority="1366" stopIfTrue="1" operator="equal">
      <formula>"Napkin Hs"</formula>
    </cfRule>
  </conditionalFormatting>
  <conditionalFormatting sqref="C128">
    <cfRule type="cellIs" dxfId="14680" priority="1365" stopIfTrue="1" operator="equal">
      <formula>"Towel"</formula>
    </cfRule>
  </conditionalFormatting>
  <conditionalFormatting sqref="C128">
    <cfRule type="cellIs" dxfId="14679" priority="1363" stopIfTrue="1" operator="equal">
      <formula>"Towel"</formula>
    </cfRule>
    <cfRule type="cellIs" dxfId="14678" priority="1364" stopIfTrue="1" operator="equal">
      <formula>"Napkin Hs"</formula>
    </cfRule>
  </conditionalFormatting>
  <conditionalFormatting sqref="C128">
    <cfRule type="cellIs" dxfId="14677" priority="1361" stopIfTrue="1" operator="equal">
      <formula>"Towel"</formula>
    </cfRule>
    <cfRule type="cellIs" dxfId="14676" priority="1362" stopIfTrue="1" operator="equal">
      <formula>"Napkin Hs"</formula>
    </cfRule>
  </conditionalFormatting>
  <conditionalFormatting sqref="C128">
    <cfRule type="cellIs" dxfId="14675" priority="1357" stopIfTrue="1" operator="equal">
      <formula>"Towel"</formula>
    </cfRule>
    <cfRule type="cellIs" dxfId="14674" priority="1358" stopIfTrue="1" operator="equal">
      <formula>"Napkin Hs"</formula>
    </cfRule>
  </conditionalFormatting>
  <conditionalFormatting sqref="C128">
    <cfRule type="cellIs" dxfId="14673" priority="1359" stopIfTrue="1" operator="equal">
      <formula>"Towel"</formula>
    </cfRule>
    <cfRule type="cellIs" dxfId="14672" priority="1360" stopIfTrue="1" operator="equal">
      <formula>"Napkin Hs"</formula>
    </cfRule>
  </conditionalFormatting>
  <conditionalFormatting sqref="C128">
    <cfRule type="cellIs" dxfId="14671" priority="1355" stopIfTrue="1" operator="equal">
      <formula>"Towel"</formula>
    </cfRule>
    <cfRule type="cellIs" dxfId="14670" priority="1356" stopIfTrue="1" operator="equal">
      <formula>"Napkin Hs"</formula>
    </cfRule>
  </conditionalFormatting>
  <conditionalFormatting sqref="C128">
    <cfRule type="cellIs" dxfId="14669" priority="1354" stopIfTrue="1" operator="equal">
      <formula>"Napkin Hs"</formula>
    </cfRule>
  </conditionalFormatting>
  <conditionalFormatting sqref="C128">
    <cfRule type="cellIs" dxfId="14668" priority="1353" stopIfTrue="1" operator="equal">
      <formula>"Towel"</formula>
    </cfRule>
  </conditionalFormatting>
  <conditionalFormatting sqref="C128">
    <cfRule type="cellIs" dxfId="14667" priority="1351" stopIfTrue="1" operator="equal">
      <formula>"Towel"</formula>
    </cfRule>
    <cfRule type="cellIs" dxfId="14666" priority="1352" stopIfTrue="1" operator="equal">
      <formula>"Napkin Hs"</formula>
    </cfRule>
  </conditionalFormatting>
  <conditionalFormatting sqref="C128">
    <cfRule type="cellIs" dxfId="14665" priority="1343" stopIfTrue="1" operator="equal">
      <formula>"Towel"</formula>
    </cfRule>
    <cfRule type="cellIs" dxfId="14664" priority="1344" stopIfTrue="1" operator="equal">
      <formula>"Napkin Hs"</formula>
    </cfRule>
  </conditionalFormatting>
  <conditionalFormatting sqref="C128">
    <cfRule type="cellIs" dxfId="14663" priority="1345" stopIfTrue="1" operator="equal">
      <formula>"Towel"</formula>
    </cfRule>
    <cfRule type="cellIs" dxfId="14662" priority="1346" stopIfTrue="1" operator="equal">
      <formula>"Napkin Hs"</formula>
    </cfRule>
  </conditionalFormatting>
  <conditionalFormatting sqref="C128">
    <cfRule type="cellIs" dxfId="14661" priority="1341" stopIfTrue="1" operator="equal">
      <formula>"Towel"</formula>
    </cfRule>
    <cfRule type="cellIs" dxfId="14660" priority="1342" stopIfTrue="1" operator="equal">
      <formula>"Napkin Hs"</formula>
    </cfRule>
  </conditionalFormatting>
  <conditionalFormatting sqref="C128">
    <cfRule type="cellIs" dxfId="14659" priority="1339" stopIfTrue="1" operator="equal">
      <formula>"Towel"</formula>
    </cfRule>
    <cfRule type="cellIs" dxfId="14658" priority="1340" stopIfTrue="1" operator="equal">
      <formula>"Napkin Hs"</formula>
    </cfRule>
  </conditionalFormatting>
  <conditionalFormatting sqref="C128">
    <cfRule type="cellIs" dxfId="14657" priority="1347" stopIfTrue="1" operator="equal">
      <formula>"Towel"</formula>
    </cfRule>
    <cfRule type="cellIs" dxfId="14656" priority="1348" stopIfTrue="1" operator="equal">
      <formula>"Napkin Hs"</formula>
    </cfRule>
  </conditionalFormatting>
  <conditionalFormatting sqref="C128">
    <cfRule type="cellIs" dxfId="14655" priority="1349" stopIfTrue="1" operator="equal">
      <formula>"Towel"</formula>
    </cfRule>
    <cfRule type="cellIs" dxfId="14654" priority="1350" stopIfTrue="1" operator="equal">
      <formula>"Napkin Hs"</formula>
    </cfRule>
  </conditionalFormatting>
  <conditionalFormatting sqref="C128">
    <cfRule type="cellIs" dxfId="14653" priority="1337" stopIfTrue="1" operator="equal">
      <formula>"Towel"</formula>
    </cfRule>
    <cfRule type="cellIs" dxfId="14652" priority="1338" stopIfTrue="1" operator="equal">
      <formula>"Napkin Hs"</formula>
    </cfRule>
  </conditionalFormatting>
  <conditionalFormatting sqref="C128">
    <cfRule type="cellIs" dxfId="14651" priority="1333" stopIfTrue="1" operator="equal">
      <formula>"Towel"</formula>
    </cfRule>
    <cfRule type="cellIs" dxfId="14650" priority="1334" stopIfTrue="1" operator="equal">
      <formula>"Napkin Hs"</formula>
    </cfRule>
  </conditionalFormatting>
  <conditionalFormatting sqref="C128">
    <cfRule type="cellIs" dxfId="14649" priority="1335" stopIfTrue="1" operator="equal">
      <formula>"Towel"</formula>
    </cfRule>
    <cfRule type="cellIs" dxfId="14648" priority="1336" stopIfTrue="1" operator="equal">
      <formula>"Napkin Hs"</formula>
    </cfRule>
  </conditionalFormatting>
  <conditionalFormatting sqref="C128">
    <cfRule type="cellIs" dxfId="14647" priority="1325" stopIfTrue="1" operator="equal">
      <formula>"Towel"</formula>
    </cfRule>
    <cfRule type="cellIs" dxfId="14646" priority="1326" stopIfTrue="1" operator="equal">
      <formula>"Napkin Hs"</formula>
    </cfRule>
  </conditionalFormatting>
  <conditionalFormatting sqref="C128">
    <cfRule type="cellIs" dxfId="14645" priority="1327" stopIfTrue="1" operator="equal">
      <formula>"Towel"</formula>
    </cfRule>
    <cfRule type="cellIs" dxfId="14644" priority="1328" stopIfTrue="1" operator="equal">
      <formula>"Napkin Hs"</formula>
    </cfRule>
  </conditionalFormatting>
  <conditionalFormatting sqref="C128">
    <cfRule type="cellIs" dxfId="14643" priority="1323" stopIfTrue="1" operator="equal">
      <formula>"Towel"</formula>
    </cfRule>
    <cfRule type="cellIs" dxfId="14642" priority="1324" stopIfTrue="1" operator="equal">
      <formula>"Napkin Hs"</formula>
    </cfRule>
  </conditionalFormatting>
  <conditionalFormatting sqref="C128">
    <cfRule type="cellIs" dxfId="14641" priority="1321" stopIfTrue="1" operator="equal">
      <formula>"Towel"</formula>
    </cfRule>
    <cfRule type="cellIs" dxfId="14640" priority="1322" stopIfTrue="1" operator="equal">
      <formula>"Napkin Hs"</formula>
    </cfRule>
  </conditionalFormatting>
  <conditionalFormatting sqref="C128">
    <cfRule type="cellIs" dxfId="14639" priority="1329" stopIfTrue="1" operator="equal">
      <formula>"Towel"</formula>
    </cfRule>
    <cfRule type="cellIs" dxfId="14638" priority="1330" stopIfTrue="1" operator="equal">
      <formula>"Napkin Hs"</formula>
    </cfRule>
  </conditionalFormatting>
  <conditionalFormatting sqref="C128">
    <cfRule type="cellIs" dxfId="14637" priority="1331" stopIfTrue="1" operator="equal">
      <formula>"Towel"</formula>
    </cfRule>
    <cfRule type="cellIs" dxfId="14636" priority="1332" stopIfTrue="1" operator="equal">
      <formula>"Napkin Hs"</formula>
    </cfRule>
  </conditionalFormatting>
  <conditionalFormatting sqref="C128">
    <cfRule type="cellIs" dxfId="14635" priority="1319" stopIfTrue="1" operator="equal">
      <formula>"Towel"</formula>
    </cfRule>
    <cfRule type="cellIs" dxfId="14634" priority="1320" stopIfTrue="1" operator="equal">
      <formula>"Napkin Hs"</formula>
    </cfRule>
  </conditionalFormatting>
  <conditionalFormatting sqref="C128">
    <cfRule type="cellIs" dxfId="14633" priority="1318" stopIfTrue="1" operator="equal">
      <formula>"Napkin Hs"</formula>
    </cfRule>
  </conditionalFormatting>
  <conditionalFormatting sqref="C128">
    <cfRule type="cellIs" dxfId="14632" priority="1317" stopIfTrue="1" operator="equal">
      <formula>"Towel"</formula>
    </cfRule>
  </conditionalFormatting>
  <conditionalFormatting sqref="C128">
    <cfRule type="cellIs" dxfId="14631" priority="1315" stopIfTrue="1" operator="equal">
      <formula>"Towel"</formula>
    </cfRule>
    <cfRule type="cellIs" dxfId="14630" priority="1316" stopIfTrue="1" operator="equal">
      <formula>"Napkin Hs"</formula>
    </cfRule>
  </conditionalFormatting>
  <conditionalFormatting sqref="B127:C127">
    <cfRule type="cellIs" dxfId="14629" priority="1313" stopIfTrue="1" operator="equal">
      <formula>"Towel"</formula>
    </cfRule>
    <cfRule type="cellIs" dxfId="14628" priority="1314" stopIfTrue="1" operator="equal">
      <formula>"Napkin Hs"</formula>
    </cfRule>
  </conditionalFormatting>
  <conditionalFormatting sqref="C127">
    <cfRule type="cellIs" dxfId="14627" priority="1309" stopIfTrue="1" operator="equal">
      <formula>"Towel"</formula>
    </cfRule>
    <cfRule type="cellIs" dxfId="14626" priority="1310" stopIfTrue="1" operator="equal">
      <formula>"Napkin Hs"</formula>
    </cfRule>
  </conditionalFormatting>
  <conditionalFormatting sqref="C127">
    <cfRule type="cellIs" dxfId="14625" priority="1311" stopIfTrue="1" operator="equal">
      <formula>"Towel"</formula>
    </cfRule>
    <cfRule type="cellIs" dxfId="14624" priority="1312" stopIfTrue="1" operator="equal">
      <formula>"Napkin Hs"</formula>
    </cfRule>
  </conditionalFormatting>
  <conditionalFormatting sqref="B127:C127">
    <cfRule type="cellIs" dxfId="14623" priority="1307" stopIfTrue="1" operator="equal">
      <formula>"Towel"</formula>
    </cfRule>
    <cfRule type="cellIs" dxfId="14622" priority="1308" stopIfTrue="1" operator="equal">
      <formula>"Napkin Hs"</formula>
    </cfRule>
  </conditionalFormatting>
  <conditionalFormatting sqref="C127">
    <cfRule type="cellIs" dxfId="14621" priority="1305" stopIfTrue="1" operator="equal">
      <formula>"Towel"</formula>
    </cfRule>
    <cfRule type="cellIs" dxfId="14620" priority="1306" stopIfTrue="1" operator="equal">
      <formula>"Napkin Hs"</formula>
    </cfRule>
  </conditionalFormatting>
  <conditionalFormatting sqref="C127">
    <cfRule type="cellIs" dxfId="14619" priority="1303" stopIfTrue="1" operator="equal">
      <formula>"Towel"</formula>
    </cfRule>
    <cfRule type="cellIs" dxfId="14618" priority="1304" stopIfTrue="1" operator="equal">
      <formula>"Napkin Hs"</formula>
    </cfRule>
  </conditionalFormatting>
  <conditionalFormatting sqref="C127">
    <cfRule type="cellIs" dxfId="14617" priority="1295" stopIfTrue="1" operator="equal">
      <formula>"Towel"</formula>
    </cfRule>
    <cfRule type="cellIs" dxfId="14616" priority="1296" stopIfTrue="1" operator="equal">
      <formula>"Napkin Hs"</formula>
    </cfRule>
  </conditionalFormatting>
  <conditionalFormatting sqref="B127:C127">
    <cfRule type="cellIs" dxfId="14615" priority="1297" stopIfTrue="1" operator="equal">
      <formula>"Towel"</formula>
    </cfRule>
    <cfRule type="cellIs" dxfId="14614" priority="1298" stopIfTrue="1" operator="equal">
      <formula>"Napkin Hs"</formula>
    </cfRule>
  </conditionalFormatting>
  <conditionalFormatting sqref="C127">
    <cfRule type="cellIs" dxfId="14613" priority="1293" stopIfTrue="1" operator="equal">
      <formula>"Towel"</formula>
    </cfRule>
    <cfRule type="cellIs" dxfId="14612" priority="1294" stopIfTrue="1" operator="equal">
      <formula>"Napkin Hs"</formula>
    </cfRule>
  </conditionalFormatting>
  <conditionalFormatting sqref="B127:C127">
    <cfRule type="cellIs" dxfId="14611" priority="1291" stopIfTrue="1" operator="equal">
      <formula>"Towel"</formula>
    </cfRule>
    <cfRule type="cellIs" dxfId="14610" priority="1292" stopIfTrue="1" operator="equal">
      <formula>"Napkin Hs"</formula>
    </cfRule>
  </conditionalFormatting>
  <conditionalFormatting sqref="C127">
    <cfRule type="cellIs" dxfId="14609" priority="1299" stopIfTrue="1" operator="equal">
      <formula>"Towel"</formula>
    </cfRule>
    <cfRule type="cellIs" dxfId="14608" priority="1300" stopIfTrue="1" operator="equal">
      <formula>"Napkin Hs"</formula>
    </cfRule>
  </conditionalFormatting>
  <conditionalFormatting sqref="C127">
    <cfRule type="cellIs" dxfId="14607" priority="1301" stopIfTrue="1" operator="equal">
      <formula>"Towel"</formula>
    </cfRule>
    <cfRule type="cellIs" dxfId="14606" priority="1302" stopIfTrue="1" operator="equal">
      <formula>"Napkin Hs"</formula>
    </cfRule>
  </conditionalFormatting>
  <conditionalFormatting sqref="C127">
    <cfRule type="cellIs" dxfId="14605" priority="1283" stopIfTrue="1" operator="equal">
      <formula>"Towel"</formula>
    </cfRule>
    <cfRule type="cellIs" dxfId="14604" priority="1284" stopIfTrue="1" operator="equal">
      <formula>"Napkin Hs"</formula>
    </cfRule>
  </conditionalFormatting>
  <conditionalFormatting sqref="C127">
    <cfRule type="cellIs" dxfId="14603" priority="1281" stopIfTrue="1" operator="equal">
      <formula>"Towel"</formula>
    </cfRule>
    <cfRule type="cellIs" dxfId="14602" priority="1282" stopIfTrue="1" operator="equal">
      <formula>"Napkin Hs"</formula>
    </cfRule>
  </conditionalFormatting>
  <conditionalFormatting sqref="B127:C127">
    <cfRule type="cellIs" dxfId="14601" priority="1279" stopIfTrue="1" operator="equal">
      <formula>"Towel"</formula>
    </cfRule>
    <cfRule type="cellIs" dxfId="14600" priority="1280" stopIfTrue="1" operator="equal">
      <formula>"Napkin Hs"</formula>
    </cfRule>
  </conditionalFormatting>
  <conditionalFormatting sqref="B127:C127">
    <cfRule type="cellIs" dxfId="14599" priority="1289" stopIfTrue="1" operator="equal">
      <formula>"Towel"</formula>
    </cfRule>
    <cfRule type="cellIs" dxfId="14598" priority="1290" stopIfTrue="1" operator="equal">
      <formula>"Napkin Hs"</formula>
    </cfRule>
  </conditionalFormatting>
  <conditionalFormatting sqref="C127">
    <cfRule type="cellIs" dxfId="14597" priority="1287" stopIfTrue="1" operator="equal">
      <formula>"Towel"</formula>
    </cfRule>
    <cfRule type="cellIs" dxfId="14596" priority="1288" stopIfTrue="1" operator="equal">
      <formula>"Napkin Hs"</formula>
    </cfRule>
  </conditionalFormatting>
  <conditionalFormatting sqref="C127">
    <cfRule type="cellIs" dxfId="14595" priority="1285" stopIfTrue="1" operator="equal">
      <formula>"Towel"</formula>
    </cfRule>
    <cfRule type="cellIs" dxfId="14594" priority="1286" stopIfTrue="1" operator="equal">
      <formula>"Napkin Hs"</formula>
    </cfRule>
  </conditionalFormatting>
  <conditionalFormatting sqref="C127">
    <cfRule type="cellIs" dxfId="14593" priority="1277" stopIfTrue="1" operator="equal">
      <formula>"Towel"</formula>
    </cfRule>
    <cfRule type="cellIs" dxfId="14592" priority="1278" stopIfTrue="1" operator="equal">
      <formula>"Napkin Hs"</formula>
    </cfRule>
  </conditionalFormatting>
  <conditionalFormatting sqref="C127">
    <cfRule type="cellIs" dxfId="14591" priority="1275" stopIfTrue="1" operator="equal">
      <formula>"Towel"</formula>
    </cfRule>
    <cfRule type="cellIs" dxfId="14590" priority="1276" stopIfTrue="1" operator="equal">
      <formula>"Napkin Hs"</formula>
    </cfRule>
  </conditionalFormatting>
  <conditionalFormatting sqref="B127:C127">
    <cfRule type="cellIs" dxfId="14589" priority="1273" stopIfTrue="1" operator="equal">
      <formula>"Towel"</formula>
    </cfRule>
    <cfRule type="cellIs" dxfId="14588" priority="1274" stopIfTrue="1" operator="equal">
      <formula>"Napkin Hs"</formula>
    </cfRule>
  </conditionalFormatting>
  <conditionalFormatting sqref="B127:C127">
    <cfRule type="cellIs" dxfId="14587" priority="1271" stopIfTrue="1" operator="equal">
      <formula>"Towel"</formula>
    </cfRule>
    <cfRule type="cellIs" dxfId="14586" priority="1272" stopIfTrue="1" operator="equal">
      <formula>"Napkin Hs"</formula>
    </cfRule>
  </conditionalFormatting>
  <conditionalFormatting sqref="C127">
    <cfRule type="cellIs" dxfId="14585" priority="1269" stopIfTrue="1" operator="equal">
      <formula>"Towel"</formula>
    </cfRule>
    <cfRule type="cellIs" dxfId="14584" priority="1270" stopIfTrue="1" operator="equal">
      <formula>"Napkin Hs"</formula>
    </cfRule>
  </conditionalFormatting>
  <conditionalFormatting sqref="C127">
    <cfRule type="cellIs" dxfId="14583" priority="1267" stopIfTrue="1" operator="equal">
      <formula>"Towel"</formula>
    </cfRule>
    <cfRule type="cellIs" dxfId="14582" priority="1268" stopIfTrue="1" operator="equal">
      <formula>"Napkin Hs"</formula>
    </cfRule>
  </conditionalFormatting>
  <conditionalFormatting sqref="C127">
    <cfRule type="cellIs" dxfId="14581" priority="1259" stopIfTrue="1" operator="equal">
      <formula>"Towel"</formula>
    </cfRule>
    <cfRule type="cellIs" dxfId="14580" priority="1260" stopIfTrue="1" operator="equal">
      <formula>"Napkin Hs"</formula>
    </cfRule>
  </conditionalFormatting>
  <conditionalFormatting sqref="B127:C127">
    <cfRule type="cellIs" dxfId="14579" priority="1261" stopIfTrue="1" operator="equal">
      <formula>"Towel"</formula>
    </cfRule>
    <cfRule type="cellIs" dxfId="14578" priority="1262" stopIfTrue="1" operator="equal">
      <formula>"Napkin Hs"</formula>
    </cfRule>
  </conditionalFormatting>
  <conditionalFormatting sqref="C127">
    <cfRule type="cellIs" dxfId="14577" priority="1257" stopIfTrue="1" operator="equal">
      <formula>"Towel"</formula>
    </cfRule>
    <cfRule type="cellIs" dxfId="14576" priority="1258" stopIfTrue="1" operator="equal">
      <formula>"Napkin Hs"</formula>
    </cfRule>
  </conditionalFormatting>
  <conditionalFormatting sqref="B127:C127">
    <cfRule type="cellIs" dxfId="14575" priority="1255" stopIfTrue="1" operator="equal">
      <formula>"Towel"</formula>
    </cfRule>
    <cfRule type="cellIs" dxfId="14574" priority="1256" stopIfTrue="1" operator="equal">
      <formula>"Napkin Hs"</formula>
    </cfRule>
  </conditionalFormatting>
  <conditionalFormatting sqref="C127">
    <cfRule type="cellIs" dxfId="14573" priority="1263" stopIfTrue="1" operator="equal">
      <formula>"Towel"</formula>
    </cfRule>
    <cfRule type="cellIs" dxfId="14572" priority="1264" stopIfTrue="1" operator="equal">
      <formula>"Napkin Hs"</formula>
    </cfRule>
  </conditionalFormatting>
  <conditionalFormatting sqref="C127">
    <cfRule type="cellIs" dxfId="14571" priority="1265" stopIfTrue="1" operator="equal">
      <formula>"Towel"</formula>
    </cfRule>
    <cfRule type="cellIs" dxfId="14570" priority="1266" stopIfTrue="1" operator="equal">
      <formula>"Napkin Hs"</formula>
    </cfRule>
  </conditionalFormatting>
  <conditionalFormatting sqref="B127:C127">
    <cfRule type="cellIs" dxfId="14569" priority="1253" stopIfTrue="1" operator="equal">
      <formula>"Towel"</formula>
    </cfRule>
    <cfRule type="cellIs" dxfId="14568" priority="1254" stopIfTrue="1" operator="equal">
      <formula>"Napkin Hs"</formula>
    </cfRule>
  </conditionalFormatting>
  <conditionalFormatting sqref="C127">
    <cfRule type="cellIs" dxfId="14567" priority="1252" stopIfTrue="1" operator="equal">
      <formula>"Napkin Hs"</formula>
    </cfRule>
  </conditionalFormatting>
  <conditionalFormatting sqref="C127">
    <cfRule type="cellIs" dxfId="14566" priority="1251" stopIfTrue="1" operator="equal">
      <formula>"Towel"</formula>
    </cfRule>
  </conditionalFormatting>
  <conditionalFormatting sqref="C127">
    <cfRule type="cellIs" dxfId="14565" priority="1249" stopIfTrue="1" operator="equal">
      <formula>"Towel"</formula>
    </cfRule>
    <cfRule type="cellIs" dxfId="14564" priority="1250" stopIfTrue="1" operator="equal">
      <formula>"Napkin Hs"</formula>
    </cfRule>
  </conditionalFormatting>
  <conditionalFormatting sqref="B127:C127">
    <cfRule type="cellIs" dxfId="14563" priority="1247" stopIfTrue="1" operator="equal">
      <formula>"Towel"</formula>
    </cfRule>
    <cfRule type="cellIs" dxfId="14562" priority="1248" stopIfTrue="1" operator="equal">
      <formula>"Napkin Hs"</formula>
    </cfRule>
  </conditionalFormatting>
  <conditionalFormatting sqref="C127">
    <cfRule type="cellIs" dxfId="14561" priority="1243" stopIfTrue="1" operator="equal">
      <formula>"Towel"</formula>
    </cfRule>
    <cfRule type="cellIs" dxfId="14560" priority="1244" stopIfTrue="1" operator="equal">
      <formula>"Napkin Hs"</formula>
    </cfRule>
  </conditionalFormatting>
  <conditionalFormatting sqref="C127">
    <cfRule type="cellIs" dxfId="14559" priority="1245" stopIfTrue="1" operator="equal">
      <formula>"Towel"</formula>
    </cfRule>
    <cfRule type="cellIs" dxfId="14558" priority="1246" stopIfTrue="1" operator="equal">
      <formula>"Napkin Hs"</formula>
    </cfRule>
  </conditionalFormatting>
  <conditionalFormatting sqref="B127:C127">
    <cfRule type="cellIs" dxfId="14557" priority="1241" stopIfTrue="1" operator="equal">
      <formula>"Towel"</formula>
    </cfRule>
    <cfRule type="cellIs" dxfId="14556" priority="1242" stopIfTrue="1" operator="equal">
      <formula>"Napkin Hs"</formula>
    </cfRule>
  </conditionalFormatting>
  <conditionalFormatting sqref="C127">
    <cfRule type="cellIs" dxfId="14555" priority="1239" stopIfTrue="1" operator="equal">
      <formula>"Towel"</formula>
    </cfRule>
    <cfRule type="cellIs" dxfId="14554" priority="1240" stopIfTrue="1" operator="equal">
      <formula>"Napkin Hs"</formula>
    </cfRule>
  </conditionalFormatting>
  <conditionalFormatting sqref="C127">
    <cfRule type="cellIs" dxfId="14553" priority="1237" stopIfTrue="1" operator="equal">
      <formula>"Towel"</formula>
    </cfRule>
    <cfRule type="cellIs" dxfId="14552" priority="1238" stopIfTrue="1" operator="equal">
      <formula>"Napkin Hs"</formula>
    </cfRule>
  </conditionalFormatting>
  <conditionalFormatting sqref="C127">
    <cfRule type="cellIs" dxfId="14551" priority="1229" stopIfTrue="1" operator="equal">
      <formula>"Towel"</formula>
    </cfRule>
    <cfRule type="cellIs" dxfId="14550" priority="1230" stopIfTrue="1" operator="equal">
      <formula>"Napkin Hs"</formula>
    </cfRule>
  </conditionalFormatting>
  <conditionalFormatting sqref="B127:C127">
    <cfRule type="cellIs" dxfId="14549" priority="1231" stopIfTrue="1" operator="equal">
      <formula>"Towel"</formula>
    </cfRule>
    <cfRule type="cellIs" dxfId="14548" priority="1232" stopIfTrue="1" operator="equal">
      <formula>"Napkin Hs"</formula>
    </cfRule>
  </conditionalFormatting>
  <conditionalFormatting sqref="C127">
    <cfRule type="cellIs" dxfId="14547" priority="1227" stopIfTrue="1" operator="equal">
      <formula>"Towel"</formula>
    </cfRule>
    <cfRule type="cellIs" dxfId="14546" priority="1228" stopIfTrue="1" operator="equal">
      <formula>"Napkin Hs"</formula>
    </cfRule>
  </conditionalFormatting>
  <conditionalFormatting sqref="B127:C127">
    <cfRule type="cellIs" dxfId="14545" priority="1225" stopIfTrue="1" operator="equal">
      <formula>"Towel"</formula>
    </cfRule>
    <cfRule type="cellIs" dxfId="14544" priority="1226" stopIfTrue="1" operator="equal">
      <formula>"Napkin Hs"</formula>
    </cfRule>
  </conditionalFormatting>
  <conditionalFormatting sqref="C127">
    <cfRule type="cellIs" dxfId="14543" priority="1233" stopIfTrue="1" operator="equal">
      <formula>"Towel"</formula>
    </cfRule>
    <cfRule type="cellIs" dxfId="14542" priority="1234" stopIfTrue="1" operator="equal">
      <formula>"Napkin Hs"</formula>
    </cfRule>
  </conditionalFormatting>
  <conditionalFormatting sqref="C127">
    <cfRule type="cellIs" dxfId="14541" priority="1235" stopIfTrue="1" operator="equal">
      <formula>"Towel"</formula>
    </cfRule>
    <cfRule type="cellIs" dxfId="14540" priority="1236" stopIfTrue="1" operator="equal">
      <formula>"Napkin Hs"</formula>
    </cfRule>
  </conditionalFormatting>
  <conditionalFormatting sqref="B127:C127">
    <cfRule type="cellIs" dxfId="14539" priority="1223" stopIfTrue="1" operator="equal">
      <formula>"Towel"</formula>
    </cfRule>
    <cfRule type="cellIs" dxfId="14538" priority="1224" stopIfTrue="1" operator="equal">
      <formula>"Napkin Hs"</formula>
    </cfRule>
  </conditionalFormatting>
  <conditionalFormatting sqref="C127">
    <cfRule type="cellIs" dxfId="14537" priority="1222" stopIfTrue="1" operator="equal">
      <formula>"Napkin Hs"</formula>
    </cfRule>
  </conditionalFormatting>
  <conditionalFormatting sqref="C127">
    <cfRule type="cellIs" dxfId="14536" priority="1221" stopIfTrue="1" operator="equal">
      <formula>"Towel"</formula>
    </cfRule>
  </conditionalFormatting>
  <conditionalFormatting sqref="C127">
    <cfRule type="cellIs" dxfId="14535" priority="1219" stopIfTrue="1" operator="equal">
      <formula>"Towel"</formula>
    </cfRule>
    <cfRule type="cellIs" dxfId="14534" priority="1220" stopIfTrue="1" operator="equal">
      <formula>"Napkin Hs"</formula>
    </cfRule>
  </conditionalFormatting>
  <conditionalFormatting sqref="B127:C127">
    <cfRule type="cellIs" dxfId="14533" priority="1217" stopIfTrue="1" operator="equal">
      <formula>"Towel"</formula>
    </cfRule>
    <cfRule type="cellIs" dxfId="14532" priority="1218" stopIfTrue="1" operator="equal">
      <formula>"Napkin Hs"</formula>
    </cfRule>
  </conditionalFormatting>
  <conditionalFormatting sqref="C127">
    <cfRule type="cellIs" dxfId="14531" priority="1213" stopIfTrue="1" operator="equal">
      <formula>"Towel"</formula>
    </cfRule>
    <cfRule type="cellIs" dxfId="14530" priority="1214" stopIfTrue="1" operator="equal">
      <formula>"Napkin Hs"</formula>
    </cfRule>
  </conditionalFormatting>
  <conditionalFormatting sqref="C127">
    <cfRule type="cellIs" dxfId="14529" priority="1215" stopIfTrue="1" operator="equal">
      <formula>"Towel"</formula>
    </cfRule>
    <cfRule type="cellIs" dxfId="14528" priority="1216" stopIfTrue="1" operator="equal">
      <formula>"Napkin Hs"</formula>
    </cfRule>
  </conditionalFormatting>
  <conditionalFormatting sqref="B127:C127">
    <cfRule type="cellIs" dxfId="14527" priority="1211" stopIfTrue="1" operator="equal">
      <formula>"Towel"</formula>
    </cfRule>
    <cfRule type="cellIs" dxfId="14526" priority="1212" stopIfTrue="1" operator="equal">
      <formula>"Napkin Hs"</formula>
    </cfRule>
  </conditionalFormatting>
  <conditionalFormatting sqref="C127">
    <cfRule type="cellIs" dxfId="14525" priority="1210" stopIfTrue="1" operator="equal">
      <formula>"Napkin Hs"</formula>
    </cfRule>
  </conditionalFormatting>
  <conditionalFormatting sqref="C127">
    <cfRule type="cellIs" dxfId="14524" priority="1209" stopIfTrue="1" operator="equal">
      <formula>"Towel"</formula>
    </cfRule>
  </conditionalFormatting>
  <conditionalFormatting sqref="C127">
    <cfRule type="cellIs" dxfId="14523" priority="1207" stopIfTrue="1" operator="equal">
      <formula>"Towel"</formula>
    </cfRule>
    <cfRule type="cellIs" dxfId="14522" priority="1208" stopIfTrue="1" operator="equal">
      <formula>"Napkin Hs"</formula>
    </cfRule>
  </conditionalFormatting>
  <conditionalFormatting sqref="B127:C127">
    <cfRule type="cellIs" dxfId="14521" priority="1205" stopIfTrue="1" operator="equal">
      <formula>"Towel"</formula>
    </cfRule>
    <cfRule type="cellIs" dxfId="14520" priority="1206" stopIfTrue="1" operator="equal">
      <formula>"Napkin Hs"</formula>
    </cfRule>
  </conditionalFormatting>
  <conditionalFormatting sqref="C127">
    <cfRule type="cellIs" dxfId="14519" priority="1201" stopIfTrue="1" operator="equal">
      <formula>"Towel"</formula>
    </cfRule>
    <cfRule type="cellIs" dxfId="14518" priority="1202" stopIfTrue="1" operator="equal">
      <formula>"Napkin Hs"</formula>
    </cfRule>
  </conditionalFormatting>
  <conditionalFormatting sqref="C127">
    <cfRule type="cellIs" dxfId="14517" priority="1203" stopIfTrue="1" operator="equal">
      <formula>"Towel"</formula>
    </cfRule>
    <cfRule type="cellIs" dxfId="14516" priority="1204" stopIfTrue="1" operator="equal">
      <formula>"Napkin Hs"</formula>
    </cfRule>
  </conditionalFormatting>
  <conditionalFormatting sqref="B127:C127">
    <cfRule type="cellIs" dxfId="14515" priority="1199" stopIfTrue="1" operator="equal">
      <formula>"Towel"</formula>
    </cfRule>
    <cfRule type="cellIs" dxfId="14514" priority="1200" stopIfTrue="1" operator="equal">
      <formula>"Napkin Hs"</formula>
    </cfRule>
  </conditionalFormatting>
  <conditionalFormatting sqref="C127">
    <cfRule type="cellIs" dxfId="14513" priority="1198" stopIfTrue="1" operator="equal">
      <formula>"Napkin Hs"</formula>
    </cfRule>
  </conditionalFormatting>
  <conditionalFormatting sqref="C127">
    <cfRule type="cellIs" dxfId="14512" priority="1197" stopIfTrue="1" operator="equal">
      <formula>"Towel"</formula>
    </cfRule>
  </conditionalFormatting>
  <conditionalFormatting sqref="C127">
    <cfRule type="cellIs" dxfId="14511" priority="1195" stopIfTrue="1" operator="equal">
      <formula>"Towel"</formula>
    </cfRule>
    <cfRule type="cellIs" dxfId="14510" priority="1196" stopIfTrue="1" operator="equal">
      <formula>"Napkin Hs"</formula>
    </cfRule>
  </conditionalFormatting>
  <conditionalFormatting sqref="C127">
    <cfRule type="cellIs" dxfId="14509" priority="1187" stopIfTrue="1" operator="equal">
      <formula>"Towel"</formula>
    </cfRule>
    <cfRule type="cellIs" dxfId="14508" priority="1188" stopIfTrue="1" operator="equal">
      <formula>"Napkin Hs"</formula>
    </cfRule>
  </conditionalFormatting>
  <conditionalFormatting sqref="B127:C127">
    <cfRule type="cellIs" dxfId="14507" priority="1189" stopIfTrue="1" operator="equal">
      <formula>"Towel"</formula>
    </cfRule>
    <cfRule type="cellIs" dxfId="14506" priority="1190" stopIfTrue="1" operator="equal">
      <formula>"Napkin Hs"</formula>
    </cfRule>
  </conditionalFormatting>
  <conditionalFormatting sqref="C127">
    <cfRule type="cellIs" dxfId="14505" priority="1185" stopIfTrue="1" operator="equal">
      <formula>"Towel"</formula>
    </cfRule>
    <cfRule type="cellIs" dxfId="14504" priority="1186" stopIfTrue="1" operator="equal">
      <formula>"Napkin Hs"</formula>
    </cfRule>
  </conditionalFormatting>
  <conditionalFormatting sqref="B127:C127">
    <cfRule type="cellIs" dxfId="14503" priority="1183" stopIfTrue="1" operator="equal">
      <formula>"Towel"</formula>
    </cfRule>
    <cfRule type="cellIs" dxfId="14502" priority="1184" stopIfTrue="1" operator="equal">
      <formula>"Napkin Hs"</formula>
    </cfRule>
  </conditionalFormatting>
  <conditionalFormatting sqref="C127">
    <cfRule type="cellIs" dxfId="14501" priority="1191" stopIfTrue="1" operator="equal">
      <formula>"Towel"</formula>
    </cfRule>
    <cfRule type="cellIs" dxfId="14500" priority="1192" stopIfTrue="1" operator="equal">
      <formula>"Napkin Hs"</formula>
    </cfRule>
  </conditionalFormatting>
  <conditionalFormatting sqref="C127">
    <cfRule type="cellIs" dxfId="14499" priority="1193" stopIfTrue="1" operator="equal">
      <formula>"Towel"</formula>
    </cfRule>
    <cfRule type="cellIs" dxfId="14498" priority="1194" stopIfTrue="1" operator="equal">
      <formula>"Napkin Hs"</formula>
    </cfRule>
  </conditionalFormatting>
  <conditionalFormatting sqref="B127:C127">
    <cfRule type="cellIs" dxfId="14497" priority="1181" stopIfTrue="1" operator="equal">
      <formula>"Towel"</formula>
    </cfRule>
    <cfRule type="cellIs" dxfId="14496" priority="1182" stopIfTrue="1" operator="equal">
      <formula>"Napkin Hs"</formula>
    </cfRule>
  </conditionalFormatting>
  <conditionalFormatting sqref="C127">
    <cfRule type="cellIs" dxfId="14495" priority="1177" stopIfTrue="1" operator="equal">
      <formula>"Towel"</formula>
    </cfRule>
    <cfRule type="cellIs" dxfId="14494" priority="1178" stopIfTrue="1" operator="equal">
      <formula>"Napkin Hs"</formula>
    </cfRule>
  </conditionalFormatting>
  <conditionalFormatting sqref="C127">
    <cfRule type="cellIs" dxfId="14493" priority="1179" stopIfTrue="1" operator="equal">
      <formula>"Towel"</formula>
    </cfRule>
    <cfRule type="cellIs" dxfId="14492" priority="1180" stopIfTrue="1" operator="equal">
      <formula>"Napkin Hs"</formula>
    </cfRule>
  </conditionalFormatting>
  <conditionalFormatting sqref="C127">
    <cfRule type="cellIs" dxfId="14491" priority="1169" stopIfTrue="1" operator="equal">
      <formula>"Towel"</formula>
    </cfRule>
    <cfRule type="cellIs" dxfId="14490" priority="1170" stopIfTrue="1" operator="equal">
      <formula>"Napkin Hs"</formula>
    </cfRule>
  </conditionalFormatting>
  <conditionalFormatting sqref="B127:C127">
    <cfRule type="cellIs" dxfId="14489" priority="1171" stopIfTrue="1" operator="equal">
      <formula>"Towel"</formula>
    </cfRule>
    <cfRule type="cellIs" dxfId="14488" priority="1172" stopIfTrue="1" operator="equal">
      <formula>"Napkin Hs"</formula>
    </cfRule>
  </conditionalFormatting>
  <conditionalFormatting sqref="C127">
    <cfRule type="cellIs" dxfId="14487" priority="1167" stopIfTrue="1" operator="equal">
      <formula>"Towel"</formula>
    </cfRule>
    <cfRule type="cellIs" dxfId="14486" priority="1168" stopIfTrue="1" operator="equal">
      <formula>"Napkin Hs"</formula>
    </cfRule>
  </conditionalFormatting>
  <conditionalFormatting sqref="B127:C127">
    <cfRule type="cellIs" dxfId="14485" priority="1165" stopIfTrue="1" operator="equal">
      <formula>"Towel"</formula>
    </cfRule>
    <cfRule type="cellIs" dxfId="14484" priority="1166" stopIfTrue="1" operator="equal">
      <formula>"Napkin Hs"</formula>
    </cfRule>
  </conditionalFormatting>
  <conditionalFormatting sqref="C127">
    <cfRule type="cellIs" dxfId="14483" priority="1173" stopIfTrue="1" operator="equal">
      <formula>"Towel"</formula>
    </cfRule>
    <cfRule type="cellIs" dxfId="14482" priority="1174" stopIfTrue="1" operator="equal">
      <formula>"Napkin Hs"</formula>
    </cfRule>
  </conditionalFormatting>
  <conditionalFormatting sqref="C127">
    <cfRule type="cellIs" dxfId="14481" priority="1175" stopIfTrue="1" operator="equal">
      <formula>"Towel"</formula>
    </cfRule>
    <cfRule type="cellIs" dxfId="14480" priority="1176" stopIfTrue="1" operator="equal">
      <formula>"Napkin Hs"</formula>
    </cfRule>
  </conditionalFormatting>
  <conditionalFormatting sqref="B127:C127">
    <cfRule type="cellIs" dxfId="14479" priority="1163" stopIfTrue="1" operator="equal">
      <formula>"Towel"</formula>
    </cfRule>
    <cfRule type="cellIs" dxfId="14478" priority="1164" stopIfTrue="1" operator="equal">
      <formula>"Napkin Hs"</formula>
    </cfRule>
  </conditionalFormatting>
  <conditionalFormatting sqref="C127">
    <cfRule type="cellIs" dxfId="14477" priority="1162" stopIfTrue="1" operator="equal">
      <formula>"Napkin Hs"</formula>
    </cfRule>
  </conditionalFormatting>
  <conditionalFormatting sqref="C127">
    <cfRule type="cellIs" dxfId="14476" priority="1161" stopIfTrue="1" operator="equal">
      <formula>"Towel"</formula>
    </cfRule>
  </conditionalFormatting>
  <conditionalFormatting sqref="C127">
    <cfRule type="cellIs" dxfId="14475" priority="1159" stopIfTrue="1" operator="equal">
      <formula>"Towel"</formula>
    </cfRule>
    <cfRule type="cellIs" dxfId="14474" priority="1160" stopIfTrue="1" operator="equal">
      <formula>"Napkin Hs"</formula>
    </cfRule>
  </conditionalFormatting>
  <conditionalFormatting sqref="B128">
    <cfRule type="cellIs" dxfId="14473" priority="1157" stopIfTrue="1" operator="equal">
      <formula>"Towel"</formula>
    </cfRule>
    <cfRule type="cellIs" dxfId="14472" priority="1158" stopIfTrue="1" operator="equal">
      <formula>"Napkin Hs"</formula>
    </cfRule>
  </conditionalFormatting>
  <conditionalFormatting sqref="B128">
    <cfRule type="cellIs" dxfId="14471" priority="1155" stopIfTrue="1" operator="equal">
      <formula>"Towel"</formula>
    </cfRule>
    <cfRule type="cellIs" dxfId="14470" priority="1156" stopIfTrue="1" operator="equal">
      <formula>"Napkin Hs"</formula>
    </cfRule>
  </conditionalFormatting>
  <conditionalFormatting sqref="B128">
    <cfRule type="cellIs" dxfId="14469" priority="1153" stopIfTrue="1" operator="equal">
      <formula>"Towel"</formula>
    </cfRule>
    <cfRule type="cellIs" dxfId="14468" priority="1154" stopIfTrue="1" operator="equal">
      <formula>"Napkin Hs"</formula>
    </cfRule>
  </conditionalFormatting>
  <conditionalFormatting sqref="B128">
    <cfRule type="cellIs" dxfId="14467" priority="1151" stopIfTrue="1" operator="equal">
      <formula>"Towel"</formula>
    </cfRule>
    <cfRule type="cellIs" dxfId="14466" priority="1152" stopIfTrue="1" operator="equal">
      <formula>"Napkin Hs"</formula>
    </cfRule>
  </conditionalFormatting>
  <conditionalFormatting sqref="B128">
    <cfRule type="cellIs" dxfId="14465" priority="1149" stopIfTrue="1" operator="equal">
      <formula>"Towel"</formula>
    </cfRule>
    <cfRule type="cellIs" dxfId="14464" priority="1150" stopIfTrue="1" operator="equal">
      <formula>"Napkin Hs"</formula>
    </cfRule>
  </conditionalFormatting>
  <conditionalFormatting sqref="B128">
    <cfRule type="cellIs" dxfId="14463" priority="1147" stopIfTrue="1" operator="equal">
      <formula>"Towel"</formula>
    </cfRule>
    <cfRule type="cellIs" dxfId="14462" priority="1148" stopIfTrue="1" operator="equal">
      <formula>"Napkin Hs"</formula>
    </cfRule>
  </conditionalFormatting>
  <conditionalFormatting sqref="B128">
    <cfRule type="cellIs" dxfId="14461" priority="1145" stopIfTrue="1" operator="equal">
      <formula>"Towel"</formula>
    </cfRule>
    <cfRule type="cellIs" dxfId="14460" priority="1146" stopIfTrue="1" operator="equal">
      <formula>"Napkin Hs"</formula>
    </cfRule>
  </conditionalFormatting>
  <conditionalFormatting sqref="B128">
    <cfRule type="cellIs" dxfId="14459" priority="1143" stopIfTrue="1" operator="equal">
      <formula>"Towel"</formula>
    </cfRule>
    <cfRule type="cellIs" dxfId="14458" priority="1144" stopIfTrue="1" operator="equal">
      <formula>"Napkin Hs"</formula>
    </cfRule>
  </conditionalFormatting>
  <conditionalFormatting sqref="B128">
    <cfRule type="cellIs" dxfId="14457" priority="1139" stopIfTrue="1" operator="equal">
      <formula>"Towel"</formula>
    </cfRule>
    <cfRule type="cellIs" dxfId="14456" priority="1140" stopIfTrue="1" operator="equal">
      <formula>"Napkin Hs"</formula>
    </cfRule>
  </conditionalFormatting>
  <conditionalFormatting sqref="B128">
    <cfRule type="cellIs" dxfId="14455" priority="1137" stopIfTrue="1" operator="equal">
      <formula>"Towel"</formula>
    </cfRule>
    <cfRule type="cellIs" dxfId="14454" priority="1138" stopIfTrue="1" operator="equal">
      <formula>"Napkin Hs"</formula>
    </cfRule>
  </conditionalFormatting>
  <conditionalFormatting sqref="B128">
    <cfRule type="cellIs" dxfId="14453" priority="1141" stopIfTrue="1" operator="equal">
      <formula>"Towel"</formula>
    </cfRule>
    <cfRule type="cellIs" dxfId="14452" priority="1142" stopIfTrue="1" operator="equal">
      <formula>"Napkin Hs"</formula>
    </cfRule>
  </conditionalFormatting>
  <conditionalFormatting sqref="B128">
    <cfRule type="cellIs" dxfId="14451" priority="1131" stopIfTrue="1" operator="equal">
      <formula>"Towel"</formula>
    </cfRule>
    <cfRule type="cellIs" dxfId="14450" priority="1132" stopIfTrue="1" operator="equal">
      <formula>"Napkin Hs"</formula>
    </cfRule>
  </conditionalFormatting>
  <conditionalFormatting sqref="B128">
    <cfRule type="cellIs" dxfId="14449" priority="1133" stopIfTrue="1" operator="equal">
      <formula>"Towel"</formula>
    </cfRule>
    <cfRule type="cellIs" dxfId="14448" priority="1134" stopIfTrue="1" operator="equal">
      <formula>"Napkin Hs"</formula>
    </cfRule>
  </conditionalFormatting>
  <conditionalFormatting sqref="B128">
    <cfRule type="cellIs" dxfId="14447" priority="1135" stopIfTrue="1" operator="equal">
      <formula>"Towel"</formula>
    </cfRule>
    <cfRule type="cellIs" dxfId="14446" priority="1136" stopIfTrue="1" operator="equal">
      <formula>"Napkin Hs"</formula>
    </cfRule>
  </conditionalFormatting>
  <conditionalFormatting sqref="B128">
    <cfRule type="cellIs" dxfId="14445" priority="1129" stopIfTrue="1" operator="equal">
      <formula>"Towel"</formula>
    </cfRule>
    <cfRule type="cellIs" dxfId="14444" priority="1130" stopIfTrue="1" operator="equal">
      <formula>"Napkin Hs"</formula>
    </cfRule>
  </conditionalFormatting>
  <conditionalFormatting sqref="B128">
    <cfRule type="cellIs" dxfId="14443" priority="1127" stopIfTrue="1" operator="equal">
      <formula>"Towel"</formula>
    </cfRule>
    <cfRule type="cellIs" dxfId="14442" priority="1128" stopIfTrue="1" operator="equal">
      <formula>"Napkin Hs"</formula>
    </cfRule>
  </conditionalFormatting>
  <conditionalFormatting sqref="B128">
    <cfRule type="cellIs" dxfId="14441" priority="1125" stopIfTrue="1" operator="equal">
      <formula>"Towel"</formula>
    </cfRule>
    <cfRule type="cellIs" dxfId="14440" priority="1126" stopIfTrue="1" operator="equal">
      <formula>"Napkin Hs"</formula>
    </cfRule>
  </conditionalFormatting>
  <conditionalFormatting sqref="B128">
    <cfRule type="cellIs" dxfId="14439" priority="1121" stopIfTrue="1" operator="equal">
      <formula>"Towel"</formula>
    </cfRule>
    <cfRule type="cellIs" dxfId="14438" priority="1122" stopIfTrue="1" operator="equal">
      <formula>"Napkin Hs"</formula>
    </cfRule>
  </conditionalFormatting>
  <conditionalFormatting sqref="B128">
    <cfRule type="cellIs" dxfId="14437" priority="1119" stopIfTrue="1" operator="equal">
      <formula>"Towel"</formula>
    </cfRule>
    <cfRule type="cellIs" dxfId="14436" priority="1120" stopIfTrue="1" operator="equal">
      <formula>"Napkin Hs"</formula>
    </cfRule>
  </conditionalFormatting>
  <conditionalFormatting sqref="B128">
    <cfRule type="cellIs" dxfId="14435" priority="1123" stopIfTrue="1" operator="equal">
      <formula>"Towel"</formula>
    </cfRule>
    <cfRule type="cellIs" dxfId="14434" priority="1124" stopIfTrue="1" operator="equal">
      <formula>"Napkin Hs"</formula>
    </cfRule>
  </conditionalFormatting>
  <conditionalFormatting sqref="B128">
    <cfRule type="cellIs" dxfId="14433" priority="1117" stopIfTrue="1" operator="equal">
      <formula>"Towel"</formula>
    </cfRule>
    <cfRule type="cellIs" dxfId="14432" priority="1118" stopIfTrue="1" operator="equal">
      <formula>"Napkin Hs"</formula>
    </cfRule>
  </conditionalFormatting>
  <conditionalFormatting sqref="B128">
    <cfRule type="cellIs" dxfId="14431" priority="1115" stopIfTrue="1" operator="equal">
      <formula>"Towel"</formula>
    </cfRule>
    <cfRule type="cellIs" dxfId="14430" priority="1116" stopIfTrue="1" operator="equal">
      <formula>"Napkin Hs"</formula>
    </cfRule>
  </conditionalFormatting>
  <conditionalFormatting sqref="B128">
    <cfRule type="cellIs" dxfId="14429" priority="1113" stopIfTrue="1" operator="equal">
      <formula>"Towel"</formula>
    </cfRule>
    <cfRule type="cellIs" dxfId="14428" priority="1114" stopIfTrue="1" operator="equal">
      <formula>"Napkin Hs"</formula>
    </cfRule>
  </conditionalFormatting>
  <conditionalFormatting sqref="B128">
    <cfRule type="cellIs" dxfId="14427" priority="1111" stopIfTrue="1" operator="equal">
      <formula>"Towel"</formula>
    </cfRule>
    <cfRule type="cellIs" dxfId="14426" priority="1112" stopIfTrue="1" operator="equal">
      <formula>"Napkin Hs"</formula>
    </cfRule>
  </conditionalFormatting>
  <conditionalFormatting sqref="B128">
    <cfRule type="cellIs" dxfId="14425" priority="1109" stopIfTrue="1" operator="equal">
      <formula>"Towel"</formula>
    </cfRule>
    <cfRule type="cellIs" dxfId="14424" priority="1110" stopIfTrue="1" operator="equal">
      <formula>"Napkin Hs"</formula>
    </cfRule>
  </conditionalFormatting>
  <conditionalFormatting sqref="B128">
    <cfRule type="cellIs" dxfId="14423" priority="1107" stopIfTrue="1" operator="equal">
      <formula>"Towel"</formula>
    </cfRule>
    <cfRule type="cellIs" dxfId="14422" priority="1108" stopIfTrue="1" operator="equal">
      <formula>"Napkin Hs"</formula>
    </cfRule>
  </conditionalFormatting>
  <conditionalFormatting sqref="B128">
    <cfRule type="cellIs" dxfId="14421" priority="1105" stopIfTrue="1" operator="equal">
      <formula>"Towel"</formula>
    </cfRule>
    <cfRule type="cellIs" dxfId="14420" priority="1106" stopIfTrue="1" operator="equal">
      <formula>"Napkin Hs"</formula>
    </cfRule>
  </conditionalFormatting>
  <conditionalFormatting sqref="B128">
    <cfRule type="cellIs" dxfId="14419" priority="1103" stopIfTrue="1" operator="equal">
      <formula>"Towel"</formula>
    </cfRule>
    <cfRule type="cellIs" dxfId="14418" priority="1104" stopIfTrue="1" operator="equal">
      <formula>"Napkin Hs"</formula>
    </cfRule>
  </conditionalFormatting>
  <conditionalFormatting sqref="B139:C139">
    <cfRule type="cellIs" dxfId="14417" priority="1047" stopIfTrue="1" operator="equal">
      <formula>"Towel"</formula>
    </cfRule>
    <cfRule type="cellIs" dxfId="14416" priority="1048" stopIfTrue="1" operator="equal">
      <formula>"Napkin Hs"</formula>
    </cfRule>
  </conditionalFormatting>
  <conditionalFormatting sqref="C139">
    <cfRule type="cellIs" dxfId="14415" priority="1046" stopIfTrue="1" operator="equal">
      <formula>"Napkin Hs"</formula>
    </cfRule>
  </conditionalFormatting>
  <conditionalFormatting sqref="C139">
    <cfRule type="cellIs" dxfId="14414" priority="1045" stopIfTrue="1" operator="equal">
      <formula>"Towel"</formula>
    </cfRule>
  </conditionalFormatting>
  <conditionalFormatting sqref="C139">
    <cfRule type="cellIs" dxfId="14413" priority="1043" stopIfTrue="1" operator="equal">
      <formula>"Towel"</formula>
    </cfRule>
    <cfRule type="cellIs" dxfId="14412" priority="1044" stopIfTrue="1" operator="equal">
      <formula>"Napkin Hs"</formula>
    </cfRule>
  </conditionalFormatting>
  <conditionalFormatting sqref="B138:C138">
    <cfRule type="cellIs" dxfId="14411" priority="1041" stopIfTrue="1" operator="equal">
      <formula>"Towel"</formula>
    </cfRule>
    <cfRule type="cellIs" dxfId="14410" priority="1042" stopIfTrue="1" operator="equal">
      <formula>"Napkin Hs"</formula>
    </cfRule>
  </conditionalFormatting>
  <conditionalFormatting sqref="C138">
    <cfRule type="cellIs" dxfId="14409" priority="1040" stopIfTrue="1" operator="equal">
      <formula>"Napkin Hs"</formula>
    </cfRule>
  </conditionalFormatting>
  <conditionalFormatting sqref="C138">
    <cfRule type="cellIs" dxfId="14408" priority="1039" stopIfTrue="1" operator="equal">
      <formula>"Towel"</formula>
    </cfRule>
  </conditionalFormatting>
  <conditionalFormatting sqref="C138">
    <cfRule type="cellIs" dxfId="14407" priority="1037" stopIfTrue="1" operator="equal">
      <formula>"Towel"</formula>
    </cfRule>
    <cfRule type="cellIs" dxfId="14406" priority="1038" stopIfTrue="1" operator="equal">
      <formula>"Napkin Hs"</formula>
    </cfRule>
  </conditionalFormatting>
  <conditionalFormatting sqref="B140:C140">
    <cfRule type="cellIs" dxfId="14405" priority="1035" stopIfTrue="1" operator="equal">
      <formula>"Towel"</formula>
    </cfRule>
    <cfRule type="cellIs" dxfId="14404" priority="1036" stopIfTrue="1" operator="equal">
      <formula>"Napkin Hs"</formula>
    </cfRule>
  </conditionalFormatting>
  <conditionalFormatting sqref="C140">
    <cfRule type="cellIs" dxfId="14403" priority="1031" stopIfTrue="1" operator="equal">
      <formula>"Towel"</formula>
    </cfRule>
    <cfRule type="cellIs" dxfId="14402" priority="1032" stopIfTrue="1" operator="equal">
      <formula>"Napkin Hs"</formula>
    </cfRule>
  </conditionalFormatting>
  <conditionalFormatting sqref="C140">
    <cfRule type="cellIs" dxfId="14401" priority="1033" stopIfTrue="1" operator="equal">
      <formula>"Towel"</formula>
    </cfRule>
    <cfRule type="cellIs" dxfId="14400" priority="1034" stopIfTrue="1" operator="equal">
      <formula>"Napkin Hs"</formula>
    </cfRule>
  </conditionalFormatting>
  <conditionalFormatting sqref="B140:C140">
    <cfRule type="cellIs" dxfId="14399" priority="1029" stopIfTrue="1" operator="equal">
      <formula>"Towel"</formula>
    </cfRule>
    <cfRule type="cellIs" dxfId="14398" priority="1030" stopIfTrue="1" operator="equal">
      <formula>"Napkin Hs"</formula>
    </cfRule>
  </conditionalFormatting>
  <conditionalFormatting sqref="C140">
    <cfRule type="cellIs" dxfId="14397" priority="1027" stopIfTrue="1" operator="equal">
      <formula>"Towel"</formula>
    </cfRule>
    <cfRule type="cellIs" dxfId="14396" priority="1028" stopIfTrue="1" operator="equal">
      <formula>"Napkin Hs"</formula>
    </cfRule>
  </conditionalFormatting>
  <conditionalFormatting sqref="C140">
    <cfRule type="cellIs" dxfId="14395" priority="1025" stopIfTrue="1" operator="equal">
      <formula>"Towel"</formula>
    </cfRule>
    <cfRule type="cellIs" dxfId="14394" priority="1026" stopIfTrue="1" operator="equal">
      <formula>"Napkin Hs"</formula>
    </cfRule>
  </conditionalFormatting>
  <conditionalFormatting sqref="C140">
    <cfRule type="cellIs" dxfId="14393" priority="1017" stopIfTrue="1" operator="equal">
      <formula>"Towel"</formula>
    </cfRule>
    <cfRule type="cellIs" dxfId="14392" priority="1018" stopIfTrue="1" operator="equal">
      <formula>"Napkin Hs"</formula>
    </cfRule>
  </conditionalFormatting>
  <conditionalFormatting sqref="B140:C140">
    <cfRule type="cellIs" dxfId="14391" priority="1019" stopIfTrue="1" operator="equal">
      <formula>"Towel"</formula>
    </cfRule>
    <cfRule type="cellIs" dxfId="14390" priority="1020" stopIfTrue="1" operator="equal">
      <formula>"Napkin Hs"</formula>
    </cfRule>
  </conditionalFormatting>
  <conditionalFormatting sqref="C140">
    <cfRule type="cellIs" dxfId="14389" priority="1015" stopIfTrue="1" operator="equal">
      <formula>"Towel"</formula>
    </cfRule>
    <cfRule type="cellIs" dxfId="14388" priority="1016" stopIfTrue="1" operator="equal">
      <formula>"Napkin Hs"</formula>
    </cfRule>
  </conditionalFormatting>
  <conditionalFormatting sqref="B140:C140">
    <cfRule type="cellIs" dxfId="14387" priority="1013" stopIfTrue="1" operator="equal">
      <formula>"Towel"</formula>
    </cfRule>
    <cfRule type="cellIs" dxfId="14386" priority="1014" stopIfTrue="1" operator="equal">
      <formula>"Napkin Hs"</formula>
    </cfRule>
  </conditionalFormatting>
  <conditionalFormatting sqref="C140">
    <cfRule type="cellIs" dxfId="14385" priority="1021" stopIfTrue="1" operator="equal">
      <formula>"Towel"</formula>
    </cfRule>
    <cfRule type="cellIs" dxfId="14384" priority="1022" stopIfTrue="1" operator="equal">
      <formula>"Napkin Hs"</formula>
    </cfRule>
  </conditionalFormatting>
  <conditionalFormatting sqref="C140">
    <cfRule type="cellIs" dxfId="14383" priority="1023" stopIfTrue="1" operator="equal">
      <formula>"Towel"</formula>
    </cfRule>
    <cfRule type="cellIs" dxfId="14382" priority="1024" stopIfTrue="1" operator="equal">
      <formula>"Napkin Hs"</formula>
    </cfRule>
  </conditionalFormatting>
  <conditionalFormatting sqref="B131:C131">
    <cfRule type="cellIs" dxfId="14381" priority="1011" stopIfTrue="1" operator="equal">
      <formula>"Towel"</formula>
    </cfRule>
    <cfRule type="cellIs" dxfId="14380" priority="1012" stopIfTrue="1" operator="equal">
      <formula>"Napkin Hs"</formula>
    </cfRule>
  </conditionalFormatting>
  <conditionalFormatting sqref="C132">
    <cfRule type="cellIs" dxfId="14379" priority="1005" stopIfTrue="1" operator="equal">
      <formula>"Towel"</formula>
    </cfRule>
    <cfRule type="cellIs" dxfId="14378" priority="1006" stopIfTrue="1" operator="equal">
      <formula>"Napkin Hs"</formula>
    </cfRule>
  </conditionalFormatting>
  <conditionalFormatting sqref="C131">
    <cfRule type="cellIs" dxfId="14377" priority="1010" stopIfTrue="1" operator="equal">
      <formula>"Napkin Hs"</formula>
    </cfRule>
  </conditionalFormatting>
  <conditionalFormatting sqref="C131">
    <cfRule type="cellIs" dxfId="14376" priority="1009" stopIfTrue="1" operator="equal">
      <formula>"Towel"</formula>
    </cfRule>
  </conditionalFormatting>
  <conditionalFormatting sqref="C131">
    <cfRule type="cellIs" dxfId="14375" priority="1007" stopIfTrue="1" operator="equal">
      <formula>"Towel"</formula>
    </cfRule>
    <cfRule type="cellIs" dxfId="14374" priority="1008" stopIfTrue="1" operator="equal">
      <formula>"Napkin Hs"</formula>
    </cfRule>
  </conditionalFormatting>
  <conditionalFormatting sqref="C132">
    <cfRule type="cellIs" dxfId="14373" priority="1001" stopIfTrue="1" operator="equal">
      <formula>"Towel"</formula>
    </cfRule>
    <cfRule type="cellIs" dxfId="14372" priority="1002" stopIfTrue="1" operator="equal">
      <formula>"Napkin Hs"</formula>
    </cfRule>
  </conditionalFormatting>
  <conditionalFormatting sqref="C132">
    <cfRule type="cellIs" dxfId="14371" priority="1003" stopIfTrue="1" operator="equal">
      <formula>"Towel"</formula>
    </cfRule>
    <cfRule type="cellIs" dxfId="14370" priority="1004" stopIfTrue="1" operator="equal">
      <formula>"Napkin Hs"</formula>
    </cfRule>
  </conditionalFormatting>
  <conditionalFormatting sqref="C134">
    <cfRule type="cellIs" dxfId="14369" priority="999" stopIfTrue="1" operator="equal">
      <formula>"Towel"</formula>
    </cfRule>
    <cfRule type="cellIs" dxfId="14368" priority="1000" stopIfTrue="1" operator="equal">
      <formula>"Napkin Hs"</formula>
    </cfRule>
  </conditionalFormatting>
  <conditionalFormatting sqref="C134">
    <cfRule type="cellIs" dxfId="14367" priority="991" stopIfTrue="1" operator="equal">
      <formula>"Towel"</formula>
    </cfRule>
    <cfRule type="cellIs" dxfId="14366" priority="992" stopIfTrue="1" operator="equal">
      <formula>"Napkin Hs"</formula>
    </cfRule>
  </conditionalFormatting>
  <conditionalFormatting sqref="C134">
    <cfRule type="cellIs" dxfId="14365" priority="989" stopIfTrue="1" operator="equal">
      <formula>"Towel"</formula>
    </cfRule>
    <cfRule type="cellIs" dxfId="14364" priority="990" stopIfTrue="1" operator="equal">
      <formula>"Napkin Hs"</formula>
    </cfRule>
  </conditionalFormatting>
  <conditionalFormatting sqref="C134">
    <cfRule type="cellIs" dxfId="14363" priority="987" stopIfTrue="1" operator="equal">
      <formula>"Towel"</formula>
    </cfRule>
    <cfRule type="cellIs" dxfId="14362" priority="988" stopIfTrue="1" operator="equal">
      <formula>"Napkin Hs"</formula>
    </cfRule>
  </conditionalFormatting>
  <conditionalFormatting sqref="C134">
    <cfRule type="cellIs" dxfId="14361" priority="981" stopIfTrue="1" operator="equal">
      <formula>"Towel"</formula>
    </cfRule>
    <cfRule type="cellIs" dxfId="14360" priority="982" stopIfTrue="1" operator="equal">
      <formula>"Napkin Hs"</formula>
    </cfRule>
  </conditionalFormatting>
  <conditionalFormatting sqref="C134">
    <cfRule type="cellIs" dxfId="14359" priority="983" stopIfTrue="1" operator="equal">
      <formula>"Towel"</formula>
    </cfRule>
    <cfRule type="cellIs" dxfId="14358" priority="984" stopIfTrue="1" operator="equal">
      <formula>"Napkin Hs"</formula>
    </cfRule>
  </conditionalFormatting>
  <conditionalFormatting sqref="C134">
    <cfRule type="cellIs" dxfId="14357" priority="985" stopIfTrue="1" operator="equal">
      <formula>"Towel"</formula>
    </cfRule>
    <cfRule type="cellIs" dxfId="14356" priority="986" stopIfTrue="1" operator="equal">
      <formula>"Napkin Hs"</formula>
    </cfRule>
  </conditionalFormatting>
  <conditionalFormatting sqref="C134">
    <cfRule type="cellIs" dxfId="14355" priority="997" stopIfTrue="1" operator="equal">
      <formula>"Towel"</formula>
    </cfRule>
    <cfRule type="cellIs" dxfId="14354" priority="998" stopIfTrue="1" operator="equal">
      <formula>"Napkin Hs"</formula>
    </cfRule>
  </conditionalFormatting>
  <conditionalFormatting sqref="C134">
    <cfRule type="cellIs" dxfId="14353" priority="995" stopIfTrue="1" operator="equal">
      <formula>"Towel"</formula>
    </cfRule>
    <cfRule type="cellIs" dxfId="14352" priority="996" stopIfTrue="1" operator="equal">
      <formula>"Napkin Hs"</formula>
    </cfRule>
  </conditionalFormatting>
  <conditionalFormatting sqref="C134">
    <cfRule type="cellIs" dxfId="14351" priority="993" stopIfTrue="1" operator="equal">
      <formula>"Towel"</formula>
    </cfRule>
    <cfRule type="cellIs" dxfId="14350" priority="994" stopIfTrue="1" operator="equal">
      <formula>"Napkin Hs"</formula>
    </cfRule>
  </conditionalFormatting>
  <conditionalFormatting sqref="B133:C133">
    <cfRule type="cellIs" dxfId="14349" priority="967" stopIfTrue="1" operator="equal">
      <formula>"Towel"</formula>
    </cfRule>
    <cfRule type="cellIs" dxfId="14348" priority="968" stopIfTrue="1" operator="equal">
      <formula>"Napkin Hs"</formula>
    </cfRule>
  </conditionalFormatting>
  <conditionalFormatting sqref="C133">
    <cfRule type="cellIs" dxfId="14347" priority="965" stopIfTrue="1" operator="equal">
      <formula>"Towel"</formula>
    </cfRule>
    <cfRule type="cellIs" dxfId="14346" priority="966" stopIfTrue="1" operator="equal">
      <formula>"Napkin Hs"</formula>
    </cfRule>
  </conditionalFormatting>
  <conditionalFormatting sqref="C133">
    <cfRule type="cellIs" dxfId="14345" priority="963" stopIfTrue="1" operator="equal">
      <formula>"Towel"</formula>
    </cfRule>
    <cfRule type="cellIs" dxfId="14344" priority="964" stopIfTrue="1" operator="equal">
      <formula>"Napkin Hs"</formula>
    </cfRule>
  </conditionalFormatting>
  <conditionalFormatting sqref="B134">
    <cfRule type="cellIs" dxfId="14343" priority="973" stopIfTrue="1" operator="equal">
      <formula>"Towel"</formula>
    </cfRule>
    <cfRule type="cellIs" dxfId="14342" priority="974" stopIfTrue="1" operator="equal">
      <formula>"Napkin Hs"</formula>
    </cfRule>
  </conditionalFormatting>
  <conditionalFormatting sqref="B134">
    <cfRule type="cellIs" dxfId="14341" priority="971" stopIfTrue="1" operator="equal">
      <formula>"Towel"</formula>
    </cfRule>
    <cfRule type="cellIs" dxfId="14340" priority="972" stopIfTrue="1" operator="equal">
      <formula>"Napkin Hs"</formula>
    </cfRule>
  </conditionalFormatting>
  <conditionalFormatting sqref="B134">
    <cfRule type="cellIs" dxfId="14339" priority="969" stopIfTrue="1" operator="equal">
      <formula>"Towel"</formula>
    </cfRule>
    <cfRule type="cellIs" dxfId="14338" priority="970" stopIfTrue="1" operator="equal">
      <formula>"Napkin Hs"</formula>
    </cfRule>
  </conditionalFormatting>
  <conditionalFormatting sqref="B133:C133">
    <cfRule type="cellIs" dxfId="14337" priority="961" stopIfTrue="1" operator="equal">
      <formula>"Towel"</formula>
    </cfRule>
    <cfRule type="cellIs" dxfId="14336" priority="962" stopIfTrue="1" operator="equal">
      <formula>"Napkin Hs"</formula>
    </cfRule>
  </conditionalFormatting>
  <conditionalFormatting sqref="C133">
    <cfRule type="cellIs" dxfId="14335" priority="959" stopIfTrue="1" operator="equal">
      <formula>"Towel"</formula>
    </cfRule>
    <cfRule type="cellIs" dxfId="14334" priority="960" stopIfTrue="1" operator="equal">
      <formula>"Napkin Hs"</formula>
    </cfRule>
  </conditionalFormatting>
  <conditionalFormatting sqref="C133">
    <cfRule type="cellIs" dxfId="14333" priority="957" stopIfTrue="1" operator="equal">
      <formula>"Towel"</formula>
    </cfRule>
    <cfRule type="cellIs" dxfId="14332" priority="958" stopIfTrue="1" operator="equal">
      <formula>"Napkin Hs"</formula>
    </cfRule>
  </conditionalFormatting>
  <conditionalFormatting sqref="C134">
    <cfRule type="cellIs" dxfId="14331" priority="979" stopIfTrue="1" operator="equal">
      <formula>"Towel"</formula>
    </cfRule>
    <cfRule type="cellIs" dxfId="14330" priority="980" stopIfTrue="1" operator="equal">
      <formula>"Napkin Hs"</formula>
    </cfRule>
  </conditionalFormatting>
  <conditionalFormatting sqref="C134">
    <cfRule type="cellIs" dxfId="14329" priority="977" stopIfTrue="1" operator="equal">
      <formula>"Towel"</formula>
    </cfRule>
    <cfRule type="cellIs" dxfId="14328" priority="978" stopIfTrue="1" operator="equal">
      <formula>"Napkin Hs"</formula>
    </cfRule>
  </conditionalFormatting>
  <conditionalFormatting sqref="B134">
    <cfRule type="cellIs" dxfId="14327" priority="975" stopIfTrue="1" operator="equal">
      <formula>"Towel"</formula>
    </cfRule>
    <cfRule type="cellIs" dxfId="14326" priority="976" stopIfTrue="1" operator="equal">
      <formula>"Napkin Hs"</formula>
    </cfRule>
  </conditionalFormatting>
  <conditionalFormatting sqref="C133">
    <cfRule type="cellIs" dxfId="14325" priority="949" stopIfTrue="1" operator="equal">
      <formula>"Towel"</formula>
    </cfRule>
    <cfRule type="cellIs" dxfId="14324" priority="950" stopIfTrue="1" operator="equal">
      <formula>"Napkin Hs"</formula>
    </cfRule>
  </conditionalFormatting>
  <conditionalFormatting sqref="B133:C133">
    <cfRule type="cellIs" dxfId="14323" priority="951" stopIfTrue="1" operator="equal">
      <formula>"Towel"</formula>
    </cfRule>
    <cfRule type="cellIs" dxfId="14322" priority="952" stopIfTrue="1" operator="equal">
      <formula>"Napkin Hs"</formula>
    </cfRule>
  </conditionalFormatting>
  <conditionalFormatting sqref="C133">
    <cfRule type="cellIs" dxfId="14321" priority="947" stopIfTrue="1" operator="equal">
      <formula>"Towel"</formula>
    </cfRule>
    <cfRule type="cellIs" dxfId="14320" priority="948" stopIfTrue="1" operator="equal">
      <formula>"Napkin Hs"</formula>
    </cfRule>
  </conditionalFormatting>
  <conditionalFormatting sqref="B133:C133">
    <cfRule type="cellIs" dxfId="14319" priority="945" stopIfTrue="1" operator="equal">
      <formula>"Towel"</formula>
    </cfRule>
    <cfRule type="cellIs" dxfId="14318" priority="946" stopIfTrue="1" operator="equal">
      <formula>"Napkin Hs"</formula>
    </cfRule>
  </conditionalFormatting>
  <conditionalFormatting sqref="C133">
    <cfRule type="cellIs" dxfId="14317" priority="953" stopIfTrue="1" operator="equal">
      <formula>"Towel"</formula>
    </cfRule>
    <cfRule type="cellIs" dxfId="14316" priority="954" stopIfTrue="1" operator="equal">
      <formula>"Napkin Hs"</formula>
    </cfRule>
  </conditionalFormatting>
  <conditionalFormatting sqref="C133">
    <cfRule type="cellIs" dxfId="14315" priority="955" stopIfTrue="1" operator="equal">
      <formula>"Towel"</formula>
    </cfRule>
    <cfRule type="cellIs" dxfId="14314" priority="956" stopIfTrue="1" operator="equal">
      <formula>"Napkin Hs"</formula>
    </cfRule>
  </conditionalFormatting>
  <conditionalFormatting sqref="C134">
    <cfRule type="cellIs" dxfId="14313" priority="937" stopIfTrue="1" operator="equal">
      <formula>"Towel"</formula>
    </cfRule>
    <cfRule type="cellIs" dxfId="14312" priority="938" stopIfTrue="1" operator="equal">
      <formula>"Napkin Hs"</formula>
    </cfRule>
  </conditionalFormatting>
  <conditionalFormatting sqref="C134">
    <cfRule type="cellIs" dxfId="14311" priority="935" stopIfTrue="1" operator="equal">
      <formula>"Towel"</formula>
    </cfRule>
    <cfRule type="cellIs" dxfId="14310" priority="936" stopIfTrue="1" operator="equal">
      <formula>"Napkin Hs"</formula>
    </cfRule>
  </conditionalFormatting>
  <conditionalFormatting sqref="B134:C134">
    <cfRule type="cellIs" dxfId="14309" priority="933" stopIfTrue="1" operator="equal">
      <formula>"Towel"</formula>
    </cfRule>
    <cfRule type="cellIs" dxfId="14308" priority="934" stopIfTrue="1" operator="equal">
      <formula>"Napkin Hs"</formula>
    </cfRule>
  </conditionalFormatting>
  <conditionalFormatting sqref="B134:C134">
    <cfRule type="cellIs" dxfId="14307" priority="927" stopIfTrue="1" operator="equal">
      <formula>"Towel"</formula>
    </cfRule>
    <cfRule type="cellIs" dxfId="14306" priority="928" stopIfTrue="1" operator="equal">
      <formula>"Napkin Hs"</formula>
    </cfRule>
  </conditionalFormatting>
  <conditionalFormatting sqref="C134">
    <cfRule type="cellIs" dxfId="14305" priority="929" stopIfTrue="1" operator="equal">
      <formula>"Towel"</formula>
    </cfRule>
    <cfRule type="cellIs" dxfId="14304" priority="930" stopIfTrue="1" operator="equal">
      <formula>"Napkin Hs"</formula>
    </cfRule>
  </conditionalFormatting>
  <conditionalFormatting sqref="C134">
    <cfRule type="cellIs" dxfId="14303" priority="931" stopIfTrue="1" operator="equal">
      <formula>"Towel"</formula>
    </cfRule>
    <cfRule type="cellIs" dxfId="14302" priority="932" stopIfTrue="1" operator="equal">
      <formula>"Napkin Hs"</formula>
    </cfRule>
  </conditionalFormatting>
  <conditionalFormatting sqref="B134:C134">
    <cfRule type="cellIs" dxfId="14301" priority="943" stopIfTrue="1" operator="equal">
      <formula>"Towel"</formula>
    </cfRule>
    <cfRule type="cellIs" dxfId="14300" priority="944" stopIfTrue="1" operator="equal">
      <formula>"Napkin Hs"</formula>
    </cfRule>
  </conditionalFormatting>
  <conditionalFormatting sqref="C134">
    <cfRule type="cellIs" dxfId="14299" priority="941" stopIfTrue="1" operator="equal">
      <formula>"Towel"</formula>
    </cfRule>
    <cfRule type="cellIs" dxfId="14298" priority="942" stopIfTrue="1" operator="equal">
      <formula>"Napkin Hs"</formula>
    </cfRule>
  </conditionalFormatting>
  <conditionalFormatting sqref="C134">
    <cfRule type="cellIs" dxfId="14297" priority="939" stopIfTrue="1" operator="equal">
      <formula>"Towel"</formula>
    </cfRule>
    <cfRule type="cellIs" dxfId="14296" priority="940" stopIfTrue="1" operator="equal">
      <formula>"Napkin Hs"</formula>
    </cfRule>
  </conditionalFormatting>
  <conditionalFormatting sqref="C134">
    <cfRule type="cellIs" dxfId="14295" priority="913" stopIfTrue="1" operator="equal">
      <formula>"Towel"</formula>
    </cfRule>
    <cfRule type="cellIs" dxfId="14294" priority="914" stopIfTrue="1" operator="equal">
      <formula>"Napkin Hs"</formula>
    </cfRule>
  </conditionalFormatting>
  <conditionalFormatting sqref="C134">
    <cfRule type="cellIs" dxfId="14293" priority="911" stopIfTrue="1" operator="equal">
      <formula>"Towel"</formula>
    </cfRule>
    <cfRule type="cellIs" dxfId="14292" priority="912" stopIfTrue="1" operator="equal">
      <formula>"Napkin Hs"</formula>
    </cfRule>
  </conditionalFormatting>
  <conditionalFormatting sqref="B134:C134">
    <cfRule type="cellIs" dxfId="14291" priority="909" stopIfTrue="1" operator="equal">
      <formula>"Towel"</formula>
    </cfRule>
    <cfRule type="cellIs" dxfId="14290" priority="910" stopIfTrue="1" operator="equal">
      <formula>"Napkin Hs"</formula>
    </cfRule>
  </conditionalFormatting>
  <conditionalFormatting sqref="C134">
    <cfRule type="cellIs" dxfId="14289" priority="919" stopIfTrue="1" operator="equal">
      <formula>"Towel"</formula>
    </cfRule>
    <cfRule type="cellIs" dxfId="14288" priority="920" stopIfTrue="1" operator="equal">
      <formula>"Napkin Hs"</formula>
    </cfRule>
  </conditionalFormatting>
  <conditionalFormatting sqref="C134">
    <cfRule type="cellIs" dxfId="14287" priority="917" stopIfTrue="1" operator="equal">
      <formula>"Towel"</formula>
    </cfRule>
    <cfRule type="cellIs" dxfId="14286" priority="918" stopIfTrue="1" operator="equal">
      <formula>"Napkin Hs"</formula>
    </cfRule>
  </conditionalFormatting>
  <conditionalFormatting sqref="B134:C134">
    <cfRule type="cellIs" dxfId="14285" priority="915" stopIfTrue="1" operator="equal">
      <formula>"Towel"</formula>
    </cfRule>
    <cfRule type="cellIs" dxfId="14284" priority="916" stopIfTrue="1" operator="equal">
      <formula>"Napkin Hs"</formula>
    </cfRule>
  </conditionalFormatting>
  <conditionalFormatting sqref="B134:C134">
    <cfRule type="cellIs" dxfId="14283" priority="925" stopIfTrue="1" operator="equal">
      <formula>"Towel"</formula>
    </cfRule>
    <cfRule type="cellIs" dxfId="14282" priority="926" stopIfTrue="1" operator="equal">
      <formula>"Napkin Hs"</formula>
    </cfRule>
  </conditionalFormatting>
  <conditionalFormatting sqref="C134">
    <cfRule type="cellIs" dxfId="14281" priority="923" stopIfTrue="1" operator="equal">
      <formula>"Towel"</formula>
    </cfRule>
    <cfRule type="cellIs" dxfId="14280" priority="924" stopIfTrue="1" operator="equal">
      <formula>"Napkin Hs"</formula>
    </cfRule>
  </conditionalFormatting>
  <conditionalFormatting sqref="C134">
    <cfRule type="cellIs" dxfId="14279" priority="921" stopIfTrue="1" operator="equal">
      <formula>"Towel"</formula>
    </cfRule>
    <cfRule type="cellIs" dxfId="14278" priority="922" stopIfTrue="1" operator="equal">
      <formula>"Napkin Hs"</formula>
    </cfRule>
  </conditionalFormatting>
  <conditionalFormatting sqref="B133:C133">
    <cfRule type="cellIs" dxfId="14277" priority="907" stopIfTrue="1" operator="equal">
      <formula>"Towel"</formula>
    </cfRule>
    <cfRule type="cellIs" dxfId="14276" priority="908" stopIfTrue="1" operator="equal">
      <formula>"Napkin Hs"</formula>
    </cfRule>
  </conditionalFormatting>
  <conditionalFormatting sqref="C133">
    <cfRule type="cellIs" dxfId="14275" priority="903" stopIfTrue="1" operator="equal">
      <formula>"Towel"</formula>
    </cfRule>
    <cfRule type="cellIs" dxfId="14274" priority="904" stopIfTrue="1" operator="equal">
      <formula>"Napkin Hs"</formula>
    </cfRule>
  </conditionalFormatting>
  <conditionalFormatting sqref="C133">
    <cfRule type="cellIs" dxfId="14273" priority="905" stopIfTrue="1" operator="equal">
      <formula>"Towel"</formula>
    </cfRule>
    <cfRule type="cellIs" dxfId="14272" priority="906" stopIfTrue="1" operator="equal">
      <formula>"Napkin Hs"</formula>
    </cfRule>
  </conditionalFormatting>
  <conditionalFormatting sqref="B133:C133">
    <cfRule type="cellIs" dxfId="14271" priority="901" stopIfTrue="1" operator="equal">
      <formula>"Towel"</formula>
    </cfRule>
    <cfRule type="cellIs" dxfId="14270" priority="902" stopIfTrue="1" operator="equal">
      <formula>"Napkin Hs"</formula>
    </cfRule>
  </conditionalFormatting>
  <conditionalFormatting sqref="C133">
    <cfRule type="cellIs" dxfId="14269" priority="899" stopIfTrue="1" operator="equal">
      <formula>"Towel"</formula>
    </cfRule>
    <cfRule type="cellIs" dxfId="14268" priority="900" stopIfTrue="1" operator="equal">
      <formula>"Napkin Hs"</formula>
    </cfRule>
  </conditionalFormatting>
  <conditionalFormatting sqref="C133">
    <cfRule type="cellIs" dxfId="14267" priority="897" stopIfTrue="1" operator="equal">
      <formula>"Towel"</formula>
    </cfRule>
    <cfRule type="cellIs" dxfId="14266" priority="898" stopIfTrue="1" operator="equal">
      <formula>"Napkin Hs"</formula>
    </cfRule>
  </conditionalFormatting>
  <conditionalFormatting sqref="C133">
    <cfRule type="cellIs" dxfId="14265" priority="889" stopIfTrue="1" operator="equal">
      <formula>"Towel"</formula>
    </cfRule>
    <cfRule type="cellIs" dxfId="14264" priority="890" stopIfTrue="1" operator="equal">
      <formula>"Napkin Hs"</formula>
    </cfRule>
  </conditionalFormatting>
  <conditionalFormatting sqref="B133:C133">
    <cfRule type="cellIs" dxfId="14263" priority="891" stopIfTrue="1" operator="equal">
      <formula>"Towel"</formula>
    </cfRule>
    <cfRule type="cellIs" dxfId="14262" priority="892" stopIfTrue="1" operator="equal">
      <formula>"Napkin Hs"</formula>
    </cfRule>
  </conditionalFormatting>
  <conditionalFormatting sqref="C133">
    <cfRule type="cellIs" dxfId="14261" priority="887" stopIfTrue="1" operator="equal">
      <formula>"Towel"</formula>
    </cfRule>
    <cfRule type="cellIs" dxfId="14260" priority="888" stopIfTrue="1" operator="equal">
      <formula>"Napkin Hs"</formula>
    </cfRule>
  </conditionalFormatting>
  <conditionalFormatting sqref="B133:C133">
    <cfRule type="cellIs" dxfId="14259" priority="885" stopIfTrue="1" operator="equal">
      <formula>"Towel"</formula>
    </cfRule>
    <cfRule type="cellIs" dxfId="14258" priority="886" stopIfTrue="1" operator="equal">
      <formula>"Napkin Hs"</formula>
    </cfRule>
  </conditionalFormatting>
  <conditionalFormatting sqref="C133">
    <cfRule type="cellIs" dxfId="14257" priority="893" stopIfTrue="1" operator="equal">
      <formula>"Towel"</formula>
    </cfRule>
    <cfRule type="cellIs" dxfId="14256" priority="894" stopIfTrue="1" operator="equal">
      <formula>"Napkin Hs"</formula>
    </cfRule>
  </conditionalFormatting>
  <conditionalFormatting sqref="C133">
    <cfRule type="cellIs" dxfId="14255" priority="895" stopIfTrue="1" operator="equal">
      <formula>"Towel"</formula>
    </cfRule>
    <cfRule type="cellIs" dxfId="14254" priority="896" stopIfTrue="1" operator="equal">
      <formula>"Napkin Hs"</formula>
    </cfRule>
  </conditionalFormatting>
  <conditionalFormatting sqref="B134:C134">
    <cfRule type="cellIs" dxfId="14253" priority="883" stopIfTrue="1" operator="equal">
      <formula>"Towel"</formula>
    </cfRule>
    <cfRule type="cellIs" dxfId="14252" priority="884" stopIfTrue="1" operator="equal">
      <formula>"Napkin Hs"</formula>
    </cfRule>
  </conditionalFormatting>
  <conditionalFormatting sqref="C134">
    <cfRule type="cellIs" dxfId="14251" priority="879" stopIfTrue="1" operator="equal">
      <formula>"Towel"</formula>
    </cfRule>
    <cfRule type="cellIs" dxfId="14250" priority="880" stopIfTrue="1" operator="equal">
      <formula>"Napkin Hs"</formula>
    </cfRule>
  </conditionalFormatting>
  <conditionalFormatting sqref="C134">
    <cfRule type="cellIs" dxfId="14249" priority="881" stopIfTrue="1" operator="equal">
      <formula>"Towel"</formula>
    </cfRule>
    <cfRule type="cellIs" dxfId="14248" priority="882" stopIfTrue="1" operator="equal">
      <formula>"Napkin Hs"</formula>
    </cfRule>
  </conditionalFormatting>
  <conditionalFormatting sqref="C133">
    <cfRule type="cellIs" dxfId="14247" priority="871" stopIfTrue="1" operator="equal">
      <formula>"Towel"</formula>
    </cfRule>
    <cfRule type="cellIs" dxfId="14246" priority="872" stopIfTrue="1" operator="equal">
      <formula>"Napkin Hs"</formula>
    </cfRule>
  </conditionalFormatting>
  <conditionalFormatting sqref="C133">
    <cfRule type="cellIs" dxfId="14245" priority="869" stopIfTrue="1" operator="equal">
      <formula>"Towel"</formula>
    </cfRule>
    <cfRule type="cellIs" dxfId="14244" priority="870" stopIfTrue="1" operator="equal">
      <formula>"Napkin Hs"</formula>
    </cfRule>
  </conditionalFormatting>
  <conditionalFormatting sqref="B133:C133">
    <cfRule type="cellIs" dxfId="14243" priority="867" stopIfTrue="1" operator="equal">
      <formula>"Towel"</formula>
    </cfRule>
    <cfRule type="cellIs" dxfId="14242" priority="868" stopIfTrue="1" operator="equal">
      <formula>"Napkin Hs"</formula>
    </cfRule>
  </conditionalFormatting>
  <conditionalFormatting sqref="B133:C133">
    <cfRule type="cellIs" dxfId="14241" priority="861" stopIfTrue="1" operator="equal">
      <formula>"Towel"</formula>
    </cfRule>
    <cfRule type="cellIs" dxfId="14240" priority="862" stopIfTrue="1" operator="equal">
      <formula>"Napkin Hs"</formula>
    </cfRule>
  </conditionalFormatting>
  <conditionalFormatting sqref="C133">
    <cfRule type="cellIs" dxfId="14239" priority="863" stopIfTrue="1" operator="equal">
      <formula>"Towel"</formula>
    </cfRule>
    <cfRule type="cellIs" dxfId="14238" priority="864" stopIfTrue="1" operator="equal">
      <formula>"Napkin Hs"</formula>
    </cfRule>
  </conditionalFormatting>
  <conditionalFormatting sqref="C133">
    <cfRule type="cellIs" dxfId="14237" priority="865" stopIfTrue="1" operator="equal">
      <formula>"Towel"</formula>
    </cfRule>
    <cfRule type="cellIs" dxfId="14236" priority="866" stopIfTrue="1" operator="equal">
      <formula>"Napkin Hs"</formula>
    </cfRule>
  </conditionalFormatting>
  <conditionalFormatting sqref="B133:C133">
    <cfRule type="cellIs" dxfId="14235" priority="877" stopIfTrue="1" operator="equal">
      <formula>"Towel"</formula>
    </cfRule>
    <cfRule type="cellIs" dxfId="14234" priority="878" stopIfTrue="1" operator="equal">
      <formula>"Napkin Hs"</formula>
    </cfRule>
  </conditionalFormatting>
  <conditionalFormatting sqref="C133">
    <cfRule type="cellIs" dxfId="14233" priority="875" stopIfTrue="1" operator="equal">
      <formula>"Towel"</formula>
    </cfRule>
    <cfRule type="cellIs" dxfId="14232" priority="876" stopIfTrue="1" operator="equal">
      <formula>"Napkin Hs"</formula>
    </cfRule>
  </conditionalFormatting>
  <conditionalFormatting sqref="C133">
    <cfRule type="cellIs" dxfId="14231" priority="873" stopIfTrue="1" operator="equal">
      <formula>"Towel"</formula>
    </cfRule>
    <cfRule type="cellIs" dxfId="14230" priority="874" stopIfTrue="1" operator="equal">
      <formula>"Napkin Hs"</formula>
    </cfRule>
  </conditionalFormatting>
  <conditionalFormatting sqref="C133">
    <cfRule type="cellIs" dxfId="14229" priority="847" stopIfTrue="1" operator="equal">
      <formula>"Towel"</formula>
    </cfRule>
    <cfRule type="cellIs" dxfId="14228" priority="848" stopIfTrue="1" operator="equal">
      <formula>"Napkin Hs"</formula>
    </cfRule>
  </conditionalFormatting>
  <conditionalFormatting sqref="C133">
    <cfRule type="cellIs" dxfId="14227" priority="845" stopIfTrue="1" operator="equal">
      <formula>"Towel"</formula>
    </cfRule>
    <cfRule type="cellIs" dxfId="14226" priority="846" stopIfTrue="1" operator="equal">
      <formula>"Napkin Hs"</formula>
    </cfRule>
  </conditionalFormatting>
  <conditionalFormatting sqref="B133:C133">
    <cfRule type="cellIs" dxfId="14225" priority="843" stopIfTrue="1" operator="equal">
      <formula>"Towel"</formula>
    </cfRule>
    <cfRule type="cellIs" dxfId="14224" priority="844" stopIfTrue="1" operator="equal">
      <formula>"Napkin Hs"</formula>
    </cfRule>
  </conditionalFormatting>
  <conditionalFormatting sqref="C133">
    <cfRule type="cellIs" dxfId="14223" priority="853" stopIfTrue="1" operator="equal">
      <formula>"Towel"</formula>
    </cfRule>
    <cfRule type="cellIs" dxfId="14222" priority="854" stopIfTrue="1" operator="equal">
      <formula>"Napkin Hs"</formula>
    </cfRule>
  </conditionalFormatting>
  <conditionalFormatting sqref="C133">
    <cfRule type="cellIs" dxfId="14221" priority="851" stopIfTrue="1" operator="equal">
      <formula>"Towel"</formula>
    </cfRule>
    <cfRule type="cellIs" dxfId="14220" priority="852" stopIfTrue="1" operator="equal">
      <formula>"Napkin Hs"</formula>
    </cfRule>
  </conditionalFormatting>
  <conditionalFormatting sqref="B133:C133">
    <cfRule type="cellIs" dxfId="14219" priority="849" stopIfTrue="1" operator="equal">
      <formula>"Towel"</formula>
    </cfRule>
    <cfRule type="cellIs" dxfId="14218" priority="850" stopIfTrue="1" operator="equal">
      <formula>"Napkin Hs"</formula>
    </cfRule>
  </conditionalFormatting>
  <conditionalFormatting sqref="B134:C134">
    <cfRule type="cellIs" dxfId="14217" priority="841" stopIfTrue="1" operator="equal">
      <formula>"Towel"</formula>
    </cfRule>
    <cfRule type="cellIs" dxfId="14216" priority="842" stopIfTrue="1" operator="equal">
      <formula>"Napkin Hs"</formula>
    </cfRule>
  </conditionalFormatting>
  <conditionalFormatting sqref="C134">
    <cfRule type="cellIs" dxfId="14215" priority="839" stopIfTrue="1" operator="equal">
      <formula>"Towel"</formula>
    </cfRule>
    <cfRule type="cellIs" dxfId="14214" priority="840" stopIfTrue="1" operator="equal">
      <formula>"Napkin Hs"</formula>
    </cfRule>
  </conditionalFormatting>
  <conditionalFormatting sqref="C134">
    <cfRule type="cellIs" dxfId="14213" priority="837" stopIfTrue="1" operator="equal">
      <formula>"Towel"</formula>
    </cfRule>
    <cfRule type="cellIs" dxfId="14212" priority="838" stopIfTrue="1" operator="equal">
      <formula>"Napkin Hs"</formula>
    </cfRule>
  </conditionalFormatting>
  <conditionalFormatting sqref="B133:C133">
    <cfRule type="cellIs" dxfId="14211" priority="859" stopIfTrue="1" operator="equal">
      <formula>"Towel"</formula>
    </cfRule>
    <cfRule type="cellIs" dxfId="14210" priority="860" stopIfTrue="1" operator="equal">
      <formula>"Napkin Hs"</formula>
    </cfRule>
  </conditionalFormatting>
  <conditionalFormatting sqref="C133">
    <cfRule type="cellIs" dxfId="14209" priority="857" stopIfTrue="1" operator="equal">
      <formula>"Towel"</formula>
    </cfRule>
    <cfRule type="cellIs" dxfId="14208" priority="858" stopIfTrue="1" operator="equal">
      <formula>"Napkin Hs"</formula>
    </cfRule>
  </conditionalFormatting>
  <conditionalFormatting sqref="C133">
    <cfRule type="cellIs" dxfId="14207" priority="855" stopIfTrue="1" operator="equal">
      <formula>"Towel"</formula>
    </cfRule>
    <cfRule type="cellIs" dxfId="14206" priority="856" stopIfTrue="1" operator="equal">
      <formula>"Napkin Hs"</formula>
    </cfRule>
  </conditionalFormatting>
  <conditionalFormatting sqref="C134">
    <cfRule type="cellIs" dxfId="14205" priority="829" stopIfTrue="1" operator="equal">
      <formula>"Towel"</formula>
    </cfRule>
    <cfRule type="cellIs" dxfId="14204" priority="830" stopIfTrue="1" operator="equal">
      <formula>"Napkin Hs"</formula>
    </cfRule>
  </conditionalFormatting>
  <conditionalFormatting sqref="B134:C134">
    <cfRule type="cellIs" dxfId="14203" priority="831" stopIfTrue="1" operator="equal">
      <formula>"Towel"</formula>
    </cfRule>
    <cfRule type="cellIs" dxfId="14202" priority="832" stopIfTrue="1" operator="equal">
      <formula>"Napkin Hs"</formula>
    </cfRule>
  </conditionalFormatting>
  <conditionalFormatting sqref="C134">
    <cfRule type="cellIs" dxfId="14201" priority="827" stopIfTrue="1" operator="equal">
      <formula>"Towel"</formula>
    </cfRule>
    <cfRule type="cellIs" dxfId="14200" priority="828" stopIfTrue="1" operator="equal">
      <formula>"Napkin Hs"</formula>
    </cfRule>
  </conditionalFormatting>
  <conditionalFormatting sqref="B134:C134">
    <cfRule type="cellIs" dxfId="14199" priority="825" stopIfTrue="1" operator="equal">
      <formula>"Towel"</formula>
    </cfRule>
    <cfRule type="cellIs" dxfId="14198" priority="826" stopIfTrue="1" operator="equal">
      <formula>"Napkin Hs"</formula>
    </cfRule>
  </conditionalFormatting>
  <conditionalFormatting sqref="C134">
    <cfRule type="cellIs" dxfId="14197" priority="833" stopIfTrue="1" operator="equal">
      <formula>"Towel"</formula>
    </cfRule>
    <cfRule type="cellIs" dxfId="14196" priority="834" stopIfTrue="1" operator="equal">
      <formula>"Napkin Hs"</formula>
    </cfRule>
  </conditionalFormatting>
  <conditionalFormatting sqref="C134">
    <cfRule type="cellIs" dxfId="14195" priority="835" stopIfTrue="1" operator="equal">
      <formula>"Towel"</formula>
    </cfRule>
    <cfRule type="cellIs" dxfId="14194" priority="836" stopIfTrue="1" operator="equal">
      <formula>"Napkin Hs"</formula>
    </cfRule>
  </conditionalFormatting>
  <conditionalFormatting sqref="B134:C134">
    <cfRule type="cellIs" dxfId="14193" priority="823" stopIfTrue="1" operator="equal">
      <formula>"Towel"</formula>
    </cfRule>
    <cfRule type="cellIs" dxfId="14192" priority="824" stopIfTrue="1" operator="equal">
      <formula>"Napkin Hs"</formula>
    </cfRule>
  </conditionalFormatting>
  <conditionalFormatting sqref="C134">
    <cfRule type="cellIs" dxfId="14191" priority="821" stopIfTrue="1" operator="equal">
      <formula>"Towel"</formula>
    </cfRule>
    <cfRule type="cellIs" dxfId="14190" priority="822" stopIfTrue="1" operator="equal">
      <formula>"Napkin Hs"</formula>
    </cfRule>
  </conditionalFormatting>
  <conditionalFormatting sqref="C134">
    <cfRule type="cellIs" dxfId="14189" priority="819" stopIfTrue="1" operator="equal">
      <formula>"Towel"</formula>
    </cfRule>
    <cfRule type="cellIs" dxfId="14188" priority="820" stopIfTrue="1" operator="equal">
      <formula>"Napkin Hs"</formula>
    </cfRule>
  </conditionalFormatting>
  <conditionalFormatting sqref="C134">
    <cfRule type="cellIs" dxfId="14187" priority="811" stopIfTrue="1" operator="equal">
      <formula>"Towel"</formula>
    </cfRule>
    <cfRule type="cellIs" dxfId="14186" priority="812" stopIfTrue="1" operator="equal">
      <formula>"Napkin Hs"</formula>
    </cfRule>
  </conditionalFormatting>
  <conditionalFormatting sqref="B134:C134">
    <cfRule type="cellIs" dxfId="14185" priority="813" stopIfTrue="1" operator="equal">
      <formula>"Towel"</formula>
    </cfRule>
    <cfRule type="cellIs" dxfId="14184" priority="814" stopIfTrue="1" operator="equal">
      <formula>"Napkin Hs"</formula>
    </cfRule>
  </conditionalFormatting>
  <conditionalFormatting sqref="C134">
    <cfRule type="cellIs" dxfId="14183" priority="809" stopIfTrue="1" operator="equal">
      <formula>"Towel"</formula>
    </cfRule>
    <cfRule type="cellIs" dxfId="14182" priority="810" stopIfTrue="1" operator="equal">
      <formula>"Napkin Hs"</formula>
    </cfRule>
  </conditionalFormatting>
  <conditionalFormatting sqref="B134:C134">
    <cfRule type="cellIs" dxfId="14181" priority="807" stopIfTrue="1" operator="equal">
      <formula>"Towel"</formula>
    </cfRule>
    <cfRule type="cellIs" dxfId="14180" priority="808" stopIfTrue="1" operator="equal">
      <formula>"Napkin Hs"</formula>
    </cfRule>
  </conditionalFormatting>
  <conditionalFormatting sqref="C134">
    <cfRule type="cellIs" dxfId="14179" priority="815" stopIfTrue="1" operator="equal">
      <formula>"Towel"</formula>
    </cfRule>
    <cfRule type="cellIs" dxfId="14178" priority="816" stopIfTrue="1" operator="equal">
      <formula>"Napkin Hs"</formula>
    </cfRule>
  </conditionalFormatting>
  <conditionalFormatting sqref="C134">
    <cfRule type="cellIs" dxfId="14177" priority="817" stopIfTrue="1" operator="equal">
      <formula>"Towel"</formula>
    </cfRule>
    <cfRule type="cellIs" dxfId="14176" priority="818" stopIfTrue="1" operator="equal">
      <formula>"Napkin Hs"</formula>
    </cfRule>
  </conditionalFormatting>
  <conditionalFormatting sqref="B134:C134">
    <cfRule type="cellIs" dxfId="14175" priority="805" stopIfTrue="1" operator="equal">
      <formula>"Towel"</formula>
    </cfRule>
    <cfRule type="cellIs" dxfId="14174" priority="806" stopIfTrue="1" operator="equal">
      <formula>"Napkin Hs"</formula>
    </cfRule>
  </conditionalFormatting>
  <conditionalFormatting sqref="C134">
    <cfRule type="cellIs" dxfId="14173" priority="803" stopIfTrue="1" operator="equal">
      <formula>"Towel"</formula>
    </cfRule>
    <cfRule type="cellIs" dxfId="14172" priority="804" stopIfTrue="1" operator="equal">
      <formula>"Napkin Hs"</formula>
    </cfRule>
  </conditionalFormatting>
  <conditionalFormatting sqref="C134">
    <cfRule type="cellIs" dxfId="14171" priority="801" stopIfTrue="1" operator="equal">
      <formula>"Towel"</formula>
    </cfRule>
    <cfRule type="cellIs" dxfId="14170" priority="802" stopIfTrue="1" operator="equal">
      <formula>"Napkin Hs"</formula>
    </cfRule>
  </conditionalFormatting>
  <conditionalFormatting sqref="C134">
    <cfRule type="cellIs" dxfId="14169" priority="793" stopIfTrue="1" operator="equal">
      <formula>"Towel"</formula>
    </cfRule>
    <cfRule type="cellIs" dxfId="14168" priority="794" stopIfTrue="1" operator="equal">
      <formula>"Napkin Hs"</formula>
    </cfRule>
  </conditionalFormatting>
  <conditionalFormatting sqref="B134:C134">
    <cfRule type="cellIs" dxfId="14167" priority="795" stopIfTrue="1" operator="equal">
      <formula>"Towel"</formula>
    </cfRule>
    <cfRule type="cellIs" dxfId="14166" priority="796" stopIfTrue="1" operator="equal">
      <formula>"Napkin Hs"</formula>
    </cfRule>
  </conditionalFormatting>
  <conditionalFormatting sqref="C134">
    <cfRule type="cellIs" dxfId="14165" priority="791" stopIfTrue="1" operator="equal">
      <formula>"Towel"</formula>
    </cfRule>
    <cfRule type="cellIs" dxfId="14164" priority="792" stopIfTrue="1" operator="equal">
      <formula>"Napkin Hs"</formula>
    </cfRule>
  </conditionalFormatting>
  <conditionalFormatting sqref="B134:C134">
    <cfRule type="cellIs" dxfId="14163" priority="789" stopIfTrue="1" operator="equal">
      <formula>"Towel"</formula>
    </cfRule>
    <cfRule type="cellIs" dxfId="14162" priority="790" stopIfTrue="1" operator="equal">
      <formula>"Napkin Hs"</formula>
    </cfRule>
  </conditionalFormatting>
  <conditionalFormatting sqref="C134">
    <cfRule type="cellIs" dxfId="14161" priority="797" stopIfTrue="1" operator="equal">
      <formula>"Towel"</formula>
    </cfRule>
    <cfRule type="cellIs" dxfId="14160" priority="798" stopIfTrue="1" operator="equal">
      <formula>"Napkin Hs"</formula>
    </cfRule>
  </conditionalFormatting>
  <conditionalFormatting sqref="C134">
    <cfRule type="cellIs" dxfId="14159" priority="799" stopIfTrue="1" operator="equal">
      <formula>"Towel"</formula>
    </cfRule>
    <cfRule type="cellIs" dxfId="14158" priority="800" stopIfTrue="1" operator="equal">
      <formula>"Napkin Hs"</formula>
    </cfRule>
  </conditionalFormatting>
  <conditionalFormatting sqref="B133:C133">
    <cfRule type="cellIs" dxfId="14157" priority="787" stopIfTrue="1" operator="equal">
      <formula>"Towel"</formula>
    </cfRule>
    <cfRule type="cellIs" dxfId="14156" priority="788" stopIfTrue="1" operator="equal">
      <formula>"Napkin Hs"</formula>
    </cfRule>
  </conditionalFormatting>
  <conditionalFormatting sqref="C133">
    <cfRule type="cellIs" dxfId="14155" priority="785" stopIfTrue="1" operator="equal">
      <formula>"Towel"</formula>
    </cfRule>
    <cfRule type="cellIs" dxfId="14154" priority="786" stopIfTrue="1" operator="equal">
      <formula>"Napkin Hs"</formula>
    </cfRule>
  </conditionalFormatting>
  <conditionalFormatting sqref="C133">
    <cfRule type="cellIs" dxfId="14153" priority="783" stopIfTrue="1" operator="equal">
      <formula>"Towel"</formula>
    </cfRule>
    <cfRule type="cellIs" dxfId="14152" priority="784" stopIfTrue="1" operator="equal">
      <formula>"Napkin Hs"</formula>
    </cfRule>
  </conditionalFormatting>
  <conditionalFormatting sqref="C133">
    <cfRule type="cellIs" dxfId="14151" priority="775" stopIfTrue="1" operator="equal">
      <formula>"Towel"</formula>
    </cfRule>
    <cfRule type="cellIs" dxfId="14150" priority="776" stopIfTrue="1" operator="equal">
      <formula>"Napkin Hs"</formula>
    </cfRule>
  </conditionalFormatting>
  <conditionalFormatting sqref="B133:C133">
    <cfRule type="cellIs" dxfId="14149" priority="777" stopIfTrue="1" operator="equal">
      <formula>"Towel"</formula>
    </cfRule>
    <cfRule type="cellIs" dxfId="14148" priority="778" stopIfTrue="1" operator="equal">
      <formula>"Napkin Hs"</formula>
    </cfRule>
  </conditionalFormatting>
  <conditionalFormatting sqref="C133">
    <cfRule type="cellIs" dxfId="14147" priority="773" stopIfTrue="1" operator="equal">
      <formula>"Towel"</formula>
    </cfRule>
    <cfRule type="cellIs" dxfId="14146" priority="774" stopIfTrue="1" operator="equal">
      <formula>"Napkin Hs"</formula>
    </cfRule>
  </conditionalFormatting>
  <conditionalFormatting sqref="B133:C133">
    <cfRule type="cellIs" dxfId="14145" priority="771" stopIfTrue="1" operator="equal">
      <formula>"Towel"</formula>
    </cfRule>
    <cfRule type="cellIs" dxfId="14144" priority="772" stopIfTrue="1" operator="equal">
      <formula>"Napkin Hs"</formula>
    </cfRule>
  </conditionalFormatting>
  <conditionalFormatting sqref="C133">
    <cfRule type="cellIs" dxfId="14143" priority="779" stopIfTrue="1" operator="equal">
      <formula>"Towel"</formula>
    </cfRule>
    <cfRule type="cellIs" dxfId="14142" priority="780" stopIfTrue="1" operator="equal">
      <formula>"Napkin Hs"</formula>
    </cfRule>
  </conditionalFormatting>
  <conditionalFormatting sqref="C133">
    <cfRule type="cellIs" dxfId="14141" priority="781" stopIfTrue="1" operator="equal">
      <formula>"Towel"</formula>
    </cfRule>
    <cfRule type="cellIs" dxfId="14140" priority="782" stopIfTrue="1" operator="equal">
      <formula>"Napkin Hs"</formula>
    </cfRule>
  </conditionalFormatting>
  <conditionalFormatting sqref="C133">
    <cfRule type="cellIs" dxfId="14139" priority="763" stopIfTrue="1" operator="equal">
      <formula>"Towel"</formula>
    </cfRule>
    <cfRule type="cellIs" dxfId="14138" priority="764" stopIfTrue="1" operator="equal">
      <formula>"Napkin Hs"</formula>
    </cfRule>
  </conditionalFormatting>
  <conditionalFormatting sqref="B133:C133">
    <cfRule type="cellIs" dxfId="14137" priority="759" stopIfTrue="1" operator="equal">
      <formula>"Towel"</formula>
    </cfRule>
    <cfRule type="cellIs" dxfId="14136" priority="760" stopIfTrue="1" operator="equal">
      <formula>"Napkin Hs"</formula>
    </cfRule>
  </conditionalFormatting>
  <conditionalFormatting sqref="C133">
    <cfRule type="cellIs" dxfId="14135" priority="761" stopIfTrue="1" operator="equal">
      <formula>"Towel"</formula>
    </cfRule>
    <cfRule type="cellIs" dxfId="14134" priority="762" stopIfTrue="1" operator="equal">
      <formula>"Napkin Hs"</formula>
    </cfRule>
  </conditionalFormatting>
  <conditionalFormatting sqref="C133">
    <cfRule type="cellIs" dxfId="14133" priority="757" stopIfTrue="1" operator="equal">
      <formula>"Towel"</formula>
    </cfRule>
    <cfRule type="cellIs" dxfId="14132" priority="758" stopIfTrue="1" operator="equal">
      <formula>"Napkin Hs"</formula>
    </cfRule>
  </conditionalFormatting>
  <conditionalFormatting sqref="B133:C133">
    <cfRule type="cellIs" dxfId="14131" priority="753" stopIfTrue="1" operator="equal">
      <formula>"Towel"</formula>
    </cfRule>
    <cfRule type="cellIs" dxfId="14130" priority="754" stopIfTrue="1" operator="equal">
      <formula>"Napkin Hs"</formula>
    </cfRule>
  </conditionalFormatting>
  <conditionalFormatting sqref="C133">
    <cfRule type="cellIs" dxfId="14129" priority="755" stopIfTrue="1" operator="equal">
      <formula>"Towel"</formula>
    </cfRule>
    <cfRule type="cellIs" dxfId="14128" priority="756" stopIfTrue="1" operator="equal">
      <formula>"Napkin Hs"</formula>
    </cfRule>
  </conditionalFormatting>
  <conditionalFormatting sqref="B133:C133">
    <cfRule type="cellIs" dxfId="14127" priority="769" stopIfTrue="1" operator="equal">
      <formula>"Towel"</formula>
    </cfRule>
    <cfRule type="cellIs" dxfId="14126" priority="770" stopIfTrue="1" operator="equal">
      <formula>"Napkin Hs"</formula>
    </cfRule>
  </conditionalFormatting>
  <conditionalFormatting sqref="C133">
    <cfRule type="cellIs" dxfId="14125" priority="767" stopIfTrue="1" operator="equal">
      <formula>"Towel"</formula>
    </cfRule>
    <cfRule type="cellIs" dxfId="14124" priority="768" stopIfTrue="1" operator="equal">
      <formula>"Napkin Hs"</formula>
    </cfRule>
  </conditionalFormatting>
  <conditionalFormatting sqref="C133">
    <cfRule type="cellIs" dxfId="14123" priority="765" stopIfTrue="1" operator="equal">
      <formula>"Towel"</formula>
    </cfRule>
    <cfRule type="cellIs" dxfId="14122" priority="766" stopIfTrue="1" operator="equal">
      <formula>"Napkin Hs"</formula>
    </cfRule>
  </conditionalFormatting>
  <conditionalFormatting sqref="B133:C133">
    <cfRule type="cellIs" dxfId="14121" priority="751" stopIfTrue="1" operator="equal">
      <formula>"Towel"</formula>
    </cfRule>
    <cfRule type="cellIs" dxfId="14120" priority="752" stopIfTrue="1" operator="equal">
      <formula>"Napkin Hs"</formula>
    </cfRule>
  </conditionalFormatting>
  <conditionalFormatting sqref="C133">
    <cfRule type="cellIs" dxfId="14119" priority="749" stopIfTrue="1" operator="equal">
      <formula>"Towel"</formula>
    </cfRule>
    <cfRule type="cellIs" dxfId="14118" priority="750" stopIfTrue="1" operator="equal">
      <formula>"Napkin Hs"</formula>
    </cfRule>
  </conditionalFormatting>
  <conditionalFormatting sqref="C133">
    <cfRule type="cellIs" dxfId="14117" priority="747" stopIfTrue="1" operator="equal">
      <formula>"Towel"</formula>
    </cfRule>
    <cfRule type="cellIs" dxfId="14116" priority="748" stopIfTrue="1" operator="equal">
      <formula>"Napkin Hs"</formula>
    </cfRule>
  </conditionalFormatting>
  <conditionalFormatting sqref="C133">
    <cfRule type="cellIs" dxfId="14115" priority="739" stopIfTrue="1" operator="equal">
      <formula>"Towel"</formula>
    </cfRule>
    <cfRule type="cellIs" dxfId="14114" priority="740" stopIfTrue="1" operator="equal">
      <formula>"Napkin Hs"</formula>
    </cfRule>
  </conditionalFormatting>
  <conditionalFormatting sqref="B133:C133">
    <cfRule type="cellIs" dxfId="14113" priority="741" stopIfTrue="1" operator="equal">
      <formula>"Towel"</formula>
    </cfRule>
    <cfRule type="cellIs" dxfId="14112" priority="742" stopIfTrue="1" operator="equal">
      <formula>"Napkin Hs"</formula>
    </cfRule>
  </conditionalFormatting>
  <conditionalFormatting sqref="C133">
    <cfRule type="cellIs" dxfId="14111" priority="737" stopIfTrue="1" operator="equal">
      <formula>"Towel"</formula>
    </cfRule>
    <cfRule type="cellIs" dxfId="14110" priority="738" stopIfTrue="1" operator="equal">
      <formula>"Napkin Hs"</formula>
    </cfRule>
  </conditionalFormatting>
  <conditionalFormatting sqref="B133:C133">
    <cfRule type="cellIs" dxfId="14109" priority="735" stopIfTrue="1" operator="equal">
      <formula>"Towel"</formula>
    </cfRule>
    <cfRule type="cellIs" dxfId="14108" priority="736" stopIfTrue="1" operator="equal">
      <formula>"Napkin Hs"</formula>
    </cfRule>
  </conditionalFormatting>
  <conditionalFormatting sqref="C133">
    <cfRule type="cellIs" dxfId="14107" priority="743" stopIfTrue="1" operator="equal">
      <formula>"Towel"</formula>
    </cfRule>
    <cfRule type="cellIs" dxfId="14106" priority="744" stopIfTrue="1" operator="equal">
      <formula>"Napkin Hs"</formula>
    </cfRule>
  </conditionalFormatting>
  <conditionalFormatting sqref="C133">
    <cfRule type="cellIs" dxfId="14105" priority="745" stopIfTrue="1" operator="equal">
      <formula>"Towel"</formula>
    </cfRule>
    <cfRule type="cellIs" dxfId="14104" priority="746" stopIfTrue="1" operator="equal">
      <formula>"Napkin Hs"</formula>
    </cfRule>
  </conditionalFormatting>
  <conditionalFormatting sqref="C133">
    <cfRule type="cellIs" dxfId="14103" priority="731" stopIfTrue="1" operator="equal">
      <formula>"Towel"</formula>
    </cfRule>
    <cfRule type="cellIs" dxfId="14102" priority="732" stopIfTrue="1" operator="equal">
      <formula>"Napkin Hs"</formula>
    </cfRule>
  </conditionalFormatting>
  <conditionalFormatting sqref="C133">
    <cfRule type="cellIs" dxfId="14101" priority="733" stopIfTrue="1" operator="equal">
      <formula>"Towel"</formula>
    </cfRule>
    <cfRule type="cellIs" dxfId="14100" priority="734" stopIfTrue="1" operator="equal">
      <formula>"Napkin Hs"</formula>
    </cfRule>
  </conditionalFormatting>
  <conditionalFormatting sqref="C133">
    <cfRule type="cellIs" dxfId="14099" priority="729" stopIfTrue="1" operator="equal">
      <formula>"Towel"</formula>
    </cfRule>
    <cfRule type="cellIs" dxfId="14098" priority="730" stopIfTrue="1" operator="equal">
      <formula>"Napkin Hs"</formula>
    </cfRule>
  </conditionalFormatting>
  <conditionalFormatting sqref="C133">
    <cfRule type="cellIs" dxfId="14097" priority="723" stopIfTrue="1" operator="equal">
      <formula>"Towel"</formula>
    </cfRule>
    <cfRule type="cellIs" dxfId="14096" priority="724" stopIfTrue="1" operator="equal">
      <formula>"Napkin Hs"</formula>
    </cfRule>
  </conditionalFormatting>
  <conditionalFormatting sqref="C133">
    <cfRule type="cellIs" dxfId="14095" priority="725" stopIfTrue="1" operator="equal">
      <formula>"Towel"</formula>
    </cfRule>
    <cfRule type="cellIs" dxfId="14094" priority="726" stopIfTrue="1" operator="equal">
      <formula>"Napkin Hs"</formula>
    </cfRule>
  </conditionalFormatting>
  <conditionalFormatting sqref="C133">
    <cfRule type="cellIs" dxfId="14093" priority="727" stopIfTrue="1" operator="equal">
      <formula>"Towel"</formula>
    </cfRule>
    <cfRule type="cellIs" dxfId="14092" priority="728" stopIfTrue="1" operator="equal">
      <formula>"Napkin Hs"</formula>
    </cfRule>
  </conditionalFormatting>
  <conditionalFormatting sqref="B133">
    <cfRule type="cellIs" dxfId="14091" priority="721" stopIfTrue="1" operator="equal">
      <formula>"Towel"</formula>
    </cfRule>
    <cfRule type="cellIs" dxfId="14090" priority="722" stopIfTrue="1" operator="equal">
      <formula>"Napkin Hs"</formula>
    </cfRule>
  </conditionalFormatting>
  <conditionalFormatting sqref="B133">
    <cfRule type="cellIs" dxfId="14089" priority="719" stopIfTrue="1" operator="equal">
      <formula>"Towel"</formula>
    </cfRule>
    <cfRule type="cellIs" dxfId="14088" priority="720" stopIfTrue="1" operator="equal">
      <formula>"Napkin Hs"</formula>
    </cfRule>
  </conditionalFormatting>
  <conditionalFormatting sqref="B133:C133">
    <cfRule type="cellIs" dxfId="14087" priority="717" stopIfTrue="1" operator="equal">
      <formula>"Towel"</formula>
    </cfRule>
    <cfRule type="cellIs" dxfId="14086" priority="718" stopIfTrue="1" operator="equal">
      <formula>"Napkin Hs"</formula>
    </cfRule>
  </conditionalFormatting>
  <conditionalFormatting sqref="C133">
    <cfRule type="cellIs" dxfId="14085" priority="713" stopIfTrue="1" operator="equal">
      <formula>"Towel"</formula>
    </cfRule>
    <cfRule type="cellIs" dxfId="14084" priority="714" stopIfTrue="1" operator="equal">
      <formula>"Napkin Hs"</formula>
    </cfRule>
  </conditionalFormatting>
  <conditionalFormatting sqref="C133">
    <cfRule type="cellIs" dxfId="14083" priority="715" stopIfTrue="1" operator="equal">
      <formula>"Towel"</formula>
    </cfRule>
    <cfRule type="cellIs" dxfId="14082" priority="716" stopIfTrue="1" operator="equal">
      <formula>"Napkin Hs"</formula>
    </cfRule>
  </conditionalFormatting>
  <conditionalFormatting sqref="B133:C133">
    <cfRule type="cellIs" dxfId="14081" priority="711" stopIfTrue="1" operator="equal">
      <formula>"Towel"</formula>
    </cfRule>
    <cfRule type="cellIs" dxfId="14080" priority="712" stopIfTrue="1" operator="equal">
      <formula>"Napkin Hs"</formula>
    </cfRule>
  </conditionalFormatting>
  <conditionalFormatting sqref="C133">
    <cfRule type="cellIs" dxfId="14079" priority="707" stopIfTrue="1" operator="equal">
      <formula>"Towel"</formula>
    </cfRule>
    <cfRule type="cellIs" dxfId="14078" priority="708" stopIfTrue="1" operator="equal">
      <formula>"Napkin Hs"</formula>
    </cfRule>
  </conditionalFormatting>
  <conditionalFormatting sqref="C133">
    <cfRule type="cellIs" dxfId="14077" priority="709" stopIfTrue="1" operator="equal">
      <formula>"Towel"</formula>
    </cfRule>
    <cfRule type="cellIs" dxfId="14076" priority="710" stopIfTrue="1" operator="equal">
      <formula>"Napkin Hs"</formula>
    </cfRule>
  </conditionalFormatting>
  <conditionalFormatting sqref="C133">
    <cfRule type="cellIs" dxfId="14075" priority="699" stopIfTrue="1" operator="equal">
      <formula>"Towel"</formula>
    </cfRule>
    <cfRule type="cellIs" dxfId="14074" priority="700" stopIfTrue="1" operator="equal">
      <formula>"Napkin Hs"</formula>
    </cfRule>
  </conditionalFormatting>
  <conditionalFormatting sqref="C133">
    <cfRule type="cellIs" dxfId="14073" priority="701" stopIfTrue="1" operator="equal">
      <formula>"Towel"</formula>
    </cfRule>
    <cfRule type="cellIs" dxfId="14072" priority="702" stopIfTrue="1" operator="equal">
      <formula>"Napkin Hs"</formula>
    </cfRule>
  </conditionalFormatting>
  <conditionalFormatting sqref="C133">
    <cfRule type="cellIs" dxfId="14071" priority="697" stopIfTrue="1" operator="equal">
      <formula>"Towel"</formula>
    </cfRule>
    <cfRule type="cellIs" dxfId="14070" priority="698" stopIfTrue="1" operator="equal">
      <formula>"Napkin Hs"</formula>
    </cfRule>
  </conditionalFormatting>
  <conditionalFormatting sqref="C133">
    <cfRule type="cellIs" dxfId="14069" priority="695" stopIfTrue="1" operator="equal">
      <formula>"Towel"</formula>
    </cfRule>
    <cfRule type="cellIs" dxfId="14068" priority="696" stopIfTrue="1" operator="equal">
      <formula>"Napkin Hs"</formula>
    </cfRule>
  </conditionalFormatting>
  <conditionalFormatting sqref="C133">
    <cfRule type="cellIs" dxfId="14067" priority="703" stopIfTrue="1" operator="equal">
      <formula>"Towel"</formula>
    </cfRule>
    <cfRule type="cellIs" dxfId="14066" priority="704" stopIfTrue="1" operator="equal">
      <formula>"Napkin Hs"</formula>
    </cfRule>
  </conditionalFormatting>
  <conditionalFormatting sqref="C133">
    <cfRule type="cellIs" dxfId="14065" priority="705" stopIfTrue="1" operator="equal">
      <formula>"Towel"</formula>
    </cfRule>
    <cfRule type="cellIs" dxfId="14064" priority="706" stopIfTrue="1" operator="equal">
      <formula>"Napkin Hs"</formula>
    </cfRule>
  </conditionalFormatting>
  <conditionalFormatting sqref="B133">
    <cfRule type="cellIs" dxfId="14063" priority="693" stopIfTrue="1" operator="equal">
      <formula>"Towel"</formula>
    </cfRule>
    <cfRule type="cellIs" dxfId="14062" priority="694" stopIfTrue="1" operator="equal">
      <formula>"Napkin Hs"</formula>
    </cfRule>
  </conditionalFormatting>
  <conditionalFormatting sqref="C132">
    <cfRule type="cellIs" dxfId="14061" priority="691" stopIfTrue="1" operator="equal">
      <formula>"Towel"</formula>
    </cfRule>
    <cfRule type="cellIs" dxfId="14060" priority="692" stopIfTrue="1" operator="equal">
      <formula>"Napkin Hs"</formula>
    </cfRule>
  </conditionalFormatting>
  <conditionalFormatting sqref="C132">
    <cfRule type="cellIs" dxfId="14059" priority="687" stopIfTrue="1" operator="equal">
      <formula>"Towel"</formula>
    </cfRule>
    <cfRule type="cellIs" dxfId="14058" priority="688" stopIfTrue="1" operator="equal">
      <formula>"Napkin Hs"</formula>
    </cfRule>
  </conditionalFormatting>
  <conditionalFormatting sqref="C132">
    <cfRule type="cellIs" dxfId="14057" priority="689" stopIfTrue="1" operator="equal">
      <formula>"Towel"</formula>
    </cfRule>
    <cfRule type="cellIs" dxfId="14056" priority="690" stopIfTrue="1" operator="equal">
      <formula>"Napkin Hs"</formula>
    </cfRule>
  </conditionalFormatting>
  <conditionalFormatting sqref="C132">
    <cfRule type="cellIs" dxfId="14055" priority="685" stopIfTrue="1" operator="equal">
      <formula>"Towel"</formula>
    </cfRule>
    <cfRule type="cellIs" dxfId="14054" priority="686" stopIfTrue="1" operator="equal">
      <formula>"Napkin Hs"</formula>
    </cfRule>
  </conditionalFormatting>
  <conditionalFormatting sqref="C132">
    <cfRule type="cellIs" dxfId="14053" priority="683" stopIfTrue="1" operator="equal">
      <formula>"Towel"</formula>
    </cfRule>
    <cfRule type="cellIs" dxfId="14052" priority="684" stopIfTrue="1" operator="equal">
      <formula>"Napkin Hs"</formula>
    </cfRule>
  </conditionalFormatting>
  <conditionalFormatting sqref="C132">
    <cfRule type="cellIs" dxfId="14051" priority="681" stopIfTrue="1" operator="equal">
      <formula>"Towel"</formula>
    </cfRule>
    <cfRule type="cellIs" dxfId="14050" priority="682" stopIfTrue="1" operator="equal">
      <formula>"Napkin Hs"</formula>
    </cfRule>
  </conditionalFormatting>
  <conditionalFormatting sqref="C132">
    <cfRule type="cellIs" dxfId="14049" priority="673" stopIfTrue="1" operator="equal">
      <formula>"Towel"</formula>
    </cfRule>
    <cfRule type="cellIs" dxfId="14048" priority="674" stopIfTrue="1" operator="equal">
      <formula>"Napkin Hs"</formula>
    </cfRule>
  </conditionalFormatting>
  <conditionalFormatting sqref="C132">
    <cfRule type="cellIs" dxfId="14047" priority="675" stopIfTrue="1" operator="equal">
      <formula>"Towel"</formula>
    </cfRule>
    <cfRule type="cellIs" dxfId="14046" priority="676" stopIfTrue="1" operator="equal">
      <formula>"Napkin Hs"</formula>
    </cfRule>
  </conditionalFormatting>
  <conditionalFormatting sqref="C132">
    <cfRule type="cellIs" dxfId="14045" priority="671" stopIfTrue="1" operator="equal">
      <formula>"Towel"</formula>
    </cfRule>
    <cfRule type="cellIs" dxfId="14044" priority="672" stopIfTrue="1" operator="equal">
      <formula>"Napkin Hs"</formula>
    </cfRule>
  </conditionalFormatting>
  <conditionalFormatting sqref="C132">
    <cfRule type="cellIs" dxfId="14043" priority="669" stopIfTrue="1" operator="equal">
      <formula>"Towel"</formula>
    </cfRule>
    <cfRule type="cellIs" dxfId="14042" priority="670" stopIfTrue="1" operator="equal">
      <formula>"Napkin Hs"</formula>
    </cfRule>
  </conditionalFormatting>
  <conditionalFormatting sqref="C132">
    <cfRule type="cellIs" dxfId="14041" priority="677" stopIfTrue="1" operator="equal">
      <formula>"Towel"</formula>
    </cfRule>
    <cfRule type="cellIs" dxfId="14040" priority="678" stopIfTrue="1" operator="equal">
      <formula>"Napkin Hs"</formula>
    </cfRule>
  </conditionalFormatting>
  <conditionalFormatting sqref="C132">
    <cfRule type="cellIs" dxfId="14039" priority="679" stopIfTrue="1" operator="equal">
      <formula>"Towel"</formula>
    </cfRule>
    <cfRule type="cellIs" dxfId="14038" priority="680" stopIfTrue="1" operator="equal">
      <formula>"Napkin Hs"</formula>
    </cfRule>
  </conditionalFormatting>
  <conditionalFormatting sqref="C132">
    <cfRule type="cellIs" dxfId="14037" priority="661" stopIfTrue="1" operator="equal">
      <formula>"Towel"</formula>
    </cfRule>
    <cfRule type="cellIs" dxfId="14036" priority="662" stopIfTrue="1" operator="equal">
      <formula>"Napkin Hs"</formula>
    </cfRule>
  </conditionalFormatting>
  <conditionalFormatting sqref="C132">
    <cfRule type="cellIs" dxfId="14035" priority="659" stopIfTrue="1" operator="equal">
      <formula>"Towel"</formula>
    </cfRule>
    <cfRule type="cellIs" dxfId="14034" priority="660" stopIfTrue="1" operator="equal">
      <formula>"Napkin Hs"</formula>
    </cfRule>
  </conditionalFormatting>
  <conditionalFormatting sqref="C132">
    <cfRule type="cellIs" dxfId="14033" priority="657" stopIfTrue="1" operator="equal">
      <formula>"Towel"</formula>
    </cfRule>
    <cfRule type="cellIs" dxfId="14032" priority="658" stopIfTrue="1" operator="equal">
      <formula>"Napkin Hs"</formula>
    </cfRule>
  </conditionalFormatting>
  <conditionalFormatting sqref="C132">
    <cfRule type="cellIs" dxfId="14031" priority="667" stopIfTrue="1" operator="equal">
      <formula>"Towel"</formula>
    </cfRule>
    <cfRule type="cellIs" dxfId="14030" priority="668" stopIfTrue="1" operator="equal">
      <formula>"Napkin Hs"</formula>
    </cfRule>
  </conditionalFormatting>
  <conditionalFormatting sqref="C132">
    <cfRule type="cellIs" dxfId="14029" priority="665" stopIfTrue="1" operator="equal">
      <formula>"Towel"</formula>
    </cfRule>
    <cfRule type="cellIs" dxfId="14028" priority="666" stopIfTrue="1" operator="equal">
      <formula>"Napkin Hs"</formula>
    </cfRule>
  </conditionalFormatting>
  <conditionalFormatting sqref="C132">
    <cfRule type="cellIs" dxfId="14027" priority="663" stopIfTrue="1" operator="equal">
      <formula>"Towel"</formula>
    </cfRule>
    <cfRule type="cellIs" dxfId="14026" priority="664" stopIfTrue="1" operator="equal">
      <formula>"Napkin Hs"</formula>
    </cfRule>
  </conditionalFormatting>
  <conditionalFormatting sqref="C132">
    <cfRule type="cellIs" dxfId="14025" priority="655" stopIfTrue="1" operator="equal">
      <formula>"Towel"</formula>
    </cfRule>
    <cfRule type="cellIs" dxfId="14024" priority="656" stopIfTrue="1" operator="equal">
      <formula>"Napkin Hs"</formula>
    </cfRule>
  </conditionalFormatting>
  <conditionalFormatting sqref="C132">
    <cfRule type="cellIs" dxfId="14023" priority="653" stopIfTrue="1" operator="equal">
      <formula>"Towel"</formula>
    </cfRule>
    <cfRule type="cellIs" dxfId="14022" priority="654" stopIfTrue="1" operator="equal">
      <formula>"Napkin Hs"</formula>
    </cfRule>
  </conditionalFormatting>
  <conditionalFormatting sqref="C132">
    <cfRule type="cellIs" dxfId="14021" priority="651" stopIfTrue="1" operator="equal">
      <formula>"Towel"</formula>
    </cfRule>
    <cfRule type="cellIs" dxfId="14020" priority="652" stopIfTrue="1" operator="equal">
      <formula>"Napkin Hs"</formula>
    </cfRule>
  </conditionalFormatting>
  <conditionalFormatting sqref="C132">
    <cfRule type="cellIs" dxfId="14019" priority="649" stopIfTrue="1" operator="equal">
      <formula>"Towel"</formula>
    </cfRule>
    <cfRule type="cellIs" dxfId="14018" priority="650" stopIfTrue="1" operator="equal">
      <formula>"Napkin Hs"</formula>
    </cfRule>
  </conditionalFormatting>
  <conditionalFormatting sqref="C132">
    <cfRule type="cellIs" dxfId="14017" priority="647" stopIfTrue="1" operator="equal">
      <formula>"Towel"</formula>
    </cfRule>
    <cfRule type="cellIs" dxfId="14016" priority="648" stopIfTrue="1" operator="equal">
      <formula>"Napkin Hs"</formula>
    </cfRule>
  </conditionalFormatting>
  <conditionalFormatting sqref="C132">
    <cfRule type="cellIs" dxfId="14015" priority="645" stopIfTrue="1" operator="equal">
      <formula>"Towel"</formula>
    </cfRule>
    <cfRule type="cellIs" dxfId="14014" priority="646" stopIfTrue="1" operator="equal">
      <formula>"Napkin Hs"</formula>
    </cfRule>
  </conditionalFormatting>
  <conditionalFormatting sqref="C132">
    <cfRule type="cellIs" dxfId="14013" priority="637" stopIfTrue="1" operator="equal">
      <formula>"Towel"</formula>
    </cfRule>
    <cfRule type="cellIs" dxfId="14012" priority="638" stopIfTrue="1" operator="equal">
      <formula>"Napkin Hs"</formula>
    </cfRule>
  </conditionalFormatting>
  <conditionalFormatting sqref="C132">
    <cfRule type="cellIs" dxfId="14011" priority="639" stopIfTrue="1" operator="equal">
      <formula>"Towel"</formula>
    </cfRule>
    <cfRule type="cellIs" dxfId="14010" priority="640" stopIfTrue="1" operator="equal">
      <formula>"Napkin Hs"</formula>
    </cfRule>
  </conditionalFormatting>
  <conditionalFormatting sqref="C132">
    <cfRule type="cellIs" dxfId="14009" priority="635" stopIfTrue="1" operator="equal">
      <formula>"Towel"</formula>
    </cfRule>
    <cfRule type="cellIs" dxfId="14008" priority="636" stopIfTrue="1" operator="equal">
      <formula>"Napkin Hs"</formula>
    </cfRule>
  </conditionalFormatting>
  <conditionalFormatting sqref="C132">
    <cfRule type="cellIs" dxfId="14007" priority="633" stopIfTrue="1" operator="equal">
      <formula>"Towel"</formula>
    </cfRule>
    <cfRule type="cellIs" dxfId="14006" priority="634" stopIfTrue="1" operator="equal">
      <formula>"Napkin Hs"</formula>
    </cfRule>
  </conditionalFormatting>
  <conditionalFormatting sqref="C132">
    <cfRule type="cellIs" dxfId="14005" priority="641" stopIfTrue="1" operator="equal">
      <formula>"Towel"</formula>
    </cfRule>
    <cfRule type="cellIs" dxfId="14004" priority="642" stopIfTrue="1" operator="equal">
      <formula>"Napkin Hs"</formula>
    </cfRule>
  </conditionalFormatting>
  <conditionalFormatting sqref="C132">
    <cfRule type="cellIs" dxfId="14003" priority="643" stopIfTrue="1" operator="equal">
      <formula>"Towel"</formula>
    </cfRule>
    <cfRule type="cellIs" dxfId="14002" priority="644" stopIfTrue="1" operator="equal">
      <formula>"Napkin Hs"</formula>
    </cfRule>
  </conditionalFormatting>
  <conditionalFormatting sqref="C132">
    <cfRule type="cellIs" dxfId="14001" priority="631" stopIfTrue="1" operator="equal">
      <formula>"Towel"</formula>
    </cfRule>
    <cfRule type="cellIs" dxfId="14000" priority="632" stopIfTrue="1" operator="equal">
      <formula>"Napkin Hs"</formula>
    </cfRule>
  </conditionalFormatting>
  <conditionalFormatting sqref="C132">
    <cfRule type="cellIs" dxfId="13999" priority="630" stopIfTrue="1" operator="equal">
      <formula>"Napkin Hs"</formula>
    </cfRule>
  </conditionalFormatting>
  <conditionalFormatting sqref="C132">
    <cfRule type="cellIs" dxfId="13998" priority="629" stopIfTrue="1" operator="equal">
      <formula>"Towel"</formula>
    </cfRule>
  </conditionalFormatting>
  <conditionalFormatting sqref="C132">
    <cfRule type="cellIs" dxfId="13997" priority="627" stopIfTrue="1" operator="equal">
      <formula>"Towel"</formula>
    </cfRule>
    <cfRule type="cellIs" dxfId="13996" priority="628" stopIfTrue="1" operator="equal">
      <formula>"Napkin Hs"</formula>
    </cfRule>
  </conditionalFormatting>
  <conditionalFormatting sqref="C132">
    <cfRule type="cellIs" dxfId="13995" priority="625" stopIfTrue="1" operator="equal">
      <formula>"Towel"</formula>
    </cfRule>
    <cfRule type="cellIs" dxfId="13994" priority="626" stopIfTrue="1" operator="equal">
      <formula>"Napkin Hs"</formula>
    </cfRule>
  </conditionalFormatting>
  <conditionalFormatting sqref="C132">
    <cfRule type="cellIs" dxfId="13993" priority="621" stopIfTrue="1" operator="equal">
      <formula>"Towel"</formula>
    </cfRule>
    <cfRule type="cellIs" dxfId="13992" priority="622" stopIfTrue="1" operator="equal">
      <formula>"Napkin Hs"</formula>
    </cfRule>
  </conditionalFormatting>
  <conditionalFormatting sqref="C132">
    <cfRule type="cellIs" dxfId="13991" priority="623" stopIfTrue="1" operator="equal">
      <formula>"Towel"</formula>
    </cfRule>
    <cfRule type="cellIs" dxfId="13990" priority="624" stopIfTrue="1" operator="equal">
      <formula>"Napkin Hs"</formula>
    </cfRule>
  </conditionalFormatting>
  <conditionalFormatting sqref="C132">
    <cfRule type="cellIs" dxfId="13989" priority="619" stopIfTrue="1" operator="equal">
      <formula>"Towel"</formula>
    </cfRule>
    <cfRule type="cellIs" dxfId="13988" priority="620" stopIfTrue="1" operator="equal">
      <formula>"Napkin Hs"</formula>
    </cfRule>
  </conditionalFormatting>
  <conditionalFormatting sqref="C132">
    <cfRule type="cellIs" dxfId="13987" priority="617" stopIfTrue="1" operator="equal">
      <formula>"Towel"</formula>
    </cfRule>
    <cfRule type="cellIs" dxfId="13986" priority="618" stopIfTrue="1" operator="equal">
      <formula>"Napkin Hs"</formula>
    </cfRule>
  </conditionalFormatting>
  <conditionalFormatting sqref="C132">
    <cfRule type="cellIs" dxfId="13985" priority="615" stopIfTrue="1" operator="equal">
      <formula>"Towel"</formula>
    </cfRule>
    <cfRule type="cellIs" dxfId="13984" priority="616" stopIfTrue="1" operator="equal">
      <formula>"Napkin Hs"</formula>
    </cfRule>
  </conditionalFormatting>
  <conditionalFormatting sqref="C132">
    <cfRule type="cellIs" dxfId="13983" priority="607" stopIfTrue="1" operator="equal">
      <formula>"Towel"</formula>
    </cfRule>
    <cfRule type="cellIs" dxfId="13982" priority="608" stopIfTrue="1" operator="equal">
      <formula>"Napkin Hs"</formula>
    </cfRule>
  </conditionalFormatting>
  <conditionalFormatting sqref="C132">
    <cfRule type="cellIs" dxfId="13981" priority="609" stopIfTrue="1" operator="equal">
      <formula>"Towel"</formula>
    </cfRule>
    <cfRule type="cellIs" dxfId="13980" priority="610" stopIfTrue="1" operator="equal">
      <formula>"Napkin Hs"</formula>
    </cfRule>
  </conditionalFormatting>
  <conditionalFormatting sqref="C132">
    <cfRule type="cellIs" dxfId="13979" priority="605" stopIfTrue="1" operator="equal">
      <formula>"Towel"</formula>
    </cfRule>
    <cfRule type="cellIs" dxfId="13978" priority="606" stopIfTrue="1" operator="equal">
      <formula>"Napkin Hs"</formula>
    </cfRule>
  </conditionalFormatting>
  <conditionalFormatting sqref="C132">
    <cfRule type="cellIs" dxfId="13977" priority="603" stopIfTrue="1" operator="equal">
      <formula>"Towel"</formula>
    </cfRule>
    <cfRule type="cellIs" dxfId="13976" priority="604" stopIfTrue="1" operator="equal">
      <formula>"Napkin Hs"</formula>
    </cfRule>
  </conditionalFormatting>
  <conditionalFormatting sqref="C132">
    <cfRule type="cellIs" dxfId="13975" priority="611" stopIfTrue="1" operator="equal">
      <formula>"Towel"</formula>
    </cfRule>
    <cfRule type="cellIs" dxfId="13974" priority="612" stopIfTrue="1" operator="equal">
      <formula>"Napkin Hs"</formula>
    </cfRule>
  </conditionalFormatting>
  <conditionalFormatting sqref="C132">
    <cfRule type="cellIs" dxfId="13973" priority="613" stopIfTrue="1" operator="equal">
      <formula>"Towel"</formula>
    </cfRule>
    <cfRule type="cellIs" dxfId="13972" priority="614" stopIfTrue="1" operator="equal">
      <formula>"Napkin Hs"</formula>
    </cfRule>
  </conditionalFormatting>
  <conditionalFormatting sqref="C132">
    <cfRule type="cellIs" dxfId="13971" priority="601" stopIfTrue="1" operator="equal">
      <formula>"Towel"</formula>
    </cfRule>
    <cfRule type="cellIs" dxfId="13970" priority="602" stopIfTrue="1" operator="equal">
      <formula>"Napkin Hs"</formula>
    </cfRule>
  </conditionalFormatting>
  <conditionalFormatting sqref="C132">
    <cfRule type="cellIs" dxfId="13969" priority="600" stopIfTrue="1" operator="equal">
      <formula>"Napkin Hs"</formula>
    </cfRule>
  </conditionalFormatting>
  <conditionalFormatting sqref="C132">
    <cfRule type="cellIs" dxfId="13968" priority="599" stopIfTrue="1" operator="equal">
      <formula>"Towel"</formula>
    </cfRule>
  </conditionalFormatting>
  <conditionalFormatting sqref="C132">
    <cfRule type="cellIs" dxfId="13967" priority="597" stopIfTrue="1" operator="equal">
      <formula>"Towel"</formula>
    </cfRule>
    <cfRule type="cellIs" dxfId="13966" priority="598" stopIfTrue="1" operator="equal">
      <formula>"Napkin Hs"</formula>
    </cfRule>
  </conditionalFormatting>
  <conditionalFormatting sqref="C132">
    <cfRule type="cellIs" dxfId="13965" priority="595" stopIfTrue="1" operator="equal">
      <formula>"Towel"</formula>
    </cfRule>
    <cfRule type="cellIs" dxfId="13964" priority="596" stopIfTrue="1" operator="equal">
      <formula>"Napkin Hs"</formula>
    </cfRule>
  </conditionalFormatting>
  <conditionalFormatting sqref="C132">
    <cfRule type="cellIs" dxfId="13963" priority="591" stopIfTrue="1" operator="equal">
      <formula>"Towel"</formula>
    </cfRule>
    <cfRule type="cellIs" dxfId="13962" priority="592" stopIfTrue="1" operator="equal">
      <formula>"Napkin Hs"</formula>
    </cfRule>
  </conditionalFormatting>
  <conditionalFormatting sqref="C132">
    <cfRule type="cellIs" dxfId="13961" priority="593" stopIfTrue="1" operator="equal">
      <formula>"Towel"</formula>
    </cfRule>
    <cfRule type="cellIs" dxfId="13960" priority="594" stopIfTrue="1" operator="equal">
      <formula>"Napkin Hs"</formula>
    </cfRule>
  </conditionalFormatting>
  <conditionalFormatting sqref="C132">
    <cfRule type="cellIs" dxfId="13959" priority="589" stopIfTrue="1" operator="equal">
      <formula>"Towel"</formula>
    </cfRule>
    <cfRule type="cellIs" dxfId="13958" priority="590" stopIfTrue="1" operator="equal">
      <formula>"Napkin Hs"</formula>
    </cfRule>
  </conditionalFormatting>
  <conditionalFormatting sqref="C132">
    <cfRule type="cellIs" dxfId="13957" priority="588" stopIfTrue="1" operator="equal">
      <formula>"Napkin Hs"</formula>
    </cfRule>
  </conditionalFormatting>
  <conditionalFormatting sqref="C132">
    <cfRule type="cellIs" dxfId="13956" priority="587" stopIfTrue="1" operator="equal">
      <formula>"Towel"</formula>
    </cfRule>
  </conditionalFormatting>
  <conditionalFormatting sqref="C132">
    <cfRule type="cellIs" dxfId="13955" priority="585" stopIfTrue="1" operator="equal">
      <formula>"Towel"</formula>
    </cfRule>
    <cfRule type="cellIs" dxfId="13954" priority="586" stopIfTrue="1" operator="equal">
      <formula>"Napkin Hs"</formula>
    </cfRule>
  </conditionalFormatting>
  <conditionalFormatting sqref="C132">
    <cfRule type="cellIs" dxfId="13953" priority="583" stopIfTrue="1" operator="equal">
      <formula>"Towel"</formula>
    </cfRule>
    <cfRule type="cellIs" dxfId="13952" priority="584" stopIfTrue="1" operator="equal">
      <formula>"Napkin Hs"</formula>
    </cfRule>
  </conditionalFormatting>
  <conditionalFormatting sqref="C132">
    <cfRule type="cellIs" dxfId="13951" priority="579" stopIfTrue="1" operator="equal">
      <formula>"Towel"</formula>
    </cfRule>
    <cfRule type="cellIs" dxfId="13950" priority="580" stopIfTrue="1" operator="equal">
      <formula>"Napkin Hs"</formula>
    </cfRule>
  </conditionalFormatting>
  <conditionalFormatting sqref="C132">
    <cfRule type="cellIs" dxfId="13949" priority="581" stopIfTrue="1" operator="equal">
      <formula>"Towel"</formula>
    </cfRule>
    <cfRule type="cellIs" dxfId="13948" priority="582" stopIfTrue="1" operator="equal">
      <formula>"Napkin Hs"</formula>
    </cfRule>
  </conditionalFormatting>
  <conditionalFormatting sqref="C132">
    <cfRule type="cellIs" dxfId="13947" priority="577" stopIfTrue="1" operator="equal">
      <formula>"Towel"</formula>
    </cfRule>
    <cfRule type="cellIs" dxfId="13946" priority="578" stopIfTrue="1" operator="equal">
      <formula>"Napkin Hs"</formula>
    </cfRule>
  </conditionalFormatting>
  <conditionalFormatting sqref="C132">
    <cfRule type="cellIs" dxfId="13945" priority="576" stopIfTrue="1" operator="equal">
      <formula>"Napkin Hs"</formula>
    </cfRule>
  </conditionalFormatting>
  <conditionalFormatting sqref="C132">
    <cfRule type="cellIs" dxfId="13944" priority="575" stopIfTrue="1" operator="equal">
      <formula>"Towel"</formula>
    </cfRule>
  </conditionalFormatting>
  <conditionalFormatting sqref="C132">
    <cfRule type="cellIs" dxfId="13943" priority="573" stopIfTrue="1" operator="equal">
      <formula>"Towel"</formula>
    </cfRule>
    <cfRule type="cellIs" dxfId="13942" priority="574" stopIfTrue="1" operator="equal">
      <formula>"Napkin Hs"</formula>
    </cfRule>
  </conditionalFormatting>
  <conditionalFormatting sqref="C132">
    <cfRule type="cellIs" dxfId="13941" priority="565" stopIfTrue="1" operator="equal">
      <formula>"Towel"</formula>
    </cfRule>
    <cfRule type="cellIs" dxfId="13940" priority="566" stopIfTrue="1" operator="equal">
      <formula>"Napkin Hs"</formula>
    </cfRule>
  </conditionalFormatting>
  <conditionalFormatting sqref="C132">
    <cfRule type="cellIs" dxfId="13939" priority="567" stopIfTrue="1" operator="equal">
      <formula>"Towel"</formula>
    </cfRule>
    <cfRule type="cellIs" dxfId="13938" priority="568" stopIfTrue="1" operator="equal">
      <formula>"Napkin Hs"</formula>
    </cfRule>
  </conditionalFormatting>
  <conditionalFormatting sqref="C132">
    <cfRule type="cellIs" dxfId="13937" priority="563" stopIfTrue="1" operator="equal">
      <formula>"Towel"</formula>
    </cfRule>
    <cfRule type="cellIs" dxfId="13936" priority="564" stopIfTrue="1" operator="equal">
      <formula>"Napkin Hs"</formula>
    </cfRule>
  </conditionalFormatting>
  <conditionalFormatting sqref="C132">
    <cfRule type="cellIs" dxfId="13935" priority="561" stopIfTrue="1" operator="equal">
      <formula>"Towel"</formula>
    </cfRule>
    <cfRule type="cellIs" dxfId="13934" priority="562" stopIfTrue="1" operator="equal">
      <formula>"Napkin Hs"</formula>
    </cfRule>
  </conditionalFormatting>
  <conditionalFormatting sqref="C132">
    <cfRule type="cellIs" dxfId="13933" priority="569" stopIfTrue="1" operator="equal">
      <formula>"Towel"</formula>
    </cfRule>
    <cfRule type="cellIs" dxfId="13932" priority="570" stopIfTrue="1" operator="equal">
      <formula>"Napkin Hs"</formula>
    </cfRule>
  </conditionalFormatting>
  <conditionalFormatting sqref="C132">
    <cfRule type="cellIs" dxfId="13931" priority="571" stopIfTrue="1" operator="equal">
      <formula>"Towel"</formula>
    </cfRule>
    <cfRule type="cellIs" dxfId="13930" priority="572" stopIfTrue="1" operator="equal">
      <formula>"Napkin Hs"</formula>
    </cfRule>
  </conditionalFormatting>
  <conditionalFormatting sqref="C132">
    <cfRule type="cellIs" dxfId="13929" priority="559" stopIfTrue="1" operator="equal">
      <formula>"Towel"</formula>
    </cfRule>
    <cfRule type="cellIs" dxfId="13928" priority="560" stopIfTrue="1" operator="equal">
      <formula>"Napkin Hs"</formula>
    </cfRule>
  </conditionalFormatting>
  <conditionalFormatting sqref="C132">
    <cfRule type="cellIs" dxfId="13927" priority="555" stopIfTrue="1" operator="equal">
      <formula>"Towel"</formula>
    </cfRule>
    <cfRule type="cellIs" dxfId="13926" priority="556" stopIfTrue="1" operator="equal">
      <formula>"Napkin Hs"</formula>
    </cfRule>
  </conditionalFormatting>
  <conditionalFormatting sqref="C132">
    <cfRule type="cellIs" dxfId="13925" priority="557" stopIfTrue="1" operator="equal">
      <formula>"Towel"</formula>
    </cfRule>
    <cfRule type="cellIs" dxfId="13924" priority="558" stopIfTrue="1" operator="equal">
      <formula>"Napkin Hs"</formula>
    </cfRule>
  </conditionalFormatting>
  <conditionalFormatting sqref="C132">
    <cfRule type="cellIs" dxfId="13923" priority="547" stopIfTrue="1" operator="equal">
      <formula>"Towel"</formula>
    </cfRule>
    <cfRule type="cellIs" dxfId="13922" priority="548" stopIfTrue="1" operator="equal">
      <formula>"Napkin Hs"</formula>
    </cfRule>
  </conditionalFormatting>
  <conditionalFormatting sqref="C132">
    <cfRule type="cellIs" dxfId="13921" priority="549" stopIfTrue="1" operator="equal">
      <formula>"Towel"</formula>
    </cfRule>
    <cfRule type="cellIs" dxfId="13920" priority="550" stopIfTrue="1" operator="equal">
      <formula>"Napkin Hs"</formula>
    </cfRule>
  </conditionalFormatting>
  <conditionalFormatting sqref="C132">
    <cfRule type="cellIs" dxfId="13919" priority="545" stopIfTrue="1" operator="equal">
      <formula>"Towel"</formula>
    </cfRule>
    <cfRule type="cellIs" dxfId="13918" priority="546" stopIfTrue="1" operator="equal">
      <formula>"Napkin Hs"</formula>
    </cfRule>
  </conditionalFormatting>
  <conditionalFormatting sqref="C132">
    <cfRule type="cellIs" dxfId="13917" priority="543" stopIfTrue="1" operator="equal">
      <formula>"Towel"</formula>
    </cfRule>
    <cfRule type="cellIs" dxfId="13916" priority="544" stopIfTrue="1" operator="equal">
      <formula>"Napkin Hs"</formula>
    </cfRule>
  </conditionalFormatting>
  <conditionalFormatting sqref="C132">
    <cfRule type="cellIs" dxfId="13915" priority="551" stopIfTrue="1" operator="equal">
      <formula>"Towel"</formula>
    </cfRule>
    <cfRule type="cellIs" dxfId="13914" priority="552" stopIfTrue="1" operator="equal">
      <formula>"Napkin Hs"</formula>
    </cfRule>
  </conditionalFormatting>
  <conditionalFormatting sqref="C132">
    <cfRule type="cellIs" dxfId="13913" priority="553" stopIfTrue="1" operator="equal">
      <formula>"Towel"</formula>
    </cfRule>
    <cfRule type="cellIs" dxfId="13912" priority="554" stopIfTrue="1" operator="equal">
      <formula>"Napkin Hs"</formula>
    </cfRule>
  </conditionalFormatting>
  <conditionalFormatting sqref="C132">
    <cfRule type="cellIs" dxfId="13911" priority="541" stopIfTrue="1" operator="equal">
      <formula>"Towel"</formula>
    </cfRule>
    <cfRule type="cellIs" dxfId="13910" priority="542" stopIfTrue="1" operator="equal">
      <formula>"Napkin Hs"</formula>
    </cfRule>
  </conditionalFormatting>
  <conditionalFormatting sqref="C132">
    <cfRule type="cellIs" dxfId="13909" priority="540" stopIfTrue="1" operator="equal">
      <formula>"Napkin Hs"</formula>
    </cfRule>
  </conditionalFormatting>
  <conditionalFormatting sqref="C132">
    <cfRule type="cellIs" dxfId="13908" priority="539" stopIfTrue="1" operator="equal">
      <formula>"Towel"</formula>
    </cfRule>
  </conditionalFormatting>
  <conditionalFormatting sqref="C132">
    <cfRule type="cellIs" dxfId="13907" priority="537" stopIfTrue="1" operator="equal">
      <formula>"Towel"</formula>
    </cfRule>
    <cfRule type="cellIs" dxfId="13906" priority="538" stopIfTrue="1" operator="equal">
      <formula>"Napkin Hs"</formula>
    </cfRule>
  </conditionalFormatting>
  <conditionalFormatting sqref="B131:C131">
    <cfRule type="cellIs" dxfId="13905" priority="535" stopIfTrue="1" operator="equal">
      <formula>"Towel"</formula>
    </cfRule>
    <cfRule type="cellIs" dxfId="13904" priority="536" stopIfTrue="1" operator="equal">
      <formula>"Napkin Hs"</formula>
    </cfRule>
  </conditionalFormatting>
  <conditionalFormatting sqref="C131">
    <cfRule type="cellIs" dxfId="13903" priority="531" stopIfTrue="1" operator="equal">
      <formula>"Towel"</formula>
    </cfRule>
    <cfRule type="cellIs" dxfId="13902" priority="532" stopIfTrue="1" operator="equal">
      <formula>"Napkin Hs"</formula>
    </cfRule>
  </conditionalFormatting>
  <conditionalFormatting sqref="C131">
    <cfRule type="cellIs" dxfId="13901" priority="533" stopIfTrue="1" operator="equal">
      <formula>"Towel"</formula>
    </cfRule>
    <cfRule type="cellIs" dxfId="13900" priority="534" stopIfTrue="1" operator="equal">
      <formula>"Napkin Hs"</formula>
    </cfRule>
  </conditionalFormatting>
  <conditionalFormatting sqref="B131:C131">
    <cfRule type="cellIs" dxfId="13899" priority="529" stopIfTrue="1" operator="equal">
      <formula>"Towel"</formula>
    </cfRule>
    <cfRule type="cellIs" dxfId="13898" priority="530" stopIfTrue="1" operator="equal">
      <formula>"Napkin Hs"</formula>
    </cfRule>
  </conditionalFormatting>
  <conditionalFormatting sqref="C131">
    <cfRule type="cellIs" dxfId="13897" priority="527" stopIfTrue="1" operator="equal">
      <formula>"Towel"</formula>
    </cfRule>
    <cfRule type="cellIs" dxfId="13896" priority="528" stopIfTrue="1" operator="equal">
      <formula>"Napkin Hs"</formula>
    </cfRule>
  </conditionalFormatting>
  <conditionalFormatting sqref="C131">
    <cfRule type="cellIs" dxfId="13895" priority="525" stopIfTrue="1" operator="equal">
      <formula>"Towel"</formula>
    </cfRule>
    <cfRule type="cellIs" dxfId="13894" priority="526" stopIfTrue="1" operator="equal">
      <formula>"Napkin Hs"</formula>
    </cfRule>
  </conditionalFormatting>
  <conditionalFormatting sqref="C131">
    <cfRule type="cellIs" dxfId="13893" priority="517" stopIfTrue="1" operator="equal">
      <formula>"Towel"</formula>
    </cfRule>
    <cfRule type="cellIs" dxfId="13892" priority="518" stopIfTrue="1" operator="equal">
      <formula>"Napkin Hs"</formula>
    </cfRule>
  </conditionalFormatting>
  <conditionalFormatting sqref="B131:C131">
    <cfRule type="cellIs" dxfId="13891" priority="519" stopIfTrue="1" operator="equal">
      <formula>"Towel"</formula>
    </cfRule>
    <cfRule type="cellIs" dxfId="13890" priority="520" stopIfTrue="1" operator="equal">
      <formula>"Napkin Hs"</formula>
    </cfRule>
  </conditionalFormatting>
  <conditionalFormatting sqref="C131">
    <cfRule type="cellIs" dxfId="13889" priority="515" stopIfTrue="1" operator="equal">
      <formula>"Towel"</formula>
    </cfRule>
    <cfRule type="cellIs" dxfId="13888" priority="516" stopIfTrue="1" operator="equal">
      <formula>"Napkin Hs"</formula>
    </cfRule>
  </conditionalFormatting>
  <conditionalFormatting sqref="B131:C131">
    <cfRule type="cellIs" dxfId="13887" priority="513" stopIfTrue="1" operator="equal">
      <formula>"Towel"</formula>
    </cfRule>
    <cfRule type="cellIs" dxfId="13886" priority="514" stopIfTrue="1" operator="equal">
      <formula>"Napkin Hs"</formula>
    </cfRule>
  </conditionalFormatting>
  <conditionalFormatting sqref="C131">
    <cfRule type="cellIs" dxfId="13885" priority="521" stopIfTrue="1" operator="equal">
      <formula>"Towel"</formula>
    </cfRule>
    <cfRule type="cellIs" dxfId="13884" priority="522" stopIfTrue="1" operator="equal">
      <formula>"Napkin Hs"</formula>
    </cfRule>
  </conditionalFormatting>
  <conditionalFormatting sqref="C131">
    <cfRule type="cellIs" dxfId="13883" priority="523" stopIfTrue="1" operator="equal">
      <formula>"Towel"</formula>
    </cfRule>
    <cfRule type="cellIs" dxfId="13882" priority="524" stopIfTrue="1" operator="equal">
      <formula>"Napkin Hs"</formula>
    </cfRule>
  </conditionalFormatting>
  <conditionalFormatting sqref="C131">
    <cfRule type="cellIs" dxfId="13881" priority="505" stopIfTrue="1" operator="equal">
      <formula>"Towel"</formula>
    </cfRule>
    <cfRule type="cellIs" dxfId="13880" priority="506" stopIfTrue="1" operator="equal">
      <formula>"Napkin Hs"</formula>
    </cfRule>
  </conditionalFormatting>
  <conditionalFormatting sqref="C131">
    <cfRule type="cellIs" dxfId="13879" priority="503" stopIfTrue="1" operator="equal">
      <formula>"Towel"</formula>
    </cfRule>
    <cfRule type="cellIs" dxfId="13878" priority="504" stopIfTrue="1" operator="equal">
      <formula>"Napkin Hs"</formula>
    </cfRule>
  </conditionalFormatting>
  <conditionalFormatting sqref="B131:C131">
    <cfRule type="cellIs" dxfId="13877" priority="501" stopIfTrue="1" operator="equal">
      <formula>"Towel"</formula>
    </cfRule>
    <cfRule type="cellIs" dxfId="13876" priority="502" stopIfTrue="1" operator="equal">
      <formula>"Napkin Hs"</formula>
    </cfRule>
  </conditionalFormatting>
  <conditionalFormatting sqref="B131:C131">
    <cfRule type="cellIs" dxfId="13875" priority="511" stopIfTrue="1" operator="equal">
      <formula>"Towel"</formula>
    </cfRule>
    <cfRule type="cellIs" dxfId="13874" priority="512" stopIfTrue="1" operator="equal">
      <formula>"Napkin Hs"</formula>
    </cfRule>
  </conditionalFormatting>
  <conditionalFormatting sqref="C131">
    <cfRule type="cellIs" dxfId="13873" priority="509" stopIfTrue="1" operator="equal">
      <formula>"Towel"</formula>
    </cfRule>
    <cfRule type="cellIs" dxfId="13872" priority="510" stopIfTrue="1" operator="equal">
      <formula>"Napkin Hs"</formula>
    </cfRule>
  </conditionalFormatting>
  <conditionalFormatting sqref="C131">
    <cfRule type="cellIs" dxfId="13871" priority="507" stopIfTrue="1" operator="equal">
      <formula>"Towel"</formula>
    </cfRule>
    <cfRule type="cellIs" dxfId="13870" priority="508" stopIfTrue="1" operator="equal">
      <formula>"Napkin Hs"</formula>
    </cfRule>
  </conditionalFormatting>
  <conditionalFormatting sqref="C131">
    <cfRule type="cellIs" dxfId="13869" priority="499" stopIfTrue="1" operator="equal">
      <formula>"Towel"</formula>
    </cfRule>
    <cfRule type="cellIs" dxfId="13868" priority="500" stopIfTrue="1" operator="equal">
      <formula>"Napkin Hs"</formula>
    </cfRule>
  </conditionalFormatting>
  <conditionalFormatting sqref="C131">
    <cfRule type="cellIs" dxfId="13867" priority="497" stopIfTrue="1" operator="equal">
      <formula>"Towel"</formula>
    </cfRule>
    <cfRule type="cellIs" dxfId="13866" priority="498" stopIfTrue="1" operator="equal">
      <formula>"Napkin Hs"</formula>
    </cfRule>
  </conditionalFormatting>
  <conditionalFormatting sqref="B131:C131">
    <cfRule type="cellIs" dxfId="13865" priority="495" stopIfTrue="1" operator="equal">
      <formula>"Towel"</formula>
    </cfRule>
    <cfRule type="cellIs" dxfId="13864" priority="496" stopIfTrue="1" operator="equal">
      <formula>"Napkin Hs"</formula>
    </cfRule>
  </conditionalFormatting>
  <conditionalFormatting sqref="B131:C131">
    <cfRule type="cellIs" dxfId="13863" priority="493" stopIfTrue="1" operator="equal">
      <formula>"Towel"</formula>
    </cfRule>
    <cfRule type="cellIs" dxfId="13862" priority="494" stopIfTrue="1" operator="equal">
      <formula>"Napkin Hs"</formula>
    </cfRule>
  </conditionalFormatting>
  <conditionalFormatting sqref="C131">
    <cfRule type="cellIs" dxfId="13861" priority="491" stopIfTrue="1" operator="equal">
      <formula>"Towel"</formula>
    </cfRule>
    <cfRule type="cellIs" dxfId="13860" priority="492" stopIfTrue="1" operator="equal">
      <formula>"Napkin Hs"</formula>
    </cfRule>
  </conditionalFormatting>
  <conditionalFormatting sqref="C131">
    <cfRule type="cellIs" dxfId="13859" priority="489" stopIfTrue="1" operator="equal">
      <formula>"Towel"</formula>
    </cfRule>
    <cfRule type="cellIs" dxfId="13858" priority="490" stopIfTrue="1" operator="equal">
      <formula>"Napkin Hs"</formula>
    </cfRule>
  </conditionalFormatting>
  <conditionalFormatting sqref="C131">
    <cfRule type="cellIs" dxfId="13857" priority="481" stopIfTrue="1" operator="equal">
      <formula>"Towel"</formula>
    </cfRule>
    <cfRule type="cellIs" dxfId="13856" priority="482" stopIfTrue="1" operator="equal">
      <formula>"Napkin Hs"</formula>
    </cfRule>
  </conditionalFormatting>
  <conditionalFormatting sqref="B131:C131">
    <cfRule type="cellIs" dxfId="13855" priority="483" stopIfTrue="1" operator="equal">
      <formula>"Towel"</formula>
    </cfRule>
    <cfRule type="cellIs" dxfId="13854" priority="484" stopIfTrue="1" operator="equal">
      <formula>"Napkin Hs"</formula>
    </cfRule>
  </conditionalFormatting>
  <conditionalFormatting sqref="C131">
    <cfRule type="cellIs" dxfId="13853" priority="479" stopIfTrue="1" operator="equal">
      <formula>"Towel"</formula>
    </cfRule>
    <cfRule type="cellIs" dxfId="13852" priority="480" stopIfTrue="1" operator="equal">
      <formula>"Napkin Hs"</formula>
    </cfRule>
  </conditionalFormatting>
  <conditionalFormatting sqref="B131:C131">
    <cfRule type="cellIs" dxfId="13851" priority="477" stopIfTrue="1" operator="equal">
      <formula>"Towel"</formula>
    </cfRule>
    <cfRule type="cellIs" dxfId="13850" priority="478" stopIfTrue="1" operator="equal">
      <formula>"Napkin Hs"</formula>
    </cfRule>
  </conditionalFormatting>
  <conditionalFormatting sqref="C131">
    <cfRule type="cellIs" dxfId="13849" priority="485" stopIfTrue="1" operator="equal">
      <formula>"Towel"</formula>
    </cfRule>
    <cfRule type="cellIs" dxfId="13848" priority="486" stopIfTrue="1" operator="equal">
      <formula>"Napkin Hs"</formula>
    </cfRule>
  </conditionalFormatting>
  <conditionalFormatting sqref="C131">
    <cfRule type="cellIs" dxfId="13847" priority="487" stopIfTrue="1" operator="equal">
      <formula>"Towel"</formula>
    </cfRule>
    <cfRule type="cellIs" dxfId="13846" priority="488" stopIfTrue="1" operator="equal">
      <formula>"Napkin Hs"</formula>
    </cfRule>
  </conditionalFormatting>
  <conditionalFormatting sqref="B131:C131">
    <cfRule type="cellIs" dxfId="13845" priority="475" stopIfTrue="1" operator="equal">
      <formula>"Towel"</formula>
    </cfRule>
    <cfRule type="cellIs" dxfId="13844" priority="476" stopIfTrue="1" operator="equal">
      <formula>"Napkin Hs"</formula>
    </cfRule>
  </conditionalFormatting>
  <conditionalFormatting sqref="C131">
    <cfRule type="cellIs" dxfId="13843" priority="474" stopIfTrue="1" operator="equal">
      <formula>"Napkin Hs"</formula>
    </cfRule>
  </conditionalFormatting>
  <conditionalFormatting sqref="C131">
    <cfRule type="cellIs" dxfId="13842" priority="473" stopIfTrue="1" operator="equal">
      <formula>"Towel"</formula>
    </cfRule>
  </conditionalFormatting>
  <conditionalFormatting sqref="C131">
    <cfRule type="cellIs" dxfId="13841" priority="471" stopIfTrue="1" operator="equal">
      <formula>"Towel"</formula>
    </cfRule>
    <cfRule type="cellIs" dxfId="13840" priority="472" stopIfTrue="1" operator="equal">
      <formula>"Napkin Hs"</formula>
    </cfRule>
  </conditionalFormatting>
  <conditionalFormatting sqref="B131:C131">
    <cfRule type="cellIs" dxfId="13839" priority="469" stopIfTrue="1" operator="equal">
      <formula>"Towel"</formula>
    </cfRule>
    <cfRule type="cellIs" dxfId="13838" priority="470" stopIfTrue="1" operator="equal">
      <formula>"Napkin Hs"</formula>
    </cfRule>
  </conditionalFormatting>
  <conditionalFormatting sqref="C131">
    <cfRule type="cellIs" dxfId="13837" priority="465" stopIfTrue="1" operator="equal">
      <formula>"Towel"</formula>
    </cfRule>
    <cfRule type="cellIs" dxfId="13836" priority="466" stopIfTrue="1" operator="equal">
      <formula>"Napkin Hs"</formula>
    </cfRule>
  </conditionalFormatting>
  <conditionalFormatting sqref="C131">
    <cfRule type="cellIs" dxfId="13835" priority="467" stopIfTrue="1" operator="equal">
      <formula>"Towel"</formula>
    </cfRule>
    <cfRule type="cellIs" dxfId="13834" priority="468" stopIfTrue="1" operator="equal">
      <formula>"Napkin Hs"</formula>
    </cfRule>
  </conditionalFormatting>
  <conditionalFormatting sqref="B131:C131">
    <cfRule type="cellIs" dxfId="13833" priority="463" stopIfTrue="1" operator="equal">
      <formula>"Towel"</formula>
    </cfRule>
    <cfRule type="cellIs" dxfId="13832" priority="464" stopIfTrue="1" operator="equal">
      <formula>"Napkin Hs"</formula>
    </cfRule>
  </conditionalFormatting>
  <conditionalFormatting sqref="C131">
    <cfRule type="cellIs" dxfId="13831" priority="461" stopIfTrue="1" operator="equal">
      <formula>"Towel"</formula>
    </cfRule>
    <cfRule type="cellIs" dxfId="13830" priority="462" stopIfTrue="1" operator="equal">
      <formula>"Napkin Hs"</formula>
    </cfRule>
  </conditionalFormatting>
  <conditionalFormatting sqref="C131">
    <cfRule type="cellIs" dxfId="13829" priority="459" stopIfTrue="1" operator="equal">
      <formula>"Towel"</formula>
    </cfRule>
    <cfRule type="cellIs" dxfId="13828" priority="460" stopIfTrue="1" operator="equal">
      <formula>"Napkin Hs"</formula>
    </cfRule>
  </conditionalFormatting>
  <conditionalFormatting sqref="C131">
    <cfRule type="cellIs" dxfId="13827" priority="451" stopIfTrue="1" operator="equal">
      <formula>"Towel"</formula>
    </cfRule>
    <cfRule type="cellIs" dxfId="13826" priority="452" stopIfTrue="1" operator="equal">
      <formula>"Napkin Hs"</formula>
    </cfRule>
  </conditionalFormatting>
  <conditionalFormatting sqref="B131:C131">
    <cfRule type="cellIs" dxfId="13825" priority="453" stopIfTrue="1" operator="equal">
      <formula>"Towel"</formula>
    </cfRule>
    <cfRule type="cellIs" dxfId="13824" priority="454" stopIfTrue="1" operator="equal">
      <formula>"Napkin Hs"</formula>
    </cfRule>
  </conditionalFormatting>
  <conditionalFormatting sqref="C131">
    <cfRule type="cellIs" dxfId="13823" priority="449" stopIfTrue="1" operator="equal">
      <formula>"Towel"</formula>
    </cfRule>
    <cfRule type="cellIs" dxfId="13822" priority="450" stopIfTrue="1" operator="equal">
      <formula>"Napkin Hs"</formula>
    </cfRule>
  </conditionalFormatting>
  <conditionalFormatting sqref="B131:C131">
    <cfRule type="cellIs" dxfId="13821" priority="447" stopIfTrue="1" operator="equal">
      <formula>"Towel"</formula>
    </cfRule>
    <cfRule type="cellIs" dxfId="13820" priority="448" stopIfTrue="1" operator="equal">
      <formula>"Napkin Hs"</formula>
    </cfRule>
  </conditionalFormatting>
  <conditionalFormatting sqref="C131">
    <cfRule type="cellIs" dxfId="13819" priority="455" stopIfTrue="1" operator="equal">
      <formula>"Towel"</formula>
    </cfRule>
    <cfRule type="cellIs" dxfId="13818" priority="456" stopIfTrue="1" operator="equal">
      <formula>"Napkin Hs"</formula>
    </cfRule>
  </conditionalFormatting>
  <conditionalFormatting sqref="C131">
    <cfRule type="cellIs" dxfId="13817" priority="457" stopIfTrue="1" operator="equal">
      <formula>"Towel"</formula>
    </cfRule>
    <cfRule type="cellIs" dxfId="13816" priority="458" stopIfTrue="1" operator="equal">
      <formula>"Napkin Hs"</formula>
    </cfRule>
  </conditionalFormatting>
  <conditionalFormatting sqref="B131:C131">
    <cfRule type="cellIs" dxfId="13815" priority="445" stopIfTrue="1" operator="equal">
      <formula>"Towel"</formula>
    </cfRule>
    <cfRule type="cellIs" dxfId="13814" priority="446" stopIfTrue="1" operator="equal">
      <formula>"Napkin Hs"</formula>
    </cfRule>
  </conditionalFormatting>
  <conditionalFormatting sqref="C131">
    <cfRule type="cellIs" dxfId="13813" priority="444" stopIfTrue="1" operator="equal">
      <formula>"Napkin Hs"</formula>
    </cfRule>
  </conditionalFormatting>
  <conditionalFormatting sqref="C131">
    <cfRule type="cellIs" dxfId="13812" priority="443" stopIfTrue="1" operator="equal">
      <formula>"Towel"</formula>
    </cfRule>
  </conditionalFormatting>
  <conditionalFormatting sqref="C131">
    <cfRule type="cellIs" dxfId="13811" priority="441" stopIfTrue="1" operator="equal">
      <formula>"Towel"</formula>
    </cfRule>
    <cfRule type="cellIs" dxfId="13810" priority="442" stopIfTrue="1" operator="equal">
      <formula>"Napkin Hs"</formula>
    </cfRule>
  </conditionalFormatting>
  <conditionalFormatting sqref="B131:C131">
    <cfRule type="cellIs" dxfId="13809" priority="439" stopIfTrue="1" operator="equal">
      <formula>"Towel"</formula>
    </cfRule>
    <cfRule type="cellIs" dxfId="13808" priority="440" stopIfTrue="1" operator="equal">
      <formula>"Napkin Hs"</formula>
    </cfRule>
  </conditionalFormatting>
  <conditionalFormatting sqref="C131">
    <cfRule type="cellIs" dxfId="13807" priority="435" stopIfTrue="1" operator="equal">
      <formula>"Towel"</formula>
    </cfRule>
    <cfRule type="cellIs" dxfId="13806" priority="436" stopIfTrue="1" operator="equal">
      <formula>"Napkin Hs"</formula>
    </cfRule>
  </conditionalFormatting>
  <conditionalFormatting sqref="C131">
    <cfRule type="cellIs" dxfId="13805" priority="437" stopIfTrue="1" operator="equal">
      <formula>"Towel"</formula>
    </cfRule>
    <cfRule type="cellIs" dxfId="13804" priority="438" stopIfTrue="1" operator="equal">
      <formula>"Napkin Hs"</formula>
    </cfRule>
  </conditionalFormatting>
  <conditionalFormatting sqref="B131:C131">
    <cfRule type="cellIs" dxfId="13803" priority="433" stopIfTrue="1" operator="equal">
      <formula>"Towel"</formula>
    </cfRule>
    <cfRule type="cellIs" dxfId="13802" priority="434" stopIfTrue="1" operator="equal">
      <formula>"Napkin Hs"</formula>
    </cfRule>
  </conditionalFormatting>
  <conditionalFormatting sqref="C131">
    <cfRule type="cellIs" dxfId="13801" priority="432" stopIfTrue="1" operator="equal">
      <formula>"Napkin Hs"</formula>
    </cfRule>
  </conditionalFormatting>
  <conditionalFormatting sqref="C131">
    <cfRule type="cellIs" dxfId="13800" priority="431" stopIfTrue="1" operator="equal">
      <formula>"Towel"</formula>
    </cfRule>
  </conditionalFormatting>
  <conditionalFormatting sqref="C131">
    <cfRule type="cellIs" dxfId="13799" priority="429" stopIfTrue="1" operator="equal">
      <formula>"Towel"</formula>
    </cfRule>
    <cfRule type="cellIs" dxfId="13798" priority="430" stopIfTrue="1" operator="equal">
      <formula>"Napkin Hs"</formula>
    </cfRule>
  </conditionalFormatting>
  <conditionalFormatting sqref="B131:C131">
    <cfRule type="cellIs" dxfId="13797" priority="427" stopIfTrue="1" operator="equal">
      <formula>"Towel"</formula>
    </cfRule>
    <cfRule type="cellIs" dxfId="13796" priority="428" stopIfTrue="1" operator="equal">
      <formula>"Napkin Hs"</formula>
    </cfRule>
  </conditionalFormatting>
  <conditionalFormatting sqref="C131">
    <cfRule type="cellIs" dxfId="13795" priority="423" stopIfTrue="1" operator="equal">
      <formula>"Towel"</formula>
    </cfRule>
    <cfRule type="cellIs" dxfId="13794" priority="424" stopIfTrue="1" operator="equal">
      <formula>"Napkin Hs"</formula>
    </cfRule>
  </conditionalFormatting>
  <conditionalFormatting sqref="C131">
    <cfRule type="cellIs" dxfId="13793" priority="425" stopIfTrue="1" operator="equal">
      <formula>"Towel"</formula>
    </cfRule>
    <cfRule type="cellIs" dxfId="13792" priority="426" stopIfTrue="1" operator="equal">
      <formula>"Napkin Hs"</formula>
    </cfRule>
  </conditionalFormatting>
  <conditionalFormatting sqref="B131:C131">
    <cfRule type="cellIs" dxfId="13791" priority="421" stopIfTrue="1" operator="equal">
      <formula>"Towel"</formula>
    </cfRule>
    <cfRule type="cellIs" dxfId="13790" priority="422" stopIfTrue="1" operator="equal">
      <formula>"Napkin Hs"</formula>
    </cfRule>
  </conditionalFormatting>
  <conditionalFormatting sqref="C131">
    <cfRule type="cellIs" dxfId="13789" priority="420" stopIfTrue="1" operator="equal">
      <formula>"Napkin Hs"</formula>
    </cfRule>
  </conditionalFormatting>
  <conditionalFormatting sqref="C131">
    <cfRule type="cellIs" dxfId="13788" priority="419" stopIfTrue="1" operator="equal">
      <formula>"Towel"</formula>
    </cfRule>
  </conditionalFormatting>
  <conditionalFormatting sqref="C131">
    <cfRule type="cellIs" dxfId="13787" priority="417" stopIfTrue="1" operator="equal">
      <formula>"Towel"</formula>
    </cfRule>
    <cfRule type="cellIs" dxfId="13786" priority="418" stopIfTrue="1" operator="equal">
      <formula>"Napkin Hs"</formula>
    </cfRule>
  </conditionalFormatting>
  <conditionalFormatting sqref="C131">
    <cfRule type="cellIs" dxfId="13785" priority="409" stopIfTrue="1" operator="equal">
      <formula>"Towel"</formula>
    </cfRule>
    <cfRule type="cellIs" dxfId="13784" priority="410" stopIfTrue="1" operator="equal">
      <formula>"Napkin Hs"</formula>
    </cfRule>
  </conditionalFormatting>
  <conditionalFormatting sqref="B131:C131">
    <cfRule type="cellIs" dxfId="13783" priority="411" stopIfTrue="1" operator="equal">
      <formula>"Towel"</formula>
    </cfRule>
    <cfRule type="cellIs" dxfId="13782" priority="412" stopIfTrue="1" operator="equal">
      <formula>"Napkin Hs"</formula>
    </cfRule>
  </conditionalFormatting>
  <conditionalFormatting sqref="C131">
    <cfRule type="cellIs" dxfId="13781" priority="407" stopIfTrue="1" operator="equal">
      <formula>"Towel"</formula>
    </cfRule>
    <cfRule type="cellIs" dxfId="13780" priority="408" stopIfTrue="1" operator="equal">
      <formula>"Napkin Hs"</formula>
    </cfRule>
  </conditionalFormatting>
  <conditionalFormatting sqref="B131:C131">
    <cfRule type="cellIs" dxfId="13779" priority="405" stopIfTrue="1" operator="equal">
      <formula>"Towel"</formula>
    </cfRule>
    <cfRule type="cellIs" dxfId="13778" priority="406" stopIfTrue="1" operator="equal">
      <formula>"Napkin Hs"</formula>
    </cfRule>
  </conditionalFormatting>
  <conditionalFormatting sqref="C131">
    <cfRule type="cellIs" dxfId="13777" priority="413" stopIfTrue="1" operator="equal">
      <formula>"Towel"</formula>
    </cfRule>
    <cfRule type="cellIs" dxfId="13776" priority="414" stopIfTrue="1" operator="equal">
      <formula>"Napkin Hs"</formula>
    </cfRule>
  </conditionalFormatting>
  <conditionalFormatting sqref="C131">
    <cfRule type="cellIs" dxfId="13775" priority="415" stopIfTrue="1" operator="equal">
      <formula>"Towel"</formula>
    </cfRule>
    <cfRule type="cellIs" dxfId="13774" priority="416" stopIfTrue="1" operator="equal">
      <formula>"Napkin Hs"</formula>
    </cfRule>
  </conditionalFormatting>
  <conditionalFormatting sqref="B131:C131">
    <cfRule type="cellIs" dxfId="13773" priority="403" stopIfTrue="1" operator="equal">
      <formula>"Towel"</formula>
    </cfRule>
    <cfRule type="cellIs" dxfId="13772" priority="404" stopIfTrue="1" operator="equal">
      <formula>"Napkin Hs"</formula>
    </cfRule>
  </conditionalFormatting>
  <conditionalFormatting sqref="C131">
    <cfRule type="cellIs" dxfId="13771" priority="399" stopIfTrue="1" operator="equal">
      <formula>"Towel"</formula>
    </cfRule>
    <cfRule type="cellIs" dxfId="13770" priority="400" stopIfTrue="1" operator="equal">
      <formula>"Napkin Hs"</formula>
    </cfRule>
  </conditionalFormatting>
  <conditionalFormatting sqref="C131">
    <cfRule type="cellIs" dxfId="13769" priority="401" stopIfTrue="1" operator="equal">
      <formula>"Towel"</formula>
    </cfRule>
    <cfRule type="cellIs" dxfId="13768" priority="402" stopIfTrue="1" operator="equal">
      <formula>"Napkin Hs"</formula>
    </cfRule>
  </conditionalFormatting>
  <conditionalFormatting sqref="C131">
    <cfRule type="cellIs" dxfId="13767" priority="391" stopIfTrue="1" operator="equal">
      <formula>"Towel"</formula>
    </cfRule>
    <cfRule type="cellIs" dxfId="13766" priority="392" stopIfTrue="1" operator="equal">
      <formula>"Napkin Hs"</formula>
    </cfRule>
  </conditionalFormatting>
  <conditionalFormatting sqref="B131:C131">
    <cfRule type="cellIs" dxfId="13765" priority="393" stopIfTrue="1" operator="equal">
      <formula>"Towel"</formula>
    </cfRule>
    <cfRule type="cellIs" dxfId="13764" priority="394" stopIfTrue="1" operator="equal">
      <formula>"Napkin Hs"</formula>
    </cfRule>
  </conditionalFormatting>
  <conditionalFormatting sqref="C131">
    <cfRule type="cellIs" dxfId="13763" priority="389" stopIfTrue="1" operator="equal">
      <formula>"Towel"</formula>
    </cfRule>
    <cfRule type="cellIs" dxfId="13762" priority="390" stopIfTrue="1" operator="equal">
      <formula>"Napkin Hs"</formula>
    </cfRule>
  </conditionalFormatting>
  <conditionalFormatting sqref="B131:C131">
    <cfRule type="cellIs" dxfId="13761" priority="387" stopIfTrue="1" operator="equal">
      <formula>"Towel"</formula>
    </cfRule>
    <cfRule type="cellIs" dxfId="13760" priority="388" stopIfTrue="1" operator="equal">
      <formula>"Napkin Hs"</formula>
    </cfRule>
  </conditionalFormatting>
  <conditionalFormatting sqref="C131">
    <cfRule type="cellIs" dxfId="13759" priority="395" stopIfTrue="1" operator="equal">
      <formula>"Towel"</formula>
    </cfRule>
    <cfRule type="cellIs" dxfId="13758" priority="396" stopIfTrue="1" operator="equal">
      <formula>"Napkin Hs"</formula>
    </cfRule>
  </conditionalFormatting>
  <conditionalFormatting sqref="C131">
    <cfRule type="cellIs" dxfId="13757" priority="397" stopIfTrue="1" operator="equal">
      <formula>"Towel"</formula>
    </cfRule>
    <cfRule type="cellIs" dxfId="13756" priority="398" stopIfTrue="1" operator="equal">
      <formula>"Napkin Hs"</formula>
    </cfRule>
  </conditionalFormatting>
  <conditionalFormatting sqref="B131:C131">
    <cfRule type="cellIs" dxfId="13755" priority="385" stopIfTrue="1" operator="equal">
      <formula>"Towel"</formula>
    </cfRule>
    <cfRule type="cellIs" dxfId="13754" priority="386" stopIfTrue="1" operator="equal">
      <formula>"Napkin Hs"</formula>
    </cfRule>
  </conditionalFormatting>
  <conditionalFormatting sqref="C131">
    <cfRule type="cellIs" dxfId="13753" priority="384" stopIfTrue="1" operator="equal">
      <formula>"Napkin Hs"</formula>
    </cfRule>
  </conditionalFormatting>
  <conditionalFormatting sqref="C131">
    <cfRule type="cellIs" dxfId="13752" priority="383" stopIfTrue="1" operator="equal">
      <formula>"Towel"</formula>
    </cfRule>
  </conditionalFormatting>
  <conditionalFormatting sqref="C131">
    <cfRule type="cellIs" dxfId="13751" priority="381" stopIfTrue="1" operator="equal">
      <formula>"Towel"</formula>
    </cfRule>
    <cfRule type="cellIs" dxfId="13750" priority="382" stopIfTrue="1" operator="equal">
      <formula>"Napkin Hs"</formula>
    </cfRule>
  </conditionalFormatting>
  <conditionalFormatting sqref="B132">
    <cfRule type="cellIs" dxfId="13749" priority="379" stopIfTrue="1" operator="equal">
      <formula>"Towel"</formula>
    </cfRule>
    <cfRule type="cellIs" dxfId="13748" priority="380" stopIfTrue="1" operator="equal">
      <formula>"Napkin Hs"</formula>
    </cfRule>
  </conditionalFormatting>
  <conditionalFormatting sqref="B132">
    <cfRule type="cellIs" dxfId="13747" priority="377" stopIfTrue="1" operator="equal">
      <formula>"Towel"</formula>
    </cfRule>
    <cfRule type="cellIs" dxfId="13746" priority="378" stopIfTrue="1" operator="equal">
      <formula>"Napkin Hs"</formula>
    </cfRule>
  </conditionalFormatting>
  <conditionalFormatting sqref="B132">
    <cfRule type="cellIs" dxfId="13745" priority="375" stopIfTrue="1" operator="equal">
      <formula>"Towel"</formula>
    </cfRule>
    <cfRule type="cellIs" dxfId="13744" priority="376" stopIfTrue="1" operator="equal">
      <formula>"Napkin Hs"</formula>
    </cfRule>
  </conditionalFormatting>
  <conditionalFormatting sqref="B132">
    <cfRule type="cellIs" dxfId="13743" priority="373" stopIfTrue="1" operator="equal">
      <formula>"Towel"</formula>
    </cfRule>
    <cfRule type="cellIs" dxfId="13742" priority="374" stopIfTrue="1" operator="equal">
      <formula>"Napkin Hs"</formula>
    </cfRule>
  </conditionalFormatting>
  <conditionalFormatting sqref="B132">
    <cfRule type="cellIs" dxfId="13741" priority="371" stopIfTrue="1" operator="equal">
      <formula>"Towel"</formula>
    </cfRule>
    <cfRule type="cellIs" dxfId="13740" priority="372" stopIfTrue="1" operator="equal">
      <formula>"Napkin Hs"</formula>
    </cfRule>
  </conditionalFormatting>
  <conditionalFormatting sqref="B132">
    <cfRule type="cellIs" dxfId="13739" priority="369" stopIfTrue="1" operator="equal">
      <formula>"Towel"</formula>
    </cfRule>
    <cfRule type="cellIs" dxfId="13738" priority="370" stopIfTrue="1" operator="equal">
      <formula>"Napkin Hs"</formula>
    </cfRule>
  </conditionalFormatting>
  <conditionalFormatting sqref="B132">
    <cfRule type="cellIs" dxfId="13737" priority="367" stopIfTrue="1" operator="equal">
      <formula>"Towel"</formula>
    </cfRule>
    <cfRule type="cellIs" dxfId="13736" priority="368" stopIfTrue="1" operator="equal">
      <formula>"Napkin Hs"</formula>
    </cfRule>
  </conditionalFormatting>
  <conditionalFormatting sqref="B132">
    <cfRule type="cellIs" dxfId="13735" priority="365" stopIfTrue="1" operator="equal">
      <formula>"Towel"</formula>
    </cfRule>
    <cfRule type="cellIs" dxfId="13734" priority="366" stopIfTrue="1" operator="equal">
      <formula>"Napkin Hs"</formula>
    </cfRule>
  </conditionalFormatting>
  <conditionalFormatting sqref="B132">
    <cfRule type="cellIs" dxfId="13733" priority="361" stopIfTrue="1" operator="equal">
      <formula>"Towel"</formula>
    </cfRule>
    <cfRule type="cellIs" dxfId="13732" priority="362" stopIfTrue="1" operator="equal">
      <formula>"Napkin Hs"</formula>
    </cfRule>
  </conditionalFormatting>
  <conditionalFormatting sqref="B132">
    <cfRule type="cellIs" dxfId="13731" priority="359" stopIfTrue="1" operator="equal">
      <formula>"Towel"</formula>
    </cfRule>
    <cfRule type="cellIs" dxfId="13730" priority="360" stopIfTrue="1" operator="equal">
      <formula>"Napkin Hs"</formula>
    </cfRule>
  </conditionalFormatting>
  <conditionalFormatting sqref="B132">
    <cfRule type="cellIs" dxfId="13729" priority="363" stopIfTrue="1" operator="equal">
      <formula>"Towel"</formula>
    </cfRule>
    <cfRule type="cellIs" dxfId="13728" priority="364" stopIfTrue="1" operator="equal">
      <formula>"Napkin Hs"</formula>
    </cfRule>
  </conditionalFormatting>
  <conditionalFormatting sqref="B132">
    <cfRule type="cellIs" dxfId="13727" priority="353" stopIfTrue="1" operator="equal">
      <formula>"Towel"</formula>
    </cfRule>
    <cfRule type="cellIs" dxfId="13726" priority="354" stopIfTrue="1" operator="equal">
      <formula>"Napkin Hs"</formula>
    </cfRule>
  </conditionalFormatting>
  <conditionalFormatting sqref="B132">
    <cfRule type="cellIs" dxfId="13725" priority="355" stopIfTrue="1" operator="equal">
      <formula>"Towel"</formula>
    </cfRule>
    <cfRule type="cellIs" dxfId="13724" priority="356" stopIfTrue="1" operator="equal">
      <formula>"Napkin Hs"</formula>
    </cfRule>
  </conditionalFormatting>
  <conditionalFormatting sqref="B132">
    <cfRule type="cellIs" dxfId="13723" priority="357" stopIfTrue="1" operator="equal">
      <formula>"Towel"</formula>
    </cfRule>
    <cfRule type="cellIs" dxfId="13722" priority="358" stopIfTrue="1" operator="equal">
      <formula>"Napkin Hs"</formula>
    </cfRule>
  </conditionalFormatting>
  <conditionalFormatting sqref="B132">
    <cfRule type="cellIs" dxfId="13721" priority="351" stopIfTrue="1" operator="equal">
      <formula>"Towel"</formula>
    </cfRule>
    <cfRule type="cellIs" dxfId="13720" priority="352" stopIfTrue="1" operator="equal">
      <formula>"Napkin Hs"</formula>
    </cfRule>
  </conditionalFormatting>
  <conditionalFormatting sqref="B132">
    <cfRule type="cellIs" dxfId="13719" priority="349" stopIfTrue="1" operator="equal">
      <formula>"Towel"</formula>
    </cfRule>
    <cfRule type="cellIs" dxfId="13718" priority="350" stopIfTrue="1" operator="equal">
      <formula>"Napkin Hs"</formula>
    </cfRule>
  </conditionalFormatting>
  <conditionalFormatting sqref="B132">
    <cfRule type="cellIs" dxfId="13717" priority="347" stopIfTrue="1" operator="equal">
      <formula>"Towel"</formula>
    </cfRule>
    <cfRule type="cellIs" dxfId="13716" priority="348" stopIfTrue="1" operator="equal">
      <formula>"Napkin Hs"</formula>
    </cfRule>
  </conditionalFormatting>
  <conditionalFormatting sqref="B132">
    <cfRule type="cellIs" dxfId="13715" priority="343" stopIfTrue="1" operator="equal">
      <formula>"Towel"</formula>
    </cfRule>
    <cfRule type="cellIs" dxfId="13714" priority="344" stopIfTrue="1" operator="equal">
      <formula>"Napkin Hs"</formula>
    </cfRule>
  </conditionalFormatting>
  <conditionalFormatting sqref="B132">
    <cfRule type="cellIs" dxfId="13713" priority="341" stopIfTrue="1" operator="equal">
      <formula>"Towel"</formula>
    </cfRule>
    <cfRule type="cellIs" dxfId="13712" priority="342" stopIfTrue="1" operator="equal">
      <formula>"Napkin Hs"</formula>
    </cfRule>
  </conditionalFormatting>
  <conditionalFormatting sqref="B132">
    <cfRule type="cellIs" dxfId="13711" priority="345" stopIfTrue="1" operator="equal">
      <formula>"Towel"</formula>
    </cfRule>
    <cfRule type="cellIs" dxfId="13710" priority="346" stopIfTrue="1" operator="equal">
      <formula>"Napkin Hs"</formula>
    </cfRule>
  </conditionalFormatting>
  <conditionalFormatting sqref="B132">
    <cfRule type="cellIs" dxfId="13709" priority="339" stopIfTrue="1" operator="equal">
      <formula>"Towel"</formula>
    </cfRule>
    <cfRule type="cellIs" dxfId="13708" priority="340" stopIfTrue="1" operator="equal">
      <formula>"Napkin Hs"</formula>
    </cfRule>
  </conditionalFormatting>
  <conditionalFormatting sqref="B132">
    <cfRule type="cellIs" dxfId="13707" priority="337" stopIfTrue="1" operator="equal">
      <formula>"Towel"</formula>
    </cfRule>
    <cfRule type="cellIs" dxfId="13706" priority="338" stopIfTrue="1" operator="equal">
      <formula>"Napkin Hs"</formula>
    </cfRule>
  </conditionalFormatting>
  <conditionalFormatting sqref="B132">
    <cfRule type="cellIs" dxfId="13705" priority="335" stopIfTrue="1" operator="equal">
      <formula>"Towel"</formula>
    </cfRule>
    <cfRule type="cellIs" dxfId="13704" priority="336" stopIfTrue="1" operator="equal">
      <formula>"Napkin Hs"</formula>
    </cfRule>
  </conditionalFormatting>
  <conditionalFormatting sqref="B132">
    <cfRule type="cellIs" dxfId="13703" priority="333" stopIfTrue="1" operator="equal">
      <formula>"Towel"</formula>
    </cfRule>
    <cfRule type="cellIs" dxfId="13702" priority="334" stopIfTrue="1" operator="equal">
      <formula>"Napkin Hs"</formula>
    </cfRule>
  </conditionalFormatting>
  <conditionalFormatting sqref="B132">
    <cfRule type="cellIs" dxfId="13701" priority="331" stopIfTrue="1" operator="equal">
      <formula>"Towel"</formula>
    </cfRule>
    <cfRule type="cellIs" dxfId="13700" priority="332" stopIfTrue="1" operator="equal">
      <formula>"Napkin Hs"</formula>
    </cfRule>
  </conditionalFormatting>
  <conditionalFormatting sqref="B132">
    <cfRule type="cellIs" dxfId="13699" priority="329" stopIfTrue="1" operator="equal">
      <formula>"Towel"</formula>
    </cfRule>
    <cfRule type="cellIs" dxfId="13698" priority="330" stopIfTrue="1" operator="equal">
      <formula>"Napkin Hs"</formula>
    </cfRule>
  </conditionalFormatting>
  <conditionalFormatting sqref="B132">
    <cfRule type="cellIs" dxfId="13697" priority="327" stopIfTrue="1" operator="equal">
      <formula>"Towel"</formula>
    </cfRule>
    <cfRule type="cellIs" dxfId="13696" priority="328" stopIfTrue="1" operator="equal">
      <formula>"Napkin Hs"</formula>
    </cfRule>
  </conditionalFormatting>
  <conditionalFormatting sqref="B132">
    <cfRule type="cellIs" dxfId="13695" priority="325" stopIfTrue="1" operator="equal">
      <formula>"Towel"</formula>
    </cfRule>
    <cfRule type="cellIs" dxfId="13694" priority="326" stopIfTrue="1" operator="equal">
      <formula>"Napkin Hs"</formula>
    </cfRule>
  </conditionalFormatting>
  <conditionalFormatting sqref="B135:C135">
    <cfRule type="cellIs" dxfId="13693" priority="323" stopIfTrue="1" operator="equal">
      <formula>"Towel"</formula>
    </cfRule>
    <cfRule type="cellIs" dxfId="13692" priority="324" stopIfTrue="1" operator="equal">
      <formula>"Napkin Hs"</formula>
    </cfRule>
  </conditionalFormatting>
  <conditionalFormatting sqref="C135">
    <cfRule type="cellIs" dxfId="13691" priority="322" stopIfTrue="1" operator="equal">
      <formula>"Napkin Hs"</formula>
    </cfRule>
  </conditionalFormatting>
  <conditionalFormatting sqref="C135">
    <cfRule type="cellIs" dxfId="13690" priority="321" stopIfTrue="1" operator="equal">
      <formula>"Towel"</formula>
    </cfRule>
  </conditionalFormatting>
  <conditionalFormatting sqref="C135">
    <cfRule type="cellIs" dxfId="13689" priority="319" stopIfTrue="1" operator="equal">
      <formula>"Towel"</formula>
    </cfRule>
    <cfRule type="cellIs" dxfId="13688" priority="320" stopIfTrue="1" operator="equal">
      <formula>"Napkin Hs"</formula>
    </cfRule>
  </conditionalFormatting>
  <conditionalFormatting sqref="B135:C135">
    <cfRule type="cellIs" dxfId="13687" priority="317" stopIfTrue="1" operator="equal">
      <formula>"Towel"</formula>
    </cfRule>
    <cfRule type="cellIs" dxfId="13686" priority="318" stopIfTrue="1" operator="equal">
      <formula>"Napkin Hs"</formula>
    </cfRule>
  </conditionalFormatting>
  <conditionalFormatting sqref="C135">
    <cfRule type="cellIs" dxfId="13685" priority="313" stopIfTrue="1" operator="equal">
      <formula>"Towel"</formula>
    </cfRule>
    <cfRule type="cellIs" dxfId="13684" priority="314" stopIfTrue="1" operator="equal">
      <formula>"Napkin Hs"</formula>
    </cfRule>
  </conditionalFormatting>
  <conditionalFormatting sqref="C135">
    <cfRule type="cellIs" dxfId="13683" priority="315" stopIfTrue="1" operator="equal">
      <formula>"Towel"</formula>
    </cfRule>
    <cfRule type="cellIs" dxfId="13682" priority="316" stopIfTrue="1" operator="equal">
      <formula>"Napkin Hs"</formula>
    </cfRule>
  </conditionalFormatting>
  <conditionalFormatting sqref="B135:C135">
    <cfRule type="cellIs" dxfId="13681" priority="311" stopIfTrue="1" operator="equal">
      <formula>"Towel"</formula>
    </cfRule>
    <cfRule type="cellIs" dxfId="13680" priority="312" stopIfTrue="1" operator="equal">
      <formula>"Napkin Hs"</formula>
    </cfRule>
  </conditionalFormatting>
  <conditionalFormatting sqref="C135">
    <cfRule type="cellIs" dxfId="13679" priority="309" stopIfTrue="1" operator="equal">
      <formula>"Towel"</formula>
    </cfRule>
    <cfRule type="cellIs" dxfId="13678" priority="310" stopIfTrue="1" operator="equal">
      <formula>"Napkin Hs"</formula>
    </cfRule>
  </conditionalFormatting>
  <conditionalFormatting sqref="C135">
    <cfRule type="cellIs" dxfId="13677" priority="307" stopIfTrue="1" operator="equal">
      <formula>"Towel"</formula>
    </cfRule>
    <cfRule type="cellIs" dxfId="13676" priority="308" stopIfTrue="1" operator="equal">
      <formula>"Napkin Hs"</formula>
    </cfRule>
  </conditionalFormatting>
  <conditionalFormatting sqref="C135">
    <cfRule type="cellIs" dxfId="13675" priority="299" stopIfTrue="1" operator="equal">
      <formula>"Towel"</formula>
    </cfRule>
    <cfRule type="cellIs" dxfId="13674" priority="300" stopIfTrue="1" operator="equal">
      <formula>"Napkin Hs"</formula>
    </cfRule>
  </conditionalFormatting>
  <conditionalFormatting sqref="B135:C135">
    <cfRule type="cellIs" dxfId="13673" priority="301" stopIfTrue="1" operator="equal">
      <formula>"Towel"</formula>
    </cfRule>
    <cfRule type="cellIs" dxfId="13672" priority="302" stopIfTrue="1" operator="equal">
      <formula>"Napkin Hs"</formula>
    </cfRule>
  </conditionalFormatting>
  <conditionalFormatting sqref="C135">
    <cfRule type="cellIs" dxfId="13671" priority="297" stopIfTrue="1" operator="equal">
      <formula>"Towel"</formula>
    </cfRule>
    <cfRule type="cellIs" dxfId="13670" priority="298" stopIfTrue="1" operator="equal">
      <formula>"Napkin Hs"</formula>
    </cfRule>
  </conditionalFormatting>
  <conditionalFormatting sqref="B135:C135">
    <cfRule type="cellIs" dxfId="13669" priority="295" stopIfTrue="1" operator="equal">
      <formula>"Towel"</formula>
    </cfRule>
    <cfRule type="cellIs" dxfId="13668" priority="296" stopIfTrue="1" operator="equal">
      <formula>"Napkin Hs"</formula>
    </cfRule>
  </conditionalFormatting>
  <conditionalFormatting sqref="C135">
    <cfRule type="cellIs" dxfId="13667" priority="303" stopIfTrue="1" operator="equal">
      <formula>"Towel"</formula>
    </cfRule>
    <cfRule type="cellIs" dxfId="13666" priority="304" stopIfTrue="1" operator="equal">
      <formula>"Napkin Hs"</formula>
    </cfRule>
  </conditionalFormatting>
  <conditionalFormatting sqref="C135">
    <cfRule type="cellIs" dxfId="13665" priority="305" stopIfTrue="1" operator="equal">
      <formula>"Towel"</formula>
    </cfRule>
    <cfRule type="cellIs" dxfId="13664" priority="306" stopIfTrue="1" operator="equal">
      <formula>"Napkin Hs"</formula>
    </cfRule>
  </conditionalFormatting>
  <conditionalFormatting sqref="C135">
    <cfRule type="cellIs" dxfId="13663" priority="287" stopIfTrue="1" operator="equal">
      <formula>"Towel"</formula>
    </cfRule>
    <cfRule type="cellIs" dxfId="13662" priority="288" stopIfTrue="1" operator="equal">
      <formula>"Napkin Hs"</formula>
    </cfRule>
  </conditionalFormatting>
  <conditionalFormatting sqref="C135">
    <cfRule type="cellIs" dxfId="13661" priority="285" stopIfTrue="1" operator="equal">
      <formula>"Towel"</formula>
    </cfRule>
    <cfRule type="cellIs" dxfId="13660" priority="286" stopIfTrue="1" operator="equal">
      <formula>"Napkin Hs"</formula>
    </cfRule>
  </conditionalFormatting>
  <conditionalFormatting sqref="B135:C135">
    <cfRule type="cellIs" dxfId="13659" priority="283" stopIfTrue="1" operator="equal">
      <formula>"Towel"</formula>
    </cfRule>
    <cfRule type="cellIs" dxfId="13658" priority="284" stopIfTrue="1" operator="equal">
      <formula>"Napkin Hs"</formula>
    </cfRule>
  </conditionalFormatting>
  <conditionalFormatting sqref="B135:C135">
    <cfRule type="cellIs" dxfId="13657" priority="293" stopIfTrue="1" operator="equal">
      <formula>"Towel"</formula>
    </cfRule>
    <cfRule type="cellIs" dxfId="13656" priority="294" stopIfTrue="1" operator="equal">
      <formula>"Napkin Hs"</formula>
    </cfRule>
  </conditionalFormatting>
  <conditionalFormatting sqref="C135">
    <cfRule type="cellIs" dxfId="13655" priority="291" stopIfTrue="1" operator="equal">
      <formula>"Towel"</formula>
    </cfRule>
    <cfRule type="cellIs" dxfId="13654" priority="292" stopIfTrue="1" operator="equal">
      <formula>"Napkin Hs"</formula>
    </cfRule>
  </conditionalFormatting>
  <conditionalFormatting sqref="C135">
    <cfRule type="cellIs" dxfId="13653" priority="289" stopIfTrue="1" operator="equal">
      <formula>"Towel"</formula>
    </cfRule>
    <cfRule type="cellIs" dxfId="13652" priority="290" stopIfTrue="1" operator="equal">
      <formula>"Napkin Hs"</formula>
    </cfRule>
  </conditionalFormatting>
  <conditionalFormatting sqref="C135">
    <cfRule type="cellIs" dxfId="13651" priority="281" stopIfTrue="1" operator="equal">
      <formula>"Towel"</formula>
    </cfRule>
    <cfRule type="cellIs" dxfId="13650" priority="282" stopIfTrue="1" operator="equal">
      <formula>"Napkin Hs"</formula>
    </cfRule>
  </conditionalFormatting>
  <conditionalFormatting sqref="C135">
    <cfRule type="cellIs" dxfId="13649" priority="279" stopIfTrue="1" operator="equal">
      <formula>"Towel"</formula>
    </cfRule>
    <cfRule type="cellIs" dxfId="13648" priority="280" stopIfTrue="1" operator="equal">
      <formula>"Napkin Hs"</formula>
    </cfRule>
  </conditionalFormatting>
  <conditionalFormatting sqref="B135:C135">
    <cfRule type="cellIs" dxfId="13647" priority="277" stopIfTrue="1" operator="equal">
      <formula>"Towel"</formula>
    </cfRule>
    <cfRule type="cellIs" dxfId="13646" priority="278" stopIfTrue="1" operator="equal">
      <formula>"Napkin Hs"</formula>
    </cfRule>
  </conditionalFormatting>
  <conditionalFormatting sqref="B135:C135">
    <cfRule type="cellIs" dxfId="13645" priority="275" stopIfTrue="1" operator="equal">
      <formula>"Towel"</formula>
    </cfRule>
    <cfRule type="cellIs" dxfId="13644" priority="276" stopIfTrue="1" operator="equal">
      <formula>"Napkin Hs"</formula>
    </cfRule>
  </conditionalFormatting>
  <conditionalFormatting sqref="C135">
    <cfRule type="cellIs" dxfId="13643" priority="273" stopIfTrue="1" operator="equal">
      <formula>"Towel"</formula>
    </cfRule>
    <cfRule type="cellIs" dxfId="13642" priority="274" stopIfTrue="1" operator="equal">
      <formula>"Napkin Hs"</formula>
    </cfRule>
  </conditionalFormatting>
  <conditionalFormatting sqref="C135">
    <cfRule type="cellIs" dxfId="13641" priority="271" stopIfTrue="1" operator="equal">
      <formula>"Towel"</formula>
    </cfRule>
    <cfRule type="cellIs" dxfId="13640" priority="272" stopIfTrue="1" operator="equal">
      <formula>"Napkin Hs"</formula>
    </cfRule>
  </conditionalFormatting>
  <conditionalFormatting sqref="C135">
    <cfRule type="cellIs" dxfId="13639" priority="263" stopIfTrue="1" operator="equal">
      <formula>"Towel"</formula>
    </cfRule>
    <cfRule type="cellIs" dxfId="13638" priority="264" stopIfTrue="1" operator="equal">
      <formula>"Napkin Hs"</formula>
    </cfRule>
  </conditionalFormatting>
  <conditionalFormatting sqref="B135:C135">
    <cfRule type="cellIs" dxfId="13637" priority="265" stopIfTrue="1" operator="equal">
      <formula>"Towel"</formula>
    </cfRule>
    <cfRule type="cellIs" dxfId="13636" priority="266" stopIfTrue="1" operator="equal">
      <formula>"Napkin Hs"</formula>
    </cfRule>
  </conditionalFormatting>
  <conditionalFormatting sqref="C135">
    <cfRule type="cellIs" dxfId="13635" priority="261" stopIfTrue="1" operator="equal">
      <formula>"Towel"</formula>
    </cfRule>
    <cfRule type="cellIs" dxfId="13634" priority="262" stopIfTrue="1" operator="equal">
      <formula>"Napkin Hs"</formula>
    </cfRule>
  </conditionalFormatting>
  <conditionalFormatting sqref="B135:C135">
    <cfRule type="cellIs" dxfId="13633" priority="259" stopIfTrue="1" operator="equal">
      <formula>"Towel"</formula>
    </cfRule>
    <cfRule type="cellIs" dxfId="13632" priority="260" stopIfTrue="1" operator="equal">
      <formula>"Napkin Hs"</formula>
    </cfRule>
  </conditionalFormatting>
  <conditionalFormatting sqref="C135">
    <cfRule type="cellIs" dxfId="13631" priority="267" stopIfTrue="1" operator="equal">
      <formula>"Towel"</formula>
    </cfRule>
    <cfRule type="cellIs" dxfId="13630" priority="268" stopIfTrue="1" operator="equal">
      <formula>"Napkin Hs"</formula>
    </cfRule>
  </conditionalFormatting>
  <conditionalFormatting sqref="C135">
    <cfRule type="cellIs" dxfId="13629" priority="269" stopIfTrue="1" operator="equal">
      <formula>"Towel"</formula>
    </cfRule>
    <cfRule type="cellIs" dxfId="13628" priority="270" stopIfTrue="1" operator="equal">
      <formula>"Napkin Hs"</formula>
    </cfRule>
  </conditionalFormatting>
  <conditionalFormatting sqref="B135:C135">
    <cfRule type="cellIs" dxfId="13627" priority="257" stopIfTrue="1" operator="equal">
      <formula>"Towel"</formula>
    </cfRule>
    <cfRule type="cellIs" dxfId="13626" priority="258" stopIfTrue="1" operator="equal">
      <formula>"Napkin Hs"</formula>
    </cfRule>
  </conditionalFormatting>
  <conditionalFormatting sqref="C135">
    <cfRule type="cellIs" dxfId="13625" priority="256" stopIfTrue="1" operator="equal">
      <formula>"Napkin Hs"</formula>
    </cfRule>
  </conditionalFormatting>
  <conditionalFormatting sqref="C135">
    <cfRule type="cellIs" dxfId="13624" priority="255" stopIfTrue="1" operator="equal">
      <formula>"Towel"</formula>
    </cfRule>
  </conditionalFormatting>
  <conditionalFormatting sqref="C135">
    <cfRule type="cellIs" dxfId="13623" priority="253" stopIfTrue="1" operator="equal">
      <formula>"Towel"</formula>
    </cfRule>
    <cfRule type="cellIs" dxfId="13622" priority="254" stopIfTrue="1" operator="equal">
      <formula>"Napkin Hs"</formula>
    </cfRule>
  </conditionalFormatting>
  <conditionalFormatting sqref="B135:C135">
    <cfRule type="cellIs" dxfId="13621" priority="251" stopIfTrue="1" operator="equal">
      <formula>"Towel"</formula>
    </cfRule>
    <cfRule type="cellIs" dxfId="13620" priority="252" stopIfTrue="1" operator="equal">
      <formula>"Napkin Hs"</formula>
    </cfRule>
  </conditionalFormatting>
  <conditionalFormatting sqref="C135">
    <cfRule type="cellIs" dxfId="13619" priority="247" stopIfTrue="1" operator="equal">
      <formula>"Towel"</formula>
    </cfRule>
    <cfRule type="cellIs" dxfId="13618" priority="248" stopIfTrue="1" operator="equal">
      <formula>"Napkin Hs"</formula>
    </cfRule>
  </conditionalFormatting>
  <conditionalFormatting sqref="C135">
    <cfRule type="cellIs" dxfId="13617" priority="249" stopIfTrue="1" operator="equal">
      <formula>"Towel"</formula>
    </cfRule>
    <cfRule type="cellIs" dxfId="13616" priority="250" stopIfTrue="1" operator="equal">
      <formula>"Napkin Hs"</formula>
    </cfRule>
  </conditionalFormatting>
  <conditionalFormatting sqref="B135:C135">
    <cfRule type="cellIs" dxfId="13615" priority="245" stopIfTrue="1" operator="equal">
      <formula>"Towel"</formula>
    </cfRule>
    <cfRule type="cellIs" dxfId="13614" priority="246" stopIfTrue="1" operator="equal">
      <formula>"Napkin Hs"</formula>
    </cfRule>
  </conditionalFormatting>
  <conditionalFormatting sqref="C135">
    <cfRule type="cellIs" dxfId="13613" priority="243" stopIfTrue="1" operator="equal">
      <formula>"Towel"</formula>
    </cfRule>
    <cfRule type="cellIs" dxfId="13612" priority="244" stopIfTrue="1" operator="equal">
      <formula>"Napkin Hs"</formula>
    </cfRule>
  </conditionalFormatting>
  <conditionalFormatting sqref="C135">
    <cfRule type="cellIs" dxfId="13611" priority="241" stopIfTrue="1" operator="equal">
      <formula>"Towel"</formula>
    </cfRule>
    <cfRule type="cellIs" dxfId="13610" priority="242" stopIfTrue="1" operator="equal">
      <formula>"Napkin Hs"</formula>
    </cfRule>
  </conditionalFormatting>
  <conditionalFormatting sqref="C135">
    <cfRule type="cellIs" dxfId="13609" priority="233" stopIfTrue="1" operator="equal">
      <formula>"Towel"</formula>
    </cfRule>
    <cfRule type="cellIs" dxfId="13608" priority="234" stopIfTrue="1" operator="equal">
      <formula>"Napkin Hs"</formula>
    </cfRule>
  </conditionalFormatting>
  <conditionalFormatting sqref="B135:C135">
    <cfRule type="cellIs" dxfId="13607" priority="235" stopIfTrue="1" operator="equal">
      <formula>"Towel"</formula>
    </cfRule>
    <cfRule type="cellIs" dxfId="13606" priority="236" stopIfTrue="1" operator="equal">
      <formula>"Napkin Hs"</formula>
    </cfRule>
  </conditionalFormatting>
  <conditionalFormatting sqref="C135">
    <cfRule type="cellIs" dxfId="13605" priority="231" stopIfTrue="1" operator="equal">
      <formula>"Towel"</formula>
    </cfRule>
    <cfRule type="cellIs" dxfId="13604" priority="232" stopIfTrue="1" operator="equal">
      <formula>"Napkin Hs"</formula>
    </cfRule>
  </conditionalFormatting>
  <conditionalFormatting sqref="B135:C135">
    <cfRule type="cellIs" dxfId="13603" priority="229" stopIfTrue="1" operator="equal">
      <formula>"Towel"</formula>
    </cfRule>
    <cfRule type="cellIs" dxfId="13602" priority="230" stopIfTrue="1" operator="equal">
      <formula>"Napkin Hs"</formula>
    </cfRule>
  </conditionalFormatting>
  <conditionalFormatting sqref="C135">
    <cfRule type="cellIs" dxfId="13601" priority="237" stopIfTrue="1" operator="equal">
      <formula>"Towel"</formula>
    </cfRule>
    <cfRule type="cellIs" dxfId="13600" priority="238" stopIfTrue="1" operator="equal">
      <formula>"Napkin Hs"</formula>
    </cfRule>
  </conditionalFormatting>
  <conditionalFormatting sqref="C135">
    <cfRule type="cellIs" dxfId="13599" priority="239" stopIfTrue="1" operator="equal">
      <formula>"Towel"</formula>
    </cfRule>
    <cfRule type="cellIs" dxfId="13598" priority="240" stopIfTrue="1" operator="equal">
      <formula>"Napkin Hs"</formula>
    </cfRule>
  </conditionalFormatting>
  <conditionalFormatting sqref="B135:C135">
    <cfRule type="cellIs" dxfId="13597" priority="227" stopIfTrue="1" operator="equal">
      <formula>"Towel"</formula>
    </cfRule>
    <cfRule type="cellIs" dxfId="13596" priority="228" stopIfTrue="1" operator="equal">
      <formula>"Napkin Hs"</formula>
    </cfRule>
  </conditionalFormatting>
  <conditionalFormatting sqref="C135">
    <cfRule type="cellIs" dxfId="13595" priority="226" stopIfTrue="1" operator="equal">
      <formula>"Napkin Hs"</formula>
    </cfRule>
  </conditionalFormatting>
  <conditionalFormatting sqref="C135">
    <cfRule type="cellIs" dxfId="13594" priority="225" stopIfTrue="1" operator="equal">
      <formula>"Towel"</formula>
    </cfRule>
  </conditionalFormatting>
  <conditionalFormatting sqref="C135">
    <cfRule type="cellIs" dxfId="13593" priority="223" stopIfTrue="1" operator="equal">
      <formula>"Towel"</formula>
    </cfRule>
    <cfRule type="cellIs" dxfId="13592" priority="224" stopIfTrue="1" operator="equal">
      <formula>"Napkin Hs"</formula>
    </cfRule>
  </conditionalFormatting>
  <conditionalFormatting sqref="B135:C135">
    <cfRule type="cellIs" dxfId="13591" priority="221" stopIfTrue="1" operator="equal">
      <formula>"Towel"</formula>
    </cfRule>
    <cfRule type="cellIs" dxfId="13590" priority="222" stopIfTrue="1" operator="equal">
      <formula>"Napkin Hs"</formula>
    </cfRule>
  </conditionalFormatting>
  <conditionalFormatting sqref="C135">
    <cfRule type="cellIs" dxfId="13589" priority="217" stopIfTrue="1" operator="equal">
      <formula>"Towel"</formula>
    </cfRule>
    <cfRule type="cellIs" dxfId="13588" priority="218" stopIfTrue="1" operator="equal">
      <formula>"Napkin Hs"</formula>
    </cfRule>
  </conditionalFormatting>
  <conditionalFormatting sqref="C135">
    <cfRule type="cellIs" dxfId="13587" priority="219" stopIfTrue="1" operator="equal">
      <formula>"Towel"</formula>
    </cfRule>
    <cfRule type="cellIs" dxfId="13586" priority="220" stopIfTrue="1" operator="equal">
      <formula>"Napkin Hs"</formula>
    </cfRule>
  </conditionalFormatting>
  <conditionalFormatting sqref="B135:C135">
    <cfRule type="cellIs" dxfId="13585" priority="215" stopIfTrue="1" operator="equal">
      <formula>"Towel"</formula>
    </cfRule>
    <cfRule type="cellIs" dxfId="13584" priority="216" stopIfTrue="1" operator="equal">
      <formula>"Napkin Hs"</formula>
    </cfRule>
  </conditionalFormatting>
  <conditionalFormatting sqref="C135">
    <cfRule type="cellIs" dxfId="13583" priority="214" stopIfTrue="1" operator="equal">
      <formula>"Napkin Hs"</formula>
    </cfRule>
  </conditionalFormatting>
  <conditionalFormatting sqref="C135">
    <cfRule type="cellIs" dxfId="13582" priority="213" stopIfTrue="1" operator="equal">
      <formula>"Towel"</formula>
    </cfRule>
  </conditionalFormatting>
  <conditionalFormatting sqref="C135">
    <cfRule type="cellIs" dxfId="13581" priority="211" stopIfTrue="1" operator="equal">
      <formula>"Towel"</formula>
    </cfRule>
    <cfRule type="cellIs" dxfId="13580" priority="212" stopIfTrue="1" operator="equal">
      <formula>"Napkin Hs"</formula>
    </cfRule>
  </conditionalFormatting>
  <conditionalFormatting sqref="B135:C135">
    <cfRule type="cellIs" dxfId="13579" priority="209" stopIfTrue="1" operator="equal">
      <formula>"Towel"</formula>
    </cfRule>
    <cfRule type="cellIs" dxfId="13578" priority="210" stopIfTrue="1" operator="equal">
      <formula>"Napkin Hs"</formula>
    </cfRule>
  </conditionalFormatting>
  <conditionalFormatting sqref="C135">
    <cfRule type="cellIs" dxfId="13577" priority="205" stopIfTrue="1" operator="equal">
      <formula>"Towel"</formula>
    </cfRule>
    <cfRule type="cellIs" dxfId="13576" priority="206" stopIfTrue="1" operator="equal">
      <formula>"Napkin Hs"</formula>
    </cfRule>
  </conditionalFormatting>
  <conditionalFormatting sqref="C135">
    <cfRule type="cellIs" dxfId="13575" priority="207" stopIfTrue="1" operator="equal">
      <formula>"Towel"</formula>
    </cfRule>
    <cfRule type="cellIs" dxfId="13574" priority="208" stopIfTrue="1" operator="equal">
      <formula>"Napkin Hs"</formula>
    </cfRule>
  </conditionalFormatting>
  <conditionalFormatting sqref="B135:C135">
    <cfRule type="cellIs" dxfId="13573" priority="203" stopIfTrue="1" operator="equal">
      <formula>"Towel"</formula>
    </cfRule>
    <cfRule type="cellIs" dxfId="13572" priority="204" stopIfTrue="1" operator="equal">
      <formula>"Napkin Hs"</formula>
    </cfRule>
  </conditionalFormatting>
  <conditionalFormatting sqref="C135">
    <cfRule type="cellIs" dxfId="13571" priority="202" stopIfTrue="1" operator="equal">
      <formula>"Napkin Hs"</formula>
    </cfRule>
  </conditionalFormatting>
  <conditionalFormatting sqref="C135">
    <cfRule type="cellIs" dxfId="13570" priority="201" stopIfTrue="1" operator="equal">
      <formula>"Towel"</formula>
    </cfRule>
  </conditionalFormatting>
  <conditionalFormatting sqref="C135">
    <cfRule type="cellIs" dxfId="13569" priority="199" stopIfTrue="1" operator="equal">
      <formula>"Towel"</formula>
    </cfRule>
    <cfRule type="cellIs" dxfId="13568" priority="200" stopIfTrue="1" operator="equal">
      <formula>"Napkin Hs"</formula>
    </cfRule>
  </conditionalFormatting>
  <conditionalFormatting sqref="C135">
    <cfRule type="cellIs" dxfId="13567" priority="191" stopIfTrue="1" operator="equal">
      <formula>"Towel"</formula>
    </cfRule>
    <cfRule type="cellIs" dxfId="13566" priority="192" stopIfTrue="1" operator="equal">
      <formula>"Napkin Hs"</formula>
    </cfRule>
  </conditionalFormatting>
  <conditionalFormatting sqref="B135:C135">
    <cfRule type="cellIs" dxfId="13565" priority="193" stopIfTrue="1" operator="equal">
      <formula>"Towel"</formula>
    </cfRule>
    <cfRule type="cellIs" dxfId="13564" priority="194" stopIfTrue="1" operator="equal">
      <formula>"Napkin Hs"</formula>
    </cfRule>
  </conditionalFormatting>
  <conditionalFormatting sqref="C135">
    <cfRule type="cellIs" dxfId="13563" priority="189" stopIfTrue="1" operator="equal">
      <formula>"Towel"</formula>
    </cfRule>
    <cfRule type="cellIs" dxfId="13562" priority="190" stopIfTrue="1" operator="equal">
      <formula>"Napkin Hs"</formula>
    </cfRule>
  </conditionalFormatting>
  <conditionalFormatting sqref="B135:C135">
    <cfRule type="cellIs" dxfId="13561" priority="187" stopIfTrue="1" operator="equal">
      <formula>"Towel"</formula>
    </cfRule>
    <cfRule type="cellIs" dxfId="13560" priority="188" stopIfTrue="1" operator="equal">
      <formula>"Napkin Hs"</formula>
    </cfRule>
  </conditionalFormatting>
  <conditionalFormatting sqref="C135">
    <cfRule type="cellIs" dxfId="13559" priority="195" stopIfTrue="1" operator="equal">
      <formula>"Towel"</formula>
    </cfRule>
    <cfRule type="cellIs" dxfId="13558" priority="196" stopIfTrue="1" operator="equal">
      <formula>"Napkin Hs"</formula>
    </cfRule>
  </conditionalFormatting>
  <conditionalFormatting sqref="C135">
    <cfRule type="cellIs" dxfId="13557" priority="197" stopIfTrue="1" operator="equal">
      <formula>"Towel"</formula>
    </cfRule>
    <cfRule type="cellIs" dxfId="13556" priority="198" stopIfTrue="1" operator="equal">
      <formula>"Napkin Hs"</formula>
    </cfRule>
  </conditionalFormatting>
  <conditionalFormatting sqref="B135:C135">
    <cfRule type="cellIs" dxfId="13555" priority="185" stopIfTrue="1" operator="equal">
      <formula>"Towel"</formula>
    </cfRule>
    <cfRule type="cellIs" dxfId="13554" priority="186" stopIfTrue="1" operator="equal">
      <formula>"Napkin Hs"</formula>
    </cfRule>
  </conditionalFormatting>
  <conditionalFormatting sqref="C135">
    <cfRule type="cellIs" dxfId="13553" priority="181" stopIfTrue="1" operator="equal">
      <formula>"Towel"</formula>
    </cfRule>
    <cfRule type="cellIs" dxfId="13552" priority="182" stopIfTrue="1" operator="equal">
      <formula>"Napkin Hs"</formula>
    </cfRule>
  </conditionalFormatting>
  <conditionalFormatting sqref="C135">
    <cfRule type="cellIs" dxfId="13551" priority="183" stopIfTrue="1" operator="equal">
      <formula>"Towel"</formula>
    </cfRule>
    <cfRule type="cellIs" dxfId="13550" priority="184" stopIfTrue="1" operator="equal">
      <formula>"Napkin Hs"</formula>
    </cfRule>
  </conditionalFormatting>
  <conditionalFormatting sqref="C135">
    <cfRule type="cellIs" dxfId="13549" priority="173" stopIfTrue="1" operator="equal">
      <formula>"Towel"</formula>
    </cfRule>
    <cfRule type="cellIs" dxfId="13548" priority="174" stopIfTrue="1" operator="equal">
      <formula>"Napkin Hs"</formula>
    </cfRule>
  </conditionalFormatting>
  <conditionalFormatting sqref="B135:C135">
    <cfRule type="cellIs" dxfId="13547" priority="175" stopIfTrue="1" operator="equal">
      <formula>"Towel"</formula>
    </cfRule>
    <cfRule type="cellIs" dxfId="13546" priority="176" stopIfTrue="1" operator="equal">
      <formula>"Napkin Hs"</formula>
    </cfRule>
  </conditionalFormatting>
  <conditionalFormatting sqref="C135">
    <cfRule type="cellIs" dxfId="13545" priority="171" stopIfTrue="1" operator="equal">
      <formula>"Towel"</formula>
    </cfRule>
    <cfRule type="cellIs" dxfId="13544" priority="172" stopIfTrue="1" operator="equal">
      <formula>"Napkin Hs"</formula>
    </cfRule>
  </conditionalFormatting>
  <conditionalFormatting sqref="B135:C135">
    <cfRule type="cellIs" dxfId="13543" priority="169" stopIfTrue="1" operator="equal">
      <formula>"Towel"</formula>
    </cfRule>
    <cfRule type="cellIs" dxfId="13542" priority="170" stopIfTrue="1" operator="equal">
      <formula>"Napkin Hs"</formula>
    </cfRule>
  </conditionalFormatting>
  <conditionalFormatting sqref="C135">
    <cfRule type="cellIs" dxfId="13541" priority="177" stopIfTrue="1" operator="equal">
      <formula>"Towel"</formula>
    </cfRule>
    <cfRule type="cellIs" dxfId="13540" priority="178" stopIfTrue="1" operator="equal">
      <formula>"Napkin Hs"</formula>
    </cfRule>
  </conditionalFormatting>
  <conditionalFormatting sqref="C135">
    <cfRule type="cellIs" dxfId="13539" priority="179" stopIfTrue="1" operator="equal">
      <formula>"Towel"</formula>
    </cfRule>
    <cfRule type="cellIs" dxfId="13538" priority="180" stopIfTrue="1" operator="equal">
      <formula>"Napkin Hs"</formula>
    </cfRule>
  </conditionalFormatting>
  <conditionalFormatting sqref="B135:C135">
    <cfRule type="cellIs" dxfId="13537" priority="167" stopIfTrue="1" operator="equal">
      <formula>"Towel"</formula>
    </cfRule>
    <cfRule type="cellIs" dxfId="13536" priority="168" stopIfTrue="1" operator="equal">
      <formula>"Napkin Hs"</formula>
    </cfRule>
  </conditionalFormatting>
  <conditionalFormatting sqref="C135">
    <cfRule type="cellIs" dxfId="13535" priority="166" stopIfTrue="1" operator="equal">
      <formula>"Napkin Hs"</formula>
    </cfRule>
  </conditionalFormatting>
  <conditionalFormatting sqref="C135">
    <cfRule type="cellIs" dxfId="13534" priority="165" stopIfTrue="1" operator="equal">
      <formula>"Towel"</formula>
    </cfRule>
  </conditionalFormatting>
  <conditionalFormatting sqref="C135">
    <cfRule type="cellIs" dxfId="13533" priority="163" stopIfTrue="1" operator="equal">
      <formula>"Towel"</formula>
    </cfRule>
    <cfRule type="cellIs" dxfId="13532" priority="164" stopIfTrue="1" operator="equal">
      <formula>"Napkin Hs"</formula>
    </cfRule>
  </conditionalFormatting>
  <conditionalFormatting sqref="B136:C137">
    <cfRule type="cellIs" dxfId="13531" priority="161" stopIfTrue="1" operator="equal">
      <formula>"Towel"</formula>
    </cfRule>
    <cfRule type="cellIs" dxfId="13530" priority="162" stopIfTrue="1" operator="equal">
      <formula>"Napkin Hs"</formula>
    </cfRule>
  </conditionalFormatting>
  <conditionalFormatting sqref="C136:C137">
    <cfRule type="cellIs" dxfId="13529" priority="160" stopIfTrue="1" operator="equal">
      <formula>"Napkin Hs"</formula>
    </cfRule>
  </conditionalFormatting>
  <conditionalFormatting sqref="C136:C137">
    <cfRule type="cellIs" dxfId="13528" priority="159" stopIfTrue="1" operator="equal">
      <formula>"Towel"</formula>
    </cfRule>
  </conditionalFormatting>
  <conditionalFormatting sqref="C136:C137">
    <cfRule type="cellIs" dxfId="13527" priority="157" stopIfTrue="1" operator="equal">
      <formula>"Towel"</formula>
    </cfRule>
    <cfRule type="cellIs" dxfId="13526" priority="158" stopIfTrue="1" operator="equal">
      <formula>"Napkin Hs"</formula>
    </cfRule>
  </conditionalFormatting>
  <conditionalFormatting sqref="B136:C137">
    <cfRule type="cellIs" dxfId="13525" priority="155" stopIfTrue="1" operator="equal">
      <formula>"Towel"</formula>
    </cfRule>
    <cfRule type="cellIs" dxfId="13524" priority="156" stopIfTrue="1" operator="equal">
      <formula>"Napkin Hs"</formula>
    </cfRule>
  </conditionalFormatting>
  <conditionalFormatting sqref="C136:C137">
    <cfRule type="cellIs" dxfId="13523" priority="151" stopIfTrue="1" operator="equal">
      <formula>"Towel"</formula>
    </cfRule>
    <cfRule type="cellIs" dxfId="13522" priority="152" stopIfTrue="1" operator="equal">
      <formula>"Napkin Hs"</formula>
    </cfRule>
  </conditionalFormatting>
  <conditionalFormatting sqref="C136:C137">
    <cfRule type="cellIs" dxfId="13521" priority="153" stopIfTrue="1" operator="equal">
      <formula>"Towel"</formula>
    </cfRule>
    <cfRule type="cellIs" dxfId="13520" priority="154" stopIfTrue="1" operator="equal">
      <formula>"Napkin Hs"</formula>
    </cfRule>
  </conditionalFormatting>
  <conditionalFormatting sqref="B136:C137">
    <cfRule type="cellIs" dxfId="13519" priority="149" stopIfTrue="1" operator="equal">
      <formula>"Towel"</formula>
    </cfRule>
    <cfRule type="cellIs" dxfId="13518" priority="150" stopIfTrue="1" operator="equal">
      <formula>"Napkin Hs"</formula>
    </cfRule>
  </conditionalFormatting>
  <conditionalFormatting sqref="C136:C137">
    <cfRule type="cellIs" dxfId="13517" priority="147" stopIfTrue="1" operator="equal">
      <formula>"Towel"</formula>
    </cfRule>
    <cfRule type="cellIs" dxfId="13516" priority="148" stopIfTrue="1" operator="equal">
      <formula>"Napkin Hs"</formula>
    </cfRule>
  </conditionalFormatting>
  <conditionalFormatting sqref="C136:C137">
    <cfRule type="cellIs" dxfId="13515" priority="145" stopIfTrue="1" operator="equal">
      <formula>"Towel"</formula>
    </cfRule>
    <cfRule type="cellIs" dxfId="13514" priority="146" stopIfTrue="1" operator="equal">
      <formula>"Napkin Hs"</formula>
    </cfRule>
  </conditionalFormatting>
  <conditionalFormatting sqref="C136:C137">
    <cfRule type="cellIs" dxfId="13513" priority="137" stopIfTrue="1" operator="equal">
      <formula>"Towel"</formula>
    </cfRule>
    <cfRule type="cellIs" dxfId="13512" priority="138" stopIfTrue="1" operator="equal">
      <formula>"Napkin Hs"</formula>
    </cfRule>
  </conditionalFormatting>
  <conditionalFormatting sqref="B136:C137">
    <cfRule type="cellIs" dxfId="13511" priority="139" stopIfTrue="1" operator="equal">
      <formula>"Towel"</formula>
    </cfRule>
    <cfRule type="cellIs" dxfId="13510" priority="140" stopIfTrue="1" operator="equal">
      <formula>"Napkin Hs"</formula>
    </cfRule>
  </conditionalFormatting>
  <conditionalFormatting sqref="C136:C137">
    <cfRule type="cellIs" dxfId="13509" priority="135" stopIfTrue="1" operator="equal">
      <formula>"Towel"</formula>
    </cfRule>
    <cfRule type="cellIs" dxfId="13508" priority="136" stopIfTrue="1" operator="equal">
      <formula>"Napkin Hs"</formula>
    </cfRule>
  </conditionalFormatting>
  <conditionalFormatting sqref="B136:C137">
    <cfRule type="cellIs" dxfId="13507" priority="133" stopIfTrue="1" operator="equal">
      <formula>"Towel"</formula>
    </cfRule>
    <cfRule type="cellIs" dxfId="13506" priority="134" stopIfTrue="1" operator="equal">
      <formula>"Napkin Hs"</formula>
    </cfRule>
  </conditionalFormatting>
  <conditionalFormatting sqref="C136:C137">
    <cfRule type="cellIs" dxfId="13505" priority="141" stopIfTrue="1" operator="equal">
      <formula>"Towel"</formula>
    </cfRule>
    <cfRule type="cellIs" dxfId="13504" priority="142" stopIfTrue="1" operator="equal">
      <formula>"Napkin Hs"</formula>
    </cfRule>
  </conditionalFormatting>
  <conditionalFormatting sqref="C136:C137">
    <cfRule type="cellIs" dxfId="13503" priority="143" stopIfTrue="1" operator="equal">
      <formula>"Towel"</formula>
    </cfRule>
    <cfRule type="cellIs" dxfId="13502" priority="144" stopIfTrue="1" operator="equal">
      <formula>"Napkin Hs"</formula>
    </cfRule>
  </conditionalFormatting>
  <conditionalFormatting sqref="C136:C137">
    <cfRule type="cellIs" dxfId="13501" priority="125" stopIfTrue="1" operator="equal">
      <formula>"Towel"</formula>
    </cfRule>
    <cfRule type="cellIs" dxfId="13500" priority="126" stopIfTrue="1" operator="equal">
      <formula>"Napkin Hs"</formula>
    </cfRule>
  </conditionalFormatting>
  <conditionalFormatting sqref="C136:C137">
    <cfRule type="cellIs" dxfId="13499" priority="123" stopIfTrue="1" operator="equal">
      <formula>"Towel"</formula>
    </cfRule>
    <cfRule type="cellIs" dxfId="13498" priority="124" stopIfTrue="1" operator="equal">
      <formula>"Napkin Hs"</formula>
    </cfRule>
  </conditionalFormatting>
  <conditionalFormatting sqref="B136:C137">
    <cfRule type="cellIs" dxfId="13497" priority="121" stopIfTrue="1" operator="equal">
      <formula>"Towel"</formula>
    </cfRule>
    <cfRule type="cellIs" dxfId="13496" priority="122" stopIfTrue="1" operator="equal">
      <formula>"Napkin Hs"</formula>
    </cfRule>
  </conditionalFormatting>
  <conditionalFormatting sqref="B136:C137">
    <cfRule type="cellIs" dxfId="13495" priority="131" stopIfTrue="1" operator="equal">
      <formula>"Towel"</formula>
    </cfRule>
    <cfRule type="cellIs" dxfId="13494" priority="132" stopIfTrue="1" operator="equal">
      <formula>"Napkin Hs"</formula>
    </cfRule>
  </conditionalFormatting>
  <conditionalFormatting sqref="C136:C137">
    <cfRule type="cellIs" dxfId="13493" priority="129" stopIfTrue="1" operator="equal">
      <formula>"Towel"</formula>
    </cfRule>
    <cfRule type="cellIs" dxfId="13492" priority="130" stopIfTrue="1" operator="equal">
      <formula>"Napkin Hs"</formula>
    </cfRule>
  </conditionalFormatting>
  <conditionalFormatting sqref="C136:C137">
    <cfRule type="cellIs" dxfId="13491" priority="127" stopIfTrue="1" operator="equal">
      <formula>"Towel"</formula>
    </cfRule>
    <cfRule type="cellIs" dxfId="13490" priority="128" stopIfTrue="1" operator="equal">
      <formula>"Napkin Hs"</formula>
    </cfRule>
  </conditionalFormatting>
  <conditionalFormatting sqref="C136:C137">
    <cfRule type="cellIs" dxfId="13489" priority="119" stopIfTrue="1" operator="equal">
      <formula>"Towel"</formula>
    </cfRule>
    <cfRule type="cellIs" dxfId="13488" priority="120" stopIfTrue="1" operator="equal">
      <formula>"Napkin Hs"</formula>
    </cfRule>
  </conditionalFormatting>
  <conditionalFormatting sqref="C136:C137">
    <cfRule type="cellIs" dxfId="13487" priority="117" stopIfTrue="1" operator="equal">
      <formula>"Towel"</formula>
    </cfRule>
    <cfRule type="cellIs" dxfId="13486" priority="118" stopIfTrue="1" operator="equal">
      <formula>"Napkin Hs"</formula>
    </cfRule>
  </conditionalFormatting>
  <conditionalFormatting sqref="B136:C137">
    <cfRule type="cellIs" dxfId="13485" priority="115" stopIfTrue="1" operator="equal">
      <formula>"Towel"</formula>
    </cfRule>
    <cfRule type="cellIs" dxfId="13484" priority="116" stopIfTrue="1" operator="equal">
      <formula>"Napkin Hs"</formula>
    </cfRule>
  </conditionalFormatting>
  <conditionalFormatting sqref="B136:C137">
    <cfRule type="cellIs" dxfId="13483" priority="113" stopIfTrue="1" operator="equal">
      <formula>"Towel"</formula>
    </cfRule>
    <cfRule type="cellIs" dxfId="13482" priority="114" stopIfTrue="1" operator="equal">
      <formula>"Napkin Hs"</formula>
    </cfRule>
  </conditionalFormatting>
  <conditionalFormatting sqref="C136:C137">
    <cfRule type="cellIs" dxfId="13481" priority="111" stopIfTrue="1" operator="equal">
      <formula>"Towel"</formula>
    </cfRule>
    <cfRule type="cellIs" dxfId="13480" priority="112" stopIfTrue="1" operator="equal">
      <formula>"Napkin Hs"</formula>
    </cfRule>
  </conditionalFormatting>
  <conditionalFormatting sqref="C136:C137">
    <cfRule type="cellIs" dxfId="13479" priority="109" stopIfTrue="1" operator="equal">
      <formula>"Towel"</formula>
    </cfRule>
    <cfRule type="cellIs" dxfId="13478" priority="110" stopIfTrue="1" operator="equal">
      <formula>"Napkin Hs"</formula>
    </cfRule>
  </conditionalFormatting>
  <conditionalFormatting sqref="C136:C137">
    <cfRule type="cellIs" dxfId="13477" priority="101" stopIfTrue="1" operator="equal">
      <formula>"Towel"</formula>
    </cfRule>
    <cfRule type="cellIs" dxfId="13476" priority="102" stopIfTrue="1" operator="equal">
      <formula>"Napkin Hs"</formula>
    </cfRule>
  </conditionalFormatting>
  <conditionalFormatting sqref="B136:C137">
    <cfRule type="cellIs" dxfId="13475" priority="103" stopIfTrue="1" operator="equal">
      <formula>"Towel"</formula>
    </cfRule>
    <cfRule type="cellIs" dxfId="13474" priority="104" stopIfTrue="1" operator="equal">
      <formula>"Napkin Hs"</formula>
    </cfRule>
  </conditionalFormatting>
  <conditionalFormatting sqref="C136:C137">
    <cfRule type="cellIs" dxfId="13473" priority="99" stopIfTrue="1" operator="equal">
      <formula>"Towel"</formula>
    </cfRule>
    <cfRule type="cellIs" dxfId="13472" priority="100" stopIfTrue="1" operator="equal">
      <formula>"Napkin Hs"</formula>
    </cfRule>
  </conditionalFormatting>
  <conditionalFormatting sqref="B136:C137">
    <cfRule type="cellIs" dxfId="13471" priority="97" stopIfTrue="1" operator="equal">
      <formula>"Towel"</formula>
    </cfRule>
    <cfRule type="cellIs" dxfId="13470" priority="98" stopIfTrue="1" operator="equal">
      <formula>"Napkin Hs"</formula>
    </cfRule>
  </conditionalFormatting>
  <conditionalFormatting sqref="C136:C137">
    <cfRule type="cellIs" dxfId="13469" priority="105" stopIfTrue="1" operator="equal">
      <formula>"Towel"</formula>
    </cfRule>
    <cfRule type="cellIs" dxfId="13468" priority="106" stopIfTrue="1" operator="equal">
      <formula>"Napkin Hs"</formula>
    </cfRule>
  </conditionalFormatting>
  <conditionalFormatting sqref="C136:C137">
    <cfRule type="cellIs" dxfId="13467" priority="107" stopIfTrue="1" operator="equal">
      <formula>"Towel"</formula>
    </cfRule>
    <cfRule type="cellIs" dxfId="13466" priority="108" stopIfTrue="1" operator="equal">
      <formula>"Napkin Hs"</formula>
    </cfRule>
  </conditionalFormatting>
  <conditionalFormatting sqref="B136:C137">
    <cfRule type="cellIs" dxfId="13465" priority="95" stopIfTrue="1" operator="equal">
      <formula>"Towel"</formula>
    </cfRule>
    <cfRule type="cellIs" dxfId="13464" priority="96" stopIfTrue="1" operator="equal">
      <formula>"Napkin Hs"</formula>
    </cfRule>
  </conditionalFormatting>
  <conditionalFormatting sqref="C136:C137">
    <cfRule type="cellIs" dxfId="13463" priority="94" stopIfTrue="1" operator="equal">
      <formula>"Napkin Hs"</formula>
    </cfRule>
  </conditionalFormatting>
  <conditionalFormatting sqref="C136:C137">
    <cfRule type="cellIs" dxfId="13462" priority="93" stopIfTrue="1" operator="equal">
      <formula>"Towel"</formula>
    </cfRule>
  </conditionalFormatting>
  <conditionalFormatting sqref="C136:C137">
    <cfRule type="cellIs" dxfId="13461" priority="91" stopIfTrue="1" operator="equal">
      <formula>"Towel"</formula>
    </cfRule>
    <cfRule type="cellIs" dxfId="13460" priority="92" stopIfTrue="1" operator="equal">
      <formula>"Napkin Hs"</formula>
    </cfRule>
  </conditionalFormatting>
  <conditionalFormatting sqref="B136:C137">
    <cfRule type="cellIs" dxfId="13459" priority="89" stopIfTrue="1" operator="equal">
      <formula>"Towel"</formula>
    </cfRule>
    <cfRule type="cellIs" dxfId="13458" priority="90" stopIfTrue="1" operator="equal">
      <formula>"Napkin Hs"</formula>
    </cfRule>
  </conditionalFormatting>
  <conditionalFormatting sqref="C136:C137">
    <cfRule type="cellIs" dxfId="13457" priority="85" stopIfTrue="1" operator="equal">
      <formula>"Towel"</formula>
    </cfRule>
    <cfRule type="cellIs" dxfId="13456" priority="86" stopIfTrue="1" operator="equal">
      <formula>"Napkin Hs"</formula>
    </cfRule>
  </conditionalFormatting>
  <conditionalFormatting sqref="C136:C137">
    <cfRule type="cellIs" dxfId="13455" priority="87" stopIfTrue="1" operator="equal">
      <formula>"Towel"</formula>
    </cfRule>
    <cfRule type="cellIs" dxfId="13454" priority="88" stopIfTrue="1" operator="equal">
      <formula>"Napkin Hs"</formula>
    </cfRule>
  </conditionalFormatting>
  <conditionalFormatting sqref="B136:C137">
    <cfRule type="cellIs" dxfId="13453" priority="83" stopIfTrue="1" operator="equal">
      <formula>"Towel"</formula>
    </cfRule>
    <cfRule type="cellIs" dxfId="13452" priority="84" stopIfTrue="1" operator="equal">
      <formula>"Napkin Hs"</formula>
    </cfRule>
  </conditionalFormatting>
  <conditionalFormatting sqref="C136:C137">
    <cfRule type="cellIs" dxfId="13451" priority="81" stopIfTrue="1" operator="equal">
      <formula>"Towel"</formula>
    </cfRule>
    <cfRule type="cellIs" dxfId="13450" priority="82" stopIfTrue="1" operator="equal">
      <formula>"Napkin Hs"</formula>
    </cfRule>
  </conditionalFormatting>
  <conditionalFormatting sqref="C136:C137">
    <cfRule type="cellIs" dxfId="13449" priority="79" stopIfTrue="1" operator="equal">
      <formula>"Towel"</formula>
    </cfRule>
    <cfRule type="cellIs" dxfId="13448" priority="80" stopIfTrue="1" operator="equal">
      <formula>"Napkin Hs"</formula>
    </cfRule>
  </conditionalFormatting>
  <conditionalFormatting sqref="C136:C137">
    <cfRule type="cellIs" dxfId="13447" priority="71" stopIfTrue="1" operator="equal">
      <formula>"Towel"</formula>
    </cfRule>
    <cfRule type="cellIs" dxfId="13446" priority="72" stopIfTrue="1" operator="equal">
      <formula>"Napkin Hs"</formula>
    </cfRule>
  </conditionalFormatting>
  <conditionalFormatting sqref="B136:C137">
    <cfRule type="cellIs" dxfId="13445" priority="73" stopIfTrue="1" operator="equal">
      <formula>"Towel"</formula>
    </cfRule>
    <cfRule type="cellIs" dxfId="13444" priority="74" stopIfTrue="1" operator="equal">
      <formula>"Napkin Hs"</formula>
    </cfRule>
  </conditionalFormatting>
  <conditionalFormatting sqref="C136:C137">
    <cfRule type="cellIs" dxfId="13443" priority="69" stopIfTrue="1" operator="equal">
      <formula>"Towel"</formula>
    </cfRule>
    <cfRule type="cellIs" dxfId="13442" priority="70" stopIfTrue="1" operator="equal">
      <formula>"Napkin Hs"</formula>
    </cfRule>
  </conditionalFormatting>
  <conditionalFormatting sqref="B136:C137">
    <cfRule type="cellIs" dxfId="13441" priority="67" stopIfTrue="1" operator="equal">
      <formula>"Towel"</formula>
    </cfRule>
    <cfRule type="cellIs" dxfId="13440" priority="68" stopIfTrue="1" operator="equal">
      <formula>"Napkin Hs"</formula>
    </cfRule>
  </conditionalFormatting>
  <conditionalFormatting sqref="C136:C137">
    <cfRule type="cellIs" dxfId="13439" priority="75" stopIfTrue="1" operator="equal">
      <formula>"Towel"</formula>
    </cfRule>
    <cfRule type="cellIs" dxfId="13438" priority="76" stopIfTrue="1" operator="equal">
      <formula>"Napkin Hs"</formula>
    </cfRule>
  </conditionalFormatting>
  <conditionalFormatting sqref="C136:C137">
    <cfRule type="cellIs" dxfId="13437" priority="77" stopIfTrue="1" operator="equal">
      <formula>"Towel"</formula>
    </cfRule>
    <cfRule type="cellIs" dxfId="13436" priority="78" stopIfTrue="1" operator="equal">
      <formula>"Napkin Hs"</formula>
    </cfRule>
  </conditionalFormatting>
  <conditionalFormatting sqref="B136:C137">
    <cfRule type="cellIs" dxfId="13435" priority="65" stopIfTrue="1" operator="equal">
      <formula>"Towel"</formula>
    </cfRule>
    <cfRule type="cellIs" dxfId="13434" priority="66" stopIfTrue="1" operator="equal">
      <formula>"Napkin Hs"</formula>
    </cfRule>
  </conditionalFormatting>
  <conditionalFormatting sqref="C136:C137">
    <cfRule type="cellIs" dxfId="13433" priority="64" stopIfTrue="1" operator="equal">
      <formula>"Napkin Hs"</formula>
    </cfRule>
  </conditionalFormatting>
  <conditionalFormatting sqref="C136:C137">
    <cfRule type="cellIs" dxfId="13432" priority="63" stopIfTrue="1" operator="equal">
      <formula>"Towel"</formula>
    </cfRule>
  </conditionalFormatting>
  <conditionalFormatting sqref="C136:C137">
    <cfRule type="cellIs" dxfId="13431" priority="61" stopIfTrue="1" operator="equal">
      <formula>"Towel"</formula>
    </cfRule>
    <cfRule type="cellIs" dxfId="13430" priority="62" stopIfTrue="1" operator="equal">
      <formula>"Napkin Hs"</formula>
    </cfRule>
  </conditionalFormatting>
  <conditionalFormatting sqref="B136:C137">
    <cfRule type="cellIs" dxfId="13429" priority="59" stopIfTrue="1" operator="equal">
      <formula>"Towel"</formula>
    </cfRule>
    <cfRule type="cellIs" dxfId="13428" priority="60" stopIfTrue="1" operator="equal">
      <formula>"Napkin Hs"</formula>
    </cfRule>
  </conditionalFormatting>
  <conditionalFormatting sqref="C136:C137">
    <cfRule type="cellIs" dxfId="13427" priority="55" stopIfTrue="1" operator="equal">
      <formula>"Towel"</formula>
    </cfRule>
    <cfRule type="cellIs" dxfId="13426" priority="56" stopIfTrue="1" operator="equal">
      <formula>"Napkin Hs"</formula>
    </cfRule>
  </conditionalFormatting>
  <conditionalFormatting sqref="C136:C137">
    <cfRule type="cellIs" dxfId="13425" priority="57" stopIfTrue="1" operator="equal">
      <formula>"Towel"</formula>
    </cfRule>
    <cfRule type="cellIs" dxfId="13424" priority="58" stopIfTrue="1" operator="equal">
      <formula>"Napkin Hs"</formula>
    </cfRule>
  </conditionalFormatting>
  <conditionalFormatting sqref="B136:C137">
    <cfRule type="cellIs" dxfId="13423" priority="53" stopIfTrue="1" operator="equal">
      <formula>"Towel"</formula>
    </cfRule>
    <cfRule type="cellIs" dxfId="13422" priority="54" stopIfTrue="1" operator="equal">
      <formula>"Napkin Hs"</formula>
    </cfRule>
  </conditionalFormatting>
  <conditionalFormatting sqref="C136:C137">
    <cfRule type="cellIs" dxfId="13421" priority="52" stopIfTrue="1" operator="equal">
      <formula>"Napkin Hs"</formula>
    </cfRule>
  </conditionalFormatting>
  <conditionalFormatting sqref="C136:C137">
    <cfRule type="cellIs" dxfId="13420" priority="51" stopIfTrue="1" operator="equal">
      <formula>"Towel"</formula>
    </cfRule>
  </conditionalFormatting>
  <conditionalFormatting sqref="C136:C137">
    <cfRule type="cellIs" dxfId="13419" priority="49" stopIfTrue="1" operator="equal">
      <formula>"Towel"</formula>
    </cfRule>
    <cfRule type="cellIs" dxfId="13418" priority="50" stopIfTrue="1" operator="equal">
      <formula>"Napkin Hs"</formula>
    </cfRule>
  </conditionalFormatting>
  <conditionalFormatting sqref="B136:C137">
    <cfRule type="cellIs" dxfId="13417" priority="47" stopIfTrue="1" operator="equal">
      <formula>"Towel"</formula>
    </cfRule>
    <cfRule type="cellIs" dxfId="13416" priority="48" stopIfTrue="1" operator="equal">
      <formula>"Napkin Hs"</formula>
    </cfRule>
  </conditionalFormatting>
  <conditionalFormatting sqref="C136:C137">
    <cfRule type="cellIs" dxfId="13415" priority="43" stopIfTrue="1" operator="equal">
      <formula>"Towel"</formula>
    </cfRule>
    <cfRule type="cellIs" dxfId="13414" priority="44" stopIfTrue="1" operator="equal">
      <formula>"Napkin Hs"</formula>
    </cfRule>
  </conditionalFormatting>
  <conditionalFormatting sqref="C136:C137">
    <cfRule type="cellIs" dxfId="13413" priority="45" stopIfTrue="1" operator="equal">
      <formula>"Towel"</formula>
    </cfRule>
    <cfRule type="cellIs" dxfId="13412" priority="46" stopIfTrue="1" operator="equal">
      <formula>"Napkin Hs"</formula>
    </cfRule>
  </conditionalFormatting>
  <conditionalFormatting sqref="B136:C137">
    <cfRule type="cellIs" dxfId="13411" priority="41" stopIfTrue="1" operator="equal">
      <formula>"Towel"</formula>
    </cfRule>
    <cfRule type="cellIs" dxfId="13410" priority="42" stopIfTrue="1" operator="equal">
      <formula>"Napkin Hs"</formula>
    </cfRule>
  </conditionalFormatting>
  <conditionalFormatting sqref="C136:C137">
    <cfRule type="cellIs" dxfId="13409" priority="40" stopIfTrue="1" operator="equal">
      <formula>"Napkin Hs"</formula>
    </cfRule>
  </conditionalFormatting>
  <conditionalFormatting sqref="C136:C137">
    <cfRule type="cellIs" dxfId="13408" priority="39" stopIfTrue="1" operator="equal">
      <formula>"Towel"</formula>
    </cfRule>
  </conditionalFormatting>
  <conditionalFormatting sqref="C136:C137">
    <cfRule type="cellIs" dxfId="13407" priority="37" stopIfTrue="1" operator="equal">
      <formula>"Towel"</formula>
    </cfRule>
    <cfRule type="cellIs" dxfId="13406" priority="38" stopIfTrue="1" operator="equal">
      <formula>"Napkin Hs"</formula>
    </cfRule>
  </conditionalFormatting>
  <conditionalFormatting sqref="C136:C137">
    <cfRule type="cellIs" dxfId="13405" priority="29" stopIfTrue="1" operator="equal">
      <formula>"Towel"</formula>
    </cfRule>
    <cfRule type="cellIs" dxfId="13404" priority="30" stopIfTrue="1" operator="equal">
      <formula>"Napkin Hs"</formula>
    </cfRule>
  </conditionalFormatting>
  <conditionalFormatting sqref="B136:C137">
    <cfRule type="cellIs" dxfId="13403" priority="31" stopIfTrue="1" operator="equal">
      <formula>"Towel"</formula>
    </cfRule>
    <cfRule type="cellIs" dxfId="13402" priority="32" stopIfTrue="1" operator="equal">
      <formula>"Napkin Hs"</formula>
    </cfRule>
  </conditionalFormatting>
  <conditionalFormatting sqref="C136:C137">
    <cfRule type="cellIs" dxfId="13401" priority="27" stopIfTrue="1" operator="equal">
      <formula>"Towel"</formula>
    </cfRule>
    <cfRule type="cellIs" dxfId="13400" priority="28" stopIfTrue="1" operator="equal">
      <formula>"Napkin Hs"</formula>
    </cfRule>
  </conditionalFormatting>
  <conditionalFormatting sqref="B136:C137">
    <cfRule type="cellIs" dxfId="13399" priority="25" stopIfTrue="1" operator="equal">
      <formula>"Towel"</formula>
    </cfRule>
    <cfRule type="cellIs" dxfId="13398" priority="26" stopIfTrue="1" operator="equal">
      <formula>"Napkin Hs"</formula>
    </cfRule>
  </conditionalFormatting>
  <conditionalFormatting sqref="C136:C137">
    <cfRule type="cellIs" dxfId="13397" priority="33" stopIfTrue="1" operator="equal">
      <formula>"Towel"</formula>
    </cfRule>
    <cfRule type="cellIs" dxfId="13396" priority="34" stopIfTrue="1" operator="equal">
      <formula>"Napkin Hs"</formula>
    </cfRule>
  </conditionalFormatting>
  <conditionalFormatting sqref="C136:C137">
    <cfRule type="cellIs" dxfId="13395" priority="35" stopIfTrue="1" operator="equal">
      <formula>"Towel"</formula>
    </cfRule>
    <cfRule type="cellIs" dxfId="13394" priority="36" stopIfTrue="1" operator="equal">
      <formula>"Napkin Hs"</formula>
    </cfRule>
  </conditionalFormatting>
  <conditionalFormatting sqref="B136:C137">
    <cfRule type="cellIs" dxfId="13393" priority="23" stopIfTrue="1" operator="equal">
      <formula>"Towel"</formula>
    </cfRule>
    <cfRule type="cellIs" dxfId="13392" priority="24" stopIfTrue="1" operator="equal">
      <formula>"Napkin Hs"</formula>
    </cfRule>
  </conditionalFormatting>
  <conditionalFormatting sqref="C136:C137">
    <cfRule type="cellIs" dxfId="13391" priority="19" stopIfTrue="1" operator="equal">
      <formula>"Towel"</formula>
    </cfRule>
    <cfRule type="cellIs" dxfId="13390" priority="20" stopIfTrue="1" operator="equal">
      <formula>"Napkin Hs"</formula>
    </cfRule>
  </conditionalFormatting>
  <conditionalFormatting sqref="C136:C137">
    <cfRule type="cellIs" dxfId="13389" priority="21" stopIfTrue="1" operator="equal">
      <formula>"Towel"</formula>
    </cfRule>
    <cfRule type="cellIs" dxfId="13388" priority="22" stopIfTrue="1" operator="equal">
      <formula>"Napkin Hs"</formula>
    </cfRule>
  </conditionalFormatting>
  <conditionalFormatting sqref="C136:C137">
    <cfRule type="cellIs" dxfId="13387" priority="11" stopIfTrue="1" operator="equal">
      <formula>"Towel"</formula>
    </cfRule>
    <cfRule type="cellIs" dxfId="13386" priority="12" stopIfTrue="1" operator="equal">
      <formula>"Napkin Hs"</formula>
    </cfRule>
  </conditionalFormatting>
  <conditionalFormatting sqref="B136:C137">
    <cfRule type="cellIs" dxfId="13385" priority="13" stopIfTrue="1" operator="equal">
      <formula>"Towel"</formula>
    </cfRule>
    <cfRule type="cellIs" dxfId="13384" priority="14" stopIfTrue="1" operator="equal">
      <formula>"Napkin Hs"</formula>
    </cfRule>
  </conditionalFormatting>
  <conditionalFormatting sqref="C136:C137">
    <cfRule type="cellIs" dxfId="13383" priority="9" stopIfTrue="1" operator="equal">
      <formula>"Towel"</formula>
    </cfRule>
    <cfRule type="cellIs" dxfId="13382" priority="10" stopIfTrue="1" operator="equal">
      <formula>"Napkin Hs"</formula>
    </cfRule>
  </conditionalFormatting>
  <conditionalFormatting sqref="B136:C137">
    <cfRule type="cellIs" dxfId="13381" priority="7" stopIfTrue="1" operator="equal">
      <formula>"Towel"</formula>
    </cfRule>
    <cfRule type="cellIs" dxfId="13380" priority="8" stopIfTrue="1" operator="equal">
      <formula>"Napkin Hs"</formula>
    </cfRule>
  </conditionalFormatting>
  <conditionalFormatting sqref="C136:C137">
    <cfRule type="cellIs" dxfId="13379" priority="15" stopIfTrue="1" operator="equal">
      <formula>"Towel"</formula>
    </cfRule>
    <cfRule type="cellIs" dxfId="13378" priority="16" stopIfTrue="1" operator="equal">
      <formula>"Napkin Hs"</formula>
    </cfRule>
  </conditionalFormatting>
  <conditionalFormatting sqref="C136:C137">
    <cfRule type="cellIs" dxfId="13377" priority="17" stopIfTrue="1" operator="equal">
      <formula>"Towel"</formula>
    </cfRule>
    <cfRule type="cellIs" dxfId="13376" priority="18" stopIfTrue="1" operator="equal">
      <formula>"Napkin Hs"</formula>
    </cfRule>
  </conditionalFormatting>
  <conditionalFormatting sqref="B136:C137">
    <cfRule type="cellIs" dxfId="13375" priority="5" stopIfTrue="1" operator="equal">
      <formula>"Towel"</formula>
    </cfRule>
    <cfRule type="cellIs" dxfId="13374" priority="6" stopIfTrue="1" operator="equal">
      <formula>"Napkin Hs"</formula>
    </cfRule>
  </conditionalFormatting>
  <conditionalFormatting sqref="C136:C137">
    <cfRule type="cellIs" dxfId="13373" priority="4" stopIfTrue="1" operator="equal">
      <formula>"Napkin Hs"</formula>
    </cfRule>
  </conditionalFormatting>
  <conditionalFormatting sqref="C136:C137">
    <cfRule type="cellIs" dxfId="13372" priority="3" stopIfTrue="1" operator="equal">
      <formula>"Towel"</formula>
    </cfRule>
  </conditionalFormatting>
  <conditionalFormatting sqref="C136:C137">
    <cfRule type="cellIs" dxfId="13371" priority="1" stopIfTrue="1" operator="equal">
      <formula>"Towel"</formula>
    </cfRule>
    <cfRule type="cellIs" dxfId="13370" priority="2" stopIfTrue="1" operator="equal">
      <formula>"Napkin Hs"</formula>
    </cfRule>
  </conditionalFormatting>
  <pageMargins left="0.11811023622047245" right="0.11811023622047245" top="0.98425196850393704" bottom="0.98425196850393704" header="0.51181102362204722" footer="0.51181102362204722"/>
  <pageSetup scale="5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202"/>
  <sheetViews>
    <sheetView zoomScale="90" zoomScaleNormal="90" workbookViewId="0">
      <pane xSplit="6" ySplit="6" topLeftCell="R163" activePane="bottomRight" state="frozen"/>
      <selection pane="topRight" activeCell="F1" sqref="F1"/>
      <selection pane="bottomLeft" activeCell="A7" sqref="A7"/>
      <selection pane="bottomRight" activeCell="AA176" sqref="AA176"/>
    </sheetView>
  </sheetViews>
  <sheetFormatPr defaultColWidth="10.28515625" defaultRowHeight="12" x14ac:dyDescent="0.2"/>
  <cols>
    <col min="1" max="1" width="12.28515625" style="114" customWidth="1"/>
    <col min="2" max="3" width="14.140625" style="114" customWidth="1"/>
    <col min="4" max="4" width="10.28515625" style="114" customWidth="1"/>
    <col min="5" max="5" width="7.5703125" style="114" bestFit="1" customWidth="1"/>
    <col min="6" max="6" width="7" style="129" customWidth="1"/>
    <col min="7" max="9" width="10.28515625" style="114" customWidth="1"/>
    <col min="10" max="11" width="10.28515625" style="125" customWidth="1"/>
    <col min="12" max="13" width="12.7109375" style="130" customWidth="1"/>
    <col min="14" max="15" width="10.28515625" style="114" customWidth="1"/>
    <col min="16" max="16" width="16.85546875" style="114" bestFit="1" customWidth="1"/>
    <col min="17" max="17" width="12.7109375" style="58" customWidth="1"/>
    <col min="18" max="19" width="10.28515625" style="114" customWidth="1"/>
    <col min="20" max="20" width="10.7109375" style="114" customWidth="1"/>
    <col min="21" max="21" width="10.28515625" style="114" customWidth="1"/>
    <col min="22" max="22" width="12.28515625" style="114" customWidth="1"/>
    <col min="23" max="23" width="13" style="114" customWidth="1"/>
    <col min="24" max="24" width="10.28515625" style="114" customWidth="1"/>
    <col min="25" max="25" width="10.140625" style="114" customWidth="1"/>
    <col min="26" max="28" width="10.28515625" style="114" customWidth="1"/>
    <col min="29" max="29" width="12" style="114" customWidth="1"/>
    <col min="30" max="30" width="11.42578125" style="114" bestFit="1" customWidth="1"/>
    <col min="31" max="31" width="41.42578125" style="114" customWidth="1"/>
    <col min="32" max="38" width="10.28515625" style="114" customWidth="1"/>
    <col min="39" max="39" width="11.7109375" style="114" customWidth="1"/>
    <col min="40" max="41" width="10.28515625" style="114" customWidth="1"/>
    <col min="42" max="43" width="12.42578125" style="114" customWidth="1"/>
    <col min="44" max="44" width="29.7109375" style="114" bestFit="1" customWidth="1"/>
    <col min="45" max="16384" width="10.28515625" style="114"/>
  </cols>
  <sheetData>
    <row r="1" spans="1:58" s="111" customFormat="1" ht="15.75" x14ac:dyDescent="0.25">
      <c r="A1" s="110" t="s">
        <v>210</v>
      </c>
      <c r="G1" s="40"/>
      <c r="H1" s="40"/>
      <c r="I1" s="40"/>
      <c r="J1" s="41"/>
      <c r="K1" s="41"/>
      <c r="L1" s="112"/>
      <c r="M1" s="112"/>
      <c r="O1" s="40"/>
      <c r="P1" s="42"/>
      <c r="Q1" s="40"/>
      <c r="R1" s="42"/>
      <c r="S1" s="42"/>
      <c r="W1" s="42"/>
      <c r="X1" s="43"/>
      <c r="Y1" s="43"/>
      <c r="Z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</row>
    <row r="2" spans="1:58" s="111" customFormat="1" x14ac:dyDescent="0.2">
      <c r="A2" s="113"/>
      <c r="G2" s="40"/>
      <c r="H2" s="40"/>
      <c r="I2" s="40"/>
      <c r="J2" s="41"/>
      <c r="K2" s="41"/>
      <c r="L2" s="112"/>
      <c r="M2" s="112"/>
      <c r="O2" s="40"/>
      <c r="P2" s="42"/>
      <c r="Q2" s="40"/>
      <c r="R2" s="42"/>
      <c r="S2" s="42"/>
      <c r="W2" s="42"/>
      <c r="X2" s="43"/>
      <c r="Y2" s="43"/>
      <c r="Z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</row>
    <row r="3" spans="1:58" ht="24" customHeight="1" x14ac:dyDescent="0.35">
      <c r="A3" s="267" t="s">
        <v>58</v>
      </c>
      <c r="B3" s="267" t="s">
        <v>59</v>
      </c>
      <c r="C3" s="267" t="s">
        <v>60</v>
      </c>
      <c r="D3" s="267" t="s">
        <v>61</v>
      </c>
      <c r="E3" s="267" t="s">
        <v>62</v>
      </c>
      <c r="F3" s="267" t="s">
        <v>63</v>
      </c>
      <c r="G3" s="272" t="s">
        <v>64</v>
      </c>
      <c r="H3" s="273"/>
      <c r="I3" s="273"/>
      <c r="J3" s="273"/>
      <c r="K3" s="274"/>
      <c r="L3" s="278" t="s">
        <v>65</v>
      </c>
      <c r="M3" s="279"/>
      <c r="N3" s="280"/>
      <c r="O3" s="284" t="s">
        <v>66</v>
      </c>
      <c r="P3" s="286" t="s">
        <v>67</v>
      </c>
      <c r="Q3" s="284" t="s">
        <v>68</v>
      </c>
      <c r="R3" s="269" t="s">
        <v>69</v>
      </c>
      <c r="S3" s="269" t="s">
        <v>70</v>
      </c>
      <c r="T3" s="267" t="s">
        <v>71</v>
      </c>
      <c r="U3" s="267" t="s">
        <v>72</v>
      </c>
      <c r="V3" s="267" t="s">
        <v>73</v>
      </c>
      <c r="W3" s="269" t="s">
        <v>74</v>
      </c>
      <c r="X3" s="289" t="s">
        <v>75</v>
      </c>
      <c r="Y3" s="289" t="s">
        <v>181</v>
      </c>
      <c r="Z3" s="269" t="s">
        <v>76</v>
      </c>
      <c r="AA3" s="267" t="s">
        <v>77</v>
      </c>
      <c r="AB3" s="267" t="s">
        <v>78</v>
      </c>
      <c r="AC3" s="267" t="s">
        <v>79</v>
      </c>
      <c r="AD3" s="267" t="s">
        <v>80</v>
      </c>
      <c r="AE3" s="267" t="s">
        <v>81</v>
      </c>
      <c r="AF3" s="298" t="s">
        <v>82</v>
      </c>
      <c r="AG3" s="298"/>
      <c r="AH3" s="298"/>
      <c r="AI3" s="298"/>
      <c r="AJ3" s="298"/>
      <c r="AK3" s="298"/>
      <c r="AL3" s="298"/>
      <c r="AM3" s="299" t="s">
        <v>83</v>
      </c>
      <c r="AN3" s="302" t="s">
        <v>84</v>
      </c>
      <c r="AO3" s="302"/>
      <c r="AP3" s="302"/>
      <c r="AQ3" s="302"/>
      <c r="AR3" s="302"/>
      <c r="AS3" s="303" t="s">
        <v>11</v>
      </c>
      <c r="AT3" s="292" t="s">
        <v>160</v>
      </c>
      <c r="AU3" s="293"/>
      <c r="AV3" s="314" t="s">
        <v>86</v>
      </c>
      <c r="AW3" s="315"/>
      <c r="AX3" s="316" t="s">
        <v>86</v>
      </c>
      <c r="AY3" s="317"/>
      <c r="AZ3" s="318" t="s">
        <v>194</v>
      </c>
      <c r="BA3" s="297" t="s">
        <v>85</v>
      </c>
      <c r="BB3" s="341" t="s">
        <v>87</v>
      </c>
      <c r="BC3" s="341" t="s">
        <v>88</v>
      </c>
      <c r="BD3" s="305" t="s">
        <v>199</v>
      </c>
      <c r="BE3" s="308" t="s">
        <v>200</v>
      </c>
      <c r="BF3" s="341" t="s">
        <v>201</v>
      </c>
    </row>
    <row r="4" spans="1:58" ht="12" customHeight="1" x14ac:dyDescent="0.2">
      <c r="A4" s="268"/>
      <c r="B4" s="268"/>
      <c r="C4" s="268"/>
      <c r="D4" s="268"/>
      <c r="E4" s="268"/>
      <c r="F4" s="268"/>
      <c r="G4" s="275"/>
      <c r="H4" s="276"/>
      <c r="I4" s="276"/>
      <c r="J4" s="276"/>
      <c r="K4" s="277"/>
      <c r="L4" s="281"/>
      <c r="M4" s="282"/>
      <c r="N4" s="283"/>
      <c r="O4" s="285"/>
      <c r="P4" s="287"/>
      <c r="Q4" s="285"/>
      <c r="R4" s="270"/>
      <c r="S4" s="270"/>
      <c r="T4" s="268"/>
      <c r="U4" s="268"/>
      <c r="V4" s="268"/>
      <c r="W4" s="270"/>
      <c r="X4" s="290"/>
      <c r="Y4" s="290"/>
      <c r="Z4" s="270"/>
      <c r="AA4" s="268"/>
      <c r="AB4" s="268"/>
      <c r="AC4" s="268"/>
      <c r="AD4" s="268"/>
      <c r="AE4" s="268"/>
      <c r="AF4" s="311" t="s">
        <v>89</v>
      </c>
      <c r="AG4" s="312"/>
      <c r="AH4" s="313"/>
      <c r="AI4" s="287" t="s">
        <v>90</v>
      </c>
      <c r="AJ4" s="287" t="s">
        <v>91</v>
      </c>
      <c r="AK4" s="287" t="s">
        <v>93</v>
      </c>
      <c r="AL4" s="287" t="s">
        <v>92</v>
      </c>
      <c r="AM4" s="300"/>
      <c r="AN4" s="296" t="s">
        <v>94</v>
      </c>
      <c r="AO4" s="296" t="s">
        <v>91</v>
      </c>
      <c r="AP4" s="296" t="s">
        <v>95</v>
      </c>
      <c r="AQ4" s="296" t="s">
        <v>92</v>
      </c>
      <c r="AR4" s="297" t="s">
        <v>96</v>
      </c>
      <c r="AS4" s="303"/>
      <c r="AT4" s="294"/>
      <c r="AU4" s="295"/>
      <c r="AV4" s="163" t="s">
        <v>192</v>
      </c>
      <c r="AW4" s="163" t="s">
        <v>97</v>
      </c>
      <c r="AX4" s="230" t="s">
        <v>192</v>
      </c>
      <c r="AY4" s="162" t="s">
        <v>97</v>
      </c>
      <c r="AZ4" s="319"/>
      <c r="BA4" s="297"/>
      <c r="BB4" s="341"/>
      <c r="BC4" s="341"/>
      <c r="BD4" s="306"/>
      <c r="BE4" s="309"/>
      <c r="BF4" s="341"/>
    </row>
    <row r="5" spans="1:58" s="115" customFormat="1" ht="48" x14ac:dyDescent="0.25">
      <c r="A5" s="268"/>
      <c r="B5" s="268"/>
      <c r="C5" s="271"/>
      <c r="D5" s="268"/>
      <c r="E5" s="268"/>
      <c r="F5" s="268"/>
      <c r="G5" s="226" t="s">
        <v>98</v>
      </c>
      <c r="H5" s="233" t="s">
        <v>99</v>
      </c>
      <c r="I5" s="153" t="s">
        <v>100</v>
      </c>
      <c r="J5" s="154" t="s">
        <v>101</v>
      </c>
      <c r="K5" s="154" t="s">
        <v>102</v>
      </c>
      <c r="L5" s="155" t="s">
        <v>103</v>
      </c>
      <c r="M5" s="155" t="s">
        <v>104</v>
      </c>
      <c r="N5" s="233" t="s">
        <v>105</v>
      </c>
      <c r="O5" s="285"/>
      <c r="P5" s="288"/>
      <c r="Q5" s="285"/>
      <c r="R5" s="270"/>
      <c r="S5" s="270"/>
      <c r="T5" s="268"/>
      <c r="U5" s="268"/>
      <c r="V5" s="268"/>
      <c r="W5" s="270"/>
      <c r="X5" s="290"/>
      <c r="Y5" s="291"/>
      <c r="Z5" s="270"/>
      <c r="AA5" s="268"/>
      <c r="AB5" s="271"/>
      <c r="AC5" s="268"/>
      <c r="AD5" s="271"/>
      <c r="AE5" s="268"/>
      <c r="AF5" s="44" t="s">
        <v>106</v>
      </c>
      <c r="AG5" s="227" t="s">
        <v>107</v>
      </c>
      <c r="AH5" s="227" t="s">
        <v>108</v>
      </c>
      <c r="AI5" s="288"/>
      <c r="AJ5" s="288"/>
      <c r="AK5" s="288"/>
      <c r="AL5" s="288"/>
      <c r="AM5" s="301"/>
      <c r="AN5" s="286"/>
      <c r="AO5" s="286"/>
      <c r="AP5" s="286"/>
      <c r="AQ5" s="286"/>
      <c r="AR5" s="269"/>
      <c r="AS5" s="304"/>
      <c r="AT5" s="228" t="s">
        <v>182</v>
      </c>
      <c r="AU5" s="228" t="s">
        <v>183</v>
      </c>
      <c r="AV5" s="229" t="s">
        <v>184</v>
      </c>
      <c r="AW5" s="229" t="s">
        <v>184</v>
      </c>
      <c r="AX5" s="230" t="s">
        <v>173</v>
      </c>
      <c r="AY5" s="230" t="s">
        <v>173</v>
      </c>
      <c r="AZ5" s="320"/>
      <c r="BA5" s="269"/>
      <c r="BB5" s="267"/>
      <c r="BC5" s="267"/>
      <c r="BD5" s="307"/>
      <c r="BE5" s="310"/>
      <c r="BF5" s="267"/>
    </row>
    <row r="6" spans="1:58" ht="12.75" customHeight="1" x14ac:dyDescent="0.2">
      <c r="A6" s="117">
        <f>+[3]Report1!A9</f>
        <v>45962</v>
      </c>
      <c r="B6" s="118" t="s">
        <v>213</v>
      </c>
      <c r="C6" s="119">
        <f>(M6*E6*O6*Q6)/100000000</f>
        <v>0</v>
      </c>
      <c r="D6" s="118" t="s">
        <v>177</v>
      </c>
      <c r="E6" s="37">
        <v>12</v>
      </c>
      <c r="F6" s="37">
        <v>1</v>
      </c>
      <c r="G6" s="120">
        <v>1230</v>
      </c>
      <c r="H6" s="121">
        <f>+N6</f>
        <v>0.23417344173441734</v>
      </c>
      <c r="I6" s="45">
        <v>0.88</v>
      </c>
      <c r="J6" s="46">
        <f>E6*G6*(1-H6)*1440/1000000*2.74</f>
        <v>44.599484159999996</v>
      </c>
      <c r="K6" s="46">
        <f>(IF(G6&lt;L6,L6,G6)*(1-IF(H6&lt;N6,H6,N6))*E6*O6*Q6)/100000000</f>
        <v>0</v>
      </c>
      <c r="L6" s="122">
        <v>1230</v>
      </c>
      <c r="M6" s="122">
        <v>941.9666666666667</v>
      </c>
      <c r="N6" s="47">
        <f>1-(M6/L6)</f>
        <v>0.23417344173441734</v>
      </c>
      <c r="O6" s="48">
        <f>+'[3]Trim Rwd'!H4</f>
        <v>266</v>
      </c>
      <c r="P6" s="49">
        <f>O6*(Q6-R6-S6)</f>
        <v>0</v>
      </c>
      <c r="Q6" s="48">
        <f>1440-1440</f>
        <v>0</v>
      </c>
      <c r="R6" s="123">
        <f>1440-1440</f>
        <v>0</v>
      </c>
      <c r="S6" s="123">
        <v>0</v>
      </c>
      <c r="T6" s="50">
        <f>E6*M6*O6*Q6/100000000</f>
        <v>0</v>
      </c>
      <c r="U6" s="50">
        <f>E6*M6*O6*(Q6-R6-S6)/100000000</f>
        <v>0</v>
      </c>
      <c r="V6" s="50">
        <f>E6*G6*(1-N6)*O6/100*(R6+S6)/1000000</f>
        <v>0</v>
      </c>
      <c r="W6" s="50">
        <f>+'[3]1'!C34/1000</f>
        <v>0</v>
      </c>
      <c r="X6" s="51" t="e">
        <f>SUM(W6:W10)/SUM(K6:K10)</f>
        <v>#DIV/0!</v>
      </c>
      <c r="Y6" s="52">
        <v>0</v>
      </c>
      <c r="Z6" s="50">
        <f>+'[3]1'!D25/1000</f>
        <v>0</v>
      </c>
      <c r="AA6" s="53">
        <f>SUM(U6:U10)-SUM(W6:W10)-SUM(Z6:Z10)-SUM(Y6:Y10)</f>
        <v>0</v>
      </c>
      <c r="AB6" s="53">
        <f>(SUM(K6:K10)-SUM(W6:W10)-SUM(Y6:Y10)-SUM(Z6:Z10)-SUM(AC6:AC10)-SUM(V6:V10))-AA6</f>
        <v>0</v>
      </c>
      <c r="AC6" s="50">
        <f>K6-T6</f>
        <v>0</v>
      </c>
      <c r="AD6" s="50">
        <f>+AM6+BA6</f>
        <v>0</v>
      </c>
      <c r="AE6" s="101" t="s">
        <v>110</v>
      </c>
      <c r="AF6" s="50">
        <v>0</v>
      </c>
      <c r="AG6" s="50"/>
      <c r="AH6" s="50"/>
      <c r="AI6" s="54"/>
      <c r="AJ6" s="50"/>
      <c r="AK6" s="50"/>
      <c r="AL6" s="50"/>
      <c r="AM6" s="50">
        <f t="shared" ref="AM6:AM16" si="0">SUM(AF6:AL6)+AT6+AV6+AX6</f>
        <v>0</v>
      </c>
      <c r="AN6" s="50"/>
      <c r="AO6" s="50"/>
      <c r="AP6" s="50"/>
      <c r="AQ6" s="50"/>
      <c r="AR6" s="50">
        <f>SUM(AN6:AQ6)</f>
        <v>0</v>
      </c>
      <c r="AS6" s="50"/>
      <c r="AT6" s="50"/>
      <c r="AU6" s="50"/>
      <c r="AV6" s="50"/>
      <c r="AW6" s="50"/>
      <c r="AX6" s="50"/>
      <c r="AY6" s="50"/>
      <c r="AZ6" s="50"/>
      <c r="BA6" s="50">
        <f>+AR6+AS6+AU6+AW6+AY6+AZ6</f>
        <v>0</v>
      </c>
      <c r="BB6" s="124">
        <v>0</v>
      </c>
      <c r="BC6" s="116"/>
      <c r="BD6" s="116"/>
      <c r="BE6" s="124"/>
      <c r="BF6" s="116"/>
    </row>
    <row r="7" spans="1:58" ht="12.95" customHeight="1" x14ac:dyDescent="0.2">
      <c r="A7" s="117"/>
      <c r="B7" s="118"/>
      <c r="C7" s="119"/>
      <c r="D7" s="118"/>
      <c r="E7" s="37"/>
      <c r="F7" s="37"/>
      <c r="G7" s="120"/>
      <c r="H7" s="121"/>
      <c r="I7" s="45"/>
      <c r="J7" s="46"/>
      <c r="K7" s="46"/>
      <c r="L7" s="122"/>
      <c r="M7" s="122"/>
      <c r="N7" s="47"/>
      <c r="O7" s="48"/>
      <c r="P7" s="49"/>
      <c r="Q7" s="48"/>
      <c r="R7" s="123"/>
      <c r="S7" s="123"/>
      <c r="T7" s="50"/>
      <c r="U7" s="50"/>
      <c r="V7" s="50"/>
      <c r="W7" s="50"/>
      <c r="X7" s="55"/>
      <c r="Y7" s="52"/>
      <c r="Z7" s="50"/>
      <c r="AA7" s="50"/>
      <c r="AB7" s="50"/>
      <c r="AC7" s="50"/>
      <c r="AD7" s="50">
        <f>+AM7+BA7</f>
        <v>0</v>
      </c>
      <c r="AE7" s="101" t="s">
        <v>111</v>
      </c>
      <c r="AF7" s="50"/>
      <c r="AG7" s="50">
        <v>0</v>
      </c>
      <c r="AH7" s="50"/>
      <c r="AI7" s="54"/>
      <c r="AJ7" s="50"/>
      <c r="AK7" s="50"/>
      <c r="AL7" s="50"/>
      <c r="AM7" s="50">
        <f t="shared" si="0"/>
        <v>0</v>
      </c>
      <c r="AN7" s="125"/>
      <c r="AO7" s="50"/>
      <c r="AP7" s="50"/>
      <c r="AQ7" s="50"/>
      <c r="AR7" s="50">
        <f t="shared" ref="AR7:AR10" si="1">SUM(AN7:AQ7)</f>
        <v>0</v>
      </c>
      <c r="AS7" s="50"/>
      <c r="AT7" s="50"/>
      <c r="AU7" s="50"/>
      <c r="AV7" s="50"/>
      <c r="AW7" s="50"/>
      <c r="AX7" s="50"/>
      <c r="AY7" s="50"/>
      <c r="AZ7" s="50"/>
      <c r="BA7" s="50">
        <f>+AR7+AS7+AU7+AW7+AY7+AZ7</f>
        <v>0</v>
      </c>
      <c r="BB7" s="126"/>
      <c r="BC7" s="116">
        <v>0</v>
      </c>
      <c r="BD7" s="116"/>
      <c r="BE7" s="126"/>
      <c r="BF7" s="116"/>
    </row>
    <row r="8" spans="1:58" ht="12.95" customHeight="1" x14ac:dyDescent="0.2">
      <c r="A8" s="117"/>
      <c r="B8" s="118"/>
      <c r="C8" s="119"/>
      <c r="D8" s="118"/>
      <c r="E8" s="37"/>
      <c r="F8" s="37"/>
      <c r="G8" s="127"/>
      <c r="H8" s="121"/>
      <c r="I8" s="45"/>
      <c r="J8" s="46"/>
      <c r="K8" s="46"/>
      <c r="L8" s="122"/>
      <c r="M8" s="122"/>
      <c r="N8" s="47"/>
      <c r="O8" s="48"/>
      <c r="P8" s="49"/>
      <c r="Q8" s="48"/>
      <c r="R8" s="123"/>
      <c r="S8" s="123"/>
      <c r="T8" s="50"/>
      <c r="U8" s="50"/>
      <c r="V8" s="50"/>
      <c r="W8" s="50"/>
      <c r="X8" s="55"/>
      <c r="Y8" s="52"/>
      <c r="Z8" s="50"/>
      <c r="AA8" s="50"/>
      <c r="AB8" s="50"/>
      <c r="AC8" s="50"/>
      <c r="AD8" s="50">
        <f>+AM8+BA8</f>
        <v>0</v>
      </c>
      <c r="AE8" s="101" t="s">
        <v>214</v>
      </c>
      <c r="AF8" s="124"/>
      <c r="AG8" s="124"/>
      <c r="AH8" s="124">
        <v>0</v>
      </c>
      <c r="AJ8" s="50"/>
      <c r="AK8" s="50"/>
      <c r="AL8" s="50"/>
      <c r="AM8" s="50">
        <f t="shared" si="0"/>
        <v>0</v>
      </c>
      <c r="AN8" s="50"/>
      <c r="AO8" s="50"/>
      <c r="AP8" s="50"/>
      <c r="AQ8" s="50"/>
      <c r="AR8" s="50">
        <f t="shared" si="1"/>
        <v>0</v>
      </c>
      <c r="AS8" s="50"/>
      <c r="AT8" s="50"/>
      <c r="AU8" s="50"/>
      <c r="AV8" s="50"/>
      <c r="AW8" s="50"/>
      <c r="AX8" s="50"/>
      <c r="AY8" s="50"/>
      <c r="AZ8" s="50"/>
      <c r="BA8" s="50">
        <f>+AR8+AS8+AU8+AW8+AY8+AZ8</f>
        <v>0</v>
      </c>
      <c r="BB8" s="124"/>
      <c r="BC8" s="146"/>
      <c r="BD8" s="146"/>
      <c r="BE8" s="124"/>
      <c r="BF8" s="146"/>
    </row>
    <row r="9" spans="1:58" ht="12.95" customHeight="1" x14ac:dyDescent="0.2">
      <c r="A9" s="117"/>
      <c r="B9" s="118"/>
      <c r="C9" s="119"/>
      <c r="D9" s="118"/>
      <c r="E9" s="37"/>
      <c r="F9" s="37"/>
      <c r="G9" s="127"/>
      <c r="H9" s="121"/>
      <c r="I9" s="45"/>
      <c r="J9" s="46"/>
      <c r="K9" s="46"/>
      <c r="L9" s="122"/>
      <c r="M9" s="122"/>
      <c r="N9" s="47"/>
      <c r="O9" s="48"/>
      <c r="P9" s="49"/>
      <c r="Q9" s="56"/>
      <c r="R9" s="123"/>
      <c r="S9" s="123"/>
      <c r="T9" s="50"/>
      <c r="U9" s="50"/>
      <c r="V9" s="50"/>
      <c r="W9" s="50"/>
      <c r="X9" s="55"/>
      <c r="Y9" s="52"/>
      <c r="Z9" s="50"/>
      <c r="AA9" s="50"/>
      <c r="AB9" s="50"/>
      <c r="AC9" s="50"/>
      <c r="AD9" s="50">
        <f>+AM9+BA9</f>
        <v>0</v>
      </c>
      <c r="AE9" s="148" t="s">
        <v>162</v>
      </c>
      <c r="AF9" s="50"/>
      <c r="AG9" s="50"/>
      <c r="AH9" s="50"/>
      <c r="AI9" s="54">
        <v>0</v>
      </c>
      <c r="AJ9" s="50"/>
      <c r="AK9" s="50"/>
      <c r="AL9" s="50"/>
      <c r="AM9" s="50">
        <f t="shared" si="0"/>
        <v>0</v>
      </c>
      <c r="AN9" s="50"/>
      <c r="AO9" s="50"/>
      <c r="AP9" s="50"/>
      <c r="AQ9" s="50"/>
      <c r="AR9" s="50">
        <f t="shared" si="1"/>
        <v>0</v>
      </c>
      <c r="AS9" s="50"/>
      <c r="AT9" s="50"/>
      <c r="AU9" s="50"/>
      <c r="AV9" s="50"/>
      <c r="AW9" s="50"/>
      <c r="AX9" s="50"/>
      <c r="AY9" s="50"/>
      <c r="AZ9" s="50"/>
      <c r="BA9" s="50">
        <f>+AR9+AS9+AU9+AW9+AY9+AZ9</f>
        <v>0</v>
      </c>
      <c r="BB9" s="126"/>
      <c r="BC9" s="116"/>
      <c r="BD9" s="116"/>
      <c r="BE9" s="126"/>
      <c r="BF9" s="116"/>
    </row>
    <row r="10" spans="1:58" ht="12.95" customHeight="1" x14ac:dyDescent="0.2">
      <c r="A10" s="117"/>
      <c r="B10" s="118"/>
      <c r="C10" s="119"/>
      <c r="D10" s="118"/>
      <c r="E10" s="37"/>
      <c r="F10" s="37"/>
      <c r="G10" s="127"/>
      <c r="H10" s="121"/>
      <c r="I10" s="45"/>
      <c r="J10" s="46"/>
      <c r="K10" s="46"/>
      <c r="L10" s="122"/>
      <c r="M10" s="122"/>
      <c r="N10" s="47"/>
      <c r="O10" s="48"/>
      <c r="P10" s="49"/>
      <c r="Q10" s="56"/>
      <c r="R10" s="123"/>
      <c r="S10" s="123"/>
      <c r="T10" s="50"/>
      <c r="U10" s="50"/>
      <c r="V10" s="50"/>
      <c r="W10" s="50"/>
      <c r="X10" s="55"/>
      <c r="Y10" s="52"/>
      <c r="Z10" s="50"/>
      <c r="AA10" s="50"/>
      <c r="AB10" s="50"/>
      <c r="AC10" s="50"/>
      <c r="AD10" s="50">
        <f>+AM10+BA10</f>
        <v>0</v>
      </c>
      <c r="AE10" s="148" t="s">
        <v>246</v>
      </c>
      <c r="AF10" s="50"/>
      <c r="AG10" s="50"/>
      <c r="AH10" s="50"/>
      <c r="AI10" s="54"/>
      <c r="AJ10" s="50"/>
      <c r="AK10" s="50"/>
      <c r="AL10" s="50"/>
      <c r="AM10" s="50">
        <f t="shared" si="0"/>
        <v>0</v>
      </c>
      <c r="AN10" s="50"/>
      <c r="AO10" s="50"/>
      <c r="AP10" s="50"/>
      <c r="AQ10" s="50"/>
      <c r="AR10" s="50">
        <f t="shared" si="1"/>
        <v>0</v>
      </c>
      <c r="AS10" s="50"/>
      <c r="AT10" s="50"/>
      <c r="AU10" s="50"/>
      <c r="AV10" s="50"/>
      <c r="AW10" s="50"/>
      <c r="AX10" s="50"/>
      <c r="AY10" s="50"/>
      <c r="AZ10" s="50">
        <f>1440-1440</f>
        <v>0</v>
      </c>
      <c r="BA10" s="50">
        <f>+AR10+AS10+AU10+AW10+AY10+AZ10</f>
        <v>0</v>
      </c>
      <c r="BB10" s="126"/>
      <c r="BC10" s="116"/>
      <c r="BD10" s="116"/>
      <c r="BE10" s="124"/>
      <c r="BF10" s="116"/>
    </row>
    <row r="11" spans="1:58" ht="12.95" customHeight="1" x14ac:dyDescent="0.2">
      <c r="A11" s="117"/>
      <c r="B11" s="118"/>
      <c r="C11" s="119"/>
      <c r="D11" s="118"/>
      <c r="E11" s="37"/>
      <c r="F11" s="37"/>
      <c r="G11" s="120"/>
      <c r="H11" s="121"/>
      <c r="I11" s="45"/>
      <c r="J11" s="46"/>
      <c r="K11" s="46"/>
      <c r="L11" s="122"/>
      <c r="M11" s="122"/>
      <c r="N11" s="47"/>
      <c r="O11" s="48"/>
      <c r="P11" s="49"/>
      <c r="Q11" s="48"/>
      <c r="R11" s="123"/>
      <c r="S11" s="123"/>
      <c r="T11" s="50"/>
      <c r="U11" s="50"/>
      <c r="V11" s="50"/>
      <c r="W11" s="50"/>
      <c r="X11" s="51"/>
      <c r="Y11" s="52"/>
      <c r="Z11" s="50"/>
      <c r="AA11" s="53"/>
      <c r="AB11" s="53"/>
      <c r="AC11" s="50"/>
      <c r="AD11" s="50"/>
      <c r="AE11" s="101"/>
      <c r="AF11" s="50"/>
      <c r="AG11" s="50"/>
      <c r="AH11" s="50"/>
      <c r="AI11" s="54"/>
      <c r="AJ11" s="50"/>
      <c r="AK11" s="50"/>
      <c r="AL11" s="50"/>
      <c r="AM11" s="50">
        <f t="shared" si="0"/>
        <v>0</v>
      </c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124"/>
      <c r="BC11" s="116"/>
      <c r="BD11" s="116"/>
      <c r="BE11" s="126"/>
      <c r="BF11" s="116"/>
    </row>
    <row r="12" spans="1:58" ht="12.75" customHeight="1" x14ac:dyDescent="0.2">
      <c r="A12" s="117">
        <v>45963</v>
      </c>
      <c r="B12" s="118" t="s">
        <v>213</v>
      </c>
      <c r="C12" s="119">
        <f>(M12*E12*O12*Q12)/100000000</f>
        <v>0</v>
      </c>
      <c r="D12" s="118" t="s">
        <v>177</v>
      </c>
      <c r="E12" s="37">
        <v>12</v>
      </c>
      <c r="F12" s="37">
        <v>1</v>
      </c>
      <c r="G12" s="120">
        <v>1230</v>
      </c>
      <c r="H12" s="121">
        <f>+N12</f>
        <v>0.23417344173441734</v>
      </c>
      <c r="I12" s="45">
        <v>0.88</v>
      </c>
      <c r="J12" s="46">
        <f>E12*G12*(1-H12)*1440/1000000*2.74</f>
        <v>44.599484159999996</v>
      </c>
      <c r="K12" s="46">
        <f>(IF(G12&lt;L12,L12,G12)*(1-IF(H12&lt;N12,H12,N12))*E12*O12*Q12)/100000000</f>
        <v>0</v>
      </c>
      <c r="L12" s="122">
        <v>1230</v>
      </c>
      <c r="M12" s="122">
        <v>941.9666666666667</v>
      </c>
      <c r="N12" s="47">
        <f>1-(M12/L12)</f>
        <v>0.23417344173441734</v>
      </c>
      <c r="O12" s="48">
        <f>+'[3]Trim Rwd'!H6</f>
        <v>266</v>
      </c>
      <c r="P12" s="49">
        <f>O12*(Q12-R12-S12)</f>
        <v>0</v>
      </c>
      <c r="Q12" s="48">
        <f>1440-1440</f>
        <v>0</v>
      </c>
      <c r="R12" s="123">
        <f>1440-1440</f>
        <v>0</v>
      </c>
      <c r="S12" s="123">
        <v>0</v>
      </c>
      <c r="T12" s="50">
        <f>E12*M12*O12*Q12/100000000</f>
        <v>0</v>
      </c>
      <c r="U12" s="50">
        <f>E12*M12*O12*(Q12-R12-S12)/100000000</f>
        <v>0</v>
      </c>
      <c r="V12" s="50">
        <f>E12*G12*(1-N12)*O12/100*(R12+S12)/1000000</f>
        <v>0</v>
      </c>
      <c r="W12" s="50">
        <f>+'[3]1'!C40/1000</f>
        <v>0</v>
      </c>
      <c r="X12" s="51" t="e">
        <f>SUM(W12:W16)/SUM(K12:K16)</f>
        <v>#DIV/0!</v>
      </c>
      <c r="Y12" s="52">
        <v>0</v>
      </c>
      <c r="Z12" s="50">
        <f>+'[3]1'!D31/1000</f>
        <v>0</v>
      </c>
      <c r="AA12" s="53">
        <f>SUM(U12:U16)-SUM(W12:W16)-SUM(Z12:Z16)-SUM(Y12:Y16)</f>
        <v>0</v>
      </c>
      <c r="AB12" s="53">
        <f>(SUM(K12:K16)-SUM(W12:W16)-SUM(Y12:Y16)-SUM(Z12:Z16)-SUM(AC12:AC16)-SUM(V12:V16))-AA12</f>
        <v>0</v>
      </c>
      <c r="AC12" s="50">
        <f>K12-T12</f>
        <v>0</v>
      </c>
      <c r="AD12" s="50">
        <f>+AM12+BA12</f>
        <v>0</v>
      </c>
      <c r="AE12" s="101" t="s">
        <v>110</v>
      </c>
      <c r="AF12" s="50">
        <v>0</v>
      </c>
      <c r="AG12" s="50"/>
      <c r="AH12" s="50"/>
      <c r="AI12" s="54"/>
      <c r="AJ12" s="50"/>
      <c r="AK12" s="50"/>
      <c r="AL12" s="50"/>
      <c r="AM12" s="50">
        <f t="shared" si="0"/>
        <v>0</v>
      </c>
      <c r="AN12" s="50"/>
      <c r="AO12" s="50"/>
      <c r="AP12" s="50"/>
      <c r="AQ12" s="50"/>
      <c r="AR12" s="50">
        <f>SUM(AN12:AQ12)</f>
        <v>0</v>
      </c>
      <c r="AS12" s="50"/>
      <c r="AT12" s="50"/>
      <c r="AU12" s="50"/>
      <c r="AV12" s="50"/>
      <c r="AW12" s="50"/>
      <c r="AX12" s="50"/>
      <c r="AY12" s="50"/>
      <c r="AZ12" s="50"/>
      <c r="BA12" s="50">
        <f>+AR12+AS12+AU12+AW12+AY12+AZ12</f>
        <v>0</v>
      </c>
      <c r="BB12" s="124">
        <v>0</v>
      </c>
      <c r="BC12" s="116"/>
      <c r="BD12" s="116"/>
      <c r="BE12" s="124"/>
      <c r="BF12" s="116"/>
    </row>
    <row r="13" spans="1:58" ht="12.95" customHeight="1" x14ac:dyDescent="0.2">
      <c r="A13" s="117"/>
      <c r="B13" s="118"/>
      <c r="C13" s="119"/>
      <c r="D13" s="118"/>
      <c r="E13" s="37"/>
      <c r="F13" s="37"/>
      <c r="G13" s="120"/>
      <c r="H13" s="121"/>
      <c r="I13" s="45"/>
      <c r="J13" s="46"/>
      <c r="K13" s="46"/>
      <c r="L13" s="122"/>
      <c r="M13" s="122"/>
      <c r="N13" s="47"/>
      <c r="O13" s="48"/>
      <c r="P13" s="49"/>
      <c r="Q13" s="48"/>
      <c r="R13" s="123"/>
      <c r="S13" s="123"/>
      <c r="T13" s="50"/>
      <c r="U13" s="50"/>
      <c r="V13" s="50"/>
      <c r="W13" s="50"/>
      <c r="X13" s="55"/>
      <c r="Y13" s="52"/>
      <c r="Z13" s="50"/>
      <c r="AA13" s="50"/>
      <c r="AB13" s="50"/>
      <c r="AC13" s="50"/>
      <c r="AD13" s="50">
        <f>+AM13+BA13</f>
        <v>0</v>
      </c>
      <c r="AE13" s="101" t="s">
        <v>111</v>
      </c>
      <c r="AF13" s="50"/>
      <c r="AG13" s="50">
        <v>0</v>
      </c>
      <c r="AH13" s="50"/>
      <c r="AI13" s="54"/>
      <c r="AJ13" s="50"/>
      <c r="AK13" s="50"/>
      <c r="AL13" s="50"/>
      <c r="AM13" s="50">
        <f t="shared" si="0"/>
        <v>0</v>
      </c>
      <c r="AN13" s="125"/>
      <c r="AO13" s="50"/>
      <c r="AP13" s="50"/>
      <c r="AQ13" s="50"/>
      <c r="AR13" s="50">
        <f t="shared" ref="AR13:AR16" si="2">SUM(AN13:AQ13)</f>
        <v>0</v>
      </c>
      <c r="AS13" s="50"/>
      <c r="AT13" s="50"/>
      <c r="AU13" s="50"/>
      <c r="AV13" s="50"/>
      <c r="AW13" s="50"/>
      <c r="AX13" s="50"/>
      <c r="AY13" s="50"/>
      <c r="AZ13" s="50"/>
      <c r="BA13" s="50">
        <f>+AR13+AS13+AU13+AW13+AY13+AZ13</f>
        <v>0</v>
      </c>
      <c r="BB13" s="126"/>
      <c r="BC13" s="116">
        <v>0</v>
      </c>
      <c r="BD13" s="116"/>
      <c r="BE13" s="126"/>
      <c r="BF13" s="116"/>
    </row>
    <row r="14" spans="1:58" ht="12.95" customHeight="1" x14ac:dyDescent="0.2">
      <c r="A14" s="117"/>
      <c r="B14" s="118"/>
      <c r="C14" s="119"/>
      <c r="D14" s="118"/>
      <c r="E14" s="37"/>
      <c r="F14" s="37"/>
      <c r="G14" s="127"/>
      <c r="H14" s="121"/>
      <c r="I14" s="45"/>
      <c r="J14" s="46"/>
      <c r="K14" s="46"/>
      <c r="L14" s="122"/>
      <c r="M14" s="122"/>
      <c r="N14" s="47"/>
      <c r="O14" s="48"/>
      <c r="P14" s="49"/>
      <c r="Q14" s="48"/>
      <c r="R14" s="123"/>
      <c r="S14" s="123"/>
      <c r="T14" s="50"/>
      <c r="U14" s="50"/>
      <c r="V14" s="50"/>
      <c r="W14" s="50"/>
      <c r="X14" s="55"/>
      <c r="Y14" s="52"/>
      <c r="Z14" s="50"/>
      <c r="AA14" s="50"/>
      <c r="AB14" s="50"/>
      <c r="AC14" s="50"/>
      <c r="AD14" s="50">
        <f>+AM14+BA14</f>
        <v>0</v>
      </c>
      <c r="AE14" s="101" t="s">
        <v>214</v>
      </c>
      <c r="AF14" s="124"/>
      <c r="AG14" s="124"/>
      <c r="AH14" s="124">
        <v>0</v>
      </c>
      <c r="AJ14" s="50"/>
      <c r="AK14" s="50"/>
      <c r="AL14" s="50"/>
      <c r="AM14" s="50">
        <f t="shared" si="0"/>
        <v>0</v>
      </c>
      <c r="AN14" s="50"/>
      <c r="AO14" s="50"/>
      <c r="AP14" s="50"/>
      <c r="AQ14" s="50"/>
      <c r="AR14" s="50">
        <f t="shared" si="2"/>
        <v>0</v>
      </c>
      <c r="AS14" s="50"/>
      <c r="AT14" s="50"/>
      <c r="AU14" s="50"/>
      <c r="AV14" s="50"/>
      <c r="AW14" s="50"/>
      <c r="AX14" s="50"/>
      <c r="AY14" s="50"/>
      <c r="AZ14" s="50"/>
      <c r="BA14" s="50">
        <f>+AR14+AS14+AU14+AW14+AY14+AZ14</f>
        <v>0</v>
      </c>
      <c r="BB14" s="124"/>
      <c r="BC14" s="146"/>
      <c r="BD14" s="146"/>
      <c r="BE14" s="124"/>
      <c r="BF14" s="146"/>
    </row>
    <row r="15" spans="1:58" ht="12.95" customHeight="1" x14ac:dyDescent="0.2">
      <c r="A15" s="117"/>
      <c r="B15" s="118"/>
      <c r="C15" s="119"/>
      <c r="D15" s="118"/>
      <c r="E15" s="37"/>
      <c r="F15" s="37"/>
      <c r="G15" s="127"/>
      <c r="H15" s="121"/>
      <c r="I15" s="45"/>
      <c r="J15" s="46"/>
      <c r="K15" s="46"/>
      <c r="L15" s="122"/>
      <c r="M15" s="122"/>
      <c r="N15" s="47"/>
      <c r="O15" s="48"/>
      <c r="P15" s="49"/>
      <c r="Q15" s="56"/>
      <c r="R15" s="123"/>
      <c r="S15" s="123"/>
      <c r="T15" s="50"/>
      <c r="U15" s="50"/>
      <c r="V15" s="50"/>
      <c r="W15" s="50"/>
      <c r="X15" s="55"/>
      <c r="Y15" s="52"/>
      <c r="Z15" s="50"/>
      <c r="AA15" s="50"/>
      <c r="AB15" s="50"/>
      <c r="AC15" s="50"/>
      <c r="AD15" s="50">
        <f>+AM15+BA15</f>
        <v>0</v>
      </c>
      <c r="AE15" s="148" t="s">
        <v>162</v>
      </c>
      <c r="AF15" s="50"/>
      <c r="AG15" s="50"/>
      <c r="AH15" s="50"/>
      <c r="AI15" s="54">
        <v>0</v>
      </c>
      <c r="AJ15" s="50"/>
      <c r="AK15" s="50"/>
      <c r="AL15" s="50"/>
      <c r="AM15" s="50">
        <f t="shared" si="0"/>
        <v>0</v>
      </c>
      <c r="AN15" s="50"/>
      <c r="AO15" s="50"/>
      <c r="AP15" s="50"/>
      <c r="AQ15" s="50"/>
      <c r="AR15" s="50">
        <f t="shared" si="2"/>
        <v>0</v>
      </c>
      <c r="AS15" s="50"/>
      <c r="AT15" s="50"/>
      <c r="AU15" s="50"/>
      <c r="AV15" s="50"/>
      <c r="AW15" s="50"/>
      <c r="AX15" s="50"/>
      <c r="AY15" s="50"/>
      <c r="AZ15" s="50"/>
      <c r="BA15" s="50">
        <f>+AR15+AS15+AU15+AW15+AY15+AZ15</f>
        <v>0</v>
      </c>
      <c r="BB15" s="126"/>
      <c r="BC15" s="116"/>
      <c r="BD15" s="116"/>
      <c r="BE15" s="126"/>
      <c r="BF15" s="116"/>
    </row>
    <row r="16" spans="1:58" ht="12.95" customHeight="1" x14ac:dyDescent="0.2">
      <c r="A16" s="117"/>
      <c r="B16" s="118"/>
      <c r="C16" s="119"/>
      <c r="D16" s="118"/>
      <c r="E16" s="37"/>
      <c r="F16" s="37"/>
      <c r="G16" s="127"/>
      <c r="H16" s="121"/>
      <c r="I16" s="45"/>
      <c r="J16" s="46"/>
      <c r="K16" s="46"/>
      <c r="L16" s="122"/>
      <c r="M16" s="122"/>
      <c r="N16" s="47"/>
      <c r="O16" s="48"/>
      <c r="P16" s="49"/>
      <c r="Q16" s="56"/>
      <c r="R16" s="123"/>
      <c r="S16" s="123"/>
      <c r="T16" s="50"/>
      <c r="U16" s="50"/>
      <c r="V16" s="50"/>
      <c r="W16" s="50"/>
      <c r="X16" s="55"/>
      <c r="Y16" s="52"/>
      <c r="Z16" s="50"/>
      <c r="AA16" s="50"/>
      <c r="AB16" s="50"/>
      <c r="AC16" s="50"/>
      <c r="AD16" s="50">
        <f>+AM16+BA16</f>
        <v>0</v>
      </c>
      <c r="AE16" s="148" t="s">
        <v>246</v>
      </c>
      <c r="AF16" s="50"/>
      <c r="AG16" s="50"/>
      <c r="AH16" s="50"/>
      <c r="AI16" s="54"/>
      <c r="AJ16" s="50"/>
      <c r="AK16" s="50"/>
      <c r="AL16" s="50"/>
      <c r="AM16" s="50">
        <f t="shared" si="0"/>
        <v>0</v>
      </c>
      <c r="AN16" s="50"/>
      <c r="AO16" s="50"/>
      <c r="AP16" s="50"/>
      <c r="AQ16" s="50"/>
      <c r="AR16" s="50">
        <f t="shared" si="2"/>
        <v>0</v>
      </c>
      <c r="AS16" s="50"/>
      <c r="AT16" s="50"/>
      <c r="AU16" s="50"/>
      <c r="AV16" s="50"/>
      <c r="AW16" s="50"/>
      <c r="AX16" s="50"/>
      <c r="AY16" s="50"/>
      <c r="AZ16" s="50">
        <f>1440-1440</f>
        <v>0</v>
      </c>
      <c r="BA16" s="50">
        <f>+AR16+AS16+AU16+AW16+AY16+AZ16</f>
        <v>0</v>
      </c>
      <c r="BB16" s="126"/>
      <c r="BC16" s="116"/>
      <c r="BD16" s="116"/>
      <c r="BE16" s="124"/>
      <c r="BF16" s="116"/>
    </row>
    <row r="17" spans="1:58" ht="12.95" customHeight="1" x14ac:dyDescent="0.2">
      <c r="A17" s="117"/>
      <c r="B17" s="118"/>
      <c r="C17" s="119"/>
      <c r="D17" s="118"/>
      <c r="E17" s="37"/>
      <c r="F17" s="37"/>
      <c r="G17" s="120"/>
      <c r="H17" s="121"/>
      <c r="I17" s="45"/>
      <c r="J17" s="46"/>
      <c r="K17" s="46"/>
      <c r="L17" s="122"/>
      <c r="M17" s="122"/>
      <c r="N17" s="47"/>
      <c r="O17" s="48"/>
      <c r="P17" s="49"/>
      <c r="Q17" s="48"/>
      <c r="R17" s="123"/>
      <c r="S17" s="123"/>
      <c r="T17" s="50"/>
      <c r="U17" s="50"/>
      <c r="V17" s="50"/>
      <c r="W17" s="50"/>
      <c r="X17" s="51"/>
      <c r="Y17" s="52"/>
      <c r="Z17" s="50"/>
      <c r="AA17" s="53"/>
      <c r="AB17" s="53"/>
      <c r="AC17" s="50"/>
      <c r="AD17" s="50"/>
      <c r="AE17" s="101"/>
      <c r="AF17" s="50"/>
      <c r="AG17" s="50"/>
      <c r="AH17" s="50"/>
      <c r="AI17" s="54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124"/>
      <c r="BC17" s="116"/>
      <c r="BD17" s="116"/>
      <c r="BE17" s="126"/>
      <c r="BF17" s="116"/>
    </row>
    <row r="18" spans="1:58" ht="12.75" customHeight="1" x14ac:dyDescent="0.2">
      <c r="A18" s="117">
        <v>45964</v>
      </c>
      <c r="B18" s="118" t="s">
        <v>213</v>
      </c>
      <c r="C18" s="119">
        <f>(M18*E18*O18*Q18)/100000000</f>
        <v>0</v>
      </c>
      <c r="D18" s="118" t="s">
        <v>177</v>
      </c>
      <c r="E18" s="37">
        <v>12</v>
      </c>
      <c r="F18" s="37">
        <v>1</v>
      </c>
      <c r="G18" s="120">
        <v>1230</v>
      </c>
      <c r="H18" s="121">
        <f>+N18</f>
        <v>0.23417344173441734</v>
      </c>
      <c r="I18" s="45">
        <v>0.88</v>
      </c>
      <c r="J18" s="46">
        <f>E18*G18*(1-H18)*1440/1000000*2.74</f>
        <v>44.599484159999996</v>
      </c>
      <c r="K18" s="46">
        <f>(IF(G18&lt;L18,L18,G18)*(1-IF(H18&lt;N18,H18,N18))*E18*O18*Q18)/100000000</f>
        <v>0</v>
      </c>
      <c r="L18" s="122">
        <v>1230</v>
      </c>
      <c r="M18" s="122">
        <v>941.9666666666667</v>
      </c>
      <c r="N18" s="47">
        <f>1-(M18/L18)</f>
        <v>0.23417344173441734</v>
      </c>
      <c r="O18" s="48">
        <f>+'[3]Trim Rwd'!H8</f>
        <v>266</v>
      </c>
      <c r="P18" s="49">
        <f>O18*(Q18-R18-S18)</f>
        <v>0</v>
      </c>
      <c r="Q18" s="48">
        <f>1440-1440</f>
        <v>0</v>
      </c>
      <c r="R18" s="123">
        <f>1440-1440</f>
        <v>0</v>
      </c>
      <c r="S18" s="123">
        <v>0</v>
      </c>
      <c r="T18" s="50">
        <f>E18*M18*O18*Q18/100000000</f>
        <v>0</v>
      </c>
      <c r="U18" s="50">
        <f>E18*M18*O18*(Q18-R18-S18)/100000000</f>
        <v>0</v>
      </c>
      <c r="V18" s="50">
        <f>E18*G18*(1-N18)*O18/100*(R18+S18)/1000000</f>
        <v>0</v>
      </c>
      <c r="W18" s="50">
        <f>+'[3]1'!C46/1000</f>
        <v>0</v>
      </c>
      <c r="X18" s="51" t="e">
        <f>SUM(W18:W22)/SUM(K18:K22)</f>
        <v>#DIV/0!</v>
      </c>
      <c r="Y18" s="52">
        <v>0</v>
      </c>
      <c r="Z18" s="50">
        <v>0</v>
      </c>
      <c r="AA18" s="53">
        <f>SUM(U18:U22)-SUM(W18:W22)-SUM(Z18:Z22)-SUM(Y18:Y22)</f>
        <v>0</v>
      </c>
      <c r="AB18" s="53">
        <f>(SUM(K18:K22)-SUM(W18:W22)-SUM(Y18:Y22)-SUM(Z18:Z22)-SUM(AC18:AC22)-SUM(V18:V22))-AA18</f>
        <v>0</v>
      </c>
      <c r="AC18" s="50">
        <f>K18-T18</f>
        <v>0</v>
      </c>
      <c r="AD18" s="50">
        <f>+AM18+BA18</f>
        <v>0</v>
      </c>
      <c r="AE18" s="101" t="s">
        <v>110</v>
      </c>
      <c r="AF18" s="50">
        <v>0</v>
      </c>
      <c r="AG18" s="50"/>
      <c r="AH18" s="50"/>
      <c r="AI18" s="54"/>
      <c r="AJ18" s="50"/>
      <c r="AK18" s="50"/>
      <c r="AL18" s="50"/>
      <c r="AM18" s="50">
        <f t="shared" ref="AM18:AM22" si="3">SUM(AF18:AL18)+AT18+AV18+AX18</f>
        <v>0</v>
      </c>
      <c r="AN18" s="50"/>
      <c r="AO18" s="50"/>
      <c r="AP18" s="50"/>
      <c r="AQ18" s="50"/>
      <c r="AR18" s="50">
        <f>SUM(AN18:AQ18)</f>
        <v>0</v>
      </c>
      <c r="AS18" s="50"/>
      <c r="AT18" s="50"/>
      <c r="AU18" s="50"/>
      <c r="AV18" s="50"/>
      <c r="AW18" s="50"/>
      <c r="AX18" s="50"/>
      <c r="AY18" s="50"/>
      <c r="AZ18" s="50"/>
      <c r="BA18" s="50">
        <f>+AR18+AS18+AU18+AW18+AY18+AZ18</f>
        <v>0</v>
      </c>
      <c r="BB18" s="124">
        <v>0</v>
      </c>
      <c r="BC18" s="116"/>
      <c r="BD18" s="116"/>
      <c r="BE18" s="124"/>
      <c r="BF18" s="116"/>
    </row>
    <row r="19" spans="1:58" ht="12.95" customHeight="1" x14ac:dyDescent="0.2">
      <c r="A19" s="117"/>
      <c r="B19" s="118"/>
      <c r="C19" s="119"/>
      <c r="D19" s="118"/>
      <c r="E19" s="37"/>
      <c r="F19" s="37"/>
      <c r="G19" s="120"/>
      <c r="H19" s="121"/>
      <c r="I19" s="45"/>
      <c r="J19" s="46"/>
      <c r="K19" s="46"/>
      <c r="L19" s="122"/>
      <c r="M19" s="122"/>
      <c r="N19" s="47"/>
      <c r="O19" s="48"/>
      <c r="P19" s="49"/>
      <c r="Q19" s="48"/>
      <c r="R19" s="123"/>
      <c r="S19" s="123"/>
      <c r="T19" s="50"/>
      <c r="U19" s="50"/>
      <c r="V19" s="50"/>
      <c r="W19" s="50"/>
      <c r="X19" s="55"/>
      <c r="Y19" s="52"/>
      <c r="Z19" s="50"/>
      <c r="AA19" s="50"/>
      <c r="AB19" s="50"/>
      <c r="AC19" s="50"/>
      <c r="AD19" s="50">
        <f>+AM19+BA19</f>
        <v>0</v>
      </c>
      <c r="AE19" s="101" t="s">
        <v>111</v>
      </c>
      <c r="AF19" s="50"/>
      <c r="AG19" s="50">
        <v>0</v>
      </c>
      <c r="AH19" s="50"/>
      <c r="AI19" s="54"/>
      <c r="AJ19" s="50"/>
      <c r="AK19" s="50"/>
      <c r="AL19" s="50"/>
      <c r="AM19" s="50">
        <f t="shared" si="3"/>
        <v>0</v>
      </c>
      <c r="AN19" s="125"/>
      <c r="AO19" s="50"/>
      <c r="AP19" s="50"/>
      <c r="AQ19" s="50"/>
      <c r="AR19" s="50">
        <f t="shared" ref="AR19:AR22" si="4">SUM(AN19:AQ19)</f>
        <v>0</v>
      </c>
      <c r="AS19" s="50"/>
      <c r="AT19" s="50"/>
      <c r="AU19" s="50"/>
      <c r="AV19" s="50"/>
      <c r="AW19" s="50"/>
      <c r="AX19" s="50"/>
      <c r="AY19" s="50"/>
      <c r="AZ19" s="50"/>
      <c r="BA19" s="50">
        <f>+AR19+AS19+AU19+AW19+AY19+AZ19</f>
        <v>0</v>
      </c>
      <c r="BB19" s="126"/>
      <c r="BC19" s="116">
        <v>0</v>
      </c>
      <c r="BD19" s="116"/>
      <c r="BE19" s="126"/>
      <c r="BF19" s="116"/>
    </row>
    <row r="20" spans="1:58" ht="12.95" customHeight="1" x14ac:dyDescent="0.2">
      <c r="A20" s="117"/>
      <c r="B20" s="118"/>
      <c r="C20" s="119"/>
      <c r="D20" s="118"/>
      <c r="E20" s="37"/>
      <c r="F20" s="37"/>
      <c r="G20" s="127"/>
      <c r="H20" s="121"/>
      <c r="I20" s="45"/>
      <c r="J20" s="46"/>
      <c r="K20" s="46"/>
      <c r="L20" s="122"/>
      <c r="M20" s="122"/>
      <c r="N20" s="47"/>
      <c r="O20" s="48"/>
      <c r="P20" s="49"/>
      <c r="Q20" s="48"/>
      <c r="R20" s="123"/>
      <c r="S20" s="123"/>
      <c r="T20" s="50"/>
      <c r="U20" s="50"/>
      <c r="V20" s="50"/>
      <c r="W20" s="50"/>
      <c r="X20" s="55"/>
      <c r="Y20" s="52"/>
      <c r="Z20" s="50"/>
      <c r="AA20" s="50"/>
      <c r="AB20" s="50"/>
      <c r="AC20" s="50"/>
      <c r="AD20" s="50">
        <f>+AM20+BA20</f>
        <v>0</v>
      </c>
      <c r="AE20" s="101" t="s">
        <v>214</v>
      </c>
      <c r="AF20" s="124"/>
      <c r="AG20" s="124"/>
      <c r="AH20" s="124">
        <v>0</v>
      </c>
      <c r="AJ20" s="50"/>
      <c r="AK20" s="50"/>
      <c r="AL20" s="50"/>
      <c r="AM20" s="50">
        <f t="shared" si="3"/>
        <v>0</v>
      </c>
      <c r="AN20" s="50"/>
      <c r="AO20" s="50"/>
      <c r="AP20" s="50"/>
      <c r="AQ20" s="50"/>
      <c r="AR20" s="50">
        <f t="shared" si="4"/>
        <v>0</v>
      </c>
      <c r="AS20" s="50"/>
      <c r="AT20" s="50"/>
      <c r="AU20" s="50"/>
      <c r="AV20" s="50"/>
      <c r="AW20" s="50"/>
      <c r="AX20" s="50"/>
      <c r="AY20" s="50"/>
      <c r="AZ20" s="50"/>
      <c r="BA20" s="50">
        <f>+AR20+AS20+AU20+AW20+AY20+AZ20</f>
        <v>0</v>
      </c>
      <c r="BB20" s="124"/>
      <c r="BC20" s="146"/>
      <c r="BD20" s="146"/>
      <c r="BE20" s="124"/>
      <c r="BF20" s="146"/>
    </row>
    <row r="21" spans="1:58" ht="12.95" customHeight="1" x14ac:dyDescent="0.2">
      <c r="A21" s="117"/>
      <c r="B21" s="118"/>
      <c r="C21" s="119"/>
      <c r="D21" s="118"/>
      <c r="E21" s="37"/>
      <c r="F21" s="37"/>
      <c r="G21" s="127"/>
      <c r="H21" s="121"/>
      <c r="I21" s="45"/>
      <c r="J21" s="46"/>
      <c r="K21" s="46"/>
      <c r="L21" s="122"/>
      <c r="M21" s="122"/>
      <c r="N21" s="47"/>
      <c r="O21" s="48"/>
      <c r="P21" s="49"/>
      <c r="Q21" s="56"/>
      <c r="R21" s="123"/>
      <c r="S21" s="123"/>
      <c r="T21" s="50"/>
      <c r="U21" s="50"/>
      <c r="V21" s="50"/>
      <c r="W21" s="50"/>
      <c r="X21" s="55"/>
      <c r="Y21" s="52"/>
      <c r="Z21" s="50"/>
      <c r="AA21" s="50"/>
      <c r="AB21" s="50"/>
      <c r="AC21" s="50"/>
      <c r="AD21" s="50">
        <f>+AM21+BA21</f>
        <v>0</v>
      </c>
      <c r="AE21" s="148" t="s">
        <v>162</v>
      </c>
      <c r="AF21" s="50"/>
      <c r="AG21" s="50"/>
      <c r="AH21" s="50"/>
      <c r="AI21" s="54">
        <v>0</v>
      </c>
      <c r="AJ21" s="50"/>
      <c r="AK21" s="50"/>
      <c r="AL21" s="50"/>
      <c r="AM21" s="50">
        <f t="shared" si="3"/>
        <v>0</v>
      </c>
      <c r="AN21" s="50"/>
      <c r="AO21" s="50"/>
      <c r="AP21" s="50"/>
      <c r="AQ21" s="50"/>
      <c r="AR21" s="50">
        <f t="shared" si="4"/>
        <v>0</v>
      </c>
      <c r="AS21" s="50"/>
      <c r="AT21" s="50"/>
      <c r="AU21" s="50"/>
      <c r="AV21" s="50"/>
      <c r="AW21" s="50"/>
      <c r="AX21" s="50"/>
      <c r="AY21" s="50"/>
      <c r="AZ21" s="50"/>
      <c r="BA21" s="50">
        <f>+AR21+AS21+AU21+AW21+AY21+AZ21</f>
        <v>0</v>
      </c>
      <c r="BB21" s="126"/>
      <c r="BC21" s="116"/>
      <c r="BD21" s="116"/>
      <c r="BE21" s="126"/>
      <c r="BF21" s="116"/>
    </row>
    <row r="22" spans="1:58" ht="12.95" customHeight="1" x14ac:dyDescent="0.2">
      <c r="A22" s="117"/>
      <c r="B22" s="118"/>
      <c r="C22" s="119"/>
      <c r="D22" s="118"/>
      <c r="E22" s="37"/>
      <c r="F22" s="37"/>
      <c r="G22" s="127"/>
      <c r="H22" s="121"/>
      <c r="I22" s="45"/>
      <c r="J22" s="46"/>
      <c r="K22" s="46"/>
      <c r="L22" s="122"/>
      <c r="M22" s="122"/>
      <c r="N22" s="47"/>
      <c r="O22" s="48"/>
      <c r="P22" s="49"/>
      <c r="Q22" s="56"/>
      <c r="R22" s="123"/>
      <c r="S22" s="123"/>
      <c r="T22" s="50"/>
      <c r="U22" s="50"/>
      <c r="V22" s="50"/>
      <c r="W22" s="50"/>
      <c r="X22" s="55"/>
      <c r="Y22" s="52"/>
      <c r="Z22" s="50"/>
      <c r="AA22" s="50"/>
      <c r="AB22" s="50"/>
      <c r="AC22" s="50"/>
      <c r="AD22" s="50">
        <f>+AM22+BA22</f>
        <v>0</v>
      </c>
      <c r="AE22" s="148" t="s">
        <v>246</v>
      </c>
      <c r="AF22" s="50"/>
      <c r="AG22" s="50"/>
      <c r="AH22" s="50"/>
      <c r="AI22" s="54"/>
      <c r="AJ22" s="50"/>
      <c r="AK22" s="50"/>
      <c r="AL22" s="50"/>
      <c r="AM22" s="50">
        <f t="shared" si="3"/>
        <v>0</v>
      </c>
      <c r="AN22" s="50"/>
      <c r="AO22" s="50"/>
      <c r="AP22" s="50"/>
      <c r="AQ22" s="50"/>
      <c r="AR22" s="50">
        <f t="shared" si="4"/>
        <v>0</v>
      </c>
      <c r="AS22" s="50"/>
      <c r="AT22" s="50"/>
      <c r="AU22" s="50"/>
      <c r="AV22" s="50"/>
      <c r="AW22" s="50"/>
      <c r="AX22" s="50"/>
      <c r="AY22" s="50"/>
      <c r="AZ22" s="50">
        <f>1440-1440</f>
        <v>0</v>
      </c>
      <c r="BA22" s="50">
        <f>+AR22+AS22+AU22+AW22+AY22+AZ22</f>
        <v>0</v>
      </c>
      <c r="BB22" s="126"/>
      <c r="BC22" s="116"/>
      <c r="BD22" s="116"/>
      <c r="BE22" s="124"/>
      <c r="BF22" s="116"/>
    </row>
    <row r="23" spans="1:58" ht="12.75" customHeight="1" x14ac:dyDescent="0.2">
      <c r="A23" s="117"/>
      <c r="B23" s="118"/>
      <c r="C23" s="119"/>
      <c r="D23" s="118"/>
      <c r="E23" s="37"/>
      <c r="F23" s="37"/>
      <c r="G23" s="120"/>
      <c r="H23" s="121"/>
      <c r="I23" s="45"/>
      <c r="J23" s="46"/>
      <c r="K23" s="46"/>
      <c r="L23" s="122"/>
      <c r="M23" s="122"/>
      <c r="N23" s="47"/>
      <c r="O23" s="48"/>
      <c r="P23" s="49"/>
      <c r="Q23" s="48"/>
      <c r="R23" s="123"/>
      <c r="S23" s="123"/>
      <c r="T23" s="50"/>
      <c r="U23" s="50"/>
      <c r="V23" s="50"/>
      <c r="W23" s="50"/>
      <c r="X23" s="51"/>
      <c r="Y23" s="52"/>
      <c r="Z23" s="50"/>
      <c r="AA23" s="53"/>
      <c r="AB23" s="53"/>
      <c r="AC23" s="50"/>
      <c r="AD23" s="50"/>
      <c r="AE23" s="101"/>
      <c r="AF23" s="50"/>
      <c r="AG23" s="50"/>
      <c r="AH23" s="50"/>
      <c r="AI23" s="54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124"/>
      <c r="BC23" s="116"/>
      <c r="BD23" s="116"/>
      <c r="BE23" s="126"/>
      <c r="BF23" s="116"/>
    </row>
    <row r="24" spans="1:58" ht="12.75" customHeight="1" x14ac:dyDescent="0.2">
      <c r="A24" s="117">
        <v>45965</v>
      </c>
      <c r="B24" s="118" t="s">
        <v>213</v>
      </c>
      <c r="C24" s="119">
        <f>(M24*E24*O24*Q24)/100000000</f>
        <v>0</v>
      </c>
      <c r="D24" s="118" t="s">
        <v>177</v>
      </c>
      <c r="E24" s="37">
        <v>12</v>
      </c>
      <c r="F24" s="37">
        <v>1</v>
      </c>
      <c r="G24" s="120">
        <v>1230</v>
      </c>
      <c r="H24" s="121">
        <f>+N24</f>
        <v>0.23417344173441734</v>
      </c>
      <c r="I24" s="45">
        <v>0.88</v>
      </c>
      <c r="J24" s="46">
        <f>E24*G24*(1-H24)*1440/1000000*2.74</f>
        <v>44.599484159999996</v>
      </c>
      <c r="K24" s="46">
        <f>(IF(G24&lt;L24,L24,G24)*(1-IF(H24&lt;N24,H24,N24))*E24*O24*Q24)/100000000</f>
        <v>0</v>
      </c>
      <c r="L24" s="122">
        <v>1230</v>
      </c>
      <c r="M24" s="122">
        <v>941.9666666666667</v>
      </c>
      <c r="N24" s="47">
        <f>1-(M24/L24)</f>
        <v>0.23417344173441734</v>
      </c>
      <c r="O24" s="48">
        <f>+'[3]Trim Rwd'!H10</f>
        <v>266</v>
      </c>
      <c r="P24" s="49">
        <f>O24*(Q24-R24-S24)</f>
        <v>0</v>
      </c>
      <c r="Q24" s="48">
        <f>1440-1440</f>
        <v>0</v>
      </c>
      <c r="R24" s="123">
        <f>1440-1440</f>
        <v>0</v>
      </c>
      <c r="S24" s="123">
        <v>0</v>
      </c>
      <c r="T24" s="50">
        <f>E24*M24*O24*Q24/100000000</f>
        <v>0</v>
      </c>
      <c r="U24" s="50">
        <f>E24*M24*O24*(Q24-R24-S24)/100000000</f>
        <v>0</v>
      </c>
      <c r="V24" s="50">
        <f>E24*G24*(1-N24)*O24/100*(R24+S24)/1000000</f>
        <v>0</v>
      </c>
      <c r="W24" s="50">
        <v>0</v>
      </c>
      <c r="X24" s="51" t="e">
        <f>SUM(W24:W28)/SUM(K24:K28)</f>
        <v>#DIV/0!</v>
      </c>
      <c r="Y24" s="52">
        <v>0</v>
      </c>
      <c r="Z24" s="50">
        <v>0</v>
      </c>
      <c r="AA24" s="53">
        <f>SUM(U24:U28)-SUM(W24:W28)-SUM(Z24:Z28)-SUM(Y24:Y28)</f>
        <v>0</v>
      </c>
      <c r="AB24" s="53">
        <f>(SUM(K24:K28)-SUM(W24:W28)-SUM(Y24:Y28)-SUM(Z24:Z28)-SUM(AC24:AC28)-SUM(V24:V28))-AA24</f>
        <v>0</v>
      </c>
      <c r="AC24" s="50">
        <f>K24-T24</f>
        <v>0</v>
      </c>
      <c r="AD24" s="50">
        <f>+AM24+BA24</f>
        <v>0</v>
      </c>
      <c r="AE24" s="101" t="s">
        <v>110</v>
      </c>
      <c r="AF24" s="50">
        <v>0</v>
      </c>
      <c r="AG24" s="50"/>
      <c r="AH24" s="50"/>
      <c r="AI24" s="54"/>
      <c r="AJ24" s="50"/>
      <c r="AK24" s="50"/>
      <c r="AL24" s="50"/>
      <c r="AM24" s="50">
        <f t="shared" ref="AM24:AM28" si="5">SUM(AF24:AL24)+AT24+AV24+AX24</f>
        <v>0</v>
      </c>
      <c r="AN24" s="50"/>
      <c r="AO24" s="50"/>
      <c r="AP24" s="50"/>
      <c r="AQ24" s="50"/>
      <c r="AR24" s="50">
        <f>SUM(AN24:AQ24)</f>
        <v>0</v>
      </c>
      <c r="AS24" s="50"/>
      <c r="AT24" s="50"/>
      <c r="AU24" s="50"/>
      <c r="AV24" s="50"/>
      <c r="AW24" s="50"/>
      <c r="AX24" s="50"/>
      <c r="AY24" s="50"/>
      <c r="AZ24" s="50"/>
      <c r="BA24" s="50">
        <f>+AR24+AS24+AU24+AW24+AY24+AZ24</f>
        <v>0</v>
      </c>
      <c r="BB24" s="124">
        <v>0</v>
      </c>
      <c r="BC24" s="116"/>
      <c r="BD24" s="116"/>
      <c r="BE24" s="124"/>
      <c r="BF24" s="116"/>
    </row>
    <row r="25" spans="1:58" ht="12.95" customHeight="1" x14ac:dyDescent="0.2">
      <c r="A25" s="117"/>
      <c r="B25" s="118"/>
      <c r="C25" s="119"/>
      <c r="D25" s="118"/>
      <c r="E25" s="37"/>
      <c r="F25" s="37"/>
      <c r="G25" s="120"/>
      <c r="H25" s="121"/>
      <c r="I25" s="45"/>
      <c r="J25" s="46"/>
      <c r="K25" s="46"/>
      <c r="L25" s="122"/>
      <c r="M25" s="122"/>
      <c r="N25" s="47"/>
      <c r="O25" s="48"/>
      <c r="P25" s="49"/>
      <c r="Q25" s="48"/>
      <c r="R25" s="123"/>
      <c r="S25" s="123"/>
      <c r="T25" s="50"/>
      <c r="U25" s="50"/>
      <c r="V25" s="50"/>
      <c r="W25" s="50"/>
      <c r="X25" s="55"/>
      <c r="Y25" s="52"/>
      <c r="Z25" s="50"/>
      <c r="AA25" s="50"/>
      <c r="AB25" s="50"/>
      <c r="AC25" s="50"/>
      <c r="AD25" s="50">
        <f>+AM25+BA25</f>
        <v>0</v>
      </c>
      <c r="AE25" s="101" t="s">
        <v>111</v>
      </c>
      <c r="AF25" s="50"/>
      <c r="AG25" s="50">
        <v>0</v>
      </c>
      <c r="AH25" s="50"/>
      <c r="AI25" s="54"/>
      <c r="AJ25" s="50"/>
      <c r="AK25" s="50"/>
      <c r="AL25" s="50"/>
      <c r="AM25" s="50">
        <f t="shared" si="5"/>
        <v>0</v>
      </c>
      <c r="AN25" s="125"/>
      <c r="AO25" s="50"/>
      <c r="AP25" s="50"/>
      <c r="AQ25" s="50"/>
      <c r="AR25" s="50">
        <f t="shared" ref="AR25:AR28" si="6">SUM(AN25:AQ25)</f>
        <v>0</v>
      </c>
      <c r="AS25" s="50"/>
      <c r="AT25" s="50"/>
      <c r="AU25" s="50"/>
      <c r="AV25" s="50"/>
      <c r="AW25" s="50"/>
      <c r="AX25" s="50"/>
      <c r="AY25" s="50"/>
      <c r="AZ25" s="50"/>
      <c r="BA25" s="50">
        <f>+AR25+AS25+AU25+AW25+AY25+AZ25</f>
        <v>0</v>
      </c>
      <c r="BB25" s="126"/>
      <c r="BC25" s="116">
        <v>0</v>
      </c>
      <c r="BD25" s="116"/>
      <c r="BE25" s="126"/>
      <c r="BF25" s="116"/>
    </row>
    <row r="26" spans="1:58" ht="12.95" customHeight="1" x14ac:dyDescent="0.2">
      <c r="A26" s="117"/>
      <c r="B26" s="118"/>
      <c r="C26" s="119"/>
      <c r="D26" s="118"/>
      <c r="E26" s="37"/>
      <c r="F26" s="37"/>
      <c r="G26" s="127"/>
      <c r="H26" s="121"/>
      <c r="I26" s="45"/>
      <c r="J26" s="46"/>
      <c r="K26" s="46"/>
      <c r="L26" s="122"/>
      <c r="M26" s="122"/>
      <c r="N26" s="47"/>
      <c r="O26" s="48"/>
      <c r="P26" s="49"/>
      <c r="Q26" s="48"/>
      <c r="R26" s="123"/>
      <c r="S26" s="123"/>
      <c r="T26" s="50"/>
      <c r="U26" s="50"/>
      <c r="V26" s="50"/>
      <c r="W26" s="50"/>
      <c r="X26" s="55"/>
      <c r="Y26" s="52"/>
      <c r="Z26" s="50"/>
      <c r="AA26" s="50"/>
      <c r="AB26" s="50"/>
      <c r="AC26" s="50"/>
      <c r="AD26" s="50">
        <f>+AM26+BA26</f>
        <v>0</v>
      </c>
      <c r="AE26" s="101" t="s">
        <v>214</v>
      </c>
      <c r="AF26" s="124"/>
      <c r="AG26" s="124"/>
      <c r="AH26" s="124">
        <v>0</v>
      </c>
      <c r="AJ26" s="50"/>
      <c r="AK26" s="50"/>
      <c r="AL26" s="50"/>
      <c r="AM26" s="50">
        <f t="shared" si="5"/>
        <v>0</v>
      </c>
      <c r="AN26" s="50"/>
      <c r="AO26" s="50"/>
      <c r="AP26" s="50"/>
      <c r="AQ26" s="50"/>
      <c r="AR26" s="50">
        <f t="shared" si="6"/>
        <v>0</v>
      </c>
      <c r="AS26" s="50"/>
      <c r="AT26" s="50"/>
      <c r="AU26" s="50"/>
      <c r="AV26" s="50"/>
      <c r="AW26" s="50"/>
      <c r="AX26" s="50"/>
      <c r="AY26" s="50"/>
      <c r="AZ26" s="50"/>
      <c r="BA26" s="50">
        <f>+AR26+AS26+AU26+AW26+AY26+AZ26</f>
        <v>0</v>
      </c>
      <c r="BB26" s="124"/>
      <c r="BC26" s="146"/>
      <c r="BD26" s="146"/>
      <c r="BE26" s="124"/>
      <c r="BF26" s="146"/>
    </row>
    <row r="27" spans="1:58" ht="12.95" customHeight="1" x14ac:dyDescent="0.2">
      <c r="A27" s="117"/>
      <c r="B27" s="118"/>
      <c r="C27" s="119"/>
      <c r="D27" s="118"/>
      <c r="E27" s="37"/>
      <c r="F27" s="37"/>
      <c r="G27" s="127"/>
      <c r="H27" s="121"/>
      <c r="I27" s="45"/>
      <c r="J27" s="46"/>
      <c r="K27" s="46"/>
      <c r="L27" s="122"/>
      <c r="M27" s="122"/>
      <c r="N27" s="47"/>
      <c r="O27" s="48"/>
      <c r="P27" s="49"/>
      <c r="Q27" s="56"/>
      <c r="R27" s="123"/>
      <c r="S27" s="123"/>
      <c r="T27" s="50"/>
      <c r="U27" s="50"/>
      <c r="V27" s="50"/>
      <c r="W27" s="50"/>
      <c r="X27" s="55"/>
      <c r="Y27" s="52"/>
      <c r="Z27" s="50"/>
      <c r="AA27" s="50"/>
      <c r="AB27" s="50"/>
      <c r="AC27" s="50"/>
      <c r="AD27" s="50">
        <f>+AM27+BA27</f>
        <v>0</v>
      </c>
      <c r="AE27" s="148" t="s">
        <v>162</v>
      </c>
      <c r="AF27" s="50"/>
      <c r="AG27" s="50"/>
      <c r="AH27" s="50"/>
      <c r="AI27" s="54">
        <v>0</v>
      </c>
      <c r="AJ27" s="50"/>
      <c r="AK27" s="50"/>
      <c r="AL27" s="50"/>
      <c r="AM27" s="50">
        <f t="shared" si="5"/>
        <v>0</v>
      </c>
      <c r="AN27" s="50"/>
      <c r="AO27" s="50"/>
      <c r="AP27" s="50"/>
      <c r="AQ27" s="50"/>
      <c r="AR27" s="50">
        <f t="shared" si="6"/>
        <v>0</v>
      </c>
      <c r="AS27" s="50"/>
      <c r="AT27" s="50"/>
      <c r="AU27" s="50"/>
      <c r="AV27" s="50"/>
      <c r="AW27" s="50"/>
      <c r="AX27" s="50"/>
      <c r="AY27" s="50"/>
      <c r="AZ27" s="50"/>
      <c r="BA27" s="50">
        <f>+AR27+AS27+AU27+AW27+AY27+AZ27</f>
        <v>0</v>
      </c>
      <c r="BB27" s="126"/>
      <c r="BC27" s="116"/>
      <c r="BD27" s="116"/>
      <c r="BE27" s="126"/>
      <c r="BF27" s="116"/>
    </row>
    <row r="28" spans="1:58" ht="12.95" customHeight="1" x14ac:dyDescent="0.2">
      <c r="A28" s="117"/>
      <c r="B28" s="118"/>
      <c r="C28" s="119"/>
      <c r="D28" s="118"/>
      <c r="E28" s="37"/>
      <c r="F28" s="37"/>
      <c r="G28" s="127"/>
      <c r="H28" s="121"/>
      <c r="I28" s="45"/>
      <c r="J28" s="46"/>
      <c r="K28" s="46"/>
      <c r="L28" s="122"/>
      <c r="M28" s="122"/>
      <c r="N28" s="47"/>
      <c r="O28" s="48"/>
      <c r="P28" s="49"/>
      <c r="Q28" s="56"/>
      <c r="R28" s="123"/>
      <c r="S28" s="123"/>
      <c r="T28" s="50"/>
      <c r="U28" s="50"/>
      <c r="V28" s="50"/>
      <c r="W28" s="50"/>
      <c r="X28" s="55"/>
      <c r="Y28" s="52"/>
      <c r="Z28" s="50"/>
      <c r="AA28" s="50"/>
      <c r="AB28" s="50"/>
      <c r="AC28" s="50"/>
      <c r="AD28" s="50">
        <f>+AM28+BA28</f>
        <v>0</v>
      </c>
      <c r="AE28" s="148" t="s">
        <v>246</v>
      </c>
      <c r="AF28" s="50"/>
      <c r="AG28" s="50"/>
      <c r="AH28" s="50"/>
      <c r="AI28" s="54"/>
      <c r="AJ28" s="50"/>
      <c r="AK28" s="50"/>
      <c r="AL28" s="50"/>
      <c r="AM28" s="50">
        <f t="shared" si="5"/>
        <v>0</v>
      </c>
      <c r="AN28" s="50"/>
      <c r="AO28" s="50"/>
      <c r="AP28" s="50"/>
      <c r="AQ28" s="50"/>
      <c r="AR28" s="50">
        <f t="shared" si="6"/>
        <v>0</v>
      </c>
      <c r="AS28" s="50"/>
      <c r="AT28" s="50"/>
      <c r="AU28" s="50"/>
      <c r="AV28" s="50"/>
      <c r="AW28" s="50"/>
      <c r="AX28" s="50"/>
      <c r="AY28" s="50"/>
      <c r="AZ28" s="50">
        <f>1440-1440</f>
        <v>0</v>
      </c>
      <c r="BA28" s="50">
        <f>+AR28+AS28+AU28+AW28+AY28+AZ28</f>
        <v>0</v>
      </c>
      <c r="BB28" s="126"/>
      <c r="BC28" s="116"/>
      <c r="BD28" s="116"/>
      <c r="BE28" s="124"/>
      <c r="BF28" s="116"/>
    </row>
    <row r="29" spans="1:58" ht="12.95" customHeight="1" x14ac:dyDescent="0.2">
      <c r="A29" s="117"/>
      <c r="B29" s="118"/>
      <c r="C29" s="119"/>
      <c r="D29" s="118"/>
      <c r="E29" s="37"/>
      <c r="F29" s="37"/>
      <c r="G29" s="120"/>
      <c r="H29" s="121"/>
      <c r="I29" s="45"/>
      <c r="J29" s="46"/>
      <c r="K29" s="46"/>
      <c r="L29" s="122"/>
      <c r="M29" s="122"/>
      <c r="N29" s="47"/>
      <c r="O29" s="48"/>
      <c r="P29" s="49"/>
      <c r="Q29" s="48"/>
      <c r="R29" s="123"/>
      <c r="S29" s="123"/>
      <c r="T29" s="50"/>
      <c r="U29" s="50"/>
      <c r="V29" s="50"/>
      <c r="W29" s="50"/>
      <c r="X29" s="55"/>
      <c r="Y29" s="52"/>
      <c r="Z29" s="50"/>
      <c r="AA29" s="50"/>
      <c r="AB29" s="50"/>
      <c r="AC29" s="50"/>
      <c r="AD29" s="50"/>
      <c r="AE29" s="101"/>
      <c r="AF29" s="50"/>
      <c r="AG29" s="50"/>
      <c r="AH29" s="50"/>
      <c r="AI29" s="54"/>
      <c r="AJ29" s="50"/>
      <c r="AK29" s="50"/>
      <c r="AL29" s="50"/>
      <c r="AM29" s="50"/>
      <c r="AN29" s="125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126"/>
      <c r="BC29" s="116"/>
      <c r="BD29" s="116"/>
      <c r="BE29" s="124"/>
      <c r="BF29" s="116"/>
    </row>
    <row r="30" spans="1:58" ht="12.75" customHeight="1" x14ac:dyDescent="0.2">
      <c r="A30" s="117">
        <v>45966</v>
      </c>
      <c r="B30" s="118" t="s">
        <v>213</v>
      </c>
      <c r="C30" s="119">
        <f>(M30*E30*O30*Q30)/100000000</f>
        <v>0</v>
      </c>
      <c r="D30" s="118" t="s">
        <v>177</v>
      </c>
      <c r="E30" s="37">
        <v>12</v>
      </c>
      <c r="F30" s="37">
        <v>1</v>
      </c>
      <c r="G30" s="120">
        <v>1230</v>
      </c>
      <c r="H30" s="121">
        <f>+N30</f>
        <v>0.23417344173441734</v>
      </c>
      <c r="I30" s="45">
        <v>0.88</v>
      </c>
      <c r="J30" s="46">
        <f>E30*G30*(1-H30)*1440/1000000*2.74</f>
        <v>44.599484159999996</v>
      </c>
      <c r="K30" s="46">
        <f>(IF(G30&lt;L30,L30,G30)*(1-IF(H30&lt;N30,H30,N30))*E30*O30*Q30)/100000000</f>
        <v>0</v>
      </c>
      <c r="L30" s="122">
        <v>1230</v>
      </c>
      <c r="M30" s="122">
        <v>941.9666666666667</v>
      </c>
      <c r="N30" s="47">
        <f>1-(M30/L30)</f>
        <v>0.23417344173441734</v>
      </c>
      <c r="O30" s="48">
        <f>+'[3]Trim Rwd'!H12</f>
        <v>266</v>
      </c>
      <c r="P30" s="49">
        <f>O30*(Q30-R30-S30)</f>
        <v>0</v>
      </c>
      <c r="Q30" s="48">
        <f>1440-1440</f>
        <v>0</v>
      </c>
      <c r="R30" s="123">
        <f>1440-1440</f>
        <v>0</v>
      </c>
      <c r="S30" s="123">
        <v>0</v>
      </c>
      <c r="T30" s="50">
        <f>E30*M30*O30*Q30/100000000</f>
        <v>0</v>
      </c>
      <c r="U30" s="50">
        <f>E30*M30*O30*(Q30-R30-S30)/100000000</f>
        <v>0</v>
      </c>
      <c r="V30" s="50">
        <f>E30*G30*(1-N30)*O30/100*(R30+S30)/1000000</f>
        <v>0</v>
      </c>
      <c r="W30" s="50">
        <v>0</v>
      </c>
      <c r="X30" s="51" t="e">
        <f>SUM(W30:W34)/SUM(K30:K34)</f>
        <v>#DIV/0!</v>
      </c>
      <c r="Y30" s="52">
        <v>0</v>
      </c>
      <c r="Z30" s="50">
        <v>0</v>
      </c>
      <c r="AA30" s="53">
        <f>SUM(U30:U34)-SUM(W30:W34)-SUM(Z30:Z34)-SUM(Y30:Y34)</f>
        <v>0</v>
      </c>
      <c r="AB30" s="53">
        <f>(SUM(K30:K34)-SUM(W30:W34)-SUM(Y30:Y34)-SUM(Z30:Z34)-SUM(AC30:AC34)-SUM(V30:V34))-AA30</f>
        <v>0</v>
      </c>
      <c r="AC30" s="50">
        <f>K30-T30</f>
        <v>0</v>
      </c>
      <c r="AD30" s="50">
        <f>+AM30+BA30</f>
        <v>0</v>
      </c>
      <c r="AE30" s="101" t="s">
        <v>110</v>
      </c>
      <c r="AF30" s="50">
        <v>0</v>
      </c>
      <c r="AG30" s="50"/>
      <c r="AH30" s="50"/>
      <c r="AI30" s="54"/>
      <c r="AJ30" s="50"/>
      <c r="AK30" s="50"/>
      <c r="AL30" s="50"/>
      <c r="AM30" s="50">
        <f t="shared" ref="AM30:AM34" si="7">SUM(AF30:AL30)+AT30+AV30+AX30</f>
        <v>0</v>
      </c>
      <c r="AN30" s="50"/>
      <c r="AO30" s="50"/>
      <c r="AP30" s="50"/>
      <c r="AQ30" s="50"/>
      <c r="AR30" s="50">
        <f>SUM(AN30:AQ30)</f>
        <v>0</v>
      </c>
      <c r="AS30" s="50"/>
      <c r="AT30" s="50"/>
      <c r="AU30" s="50"/>
      <c r="AV30" s="50"/>
      <c r="AW30" s="50"/>
      <c r="AX30" s="50"/>
      <c r="AY30" s="50"/>
      <c r="AZ30" s="50"/>
      <c r="BA30" s="50">
        <f>+AR30+AS30+AU30+AW30+AY30+AZ30</f>
        <v>0</v>
      </c>
      <c r="BB30" s="124">
        <v>0</v>
      </c>
      <c r="BC30" s="116"/>
      <c r="BD30" s="116"/>
      <c r="BE30" s="124"/>
      <c r="BF30" s="116"/>
    </row>
    <row r="31" spans="1:58" ht="12.95" customHeight="1" x14ac:dyDescent="0.2">
      <c r="A31" s="117"/>
      <c r="B31" s="118"/>
      <c r="C31" s="119"/>
      <c r="D31" s="118"/>
      <c r="E31" s="37"/>
      <c r="F31" s="37"/>
      <c r="G31" s="120"/>
      <c r="H31" s="121"/>
      <c r="I31" s="45"/>
      <c r="J31" s="46"/>
      <c r="K31" s="46"/>
      <c r="L31" s="122"/>
      <c r="M31" s="122"/>
      <c r="N31" s="47"/>
      <c r="O31" s="48"/>
      <c r="P31" s="49"/>
      <c r="Q31" s="48"/>
      <c r="R31" s="123"/>
      <c r="S31" s="123"/>
      <c r="T31" s="50"/>
      <c r="U31" s="50"/>
      <c r="V31" s="50"/>
      <c r="W31" s="50"/>
      <c r="X31" s="55"/>
      <c r="Y31" s="52"/>
      <c r="Z31" s="50"/>
      <c r="AA31" s="50"/>
      <c r="AB31" s="50"/>
      <c r="AC31" s="50"/>
      <c r="AD31" s="50">
        <f>+AM31+BA31</f>
        <v>0</v>
      </c>
      <c r="AE31" s="101" t="s">
        <v>111</v>
      </c>
      <c r="AF31" s="50"/>
      <c r="AG31" s="50">
        <v>0</v>
      </c>
      <c r="AH31" s="50"/>
      <c r="AI31" s="54"/>
      <c r="AJ31" s="50"/>
      <c r="AK31" s="50"/>
      <c r="AL31" s="50"/>
      <c r="AM31" s="50">
        <f t="shared" si="7"/>
        <v>0</v>
      </c>
      <c r="AN31" s="125"/>
      <c r="AO31" s="50"/>
      <c r="AP31" s="50"/>
      <c r="AQ31" s="50"/>
      <c r="AR31" s="50">
        <f t="shared" ref="AR31:AR34" si="8">SUM(AN31:AQ31)</f>
        <v>0</v>
      </c>
      <c r="AS31" s="50"/>
      <c r="AT31" s="50"/>
      <c r="AU31" s="50"/>
      <c r="AV31" s="50"/>
      <c r="AW31" s="50"/>
      <c r="AX31" s="50"/>
      <c r="AY31" s="50"/>
      <c r="AZ31" s="50"/>
      <c r="BA31" s="50">
        <f>+AR31+AS31+AU31+AW31+AY31+AZ31</f>
        <v>0</v>
      </c>
      <c r="BB31" s="126"/>
      <c r="BC31" s="116">
        <v>0</v>
      </c>
      <c r="BD31" s="116"/>
      <c r="BE31" s="126"/>
      <c r="BF31" s="116"/>
    </row>
    <row r="32" spans="1:58" ht="12.95" customHeight="1" x14ac:dyDescent="0.2">
      <c r="A32" s="117"/>
      <c r="B32" s="118"/>
      <c r="C32" s="119"/>
      <c r="D32" s="118"/>
      <c r="E32" s="37"/>
      <c r="F32" s="37"/>
      <c r="G32" s="127"/>
      <c r="H32" s="121"/>
      <c r="I32" s="45"/>
      <c r="J32" s="46"/>
      <c r="K32" s="46"/>
      <c r="L32" s="122"/>
      <c r="M32" s="122"/>
      <c r="N32" s="47"/>
      <c r="O32" s="48"/>
      <c r="P32" s="49"/>
      <c r="Q32" s="48"/>
      <c r="R32" s="123"/>
      <c r="S32" s="123"/>
      <c r="T32" s="50"/>
      <c r="U32" s="50"/>
      <c r="V32" s="50"/>
      <c r="W32" s="50"/>
      <c r="X32" s="55"/>
      <c r="Y32" s="52"/>
      <c r="Z32" s="50"/>
      <c r="AA32" s="50"/>
      <c r="AB32" s="50"/>
      <c r="AC32" s="50"/>
      <c r="AD32" s="50">
        <f>+AM32+BA32</f>
        <v>0</v>
      </c>
      <c r="AE32" s="101" t="s">
        <v>214</v>
      </c>
      <c r="AF32" s="124"/>
      <c r="AG32" s="124"/>
      <c r="AH32" s="124">
        <v>0</v>
      </c>
      <c r="AJ32" s="50"/>
      <c r="AK32" s="50"/>
      <c r="AL32" s="50"/>
      <c r="AM32" s="50">
        <f t="shared" si="7"/>
        <v>0</v>
      </c>
      <c r="AN32" s="50"/>
      <c r="AO32" s="50"/>
      <c r="AP32" s="50"/>
      <c r="AQ32" s="50"/>
      <c r="AR32" s="50">
        <f t="shared" si="8"/>
        <v>0</v>
      </c>
      <c r="AS32" s="50"/>
      <c r="AT32" s="50"/>
      <c r="AU32" s="50"/>
      <c r="AV32" s="50"/>
      <c r="AW32" s="50"/>
      <c r="AX32" s="50"/>
      <c r="AY32" s="50"/>
      <c r="AZ32" s="50"/>
      <c r="BA32" s="50">
        <f>+AR32+AS32+AU32+AW32+AY32+AZ32</f>
        <v>0</v>
      </c>
      <c r="BB32" s="124"/>
      <c r="BC32" s="146"/>
      <c r="BD32" s="146"/>
      <c r="BE32" s="124"/>
      <c r="BF32" s="146"/>
    </row>
    <row r="33" spans="1:58" ht="12.95" customHeight="1" x14ac:dyDescent="0.2">
      <c r="A33" s="117"/>
      <c r="B33" s="118"/>
      <c r="C33" s="119"/>
      <c r="D33" s="118"/>
      <c r="E33" s="37"/>
      <c r="F33" s="37"/>
      <c r="G33" s="127"/>
      <c r="H33" s="121"/>
      <c r="I33" s="45"/>
      <c r="J33" s="46"/>
      <c r="K33" s="46"/>
      <c r="L33" s="122"/>
      <c r="M33" s="122"/>
      <c r="N33" s="47"/>
      <c r="O33" s="48"/>
      <c r="P33" s="49"/>
      <c r="Q33" s="56"/>
      <c r="R33" s="123"/>
      <c r="S33" s="123"/>
      <c r="T33" s="50"/>
      <c r="U33" s="50"/>
      <c r="V33" s="50"/>
      <c r="W33" s="50"/>
      <c r="X33" s="55"/>
      <c r="Y33" s="52"/>
      <c r="Z33" s="50"/>
      <c r="AA33" s="50"/>
      <c r="AB33" s="50"/>
      <c r="AC33" s="50"/>
      <c r="AD33" s="50">
        <f>+AM33+BA33</f>
        <v>0</v>
      </c>
      <c r="AE33" s="148" t="s">
        <v>162</v>
      </c>
      <c r="AF33" s="50"/>
      <c r="AG33" s="50"/>
      <c r="AH33" s="50"/>
      <c r="AI33" s="54">
        <v>0</v>
      </c>
      <c r="AJ33" s="50"/>
      <c r="AK33" s="50"/>
      <c r="AL33" s="50"/>
      <c r="AM33" s="50">
        <f t="shared" si="7"/>
        <v>0</v>
      </c>
      <c r="AN33" s="50"/>
      <c r="AO33" s="50"/>
      <c r="AP33" s="50"/>
      <c r="AQ33" s="50"/>
      <c r="AR33" s="50">
        <f t="shared" si="8"/>
        <v>0</v>
      </c>
      <c r="AS33" s="50"/>
      <c r="AT33" s="50"/>
      <c r="AU33" s="50"/>
      <c r="AV33" s="50"/>
      <c r="AW33" s="50"/>
      <c r="AX33" s="50"/>
      <c r="AY33" s="50"/>
      <c r="AZ33" s="50"/>
      <c r="BA33" s="50">
        <f>+AR33+AS33+AU33+AW33+AY33+AZ33</f>
        <v>0</v>
      </c>
      <c r="BB33" s="126"/>
      <c r="BC33" s="116"/>
      <c r="BD33" s="116"/>
      <c r="BE33" s="126"/>
      <c r="BF33" s="116"/>
    </row>
    <row r="34" spans="1:58" ht="12.95" customHeight="1" x14ac:dyDescent="0.2">
      <c r="A34" s="117"/>
      <c r="B34" s="118"/>
      <c r="C34" s="119"/>
      <c r="D34" s="118"/>
      <c r="E34" s="37"/>
      <c r="F34" s="37"/>
      <c r="G34" s="127"/>
      <c r="H34" s="121"/>
      <c r="I34" s="45"/>
      <c r="J34" s="46"/>
      <c r="K34" s="46"/>
      <c r="L34" s="122"/>
      <c r="M34" s="122"/>
      <c r="N34" s="47"/>
      <c r="O34" s="48"/>
      <c r="P34" s="49"/>
      <c r="Q34" s="56"/>
      <c r="R34" s="123"/>
      <c r="S34" s="123"/>
      <c r="T34" s="50"/>
      <c r="U34" s="50"/>
      <c r="V34" s="50"/>
      <c r="W34" s="50"/>
      <c r="X34" s="55"/>
      <c r="Y34" s="52"/>
      <c r="Z34" s="50"/>
      <c r="AA34" s="50"/>
      <c r="AB34" s="50"/>
      <c r="AC34" s="50"/>
      <c r="AD34" s="50">
        <f>+AM34+BA34</f>
        <v>0</v>
      </c>
      <c r="AE34" s="148" t="s">
        <v>246</v>
      </c>
      <c r="AF34" s="50"/>
      <c r="AG34" s="50"/>
      <c r="AH34" s="50"/>
      <c r="AI34" s="54"/>
      <c r="AJ34" s="50"/>
      <c r="AK34" s="50"/>
      <c r="AL34" s="50"/>
      <c r="AM34" s="50">
        <f t="shared" si="7"/>
        <v>0</v>
      </c>
      <c r="AN34" s="50"/>
      <c r="AO34" s="50"/>
      <c r="AP34" s="50"/>
      <c r="AQ34" s="50"/>
      <c r="AR34" s="50">
        <f t="shared" si="8"/>
        <v>0</v>
      </c>
      <c r="AS34" s="50"/>
      <c r="AT34" s="50"/>
      <c r="AU34" s="50"/>
      <c r="AV34" s="50"/>
      <c r="AW34" s="50"/>
      <c r="AX34" s="50"/>
      <c r="AY34" s="50"/>
      <c r="AZ34" s="50">
        <f>1440-1440</f>
        <v>0</v>
      </c>
      <c r="BA34" s="50">
        <f>+AR34+AS34+AU34+AW34+AY34+AZ34</f>
        <v>0</v>
      </c>
      <c r="BB34" s="126"/>
      <c r="BC34" s="116"/>
      <c r="BD34" s="116"/>
      <c r="BE34" s="124"/>
      <c r="BF34" s="116"/>
    </row>
    <row r="35" spans="1:58" ht="12.95" customHeight="1" x14ac:dyDescent="0.2">
      <c r="A35" s="117"/>
      <c r="B35" s="118"/>
      <c r="C35" s="119"/>
      <c r="D35" s="118"/>
      <c r="E35" s="37"/>
      <c r="F35" s="37"/>
      <c r="G35" s="127"/>
      <c r="H35" s="121"/>
      <c r="I35" s="45"/>
      <c r="J35" s="46"/>
      <c r="K35" s="46"/>
      <c r="L35" s="122"/>
      <c r="M35" s="122"/>
      <c r="N35" s="47"/>
      <c r="O35" s="48"/>
      <c r="P35" s="49"/>
      <c r="Q35" s="48"/>
      <c r="R35" s="123"/>
      <c r="S35" s="123"/>
      <c r="T35" s="50"/>
      <c r="U35" s="50"/>
      <c r="V35" s="50"/>
      <c r="W35" s="50"/>
      <c r="X35" s="55"/>
      <c r="Y35" s="52"/>
      <c r="Z35" s="50"/>
      <c r="AA35" s="50"/>
      <c r="AB35" s="50"/>
      <c r="AC35" s="50"/>
      <c r="AD35" s="50"/>
      <c r="AE35" s="101"/>
      <c r="AF35" s="124"/>
      <c r="AG35" s="124"/>
      <c r="AH35" s="124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124"/>
      <c r="BC35" s="146"/>
      <c r="BD35" s="116"/>
      <c r="BE35" s="126"/>
      <c r="BF35" s="116"/>
    </row>
    <row r="36" spans="1:58" ht="12.75" customHeight="1" x14ac:dyDescent="0.2">
      <c r="A36" s="117">
        <v>45967</v>
      </c>
      <c r="B36" s="118" t="s">
        <v>213</v>
      </c>
      <c r="C36" s="119">
        <f>(M36*E36*O36*Q36)/100000000</f>
        <v>0</v>
      </c>
      <c r="D36" s="118" t="s">
        <v>177</v>
      </c>
      <c r="E36" s="37">
        <v>12</v>
      </c>
      <c r="F36" s="37">
        <v>1</v>
      </c>
      <c r="G36" s="120">
        <v>1230</v>
      </c>
      <c r="H36" s="121">
        <f>+N36</f>
        <v>0.23417344173441734</v>
      </c>
      <c r="I36" s="45">
        <v>0.88</v>
      </c>
      <c r="J36" s="46">
        <f>E36*G36*(1-H36)*1440/1000000*2.74</f>
        <v>44.599484159999996</v>
      </c>
      <c r="K36" s="46">
        <f>(IF(G36&lt;L36,L36,G36)*(1-IF(H36&lt;N36,H36,N36))*E36*O36*Q36)/100000000</f>
        <v>0</v>
      </c>
      <c r="L36" s="122">
        <v>1230</v>
      </c>
      <c r="M36" s="122">
        <v>941.9666666666667</v>
      </c>
      <c r="N36" s="47">
        <f>1-(M36/L36)</f>
        <v>0.23417344173441734</v>
      </c>
      <c r="O36" s="48">
        <f>+'[3]Trim Rwd'!H14</f>
        <v>266</v>
      </c>
      <c r="P36" s="49">
        <f>O36*(Q36-R36-S36)</f>
        <v>0</v>
      </c>
      <c r="Q36" s="48">
        <f>1440-1440</f>
        <v>0</v>
      </c>
      <c r="R36" s="123">
        <f>1440-1440</f>
        <v>0</v>
      </c>
      <c r="S36" s="123">
        <v>0</v>
      </c>
      <c r="T36" s="50">
        <f>E36*M36*O36*Q36/100000000</f>
        <v>0</v>
      </c>
      <c r="U36" s="50">
        <f>E36*M36*O36*(Q36-R36-S36)/100000000</f>
        <v>0</v>
      </c>
      <c r="V36" s="50">
        <f>E36*G36*(1-N36)*O36/100*(R36+S36)/1000000</f>
        <v>0</v>
      </c>
      <c r="W36" s="50">
        <v>0</v>
      </c>
      <c r="X36" s="51" t="e">
        <f>SUM(W36:W40)/SUM(K36:K40)</f>
        <v>#DIV/0!</v>
      </c>
      <c r="Y36" s="52">
        <v>0</v>
      </c>
      <c r="Z36" s="50">
        <v>0</v>
      </c>
      <c r="AA36" s="53">
        <f>SUM(U36:U40)-SUM(W36:W40)-SUM(Z36:Z40)-SUM(Y36:Y40)</f>
        <v>0</v>
      </c>
      <c r="AB36" s="53">
        <f>(SUM(K36:K40)-SUM(W36:W40)-SUM(Y36:Y40)-SUM(Z36:Z40)-SUM(AC36:AC40)-SUM(V36:V40))-AA36</f>
        <v>0</v>
      </c>
      <c r="AC36" s="50">
        <f>K36-T36</f>
        <v>0</v>
      </c>
      <c r="AD36" s="50">
        <f>+AM36+BA36</f>
        <v>0</v>
      </c>
      <c r="AE36" s="101" t="s">
        <v>110</v>
      </c>
      <c r="AF36" s="50">
        <v>0</v>
      </c>
      <c r="AG36" s="50"/>
      <c r="AH36" s="50"/>
      <c r="AI36" s="54"/>
      <c r="AJ36" s="50"/>
      <c r="AK36" s="50"/>
      <c r="AL36" s="50"/>
      <c r="AM36" s="50">
        <f t="shared" ref="AM36:AM40" si="9">SUM(AF36:AL36)+AT36+AV36+AX36</f>
        <v>0</v>
      </c>
      <c r="AN36" s="50"/>
      <c r="AO36" s="50"/>
      <c r="AP36" s="50"/>
      <c r="AQ36" s="50"/>
      <c r="AR36" s="50">
        <f>SUM(AN36:AQ36)</f>
        <v>0</v>
      </c>
      <c r="AS36" s="50"/>
      <c r="AT36" s="50"/>
      <c r="AU36" s="50"/>
      <c r="AV36" s="50"/>
      <c r="AW36" s="50"/>
      <c r="AX36" s="50"/>
      <c r="AY36" s="50"/>
      <c r="AZ36" s="50"/>
      <c r="BA36" s="50">
        <f>+AR36+AS36+AU36+AW36+AY36+AZ36</f>
        <v>0</v>
      </c>
      <c r="BB36" s="124">
        <v>0</v>
      </c>
      <c r="BC36" s="116"/>
      <c r="BD36" s="116"/>
      <c r="BE36" s="124"/>
      <c r="BF36" s="116"/>
    </row>
    <row r="37" spans="1:58" ht="12.95" customHeight="1" x14ac:dyDescent="0.2">
      <c r="A37" s="117"/>
      <c r="B37" s="118"/>
      <c r="C37" s="119"/>
      <c r="D37" s="118"/>
      <c r="E37" s="37"/>
      <c r="F37" s="37"/>
      <c r="G37" s="120"/>
      <c r="H37" s="121"/>
      <c r="I37" s="45"/>
      <c r="J37" s="46"/>
      <c r="K37" s="46"/>
      <c r="L37" s="122"/>
      <c r="M37" s="122"/>
      <c r="N37" s="47"/>
      <c r="O37" s="48"/>
      <c r="P37" s="49"/>
      <c r="Q37" s="48"/>
      <c r="R37" s="123"/>
      <c r="S37" s="123"/>
      <c r="T37" s="50"/>
      <c r="U37" s="50"/>
      <c r="V37" s="50"/>
      <c r="W37" s="50"/>
      <c r="X37" s="55"/>
      <c r="Y37" s="52"/>
      <c r="Z37" s="50"/>
      <c r="AA37" s="50"/>
      <c r="AB37" s="50"/>
      <c r="AC37" s="50"/>
      <c r="AD37" s="50">
        <f>+AM37+BA37</f>
        <v>0</v>
      </c>
      <c r="AE37" s="101" t="s">
        <v>111</v>
      </c>
      <c r="AF37" s="50"/>
      <c r="AG37" s="50">
        <v>0</v>
      </c>
      <c r="AH37" s="50"/>
      <c r="AI37" s="54"/>
      <c r="AJ37" s="50"/>
      <c r="AK37" s="50"/>
      <c r="AL37" s="50"/>
      <c r="AM37" s="50">
        <f t="shared" si="9"/>
        <v>0</v>
      </c>
      <c r="AN37" s="125"/>
      <c r="AO37" s="50"/>
      <c r="AP37" s="50"/>
      <c r="AQ37" s="50"/>
      <c r="AR37" s="50">
        <f t="shared" ref="AR37:AR40" si="10">SUM(AN37:AQ37)</f>
        <v>0</v>
      </c>
      <c r="AS37" s="50"/>
      <c r="AT37" s="50"/>
      <c r="AU37" s="50"/>
      <c r="AV37" s="50"/>
      <c r="AW37" s="50"/>
      <c r="AX37" s="50"/>
      <c r="AY37" s="50"/>
      <c r="AZ37" s="50"/>
      <c r="BA37" s="50">
        <f>+AR37+AS37+AU37+AW37+AY37+AZ37</f>
        <v>0</v>
      </c>
      <c r="BB37" s="126"/>
      <c r="BC37" s="116">
        <v>0</v>
      </c>
      <c r="BD37" s="116"/>
      <c r="BE37" s="126"/>
      <c r="BF37" s="116"/>
    </row>
    <row r="38" spans="1:58" ht="12.95" customHeight="1" x14ac:dyDescent="0.2">
      <c r="A38" s="117"/>
      <c r="B38" s="118"/>
      <c r="C38" s="119"/>
      <c r="D38" s="118"/>
      <c r="E38" s="37"/>
      <c r="F38" s="37"/>
      <c r="G38" s="127"/>
      <c r="H38" s="121"/>
      <c r="I38" s="45"/>
      <c r="J38" s="46"/>
      <c r="K38" s="46"/>
      <c r="L38" s="122"/>
      <c r="M38" s="122"/>
      <c r="N38" s="47"/>
      <c r="O38" s="48"/>
      <c r="P38" s="49"/>
      <c r="Q38" s="48"/>
      <c r="R38" s="123"/>
      <c r="S38" s="123"/>
      <c r="T38" s="50"/>
      <c r="U38" s="50"/>
      <c r="V38" s="50"/>
      <c r="W38" s="50"/>
      <c r="X38" s="55"/>
      <c r="Y38" s="52"/>
      <c r="Z38" s="50"/>
      <c r="AA38" s="50"/>
      <c r="AB38" s="50"/>
      <c r="AC38" s="50"/>
      <c r="AD38" s="50">
        <f>+AM38+BA38</f>
        <v>0</v>
      </c>
      <c r="AE38" s="101" t="s">
        <v>214</v>
      </c>
      <c r="AF38" s="124"/>
      <c r="AG38" s="124"/>
      <c r="AH38" s="124">
        <v>0</v>
      </c>
      <c r="AJ38" s="50"/>
      <c r="AK38" s="50"/>
      <c r="AL38" s="50"/>
      <c r="AM38" s="50">
        <f t="shared" si="9"/>
        <v>0</v>
      </c>
      <c r="AN38" s="50"/>
      <c r="AO38" s="50"/>
      <c r="AP38" s="50"/>
      <c r="AQ38" s="50"/>
      <c r="AR38" s="50">
        <f t="shared" si="10"/>
        <v>0</v>
      </c>
      <c r="AS38" s="50"/>
      <c r="AT38" s="50"/>
      <c r="AU38" s="50"/>
      <c r="AV38" s="50"/>
      <c r="AW38" s="50"/>
      <c r="AX38" s="50"/>
      <c r="AY38" s="50"/>
      <c r="AZ38" s="50"/>
      <c r="BA38" s="50">
        <f>+AR38+AS38+AU38+AW38+AY38+AZ38</f>
        <v>0</v>
      </c>
      <c r="BB38" s="124"/>
      <c r="BC38" s="146"/>
      <c r="BD38" s="146"/>
      <c r="BE38" s="124"/>
      <c r="BF38" s="146"/>
    </row>
    <row r="39" spans="1:58" ht="12.95" customHeight="1" x14ac:dyDescent="0.2">
      <c r="A39" s="117"/>
      <c r="B39" s="118"/>
      <c r="C39" s="119"/>
      <c r="D39" s="118"/>
      <c r="E39" s="37"/>
      <c r="F39" s="37"/>
      <c r="G39" s="127"/>
      <c r="H39" s="121"/>
      <c r="I39" s="45"/>
      <c r="J39" s="46"/>
      <c r="K39" s="46"/>
      <c r="L39" s="122"/>
      <c r="M39" s="122"/>
      <c r="N39" s="47"/>
      <c r="O39" s="48"/>
      <c r="P39" s="49"/>
      <c r="Q39" s="56"/>
      <c r="R39" s="123"/>
      <c r="S39" s="123"/>
      <c r="T39" s="50"/>
      <c r="U39" s="50"/>
      <c r="V39" s="50"/>
      <c r="W39" s="50"/>
      <c r="X39" s="55"/>
      <c r="Y39" s="52"/>
      <c r="Z39" s="50"/>
      <c r="AA39" s="50"/>
      <c r="AB39" s="50"/>
      <c r="AC39" s="50"/>
      <c r="AD39" s="50">
        <f>+AM39+BA39</f>
        <v>0</v>
      </c>
      <c r="AE39" s="148" t="s">
        <v>162</v>
      </c>
      <c r="AF39" s="50"/>
      <c r="AG39" s="50"/>
      <c r="AH39" s="50"/>
      <c r="AI39" s="54">
        <v>0</v>
      </c>
      <c r="AJ39" s="50"/>
      <c r="AK39" s="50"/>
      <c r="AL39" s="50"/>
      <c r="AM39" s="50">
        <f t="shared" si="9"/>
        <v>0</v>
      </c>
      <c r="AN39" s="50"/>
      <c r="AO39" s="50"/>
      <c r="AP39" s="50"/>
      <c r="AQ39" s="50"/>
      <c r="AR39" s="50">
        <f t="shared" si="10"/>
        <v>0</v>
      </c>
      <c r="AS39" s="50"/>
      <c r="AT39" s="50"/>
      <c r="AU39" s="50"/>
      <c r="AV39" s="50"/>
      <c r="AW39" s="50"/>
      <c r="AX39" s="50"/>
      <c r="AY39" s="50"/>
      <c r="AZ39" s="50"/>
      <c r="BA39" s="50">
        <f>+AR39+AS39+AU39+AW39+AY39+AZ39</f>
        <v>0</v>
      </c>
      <c r="BB39" s="126"/>
      <c r="BC39" s="116"/>
      <c r="BD39" s="116"/>
      <c r="BE39" s="126"/>
      <c r="BF39" s="116"/>
    </row>
    <row r="40" spans="1:58" ht="12.95" customHeight="1" x14ac:dyDescent="0.2">
      <c r="A40" s="117"/>
      <c r="B40" s="118"/>
      <c r="C40" s="119"/>
      <c r="D40" s="118"/>
      <c r="E40" s="37"/>
      <c r="F40" s="37"/>
      <c r="G40" s="127"/>
      <c r="H40" s="121"/>
      <c r="I40" s="45"/>
      <c r="J40" s="46"/>
      <c r="K40" s="46"/>
      <c r="L40" s="122"/>
      <c r="M40" s="122"/>
      <c r="N40" s="47"/>
      <c r="O40" s="48"/>
      <c r="P40" s="49"/>
      <c r="Q40" s="56"/>
      <c r="R40" s="123"/>
      <c r="S40" s="123"/>
      <c r="T40" s="50"/>
      <c r="U40" s="50"/>
      <c r="V40" s="50"/>
      <c r="W40" s="50"/>
      <c r="X40" s="55"/>
      <c r="Y40" s="52"/>
      <c r="Z40" s="50"/>
      <c r="AA40" s="50"/>
      <c r="AB40" s="50"/>
      <c r="AC40" s="50"/>
      <c r="AD40" s="50">
        <f>+AM40+BA40</f>
        <v>0</v>
      </c>
      <c r="AE40" s="148" t="s">
        <v>246</v>
      </c>
      <c r="AF40" s="50"/>
      <c r="AG40" s="50"/>
      <c r="AH40" s="50"/>
      <c r="AI40" s="54"/>
      <c r="AJ40" s="50"/>
      <c r="AK40" s="50"/>
      <c r="AL40" s="50"/>
      <c r="AM40" s="50">
        <f t="shared" si="9"/>
        <v>0</v>
      </c>
      <c r="AN40" s="50"/>
      <c r="AO40" s="50"/>
      <c r="AP40" s="50"/>
      <c r="AQ40" s="50"/>
      <c r="AR40" s="50">
        <f t="shared" si="10"/>
        <v>0</v>
      </c>
      <c r="AS40" s="50"/>
      <c r="AT40" s="50"/>
      <c r="AU40" s="50"/>
      <c r="AV40" s="50"/>
      <c r="AW40" s="50"/>
      <c r="AX40" s="50"/>
      <c r="AY40" s="50"/>
      <c r="AZ40" s="50">
        <f>1440-1440</f>
        <v>0</v>
      </c>
      <c r="BA40" s="50">
        <f>+AR40+AS40+AU40+AW40+AY40+AZ40</f>
        <v>0</v>
      </c>
      <c r="BB40" s="126"/>
      <c r="BC40" s="116"/>
      <c r="BD40" s="116"/>
      <c r="BE40" s="124"/>
      <c r="BF40" s="116"/>
    </row>
    <row r="41" spans="1:58" ht="12.95" customHeight="1" x14ac:dyDescent="0.2">
      <c r="A41" s="117"/>
      <c r="B41" s="118"/>
      <c r="C41" s="119"/>
      <c r="D41" s="118"/>
      <c r="E41" s="37"/>
      <c r="F41" s="37"/>
      <c r="G41" s="127"/>
      <c r="H41" s="121"/>
      <c r="I41" s="45"/>
      <c r="J41" s="46"/>
      <c r="K41" s="46"/>
      <c r="L41" s="122"/>
      <c r="M41" s="122"/>
      <c r="N41" s="47"/>
      <c r="O41" s="48"/>
      <c r="P41" s="49"/>
      <c r="Q41" s="48"/>
      <c r="R41" s="123"/>
      <c r="S41" s="123"/>
      <c r="T41" s="50"/>
      <c r="U41" s="50"/>
      <c r="V41" s="50"/>
      <c r="W41" s="50"/>
      <c r="X41" s="55"/>
      <c r="Y41" s="52"/>
      <c r="Z41" s="50"/>
      <c r="AA41" s="50"/>
      <c r="AB41" s="50"/>
      <c r="AC41" s="50"/>
      <c r="AD41" s="50"/>
      <c r="AE41" s="101"/>
      <c r="AF41" s="124"/>
      <c r="AG41" s="124"/>
      <c r="AH41" s="124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124"/>
      <c r="BC41" s="146"/>
      <c r="BD41" s="116"/>
      <c r="BE41" s="116"/>
      <c r="BF41" s="116"/>
    </row>
    <row r="42" spans="1:58" ht="12.75" customHeight="1" x14ac:dyDescent="0.2">
      <c r="A42" s="117">
        <v>45968</v>
      </c>
      <c r="B42" s="118" t="s">
        <v>213</v>
      </c>
      <c r="C42" s="119">
        <f>(M42*E42*O42*Q42)/100000000</f>
        <v>0</v>
      </c>
      <c r="D42" s="118" t="s">
        <v>177</v>
      </c>
      <c r="E42" s="37">
        <v>12</v>
      </c>
      <c r="F42" s="37">
        <v>1</v>
      </c>
      <c r="G42" s="120">
        <v>1230</v>
      </c>
      <c r="H42" s="121">
        <f>+N42</f>
        <v>0.23417344173441734</v>
      </c>
      <c r="I42" s="45">
        <v>0.88</v>
      </c>
      <c r="J42" s="46">
        <f>E42*G42*(1-H42)*1440/1000000*2.74</f>
        <v>44.599484159999996</v>
      </c>
      <c r="K42" s="46">
        <f>(IF(G42&lt;L42,L42,G42)*(1-IF(H42&lt;N42,H42,N42))*E42*O42*Q42)/100000000</f>
        <v>0</v>
      </c>
      <c r="L42" s="122">
        <v>1230</v>
      </c>
      <c r="M42" s="122">
        <v>941.9666666666667</v>
      </c>
      <c r="N42" s="47">
        <f>1-(M42/L42)</f>
        <v>0.23417344173441734</v>
      </c>
      <c r="O42" s="48">
        <f>+'[3]Trim Rwd'!H16</f>
        <v>266</v>
      </c>
      <c r="P42" s="49">
        <f>O42*(Q42-R42-S42)</f>
        <v>0</v>
      </c>
      <c r="Q42" s="48">
        <f>1440-1440</f>
        <v>0</v>
      </c>
      <c r="R42" s="123">
        <f>1440-1440</f>
        <v>0</v>
      </c>
      <c r="S42" s="123">
        <v>0</v>
      </c>
      <c r="T42" s="50">
        <f>E42*M42*O42*Q42/100000000</f>
        <v>0</v>
      </c>
      <c r="U42" s="50">
        <f>E42*M42*O42*(Q42-R42-S42)/100000000</f>
        <v>0</v>
      </c>
      <c r="V42" s="50">
        <f>E42*G42*(1-N42)*O42/100*(R42+S42)/1000000</f>
        <v>0</v>
      </c>
      <c r="W42" s="50">
        <v>0</v>
      </c>
      <c r="X42" s="51" t="e">
        <f>SUM(W42:W46)/SUM(K42:K46)</f>
        <v>#DIV/0!</v>
      </c>
      <c r="Y42" s="52">
        <v>0</v>
      </c>
      <c r="Z42" s="50">
        <v>0</v>
      </c>
      <c r="AA42" s="53">
        <f>SUM(U42:U46)-SUM(W42:W46)-SUM(Z42:Z46)-SUM(Y42:Y46)</f>
        <v>0</v>
      </c>
      <c r="AB42" s="53">
        <f>(SUM(K42:K46)-SUM(W42:W46)-SUM(Y42:Y46)-SUM(Z42:Z46)-SUM(AC42:AC46)-SUM(V42:V46))-AA42</f>
        <v>0</v>
      </c>
      <c r="AC42" s="50">
        <f>K42-T42</f>
        <v>0</v>
      </c>
      <c r="AD42" s="50">
        <f>+AM42+BA42</f>
        <v>0</v>
      </c>
      <c r="AE42" s="101" t="s">
        <v>110</v>
      </c>
      <c r="AF42" s="50">
        <v>0</v>
      </c>
      <c r="AG42" s="50"/>
      <c r="AH42" s="50"/>
      <c r="AI42" s="54"/>
      <c r="AJ42" s="50"/>
      <c r="AK42" s="50"/>
      <c r="AL42" s="50"/>
      <c r="AM42" s="50">
        <f t="shared" ref="AM42:AM46" si="11">SUM(AF42:AL42)+AT42+AV42+AX42</f>
        <v>0</v>
      </c>
      <c r="AN42" s="50"/>
      <c r="AO42" s="50"/>
      <c r="AP42" s="50"/>
      <c r="AQ42" s="50"/>
      <c r="AR42" s="50">
        <f>SUM(AN42:AQ42)</f>
        <v>0</v>
      </c>
      <c r="AS42" s="50"/>
      <c r="AT42" s="50"/>
      <c r="AU42" s="50"/>
      <c r="AV42" s="50"/>
      <c r="AW42" s="50"/>
      <c r="AX42" s="50"/>
      <c r="AY42" s="50"/>
      <c r="AZ42" s="50"/>
      <c r="BA42" s="50">
        <f>+AR42+AS42+AU42+AW42+AY42+AZ42</f>
        <v>0</v>
      </c>
      <c r="BB42" s="124">
        <v>0</v>
      </c>
      <c r="BC42" s="116"/>
      <c r="BD42" s="116"/>
      <c r="BE42" s="124"/>
      <c r="BF42" s="116"/>
    </row>
    <row r="43" spans="1:58" ht="12.95" customHeight="1" x14ac:dyDescent="0.2">
      <c r="A43" s="117"/>
      <c r="B43" s="118"/>
      <c r="C43" s="119"/>
      <c r="D43" s="118"/>
      <c r="E43" s="37"/>
      <c r="F43" s="37"/>
      <c r="G43" s="120"/>
      <c r="H43" s="121"/>
      <c r="I43" s="45"/>
      <c r="J43" s="46"/>
      <c r="K43" s="46"/>
      <c r="L43" s="122"/>
      <c r="M43" s="122"/>
      <c r="N43" s="47"/>
      <c r="O43" s="48"/>
      <c r="P43" s="49"/>
      <c r="Q43" s="48"/>
      <c r="R43" s="123"/>
      <c r="S43" s="123"/>
      <c r="T43" s="50"/>
      <c r="U43" s="50"/>
      <c r="V43" s="50"/>
      <c r="W43" s="50"/>
      <c r="X43" s="55"/>
      <c r="Y43" s="52"/>
      <c r="Z43" s="50"/>
      <c r="AA43" s="50"/>
      <c r="AB43" s="50"/>
      <c r="AC43" s="50"/>
      <c r="AD43" s="50">
        <f>+AM43+BA43</f>
        <v>0</v>
      </c>
      <c r="AE43" s="101" t="s">
        <v>111</v>
      </c>
      <c r="AF43" s="50"/>
      <c r="AG43" s="50">
        <v>0</v>
      </c>
      <c r="AH43" s="50"/>
      <c r="AI43" s="54"/>
      <c r="AJ43" s="50"/>
      <c r="AK43" s="50"/>
      <c r="AL43" s="50"/>
      <c r="AM43" s="50">
        <f t="shared" si="11"/>
        <v>0</v>
      </c>
      <c r="AN43" s="125"/>
      <c r="AO43" s="50"/>
      <c r="AP43" s="50"/>
      <c r="AQ43" s="50"/>
      <c r="AR43" s="50">
        <f t="shared" ref="AR43:AR46" si="12">SUM(AN43:AQ43)</f>
        <v>0</v>
      </c>
      <c r="AS43" s="50"/>
      <c r="AT43" s="50"/>
      <c r="AU43" s="50"/>
      <c r="AV43" s="50"/>
      <c r="AW43" s="50"/>
      <c r="AX43" s="50"/>
      <c r="AY43" s="50"/>
      <c r="AZ43" s="50"/>
      <c r="BA43" s="50">
        <f>+AR43+AS43+AU43+AW43+AY43+AZ43</f>
        <v>0</v>
      </c>
      <c r="BB43" s="126"/>
      <c r="BC43" s="116">
        <v>0</v>
      </c>
      <c r="BD43" s="116"/>
      <c r="BE43" s="126"/>
      <c r="BF43" s="116"/>
    </row>
    <row r="44" spans="1:58" ht="12.95" customHeight="1" x14ac:dyDescent="0.2">
      <c r="A44" s="117"/>
      <c r="B44" s="118"/>
      <c r="C44" s="119"/>
      <c r="D44" s="118"/>
      <c r="E44" s="37"/>
      <c r="F44" s="37"/>
      <c r="G44" s="127"/>
      <c r="H44" s="121"/>
      <c r="I44" s="45"/>
      <c r="J44" s="46"/>
      <c r="K44" s="46"/>
      <c r="L44" s="122"/>
      <c r="M44" s="122"/>
      <c r="N44" s="47"/>
      <c r="O44" s="48"/>
      <c r="P44" s="49"/>
      <c r="Q44" s="48"/>
      <c r="R44" s="123"/>
      <c r="S44" s="123"/>
      <c r="T44" s="50"/>
      <c r="U44" s="50"/>
      <c r="V44" s="50"/>
      <c r="W44" s="50"/>
      <c r="X44" s="55"/>
      <c r="Y44" s="52"/>
      <c r="Z44" s="50"/>
      <c r="AA44" s="50"/>
      <c r="AB44" s="50"/>
      <c r="AC44" s="50"/>
      <c r="AD44" s="50">
        <f>+AM44+BA44</f>
        <v>0</v>
      </c>
      <c r="AE44" s="101" t="s">
        <v>214</v>
      </c>
      <c r="AF44" s="124"/>
      <c r="AG44" s="124"/>
      <c r="AH44" s="124">
        <v>0</v>
      </c>
      <c r="AJ44" s="50"/>
      <c r="AK44" s="50"/>
      <c r="AL44" s="50"/>
      <c r="AM44" s="50">
        <f t="shared" si="11"/>
        <v>0</v>
      </c>
      <c r="AN44" s="50"/>
      <c r="AO44" s="50"/>
      <c r="AP44" s="50"/>
      <c r="AQ44" s="50"/>
      <c r="AR44" s="50">
        <f t="shared" si="12"/>
        <v>0</v>
      </c>
      <c r="AS44" s="50"/>
      <c r="AT44" s="50"/>
      <c r="AU44" s="50"/>
      <c r="AV44" s="50"/>
      <c r="AW44" s="50"/>
      <c r="AX44" s="50"/>
      <c r="AY44" s="50"/>
      <c r="AZ44" s="50"/>
      <c r="BA44" s="50">
        <f>+AR44+AS44+AU44+AW44+AY44+AZ44</f>
        <v>0</v>
      </c>
      <c r="BB44" s="124"/>
      <c r="BC44" s="146"/>
      <c r="BD44" s="146"/>
      <c r="BE44" s="124"/>
      <c r="BF44" s="146"/>
    </row>
    <row r="45" spans="1:58" ht="12.95" customHeight="1" x14ac:dyDescent="0.2">
      <c r="A45" s="117"/>
      <c r="B45" s="118"/>
      <c r="C45" s="119"/>
      <c r="D45" s="118"/>
      <c r="E45" s="37"/>
      <c r="F45" s="37"/>
      <c r="G45" s="127"/>
      <c r="H45" s="121"/>
      <c r="I45" s="45"/>
      <c r="J45" s="46"/>
      <c r="K45" s="46"/>
      <c r="L45" s="122"/>
      <c r="M45" s="122"/>
      <c r="N45" s="47"/>
      <c r="O45" s="48"/>
      <c r="P45" s="49"/>
      <c r="Q45" s="56"/>
      <c r="R45" s="123"/>
      <c r="S45" s="123"/>
      <c r="T45" s="50"/>
      <c r="U45" s="50"/>
      <c r="V45" s="50"/>
      <c r="W45" s="50"/>
      <c r="X45" s="55"/>
      <c r="Y45" s="52"/>
      <c r="Z45" s="50"/>
      <c r="AA45" s="50"/>
      <c r="AB45" s="50"/>
      <c r="AC45" s="50"/>
      <c r="AD45" s="50">
        <f>+AM45+BA45</f>
        <v>0</v>
      </c>
      <c r="AE45" s="148" t="s">
        <v>162</v>
      </c>
      <c r="AF45" s="50"/>
      <c r="AG45" s="50"/>
      <c r="AH45" s="50"/>
      <c r="AI45" s="54">
        <v>0</v>
      </c>
      <c r="AJ45" s="50"/>
      <c r="AK45" s="50"/>
      <c r="AL45" s="50"/>
      <c r="AM45" s="50">
        <f t="shared" si="11"/>
        <v>0</v>
      </c>
      <c r="AN45" s="50"/>
      <c r="AO45" s="50"/>
      <c r="AP45" s="50"/>
      <c r="AQ45" s="50"/>
      <c r="AR45" s="50">
        <f t="shared" si="12"/>
        <v>0</v>
      </c>
      <c r="AS45" s="50"/>
      <c r="AT45" s="50"/>
      <c r="AU45" s="50"/>
      <c r="AV45" s="50"/>
      <c r="AW45" s="50"/>
      <c r="AX45" s="50"/>
      <c r="AY45" s="50"/>
      <c r="AZ45" s="50"/>
      <c r="BA45" s="50">
        <f>+AR45+AS45+AU45+AW45+AY45+AZ45</f>
        <v>0</v>
      </c>
      <c r="BB45" s="126"/>
      <c r="BC45" s="116"/>
      <c r="BD45" s="116"/>
      <c r="BE45" s="126"/>
      <c r="BF45" s="116"/>
    </row>
    <row r="46" spans="1:58" ht="12.95" customHeight="1" x14ac:dyDescent="0.2">
      <c r="A46" s="117"/>
      <c r="B46" s="118"/>
      <c r="C46" s="119"/>
      <c r="D46" s="118"/>
      <c r="E46" s="37"/>
      <c r="F46" s="37"/>
      <c r="G46" s="127"/>
      <c r="H46" s="121"/>
      <c r="I46" s="45"/>
      <c r="J46" s="46"/>
      <c r="K46" s="46"/>
      <c r="L46" s="122"/>
      <c r="M46" s="122"/>
      <c r="N46" s="47"/>
      <c r="O46" s="48"/>
      <c r="P46" s="49"/>
      <c r="Q46" s="56"/>
      <c r="R46" s="123"/>
      <c r="S46" s="123"/>
      <c r="T46" s="50"/>
      <c r="U46" s="50"/>
      <c r="V46" s="50"/>
      <c r="W46" s="50"/>
      <c r="X46" s="55"/>
      <c r="Y46" s="52"/>
      <c r="Z46" s="50"/>
      <c r="AA46" s="50"/>
      <c r="AB46" s="50"/>
      <c r="AC46" s="50"/>
      <c r="AD46" s="50">
        <f>+AM46+BA46</f>
        <v>0</v>
      </c>
      <c r="AE46" s="148" t="s">
        <v>246</v>
      </c>
      <c r="AF46" s="50"/>
      <c r="AG46" s="50"/>
      <c r="AH46" s="50"/>
      <c r="AI46" s="54"/>
      <c r="AJ46" s="50"/>
      <c r="AK46" s="50"/>
      <c r="AL46" s="50"/>
      <c r="AM46" s="50">
        <f t="shared" si="11"/>
        <v>0</v>
      </c>
      <c r="AN46" s="50"/>
      <c r="AO46" s="50"/>
      <c r="AP46" s="50"/>
      <c r="AQ46" s="50"/>
      <c r="AR46" s="50">
        <f t="shared" si="12"/>
        <v>0</v>
      </c>
      <c r="AS46" s="50"/>
      <c r="AT46" s="50"/>
      <c r="AU46" s="50"/>
      <c r="AV46" s="50"/>
      <c r="AW46" s="50"/>
      <c r="AX46" s="50"/>
      <c r="AY46" s="50"/>
      <c r="AZ46" s="50">
        <f>1440-1440</f>
        <v>0</v>
      </c>
      <c r="BA46" s="50">
        <f>+AR46+AS46+AU46+AW46+AY46+AZ46</f>
        <v>0</v>
      </c>
      <c r="BB46" s="126"/>
      <c r="BC46" s="116"/>
      <c r="BD46" s="116"/>
      <c r="BE46" s="124"/>
      <c r="BF46" s="116"/>
    </row>
    <row r="47" spans="1:58" ht="12.95" customHeight="1" x14ac:dyDescent="0.2">
      <c r="A47" s="117"/>
      <c r="B47" s="118"/>
      <c r="C47" s="119"/>
      <c r="D47" s="118"/>
      <c r="E47" s="37"/>
      <c r="F47" s="37"/>
      <c r="G47" s="127"/>
      <c r="H47" s="121"/>
      <c r="I47" s="45"/>
      <c r="J47" s="46"/>
      <c r="K47" s="46"/>
      <c r="L47" s="122"/>
      <c r="M47" s="122"/>
      <c r="N47" s="47"/>
      <c r="O47" s="48"/>
      <c r="P47" s="49"/>
      <c r="Q47" s="56"/>
      <c r="R47" s="123"/>
      <c r="S47" s="123"/>
      <c r="T47" s="50"/>
      <c r="U47" s="50"/>
      <c r="V47" s="50"/>
      <c r="W47" s="50"/>
      <c r="X47" s="55"/>
      <c r="Y47" s="52"/>
      <c r="Z47" s="50"/>
      <c r="AA47" s="50"/>
      <c r="AB47" s="50"/>
      <c r="AC47" s="50"/>
      <c r="AD47" s="50"/>
      <c r="AE47" s="148"/>
      <c r="AF47" s="50"/>
      <c r="AG47" s="50"/>
      <c r="AH47" s="50"/>
      <c r="AI47" s="54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126"/>
      <c r="BC47" s="116"/>
      <c r="BD47" s="116"/>
      <c r="BE47" s="116"/>
      <c r="BF47" s="116"/>
    </row>
    <row r="48" spans="1:58" ht="12.75" customHeight="1" x14ac:dyDescent="0.2">
      <c r="A48" s="117">
        <v>45969</v>
      </c>
      <c r="B48" s="118" t="s">
        <v>213</v>
      </c>
      <c r="C48" s="119">
        <f>(M48*E48*O48*Q48)/100000000</f>
        <v>0</v>
      </c>
      <c r="D48" s="118" t="s">
        <v>177</v>
      </c>
      <c r="E48" s="37">
        <v>12</v>
      </c>
      <c r="F48" s="37">
        <v>1</v>
      </c>
      <c r="G48" s="120">
        <v>1230</v>
      </c>
      <c r="H48" s="121">
        <f>+N48</f>
        <v>0.23417344173441734</v>
      </c>
      <c r="I48" s="45">
        <v>0.88</v>
      </c>
      <c r="J48" s="46">
        <f>E48*G48*(1-H48)*1440/1000000*2.74</f>
        <v>44.599484159999996</v>
      </c>
      <c r="K48" s="46">
        <f>(IF(G48&lt;L48,L48,G48)*(1-IF(H48&lt;N48,H48,N48))*E48*O48*Q48)/100000000</f>
        <v>0</v>
      </c>
      <c r="L48" s="122">
        <v>1230</v>
      </c>
      <c r="M48" s="122">
        <v>941.9666666666667</v>
      </c>
      <c r="N48" s="47">
        <f>1-(M48/L48)</f>
        <v>0.23417344173441734</v>
      </c>
      <c r="O48" s="48">
        <f>+'[3]Trim Rwd'!H18</f>
        <v>266</v>
      </c>
      <c r="P48" s="49">
        <f>O48*(Q48-R48-S48)</f>
        <v>0</v>
      </c>
      <c r="Q48" s="48">
        <f>1440-1440</f>
        <v>0</v>
      </c>
      <c r="R48" s="123">
        <f>1440-1440</f>
        <v>0</v>
      </c>
      <c r="S48" s="123">
        <v>0</v>
      </c>
      <c r="T48" s="50">
        <f>E48*M48*O48*Q48/100000000</f>
        <v>0</v>
      </c>
      <c r="U48" s="50">
        <f>E48*M48*O48*(Q48-R48-S48)/100000000</f>
        <v>0</v>
      </c>
      <c r="V48" s="50">
        <f>E48*G48*(1-N48)*O48/100*(R48+S48)/1000000</f>
        <v>0</v>
      </c>
      <c r="W48" s="50">
        <v>0</v>
      </c>
      <c r="X48" s="51" t="e">
        <f>SUM(W48:W52)/SUM(K48:K52)</f>
        <v>#DIV/0!</v>
      </c>
      <c r="Y48" s="52">
        <v>0</v>
      </c>
      <c r="Z48" s="50">
        <v>0</v>
      </c>
      <c r="AA48" s="53">
        <f>SUM(U48:U52)-SUM(W48:W52)-SUM(Z48:Z52)-SUM(Y48:Y52)</f>
        <v>0</v>
      </c>
      <c r="AB48" s="53">
        <f>(SUM(K48:K52)-SUM(W48:W52)-SUM(Y48:Y52)-SUM(Z48:Z52)-SUM(AC48:AC52)-SUM(V48:V52))-AA48</f>
        <v>0</v>
      </c>
      <c r="AC48" s="50">
        <f>K48-T48</f>
        <v>0</v>
      </c>
      <c r="AD48" s="50">
        <f>+AM48+BA48</f>
        <v>0</v>
      </c>
      <c r="AE48" s="101" t="s">
        <v>110</v>
      </c>
      <c r="AF48" s="50">
        <v>0</v>
      </c>
      <c r="AG48" s="50"/>
      <c r="AH48" s="50"/>
      <c r="AI48" s="54"/>
      <c r="AJ48" s="50"/>
      <c r="AK48" s="50"/>
      <c r="AL48" s="50"/>
      <c r="AM48" s="50">
        <f t="shared" ref="AM48:AM52" si="13">SUM(AF48:AL48)+AT48+AV48+AX48</f>
        <v>0</v>
      </c>
      <c r="AN48" s="50"/>
      <c r="AO48" s="50"/>
      <c r="AP48" s="50"/>
      <c r="AQ48" s="50"/>
      <c r="AR48" s="50">
        <f>SUM(AN48:AQ48)</f>
        <v>0</v>
      </c>
      <c r="AS48" s="50"/>
      <c r="AT48" s="50"/>
      <c r="AU48" s="50"/>
      <c r="AV48" s="50"/>
      <c r="AW48" s="50"/>
      <c r="AX48" s="50"/>
      <c r="AY48" s="50"/>
      <c r="AZ48" s="50"/>
      <c r="BA48" s="50">
        <f>+AR48+AS48+AU48+AW48+AY48+AZ48</f>
        <v>0</v>
      </c>
      <c r="BB48" s="124">
        <v>0</v>
      </c>
      <c r="BC48" s="116"/>
      <c r="BD48" s="116"/>
      <c r="BE48" s="124"/>
      <c r="BF48" s="116"/>
    </row>
    <row r="49" spans="1:58" ht="12.95" customHeight="1" x14ac:dyDescent="0.2">
      <c r="A49" s="117"/>
      <c r="B49" s="118"/>
      <c r="C49" s="119"/>
      <c r="D49" s="118"/>
      <c r="E49" s="37"/>
      <c r="F49" s="37"/>
      <c r="G49" s="120"/>
      <c r="H49" s="121"/>
      <c r="I49" s="45"/>
      <c r="J49" s="46"/>
      <c r="K49" s="46"/>
      <c r="L49" s="122"/>
      <c r="M49" s="122"/>
      <c r="N49" s="47"/>
      <c r="O49" s="48"/>
      <c r="P49" s="49"/>
      <c r="Q49" s="48"/>
      <c r="R49" s="123"/>
      <c r="S49" s="123"/>
      <c r="T49" s="50"/>
      <c r="U49" s="50"/>
      <c r="V49" s="50"/>
      <c r="W49" s="50"/>
      <c r="X49" s="55"/>
      <c r="Y49" s="52"/>
      <c r="Z49" s="50"/>
      <c r="AA49" s="50"/>
      <c r="AB49" s="50"/>
      <c r="AC49" s="50"/>
      <c r="AD49" s="50">
        <f>+AM49+BA49</f>
        <v>0</v>
      </c>
      <c r="AE49" s="101" t="s">
        <v>111</v>
      </c>
      <c r="AF49" s="50"/>
      <c r="AG49" s="50">
        <v>0</v>
      </c>
      <c r="AH49" s="50"/>
      <c r="AI49" s="54"/>
      <c r="AJ49" s="50"/>
      <c r="AK49" s="50"/>
      <c r="AL49" s="50"/>
      <c r="AM49" s="50">
        <f t="shared" si="13"/>
        <v>0</v>
      </c>
      <c r="AN49" s="125"/>
      <c r="AO49" s="50"/>
      <c r="AP49" s="50"/>
      <c r="AQ49" s="50"/>
      <c r="AR49" s="50">
        <f t="shared" ref="AR49:AR52" si="14">SUM(AN49:AQ49)</f>
        <v>0</v>
      </c>
      <c r="AS49" s="50"/>
      <c r="AT49" s="50"/>
      <c r="AU49" s="50"/>
      <c r="AV49" s="50"/>
      <c r="AW49" s="50"/>
      <c r="AX49" s="50"/>
      <c r="AY49" s="50"/>
      <c r="AZ49" s="50"/>
      <c r="BA49" s="50">
        <f>+AR49+AS49+AU49+AW49+AY49+AZ49</f>
        <v>0</v>
      </c>
      <c r="BB49" s="126"/>
      <c r="BC49" s="116">
        <v>0</v>
      </c>
      <c r="BD49" s="116"/>
      <c r="BE49" s="126"/>
      <c r="BF49" s="116"/>
    </row>
    <row r="50" spans="1:58" ht="12.95" customHeight="1" x14ac:dyDescent="0.2">
      <c r="A50" s="117"/>
      <c r="B50" s="118"/>
      <c r="C50" s="119"/>
      <c r="D50" s="118"/>
      <c r="E50" s="37"/>
      <c r="F50" s="37"/>
      <c r="G50" s="127"/>
      <c r="H50" s="121"/>
      <c r="I50" s="45"/>
      <c r="J50" s="46"/>
      <c r="K50" s="46"/>
      <c r="L50" s="122"/>
      <c r="M50" s="122"/>
      <c r="N50" s="47"/>
      <c r="O50" s="48"/>
      <c r="P50" s="49"/>
      <c r="Q50" s="48"/>
      <c r="R50" s="123"/>
      <c r="S50" s="123"/>
      <c r="T50" s="50"/>
      <c r="U50" s="50"/>
      <c r="V50" s="50"/>
      <c r="W50" s="50"/>
      <c r="X50" s="55"/>
      <c r="Y50" s="52"/>
      <c r="Z50" s="50"/>
      <c r="AA50" s="50"/>
      <c r="AB50" s="50"/>
      <c r="AC50" s="50"/>
      <c r="AD50" s="50">
        <f>+AM50+BA50</f>
        <v>0</v>
      </c>
      <c r="AE50" s="101" t="s">
        <v>214</v>
      </c>
      <c r="AF50" s="124"/>
      <c r="AG50" s="124"/>
      <c r="AH50" s="124">
        <v>0</v>
      </c>
      <c r="AJ50" s="50"/>
      <c r="AK50" s="50"/>
      <c r="AL50" s="50"/>
      <c r="AM50" s="50">
        <f t="shared" si="13"/>
        <v>0</v>
      </c>
      <c r="AN50" s="50"/>
      <c r="AO50" s="50"/>
      <c r="AP50" s="50"/>
      <c r="AQ50" s="50"/>
      <c r="AR50" s="50">
        <f t="shared" si="14"/>
        <v>0</v>
      </c>
      <c r="AS50" s="50"/>
      <c r="AT50" s="50"/>
      <c r="AU50" s="50"/>
      <c r="AV50" s="50"/>
      <c r="AW50" s="50"/>
      <c r="AX50" s="50"/>
      <c r="AY50" s="50"/>
      <c r="AZ50" s="50"/>
      <c r="BA50" s="50">
        <f>+AR50+AS50+AU50+AW50+AY50+AZ50</f>
        <v>0</v>
      </c>
      <c r="BB50" s="124"/>
      <c r="BC50" s="146"/>
      <c r="BD50" s="146"/>
      <c r="BE50" s="124"/>
      <c r="BF50" s="146"/>
    </row>
    <row r="51" spans="1:58" ht="12.95" customHeight="1" x14ac:dyDescent="0.2">
      <c r="A51" s="117"/>
      <c r="B51" s="118"/>
      <c r="C51" s="119"/>
      <c r="D51" s="118"/>
      <c r="E51" s="37"/>
      <c r="F51" s="37"/>
      <c r="G51" s="127"/>
      <c r="H51" s="121"/>
      <c r="I51" s="45"/>
      <c r="J51" s="46"/>
      <c r="K51" s="46"/>
      <c r="L51" s="122"/>
      <c r="M51" s="122"/>
      <c r="N51" s="47"/>
      <c r="O51" s="48"/>
      <c r="P51" s="49"/>
      <c r="Q51" s="56"/>
      <c r="R51" s="123"/>
      <c r="S51" s="123"/>
      <c r="T51" s="50"/>
      <c r="U51" s="50"/>
      <c r="V51" s="50"/>
      <c r="W51" s="50"/>
      <c r="X51" s="55"/>
      <c r="Y51" s="52"/>
      <c r="Z51" s="50"/>
      <c r="AA51" s="50"/>
      <c r="AB51" s="50"/>
      <c r="AC51" s="50"/>
      <c r="AD51" s="50">
        <f>+AM51+BA51</f>
        <v>0</v>
      </c>
      <c r="AE51" s="148" t="s">
        <v>162</v>
      </c>
      <c r="AF51" s="50"/>
      <c r="AG51" s="50"/>
      <c r="AH51" s="50"/>
      <c r="AI51" s="54">
        <v>0</v>
      </c>
      <c r="AJ51" s="50"/>
      <c r="AK51" s="50"/>
      <c r="AL51" s="50"/>
      <c r="AM51" s="50">
        <f t="shared" si="13"/>
        <v>0</v>
      </c>
      <c r="AN51" s="50"/>
      <c r="AO51" s="50"/>
      <c r="AP51" s="50"/>
      <c r="AQ51" s="50"/>
      <c r="AR51" s="50">
        <f t="shared" si="14"/>
        <v>0</v>
      </c>
      <c r="AS51" s="50"/>
      <c r="AT51" s="50"/>
      <c r="AU51" s="50"/>
      <c r="AV51" s="50"/>
      <c r="AW51" s="50"/>
      <c r="AX51" s="50"/>
      <c r="AY51" s="50"/>
      <c r="AZ51" s="50"/>
      <c r="BA51" s="50">
        <f>+AR51+AS51+AU51+AW51+AY51+AZ51</f>
        <v>0</v>
      </c>
      <c r="BB51" s="126"/>
      <c r="BC51" s="116"/>
      <c r="BD51" s="116"/>
      <c r="BE51" s="126"/>
      <c r="BF51" s="116"/>
    </row>
    <row r="52" spans="1:58" ht="12.95" customHeight="1" x14ac:dyDescent="0.2">
      <c r="A52" s="117"/>
      <c r="B52" s="118"/>
      <c r="C52" s="119"/>
      <c r="D52" s="118"/>
      <c r="E52" s="37"/>
      <c r="F52" s="37"/>
      <c r="G52" s="127"/>
      <c r="H52" s="121"/>
      <c r="I52" s="45"/>
      <c r="J52" s="46"/>
      <c r="K52" s="46"/>
      <c r="L52" s="122"/>
      <c r="M52" s="122"/>
      <c r="N52" s="47"/>
      <c r="O52" s="48"/>
      <c r="P52" s="49"/>
      <c r="Q52" s="56"/>
      <c r="R52" s="123"/>
      <c r="S52" s="123"/>
      <c r="T52" s="50"/>
      <c r="U52" s="50"/>
      <c r="V52" s="50"/>
      <c r="W52" s="50"/>
      <c r="X52" s="55"/>
      <c r="Y52" s="52"/>
      <c r="Z52" s="50"/>
      <c r="AA52" s="50"/>
      <c r="AB52" s="50"/>
      <c r="AC52" s="50"/>
      <c r="AD52" s="50">
        <f>+AM52+BA52</f>
        <v>0</v>
      </c>
      <c r="AE52" s="148" t="s">
        <v>246</v>
      </c>
      <c r="AF52" s="50"/>
      <c r="AG52" s="50"/>
      <c r="AH52" s="50"/>
      <c r="AI52" s="54"/>
      <c r="AJ52" s="50"/>
      <c r="AK52" s="50"/>
      <c r="AL52" s="50"/>
      <c r="AM52" s="50">
        <f t="shared" si="13"/>
        <v>0</v>
      </c>
      <c r="AN52" s="50"/>
      <c r="AO52" s="50"/>
      <c r="AP52" s="50"/>
      <c r="AQ52" s="50"/>
      <c r="AR52" s="50">
        <f t="shared" si="14"/>
        <v>0</v>
      </c>
      <c r="AS52" s="50"/>
      <c r="AT52" s="50"/>
      <c r="AU52" s="50"/>
      <c r="AV52" s="50"/>
      <c r="AW52" s="50"/>
      <c r="AX52" s="50"/>
      <c r="AY52" s="50"/>
      <c r="AZ52" s="50">
        <f>1440-1440</f>
        <v>0</v>
      </c>
      <c r="BA52" s="50">
        <f>+AR52+AS52+AU52+AW52+AY52+AZ52</f>
        <v>0</v>
      </c>
      <c r="BB52" s="126"/>
      <c r="BC52" s="116"/>
      <c r="BD52" s="116"/>
      <c r="BE52" s="124"/>
      <c r="BF52" s="116"/>
    </row>
    <row r="53" spans="1:58" ht="12.95" customHeight="1" x14ac:dyDescent="0.2">
      <c r="A53" s="117"/>
      <c r="B53" s="118"/>
      <c r="C53" s="119"/>
      <c r="D53" s="118"/>
      <c r="E53" s="37"/>
      <c r="F53" s="37"/>
      <c r="G53" s="127"/>
      <c r="H53" s="121"/>
      <c r="I53" s="45"/>
      <c r="J53" s="46"/>
      <c r="K53" s="46"/>
      <c r="L53" s="122"/>
      <c r="M53" s="122"/>
      <c r="N53" s="47"/>
      <c r="O53" s="48"/>
      <c r="P53" s="49"/>
      <c r="Q53" s="56"/>
      <c r="R53" s="123"/>
      <c r="S53" s="123"/>
      <c r="T53" s="50"/>
      <c r="U53" s="50"/>
      <c r="V53" s="50"/>
      <c r="W53" s="50"/>
      <c r="X53" s="55"/>
      <c r="Y53" s="52"/>
      <c r="Z53" s="50"/>
      <c r="AA53" s="50"/>
      <c r="AB53" s="50"/>
      <c r="AC53" s="50"/>
      <c r="AD53" s="50"/>
      <c r="AE53" s="148"/>
      <c r="AF53" s="50"/>
      <c r="AG53" s="50"/>
      <c r="AH53" s="50"/>
      <c r="AI53" s="54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126"/>
      <c r="BC53" s="116"/>
      <c r="BD53" s="146"/>
      <c r="BE53" s="124"/>
      <c r="BF53" s="146"/>
    </row>
    <row r="54" spans="1:58" ht="12.75" customHeight="1" x14ac:dyDescent="0.2">
      <c r="A54" s="117">
        <v>45970</v>
      </c>
      <c r="B54" s="118" t="s">
        <v>213</v>
      </c>
      <c r="C54" s="119">
        <f>(M54*E54*O54*Q54)/100000000</f>
        <v>0</v>
      </c>
      <c r="D54" s="118" t="s">
        <v>177</v>
      </c>
      <c r="E54" s="37">
        <v>12</v>
      </c>
      <c r="F54" s="37">
        <v>1</v>
      </c>
      <c r="G54" s="120">
        <v>1230</v>
      </c>
      <c r="H54" s="121">
        <f>+N54</f>
        <v>0.23417344173441734</v>
      </c>
      <c r="I54" s="45">
        <v>0.88</v>
      </c>
      <c r="J54" s="46">
        <f>E54*G54*(1-H54)*1440/1000000*2.74</f>
        <v>44.599484159999996</v>
      </c>
      <c r="K54" s="46">
        <f>(IF(G54&lt;L54,L54,G54)*(1-IF(H54&lt;N54,H54,N54))*E54*O54*Q54)/100000000</f>
        <v>0</v>
      </c>
      <c r="L54" s="122">
        <v>1230</v>
      </c>
      <c r="M54" s="122">
        <v>941.9666666666667</v>
      </c>
      <c r="N54" s="47">
        <f>1-(M54/L54)</f>
        <v>0.23417344173441734</v>
      </c>
      <c r="O54" s="48">
        <f>+'[3]Trim Rwd'!H20</f>
        <v>266</v>
      </c>
      <c r="P54" s="49">
        <f>O54*(Q54-R54-S54)</f>
        <v>0</v>
      </c>
      <c r="Q54" s="48">
        <f>1440-1440</f>
        <v>0</v>
      </c>
      <c r="R54" s="123">
        <f>1440-1440</f>
        <v>0</v>
      </c>
      <c r="S54" s="123">
        <v>0</v>
      </c>
      <c r="T54" s="50">
        <f>E54*M54*O54*Q54/100000000</f>
        <v>0</v>
      </c>
      <c r="U54" s="50">
        <f>E54*M54*O54*(Q54-R54-S54)/100000000</f>
        <v>0</v>
      </c>
      <c r="V54" s="50">
        <f>E54*G54*(1-N54)*O54/100*(R54+S54)/1000000</f>
        <v>0</v>
      </c>
      <c r="W54" s="50">
        <v>0</v>
      </c>
      <c r="X54" s="51" t="e">
        <f>SUM(W54:W58)/SUM(K54:K58)</f>
        <v>#DIV/0!</v>
      </c>
      <c r="Y54" s="52">
        <v>0</v>
      </c>
      <c r="Z54" s="50">
        <v>0</v>
      </c>
      <c r="AA54" s="53">
        <f>SUM(U54:U58)-SUM(W54:W58)-SUM(Z54:Z58)-SUM(Y54:Y58)</f>
        <v>0</v>
      </c>
      <c r="AB54" s="53">
        <f>(SUM(K54:K58)-SUM(W54:W58)-SUM(Y54:Y58)-SUM(Z54:Z58)-SUM(AC54:AC58)-SUM(V54:V58))-AA54</f>
        <v>0</v>
      </c>
      <c r="AC54" s="50">
        <f>K54-T54</f>
        <v>0</v>
      </c>
      <c r="AD54" s="50">
        <f>+AM54+BA54</f>
        <v>0</v>
      </c>
      <c r="AE54" s="101" t="s">
        <v>110</v>
      </c>
      <c r="AF54" s="50">
        <v>0</v>
      </c>
      <c r="AG54" s="50"/>
      <c r="AH54" s="50"/>
      <c r="AI54" s="54"/>
      <c r="AJ54" s="50"/>
      <c r="AK54" s="50"/>
      <c r="AL54" s="50"/>
      <c r="AM54" s="50">
        <f t="shared" ref="AM54:AM58" si="15">SUM(AF54:AL54)+AT54+AV54+AX54</f>
        <v>0</v>
      </c>
      <c r="AN54" s="50"/>
      <c r="AO54" s="50"/>
      <c r="AP54" s="50"/>
      <c r="AQ54" s="50"/>
      <c r="AR54" s="50">
        <f>SUM(AN54:AQ54)</f>
        <v>0</v>
      </c>
      <c r="AS54" s="50"/>
      <c r="AT54" s="50"/>
      <c r="AU54" s="50"/>
      <c r="AV54" s="50"/>
      <c r="AW54" s="50"/>
      <c r="AX54" s="50"/>
      <c r="AY54" s="50"/>
      <c r="AZ54" s="50"/>
      <c r="BA54" s="50">
        <f>+AR54+AS54+AU54+AW54+AY54+AZ54</f>
        <v>0</v>
      </c>
      <c r="BB54" s="124">
        <v>0</v>
      </c>
      <c r="BC54" s="116"/>
      <c r="BD54" s="116"/>
      <c r="BE54" s="124"/>
      <c r="BF54" s="116"/>
    </row>
    <row r="55" spans="1:58" ht="12.95" customHeight="1" x14ac:dyDescent="0.2">
      <c r="A55" s="117"/>
      <c r="B55" s="118"/>
      <c r="C55" s="119"/>
      <c r="D55" s="118"/>
      <c r="E55" s="37"/>
      <c r="F55" s="37"/>
      <c r="G55" s="120"/>
      <c r="H55" s="121"/>
      <c r="I55" s="45"/>
      <c r="J55" s="46"/>
      <c r="K55" s="46"/>
      <c r="L55" s="122"/>
      <c r="M55" s="122"/>
      <c r="N55" s="47"/>
      <c r="O55" s="48"/>
      <c r="P55" s="49"/>
      <c r="Q55" s="48"/>
      <c r="R55" s="123"/>
      <c r="S55" s="123"/>
      <c r="T55" s="50"/>
      <c r="U55" s="50"/>
      <c r="V55" s="50"/>
      <c r="W55" s="50"/>
      <c r="X55" s="55"/>
      <c r="Y55" s="52"/>
      <c r="Z55" s="50"/>
      <c r="AA55" s="50"/>
      <c r="AB55" s="50"/>
      <c r="AC55" s="50"/>
      <c r="AD55" s="50">
        <f>+AM55+BA55</f>
        <v>0</v>
      </c>
      <c r="AE55" s="101" t="s">
        <v>111</v>
      </c>
      <c r="AF55" s="50"/>
      <c r="AG55" s="50">
        <v>0</v>
      </c>
      <c r="AH55" s="50"/>
      <c r="AI55" s="54"/>
      <c r="AJ55" s="50"/>
      <c r="AK55" s="50"/>
      <c r="AL55" s="50"/>
      <c r="AM55" s="50">
        <f t="shared" si="15"/>
        <v>0</v>
      </c>
      <c r="AN55" s="125"/>
      <c r="AO55" s="50"/>
      <c r="AP55" s="50"/>
      <c r="AQ55" s="50"/>
      <c r="AR55" s="50">
        <f t="shared" ref="AR55:AR58" si="16">SUM(AN55:AQ55)</f>
        <v>0</v>
      </c>
      <c r="AS55" s="50"/>
      <c r="AT55" s="50"/>
      <c r="AU55" s="50"/>
      <c r="AV55" s="50"/>
      <c r="AW55" s="50"/>
      <c r="AX55" s="50"/>
      <c r="AY55" s="50"/>
      <c r="AZ55" s="50"/>
      <c r="BA55" s="50">
        <f>+AR55+AS55+AU55+AW55+AY55+AZ55</f>
        <v>0</v>
      </c>
      <c r="BB55" s="126"/>
      <c r="BC55" s="116">
        <v>0</v>
      </c>
      <c r="BD55" s="116"/>
      <c r="BE55" s="126"/>
      <c r="BF55" s="116"/>
    </row>
    <row r="56" spans="1:58" ht="12.95" customHeight="1" x14ac:dyDescent="0.2">
      <c r="A56" s="117"/>
      <c r="B56" s="118"/>
      <c r="C56" s="119"/>
      <c r="D56" s="118"/>
      <c r="E56" s="37"/>
      <c r="F56" s="37"/>
      <c r="G56" s="127"/>
      <c r="H56" s="121"/>
      <c r="I56" s="45"/>
      <c r="J56" s="46"/>
      <c r="K56" s="46"/>
      <c r="L56" s="122"/>
      <c r="M56" s="122"/>
      <c r="N56" s="47"/>
      <c r="O56" s="48"/>
      <c r="P56" s="49"/>
      <c r="Q56" s="48"/>
      <c r="R56" s="123"/>
      <c r="S56" s="123"/>
      <c r="T56" s="50"/>
      <c r="U56" s="50"/>
      <c r="V56" s="50"/>
      <c r="W56" s="50"/>
      <c r="X56" s="55"/>
      <c r="Y56" s="52"/>
      <c r="Z56" s="50"/>
      <c r="AA56" s="50"/>
      <c r="AB56" s="50"/>
      <c r="AC56" s="50"/>
      <c r="AD56" s="50">
        <f>+AM56+BA56</f>
        <v>0</v>
      </c>
      <c r="AE56" s="101" t="s">
        <v>214</v>
      </c>
      <c r="AF56" s="124"/>
      <c r="AG56" s="124"/>
      <c r="AH56" s="124">
        <v>0</v>
      </c>
      <c r="AJ56" s="50"/>
      <c r="AK56" s="50"/>
      <c r="AL56" s="50"/>
      <c r="AM56" s="50">
        <f t="shared" si="15"/>
        <v>0</v>
      </c>
      <c r="AN56" s="50"/>
      <c r="AO56" s="50"/>
      <c r="AP56" s="50"/>
      <c r="AQ56" s="50"/>
      <c r="AR56" s="50">
        <f t="shared" si="16"/>
        <v>0</v>
      </c>
      <c r="AS56" s="50"/>
      <c r="AT56" s="50"/>
      <c r="AU56" s="50"/>
      <c r="AV56" s="50"/>
      <c r="AW56" s="50"/>
      <c r="AX56" s="50"/>
      <c r="AY56" s="50"/>
      <c r="AZ56" s="50"/>
      <c r="BA56" s="50">
        <f>+AR56+AS56+AU56+AW56+AY56+AZ56</f>
        <v>0</v>
      </c>
      <c r="BB56" s="124"/>
      <c r="BC56" s="146"/>
      <c r="BD56" s="146"/>
      <c r="BE56" s="124"/>
      <c r="BF56" s="146"/>
    </row>
    <row r="57" spans="1:58" ht="12.95" customHeight="1" x14ac:dyDescent="0.2">
      <c r="A57" s="117"/>
      <c r="B57" s="118"/>
      <c r="C57" s="119"/>
      <c r="D57" s="118"/>
      <c r="E57" s="37"/>
      <c r="F57" s="37"/>
      <c r="G57" s="127"/>
      <c r="H57" s="121"/>
      <c r="I57" s="45"/>
      <c r="J57" s="46"/>
      <c r="K57" s="46"/>
      <c r="L57" s="122"/>
      <c r="M57" s="122"/>
      <c r="N57" s="47"/>
      <c r="O57" s="48"/>
      <c r="P57" s="49"/>
      <c r="Q57" s="56"/>
      <c r="R57" s="123"/>
      <c r="S57" s="123"/>
      <c r="T57" s="50"/>
      <c r="U57" s="50"/>
      <c r="V57" s="50"/>
      <c r="W57" s="50"/>
      <c r="X57" s="55"/>
      <c r="Y57" s="52"/>
      <c r="Z57" s="50"/>
      <c r="AA57" s="50"/>
      <c r="AB57" s="50"/>
      <c r="AC57" s="50"/>
      <c r="AD57" s="50">
        <f>+AM57+BA57</f>
        <v>0</v>
      </c>
      <c r="AE57" s="148" t="s">
        <v>162</v>
      </c>
      <c r="AF57" s="50"/>
      <c r="AG57" s="50"/>
      <c r="AH57" s="50"/>
      <c r="AI57" s="54">
        <v>0</v>
      </c>
      <c r="AJ57" s="50"/>
      <c r="AK57" s="50"/>
      <c r="AL57" s="50"/>
      <c r="AM57" s="50">
        <f t="shared" si="15"/>
        <v>0</v>
      </c>
      <c r="AN57" s="50"/>
      <c r="AO57" s="50"/>
      <c r="AP57" s="50"/>
      <c r="AQ57" s="50"/>
      <c r="AR57" s="50">
        <f t="shared" si="16"/>
        <v>0</v>
      </c>
      <c r="AS57" s="50"/>
      <c r="AT57" s="50"/>
      <c r="AU57" s="50"/>
      <c r="AV57" s="50"/>
      <c r="AW57" s="50"/>
      <c r="AX57" s="50"/>
      <c r="AY57" s="50"/>
      <c r="AZ57" s="50"/>
      <c r="BA57" s="50">
        <f>+AR57+AS57+AU57+AW57+AY57+AZ57</f>
        <v>0</v>
      </c>
      <c r="BB57" s="126"/>
      <c r="BC57" s="116"/>
      <c r="BD57" s="116"/>
      <c r="BE57" s="126"/>
      <c r="BF57" s="116"/>
    </row>
    <row r="58" spans="1:58" ht="12.95" customHeight="1" x14ac:dyDescent="0.2">
      <c r="A58" s="117"/>
      <c r="B58" s="118"/>
      <c r="C58" s="119"/>
      <c r="D58" s="118"/>
      <c r="E58" s="37"/>
      <c r="F58" s="37"/>
      <c r="G58" s="127"/>
      <c r="H58" s="121"/>
      <c r="I58" s="45"/>
      <c r="J58" s="46"/>
      <c r="K58" s="46"/>
      <c r="L58" s="122"/>
      <c r="M58" s="122"/>
      <c r="N58" s="47"/>
      <c r="O58" s="48"/>
      <c r="P58" s="49"/>
      <c r="Q58" s="56"/>
      <c r="R58" s="123"/>
      <c r="S58" s="123"/>
      <c r="T58" s="50"/>
      <c r="U58" s="50"/>
      <c r="V58" s="50"/>
      <c r="W58" s="50"/>
      <c r="X58" s="55"/>
      <c r="Y58" s="52"/>
      <c r="Z58" s="50"/>
      <c r="AA58" s="50"/>
      <c r="AB58" s="50"/>
      <c r="AC58" s="50"/>
      <c r="AD58" s="50">
        <f>+AM58+BA58</f>
        <v>0</v>
      </c>
      <c r="AE58" s="148" t="s">
        <v>246</v>
      </c>
      <c r="AF58" s="50"/>
      <c r="AG58" s="50"/>
      <c r="AH58" s="50"/>
      <c r="AI58" s="54"/>
      <c r="AJ58" s="50"/>
      <c r="AK58" s="50"/>
      <c r="AL58" s="50"/>
      <c r="AM58" s="50">
        <f t="shared" si="15"/>
        <v>0</v>
      </c>
      <c r="AN58" s="50"/>
      <c r="AO58" s="50"/>
      <c r="AP58" s="50"/>
      <c r="AQ58" s="50"/>
      <c r="AR58" s="50">
        <f t="shared" si="16"/>
        <v>0</v>
      </c>
      <c r="AS58" s="50"/>
      <c r="AT58" s="50"/>
      <c r="AU58" s="50"/>
      <c r="AV58" s="50"/>
      <c r="AW58" s="50"/>
      <c r="AX58" s="50"/>
      <c r="AY58" s="50"/>
      <c r="AZ58" s="50">
        <f>1440-1440</f>
        <v>0</v>
      </c>
      <c r="BA58" s="50">
        <f>+AR58+AS58+AU58+AW58+AY58+AZ58</f>
        <v>0</v>
      </c>
      <c r="BB58" s="126"/>
      <c r="BC58" s="116"/>
      <c r="BD58" s="116"/>
      <c r="BE58" s="124"/>
      <c r="BF58" s="116"/>
    </row>
    <row r="59" spans="1:58" ht="12.75" customHeight="1" x14ac:dyDescent="0.2">
      <c r="A59" s="117"/>
      <c r="B59" s="118"/>
      <c r="C59" s="119"/>
      <c r="D59" s="118"/>
      <c r="E59" s="37"/>
      <c r="F59" s="37"/>
      <c r="G59" s="127"/>
      <c r="H59" s="121"/>
      <c r="I59" s="45"/>
      <c r="J59" s="46"/>
      <c r="K59" s="46"/>
      <c r="L59" s="122"/>
      <c r="M59" s="122"/>
      <c r="N59" s="47"/>
      <c r="O59" s="48"/>
      <c r="P59" s="49"/>
      <c r="Q59" s="48"/>
      <c r="R59" s="123"/>
      <c r="S59" s="123"/>
      <c r="T59" s="50"/>
      <c r="U59" s="50"/>
      <c r="V59" s="50"/>
      <c r="W59" s="50"/>
      <c r="X59" s="55"/>
      <c r="Y59" s="52"/>
      <c r="Z59" s="50"/>
      <c r="AA59" s="50"/>
      <c r="AB59" s="50"/>
      <c r="AC59" s="50"/>
      <c r="AD59" s="50"/>
      <c r="AE59" s="148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124"/>
      <c r="BC59" s="116"/>
      <c r="BD59" s="116"/>
      <c r="BE59" s="116"/>
      <c r="BF59" s="116"/>
    </row>
    <row r="60" spans="1:58" ht="12.75" customHeight="1" x14ac:dyDescent="0.2">
      <c r="A60" s="117">
        <v>45971</v>
      </c>
      <c r="B60" s="118" t="s">
        <v>213</v>
      </c>
      <c r="C60" s="119">
        <f>(M60*E60*O60*Q60)/100000000</f>
        <v>0</v>
      </c>
      <c r="D60" s="118" t="s">
        <v>177</v>
      </c>
      <c r="E60" s="37">
        <v>12</v>
      </c>
      <c r="F60" s="37">
        <v>1</v>
      </c>
      <c r="G60" s="120">
        <v>1230</v>
      </c>
      <c r="H60" s="121">
        <f>+N60</f>
        <v>0.23417344173441734</v>
      </c>
      <c r="I60" s="45">
        <v>0.88</v>
      </c>
      <c r="J60" s="46">
        <f>E60*G60*(1-H60)*1440/1000000*2.74</f>
        <v>44.599484159999996</v>
      </c>
      <c r="K60" s="46">
        <f>(IF(G60&lt;L60,L60,G60)*(1-IF(H60&lt;N60,H60,N60))*E60*O60*Q60)/100000000</f>
        <v>0</v>
      </c>
      <c r="L60" s="122">
        <v>1230</v>
      </c>
      <c r="M60" s="122">
        <v>941.9666666666667</v>
      </c>
      <c r="N60" s="47">
        <f>1-(M60/L60)</f>
        <v>0.23417344173441734</v>
      </c>
      <c r="O60" s="48">
        <f>+'[3]Trim Rwd'!H22</f>
        <v>266</v>
      </c>
      <c r="P60" s="49">
        <f>O60*(Q60-R60-S60)</f>
        <v>0</v>
      </c>
      <c r="Q60" s="48">
        <f>1440-1440</f>
        <v>0</v>
      </c>
      <c r="R60" s="123">
        <f>1440-1440</f>
        <v>0</v>
      </c>
      <c r="S60" s="123">
        <v>0</v>
      </c>
      <c r="T60" s="50">
        <f>E60*M60*O60*Q60/100000000</f>
        <v>0</v>
      </c>
      <c r="U60" s="50">
        <f>E60*M60*O60*(Q60-R60-S60)/100000000</f>
        <v>0</v>
      </c>
      <c r="V60" s="50">
        <f>E60*G60*(1-N60)*O60/100*(R60+S60)/1000000</f>
        <v>0</v>
      </c>
      <c r="W60" s="50">
        <v>0</v>
      </c>
      <c r="X60" s="51" t="e">
        <f>SUM(W60:W64)/SUM(K60:K64)</f>
        <v>#DIV/0!</v>
      </c>
      <c r="Y60" s="52">
        <v>0</v>
      </c>
      <c r="Z60" s="50">
        <v>0</v>
      </c>
      <c r="AA60" s="53">
        <f>SUM(U60:U64)-SUM(W60:W64)-SUM(Z60:Z64)-SUM(Y60:Y64)</f>
        <v>0</v>
      </c>
      <c r="AB60" s="53">
        <f>(SUM(K60:K64)-SUM(W60:W64)-SUM(Y60:Y64)-SUM(Z60:Z64)-SUM(AC60:AC64)-SUM(V60:V64))-AA60</f>
        <v>0</v>
      </c>
      <c r="AC60" s="50">
        <f>K60-T60</f>
        <v>0</v>
      </c>
      <c r="AD60" s="50">
        <f>+AM60+BA60</f>
        <v>0</v>
      </c>
      <c r="AE60" s="101" t="s">
        <v>110</v>
      </c>
      <c r="AF60" s="50">
        <v>0</v>
      </c>
      <c r="AG60" s="50"/>
      <c r="AH60" s="50"/>
      <c r="AI60" s="54"/>
      <c r="AJ60" s="50"/>
      <c r="AK60" s="50"/>
      <c r="AL60" s="50"/>
      <c r="AM60" s="50">
        <f t="shared" ref="AM60:AM64" si="17">SUM(AF60:AL60)+AT60+AV60+AX60</f>
        <v>0</v>
      </c>
      <c r="AN60" s="50"/>
      <c r="AO60" s="50"/>
      <c r="AP60" s="50"/>
      <c r="AQ60" s="50"/>
      <c r="AR60" s="50">
        <f>SUM(AN60:AQ60)</f>
        <v>0</v>
      </c>
      <c r="AS60" s="50"/>
      <c r="AT60" s="50"/>
      <c r="AU60" s="50"/>
      <c r="AV60" s="50"/>
      <c r="AW60" s="50"/>
      <c r="AX60" s="50"/>
      <c r="AY60" s="50"/>
      <c r="AZ60" s="50"/>
      <c r="BA60" s="50">
        <f>+AR60+AS60+AU60+AW60+AY60+AZ60</f>
        <v>0</v>
      </c>
      <c r="BB60" s="124">
        <v>0</v>
      </c>
      <c r="BC60" s="116"/>
      <c r="BD60" s="116"/>
      <c r="BE60" s="124"/>
      <c r="BF60" s="116"/>
    </row>
    <row r="61" spans="1:58" ht="12.95" customHeight="1" x14ac:dyDescent="0.2">
      <c r="A61" s="117"/>
      <c r="B61" s="118"/>
      <c r="C61" s="119"/>
      <c r="D61" s="118"/>
      <c r="E61" s="37"/>
      <c r="F61" s="37"/>
      <c r="G61" s="120"/>
      <c r="H61" s="121"/>
      <c r="I61" s="45"/>
      <c r="J61" s="46"/>
      <c r="K61" s="46"/>
      <c r="L61" s="122"/>
      <c r="M61" s="122"/>
      <c r="N61" s="47"/>
      <c r="O61" s="48"/>
      <c r="P61" s="49"/>
      <c r="Q61" s="48"/>
      <c r="R61" s="123"/>
      <c r="S61" s="123"/>
      <c r="T61" s="50"/>
      <c r="U61" s="50"/>
      <c r="V61" s="50"/>
      <c r="W61" s="50"/>
      <c r="X61" s="55"/>
      <c r="Y61" s="52"/>
      <c r="Z61" s="50"/>
      <c r="AA61" s="50"/>
      <c r="AB61" s="50"/>
      <c r="AC61" s="50"/>
      <c r="AD61" s="50">
        <f>+AM61+BA61</f>
        <v>0</v>
      </c>
      <c r="AE61" s="101" t="s">
        <v>111</v>
      </c>
      <c r="AF61" s="50"/>
      <c r="AG61" s="50">
        <v>0</v>
      </c>
      <c r="AH61" s="50"/>
      <c r="AI61" s="54"/>
      <c r="AJ61" s="50"/>
      <c r="AK61" s="50"/>
      <c r="AL61" s="50"/>
      <c r="AM61" s="50">
        <f t="shared" si="17"/>
        <v>0</v>
      </c>
      <c r="AN61" s="125"/>
      <c r="AO61" s="50"/>
      <c r="AP61" s="50"/>
      <c r="AQ61" s="50"/>
      <c r="AR61" s="50">
        <f t="shared" ref="AR61:AR64" si="18">SUM(AN61:AQ61)</f>
        <v>0</v>
      </c>
      <c r="AS61" s="50"/>
      <c r="AT61" s="50"/>
      <c r="AU61" s="50"/>
      <c r="AV61" s="50"/>
      <c r="AW61" s="50"/>
      <c r="AX61" s="50"/>
      <c r="AY61" s="50"/>
      <c r="AZ61" s="50"/>
      <c r="BA61" s="50">
        <f>+AR61+AS61+AU61+AW61+AY61+AZ61</f>
        <v>0</v>
      </c>
      <c r="BB61" s="126"/>
      <c r="BC61" s="116">
        <v>0</v>
      </c>
      <c r="BD61" s="116"/>
      <c r="BE61" s="126"/>
      <c r="BF61" s="116"/>
    </row>
    <row r="62" spans="1:58" ht="12.95" customHeight="1" x14ac:dyDescent="0.2">
      <c r="A62" s="117"/>
      <c r="B62" s="118"/>
      <c r="C62" s="119"/>
      <c r="D62" s="118"/>
      <c r="E62" s="37"/>
      <c r="F62" s="37"/>
      <c r="G62" s="127"/>
      <c r="H62" s="121"/>
      <c r="I62" s="45"/>
      <c r="J62" s="46"/>
      <c r="K62" s="46"/>
      <c r="L62" s="122"/>
      <c r="M62" s="122"/>
      <c r="N62" s="47"/>
      <c r="O62" s="48"/>
      <c r="P62" s="49"/>
      <c r="Q62" s="48"/>
      <c r="R62" s="123"/>
      <c r="S62" s="123"/>
      <c r="T62" s="50"/>
      <c r="U62" s="50"/>
      <c r="V62" s="50"/>
      <c r="W62" s="50"/>
      <c r="X62" s="55"/>
      <c r="Y62" s="52"/>
      <c r="Z62" s="50"/>
      <c r="AA62" s="50"/>
      <c r="AB62" s="50"/>
      <c r="AC62" s="50"/>
      <c r="AD62" s="50">
        <f>+AM62+BA62</f>
        <v>0</v>
      </c>
      <c r="AE62" s="101" t="s">
        <v>214</v>
      </c>
      <c r="AF62" s="124"/>
      <c r="AG62" s="124"/>
      <c r="AH62" s="124">
        <v>0</v>
      </c>
      <c r="AJ62" s="50"/>
      <c r="AK62" s="50"/>
      <c r="AL62" s="50"/>
      <c r="AM62" s="50">
        <f t="shared" si="17"/>
        <v>0</v>
      </c>
      <c r="AN62" s="50"/>
      <c r="AO62" s="50"/>
      <c r="AP62" s="50"/>
      <c r="AQ62" s="50"/>
      <c r="AR62" s="50">
        <f t="shared" si="18"/>
        <v>0</v>
      </c>
      <c r="AS62" s="50"/>
      <c r="AT62" s="50"/>
      <c r="AU62" s="50"/>
      <c r="AV62" s="50"/>
      <c r="AW62" s="50"/>
      <c r="AX62" s="50"/>
      <c r="AY62" s="50"/>
      <c r="AZ62" s="50"/>
      <c r="BA62" s="50">
        <f>+AR62+AS62+AU62+AW62+AY62+AZ62</f>
        <v>0</v>
      </c>
      <c r="BB62" s="124"/>
      <c r="BC62" s="146"/>
      <c r="BD62" s="146"/>
      <c r="BE62" s="124"/>
      <c r="BF62" s="146"/>
    </row>
    <row r="63" spans="1:58" ht="12.95" customHeight="1" x14ac:dyDescent="0.2">
      <c r="A63" s="117"/>
      <c r="B63" s="118"/>
      <c r="C63" s="119"/>
      <c r="D63" s="118"/>
      <c r="E63" s="37"/>
      <c r="F63" s="37"/>
      <c r="G63" s="127"/>
      <c r="H63" s="121"/>
      <c r="I63" s="45"/>
      <c r="J63" s="46"/>
      <c r="K63" s="46"/>
      <c r="L63" s="122"/>
      <c r="M63" s="122"/>
      <c r="N63" s="47"/>
      <c r="O63" s="48"/>
      <c r="P63" s="49"/>
      <c r="Q63" s="56"/>
      <c r="R63" s="123"/>
      <c r="S63" s="123"/>
      <c r="T63" s="50"/>
      <c r="U63" s="50"/>
      <c r="V63" s="50"/>
      <c r="W63" s="50"/>
      <c r="X63" s="55"/>
      <c r="Y63" s="52"/>
      <c r="Z63" s="50"/>
      <c r="AA63" s="50"/>
      <c r="AB63" s="50"/>
      <c r="AC63" s="50"/>
      <c r="AD63" s="50">
        <f>+AM63+BA63</f>
        <v>0</v>
      </c>
      <c r="AE63" s="148" t="s">
        <v>162</v>
      </c>
      <c r="AF63" s="50"/>
      <c r="AG63" s="50"/>
      <c r="AH63" s="50"/>
      <c r="AI63" s="54">
        <v>0</v>
      </c>
      <c r="AJ63" s="50"/>
      <c r="AK63" s="50"/>
      <c r="AL63" s="50"/>
      <c r="AM63" s="50">
        <f t="shared" si="17"/>
        <v>0</v>
      </c>
      <c r="AN63" s="50"/>
      <c r="AO63" s="50"/>
      <c r="AP63" s="50"/>
      <c r="AQ63" s="50"/>
      <c r="AR63" s="50">
        <f t="shared" si="18"/>
        <v>0</v>
      </c>
      <c r="AS63" s="50"/>
      <c r="AT63" s="50"/>
      <c r="AU63" s="50"/>
      <c r="AV63" s="50"/>
      <c r="AW63" s="50"/>
      <c r="AX63" s="50"/>
      <c r="AY63" s="50"/>
      <c r="AZ63" s="50"/>
      <c r="BA63" s="50">
        <f>+AR63+AS63+AU63+AW63+AY63+AZ63</f>
        <v>0</v>
      </c>
      <c r="BB63" s="126"/>
      <c r="BC63" s="116"/>
      <c r="BD63" s="116"/>
      <c r="BE63" s="126"/>
      <c r="BF63" s="116"/>
    </row>
    <row r="64" spans="1:58" ht="12.95" customHeight="1" x14ac:dyDescent="0.2">
      <c r="A64" s="117"/>
      <c r="B64" s="118"/>
      <c r="C64" s="119"/>
      <c r="D64" s="118"/>
      <c r="E64" s="37"/>
      <c r="F64" s="37"/>
      <c r="G64" s="127"/>
      <c r="H64" s="121"/>
      <c r="I64" s="45"/>
      <c r="J64" s="46"/>
      <c r="K64" s="46"/>
      <c r="L64" s="122"/>
      <c r="M64" s="122"/>
      <c r="N64" s="47"/>
      <c r="O64" s="48"/>
      <c r="P64" s="49"/>
      <c r="Q64" s="56"/>
      <c r="R64" s="123"/>
      <c r="S64" s="123"/>
      <c r="T64" s="50"/>
      <c r="U64" s="50"/>
      <c r="V64" s="50"/>
      <c r="W64" s="50"/>
      <c r="X64" s="55"/>
      <c r="Y64" s="52"/>
      <c r="Z64" s="50"/>
      <c r="AA64" s="50"/>
      <c r="AB64" s="50"/>
      <c r="AC64" s="50"/>
      <c r="AD64" s="50">
        <f>+AM64+BA64</f>
        <v>0</v>
      </c>
      <c r="AE64" s="148" t="s">
        <v>246</v>
      </c>
      <c r="AF64" s="50"/>
      <c r="AG64" s="50"/>
      <c r="AH64" s="50"/>
      <c r="AI64" s="54"/>
      <c r="AJ64" s="50"/>
      <c r="AK64" s="50"/>
      <c r="AL64" s="50"/>
      <c r="AM64" s="50">
        <f t="shared" si="17"/>
        <v>0</v>
      </c>
      <c r="AN64" s="50"/>
      <c r="AO64" s="50"/>
      <c r="AP64" s="50"/>
      <c r="AQ64" s="50"/>
      <c r="AR64" s="50">
        <f t="shared" si="18"/>
        <v>0</v>
      </c>
      <c r="AS64" s="50"/>
      <c r="AT64" s="50"/>
      <c r="AU64" s="50"/>
      <c r="AV64" s="50"/>
      <c r="AW64" s="50"/>
      <c r="AX64" s="50"/>
      <c r="AY64" s="50"/>
      <c r="AZ64" s="50">
        <f>1440-1440</f>
        <v>0</v>
      </c>
      <c r="BA64" s="50">
        <f>+AR64+AS64+AU64+AW64+AY64+AZ64</f>
        <v>0</v>
      </c>
      <c r="BB64" s="126"/>
      <c r="BC64" s="116"/>
      <c r="BD64" s="116"/>
      <c r="BE64" s="124"/>
      <c r="BF64" s="116"/>
    </row>
    <row r="65" spans="1:58" ht="12.95" customHeight="1" x14ac:dyDescent="0.2">
      <c r="A65" s="117"/>
      <c r="B65" s="118"/>
      <c r="C65" s="119"/>
      <c r="D65" s="118"/>
      <c r="E65" s="37"/>
      <c r="F65" s="37"/>
      <c r="G65" s="120"/>
      <c r="H65" s="121"/>
      <c r="I65" s="45"/>
      <c r="J65" s="46"/>
      <c r="K65" s="46"/>
      <c r="L65" s="122"/>
      <c r="M65" s="122"/>
      <c r="N65" s="47"/>
      <c r="O65" s="48"/>
      <c r="P65" s="49"/>
      <c r="Q65" s="48"/>
      <c r="R65" s="123"/>
      <c r="S65" s="123"/>
      <c r="T65" s="50"/>
      <c r="U65" s="50"/>
      <c r="V65" s="50"/>
      <c r="W65" s="50"/>
      <c r="X65" s="51"/>
      <c r="Y65" s="52"/>
      <c r="Z65" s="50"/>
      <c r="AA65" s="53"/>
      <c r="AB65" s="53"/>
      <c r="AC65" s="50"/>
      <c r="AD65" s="50"/>
      <c r="AE65" s="101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124"/>
      <c r="BC65" s="116"/>
      <c r="BD65" s="116"/>
      <c r="BE65" s="116"/>
      <c r="BF65" s="116"/>
    </row>
    <row r="66" spans="1:58" ht="12.75" customHeight="1" x14ac:dyDescent="0.2">
      <c r="A66" s="117">
        <v>45972</v>
      </c>
      <c r="B66" s="118" t="s">
        <v>213</v>
      </c>
      <c r="C66" s="119">
        <f>(M66*E66*O66*Q66)/100000000</f>
        <v>0</v>
      </c>
      <c r="D66" s="118" t="s">
        <v>177</v>
      </c>
      <c r="E66" s="37">
        <v>12</v>
      </c>
      <c r="F66" s="37">
        <v>1</v>
      </c>
      <c r="G66" s="120">
        <v>1230</v>
      </c>
      <c r="H66" s="121">
        <f>+N66</f>
        <v>0.23417344173441734</v>
      </c>
      <c r="I66" s="45">
        <v>0.88</v>
      </c>
      <c r="J66" s="46">
        <f>E66*G66*(1-H66)*1440/1000000*2.74</f>
        <v>44.599484159999996</v>
      </c>
      <c r="K66" s="46">
        <f>(IF(G66&lt;L66,L66,G66)*(1-IF(H66&lt;N66,H66,N66))*E66*O66*Q66)/100000000</f>
        <v>0</v>
      </c>
      <c r="L66" s="122">
        <v>1230</v>
      </c>
      <c r="M66" s="122">
        <v>941.9666666666667</v>
      </c>
      <c r="N66" s="47">
        <f>1-(M66/L66)</f>
        <v>0.23417344173441734</v>
      </c>
      <c r="O66" s="48">
        <f>+'[3]Trim Rwd'!H24</f>
        <v>266</v>
      </c>
      <c r="P66" s="49">
        <f>O66*(Q66-R66-S66)</f>
        <v>0</v>
      </c>
      <c r="Q66" s="48">
        <f>1440-1440</f>
        <v>0</v>
      </c>
      <c r="R66" s="123">
        <f>1440-1440</f>
        <v>0</v>
      </c>
      <c r="S66" s="123">
        <v>0</v>
      </c>
      <c r="T66" s="50">
        <f>E66*M66*O66*Q66/100000000</f>
        <v>0</v>
      </c>
      <c r="U66" s="50">
        <f>E66*M66*O66*(Q66-R66-S66)/100000000</f>
        <v>0</v>
      </c>
      <c r="V66" s="50">
        <f>E66*G66*(1-N66)*O66/100*(R66+S66)/1000000</f>
        <v>0</v>
      </c>
      <c r="W66" s="50">
        <v>0</v>
      </c>
      <c r="X66" s="51" t="e">
        <f>SUM(W66:W70)/SUM(K66:K70)</f>
        <v>#DIV/0!</v>
      </c>
      <c r="Y66" s="52">
        <v>0</v>
      </c>
      <c r="Z66" s="50">
        <v>0</v>
      </c>
      <c r="AA66" s="53">
        <f>SUM(U66:U70)-SUM(W66:W70)-SUM(Z66:Z70)-SUM(Y66:Y70)</f>
        <v>0</v>
      </c>
      <c r="AB66" s="53">
        <f>(SUM(K66:K70)-SUM(W66:W70)-SUM(Y66:Y70)-SUM(Z66:Z70)-SUM(AC66:AC70)-SUM(V66:V70))-AA66</f>
        <v>0</v>
      </c>
      <c r="AC66" s="50">
        <f>K66-T66</f>
        <v>0</v>
      </c>
      <c r="AD66" s="50">
        <f>+AM66+BA66</f>
        <v>0</v>
      </c>
      <c r="AE66" s="101" t="s">
        <v>110</v>
      </c>
      <c r="AF66" s="50">
        <v>0</v>
      </c>
      <c r="AG66" s="50"/>
      <c r="AH66" s="50"/>
      <c r="AI66" s="54"/>
      <c r="AJ66" s="50"/>
      <c r="AK66" s="50"/>
      <c r="AL66" s="50"/>
      <c r="AM66" s="50">
        <f t="shared" ref="AM66:AM70" si="19">SUM(AF66:AL66)+AT66+AV66+AX66</f>
        <v>0</v>
      </c>
      <c r="AN66" s="50"/>
      <c r="AO66" s="50"/>
      <c r="AP66" s="50"/>
      <c r="AQ66" s="50"/>
      <c r="AR66" s="50">
        <f>SUM(AN66:AQ66)</f>
        <v>0</v>
      </c>
      <c r="AS66" s="50"/>
      <c r="AT66" s="50"/>
      <c r="AU66" s="50"/>
      <c r="AV66" s="50"/>
      <c r="AW66" s="50"/>
      <c r="AX66" s="50"/>
      <c r="AY66" s="50"/>
      <c r="AZ66" s="50"/>
      <c r="BA66" s="50">
        <f>+AR66+AS66+AU66+AW66+AY66+AZ66</f>
        <v>0</v>
      </c>
      <c r="BB66" s="124">
        <v>0</v>
      </c>
      <c r="BC66" s="116"/>
      <c r="BD66" s="116"/>
      <c r="BE66" s="124"/>
      <c r="BF66" s="116"/>
    </row>
    <row r="67" spans="1:58" ht="12.95" customHeight="1" x14ac:dyDescent="0.2">
      <c r="A67" s="117"/>
      <c r="B67" s="118"/>
      <c r="C67" s="119"/>
      <c r="D67" s="118"/>
      <c r="E67" s="37"/>
      <c r="F67" s="37"/>
      <c r="G67" s="120"/>
      <c r="H67" s="121"/>
      <c r="I67" s="45"/>
      <c r="J67" s="46"/>
      <c r="K67" s="46"/>
      <c r="L67" s="122"/>
      <c r="M67" s="122"/>
      <c r="N67" s="47"/>
      <c r="O67" s="48"/>
      <c r="P67" s="49"/>
      <c r="Q67" s="48"/>
      <c r="R67" s="123"/>
      <c r="S67" s="123"/>
      <c r="T67" s="50"/>
      <c r="U67" s="50"/>
      <c r="V67" s="50"/>
      <c r="W67" s="50"/>
      <c r="X67" s="55"/>
      <c r="Y67" s="52"/>
      <c r="Z67" s="50"/>
      <c r="AA67" s="50"/>
      <c r="AB67" s="50"/>
      <c r="AC67" s="50"/>
      <c r="AD67" s="50">
        <f>+AM67+BA67</f>
        <v>0</v>
      </c>
      <c r="AE67" s="101" t="s">
        <v>111</v>
      </c>
      <c r="AF67" s="50"/>
      <c r="AG67" s="50">
        <v>0</v>
      </c>
      <c r="AH67" s="50"/>
      <c r="AI67" s="54"/>
      <c r="AJ67" s="50"/>
      <c r="AK67" s="50"/>
      <c r="AL67" s="50"/>
      <c r="AM67" s="50">
        <f t="shared" si="19"/>
        <v>0</v>
      </c>
      <c r="AN67" s="125"/>
      <c r="AO67" s="50"/>
      <c r="AP67" s="50"/>
      <c r="AQ67" s="50"/>
      <c r="AR67" s="50">
        <f t="shared" ref="AR67:AR70" si="20">SUM(AN67:AQ67)</f>
        <v>0</v>
      </c>
      <c r="AS67" s="50"/>
      <c r="AT67" s="50"/>
      <c r="AU67" s="50"/>
      <c r="AV67" s="50"/>
      <c r="AW67" s="50"/>
      <c r="AX67" s="50"/>
      <c r="AY67" s="50"/>
      <c r="AZ67" s="50"/>
      <c r="BA67" s="50">
        <f>+AR67+AS67+AU67+AW67+AY67+AZ67</f>
        <v>0</v>
      </c>
      <c r="BB67" s="126"/>
      <c r="BC67" s="116">
        <v>0</v>
      </c>
      <c r="BD67" s="116"/>
      <c r="BE67" s="126"/>
      <c r="BF67" s="116"/>
    </row>
    <row r="68" spans="1:58" ht="12.95" customHeight="1" x14ac:dyDescent="0.2">
      <c r="A68" s="117"/>
      <c r="B68" s="118"/>
      <c r="C68" s="119"/>
      <c r="D68" s="118"/>
      <c r="E68" s="37"/>
      <c r="F68" s="37"/>
      <c r="G68" s="127"/>
      <c r="H68" s="121"/>
      <c r="I68" s="45"/>
      <c r="J68" s="46"/>
      <c r="K68" s="46"/>
      <c r="L68" s="122"/>
      <c r="M68" s="122"/>
      <c r="N68" s="47"/>
      <c r="O68" s="48"/>
      <c r="P68" s="49"/>
      <c r="Q68" s="48"/>
      <c r="R68" s="123"/>
      <c r="S68" s="123"/>
      <c r="T68" s="50"/>
      <c r="U68" s="50"/>
      <c r="V68" s="50"/>
      <c r="W68" s="50"/>
      <c r="X68" s="55"/>
      <c r="Y68" s="52"/>
      <c r="Z68" s="50"/>
      <c r="AA68" s="50"/>
      <c r="AB68" s="50"/>
      <c r="AC68" s="50"/>
      <c r="AD68" s="50">
        <f>+AM68+BA68</f>
        <v>0</v>
      </c>
      <c r="AE68" s="101" t="s">
        <v>214</v>
      </c>
      <c r="AF68" s="124"/>
      <c r="AG68" s="124"/>
      <c r="AH68" s="124">
        <v>0</v>
      </c>
      <c r="AJ68" s="50"/>
      <c r="AK68" s="50"/>
      <c r="AL68" s="50"/>
      <c r="AM68" s="50">
        <f t="shared" si="19"/>
        <v>0</v>
      </c>
      <c r="AN68" s="50"/>
      <c r="AO68" s="50"/>
      <c r="AP68" s="50"/>
      <c r="AQ68" s="50"/>
      <c r="AR68" s="50">
        <f t="shared" si="20"/>
        <v>0</v>
      </c>
      <c r="AS68" s="50"/>
      <c r="AT68" s="50"/>
      <c r="AU68" s="50"/>
      <c r="AV68" s="50"/>
      <c r="AW68" s="50"/>
      <c r="AX68" s="50"/>
      <c r="AY68" s="50"/>
      <c r="AZ68" s="50"/>
      <c r="BA68" s="50">
        <f>+AR68+AS68+AU68+AW68+AY68+AZ68</f>
        <v>0</v>
      </c>
      <c r="BB68" s="124"/>
      <c r="BC68" s="146"/>
      <c r="BD68" s="146"/>
      <c r="BE68" s="124"/>
      <c r="BF68" s="146"/>
    </row>
    <row r="69" spans="1:58" ht="12.95" customHeight="1" x14ac:dyDescent="0.2">
      <c r="A69" s="117"/>
      <c r="B69" s="118"/>
      <c r="C69" s="119"/>
      <c r="D69" s="118"/>
      <c r="E69" s="37"/>
      <c r="F69" s="37"/>
      <c r="G69" s="127"/>
      <c r="H69" s="121"/>
      <c r="I69" s="45"/>
      <c r="J69" s="46"/>
      <c r="K69" s="46"/>
      <c r="L69" s="122"/>
      <c r="M69" s="122"/>
      <c r="N69" s="47"/>
      <c r="O69" s="48"/>
      <c r="P69" s="49"/>
      <c r="Q69" s="56"/>
      <c r="R69" s="123"/>
      <c r="S69" s="123"/>
      <c r="T69" s="50"/>
      <c r="U69" s="50"/>
      <c r="V69" s="50"/>
      <c r="W69" s="50"/>
      <c r="X69" s="55"/>
      <c r="Y69" s="52"/>
      <c r="Z69" s="50"/>
      <c r="AA69" s="50"/>
      <c r="AB69" s="50"/>
      <c r="AC69" s="50"/>
      <c r="AD69" s="50">
        <f>+AM69+BA69</f>
        <v>0</v>
      </c>
      <c r="AE69" s="148" t="s">
        <v>162</v>
      </c>
      <c r="AF69" s="50"/>
      <c r="AG69" s="50"/>
      <c r="AH69" s="50"/>
      <c r="AI69" s="54">
        <v>0</v>
      </c>
      <c r="AJ69" s="50"/>
      <c r="AK69" s="50"/>
      <c r="AL69" s="50"/>
      <c r="AM69" s="50">
        <f t="shared" si="19"/>
        <v>0</v>
      </c>
      <c r="AN69" s="50"/>
      <c r="AO69" s="50"/>
      <c r="AP69" s="50"/>
      <c r="AQ69" s="50"/>
      <c r="AR69" s="50">
        <f t="shared" si="20"/>
        <v>0</v>
      </c>
      <c r="AS69" s="50"/>
      <c r="AT69" s="50"/>
      <c r="AU69" s="50"/>
      <c r="AV69" s="50"/>
      <c r="AW69" s="50"/>
      <c r="AX69" s="50"/>
      <c r="AY69" s="50"/>
      <c r="AZ69" s="50"/>
      <c r="BA69" s="50">
        <f>+AR69+AS69+AU69+AW69+AY69+AZ69</f>
        <v>0</v>
      </c>
      <c r="BB69" s="126"/>
      <c r="BC69" s="116"/>
      <c r="BD69" s="116"/>
      <c r="BE69" s="126"/>
      <c r="BF69" s="116"/>
    </row>
    <row r="70" spans="1:58" ht="12.95" customHeight="1" x14ac:dyDescent="0.2">
      <c r="A70" s="117"/>
      <c r="B70" s="118"/>
      <c r="C70" s="119"/>
      <c r="D70" s="118"/>
      <c r="E70" s="37"/>
      <c r="F70" s="37"/>
      <c r="G70" s="127"/>
      <c r="H70" s="121"/>
      <c r="I70" s="45"/>
      <c r="J70" s="46"/>
      <c r="K70" s="46"/>
      <c r="L70" s="122"/>
      <c r="M70" s="122"/>
      <c r="N70" s="47"/>
      <c r="O70" s="48"/>
      <c r="P70" s="49"/>
      <c r="Q70" s="56"/>
      <c r="R70" s="123"/>
      <c r="S70" s="123"/>
      <c r="T70" s="50"/>
      <c r="U70" s="50"/>
      <c r="V70" s="50"/>
      <c r="W70" s="50"/>
      <c r="X70" s="55"/>
      <c r="Y70" s="52"/>
      <c r="Z70" s="50"/>
      <c r="AA70" s="50"/>
      <c r="AB70" s="50"/>
      <c r="AC70" s="50"/>
      <c r="AD70" s="50">
        <f>+AM70+BA70</f>
        <v>0</v>
      </c>
      <c r="AE70" s="148" t="s">
        <v>246</v>
      </c>
      <c r="AF70" s="50"/>
      <c r="AG70" s="50"/>
      <c r="AH70" s="50"/>
      <c r="AI70" s="54"/>
      <c r="AJ70" s="50"/>
      <c r="AK70" s="50"/>
      <c r="AL70" s="50"/>
      <c r="AM70" s="50">
        <f t="shared" si="19"/>
        <v>0</v>
      </c>
      <c r="AN70" s="50"/>
      <c r="AO70" s="50"/>
      <c r="AP70" s="50"/>
      <c r="AQ70" s="50"/>
      <c r="AR70" s="50">
        <f t="shared" si="20"/>
        <v>0</v>
      </c>
      <c r="AS70" s="50"/>
      <c r="AT70" s="50"/>
      <c r="AU70" s="50"/>
      <c r="AV70" s="50"/>
      <c r="AW70" s="50"/>
      <c r="AX70" s="50"/>
      <c r="AY70" s="50"/>
      <c r="AZ70" s="50">
        <f>1440-1440</f>
        <v>0</v>
      </c>
      <c r="BA70" s="50">
        <f>+AR70+AS70+AU70+AW70+AY70+AZ70</f>
        <v>0</v>
      </c>
      <c r="BB70" s="126"/>
      <c r="BC70" s="116"/>
      <c r="BD70" s="116"/>
      <c r="BE70" s="124"/>
      <c r="BF70" s="116"/>
    </row>
    <row r="71" spans="1:58" ht="12.95" customHeight="1" x14ac:dyDescent="0.2">
      <c r="A71" s="117"/>
      <c r="B71" s="118"/>
      <c r="C71" s="119"/>
      <c r="D71" s="118"/>
      <c r="E71" s="37"/>
      <c r="F71" s="37"/>
      <c r="G71" s="127"/>
      <c r="H71" s="121"/>
      <c r="I71" s="45"/>
      <c r="J71" s="46"/>
      <c r="K71" s="46"/>
      <c r="L71" s="122"/>
      <c r="M71" s="122"/>
      <c r="N71" s="47"/>
      <c r="O71" s="48"/>
      <c r="P71" s="49"/>
      <c r="Q71" s="48"/>
      <c r="R71" s="123"/>
      <c r="S71" s="123"/>
      <c r="T71" s="50"/>
      <c r="U71" s="50"/>
      <c r="V71" s="50"/>
      <c r="W71" s="50"/>
      <c r="X71" s="51"/>
      <c r="Y71" s="52"/>
      <c r="Z71" s="50"/>
      <c r="AA71" s="53"/>
      <c r="AB71" s="53"/>
      <c r="AC71" s="50"/>
      <c r="AD71" s="50"/>
      <c r="AE71" s="101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124"/>
      <c r="BC71" s="116"/>
      <c r="BD71" s="116"/>
      <c r="BE71" s="124"/>
      <c r="BF71" s="116"/>
    </row>
    <row r="72" spans="1:58" ht="12.75" customHeight="1" x14ac:dyDescent="0.2">
      <c r="A72" s="117">
        <v>45973</v>
      </c>
      <c r="B72" s="118" t="s">
        <v>213</v>
      </c>
      <c r="C72" s="119">
        <f>(M72*E72*O72*Q72)/100000000</f>
        <v>0</v>
      </c>
      <c r="D72" s="118" t="s">
        <v>177</v>
      </c>
      <c r="E72" s="37">
        <v>12</v>
      </c>
      <c r="F72" s="37">
        <v>1</v>
      </c>
      <c r="G72" s="120">
        <v>1230</v>
      </c>
      <c r="H72" s="121">
        <f>+N72</f>
        <v>0.23417344173441734</v>
      </c>
      <c r="I72" s="45">
        <v>0.88</v>
      </c>
      <c r="J72" s="46">
        <f>E72*G72*(1-H72)*1440/1000000*2.74</f>
        <v>44.599484159999996</v>
      </c>
      <c r="K72" s="46">
        <f>(IF(G72&lt;L72,L72,G72)*(1-IF(H72&lt;N72,H72,N72))*E72*O72*Q72)/100000000</f>
        <v>0</v>
      </c>
      <c r="L72" s="122">
        <v>1230</v>
      </c>
      <c r="M72" s="122">
        <v>941.9666666666667</v>
      </c>
      <c r="N72" s="47">
        <f>1-(M72/L72)</f>
        <v>0.23417344173441734</v>
      </c>
      <c r="O72" s="48">
        <f>+'[3]Trim Rwd'!H26</f>
        <v>266</v>
      </c>
      <c r="P72" s="49">
        <f>O72*(Q72-R72-S72)</f>
        <v>0</v>
      </c>
      <c r="Q72" s="48">
        <f>1440-1440</f>
        <v>0</v>
      </c>
      <c r="R72" s="123">
        <f>1440-1440</f>
        <v>0</v>
      </c>
      <c r="S72" s="123">
        <v>0</v>
      </c>
      <c r="T72" s="50">
        <f>E72*M72*O72*Q72/100000000</f>
        <v>0</v>
      </c>
      <c r="U72" s="50">
        <f>E72*M72*O72*(Q72-R72-S72)/100000000</f>
        <v>0</v>
      </c>
      <c r="V72" s="50">
        <f>E72*G72*(1-N72)*O72/100*(R72+S72)/1000000</f>
        <v>0</v>
      </c>
      <c r="W72" s="50">
        <v>0</v>
      </c>
      <c r="X72" s="51" t="e">
        <f>SUM(W72:W76)/SUM(K72:K76)</f>
        <v>#DIV/0!</v>
      </c>
      <c r="Y72" s="52">
        <v>0</v>
      </c>
      <c r="Z72" s="50">
        <v>0</v>
      </c>
      <c r="AA72" s="53">
        <f>SUM(U72:U76)-SUM(W72:W76)-SUM(Z72:Z76)-SUM(Y72:Y76)</f>
        <v>0</v>
      </c>
      <c r="AB72" s="53">
        <f>(SUM(K72:K76)-SUM(W72:W76)-SUM(Y72:Y76)-SUM(Z72:Z76)-SUM(AC72:AC76)-SUM(V72:V76))-AA72</f>
        <v>0</v>
      </c>
      <c r="AC72" s="50">
        <f>K72-T72</f>
        <v>0</v>
      </c>
      <c r="AD72" s="50">
        <f>+AM72+BA72</f>
        <v>0</v>
      </c>
      <c r="AE72" s="101" t="s">
        <v>110</v>
      </c>
      <c r="AF72" s="50">
        <v>0</v>
      </c>
      <c r="AG72" s="50"/>
      <c r="AH72" s="50"/>
      <c r="AI72" s="54"/>
      <c r="AJ72" s="50"/>
      <c r="AK72" s="50"/>
      <c r="AL72" s="50"/>
      <c r="AM72" s="50">
        <f t="shared" ref="AM72:AM76" si="21">SUM(AF72:AL72)+AT72+AV72+AX72</f>
        <v>0</v>
      </c>
      <c r="AN72" s="50"/>
      <c r="AO72" s="50"/>
      <c r="AP72" s="50"/>
      <c r="AQ72" s="50"/>
      <c r="AR72" s="50">
        <f>SUM(AN72:AQ72)</f>
        <v>0</v>
      </c>
      <c r="AS72" s="50"/>
      <c r="AT72" s="50"/>
      <c r="AU72" s="50"/>
      <c r="AV72" s="50"/>
      <c r="AW72" s="50"/>
      <c r="AX72" s="50"/>
      <c r="AY72" s="50"/>
      <c r="AZ72" s="50"/>
      <c r="BA72" s="50">
        <f>+AR72+AS72+AU72+AW72+AY72+AZ72</f>
        <v>0</v>
      </c>
      <c r="BB72" s="124">
        <v>0</v>
      </c>
      <c r="BC72" s="116"/>
      <c r="BD72" s="116"/>
      <c r="BE72" s="124"/>
      <c r="BF72" s="116"/>
    </row>
    <row r="73" spans="1:58" ht="12.95" customHeight="1" x14ac:dyDescent="0.2">
      <c r="A73" s="117"/>
      <c r="B73" s="118"/>
      <c r="C73" s="119"/>
      <c r="D73" s="118"/>
      <c r="E73" s="37"/>
      <c r="F73" s="37"/>
      <c r="G73" s="120"/>
      <c r="H73" s="121"/>
      <c r="I73" s="45"/>
      <c r="J73" s="46"/>
      <c r="K73" s="46"/>
      <c r="L73" s="122"/>
      <c r="M73" s="122"/>
      <c r="N73" s="47"/>
      <c r="O73" s="48"/>
      <c r="P73" s="49"/>
      <c r="Q73" s="48"/>
      <c r="R73" s="123"/>
      <c r="S73" s="123"/>
      <c r="T73" s="50"/>
      <c r="U73" s="50"/>
      <c r="V73" s="50"/>
      <c r="W73" s="50"/>
      <c r="X73" s="55"/>
      <c r="Y73" s="52"/>
      <c r="Z73" s="50"/>
      <c r="AA73" s="50"/>
      <c r="AB73" s="50"/>
      <c r="AC73" s="50"/>
      <c r="AD73" s="50">
        <f>+AM73+BA73</f>
        <v>0</v>
      </c>
      <c r="AE73" s="101" t="s">
        <v>111</v>
      </c>
      <c r="AF73" s="50"/>
      <c r="AG73" s="50">
        <v>0</v>
      </c>
      <c r="AH73" s="50"/>
      <c r="AI73" s="54"/>
      <c r="AJ73" s="50"/>
      <c r="AK73" s="50"/>
      <c r="AL73" s="50"/>
      <c r="AM73" s="50">
        <f t="shared" si="21"/>
        <v>0</v>
      </c>
      <c r="AN73" s="125"/>
      <c r="AO73" s="50"/>
      <c r="AP73" s="50"/>
      <c r="AQ73" s="50"/>
      <c r="AR73" s="50">
        <f t="shared" ref="AR73:AR76" si="22">SUM(AN73:AQ73)</f>
        <v>0</v>
      </c>
      <c r="AS73" s="50"/>
      <c r="AT73" s="50"/>
      <c r="AU73" s="50"/>
      <c r="AV73" s="50"/>
      <c r="AW73" s="50"/>
      <c r="AX73" s="50"/>
      <c r="AY73" s="50"/>
      <c r="AZ73" s="50"/>
      <c r="BA73" s="50">
        <f>+AR73+AS73+AU73+AW73+AY73+AZ73</f>
        <v>0</v>
      </c>
      <c r="BB73" s="126"/>
      <c r="BC73" s="116">
        <v>0</v>
      </c>
      <c r="BD73" s="116"/>
      <c r="BE73" s="126"/>
      <c r="BF73" s="116"/>
    </row>
    <row r="74" spans="1:58" ht="12.95" customHeight="1" x14ac:dyDescent="0.2">
      <c r="A74" s="117"/>
      <c r="B74" s="118"/>
      <c r="C74" s="119"/>
      <c r="D74" s="118"/>
      <c r="E74" s="37"/>
      <c r="F74" s="37"/>
      <c r="G74" s="127"/>
      <c r="H74" s="121"/>
      <c r="I74" s="45"/>
      <c r="J74" s="46"/>
      <c r="K74" s="46"/>
      <c r="L74" s="122"/>
      <c r="M74" s="122"/>
      <c r="N74" s="47"/>
      <c r="O74" s="48"/>
      <c r="P74" s="49"/>
      <c r="Q74" s="48"/>
      <c r="R74" s="123"/>
      <c r="S74" s="123"/>
      <c r="T74" s="50"/>
      <c r="U74" s="50"/>
      <c r="V74" s="50"/>
      <c r="W74" s="50"/>
      <c r="X74" s="55"/>
      <c r="Y74" s="52"/>
      <c r="Z74" s="50"/>
      <c r="AA74" s="50"/>
      <c r="AB74" s="50"/>
      <c r="AC74" s="50"/>
      <c r="AD74" s="50">
        <f>+AM74+BA74</f>
        <v>0</v>
      </c>
      <c r="AE74" s="101" t="s">
        <v>214</v>
      </c>
      <c r="AF74" s="124"/>
      <c r="AG74" s="124"/>
      <c r="AH74" s="124">
        <v>0</v>
      </c>
      <c r="AJ74" s="50"/>
      <c r="AK74" s="50"/>
      <c r="AL74" s="50"/>
      <c r="AM74" s="50">
        <f t="shared" si="21"/>
        <v>0</v>
      </c>
      <c r="AN74" s="50"/>
      <c r="AO74" s="50"/>
      <c r="AP74" s="50"/>
      <c r="AQ74" s="50"/>
      <c r="AR74" s="50">
        <f t="shared" si="22"/>
        <v>0</v>
      </c>
      <c r="AS74" s="50"/>
      <c r="AT74" s="50"/>
      <c r="AU74" s="50"/>
      <c r="AV74" s="50"/>
      <c r="AW74" s="50"/>
      <c r="AX74" s="50"/>
      <c r="AY74" s="50"/>
      <c r="AZ74" s="50"/>
      <c r="BA74" s="50">
        <f>+AR74+AS74+AU74+AW74+AY74+AZ74</f>
        <v>0</v>
      </c>
      <c r="BB74" s="124"/>
      <c r="BC74" s="146"/>
      <c r="BD74" s="146"/>
      <c r="BE74" s="124"/>
      <c r="BF74" s="146"/>
    </row>
    <row r="75" spans="1:58" ht="12.95" customHeight="1" x14ac:dyDescent="0.2">
      <c r="A75" s="117"/>
      <c r="B75" s="118"/>
      <c r="C75" s="119"/>
      <c r="D75" s="118"/>
      <c r="E75" s="37"/>
      <c r="F75" s="37"/>
      <c r="G75" s="127"/>
      <c r="H75" s="121"/>
      <c r="I75" s="45"/>
      <c r="J75" s="46"/>
      <c r="K75" s="46"/>
      <c r="L75" s="122"/>
      <c r="M75" s="122"/>
      <c r="N75" s="47"/>
      <c r="O75" s="48"/>
      <c r="P75" s="49"/>
      <c r="Q75" s="56"/>
      <c r="R75" s="123"/>
      <c r="S75" s="123"/>
      <c r="T75" s="50"/>
      <c r="U75" s="50"/>
      <c r="V75" s="50"/>
      <c r="W75" s="50"/>
      <c r="X75" s="55"/>
      <c r="Y75" s="52"/>
      <c r="Z75" s="50"/>
      <c r="AA75" s="50"/>
      <c r="AB75" s="50"/>
      <c r="AC75" s="50"/>
      <c r="AD75" s="50">
        <f>+AM75+BA75</f>
        <v>0</v>
      </c>
      <c r="AE75" s="148" t="s">
        <v>162</v>
      </c>
      <c r="AF75" s="50"/>
      <c r="AG75" s="50"/>
      <c r="AH75" s="50"/>
      <c r="AI75" s="54">
        <v>0</v>
      </c>
      <c r="AJ75" s="50"/>
      <c r="AK75" s="50"/>
      <c r="AL75" s="50"/>
      <c r="AM75" s="50">
        <f t="shared" si="21"/>
        <v>0</v>
      </c>
      <c r="AN75" s="50"/>
      <c r="AO75" s="50"/>
      <c r="AP75" s="50"/>
      <c r="AQ75" s="50"/>
      <c r="AR75" s="50">
        <f t="shared" si="22"/>
        <v>0</v>
      </c>
      <c r="AS75" s="50"/>
      <c r="AT75" s="50"/>
      <c r="AU75" s="50"/>
      <c r="AV75" s="50"/>
      <c r="AW75" s="50"/>
      <c r="AX75" s="50"/>
      <c r="AY75" s="50"/>
      <c r="AZ75" s="50"/>
      <c r="BA75" s="50">
        <f>+AR75+AS75+AU75+AW75+AY75+AZ75</f>
        <v>0</v>
      </c>
      <c r="BB75" s="126"/>
      <c r="BC75" s="116"/>
      <c r="BD75" s="116"/>
      <c r="BE75" s="126"/>
      <c r="BF75" s="116"/>
    </row>
    <row r="76" spans="1:58" ht="12.95" customHeight="1" x14ac:dyDescent="0.2">
      <c r="A76" s="117"/>
      <c r="B76" s="118"/>
      <c r="C76" s="119"/>
      <c r="D76" s="118"/>
      <c r="E76" s="37"/>
      <c r="F76" s="37"/>
      <c r="G76" s="127"/>
      <c r="H76" s="121"/>
      <c r="I76" s="45"/>
      <c r="J76" s="46"/>
      <c r="K76" s="46"/>
      <c r="L76" s="122"/>
      <c r="M76" s="122"/>
      <c r="N76" s="47"/>
      <c r="O76" s="48"/>
      <c r="P76" s="49"/>
      <c r="Q76" s="56"/>
      <c r="R76" s="123"/>
      <c r="S76" s="123"/>
      <c r="T76" s="50"/>
      <c r="U76" s="50"/>
      <c r="V76" s="50"/>
      <c r="W76" s="50"/>
      <c r="X76" s="55"/>
      <c r="Y76" s="52"/>
      <c r="Z76" s="50"/>
      <c r="AA76" s="50"/>
      <c r="AB76" s="50"/>
      <c r="AC76" s="50"/>
      <c r="AD76" s="50">
        <f>+AM76+BA76</f>
        <v>0</v>
      </c>
      <c r="AE76" s="148" t="s">
        <v>246</v>
      </c>
      <c r="AF76" s="50"/>
      <c r="AG76" s="50"/>
      <c r="AH76" s="50"/>
      <c r="AI76" s="54"/>
      <c r="AJ76" s="50"/>
      <c r="AK76" s="50"/>
      <c r="AL76" s="50"/>
      <c r="AM76" s="50">
        <f t="shared" si="21"/>
        <v>0</v>
      </c>
      <c r="AN76" s="50"/>
      <c r="AO76" s="50"/>
      <c r="AP76" s="50"/>
      <c r="AQ76" s="50"/>
      <c r="AR76" s="50">
        <f t="shared" si="22"/>
        <v>0</v>
      </c>
      <c r="AS76" s="50"/>
      <c r="AT76" s="50"/>
      <c r="AU76" s="50"/>
      <c r="AV76" s="50"/>
      <c r="AW76" s="50"/>
      <c r="AX76" s="50"/>
      <c r="AY76" s="50"/>
      <c r="AZ76" s="50">
        <f>1440-1440</f>
        <v>0</v>
      </c>
      <c r="BA76" s="50">
        <f>+AR76+AS76+AU76+AW76+AY76+AZ76</f>
        <v>0</v>
      </c>
      <c r="BB76" s="126"/>
      <c r="BC76" s="116"/>
      <c r="BD76" s="116"/>
      <c r="BE76" s="124"/>
      <c r="BF76" s="116"/>
    </row>
    <row r="77" spans="1:58" ht="12.95" customHeight="1" x14ac:dyDescent="0.2">
      <c r="A77" s="117"/>
      <c r="B77" s="118"/>
      <c r="C77" s="119"/>
      <c r="D77" s="118"/>
      <c r="E77" s="37"/>
      <c r="F77" s="37"/>
      <c r="G77" s="127"/>
      <c r="H77" s="121"/>
      <c r="I77" s="45"/>
      <c r="J77" s="46"/>
      <c r="K77" s="46"/>
      <c r="L77" s="122"/>
      <c r="M77" s="122"/>
      <c r="N77" s="47"/>
      <c r="O77" s="48"/>
      <c r="P77" s="49"/>
      <c r="Q77" s="48"/>
      <c r="R77" s="123"/>
      <c r="S77" s="123"/>
      <c r="T77" s="50"/>
      <c r="U77" s="50"/>
      <c r="V77" s="50"/>
      <c r="W77" s="50"/>
      <c r="X77" s="55"/>
      <c r="Y77" s="52"/>
      <c r="Z77" s="50"/>
      <c r="AA77" s="53"/>
      <c r="AB77" s="53"/>
      <c r="AC77" s="50"/>
      <c r="AD77" s="50"/>
      <c r="AE77" s="148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124"/>
      <c r="BC77" s="116"/>
      <c r="BD77" s="116"/>
      <c r="BE77" s="116"/>
      <c r="BF77" s="116"/>
    </row>
    <row r="78" spans="1:58" ht="12.75" customHeight="1" x14ac:dyDescent="0.2">
      <c r="A78" s="117">
        <v>45974</v>
      </c>
      <c r="B78" s="118" t="s">
        <v>213</v>
      </c>
      <c r="C78" s="119">
        <f>(M78*E78*O78*Q78)/100000000</f>
        <v>0</v>
      </c>
      <c r="D78" s="118" t="s">
        <v>177</v>
      </c>
      <c r="E78" s="37">
        <v>12</v>
      </c>
      <c r="F78" s="37">
        <v>1</v>
      </c>
      <c r="G78" s="120">
        <v>1230</v>
      </c>
      <c r="H78" s="121">
        <f>+N78</f>
        <v>0.23417344173441734</v>
      </c>
      <c r="I78" s="45">
        <v>0.88</v>
      </c>
      <c r="J78" s="46">
        <f>E78*G78*(1-H78)*1440/1000000*2.74</f>
        <v>44.599484159999996</v>
      </c>
      <c r="K78" s="46">
        <f>(IF(G78&lt;L78,L78,G78)*(1-IF(H78&lt;N78,H78,N78))*E78*O78*Q78)/100000000</f>
        <v>0</v>
      </c>
      <c r="L78" s="122">
        <v>1230</v>
      </c>
      <c r="M78" s="122">
        <v>941.9666666666667</v>
      </c>
      <c r="N78" s="47">
        <f>1-(M78/L78)</f>
        <v>0.23417344173441734</v>
      </c>
      <c r="O78" s="48">
        <f>+'[3]Trim Rwd'!H28</f>
        <v>266</v>
      </c>
      <c r="P78" s="49">
        <f>O78*(Q78-R78-S78)</f>
        <v>0</v>
      </c>
      <c r="Q78" s="48">
        <f>1440-1440</f>
        <v>0</v>
      </c>
      <c r="R78" s="123">
        <f>1440-1440</f>
        <v>0</v>
      </c>
      <c r="S78" s="123">
        <v>0</v>
      </c>
      <c r="T78" s="50">
        <f>E78*M78*O78*Q78/100000000</f>
        <v>0</v>
      </c>
      <c r="U78" s="50">
        <f>E78*M78*O78*(Q78-R78-S78)/100000000</f>
        <v>0</v>
      </c>
      <c r="V78" s="50">
        <f>E78*G78*(1-N78)*O78/100*(R78+S78)/1000000</f>
        <v>0</v>
      </c>
      <c r="W78" s="50">
        <v>0</v>
      </c>
      <c r="X78" s="51" t="e">
        <f>SUM(W78:W82)/SUM(K78:K82)</f>
        <v>#DIV/0!</v>
      </c>
      <c r="Y78" s="52">
        <v>0</v>
      </c>
      <c r="Z78" s="50">
        <v>0</v>
      </c>
      <c r="AA78" s="53">
        <f>SUM(U78:U82)-SUM(W78:W82)-SUM(Z78:Z82)-SUM(Y78:Y82)</f>
        <v>0</v>
      </c>
      <c r="AB78" s="53">
        <f>(SUM(K78:K82)-SUM(W78:W82)-SUM(Y78:Y82)-SUM(Z78:Z82)-SUM(AC78:AC82)-SUM(V78:V82))-AA78</f>
        <v>0</v>
      </c>
      <c r="AC78" s="50">
        <f>K78-T78</f>
        <v>0</v>
      </c>
      <c r="AD78" s="50">
        <f>+AM78+BA78</f>
        <v>0</v>
      </c>
      <c r="AE78" s="101" t="s">
        <v>110</v>
      </c>
      <c r="AF78" s="50">
        <v>0</v>
      </c>
      <c r="AG78" s="50"/>
      <c r="AH78" s="50"/>
      <c r="AI78" s="54"/>
      <c r="AJ78" s="50"/>
      <c r="AK78" s="50"/>
      <c r="AL78" s="50"/>
      <c r="AM78" s="50">
        <f t="shared" ref="AM78:AM82" si="23">SUM(AF78:AL78)+AT78+AV78+AX78</f>
        <v>0</v>
      </c>
      <c r="AN78" s="50"/>
      <c r="AO78" s="50"/>
      <c r="AP78" s="50"/>
      <c r="AQ78" s="50"/>
      <c r="AR78" s="50">
        <f>SUM(AN78:AQ78)</f>
        <v>0</v>
      </c>
      <c r="AS78" s="50"/>
      <c r="AT78" s="50"/>
      <c r="AU78" s="50"/>
      <c r="AV78" s="50"/>
      <c r="AW78" s="50"/>
      <c r="AX78" s="50"/>
      <c r="AY78" s="50"/>
      <c r="AZ78" s="50"/>
      <c r="BA78" s="50">
        <f>+AR78+AS78+AU78+AW78+AY78+AZ78</f>
        <v>0</v>
      </c>
      <c r="BB78" s="124">
        <v>0</v>
      </c>
      <c r="BC78" s="116"/>
      <c r="BD78" s="116"/>
      <c r="BE78" s="124"/>
      <c r="BF78" s="116"/>
    </row>
    <row r="79" spans="1:58" ht="12.95" customHeight="1" x14ac:dyDescent="0.2">
      <c r="A79" s="117"/>
      <c r="B79" s="118"/>
      <c r="C79" s="119"/>
      <c r="D79" s="118"/>
      <c r="E79" s="37"/>
      <c r="F79" s="37"/>
      <c r="G79" s="120"/>
      <c r="H79" s="121"/>
      <c r="I79" s="45"/>
      <c r="J79" s="46"/>
      <c r="K79" s="46"/>
      <c r="L79" s="122"/>
      <c r="M79" s="122"/>
      <c r="N79" s="47"/>
      <c r="O79" s="48"/>
      <c r="P79" s="49"/>
      <c r="Q79" s="48"/>
      <c r="R79" s="123"/>
      <c r="S79" s="123"/>
      <c r="T79" s="50"/>
      <c r="U79" s="50"/>
      <c r="V79" s="50"/>
      <c r="W79" s="50"/>
      <c r="X79" s="55"/>
      <c r="Y79" s="52"/>
      <c r="Z79" s="50"/>
      <c r="AA79" s="50"/>
      <c r="AB79" s="50"/>
      <c r="AC79" s="50"/>
      <c r="AD79" s="50">
        <f>+AM79+BA79</f>
        <v>0</v>
      </c>
      <c r="AE79" s="101" t="s">
        <v>111</v>
      </c>
      <c r="AF79" s="50"/>
      <c r="AG79" s="50">
        <v>0</v>
      </c>
      <c r="AH79" s="50"/>
      <c r="AI79" s="54"/>
      <c r="AJ79" s="50"/>
      <c r="AK79" s="50"/>
      <c r="AL79" s="50"/>
      <c r="AM79" s="50">
        <f t="shared" si="23"/>
        <v>0</v>
      </c>
      <c r="AN79" s="125"/>
      <c r="AO79" s="50"/>
      <c r="AP79" s="50"/>
      <c r="AQ79" s="50"/>
      <c r="AR79" s="50">
        <f t="shared" ref="AR79:AR82" si="24">SUM(AN79:AQ79)</f>
        <v>0</v>
      </c>
      <c r="AS79" s="50"/>
      <c r="AT79" s="50"/>
      <c r="AU79" s="50"/>
      <c r="AV79" s="50"/>
      <c r="AW79" s="50"/>
      <c r="AX79" s="50"/>
      <c r="AY79" s="50"/>
      <c r="AZ79" s="50"/>
      <c r="BA79" s="50">
        <f>+AR79+AS79+AU79+AW79+AY79+AZ79</f>
        <v>0</v>
      </c>
      <c r="BB79" s="126"/>
      <c r="BC79" s="116">
        <v>0</v>
      </c>
      <c r="BD79" s="116"/>
      <c r="BE79" s="126"/>
      <c r="BF79" s="116"/>
    </row>
    <row r="80" spans="1:58" ht="12.95" customHeight="1" x14ac:dyDescent="0.2">
      <c r="A80" s="117"/>
      <c r="B80" s="118"/>
      <c r="C80" s="119"/>
      <c r="D80" s="118"/>
      <c r="E80" s="37"/>
      <c r="F80" s="37"/>
      <c r="G80" s="127"/>
      <c r="H80" s="121"/>
      <c r="I80" s="45"/>
      <c r="J80" s="46"/>
      <c r="K80" s="46"/>
      <c r="L80" s="122"/>
      <c r="M80" s="122"/>
      <c r="N80" s="47"/>
      <c r="O80" s="48"/>
      <c r="P80" s="49"/>
      <c r="Q80" s="48"/>
      <c r="R80" s="123"/>
      <c r="S80" s="123"/>
      <c r="T80" s="50"/>
      <c r="U80" s="50"/>
      <c r="V80" s="50"/>
      <c r="W80" s="50"/>
      <c r="X80" s="55"/>
      <c r="Y80" s="52"/>
      <c r="Z80" s="50"/>
      <c r="AA80" s="50"/>
      <c r="AB80" s="50"/>
      <c r="AC80" s="50"/>
      <c r="AD80" s="50">
        <f>+AM80+BA80</f>
        <v>0</v>
      </c>
      <c r="AE80" s="101" t="s">
        <v>214</v>
      </c>
      <c r="AF80" s="124"/>
      <c r="AG80" s="124"/>
      <c r="AH80" s="124">
        <v>0</v>
      </c>
      <c r="AJ80" s="50"/>
      <c r="AK80" s="50"/>
      <c r="AL80" s="50"/>
      <c r="AM80" s="50">
        <f t="shared" si="23"/>
        <v>0</v>
      </c>
      <c r="AN80" s="50"/>
      <c r="AO80" s="50"/>
      <c r="AP80" s="50"/>
      <c r="AQ80" s="50"/>
      <c r="AR80" s="50">
        <f t="shared" si="24"/>
        <v>0</v>
      </c>
      <c r="AS80" s="50"/>
      <c r="AT80" s="50"/>
      <c r="AU80" s="50"/>
      <c r="AV80" s="50"/>
      <c r="AW80" s="50"/>
      <c r="AX80" s="50"/>
      <c r="AY80" s="50"/>
      <c r="AZ80" s="50"/>
      <c r="BA80" s="50">
        <f>+AR80+AS80+AU80+AW80+AY80+AZ80</f>
        <v>0</v>
      </c>
      <c r="BB80" s="124"/>
      <c r="BC80" s="146"/>
      <c r="BD80" s="146"/>
      <c r="BE80" s="124"/>
      <c r="BF80" s="146"/>
    </row>
    <row r="81" spans="1:58" ht="12.95" customHeight="1" x14ac:dyDescent="0.2">
      <c r="A81" s="117"/>
      <c r="B81" s="118"/>
      <c r="C81" s="119"/>
      <c r="D81" s="118"/>
      <c r="E81" s="37"/>
      <c r="F81" s="37"/>
      <c r="G81" s="127"/>
      <c r="H81" s="121"/>
      <c r="I81" s="45"/>
      <c r="J81" s="46"/>
      <c r="K81" s="46"/>
      <c r="L81" s="122"/>
      <c r="M81" s="122"/>
      <c r="N81" s="47"/>
      <c r="O81" s="48"/>
      <c r="P81" s="49"/>
      <c r="Q81" s="56"/>
      <c r="R81" s="123"/>
      <c r="S81" s="123"/>
      <c r="T81" s="50"/>
      <c r="U81" s="50"/>
      <c r="V81" s="50"/>
      <c r="W81" s="50"/>
      <c r="X81" s="55"/>
      <c r="Y81" s="52"/>
      <c r="Z81" s="50"/>
      <c r="AA81" s="50"/>
      <c r="AB81" s="50"/>
      <c r="AC81" s="50"/>
      <c r="AD81" s="50">
        <f>+AM81+BA81</f>
        <v>0</v>
      </c>
      <c r="AE81" s="148" t="s">
        <v>162</v>
      </c>
      <c r="AF81" s="50"/>
      <c r="AG81" s="50"/>
      <c r="AH81" s="50"/>
      <c r="AI81" s="54">
        <v>0</v>
      </c>
      <c r="AJ81" s="50"/>
      <c r="AK81" s="50"/>
      <c r="AL81" s="50"/>
      <c r="AM81" s="50">
        <f t="shared" si="23"/>
        <v>0</v>
      </c>
      <c r="AN81" s="50"/>
      <c r="AO81" s="50"/>
      <c r="AP81" s="50"/>
      <c r="AQ81" s="50"/>
      <c r="AR81" s="50">
        <f t="shared" si="24"/>
        <v>0</v>
      </c>
      <c r="AS81" s="50"/>
      <c r="AT81" s="50"/>
      <c r="AU81" s="50"/>
      <c r="AV81" s="50"/>
      <c r="AW81" s="50"/>
      <c r="AX81" s="50"/>
      <c r="AY81" s="50"/>
      <c r="AZ81" s="50"/>
      <c r="BA81" s="50">
        <f>+AR81+AS81+AU81+AW81+AY81+AZ81</f>
        <v>0</v>
      </c>
      <c r="BB81" s="126"/>
      <c r="BC81" s="116"/>
      <c r="BD81" s="116"/>
      <c r="BE81" s="126"/>
      <c r="BF81" s="116"/>
    </row>
    <row r="82" spans="1:58" ht="12.95" customHeight="1" x14ac:dyDescent="0.2">
      <c r="A82" s="117"/>
      <c r="B82" s="118"/>
      <c r="C82" s="119"/>
      <c r="D82" s="118"/>
      <c r="E82" s="37"/>
      <c r="F82" s="37"/>
      <c r="G82" s="127"/>
      <c r="H82" s="121"/>
      <c r="I82" s="45"/>
      <c r="J82" s="46"/>
      <c r="K82" s="46"/>
      <c r="L82" s="122"/>
      <c r="M82" s="122"/>
      <c r="N82" s="47"/>
      <c r="O82" s="48"/>
      <c r="P82" s="49"/>
      <c r="Q82" s="56"/>
      <c r="R82" s="123"/>
      <c r="S82" s="123"/>
      <c r="T82" s="50"/>
      <c r="U82" s="50"/>
      <c r="V82" s="50"/>
      <c r="W82" s="50"/>
      <c r="X82" s="55"/>
      <c r="Y82" s="52"/>
      <c r="Z82" s="50"/>
      <c r="AA82" s="50"/>
      <c r="AB82" s="50"/>
      <c r="AC82" s="50"/>
      <c r="AD82" s="50">
        <f>+AM82+BA82</f>
        <v>0</v>
      </c>
      <c r="AE82" s="148" t="s">
        <v>246</v>
      </c>
      <c r="AF82" s="50"/>
      <c r="AG82" s="50"/>
      <c r="AH82" s="50"/>
      <c r="AI82" s="54"/>
      <c r="AJ82" s="50"/>
      <c r="AK82" s="50"/>
      <c r="AL82" s="50"/>
      <c r="AM82" s="50">
        <f t="shared" si="23"/>
        <v>0</v>
      </c>
      <c r="AN82" s="50"/>
      <c r="AO82" s="50"/>
      <c r="AP82" s="50"/>
      <c r="AQ82" s="50"/>
      <c r="AR82" s="50">
        <f t="shared" si="24"/>
        <v>0</v>
      </c>
      <c r="AS82" s="50"/>
      <c r="AT82" s="50"/>
      <c r="AU82" s="50"/>
      <c r="AV82" s="50"/>
      <c r="AW82" s="50"/>
      <c r="AX82" s="50"/>
      <c r="AY82" s="50"/>
      <c r="AZ82" s="50">
        <f>1440-1440</f>
        <v>0</v>
      </c>
      <c r="BA82" s="50">
        <f>+AR82+AS82+AU82+AW82+AY82+AZ82</f>
        <v>0</v>
      </c>
      <c r="BB82" s="126"/>
      <c r="BC82" s="116"/>
      <c r="BD82" s="116"/>
      <c r="BE82" s="124"/>
      <c r="BF82" s="116"/>
    </row>
    <row r="83" spans="1:58" ht="13.5" customHeight="1" x14ac:dyDescent="0.2">
      <c r="A83" s="117"/>
      <c r="B83" s="118"/>
      <c r="C83" s="119"/>
      <c r="D83" s="118"/>
      <c r="E83" s="37"/>
      <c r="F83" s="37"/>
      <c r="G83" s="120"/>
      <c r="H83" s="121"/>
      <c r="I83" s="45"/>
      <c r="J83" s="46"/>
      <c r="K83" s="46"/>
      <c r="L83" s="122"/>
      <c r="M83" s="122"/>
      <c r="N83" s="47"/>
      <c r="O83" s="48"/>
      <c r="P83" s="49"/>
      <c r="Q83" s="48"/>
      <c r="R83" s="123"/>
      <c r="S83" s="123"/>
      <c r="T83" s="50"/>
      <c r="U83" s="50"/>
      <c r="V83" s="50"/>
      <c r="W83" s="50"/>
      <c r="X83" s="51"/>
      <c r="Y83" s="52"/>
      <c r="Z83" s="50"/>
      <c r="AA83" s="53"/>
      <c r="AB83" s="53"/>
      <c r="AC83" s="50"/>
      <c r="AD83" s="50"/>
      <c r="AE83" s="101"/>
      <c r="AF83" s="50"/>
      <c r="AG83" s="50"/>
      <c r="AH83" s="50"/>
      <c r="AI83" s="54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124"/>
      <c r="BC83" s="116"/>
      <c r="BD83" s="116"/>
      <c r="BE83" s="116"/>
      <c r="BF83" s="116"/>
    </row>
    <row r="84" spans="1:58" ht="12.75" customHeight="1" x14ac:dyDescent="0.2">
      <c r="A84" s="117">
        <v>45975</v>
      </c>
      <c r="B84" s="118" t="s">
        <v>213</v>
      </c>
      <c r="C84" s="119">
        <f>(M84*E84*O84*Q84)/100000000</f>
        <v>0</v>
      </c>
      <c r="D84" s="118" t="s">
        <v>177</v>
      </c>
      <c r="E84" s="37">
        <v>12</v>
      </c>
      <c r="F84" s="37">
        <v>1</v>
      </c>
      <c r="G84" s="120">
        <v>1230</v>
      </c>
      <c r="H84" s="121">
        <f>+N84</f>
        <v>0.23417344173441734</v>
      </c>
      <c r="I84" s="45">
        <v>0.88</v>
      </c>
      <c r="J84" s="46">
        <f>E84*G84*(1-H84)*1440/1000000*2.74</f>
        <v>44.599484159999996</v>
      </c>
      <c r="K84" s="46">
        <f>(IF(G84&lt;L84,L84,G84)*(1-IF(H84&lt;N84,H84,N84))*E84*O84*Q84)/100000000</f>
        <v>0</v>
      </c>
      <c r="L84" s="122">
        <v>1230</v>
      </c>
      <c r="M84" s="122">
        <v>941.9666666666667</v>
      </c>
      <c r="N84" s="47">
        <f>1-(M84/L84)</f>
        <v>0.23417344173441734</v>
      </c>
      <c r="O84" s="48">
        <f>+'[3]Trim Rwd'!H30</f>
        <v>266</v>
      </c>
      <c r="P84" s="49">
        <f>O84*(Q84-R84-S84)</f>
        <v>0</v>
      </c>
      <c r="Q84" s="48">
        <f>1440-1440</f>
        <v>0</v>
      </c>
      <c r="R84" s="123">
        <f>1440-1440</f>
        <v>0</v>
      </c>
      <c r="S84" s="123">
        <v>0</v>
      </c>
      <c r="T84" s="50">
        <f>E84*M84*O84*Q84/100000000</f>
        <v>0</v>
      </c>
      <c r="U84" s="50">
        <f>E84*M84*O84*(Q84-R84-S84)/100000000</f>
        <v>0</v>
      </c>
      <c r="V84" s="50">
        <f>E84*G84*(1-N84)*O84/100*(R84+S84)/1000000</f>
        <v>0</v>
      </c>
      <c r="W84" s="50">
        <v>0</v>
      </c>
      <c r="X84" s="51" t="e">
        <f>SUM(W84:W88)/SUM(K84:K88)</f>
        <v>#DIV/0!</v>
      </c>
      <c r="Y84" s="52">
        <v>0</v>
      </c>
      <c r="Z84" s="50">
        <v>0</v>
      </c>
      <c r="AA84" s="53">
        <f>SUM(U84:U88)-SUM(W84:W88)-SUM(Z84:Z88)-SUM(Y84:Y88)</f>
        <v>0</v>
      </c>
      <c r="AB84" s="53">
        <f>(SUM(K84:K88)-SUM(W84:W88)-SUM(Y84:Y88)-SUM(Z84:Z88)-SUM(AC84:AC88)-SUM(V84:V88))-AA84</f>
        <v>0</v>
      </c>
      <c r="AC84" s="50">
        <f>K84-T84</f>
        <v>0</v>
      </c>
      <c r="AD84" s="50">
        <f>+AM84+BA84</f>
        <v>0</v>
      </c>
      <c r="AE84" s="101" t="s">
        <v>110</v>
      </c>
      <c r="AF84" s="50">
        <v>0</v>
      </c>
      <c r="AG84" s="50"/>
      <c r="AH84" s="50"/>
      <c r="AI84" s="54"/>
      <c r="AJ84" s="50"/>
      <c r="AK84" s="50"/>
      <c r="AL84" s="50"/>
      <c r="AM84" s="50">
        <f t="shared" ref="AM84:AM88" si="25">SUM(AF84:AL84)+AT84+AV84+AX84</f>
        <v>0</v>
      </c>
      <c r="AN84" s="50"/>
      <c r="AO84" s="50"/>
      <c r="AP84" s="50"/>
      <c r="AQ84" s="50"/>
      <c r="AR84" s="50">
        <f>SUM(AN84:AQ84)</f>
        <v>0</v>
      </c>
      <c r="AS84" s="50"/>
      <c r="AT84" s="50"/>
      <c r="AU84" s="50"/>
      <c r="AV84" s="50"/>
      <c r="AW84" s="50"/>
      <c r="AX84" s="50"/>
      <c r="AY84" s="50"/>
      <c r="AZ84" s="50"/>
      <c r="BA84" s="50">
        <f>+AR84+AS84+AU84+AW84+AY84+AZ84</f>
        <v>0</v>
      </c>
      <c r="BB84" s="124">
        <v>0</v>
      </c>
      <c r="BC84" s="116"/>
      <c r="BD84" s="116"/>
      <c r="BE84" s="124"/>
      <c r="BF84" s="116"/>
    </row>
    <row r="85" spans="1:58" ht="12.95" customHeight="1" x14ac:dyDescent="0.2">
      <c r="A85" s="117"/>
      <c r="B85" s="118"/>
      <c r="C85" s="119"/>
      <c r="D85" s="118"/>
      <c r="E85" s="37"/>
      <c r="F85" s="37"/>
      <c r="G85" s="120"/>
      <c r="H85" s="121"/>
      <c r="I85" s="45"/>
      <c r="J85" s="46"/>
      <c r="K85" s="46"/>
      <c r="L85" s="122"/>
      <c r="M85" s="122"/>
      <c r="N85" s="47"/>
      <c r="O85" s="48"/>
      <c r="P85" s="49"/>
      <c r="Q85" s="48"/>
      <c r="R85" s="123"/>
      <c r="S85" s="123"/>
      <c r="T85" s="50"/>
      <c r="U85" s="50"/>
      <c r="V85" s="50"/>
      <c r="W85" s="50"/>
      <c r="X85" s="55"/>
      <c r="Y85" s="52"/>
      <c r="Z85" s="50"/>
      <c r="AA85" s="50"/>
      <c r="AB85" s="50"/>
      <c r="AC85" s="50"/>
      <c r="AD85" s="50">
        <f>+AM85+BA85</f>
        <v>0</v>
      </c>
      <c r="AE85" s="101" t="s">
        <v>111</v>
      </c>
      <c r="AF85" s="50"/>
      <c r="AG85" s="50">
        <v>0</v>
      </c>
      <c r="AH85" s="50"/>
      <c r="AI85" s="54"/>
      <c r="AJ85" s="50"/>
      <c r="AK85" s="50"/>
      <c r="AL85" s="50"/>
      <c r="AM85" s="50">
        <f t="shared" si="25"/>
        <v>0</v>
      </c>
      <c r="AN85" s="125"/>
      <c r="AO85" s="50"/>
      <c r="AP85" s="50"/>
      <c r="AQ85" s="50"/>
      <c r="AR85" s="50">
        <f t="shared" ref="AR85:AR88" si="26">SUM(AN85:AQ85)</f>
        <v>0</v>
      </c>
      <c r="AS85" s="50"/>
      <c r="AT85" s="50"/>
      <c r="AU85" s="50"/>
      <c r="AV85" s="50"/>
      <c r="AW85" s="50"/>
      <c r="AX85" s="50"/>
      <c r="AY85" s="50"/>
      <c r="AZ85" s="50"/>
      <c r="BA85" s="50">
        <f>+AR85+AS85+AU85+AW85+AY85+AZ85</f>
        <v>0</v>
      </c>
      <c r="BB85" s="126"/>
      <c r="BC85" s="116">
        <v>0</v>
      </c>
      <c r="BD85" s="116"/>
      <c r="BE85" s="126"/>
      <c r="BF85" s="116"/>
    </row>
    <row r="86" spans="1:58" ht="12.95" customHeight="1" x14ac:dyDescent="0.2">
      <c r="A86" s="117"/>
      <c r="B86" s="118"/>
      <c r="C86" s="119"/>
      <c r="D86" s="118"/>
      <c r="E86" s="37"/>
      <c r="F86" s="37"/>
      <c r="G86" s="127"/>
      <c r="H86" s="121"/>
      <c r="I86" s="45"/>
      <c r="J86" s="46"/>
      <c r="K86" s="46"/>
      <c r="L86" s="122"/>
      <c r="M86" s="122"/>
      <c r="N86" s="47"/>
      <c r="O86" s="48"/>
      <c r="P86" s="49"/>
      <c r="Q86" s="48"/>
      <c r="R86" s="123"/>
      <c r="S86" s="123"/>
      <c r="T86" s="50"/>
      <c r="U86" s="50"/>
      <c r="V86" s="50"/>
      <c r="W86" s="50"/>
      <c r="X86" s="55"/>
      <c r="Y86" s="52"/>
      <c r="Z86" s="50"/>
      <c r="AA86" s="50"/>
      <c r="AB86" s="50"/>
      <c r="AC86" s="50"/>
      <c r="AD86" s="50">
        <f>+AM86+BA86</f>
        <v>0</v>
      </c>
      <c r="AE86" s="101" t="s">
        <v>214</v>
      </c>
      <c r="AF86" s="124"/>
      <c r="AG86" s="124"/>
      <c r="AH86" s="124">
        <v>0</v>
      </c>
      <c r="AJ86" s="50"/>
      <c r="AK86" s="50"/>
      <c r="AL86" s="50"/>
      <c r="AM86" s="50">
        <f t="shared" si="25"/>
        <v>0</v>
      </c>
      <c r="AN86" s="50"/>
      <c r="AO86" s="50"/>
      <c r="AP86" s="50"/>
      <c r="AQ86" s="50"/>
      <c r="AR86" s="50">
        <f t="shared" si="26"/>
        <v>0</v>
      </c>
      <c r="AS86" s="50"/>
      <c r="AT86" s="50"/>
      <c r="AU86" s="50"/>
      <c r="AV86" s="50"/>
      <c r="AW86" s="50"/>
      <c r="AX86" s="50"/>
      <c r="AY86" s="50"/>
      <c r="AZ86" s="50"/>
      <c r="BA86" s="50">
        <f>+AR86+AS86+AU86+AW86+AY86+AZ86</f>
        <v>0</v>
      </c>
      <c r="BB86" s="124"/>
      <c r="BC86" s="146"/>
      <c r="BD86" s="146"/>
      <c r="BE86" s="124"/>
      <c r="BF86" s="146"/>
    </row>
    <row r="87" spans="1:58" ht="12.95" customHeight="1" x14ac:dyDescent="0.2">
      <c r="A87" s="117"/>
      <c r="B87" s="118"/>
      <c r="C87" s="119"/>
      <c r="D87" s="118"/>
      <c r="E87" s="37"/>
      <c r="F87" s="37"/>
      <c r="G87" s="127"/>
      <c r="H87" s="121"/>
      <c r="I87" s="45"/>
      <c r="J87" s="46"/>
      <c r="K87" s="46"/>
      <c r="L87" s="122"/>
      <c r="M87" s="122"/>
      <c r="N87" s="47"/>
      <c r="O87" s="48"/>
      <c r="P87" s="49"/>
      <c r="Q87" s="56"/>
      <c r="R87" s="123"/>
      <c r="S87" s="123"/>
      <c r="T87" s="50"/>
      <c r="U87" s="50"/>
      <c r="V87" s="50"/>
      <c r="W87" s="50"/>
      <c r="X87" s="55"/>
      <c r="Y87" s="52"/>
      <c r="Z87" s="50"/>
      <c r="AA87" s="50"/>
      <c r="AB87" s="50"/>
      <c r="AC87" s="50"/>
      <c r="AD87" s="50">
        <f>+AM87+BA87</f>
        <v>0</v>
      </c>
      <c r="AE87" s="148" t="s">
        <v>162</v>
      </c>
      <c r="AF87" s="50"/>
      <c r="AG87" s="50"/>
      <c r="AH87" s="50"/>
      <c r="AI87" s="54">
        <v>0</v>
      </c>
      <c r="AJ87" s="50"/>
      <c r="AK87" s="50"/>
      <c r="AL87" s="50"/>
      <c r="AM87" s="50">
        <f t="shared" si="25"/>
        <v>0</v>
      </c>
      <c r="AN87" s="50"/>
      <c r="AO87" s="50"/>
      <c r="AP87" s="50"/>
      <c r="AQ87" s="50"/>
      <c r="AR87" s="50">
        <f t="shared" si="26"/>
        <v>0</v>
      </c>
      <c r="AS87" s="50"/>
      <c r="AT87" s="50"/>
      <c r="AU87" s="50"/>
      <c r="AV87" s="50"/>
      <c r="AW87" s="50"/>
      <c r="AX87" s="50"/>
      <c r="AY87" s="50"/>
      <c r="AZ87" s="50"/>
      <c r="BA87" s="50">
        <f>+AR87+AS87+AU87+AW87+AY87+AZ87</f>
        <v>0</v>
      </c>
      <c r="BB87" s="126"/>
      <c r="BC87" s="116"/>
      <c r="BD87" s="116"/>
      <c r="BE87" s="126"/>
      <c r="BF87" s="116"/>
    </row>
    <row r="88" spans="1:58" ht="12.95" customHeight="1" x14ac:dyDescent="0.2">
      <c r="A88" s="117"/>
      <c r="B88" s="118"/>
      <c r="C88" s="119"/>
      <c r="D88" s="118"/>
      <c r="E88" s="37"/>
      <c r="F88" s="37"/>
      <c r="G88" s="127"/>
      <c r="H88" s="121"/>
      <c r="I88" s="45"/>
      <c r="J88" s="46"/>
      <c r="K88" s="46"/>
      <c r="L88" s="122"/>
      <c r="M88" s="122"/>
      <c r="N88" s="47"/>
      <c r="O88" s="48"/>
      <c r="P88" s="49"/>
      <c r="Q88" s="56"/>
      <c r="R88" s="123"/>
      <c r="S88" s="123"/>
      <c r="T88" s="50"/>
      <c r="U88" s="50"/>
      <c r="V88" s="50"/>
      <c r="W88" s="50"/>
      <c r="X88" s="55"/>
      <c r="Y88" s="52"/>
      <c r="Z88" s="50"/>
      <c r="AA88" s="50"/>
      <c r="AB88" s="50"/>
      <c r="AC88" s="50"/>
      <c r="AD88" s="50">
        <f>+AM88+BA88</f>
        <v>0</v>
      </c>
      <c r="AE88" s="148" t="s">
        <v>246</v>
      </c>
      <c r="AF88" s="50"/>
      <c r="AG88" s="50"/>
      <c r="AH88" s="50"/>
      <c r="AI88" s="54"/>
      <c r="AJ88" s="50"/>
      <c r="AK88" s="50"/>
      <c r="AL88" s="50"/>
      <c r="AM88" s="50">
        <f t="shared" si="25"/>
        <v>0</v>
      </c>
      <c r="AN88" s="50"/>
      <c r="AO88" s="50"/>
      <c r="AP88" s="50"/>
      <c r="AQ88" s="50"/>
      <c r="AR88" s="50">
        <f t="shared" si="26"/>
        <v>0</v>
      </c>
      <c r="AS88" s="50"/>
      <c r="AT88" s="50"/>
      <c r="AU88" s="50"/>
      <c r="AV88" s="50"/>
      <c r="AW88" s="50"/>
      <c r="AX88" s="50"/>
      <c r="AY88" s="50"/>
      <c r="AZ88" s="50">
        <f>1440-1440</f>
        <v>0</v>
      </c>
      <c r="BA88" s="50">
        <f>+AR88+AS88+AU88+AW88+AY88+AZ88</f>
        <v>0</v>
      </c>
      <c r="BB88" s="126"/>
      <c r="BC88" s="116"/>
      <c r="BD88" s="116"/>
      <c r="BE88" s="124"/>
      <c r="BF88" s="116"/>
    </row>
    <row r="89" spans="1:58" ht="12.95" customHeight="1" x14ac:dyDescent="0.2">
      <c r="A89" s="117"/>
      <c r="B89" s="118"/>
      <c r="C89" s="119"/>
      <c r="D89" s="118"/>
      <c r="E89" s="37"/>
      <c r="F89" s="37"/>
      <c r="G89" s="120"/>
      <c r="H89" s="121"/>
      <c r="I89" s="45"/>
      <c r="J89" s="46"/>
      <c r="K89" s="46"/>
      <c r="L89" s="122"/>
      <c r="M89" s="122"/>
      <c r="N89" s="47"/>
      <c r="O89" s="48"/>
      <c r="P89" s="49"/>
      <c r="Q89" s="48"/>
      <c r="R89" s="123"/>
      <c r="S89" s="123"/>
      <c r="T89" s="50"/>
      <c r="U89" s="50"/>
      <c r="V89" s="50"/>
      <c r="W89" s="50"/>
      <c r="X89" s="55"/>
      <c r="Y89" s="52"/>
      <c r="Z89" s="50"/>
      <c r="AA89" s="50"/>
      <c r="AB89" s="50"/>
      <c r="AC89" s="50"/>
      <c r="AD89" s="50"/>
      <c r="AE89" s="101"/>
      <c r="AF89" s="50"/>
      <c r="AG89" s="50"/>
      <c r="AH89" s="50"/>
      <c r="AI89" s="54"/>
      <c r="AJ89" s="50"/>
      <c r="AK89" s="50"/>
      <c r="AL89" s="50"/>
      <c r="AM89" s="50"/>
      <c r="AN89" s="125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126"/>
      <c r="BC89" s="116"/>
      <c r="BD89" s="116"/>
      <c r="BE89" s="116"/>
      <c r="BF89" s="116"/>
    </row>
    <row r="90" spans="1:58" ht="12.75" customHeight="1" x14ac:dyDescent="0.2">
      <c r="A90" s="117">
        <v>45976</v>
      </c>
      <c r="B90" s="118" t="s">
        <v>213</v>
      </c>
      <c r="C90" s="119">
        <f>(M90*E90*O90*Q90)/100000000</f>
        <v>0</v>
      </c>
      <c r="D90" s="118" t="s">
        <v>177</v>
      </c>
      <c r="E90" s="37">
        <v>12</v>
      </c>
      <c r="F90" s="37">
        <v>1</v>
      </c>
      <c r="G90" s="120">
        <v>1230</v>
      </c>
      <c r="H90" s="121">
        <f>+N90</f>
        <v>0.23417344173441734</v>
      </c>
      <c r="I90" s="45">
        <v>0.88</v>
      </c>
      <c r="J90" s="46">
        <f>E90*G90*(1-H90)*1440/1000000*2.74</f>
        <v>44.599484159999996</v>
      </c>
      <c r="K90" s="46">
        <f>(IF(G90&lt;L90,L90,G90)*(1-IF(H90&lt;N90,H90,N90))*E90*O90*Q90)/100000000</f>
        <v>0</v>
      </c>
      <c r="L90" s="122">
        <v>1230</v>
      </c>
      <c r="M90" s="122">
        <v>941.9666666666667</v>
      </c>
      <c r="N90" s="47">
        <f>1-(M90/L90)</f>
        <v>0.23417344173441734</v>
      </c>
      <c r="O90" s="48">
        <f>+'[3]Trim Rwd'!H32</f>
        <v>266</v>
      </c>
      <c r="P90" s="49">
        <f>O90*(Q90-R90-S90)</f>
        <v>0</v>
      </c>
      <c r="Q90" s="48">
        <f>1440-1440</f>
        <v>0</v>
      </c>
      <c r="R90" s="123">
        <f>1440-1440</f>
        <v>0</v>
      </c>
      <c r="S90" s="123">
        <v>0</v>
      </c>
      <c r="T90" s="50">
        <f>E90*M90*O90*Q90/100000000</f>
        <v>0</v>
      </c>
      <c r="U90" s="50">
        <f>E90*M90*O90*(Q90-R90-S90)/100000000</f>
        <v>0</v>
      </c>
      <c r="V90" s="50">
        <f>E90*G90*(1-N90)*O90/100*(R90+S90)/1000000</f>
        <v>0</v>
      </c>
      <c r="W90" s="50">
        <v>0</v>
      </c>
      <c r="X90" s="51" t="e">
        <f>SUM(W90:W94)/SUM(K90:K94)</f>
        <v>#DIV/0!</v>
      </c>
      <c r="Y90" s="52">
        <v>0</v>
      </c>
      <c r="Z90" s="50">
        <v>0</v>
      </c>
      <c r="AA90" s="53">
        <f>SUM(U90:U94)-SUM(W90:W94)-SUM(Z90:Z94)-SUM(Y90:Y94)</f>
        <v>0</v>
      </c>
      <c r="AB90" s="53">
        <f>(SUM(K90:K94)-SUM(W90:W94)-SUM(Y90:Y94)-SUM(Z90:Z94)-SUM(AC90:AC94)-SUM(V90:V94))-AA90</f>
        <v>0</v>
      </c>
      <c r="AC90" s="50">
        <f>K90-T90</f>
        <v>0</v>
      </c>
      <c r="AD90" s="50">
        <f>+AM90+BA90</f>
        <v>0</v>
      </c>
      <c r="AE90" s="101" t="s">
        <v>110</v>
      </c>
      <c r="AF90" s="50">
        <v>0</v>
      </c>
      <c r="AG90" s="50"/>
      <c r="AH90" s="50"/>
      <c r="AI90" s="54"/>
      <c r="AJ90" s="50"/>
      <c r="AK90" s="50"/>
      <c r="AL90" s="50"/>
      <c r="AM90" s="50">
        <f t="shared" ref="AM90:AM94" si="27">SUM(AF90:AL90)+AT90+AV90+AX90</f>
        <v>0</v>
      </c>
      <c r="AN90" s="50"/>
      <c r="AO90" s="50"/>
      <c r="AP90" s="50"/>
      <c r="AQ90" s="50"/>
      <c r="AR90" s="50">
        <f>SUM(AN90:AQ90)</f>
        <v>0</v>
      </c>
      <c r="AS90" s="50"/>
      <c r="AT90" s="50"/>
      <c r="AU90" s="50"/>
      <c r="AV90" s="50"/>
      <c r="AW90" s="50"/>
      <c r="AX90" s="50"/>
      <c r="AY90" s="50"/>
      <c r="AZ90" s="50"/>
      <c r="BA90" s="50">
        <f>+AR90+AS90+AU90+AW90+AY90+AZ90</f>
        <v>0</v>
      </c>
      <c r="BB90" s="124">
        <v>0</v>
      </c>
      <c r="BC90" s="116"/>
      <c r="BD90" s="116"/>
      <c r="BE90" s="124"/>
      <c r="BF90" s="116"/>
    </row>
    <row r="91" spans="1:58" ht="12.95" customHeight="1" x14ac:dyDescent="0.2">
      <c r="A91" s="117"/>
      <c r="B91" s="118"/>
      <c r="C91" s="119"/>
      <c r="D91" s="118"/>
      <c r="E91" s="37"/>
      <c r="F91" s="37"/>
      <c r="G91" s="120"/>
      <c r="H91" s="121"/>
      <c r="I91" s="45"/>
      <c r="J91" s="46"/>
      <c r="K91" s="46"/>
      <c r="L91" s="122"/>
      <c r="M91" s="122"/>
      <c r="N91" s="47"/>
      <c r="O91" s="48"/>
      <c r="P91" s="49"/>
      <c r="Q91" s="48"/>
      <c r="R91" s="123"/>
      <c r="S91" s="123"/>
      <c r="T91" s="50"/>
      <c r="U91" s="50"/>
      <c r="V91" s="50"/>
      <c r="W91" s="50"/>
      <c r="X91" s="55"/>
      <c r="Y91" s="52"/>
      <c r="Z91" s="50"/>
      <c r="AA91" s="50"/>
      <c r="AB91" s="50"/>
      <c r="AC91" s="50"/>
      <c r="AD91" s="50">
        <f>+AM91+BA91</f>
        <v>0</v>
      </c>
      <c r="AE91" s="101" t="s">
        <v>111</v>
      </c>
      <c r="AF91" s="50"/>
      <c r="AG91" s="50">
        <v>0</v>
      </c>
      <c r="AH91" s="50"/>
      <c r="AI91" s="54"/>
      <c r="AJ91" s="50"/>
      <c r="AK91" s="50"/>
      <c r="AL91" s="50"/>
      <c r="AM91" s="50">
        <f t="shared" si="27"/>
        <v>0</v>
      </c>
      <c r="AN91" s="125"/>
      <c r="AO91" s="50"/>
      <c r="AP91" s="50"/>
      <c r="AQ91" s="50"/>
      <c r="AR91" s="50">
        <f t="shared" ref="AR91:AR94" si="28">SUM(AN91:AQ91)</f>
        <v>0</v>
      </c>
      <c r="AS91" s="50"/>
      <c r="AT91" s="50"/>
      <c r="AU91" s="50"/>
      <c r="AV91" s="50"/>
      <c r="AW91" s="50"/>
      <c r="AX91" s="50"/>
      <c r="AY91" s="50"/>
      <c r="AZ91" s="50"/>
      <c r="BA91" s="50">
        <f>+AR91+AS91+AU91+AW91+AY91+AZ91</f>
        <v>0</v>
      </c>
      <c r="BB91" s="126"/>
      <c r="BC91" s="116">
        <v>0</v>
      </c>
      <c r="BD91" s="116"/>
      <c r="BE91" s="126"/>
      <c r="BF91" s="116"/>
    </row>
    <row r="92" spans="1:58" ht="12.95" customHeight="1" x14ac:dyDescent="0.2">
      <c r="A92" s="117"/>
      <c r="B92" s="118"/>
      <c r="C92" s="119"/>
      <c r="D92" s="118"/>
      <c r="E92" s="37"/>
      <c r="F92" s="37"/>
      <c r="G92" s="127"/>
      <c r="H92" s="121"/>
      <c r="I92" s="45"/>
      <c r="J92" s="46"/>
      <c r="K92" s="46"/>
      <c r="L92" s="122"/>
      <c r="M92" s="122"/>
      <c r="N92" s="47"/>
      <c r="O92" s="48"/>
      <c r="P92" s="49"/>
      <c r="Q92" s="48"/>
      <c r="R92" s="123"/>
      <c r="S92" s="123"/>
      <c r="T92" s="50"/>
      <c r="U92" s="50"/>
      <c r="V92" s="50"/>
      <c r="W92" s="50"/>
      <c r="X92" s="55"/>
      <c r="Y92" s="52"/>
      <c r="Z92" s="50"/>
      <c r="AA92" s="50"/>
      <c r="AB92" s="50"/>
      <c r="AC92" s="50"/>
      <c r="AD92" s="50">
        <f>+AM92+BA92</f>
        <v>0</v>
      </c>
      <c r="AE92" s="101" t="s">
        <v>214</v>
      </c>
      <c r="AF92" s="124"/>
      <c r="AG92" s="124"/>
      <c r="AH92" s="124">
        <v>0</v>
      </c>
      <c r="AJ92" s="50"/>
      <c r="AK92" s="50"/>
      <c r="AL92" s="50"/>
      <c r="AM92" s="50">
        <f t="shared" si="27"/>
        <v>0</v>
      </c>
      <c r="AN92" s="50"/>
      <c r="AO92" s="50"/>
      <c r="AP92" s="50"/>
      <c r="AQ92" s="50"/>
      <c r="AR92" s="50">
        <f t="shared" si="28"/>
        <v>0</v>
      </c>
      <c r="AS92" s="50"/>
      <c r="AT92" s="50"/>
      <c r="AU92" s="50"/>
      <c r="AV92" s="50"/>
      <c r="AW92" s="50"/>
      <c r="AX92" s="50"/>
      <c r="AY92" s="50"/>
      <c r="AZ92" s="50"/>
      <c r="BA92" s="50">
        <f>+AR92+AS92+AU92+AW92+AY92+AZ92</f>
        <v>0</v>
      </c>
      <c r="BB92" s="124"/>
      <c r="BC92" s="146"/>
      <c r="BD92" s="146"/>
      <c r="BE92" s="124"/>
      <c r="BF92" s="146"/>
    </row>
    <row r="93" spans="1:58" ht="12.95" customHeight="1" x14ac:dyDescent="0.2">
      <c r="A93" s="117"/>
      <c r="B93" s="118"/>
      <c r="C93" s="119"/>
      <c r="D93" s="118"/>
      <c r="E93" s="37"/>
      <c r="F93" s="37"/>
      <c r="G93" s="127"/>
      <c r="H93" s="121"/>
      <c r="I93" s="45"/>
      <c r="J93" s="46"/>
      <c r="K93" s="46"/>
      <c r="L93" s="122"/>
      <c r="M93" s="122"/>
      <c r="N93" s="47"/>
      <c r="O93" s="48"/>
      <c r="P93" s="49"/>
      <c r="Q93" s="56"/>
      <c r="R93" s="123"/>
      <c r="S93" s="123"/>
      <c r="T93" s="50"/>
      <c r="U93" s="50"/>
      <c r="V93" s="50"/>
      <c r="W93" s="50"/>
      <c r="X93" s="55"/>
      <c r="Y93" s="52"/>
      <c r="Z93" s="50"/>
      <c r="AA93" s="50"/>
      <c r="AB93" s="50"/>
      <c r="AC93" s="50"/>
      <c r="AD93" s="50">
        <f>+AM93+BA93</f>
        <v>0</v>
      </c>
      <c r="AE93" s="148" t="s">
        <v>162</v>
      </c>
      <c r="AF93" s="50"/>
      <c r="AG93" s="50"/>
      <c r="AH93" s="50"/>
      <c r="AI93" s="54">
        <v>0</v>
      </c>
      <c r="AJ93" s="50"/>
      <c r="AK93" s="50"/>
      <c r="AL93" s="50"/>
      <c r="AM93" s="50">
        <f t="shared" si="27"/>
        <v>0</v>
      </c>
      <c r="AN93" s="50"/>
      <c r="AO93" s="50"/>
      <c r="AP93" s="50"/>
      <c r="AQ93" s="50"/>
      <c r="AR93" s="50">
        <f t="shared" si="28"/>
        <v>0</v>
      </c>
      <c r="AS93" s="50"/>
      <c r="AT93" s="50"/>
      <c r="AU93" s="50"/>
      <c r="AV93" s="50"/>
      <c r="AW93" s="50"/>
      <c r="AX93" s="50"/>
      <c r="AY93" s="50"/>
      <c r="AZ93" s="50"/>
      <c r="BA93" s="50">
        <f>+AR93+AS93+AU93+AW93+AY93+AZ93</f>
        <v>0</v>
      </c>
      <c r="BB93" s="126"/>
      <c r="BC93" s="116"/>
      <c r="BD93" s="116"/>
      <c r="BE93" s="126"/>
      <c r="BF93" s="116"/>
    </row>
    <row r="94" spans="1:58" ht="12.95" customHeight="1" x14ac:dyDescent="0.2">
      <c r="A94" s="117"/>
      <c r="B94" s="118"/>
      <c r="C94" s="119"/>
      <c r="D94" s="118"/>
      <c r="E94" s="37"/>
      <c r="F94" s="37"/>
      <c r="G94" s="127"/>
      <c r="H94" s="121"/>
      <c r="I94" s="45"/>
      <c r="J94" s="46"/>
      <c r="K94" s="46"/>
      <c r="L94" s="122"/>
      <c r="M94" s="122"/>
      <c r="N94" s="47"/>
      <c r="O94" s="48"/>
      <c r="P94" s="49"/>
      <c r="Q94" s="56"/>
      <c r="R94" s="123"/>
      <c r="S94" s="123"/>
      <c r="T94" s="50"/>
      <c r="U94" s="50"/>
      <c r="V94" s="50"/>
      <c r="W94" s="50"/>
      <c r="X94" s="55"/>
      <c r="Y94" s="52"/>
      <c r="Z94" s="50"/>
      <c r="AA94" s="50"/>
      <c r="AB94" s="50"/>
      <c r="AC94" s="50"/>
      <c r="AD94" s="50">
        <f>+AM94+BA94</f>
        <v>0</v>
      </c>
      <c r="AE94" s="148" t="s">
        <v>246</v>
      </c>
      <c r="AF94" s="50"/>
      <c r="AG94" s="50"/>
      <c r="AH94" s="50"/>
      <c r="AI94" s="54"/>
      <c r="AJ94" s="50"/>
      <c r="AK94" s="50"/>
      <c r="AL94" s="50"/>
      <c r="AM94" s="50">
        <f t="shared" si="27"/>
        <v>0</v>
      </c>
      <c r="AN94" s="50"/>
      <c r="AO94" s="50"/>
      <c r="AP94" s="50"/>
      <c r="AQ94" s="50"/>
      <c r="AR94" s="50">
        <f t="shared" si="28"/>
        <v>0</v>
      </c>
      <c r="AS94" s="50"/>
      <c r="AT94" s="50"/>
      <c r="AU94" s="50"/>
      <c r="AV94" s="50"/>
      <c r="AW94" s="50"/>
      <c r="AX94" s="50"/>
      <c r="AY94" s="50"/>
      <c r="AZ94" s="50">
        <f>1440-1440</f>
        <v>0</v>
      </c>
      <c r="BA94" s="50">
        <f>+AR94+AS94+AU94+AW94+AY94+AZ94</f>
        <v>0</v>
      </c>
      <c r="BB94" s="126"/>
      <c r="BC94" s="116"/>
      <c r="BD94" s="116"/>
      <c r="BE94" s="124"/>
      <c r="BF94" s="116"/>
    </row>
    <row r="95" spans="1:58" ht="12.95" customHeight="1" x14ac:dyDescent="0.2">
      <c r="A95" s="117"/>
      <c r="B95" s="118"/>
      <c r="C95" s="119"/>
      <c r="D95" s="118"/>
      <c r="E95" s="37"/>
      <c r="F95" s="37"/>
      <c r="G95" s="127"/>
      <c r="H95" s="121"/>
      <c r="I95" s="45"/>
      <c r="J95" s="46"/>
      <c r="K95" s="46"/>
      <c r="L95" s="122"/>
      <c r="M95" s="122"/>
      <c r="N95" s="47"/>
      <c r="O95" s="48"/>
      <c r="P95" s="49"/>
      <c r="Q95" s="48"/>
      <c r="R95" s="123"/>
      <c r="S95" s="123"/>
      <c r="T95" s="50"/>
      <c r="U95" s="50"/>
      <c r="V95" s="50"/>
      <c r="W95" s="50"/>
      <c r="X95" s="55"/>
      <c r="Y95" s="52"/>
      <c r="Z95" s="50"/>
      <c r="AA95" s="50"/>
      <c r="AB95" s="50"/>
      <c r="AC95" s="50"/>
      <c r="AD95" s="50"/>
      <c r="AE95" s="101"/>
      <c r="AF95" s="124"/>
      <c r="AG95" s="124"/>
      <c r="AH95" s="124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124"/>
      <c r="BC95" s="146"/>
      <c r="BD95" s="146"/>
      <c r="BE95" s="124"/>
      <c r="BF95" s="146"/>
    </row>
    <row r="96" spans="1:58" ht="12.75" customHeight="1" x14ac:dyDescent="0.2">
      <c r="A96" s="117">
        <v>45977</v>
      </c>
      <c r="B96" s="118" t="s">
        <v>115</v>
      </c>
      <c r="C96" s="119">
        <f>(M96*E96*O96*Q96)/100000000</f>
        <v>26.773468120649653</v>
      </c>
      <c r="D96" s="118" t="s">
        <v>177</v>
      </c>
      <c r="E96" s="37">
        <v>12</v>
      </c>
      <c r="F96" s="37">
        <v>1</v>
      </c>
      <c r="G96" s="120">
        <v>1230</v>
      </c>
      <c r="H96" s="121">
        <f>+N96</f>
        <v>0.22999999999999998</v>
      </c>
      <c r="I96" s="45">
        <v>0.88</v>
      </c>
      <c r="J96" s="46">
        <f>E96*G96*(1-H96)*1440/1000000*2.74</f>
        <v>44.842533120000006</v>
      </c>
      <c r="K96" s="46">
        <f>(IF(G96&lt;L96,L96,G96)*(1-IF(H96&lt;N96,H96,N96))*E96*O96*Q96)/100000000</f>
        <v>38.485408499999998</v>
      </c>
      <c r="L96" s="122">
        <v>855.68445475638055</v>
      </c>
      <c r="M96" s="122">
        <v>658.87703016241301</v>
      </c>
      <c r="N96" s="47">
        <f>1-(M96/L96)</f>
        <v>0.22999999999999998</v>
      </c>
      <c r="O96" s="48">
        <f>+'[3]Trim Rwd'!H34</f>
        <v>262.5</v>
      </c>
      <c r="P96" s="49">
        <f>O96*(Q96-R96-S96)</f>
        <v>323925</v>
      </c>
      <c r="Q96" s="48">
        <f>1440-150</f>
        <v>1290</v>
      </c>
      <c r="R96" s="123">
        <f>150-150</f>
        <v>0</v>
      </c>
      <c r="S96" s="123">
        <v>56</v>
      </c>
      <c r="T96" s="50">
        <f>E96*M96*O96*Q96/100000000</f>
        <v>26.773468120649653</v>
      </c>
      <c r="U96" s="50">
        <f>E96*M96*O96*(Q96-R96-S96)/100000000</f>
        <v>25.611209039443153</v>
      </c>
      <c r="V96" s="50">
        <f>E96*G96*(1-N96)*O96/100*(R96+S96)/1000000</f>
        <v>1.6706844000000001</v>
      </c>
      <c r="W96" s="50">
        <f>+'[3]16'!K7/1000</f>
        <v>22.440999999999999</v>
      </c>
      <c r="X96" s="51">
        <f>SUM(W96:W100)/SUM(K96:K100)</f>
        <v>0.58310411334207357</v>
      </c>
      <c r="Y96" s="52">
        <v>0</v>
      </c>
      <c r="Z96" s="50">
        <v>0</v>
      </c>
      <c r="AA96" s="53">
        <f>SUM(U96:U100)-SUM(W96:W100)-SUM(Z96:Z100)-SUM(Y96:Y100)</f>
        <v>3.1702090394431544</v>
      </c>
      <c r="AB96" s="53">
        <f>(SUM(K96:K100)-SUM(W96:W100)-SUM(Y96:Y100)-SUM(Z96:Z100)-SUM(AC96:AC100)-SUM(V96:V100))-AA96</f>
        <v>-0.50842531879349995</v>
      </c>
      <c r="AC96" s="50">
        <f>K96-T96</f>
        <v>11.711940379350345</v>
      </c>
      <c r="AD96" s="50">
        <f>+AM96+BA96</f>
        <v>9</v>
      </c>
      <c r="AE96" s="101" t="s">
        <v>165</v>
      </c>
      <c r="AF96" s="50">
        <v>9</v>
      </c>
      <c r="AG96" s="50"/>
      <c r="AH96" s="50"/>
      <c r="AI96" s="54"/>
      <c r="AJ96" s="50"/>
      <c r="AK96" s="50"/>
      <c r="AL96" s="50"/>
      <c r="AM96" s="50">
        <f t="shared" ref="AM96:AM100" si="29">SUM(AF96:AL96)+AT96+AV96+AX96</f>
        <v>9</v>
      </c>
      <c r="AN96" s="50"/>
      <c r="AO96" s="50"/>
      <c r="AP96" s="50"/>
      <c r="AQ96" s="50"/>
      <c r="AR96" s="50">
        <f>SUM(AN96:AQ96)</f>
        <v>0</v>
      </c>
      <c r="AS96" s="50"/>
      <c r="AT96" s="50"/>
      <c r="AU96" s="50"/>
      <c r="AV96" s="50"/>
      <c r="AW96" s="50"/>
      <c r="AX96" s="50"/>
      <c r="AY96" s="50"/>
      <c r="AZ96" s="50"/>
      <c r="BA96" s="50">
        <f>+AR96+AS96+AU96+AW96+AY96+AZ96</f>
        <v>0</v>
      </c>
      <c r="BB96" s="124">
        <v>3</v>
      </c>
      <c r="BC96" s="116"/>
      <c r="BD96" s="116"/>
      <c r="BE96" s="124"/>
      <c r="BF96" s="116"/>
    </row>
    <row r="97" spans="1:58" ht="12.95" customHeight="1" x14ac:dyDescent="0.2">
      <c r="A97" s="117"/>
      <c r="B97" s="118"/>
      <c r="C97" s="119"/>
      <c r="D97" s="118"/>
      <c r="E97" s="37"/>
      <c r="F97" s="37"/>
      <c r="G97" s="120"/>
      <c r="H97" s="121"/>
      <c r="I97" s="45"/>
      <c r="J97" s="46"/>
      <c r="K97" s="46"/>
      <c r="L97" s="122"/>
      <c r="M97" s="122"/>
      <c r="N97" s="47"/>
      <c r="O97" s="48"/>
      <c r="P97" s="49"/>
      <c r="Q97" s="48"/>
      <c r="R97" s="123"/>
      <c r="S97" s="123"/>
      <c r="T97" s="50"/>
      <c r="U97" s="50"/>
      <c r="V97" s="50"/>
      <c r="W97" s="50"/>
      <c r="X97" s="55"/>
      <c r="Y97" s="52"/>
      <c r="Z97" s="50"/>
      <c r="AA97" s="50"/>
      <c r="AB97" s="50"/>
      <c r="AC97" s="50"/>
      <c r="AD97" s="50">
        <f>+AM97+BA97</f>
        <v>12</v>
      </c>
      <c r="AE97" s="101" t="s">
        <v>163</v>
      </c>
      <c r="AF97" s="50"/>
      <c r="AG97" s="50">
        <v>12</v>
      </c>
      <c r="AH97" s="50"/>
      <c r="AI97" s="54"/>
      <c r="AJ97" s="50"/>
      <c r="AK97" s="50"/>
      <c r="AL97" s="50"/>
      <c r="AM97" s="50">
        <f t="shared" si="29"/>
        <v>12</v>
      </c>
      <c r="AN97" s="125"/>
      <c r="AO97" s="50"/>
      <c r="AP97" s="50"/>
      <c r="AQ97" s="50"/>
      <c r="AR97" s="50">
        <f t="shared" ref="AR97:AR100" si="30">SUM(AN97:AQ97)</f>
        <v>0</v>
      </c>
      <c r="AS97" s="50"/>
      <c r="AT97" s="50"/>
      <c r="AU97" s="50"/>
      <c r="AV97" s="50"/>
      <c r="AW97" s="50"/>
      <c r="AX97" s="50"/>
      <c r="AY97" s="50"/>
      <c r="AZ97" s="50"/>
      <c r="BA97" s="50">
        <f>+AR97+AS97+AU97+AW97+AY97+AZ97</f>
        <v>0</v>
      </c>
      <c r="BB97" s="126"/>
      <c r="BC97" s="116">
        <v>6</v>
      </c>
      <c r="BD97" s="116"/>
      <c r="BE97" s="126"/>
      <c r="BF97" s="116"/>
    </row>
    <row r="98" spans="1:58" ht="12.95" customHeight="1" x14ac:dyDescent="0.2">
      <c r="A98" s="117"/>
      <c r="B98" s="118"/>
      <c r="C98" s="119"/>
      <c r="D98" s="118"/>
      <c r="E98" s="37"/>
      <c r="F98" s="37"/>
      <c r="G98" s="127"/>
      <c r="H98" s="121"/>
      <c r="I98" s="45"/>
      <c r="J98" s="46"/>
      <c r="K98" s="46"/>
      <c r="L98" s="122"/>
      <c r="M98" s="122"/>
      <c r="N98" s="47"/>
      <c r="O98" s="48"/>
      <c r="P98" s="49"/>
      <c r="Q98" s="48"/>
      <c r="R98" s="123"/>
      <c r="S98" s="123"/>
      <c r="T98" s="50"/>
      <c r="U98" s="50"/>
      <c r="V98" s="50"/>
      <c r="W98" s="50"/>
      <c r="X98" s="55"/>
      <c r="Y98" s="52"/>
      <c r="Z98" s="50"/>
      <c r="AA98" s="50"/>
      <c r="AB98" s="50"/>
      <c r="AC98" s="50"/>
      <c r="AD98" s="50">
        <f>+AM98+BA98</f>
        <v>35</v>
      </c>
      <c r="AE98" s="101" t="s">
        <v>215</v>
      </c>
      <c r="AF98" s="124"/>
      <c r="AG98" s="124"/>
      <c r="AH98" s="124">
        <v>35</v>
      </c>
      <c r="AJ98" s="50"/>
      <c r="AK98" s="50"/>
      <c r="AL98" s="50"/>
      <c r="AM98" s="50">
        <f t="shared" si="29"/>
        <v>35</v>
      </c>
      <c r="AN98" s="50"/>
      <c r="AO98" s="50"/>
      <c r="AP98" s="50"/>
      <c r="AQ98" s="50"/>
      <c r="AR98" s="50">
        <f t="shared" si="30"/>
        <v>0</v>
      </c>
      <c r="AS98" s="50"/>
      <c r="AT98" s="50"/>
      <c r="AU98" s="50"/>
      <c r="AV98" s="50"/>
      <c r="AW98" s="50"/>
      <c r="AX98" s="50"/>
      <c r="AY98" s="50"/>
      <c r="AZ98" s="50"/>
      <c r="BA98" s="50">
        <f>+AR98+AS98+AU98+AW98+AY98+AZ98</f>
        <v>0</v>
      </c>
      <c r="BB98" s="124"/>
      <c r="BC98" s="146"/>
      <c r="BD98" s="146"/>
      <c r="BE98" s="124"/>
      <c r="BF98" s="146"/>
    </row>
    <row r="99" spans="1:58" ht="12.95" customHeight="1" x14ac:dyDescent="0.2">
      <c r="A99" s="117"/>
      <c r="B99" s="118"/>
      <c r="C99" s="119"/>
      <c r="D99" s="118"/>
      <c r="E99" s="37"/>
      <c r="F99" s="37"/>
      <c r="G99" s="127"/>
      <c r="H99" s="121"/>
      <c r="I99" s="45"/>
      <c r="J99" s="46"/>
      <c r="K99" s="46"/>
      <c r="L99" s="122"/>
      <c r="M99" s="122"/>
      <c r="N99" s="47"/>
      <c r="O99" s="48"/>
      <c r="P99" s="49"/>
      <c r="Q99" s="56"/>
      <c r="R99" s="123"/>
      <c r="S99" s="123"/>
      <c r="T99" s="50"/>
      <c r="U99" s="50"/>
      <c r="V99" s="50"/>
      <c r="W99" s="50"/>
      <c r="X99" s="55"/>
      <c r="Y99" s="52"/>
      <c r="Z99" s="50"/>
      <c r="AA99" s="50"/>
      <c r="AB99" s="50"/>
      <c r="AC99" s="50"/>
      <c r="AD99" s="50">
        <f>+AM99+BA99</f>
        <v>0</v>
      </c>
      <c r="AE99" s="148" t="s">
        <v>162</v>
      </c>
      <c r="AF99" s="50"/>
      <c r="AG99" s="50"/>
      <c r="AH99" s="50"/>
      <c r="AI99" s="54">
        <v>0</v>
      </c>
      <c r="AJ99" s="50"/>
      <c r="AK99" s="50"/>
      <c r="AL99" s="50"/>
      <c r="AM99" s="50">
        <f t="shared" si="29"/>
        <v>0</v>
      </c>
      <c r="AN99" s="50"/>
      <c r="AO99" s="50"/>
      <c r="AP99" s="50"/>
      <c r="AQ99" s="50"/>
      <c r="AR99" s="50">
        <f t="shared" si="30"/>
        <v>0</v>
      </c>
      <c r="AS99" s="50"/>
      <c r="AT99" s="50"/>
      <c r="AU99" s="50"/>
      <c r="AV99" s="50"/>
      <c r="AW99" s="50"/>
      <c r="AX99" s="50"/>
      <c r="AY99" s="50"/>
      <c r="AZ99" s="50"/>
      <c r="BA99" s="50">
        <f>+AR99+AS99+AU99+AW99+AY99+AZ99</f>
        <v>0</v>
      </c>
      <c r="BB99" s="126"/>
      <c r="BC99" s="116"/>
      <c r="BD99" s="116"/>
      <c r="BE99" s="126"/>
      <c r="BF99" s="116"/>
    </row>
    <row r="100" spans="1:58" ht="12.95" customHeight="1" x14ac:dyDescent="0.2">
      <c r="A100" s="117"/>
      <c r="B100" s="118"/>
      <c r="C100" s="119"/>
      <c r="D100" s="118"/>
      <c r="E100" s="37"/>
      <c r="F100" s="37"/>
      <c r="G100" s="127"/>
      <c r="H100" s="121"/>
      <c r="I100" s="45"/>
      <c r="J100" s="46"/>
      <c r="K100" s="46"/>
      <c r="L100" s="122"/>
      <c r="M100" s="122"/>
      <c r="N100" s="47"/>
      <c r="O100" s="48"/>
      <c r="P100" s="49"/>
      <c r="Q100" s="56"/>
      <c r="R100" s="123"/>
      <c r="S100" s="123"/>
      <c r="T100" s="50"/>
      <c r="U100" s="50"/>
      <c r="V100" s="50"/>
      <c r="W100" s="50"/>
      <c r="X100" s="55"/>
      <c r="Y100" s="52"/>
      <c r="Z100" s="50"/>
      <c r="AA100" s="50"/>
      <c r="AB100" s="50"/>
      <c r="AC100" s="50"/>
      <c r="AD100" s="50">
        <f>+AM100+BA100</f>
        <v>0</v>
      </c>
      <c r="AE100" s="148" t="s">
        <v>246</v>
      </c>
      <c r="AF100" s="50"/>
      <c r="AG100" s="50"/>
      <c r="AH100" s="50"/>
      <c r="AI100" s="54"/>
      <c r="AJ100" s="50"/>
      <c r="AK100" s="50"/>
      <c r="AL100" s="50"/>
      <c r="AM100" s="50">
        <f t="shared" si="29"/>
        <v>0</v>
      </c>
      <c r="AN100" s="50"/>
      <c r="AO100" s="50"/>
      <c r="AP100" s="50"/>
      <c r="AQ100" s="50"/>
      <c r="AR100" s="50">
        <f t="shared" si="30"/>
        <v>0</v>
      </c>
      <c r="AS100" s="50"/>
      <c r="AT100" s="50"/>
      <c r="AU100" s="50"/>
      <c r="AV100" s="50"/>
      <c r="AW100" s="50"/>
      <c r="AX100" s="50"/>
      <c r="AY100" s="50"/>
      <c r="AZ100" s="50">
        <f>150-150</f>
        <v>0</v>
      </c>
      <c r="BA100" s="50">
        <f>+AR100+AS100+AU100+AW100+AY100+AZ100</f>
        <v>0</v>
      </c>
      <c r="BB100" s="126"/>
      <c r="BC100" s="116"/>
      <c r="BD100" s="116"/>
      <c r="BE100" s="124"/>
      <c r="BF100" s="116"/>
    </row>
    <row r="101" spans="1:58" ht="12.95" customHeight="1" x14ac:dyDescent="0.2">
      <c r="A101" s="117"/>
      <c r="B101" s="118"/>
      <c r="C101" s="119"/>
      <c r="D101" s="118"/>
      <c r="E101" s="37"/>
      <c r="F101" s="37"/>
      <c r="G101" s="127"/>
      <c r="H101" s="121"/>
      <c r="I101" s="45"/>
      <c r="J101" s="46"/>
      <c r="K101" s="46"/>
      <c r="L101" s="122"/>
      <c r="M101" s="122"/>
      <c r="N101" s="47"/>
      <c r="O101" s="48"/>
      <c r="P101" s="49"/>
      <c r="Q101" s="56"/>
      <c r="R101" s="123"/>
      <c r="S101" s="123"/>
      <c r="T101" s="50"/>
      <c r="U101" s="50"/>
      <c r="V101" s="50"/>
      <c r="W101" s="50"/>
      <c r="X101" s="55"/>
      <c r="Y101" s="52"/>
      <c r="Z101" s="50"/>
      <c r="AA101" s="50"/>
      <c r="AB101" s="50"/>
      <c r="AC101" s="50"/>
      <c r="AD101" s="50"/>
      <c r="AE101" s="148"/>
      <c r="AF101" s="50"/>
      <c r="AG101" s="50"/>
      <c r="AH101" s="50"/>
      <c r="AI101" s="54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126"/>
      <c r="BC101" s="116"/>
      <c r="BD101" s="116"/>
      <c r="BE101" s="116"/>
      <c r="BF101" s="116"/>
    </row>
    <row r="102" spans="1:58" ht="12.75" customHeight="1" x14ac:dyDescent="0.2">
      <c r="A102" s="117">
        <v>45978</v>
      </c>
      <c r="B102" s="118" t="s">
        <v>115</v>
      </c>
      <c r="C102" s="119">
        <f>(M102*E102*O102*Q102)/100000000</f>
        <v>36.942305400000002</v>
      </c>
      <c r="D102" s="118" t="s">
        <v>177</v>
      </c>
      <c r="E102" s="37">
        <v>12</v>
      </c>
      <c r="F102" s="37">
        <v>1</v>
      </c>
      <c r="G102" s="120">
        <v>1230</v>
      </c>
      <c r="H102" s="121">
        <f>+N102</f>
        <v>0.22999999999999987</v>
      </c>
      <c r="I102" s="45">
        <v>0.88</v>
      </c>
      <c r="J102" s="46">
        <f>E102*G102*(1-H102)*1440/1000000*2.74</f>
        <v>44.84253312000002</v>
      </c>
      <c r="K102" s="46">
        <f>(IF(G102&lt;L102,L102,G102)*(1-IF(H102&lt;N102,H102,N102))*E102*O102*Q102)/100000000</f>
        <v>42.960456000000001</v>
      </c>
      <c r="L102" s="122">
        <v>1057.6944444444443</v>
      </c>
      <c r="M102" s="122">
        <v>814.42472222222227</v>
      </c>
      <c r="N102" s="47">
        <f>1-(M102/L102)</f>
        <v>0.22999999999999987</v>
      </c>
      <c r="O102" s="48">
        <f>+'[3]Trim Rwd'!H36</f>
        <v>262.5</v>
      </c>
      <c r="P102" s="49">
        <f>O102*(Q102-R102-S102)</f>
        <v>360150</v>
      </c>
      <c r="Q102" s="48">
        <v>1440</v>
      </c>
      <c r="R102" s="123">
        <v>0</v>
      </c>
      <c r="S102" s="123">
        <v>68</v>
      </c>
      <c r="T102" s="50">
        <f>E102*M102*O102*Q102/100000000</f>
        <v>36.942305400000002</v>
      </c>
      <c r="U102" s="50">
        <f>E102*M102*O102*(Q102-R102-S102)/100000000</f>
        <v>35.197807645000005</v>
      </c>
      <c r="V102" s="50">
        <f>E102*G102*(1-N102)*O102/100*(R102+S102)/1000000</f>
        <v>2.0286882000000004</v>
      </c>
      <c r="W102" s="50">
        <f>+'[3]17'!K7/1000</f>
        <v>25.547000000000001</v>
      </c>
      <c r="X102" s="51">
        <f>SUM(W102:W106)/SUM(K102:K106)</f>
        <v>0.59466314789582309</v>
      </c>
      <c r="Y102" s="52">
        <v>0</v>
      </c>
      <c r="Z102" s="50">
        <f>+'[3]17'!D34/1000</f>
        <v>2.9119999999999999</v>
      </c>
      <c r="AA102" s="53">
        <f>SUM(U102:U106)-SUM(W102:W106)-SUM(Z102:Z106)-SUM(Y102:Y106)</f>
        <v>6.7388076450000041</v>
      </c>
      <c r="AB102" s="53">
        <f>(SUM(K102:K106)-SUM(W102:W106)-SUM(Y102:Y106)-SUM(Z102:Z106)-SUM(AC102:AC106)-SUM(V102:V106))-AA102</f>
        <v>-0.2841904450000019</v>
      </c>
      <c r="AC102" s="50">
        <f>K102-T102</f>
        <v>6.0181505999999985</v>
      </c>
      <c r="AD102" s="50">
        <f>+AM102+BA102</f>
        <v>24</v>
      </c>
      <c r="AE102" s="101" t="s">
        <v>172</v>
      </c>
      <c r="AF102" s="50">
        <v>24</v>
      </c>
      <c r="AG102" s="50"/>
      <c r="AH102" s="50"/>
      <c r="AI102" s="54"/>
      <c r="AJ102" s="50"/>
      <c r="AK102" s="50"/>
      <c r="AL102" s="50"/>
      <c r="AM102" s="50">
        <f t="shared" ref="AM102:AM105" si="31">SUM(AF102:AL102)+AT102+AV102+AX102</f>
        <v>24</v>
      </c>
      <c r="AN102" s="50"/>
      <c r="AO102" s="50"/>
      <c r="AP102" s="50"/>
      <c r="AQ102" s="50"/>
      <c r="AR102" s="50">
        <f>SUM(AN102:AQ102)</f>
        <v>0</v>
      </c>
      <c r="AS102" s="50"/>
      <c r="AT102" s="50"/>
      <c r="AU102" s="50"/>
      <c r="AV102" s="50"/>
      <c r="AW102" s="50"/>
      <c r="AX102" s="50"/>
      <c r="AY102" s="50"/>
      <c r="AZ102" s="50"/>
      <c r="BA102" s="50">
        <f>+AR102+AS102+AU102+AW102+AY102+AZ102</f>
        <v>0</v>
      </c>
      <c r="BB102" s="124">
        <v>8</v>
      </c>
      <c r="BC102" s="116"/>
      <c r="BD102" s="116"/>
      <c r="BE102" s="124"/>
      <c r="BF102" s="116"/>
    </row>
    <row r="103" spans="1:58" ht="12.95" customHeight="1" x14ac:dyDescent="0.2">
      <c r="A103" s="117"/>
      <c r="B103" s="118"/>
      <c r="C103" s="119"/>
      <c r="D103" s="118"/>
      <c r="E103" s="37"/>
      <c r="F103" s="37"/>
      <c r="G103" s="120"/>
      <c r="H103" s="121"/>
      <c r="I103" s="45"/>
      <c r="J103" s="46"/>
      <c r="K103" s="46"/>
      <c r="L103" s="122"/>
      <c r="M103" s="122"/>
      <c r="N103" s="47"/>
      <c r="O103" s="48"/>
      <c r="P103" s="49"/>
      <c r="Q103" s="48"/>
      <c r="R103" s="123"/>
      <c r="S103" s="123"/>
      <c r="T103" s="50"/>
      <c r="U103" s="50"/>
      <c r="V103" s="50"/>
      <c r="W103" s="50"/>
      <c r="X103" s="55"/>
      <c r="Y103" s="52"/>
      <c r="Z103" s="50"/>
      <c r="AA103" s="50"/>
      <c r="AB103" s="50"/>
      <c r="AC103" s="50"/>
      <c r="AD103" s="50">
        <f>+AM103+BA103</f>
        <v>10</v>
      </c>
      <c r="AE103" s="101" t="s">
        <v>132</v>
      </c>
      <c r="AF103" s="50"/>
      <c r="AG103" s="50">
        <v>10</v>
      </c>
      <c r="AH103" s="50"/>
      <c r="AI103" s="54"/>
      <c r="AJ103" s="50"/>
      <c r="AK103" s="50"/>
      <c r="AL103" s="50"/>
      <c r="AM103" s="50">
        <f t="shared" si="31"/>
        <v>10</v>
      </c>
      <c r="AN103" s="125"/>
      <c r="AO103" s="50"/>
      <c r="AP103" s="50"/>
      <c r="AQ103" s="50"/>
      <c r="AR103" s="50">
        <f t="shared" ref="AR103:AR105" si="32">SUM(AN103:AQ103)</f>
        <v>0</v>
      </c>
      <c r="AS103" s="50"/>
      <c r="AT103" s="50"/>
      <c r="AU103" s="50"/>
      <c r="AV103" s="50"/>
      <c r="AW103" s="50"/>
      <c r="AX103" s="50"/>
      <c r="AY103" s="50"/>
      <c r="AZ103" s="50"/>
      <c r="BA103" s="50">
        <f>+AR103+AS103+AU103+AW103+AY103+AZ103</f>
        <v>0</v>
      </c>
      <c r="BB103" s="126"/>
      <c r="BC103" s="116">
        <v>7</v>
      </c>
      <c r="BD103" s="116"/>
      <c r="BE103" s="126"/>
      <c r="BF103" s="116"/>
    </row>
    <row r="104" spans="1:58" ht="12.95" customHeight="1" x14ac:dyDescent="0.2">
      <c r="A104" s="117"/>
      <c r="B104" s="118"/>
      <c r="C104" s="119"/>
      <c r="D104" s="118"/>
      <c r="E104" s="37"/>
      <c r="F104" s="37"/>
      <c r="G104" s="127"/>
      <c r="H104" s="121"/>
      <c r="I104" s="45"/>
      <c r="J104" s="46"/>
      <c r="K104" s="46"/>
      <c r="L104" s="122"/>
      <c r="M104" s="122"/>
      <c r="N104" s="47"/>
      <c r="O104" s="48"/>
      <c r="P104" s="49"/>
      <c r="Q104" s="48"/>
      <c r="R104" s="123"/>
      <c r="S104" s="123"/>
      <c r="T104" s="50"/>
      <c r="U104" s="50"/>
      <c r="V104" s="50"/>
      <c r="W104" s="50"/>
      <c r="X104" s="55"/>
      <c r="Y104" s="52"/>
      <c r="Z104" s="50"/>
      <c r="AA104" s="50"/>
      <c r="AB104" s="50"/>
      <c r="AC104" s="50"/>
      <c r="AD104" s="50">
        <f>+AM104+BA104</f>
        <v>34</v>
      </c>
      <c r="AE104" s="101" t="s">
        <v>123</v>
      </c>
      <c r="AF104" s="124"/>
      <c r="AG104" s="124"/>
      <c r="AH104" s="124">
        <v>34</v>
      </c>
      <c r="AJ104" s="50"/>
      <c r="AK104" s="50"/>
      <c r="AL104" s="50"/>
      <c r="AM104" s="50">
        <f t="shared" si="31"/>
        <v>34</v>
      </c>
      <c r="AN104" s="50"/>
      <c r="AO104" s="50"/>
      <c r="AP104" s="50"/>
      <c r="AQ104" s="50"/>
      <c r="AR104" s="50">
        <f t="shared" si="32"/>
        <v>0</v>
      </c>
      <c r="AS104" s="50"/>
      <c r="AT104" s="50"/>
      <c r="AU104" s="50"/>
      <c r="AV104" s="50"/>
      <c r="AW104" s="50"/>
      <c r="AX104" s="50"/>
      <c r="AY104" s="50"/>
      <c r="AZ104" s="50"/>
      <c r="BA104" s="50">
        <f>+AR104+AS104+AU104+AW104+AY104+AZ104</f>
        <v>0</v>
      </c>
      <c r="BB104" s="124"/>
      <c r="BC104" s="146"/>
      <c r="BD104" s="146"/>
      <c r="BE104" s="124"/>
      <c r="BF104" s="146"/>
    </row>
    <row r="105" spans="1:58" ht="12.95" customHeight="1" x14ac:dyDescent="0.2">
      <c r="A105" s="117"/>
      <c r="B105" s="118"/>
      <c r="C105" s="119"/>
      <c r="D105" s="118"/>
      <c r="E105" s="37"/>
      <c r="F105" s="37"/>
      <c r="G105" s="127"/>
      <c r="H105" s="121"/>
      <c r="I105" s="45"/>
      <c r="J105" s="46"/>
      <c r="K105" s="46"/>
      <c r="L105" s="122"/>
      <c r="M105" s="122"/>
      <c r="N105" s="47"/>
      <c r="O105" s="48"/>
      <c r="P105" s="49"/>
      <c r="Q105" s="56"/>
      <c r="R105" s="123"/>
      <c r="S105" s="123"/>
      <c r="T105" s="50"/>
      <c r="U105" s="50"/>
      <c r="V105" s="50"/>
      <c r="W105" s="50"/>
      <c r="X105" s="55"/>
      <c r="Y105" s="52"/>
      <c r="Z105" s="50"/>
      <c r="AA105" s="50"/>
      <c r="AB105" s="50"/>
      <c r="AC105" s="50"/>
      <c r="AD105" s="50">
        <f>+AM105+BA105</f>
        <v>0</v>
      </c>
      <c r="AE105" s="148" t="s">
        <v>162</v>
      </c>
      <c r="AF105" s="50"/>
      <c r="AG105" s="50"/>
      <c r="AH105" s="50"/>
      <c r="AI105" s="54">
        <v>0</v>
      </c>
      <c r="AJ105" s="50"/>
      <c r="AK105" s="50"/>
      <c r="AL105" s="50"/>
      <c r="AM105" s="50">
        <f t="shared" si="31"/>
        <v>0</v>
      </c>
      <c r="AN105" s="50"/>
      <c r="AO105" s="50"/>
      <c r="AP105" s="50"/>
      <c r="AQ105" s="50"/>
      <c r="AR105" s="50">
        <f t="shared" si="32"/>
        <v>0</v>
      </c>
      <c r="AS105" s="50"/>
      <c r="AT105" s="50"/>
      <c r="AU105" s="50"/>
      <c r="AV105" s="50"/>
      <c r="AW105" s="50"/>
      <c r="AX105" s="50"/>
      <c r="AY105" s="50"/>
      <c r="AZ105" s="50"/>
      <c r="BA105" s="50">
        <f>+AR105+AS105+AU105+AW105+AY105+AZ105</f>
        <v>0</v>
      </c>
      <c r="BB105" s="126"/>
      <c r="BC105" s="116"/>
      <c r="BD105" s="116"/>
      <c r="BE105" s="126"/>
      <c r="BF105" s="116"/>
    </row>
    <row r="106" spans="1:58" ht="12.95" customHeight="1" x14ac:dyDescent="0.2">
      <c r="A106" s="117"/>
      <c r="B106" s="118"/>
      <c r="C106" s="119"/>
      <c r="D106" s="118"/>
      <c r="E106" s="37"/>
      <c r="F106" s="37"/>
      <c r="G106" s="127"/>
      <c r="H106" s="121"/>
      <c r="I106" s="45"/>
      <c r="J106" s="46"/>
      <c r="K106" s="46"/>
      <c r="L106" s="122"/>
      <c r="M106" s="122"/>
      <c r="N106" s="47"/>
      <c r="O106" s="48"/>
      <c r="P106" s="49"/>
      <c r="Q106" s="56"/>
      <c r="R106" s="123"/>
      <c r="S106" s="123"/>
      <c r="T106" s="50"/>
      <c r="U106" s="50"/>
      <c r="V106" s="50"/>
      <c r="W106" s="50"/>
      <c r="X106" s="55"/>
      <c r="Y106" s="52"/>
      <c r="Z106" s="50"/>
      <c r="AA106" s="50"/>
      <c r="AB106" s="50"/>
      <c r="AC106" s="50"/>
      <c r="AD106" s="50"/>
      <c r="AE106" s="148"/>
      <c r="AF106" s="50"/>
      <c r="AG106" s="50"/>
      <c r="AH106" s="50"/>
      <c r="AI106" s="54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126"/>
      <c r="BC106" s="116"/>
      <c r="BD106" s="116"/>
      <c r="BE106" s="116"/>
      <c r="BF106" s="116"/>
    </row>
    <row r="107" spans="1:58" ht="12.75" customHeight="1" x14ac:dyDescent="0.2">
      <c r="A107" s="117">
        <v>45979</v>
      </c>
      <c r="B107" s="118" t="s">
        <v>115</v>
      </c>
      <c r="C107" s="119">
        <f>(M107*E107*O107*Q107)/100000000</f>
        <v>38.317739683384602</v>
      </c>
      <c r="D107" s="118" t="s">
        <v>177</v>
      </c>
      <c r="E107" s="37">
        <v>12</v>
      </c>
      <c r="F107" s="37">
        <v>1</v>
      </c>
      <c r="G107" s="120">
        <v>1230</v>
      </c>
      <c r="H107" s="121">
        <f>+N107</f>
        <v>0.23362041006172307</v>
      </c>
      <c r="I107" s="45">
        <v>0.88</v>
      </c>
      <c r="J107" s="46">
        <f>E107*G107*(1-H107)*1440/1000000*2.74</f>
        <v>44.631691096492467</v>
      </c>
      <c r="K107" s="46">
        <f>(IF(G107&lt;L107,L107,G107)*(1-IF(H107&lt;N107,H107,N107))*E107*O107*Q107)/100000000</f>
        <v>39.518104330218563</v>
      </c>
      <c r="L107" s="122">
        <v>1192.6386806596702</v>
      </c>
      <c r="M107" s="122">
        <v>914.01394302848564</v>
      </c>
      <c r="N107" s="47">
        <f>1-(M107/L107)</f>
        <v>0.23362041006172307</v>
      </c>
      <c r="O107" s="48">
        <f>+'[3]Trim Rwd'!H38</f>
        <v>261.88461538461536</v>
      </c>
      <c r="P107" s="49">
        <f>O107*(Q107-R107-S107)</f>
        <v>335997.9615384615</v>
      </c>
      <c r="Q107" s="48">
        <f>1404-70</f>
        <v>1334</v>
      </c>
      <c r="R107" s="123">
        <f>70-70</f>
        <v>0</v>
      </c>
      <c r="S107" s="123">
        <f>56-5</f>
        <v>51</v>
      </c>
      <c r="T107" s="50">
        <f>E107*M107*O107*Q107/100000000</f>
        <v>38.317739683384602</v>
      </c>
      <c r="U107" s="50">
        <f>E107*M107*O107*(Q107-R107-S107)/100000000</f>
        <v>36.852818601036319</v>
      </c>
      <c r="V107" s="50">
        <f>E107*G107*(1-N107)*O107/100*(R107+S107)/1000000</f>
        <v>1.510812084588566</v>
      </c>
      <c r="W107" s="50">
        <f>+'[3]18'!K7/1000</f>
        <v>34.366999999999997</v>
      </c>
      <c r="X107" s="51">
        <f>SUM(W107:W111)/SUM(K107:K111)</f>
        <v>0.84897980625055791</v>
      </c>
      <c r="Y107" s="52">
        <v>0</v>
      </c>
      <c r="Z107" s="50">
        <f>+'[3]17'!D39/1000</f>
        <v>0</v>
      </c>
      <c r="AA107" s="53">
        <f>SUM(U107:U111)-SUM(W107:W111)-SUM(Z107:Z111)-SUM(Y107:Y111)</f>
        <v>3.2738126672974346</v>
      </c>
      <c r="AB107" s="53">
        <f>(SUM(K107:K111)-SUM(W107:W111)-SUM(Y107:Y111)-SUM(Z107:Z111)-SUM(AC107:AC111)-SUM(V107:V111))-AA107</f>
        <v>-5.2440466101393746E-2</v>
      </c>
      <c r="AC107" s="50">
        <f>K107-T107</f>
        <v>1.200364646833961</v>
      </c>
      <c r="AD107" s="50">
        <f>+AM107+BA107</f>
        <v>24</v>
      </c>
      <c r="AE107" s="101" t="s">
        <v>189</v>
      </c>
      <c r="AF107" s="50">
        <v>24</v>
      </c>
      <c r="AG107" s="50"/>
      <c r="AH107" s="50"/>
      <c r="AI107" s="54"/>
      <c r="AJ107" s="50"/>
      <c r="AK107" s="50"/>
      <c r="AL107" s="50"/>
      <c r="AM107" s="50">
        <f t="shared" ref="AM107:AM110" si="33">SUM(AF107:AL107)+AT107+AV107+AX107</f>
        <v>24</v>
      </c>
      <c r="AN107" s="50"/>
      <c r="AO107" s="50"/>
      <c r="AP107" s="50"/>
      <c r="AQ107" s="50"/>
      <c r="AR107" s="50">
        <f>SUM(AN107:AQ107)</f>
        <v>0</v>
      </c>
      <c r="AS107" s="50"/>
      <c r="AT107" s="50"/>
      <c r="AU107" s="50"/>
      <c r="AV107" s="50"/>
      <c r="AW107" s="50"/>
      <c r="AX107" s="50"/>
      <c r="AY107" s="50"/>
      <c r="AZ107" s="50"/>
      <c r="BA107" s="50">
        <f>+AR107+AS107+AU107+AW107+AY107+AZ107</f>
        <v>0</v>
      </c>
      <c r="BB107" s="124">
        <v>9</v>
      </c>
      <c r="BC107" s="116"/>
      <c r="BD107" s="116"/>
      <c r="BE107" s="124"/>
      <c r="BF107" s="116"/>
    </row>
    <row r="108" spans="1:58" ht="12.95" customHeight="1" x14ac:dyDescent="0.2">
      <c r="A108" s="117"/>
      <c r="B108" s="118" t="s">
        <v>115</v>
      </c>
      <c r="C108" s="119">
        <f t="shared" ref="C108" si="34">(M108*E108*O108*Q108)/100000000</f>
        <v>0.91508988340000008</v>
      </c>
      <c r="D108" s="118" t="s">
        <v>177</v>
      </c>
      <c r="E108" s="37">
        <v>10.3</v>
      </c>
      <c r="F108" s="37">
        <v>1</v>
      </c>
      <c r="G108" s="120">
        <v>1230</v>
      </c>
      <c r="H108" s="121">
        <f t="shared" ref="H108" si="35">+N108</f>
        <v>0.22999999999999998</v>
      </c>
      <c r="I108" s="45">
        <v>0.88</v>
      </c>
      <c r="J108" s="46">
        <f t="shared" ref="J108" si="36">E108*G108*(1-H108)*1440/1000000*2.74</f>
        <v>38.489840928000007</v>
      </c>
      <c r="K108" s="46">
        <f t="shared" ref="K108" si="37">(IF(G108&lt;L108,L108,G108)*(1-IF(H108&lt;N108,H108,N108))*E108*O108*Q108)/100000000</f>
        <v>0.96224602320000008</v>
      </c>
      <c r="L108" s="122">
        <v>1169.7222222222222</v>
      </c>
      <c r="M108" s="122">
        <v>900.68611111111113</v>
      </c>
      <c r="N108" s="47">
        <f t="shared" ref="N108" si="38">1-(M108/L108)</f>
        <v>0.22999999999999998</v>
      </c>
      <c r="O108" s="48">
        <v>274</v>
      </c>
      <c r="P108" s="49">
        <f t="shared" ref="P108" si="39">O108*(Q108-R108-S108)</f>
        <v>8494</v>
      </c>
      <c r="Q108" s="48">
        <v>36</v>
      </c>
      <c r="R108" s="123">
        <v>0</v>
      </c>
      <c r="S108" s="123">
        <v>5</v>
      </c>
      <c r="T108" s="50">
        <f t="shared" ref="T108" si="40">E108*M108*O108*Q108/100000000</f>
        <v>0.91508988340000008</v>
      </c>
      <c r="U108" s="50">
        <f t="shared" ref="U108" si="41">E108*M108*O108*(Q108-R108-S108)/100000000</f>
        <v>0.78799406626111124</v>
      </c>
      <c r="V108" s="50">
        <f t="shared" ref="V108" si="42">E108*G108*(1-N108)*O108/100*(R108+S108)/1000000</f>
        <v>0.133645281</v>
      </c>
      <c r="W108" s="50">
        <f>+'[3]16'!K19/1000</f>
        <v>0</v>
      </c>
      <c r="X108" s="55"/>
      <c r="Y108" s="52"/>
      <c r="Z108" s="50"/>
      <c r="AA108" s="50"/>
      <c r="AB108" s="50"/>
      <c r="AC108" s="50">
        <f>K108-T108</f>
        <v>4.7156139799999996E-2</v>
      </c>
      <c r="AD108" s="50">
        <f>+AM108+BA108</f>
        <v>2</v>
      </c>
      <c r="AE108" s="101" t="s">
        <v>174</v>
      </c>
      <c r="AF108" s="50"/>
      <c r="AG108" s="50">
        <v>2</v>
      </c>
      <c r="AH108" s="50"/>
      <c r="AI108" s="54"/>
      <c r="AJ108" s="50"/>
      <c r="AK108" s="50"/>
      <c r="AL108" s="50"/>
      <c r="AM108" s="50">
        <f t="shared" si="33"/>
        <v>2</v>
      </c>
      <c r="AN108" s="125"/>
      <c r="AO108" s="50"/>
      <c r="AP108" s="50"/>
      <c r="AQ108" s="50"/>
      <c r="AR108" s="50">
        <f t="shared" ref="AR108:AR110" si="43">SUM(AN108:AQ108)</f>
        <v>0</v>
      </c>
      <c r="AS108" s="50"/>
      <c r="AT108" s="50"/>
      <c r="AU108" s="50"/>
      <c r="AV108" s="50"/>
      <c r="AW108" s="50"/>
      <c r="AX108" s="50"/>
      <c r="AY108" s="50"/>
      <c r="AZ108" s="50"/>
      <c r="BA108" s="50">
        <f>+AR108+AS108+AU108+AW108+AY108+AZ108</f>
        <v>0</v>
      </c>
      <c r="BB108" s="126"/>
      <c r="BC108" s="116">
        <v>1</v>
      </c>
      <c r="BD108" s="116"/>
      <c r="BE108" s="126"/>
      <c r="BF108" s="116"/>
    </row>
    <row r="109" spans="1:58" ht="12.95" customHeight="1" x14ac:dyDescent="0.2">
      <c r="A109" s="117"/>
      <c r="B109" s="118"/>
      <c r="C109" s="119"/>
      <c r="D109" s="118"/>
      <c r="E109" s="37"/>
      <c r="F109" s="37"/>
      <c r="G109" s="120"/>
      <c r="H109" s="121"/>
      <c r="I109" s="45"/>
      <c r="J109" s="46"/>
      <c r="K109" s="46"/>
      <c r="L109" s="122"/>
      <c r="M109" s="122"/>
      <c r="N109" s="47"/>
      <c r="O109" s="48"/>
      <c r="P109" s="49"/>
      <c r="Q109" s="48"/>
      <c r="R109" s="123"/>
      <c r="S109" s="123"/>
      <c r="T109" s="50"/>
      <c r="U109" s="50"/>
      <c r="V109" s="50"/>
      <c r="W109" s="50"/>
      <c r="X109" s="55"/>
      <c r="Y109" s="52"/>
      <c r="Z109" s="50"/>
      <c r="AA109" s="50"/>
      <c r="AB109" s="50"/>
      <c r="AC109" s="50"/>
      <c r="AD109" s="50">
        <f>+AM109+BA109</f>
        <v>30</v>
      </c>
      <c r="AE109" s="101" t="s">
        <v>114</v>
      </c>
      <c r="AF109" s="124"/>
      <c r="AG109" s="124"/>
      <c r="AH109" s="124">
        <v>30</v>
      </c>
      <c r="AJ109" s="50"/>
      <c r="AK109" s="50"/>
      <c r="AL109" s="50"/>
      <c r="AM109" s="50">
        <f t="shared" si="33"/>
        <v>30</v>
      </c>
      <c r="AN109" s="50"/>
      <c r="AO109" s="50"/>
      <c r="AP109" s="50"/>
      <c r="AQ109" s="50"/>
      <c r="AR109" s="50">
        <f t="shared" si="43"/>
        <v>0</v>
      </c>
      <c r="AS109" s="50"/>
      <c r="AT109" s="50"/>
      <c r="AU109" s="50"/>
      <c r="AV109" s="50"/>
      <c r="AW109" s="50"/>
      <c r="AX109" s="50"/>
      <c r="AY109" s="50"/>
      <c r="AZ109" s="50"/>
      <c r="BA109" s="50">
        <f>+AR109+AS109+AU109+AW109+AY109+AZ109</f>
        <v>0</v>
      </c>
      <c r="BB109" s="124"/>
      <c r="BC109" s="146"/>
      <c r="BD109" s="146"/>
      <c r="BE109" s="124"/>
      <c r="BF109" s="146"/>
    </row>
    <row r="110" spans="1:58" ht="12.95" customHeight="1" x14ac:dyDescent="0.2">
      <c r="A110" s="117"/>
      <c r="B110" s="118"/>
      <c r="C110" s="119"/>
      <c r="D110" s="118"/>
      <c r="E110" s="37"/>
      <c r="F110" s="37"/>
      <c r="G110" s="127"/>
      <c r="H110" s="121"/>
      <c r="I110" s="45"/>
      <c r="J110" s="46"/>
      <c r="K110" s="46"/>
      <c r="L110" s="122"/>
      <c r="M110" s="122"/>
      <c r="N110" s="47"/>
      <c r="O110" s="48"/>
      <c r="P110" s="49"/>
      <c r="Q110" s="56"/>
      <c r="R110" s="123"/>
      <c r="S110" s="123"/>
      <c r="T110" s="50"/>
      <c r="U110" s="50"/>
      <c r="V110" s="50"/>
      <c r="W110" s="50"/>
      <c r="X110" s="55"/>
      <c r="Y110" s="52"/>
      <c r="Z110" s="50"/>
      <c r="AA110" s="50"/>
      <c r="AB110" s="50"/>
      <c r="AC110" s="50"/>
      <c r="AD110" s="50">
        <f>+AM110+BA110</f>
        <v>0</v>
      </c>
      <c r="AE110" s="148" t="s">
        <v>247</v>
      </c>
      <c r="AF110" s="50"/>
      <c r="AG110" s="50"/>
      <c r="AH110" s="50"/>
      <c r="AI110" s="54">
        <v>0</v>
      </c>
      <c r="AJ110" s="50"/>
      <c r="AK110" s="50"/>
      <c r="AL110" s="50"/>
      <c r="AM110" s="50">
        <f t="shared" si="33"/>
        <v>0</v>
      </c>
      <c r="AN110" s="50"/>
      <c r="AO110" s="50"/>
      <c r="AP110" s="50"/>
      <c r="AQ110" s="50"/>
      <c r="AR110" s="50">
        <f t="shared" si="43"/>
        <v>0</v>
      </c>
      <c r="AS110" s="50"/>
      <c r="AT110" s="50"/>
      <c r="AU110" s="50"/>
      <c r="AV110" s="50"/>
      <c r="AW110" s="50"/>
      <c r="AX110" s="50"/>
      <c r="AY110" s="50"/>
      <c r="AZ110" s="50">
        <f>70-70</f>
        <v>0</v>
      </c>
      <c r="BA110" s="50">
        <f>+AR110+AS110+AU110+AW110+AY110+AZ110</f>
        <v>0</v>
      </c>
      <c r="BB110" s="126"/>
      <c r="BC110" s="116"/>
      <c r="BD110" s="116"/>
      <c r="BE110" s="126"/>
      <c r="BF110" s="116"/>
    </row>
    <row r="111" spans="1:58" ht="12.95" customHeight="1" x14ac:dyDescent="0.2">
      <c r="A111" s="117"/>
      <c r="B111" s="118"/>
      <c r="C111" s="119"/>
      <c r="D111" s="118"/>
      <c r="E111" s="37"/>
      <c r="F111" s="37"/>
      <c r="G111" s="127"/>
      <c r="H111" s="121"/>
      <c r="I111" s="45"/>
      <c r="J111" s="46"/>
      <c r="K111" s="46"/>
      <c r="L111" s="122"/>
      <c r="M111" s="122"/>
      <c r="N111" s="47"/>
      <c r="O111" s="48"/>
      <c r="P111" s="49"/>
      <c r="Q111" s="56"/>
      <c r="R111" s="123"/>
      <c r="S111" s="123"/>
      <c r="T111" s="50"/>
      <c r="U111" s="50"/>
      <c r="V111" s="50"/>
      <c r="W111" s="50"/>
      <c r="X111" s="55"/>
      <c r="Y111" s="52"/>
      <c r="Z111" s="50"/>
      <c r="AA111" s="50"/>
      <c r="AB111" s="50"/>
      <c r="AC111" s="50"/>
      <c r="AD111" s="50"/>
      <c r="AE111" s="148"/>
      <c r="AF111" s="50"/>
      <c r="AG111" s="50"/>
      <c r="AH111" s="50"/>
      <c r="AI111" s="54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126"/>
      <c r="BC111" s="116"/>
      <c r="BD111" s="116"/>
      <c r="BE111" s="116"/>
      <c r="BF111" s="116"/>
    </row>
    <row r="112" spans="1:58" ht="12.75" customHeight="1" x14ac:dyDescent="0.2">
      <c r="A112" s="117">
        <v>45980</v>
      </c>
      <c r="B112" s="118" t="s">
        <v>115</v>
      </c>
      <c r="C112" s="119">
        <f>(M112*E112*O112*Q112)/100000000</f>
        <v>22.967954167813946</v>
      </c>
      <c r="D112" s="118" t="s">
        <v>177</v>
      </c>
      <c r="E112" s="37">
        <v>12</v>
      </c>
      <c r="F112" s="37">
        <v>1</v>
      </c>
      <c r="G112" s="120">
        <v>1230</v>
      </c>
      <c r="H112" s="121">
        <f>+N112</f>
        <v>0.23390088945362153</v>
      </c>
      <c r="I112" s="45">
        <v>0.88</v>
      </c>
      <c r="J112" s="46">
        <f>E112*G112*(1-H112)*1440/1000000*2.74</f>
        <v>44.615356802439635</v>
      </c>
      <c r="K112" s="46">
        <f>(IF(G112&lt;L112,L112,G112)*(1-IF(H112&lt;N112,H112,N112))*E112*O112*Q112)/100000000</f>
        <v>22.967954167813946</v>
      </c>
      <c r="L112" s="122">
        <v>1230</v>
      </c>
      <c r="M112" s="122">
        <v>942.30190597204557</v>
      </c>
      <c r="N112" s="47">
        <f>1-(M112/L112)</f>
        <v>0.23390088945362153</v>
      </c>
      <c r="O112" s="48">
        <f>+'[3]Trim Rwd'!H41</f>
        <v>258.09302325581393</v>
      </c>
      <c r="P112" s="49">
        <f>O112*(Q112-R112-S112)</f>
        <v>195634.51162790696</v>
      </c>
      <c r="Q112" s="48">
        <f>1440-653</f>
        <v>787</v>
      </c>
      <c r="R112" s="123">
        <f>653-653</f>
        <v>0</v>
      </c>
      <c r="S112" s="123">
        <v>29</v>
      </c>
      <c r="T112" s="50">
        <f>E112*M112*O112*Q112/100000000</f>
        <v>22.967954167813946</v>
      </c>
      <c r="U112" s="50">
        <f>E112*M112*O112*(Q112-R112-S112)/100000000</f>
        <v>22.121612781706443</v>
      </c>
      <c r="V112" s="50">
        <f>E112*G112*(1-N112)*O112/100*(R112+S112)/1000000</f>
        <v>0.84634138610750242</v>
      </c>
      <c r="W112" s="50">
        <f>+'[3]19'!K7/1000</f>
        <v>25.437000000000001</v>
      </c>
      <c r="X112" s="51">
        <f>SUM(W112:W116)/SUM(K112:K116)</f>
        <v>1.1074995976631667</v>
      </c>
      <c r="Y112" s="52">
        <v>0</v>
      </c>
      <c r="Z112" s="50">
        <f>+'[3]17'!D44/1000</f>
        <v>0</v>
      </c>
      <c r="AA112" s="53">
        <f>SUM(U112:U116)-SUM(W112:W116)-SUM(Z112:Z116)-SUM(Y112:Y116)</f>
        <v>-3.3153872182935586</v>
      </c>
      <c r="AB112" s="53">
        <f>(SUM(K112:K116)-SUM(W112:W116)-SUM(Y112:Y116)-SUM(Z112:Z116)-SUM(AC112:AC116)-SUM(V112:V116))-AA112</f>
        <v>0</v>
      </c>
      <c r="AC112" s="50">
        <f>K112-T112</f>
        <v>0</v>
      </c>
      <c r="AD112" s="50">
        <f>+AM112+BA112</f>
        <v>9</v>
      </c>
      <c r="AE112" s="101" t="s">
        <v>165</v>
      </c>
      <c r="AF112" s="50">
        <v>9</v>
      </c>
      <c r="AG112" s="50"/>
      <c r="AH112" s="50"/>
      <c r="AI112" s="54"/>
      <c r="AJ112" s="50"/>
      <c r="AK112" s="50"/>
      <c r="AL112" s="50"/>
      <c r="AM112" s="50">
        <f t="shared" ref="AM112:AM115" si="44">SUM(AF112:AL112)+AT112+AV112+AX112</f>
        <v>9</v>
      </c>
      <c r="AN112" s="50"/>
      <c r="AO112" s="50"/>
      <c r="AP112" s="50"/>
      <c r="AQ112" s="50"/>
      <c r="AR112" s="50">
        <f>SUM(AN112:AQ112)</f>
        <v>0</v>
      </c>
      <c r="AS112" s="50"/>
      <c r="AT112" s="50"/>
      <c r="AU112" s="50"/>
      <c r="AV112" s="50"/>
      <c r="AW112" s="50"/>
      <c r="AX112" s="50"/>
      <c r="AY112" s="50"/>
      <c r="AZ112" s="50"/>
      <c r="BA112" s="50">
        <f>+AR112+AS112+AU112+AW112+AY112+AZ112</f>
        <v>0</v>
      </c>
      <c r="BB112" s="124">
        <v>3</v>
      </c>
      <c r="BC112" s="116"/>
      <c r="BD112" s="116"/>
      <c r="BE112" s="124"/>
      <c r="BF112" s="116"/>
    </row>
    <row r="113" spans="1:58" ht="12.95" customHeight="1" x14ac:dyDescent="0.2">
      <c r="A113" s="117"/>
      <c r="B113" s="118"/>
      <c r="C113" s="119"/>
      <c r="D113" s="118"/>
      <c r="E113" s="37"/>
      <c r="F113" s="37"/>
      <c r="G113" s="120"/>
      <c r="H113" s="121"/>
      <c r="I113" s="45"/>
      <c r="J113" s="46"/>
      <c r="K113" s="46"/>
      <c r="L113" s="122"/>
      <c r="M113" s="122"/>
      <c r="N113" s="47"/>
      <c r="O113" s="48"/>
      <c r="P113" s="49"/>
      <c r="Q113" s="48"/>
      <c r="R113" s="123"/>
      <c r="S113" s="123"/>
      <c r="T113" s="50"/>
      <c r="U113" s="50"/>
      <c r="V113" s="50"/>
      <c r="W113" s="50"/>
      <c r="X113" s="55"/>
      <c r="Y113" s="52"/>
      <c r="Z113" s="50"/>
      <c r="AA113" s="50"/>
      <c r="AB113" s="50"/>
      <c r="AC113" s="50"/>
      <c r="AD113" s="50">
        <f>+AM113+BA113</f>
        <v>4</v>
      </c>
      <c r="AE113" s="101" t="s">
        <v>166</v>
      </c>
      <c r="AF113" s="50"/>
      <c r="AG113" s="50">
        <v>4</v>
      </c>
      <c r="AH113" s="50"/>
      <c r="AI113" s="54"/>
      <c r="AJ113" s="50"/>
      <c r="AK113" s="50"/>
      <c r="AL113" s="50"/>
      <c r="AM113" s="50">
        <f t="shared" si="44"/>
        <v>4</v>
      </c>
      <c r="AN113" s="125"/>
      <c r="AO113" s="50"/>
      <c r="AP113" s="50"/>
      <c r="AQ113" s="50"/>
      <c r="AR113" s="50">
        <f t="shared" ref="AR113:AR115" si="45">SUM(AN113:AQ113)</f>
        <v>0</v>
      </c>
      <c r="AS113" s="50"/>
      <c r="AT113" s="50"/>
      <c r="AU113" s="50"/>
      <c r="AV113" s="50"/>
      <c r="AW113" s="50"/>
      <c r="AX113" s="50"/>
      <c r="AY113" s="50"/>
      <c r="AZ113" s="50"/>
      <c r="BA113" s="50">
        <f>+AR113+AS113+AU113+AW113+AY113+AZ113</f>
        <v>0</v>
      </c>
      <c r="BB113" s="126"/>
      <c r="BC113" s="116">
        <v>2</v>
      </c>
      <c r="BD113" s="116"/>
      <c r="BE113" s="126"/>
      <c r="BF113" s="116"/>
    </row>
    <row r="114" spans="1:58" ht="12.95" customHeight="1" x14ac:dyDescent="0.2">
      <c r="A114" s="117"/>
      <c r="B114" s="118"/>
      <c r="C114" s="119"/>
      <c r="D114" s="118"/>
      <c r="E114" s="37"/>
      <c r="F114" s="37"/>
      <c r="G114" s="120"/>
      <c r="H114" s="121"/>
      <c r="I114" s="45"/>
      <c r="J114" s="46"/>
      <c r="K114" s="46"/>
      <c r="L114" s="122"/>
      <c r="M114" s="122"/>
      <c r="N114" s="47"/>
      <c r="O114" s="48"/>
      <c r="P114" s="49"/>
      <c r="Q114" s="48"/>
      <c r="R114" s="123"/>
      <c r="S114" s="123"/>
      <c r="T114" s="50"/>
      <c r="U114" s="50"/>
      <c r="V114" s="50"/>
      <c r="W114" s="50"/>
      <c r="X114" s="55"/>
      <c r="Y114" s="52"/>
      <c r="Z114" s="50"/>
      <c r="AA114" s="50"/>
      <c r="AB114" s="50"/>
      <c r="AC114" s="50"/>
      <c r="AD114" s="50">
        <f>+AM114+BA114</f>
        <v>16</v>
      </c>
      <c r="AE114" s="101" t="s">
        <v>248</v>
      </c>
      <c r="AF114" s="124"/>
      <c r="AG114" s="124"/>
      <c r="AH114" s="124">
        <v>16</v>
      </c>
      <c r="AJ114" s="50"/>
      <c r="AK114" s="50"/>
      <c r="AL114" s="50"/>
      <c r="AM114" s="50">
        <f t="shared" si="44"/>
        <v>16</v>
      </c>
      <c r="AN114" s="50"/>
      <c r="AO114" s="50"/>
      <c r="AP114" s="50"/>
      <c r="AQ114" s="50"/>
      <c r="AR114" s="50">
        <f t="shared" si="45"/>
        <v>0</v>
      </c>
      <c r="AS114" s="50"/>
      <c r="AT114" s="50"/>
      <c r="AU114" s="50"/>
      <c r="AV114" s="50"/>
      <c r="AW114" s="50"/>
      <c r="AX114" s="50"/>
      <c r="AY114" s="50"/>
      <c r="AZ114" s="50"/>
      <c r="BA114" s="50">
        <f>+AR114+AS114+AU114+AW114+AY114+AZ114</f>
        <v>0</v>
      </c>
      <c r="BB114" s="124"/>
      <c r="BC114" s="146"/>
      <c r="BD114" s="146"/>
      <c r="BE114" s="124"/>
      <c r="BF114" s="146"/>
    </row>
    <row r="115" spans="1:58" ht="12.95" customHeight="1" x14ac:dyDescent="0.2">
      <c r="A115" s="117"/>
      <c r="B115" s="118"/>
      <c r="C115" s="119"/>
      <c r="D115" s="118"/>
      <c r="E115" s="37"/>
      <c r="F115" s="37"/>
      <c r="G115" s="127"/>
      <c r="H115" s="121"/>
      <c r="I115" s="45"/>
      <c r="J115" s="46"/>
      <c r="K115" s="46"/>
      <c r="L115" s="122"/>
      <c r="M115" s="122"/>
      <c r="N115" s="47"/>
      <c r="O115" s="48"/>
      <c r="P115" s="49"/>
      <c r="Q115" s="56"/>
      <c r="R115" s="123"/>
      <c r="S115" s="123"/>
      <c r="T115" s="50"/>
      <c r="U115" s="50"/>
      <c r="V115" s="50"/>
      <c r="W115" s="50"/>
      <c r="X115" s="55"/>
      <c r="Y115" s="52"/>
      <c r="Z115" s="50"/>
      <c r="AA115" s="50"/>
      <c r="AB115" s="50"/>
      <c r="AC115" s="50"/>
      <c r="AD115" s="50">
        <f>+AM115+BA115</f>
        <v>0</v>
      </c>
      <c r="AE115" s="148" t="s">
        <v>249</v>
      </c>
      <c r="AF115" s="50"/>
      <c r="AG115" s="50"/>
      <c r="AH115" s="50"/>
      <c r="AI115" s="54">
        <v>0</v>
      </c>
      <c r="AJ115" s="50"/>
      <c r="AK115" s="50"/>
      <c r="AL115" s="50"/>
      <c r="AM115" s="50">
        <f t="shared" si="44"/>
        <v>0</v>
      </c>
      <c r="AN115" s="50"/>
      <c r="AO115" s="50"/>
      <c r="AP115" s="50"/>
      <c r="AQ115" s="50"/>
      <c r="AR115" s="50">
        <f t="shared" si="45"/>
        <v>0</v>
      </c>
      <c r="AS115" s="50"/>
      <c r="AT115" s="50"/>
      <c r="AU115" s="50"/>
      <c r="AV115" s="50"/>
      <c r="AW115" s="50"/>
      <c r="AX115" s="50"/>
      <c r="AY115" s="50"/>
      <c r="AZ115" s="50">
        <f>653-653</f>
        <v>0</v>
      </c>
      <c r="BA115" s="50">
        <f>+AR115+AS115+AU115+AW115+AY115+AZ115</f>
        <v>0</v>
      </c>
      <c r="BB115" s="126"/>
      <c r="BC115" s="116"/>
      <c r="BD115" s="116"/>
      <c r="BE115" s="126"/>
      <c r="BF115" s="116"/>
    </row>
    <row r="116" spans="1:58" ht="12.95" customHeight="1" x14ac:dyDescent="0.2">
      <c r="A116" s="117"/>
      <c r="B116" s="118"/>
      <c r="C116" s="119"/>
      <c r="D116" s="118"/>
      <c r="E116" s="37"/>
      <c r="F116" s="37"/>
      <c r="G116" s="127"/>
      <c r="H116" s="121"/>
      <c r="I116" s="45"/>
      <c r="J116" s="46"/>
      <c r="K116" s="46"/>
      <c r="L116" s="122"/>
      <c r="M116" s="122"/>
      <c r="N116" s="47"/>
      <c r="O116" s="48"/>
      <c r="P116" s="49"/>
      <c r="Q116" s="56"/>
      <c r="R116" s="123"/>
      <c r="S116" s="123"/>
      <c r="T116" s="50"/>
      <c r="U116" s="50"/>
      <c r="V116" s="50"/>
      <c r="W116" s="50"/>
      <c r="X116" s="55"/>
      <c r="Y116" s="52"/>
      <c r="Z116" s="50"/>
      <c r="AA116" s="50"/>
      <c r="AB116" s="50"/>
      <c r="AC116" s="50"/>
      <c r="AD116" s="50"/>
      <c r="AE116" s="148"/>
      <c r="AF116" s="50"/>
      <c r="AG116" s="50"/>
      <c r="AH116" s="50"/>
      <c r="AI116" s="54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126"/>
      <c r="BC116" s="50"/>
      <c r="BD116" s="116"/>
      <c r="BE116" s="116"/>
      <c r="BF116" s="116"/>
    </row>
    <row r="117" spans="1:58" ht="12" customHeight="1" x14ac:dyDescent="0.2">
      <c r="A117" s="117">
        <v>45981</v>
      </c>
      <c r="B117" s="118" t="s">
        <v>115</v>
      </c>
      <c r="C117" s="119">
        <f>(M117*E117*O117*Q117)/100000000</f>
        <v>17.350376159999996</v>
      </c>
      <c r="D117" s="118" t="s">
        <v>177</v>
      </c>
      <c r="E117" s="37">
        <v>13</v>
      </c>
      <c r="F117" s="37">
        <v>1</v>
      </c>
      <c r="G117" s="120">
        <v>1230</v>
      </c>
      <c r="H117" s="121">
        <f>+N117</f>
        <v>0.23180279180279184</v>
      </c>
      <c r="I117" s="45">
        <v>0.88</v>
      </c>
      <c r="J117" s="46">
        <f>E117*G117*(1-H117)*1440/1000000*2.74</f>
        <v>48.465672485559843</v>
      </c>
      <c r="K117" s="46">
        <f>(IF(G117&lt;L117,L117,G117)*(1-IF(H117&lt;N117,H117,N117))*E117*O117*Q117)/100000000</f>
        <v>18.697903147181467</v>
      </c>
      <c r="L117" s="122">
        <v>1141.3559322033898</v>
      </c>
      <c r="M117" s="122">
        <v>876.78644067796608</v>
      </c>
      <c r="N117" s="47">
        <f>1-(M117/L117)</f>
        <v>0.23180279180279184</v>
      </c>
      <c r="O117" s="48">
        <f>+'[3]Trim Rwd'!H44</f>
        <v>258</v>
      </c>
      <c r="P117" s="49">
        <f>O117*(Q117-R117-S117)</f>
        <v>146802</v>
      </c>
      <c r="Q117" s="48">
        <f>1313-723</f>
        <v>590</v>
      </c>
      <c r="R117" s="123">
        <f>723-723</f>
        <v>0</v>
      </c>
      <c r="S117" s="123">
        <v>21</v>
      </c>
      <c r="T117" s="50">
        <f>E117*M117*O117*Q117/100000000</f>
        <v>17.350376159999996</v>
      </c>
      <c r="U117" s="50">
        <f>E117*M117*O117*(Q117-R117-S117)/100000000</f>
        <v>16.73282039837288</v>
      </c>
      <c r="V117" s="50">
        <f>E117*G117*(1-N117)*O117/100*(R117+S117)/1000000</f>
        <v>0.66551858659459451</v>
      </c>
      <c r="W117" s="50">
        <f>+'[3]20'!K8/1000</f>
        <v>8.5809999999999995</v>
      </c>
      <c r="X117" s="51">
        <f>SUM(W117:W121)/SUM(K117:K121)</f>
        <v>0.5106185064612293</v>
      </c>
      <c r="Y117" s="52">
        <v>0</v>
      </c>
      <c r="Z117" s="50">
        <f>+'[3]20'!D25/1000</f>
        <v>0.16800000000000001</v>
      </c>
      <c r="AA117" s="53">
        <f>SUM(U117:U121)-SUM(W117:W121)-SUM(Z117:Z121)-SUM(Y117:Y121)</f>
        <v>8.2646692734594964</v>
      </c>
      <c r="AB117" s="53">
        <f>(SUM(K117:K121)-SUM(W117:W121)-SUM(Y117:Y121)-SUM(Z117:Z121)-SUM(AC117:AC121)-SUM(V117:V121))-AA117</f>
        <v>-9.6522612054094736E-2</v>
      </c>
      <c r="AC117" s="50">
        <f>K117-T117</f>
        <v>1.347526987181471</v>
      </c>
      <c r="AD117" s="50">
        <f>+AM117+BA117</f>
        <v>14</v>
      </c>
      <c r="AE117" s="101" t="s">
        <v>164</v>
      </c>
      <c r="AF117" s="50">
        <v>14</v>
      </c>
      <c r="AG117" s="50"/>
      <c r="AH117" s="50"/>
      <c r="AI117" s="54"/>
      <c r="AJ117" s="50"/>
      <c r="AK117" s="50"/>
      <c r="AL117" s="50"/>
      <c r="AM117" s="50">
        <f t="shared" ref="AM117:AM120" si="46">SUM(AF117:AL117)+AT117+AV117+AX117</f>
        <v>14</v>
      </c>
      <c r="AN117" s="50"/>
      <c r="AO117" s="50"/>
      <c r="AP117" s="50"/>
      <c r="AQ117" s="50"/>
      <c r="AR117" s="50">
        <f>SUM(AN117:AQ117)</f>
        <v>0</v>
      </c>
      <c r="AS117" s="50"/>
      <c r="AT117" s="50"/>
      <c r="AU117" s="50"/>
      <c r="AV117" s="50"/>
      <c r="AW117" s="50"/>
      <c r="AX117" s="50"/>
      <c r="AY117" s="50"/>
      <c r="AZ117" s="50"/>
      <c r="BA117" s="50">
        <f>+AR117+AS117+AU117+AW117+AY117+AZ117</f>
        <v>0</v>
      </c>
      <c r="BB117" s="124">
        <v>5</v>
      </c>
      <c r="BC117" s="116"/>
      <c r="BD117" s="116"/>
      <c r="BE117" s="124"/>
      <c r="BF117" s="116"/>
    </row>
    <row r="118" spans="1:58" ht="12.95" customHeight="1" x14ac:dyDescent="0.2">
      <c r="A118" s="117"/>
      <c r="B118" s="118" t="s">
        <v>115</v>
      </c>
      <c r="C118" s="119">
        <f>(M118*E118*O118*Q118)/100000000</f>
        <v>3.8044086080000001</v>
      </c>
      <c r="D118" s="118" t="s">
        <v>177</v>
      </c>
      <c r="E118" s="37">
        <v>14</v>
      </c>
      <c r="F118" s="37">
        <v>1</v>
      </c>
      <c r="G118" s="120">
        <v>1230</v>
      </c>
      <c r="H118" s="121">
        <f>+N118</f>
        <v>0.24</v>
      </c>
      <c r="I118" s="45">
        <v>0.88</v>
      </c>
      <c r="J118" s="46">
        <f>E118*G118*(1-H118)*1440/1000000*2.74</f>
        <v>51.636856320000007</v>
      </c>
      <c r="K118" s="46">
        <f>(IF(G118&lt;L118,L118,G118)*(1-IF(H118&lt;N118,H118,N118))*E118*O118*Q118)/100000000</f>
        <v>4.4211179039999999</v>
      </c>
      <c r="L118" s="122">
        <v>1058.4251968503936</v>
      </c>
      <c r="M118" s="122">
        <v>804.40314960629917</v>
      </c>
      <c r="N118" s="47">
        <f>1-(M118/L118)</f>
        <v>0.24</v>
      </c>
      <c r="O118" s="48">
        <f>+'[3]Trim Rwd'!H45</f>
        <v>266</v>
      </c>
      <c r="P118" s="49">
        <f>O118*(Q118-R118-S118)</f>
        <v>31122</v>
      </c>
      <c r="Q118" s="48">
        <v>127</v>
      </c>
      <c r="R118" s="123">
        <v>0</v>
      </c>
      <c r="S118" s="123">
        <v>10</v>
      </c>
      <c r="T118" s="50">
        <f>E118*M118*O118*Q118/100000000</f>
        <v>3.8044086080000001</v>
      </c>
      <c r="U118" s="50">
        <f>E118*M118*O118*(Q118-R118-S118)/100000000</f>
        <v>3.5048488750866147</v>
      </c>
      <c r="V118" s="50">
        <f>E118*G118*(1-N118)*O118/100*(R118+S118)/1000000</f>
        <v>0.34811952000000002</v>
      </c>
      <c r="W118" s="50">
        <f>+'[3]20'!K9/1000</f>
        <v>3.2240000000000002</v>
      </c>
      <c r="X118" s="55"/>
      <c r="Y118" s="52"/>
      <c r="Z118" s="50"/>
      <c r="AA118" s="50"/>
      <c r="AB118" s="50"/>
      <c r="AC118" s="50">
        <f>K118-T118</f>
        <v>0.6167092959999998</v>
      </c>
      <c r="AD118" s="50">
        <f>+AM118+BA118</f>
        <v>0</v>
      </c>
      <c r="AE118" s="101" t="s">
        <v>111</v>
      </c>
      <c r="AF118" s="50"/>
      <c r="AG118" s="50">
        <v>0</v>
      </c>
      <c r="AH118" s="50"/>
      <c r="AI118" s="54"/>
      <c r="AJ118" s="50"/>
      <c r="AK118" s="50"/>
      <c r="AL118" s="50"/>
      <c r="AM118" s="50">
        <f t="shared" si="46"/>
        <v>0</v>
      </c>
      <c r="AN118" s="125"/>
      <c r="AO118" s="50"/>
      <c r="AP118" s="50"/>
      <c r="AQ118" s="50"/>
      <c r="AR118" s="50">
        <f t="shared" ref="AR118:AR120" si="47">SUM(AN118:AQ118)</f>
        <v>0</v>
      </c>
      <c r="AS118" s="50"/>
      <c r="AT118" s="50"/>
      <c r="AU118" s="50"/>
      <c r="AV118" s="50"/>
      <c r="AW118" s="50"/>
      <c r="AX118" s="50"/>
      <c r="AY118" s="50"/>
      <c r="AZ118" s="50"/>
      <c r="BA118" s="50">
        <f>+AR118+AS118+AU118+AW118+AY118+AZ118</f>
        <v>0</v>
      </c>
      <c r="BB118" s="126"/>
      <c r="BC118" s="116">
        <v>0</v>
      </c>
      <c r="BD118" s="116"/>
      <c r="BE118" s="126"/>
      <c r="BF118" s="116"/>
    </row>
    <row r="119" spans="1:58" ht="12.95" customHeight="1" x14ac:dyDescent="0.2">
      <c r="A119" s="117"/>
      <c r="B119" s="118"/>
      <c r="C119" s="119"/>
      <c r="D119" s="118"/>
      <c r="E119" s="37"/>
      <c r="F119" s="37"/>
      <c r="G119" s="120"/>
      <c r="H119" s="121"/>
      <c r="I119" s="45"/>
      <c r="J119" s="46"/>
      <c r="K119" s="46"/>
      <c r="L119" s="122"/>
      <c r="M119" s="122"/>
      <c r="N119" s="47"/>
      <c r="O119" s="48"/>
      <c r="P119" s="49"/>
      <c r="Q119" s="48"/>
      <c r="R119" s="123"/>
      <c r="S119" s="123"/>
      <c r="T119" s="50"/>
      <c r="U119" s="50"/>
      <c r="V119" s="50"/>
      <c r="W119" s="50"/>
      <c r="X119" s="55"/>
      <c r="Y119" s="52"/>
      <c r="Z119" s="50"/>
      <c r="AA119" s="50"/>
      <c r="AB119" s="50"/>
      <c r="AC119" s="50"/>
      <c r="AD119" s="50">
        <f>+AM119+BA119</f>
        <v>17</v>
      </c>
      <c r="AE119" s="101" t="s">
        <v>250</v>
      </c>
      <c r="AF119" s="124"/>
      <c r="AG119" s="124"/>
      <c r="AH119" s="124">
        <v>17</v>
      </c>
      <c r="AJ119" s="50"/>
      <c r="AK119" s="50"/>
      <c r="AL119" s="50"/>
      <c r="AM119" s="50">
        <f t="shared" si="46"/>
        <v>17</v>
      </c>
      <c r="AN119" s="50"/>
      <c r="AO119" s="50"/>
      <c r="AP119" s="50"/>
      <c r="AQ119" s="50"/>
      <c r="AR119" s="50">
        <f t="shared" si="47"/>
        <v>0</v>
      </c>
      <c r="AS119" s="50"/>
      <c r="AT119" s="50"/>
      <c r="AU119" s="50"/>
      <c r="AV119" s="50"/>
      <c r="AW119" s="50"/>
      <c r="AX119" s="50"/>
      <c r="AY119" s="50"/>
      <c r="AZ119" s="50"/>
      <c r="BA119" s="50">
        <f>+AR119+AS119+AU119+AW119+AY119+AZ119</f>
        <v>0</v>
      </c>
      <c r="BB119" s="124"/>
      <c r="BC119" s="146"/>
      <c r="BD119" s="146"/>
      <c r="BE119" s="124"/>
      <c r="BF119" s="146"/>
    </row>
    <row r="120" spans="1:58" ht="12.95" customHeight="1" x14ac:dyDescent="0.2">
      <c r="A120" s="117"/>
      <c r="B120" s="118"/>
      <c r="C120" s="119"/>
      <c r="D120" s="118"/>
      <c r="E120" s="37"/>
      <c r="F120" s="37"/>
      <c r="G120" s="127"/>
      <c r="H120" s="121"/>
      <c r="I120" s="45"/>
      <c r="J120" s="46"/>
      <c r="K120" s="46"/>
      <c r="L120" s="122"/>
      <c r="M120" s="122"/>
      <c r="N120" s="47"/>
      <c r="O120" s="48"/>
      <c r="P120" s="49"/>
      <c r="Q120" s="56"/>
      <c r="R120" s="123"/>
      <c r="S120" s="123"/>
      <c r="T120" s="50"/>
      <c r="U120" s="50"/>
      <c r="V120" s="50"/>
      <c r="W120" s="50"/>
      <c r="X120" s="55"/>
      <c r="Y120" s="52"/>
      <c r="Z120" s="50"/>
      <c r="AA120" s="50"/>
      <c r="AB120" s="50"/>
      <c r="AC120" s="50"/>
      <c r="AD120" s="50">
        <f>+AM120+BA120</f>
        <v>0</v>
      </c>
      <c r="AE120" s="148" t="s">
        <v>251</v>
      </c>
      <c r="AF120" s="50"/>
      <c r="AG120" s="50"/>
      <c r="AH120" s="50"/>
      <c r="AI120" s="54">
        <v>0</v>
      </c>
      <c r="AJ120" s="50"/>
      <c r="AK120" s="50"/>
      <c r="AL120" s="50"/>
      <c r="AM120" s="50">
        <f t="shared" si="46"/>
        <v>0</v>
      </c>
      <c r="AN120" s="50"/>
      <c r="AO120" s="50"/>
      <c r="AP120" s="50"/>
      <c r="AQ120" s="50"/>
      <c r="AR120" s="50">
        <f t="shared" si="47"/>
        <v>0</v>
      </c>
      <c r="AS120" s="50"/>
      <c r="AT120" s="50"/>
      <c r="AU120" s="50"/>
      <c r="AV120" s="50"/>
      <c r="AW120" s="50"/>
      <c r="AX120" s="50"/>
      <c r="AY120" s="50"/>
      <c r="AZ120" s="50">
        <f>723-723</f>
        <v>0</v>
      </c>
      <c r="BA120" s="50">
        <f>+AR120+AS120+AU120+AW120+AY120+AZ120</f>
        <v>0</v>
      </c>
      <c r="BB120" s="126"/>
      <c r="BC120" s="116"/>
      <c r="BD120" s="116"/>
      <c r="BE120" s="126"/>
      <c r="BF120" s="116"/>
    </row>
    <row r="121" spans="1:58" ht="12.95" customHeight="1" x14ac:dyDescent="0.2">
      <c r="A121" s="117"/>
      <c r="B121" s="118"/>
      <c r="C121" s="119"/>
      <c r="D121" s="118"/>
      <c r="E121" s="37"/>
      <c r="F121" s="37"/>
      <c r="G121" s="127"/>
      <c r="H121" s="121"/>
      <c r="I121" s="45"/>
      <c r="J121" s="46"/>
      <c r="K121" s="46"/>
      <c r="L121" s="122"/>
      <c r="M121" s="122"/>
      <c r="N121" s="47"/>
      <c r="O121" s="48"/>
      <c r="P121" s="49"/>
      <c r="Q121" s="56"/>
      <c r="R121" s="123"/>
      <c r="S121" s="123"/>
      <c r="T121" s="50"/>
      <c r="U121" s="50"/>
      <c r="V121" s="50"/>
      <c r="W121" s="50"/>
      <c r="X121" s="55"/>
      <c r="Y121" s="52"/>
      <c r="Z121" s="50"/>
      <c r="AA121" s="50"/>
      <c r="AB121" s="50"/>
      <c r="AC121" s="50"/>
      <c r="AD121" s="50"/>
      <c r="AE121" s="148"/>
      <c r="AF121" s="50"/>
      <c r="AG121" s="50"/>
      <c r="AH121" s="50"/>
      <c r="AI121" s="54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126"/>
      <c r="BC121" s="116"/>
      <c r="BD121" s="116"/>
      <c r="BE121" s="116"/>
      <c r="BF121" s="116"/>
    </row>
    <row r="122" spans="1:58" ht="12" customHeight="1" x14ac:dyDescent="0.2">
      <c r="A122" s="117">
        <v>45982</v>
      </c>
      <c r="B122" s="118" t="s">
        <v>115</v>
      </c>
      <c r="C122" s="119">
        <f>(M122*E122*O122*Q122)/100000000</f>
        <v>3.5846210399999996</v>
      </c>
      <c r="D122" s="118" t="s">
        <v>177</v>
      </c>
      <c r="E122" s="37">
        <v>13</v>
      </c>
      <c r="F122" s="37">
        <v>1</v>
      </c>
      <c r="G122" s="120">
        <v>1230</v>
      </c>
      <c r="H122" s="121">
        <f>+N122</f>
        <v>0.23000000000000009</v>
      </c>
      <c r="I122" s="45">
        <v>0.88</v>
      </c>
      <c r="J122" s="46">
        <f>E122*G122*(1-H122)*1440/1000000*2.74</f>
        <v>48.579410880000005</v>
      </c>
      <c r="K122" s="46">
        <f>(IF(G122&lt;L122,L122,G122)*(1-IF(H122&lt;N122,H122,N122))*E122*O122*Q122)/100000000</f>
        <v>3.875419548</v>
      </c>
      <c r="L122" s="122">
        <v>1137.704918032787</v>
      </c>
      <c r="M122" s="122">
        <v>876.03278688524586</v>
      </c>
      <c r="N122" s="47">
        <f>1-(M122/L122)</f>
        <v>0.23000000000000009</v>
      </c>
      <c r="O122" s="48">
        <f>+'[3]Trim Rwd'!H47</f>
        <v>258</v>
      </c>
      <c r="P122" s="49">
        <f>O122*(Q122-R122-S122)</f>
        <v>19608</v>
      </c>
      <c r="Q122" s="48">
        <v>122</v>
      </c>
      <c r="R122" s="123">
        <v>0</v>
      </c>
      <c r="S122" s="123">
        <f>12+34</f>
        <v>46</v>
      </c>
      <c r="T122" s="50">
        <f>E122*M122*O122*Q122/100000000</f>
        <v>3.5846210399999996</v>
      </c>
      <c r="U122" s="50">
        <f>E122*M122*O122*(Q122-R122-S122)/100000000</f>
        <v>2.2330426150819669</v>
      </c>
      <c r="V122" s="50">
        <f>E122*G122*(1-N122)*O122/100*(R122+S122)/1000000</f>
        <v>1.4612237639999999</v>
      </c>
      <c r="W122" s="50">
        <f>+'[3]21'!K8/1000</f>
        <v>8.5169999999999995</v>
      </c>
      <c r="X122" s="51">
        <f>SUM(W122:W126)/SUM(K122:K126)</f>
        <v>0.92279177112584931</v>
      </c>
      <c r="Y122" s="52">
        <v>0</v>
      </c>
      <c r="Z122" s="50">
        <f>+'[3]21'!D7/1000</f>
        <v>0.19700000000000001</v>
      </c>
      <c r="AA122" s="53">
        <f>SUM(U122:U126)-SUM(W122:W126)-SUM(Z122:Z126)-SUM(Y122:Y126)</f>
        <v>-3.2657257540983573</v>
      </c>
      <c r="AB122" s="53">
        <f>(SUM(K122:K126)-SUM(W122:W126)-SUM(Y122:Y126)-SUM(Z122:Z126)-SUM(AC122:AC126)-SUM(V122:V126))-AA122</f>
        <v>-0.23350271531147326</v>
      </c>
      <c r="AC122" s="50">
        <f>K122-T122</f>
        <v>0.2907985080000004</v>
      </c>
      <c r="AD122" s="50">
        <f>+AM122+BA122</f>
        <v>21</v>
      </c>
      <c r="AE122" s="101" t="s">
        <v>189</v>
      </c>
      <c r="AF122" s="50">
        <v>21</v>
      </c>
      <c r="AG122" s="50"/>
      <c r="AH122" s="50"/>
      <c r="AI122" s="54"/>
      <c r="AJ122" s="50"/>
      <c r="AK122" s="50"/>
      <c r="AL122" s="50"/>
      <c r="AM122" s="50">
        <f t="shared" ref="AM122:AM130" si="48">SUM(AF122:AL122)+AT122+AV122+AX122</f>
        <v>21</v>
      </c>
      <c r="AN122" s="50"/>
      <c r="AO122" s="50"/>
      <c r="AP122" s="50"/>
      <c r="AQ122" s="50"/>
      <c r="AR122" s="50">
        <f>SUM(AN122:AQ122)</f>
        <v>0</v>
      </c>
      <c r="AS122" s="50"/>
      <c r="AT122" s="50"/>
      <c r="AU122" s="50"/>
      <c r="AV122" s="50"/>
      <c r="AW122" s="50"/>
      <c r="AX122" s="50"/>
      <c r="AY122" s="50"/>
      <c r="AZ122" s="50"/>
      <c r="BA122" s="50">
        <f t="shared" ref="BA122:BA130" si="49">+AR122+AS122+AU122+AW122+AY122+AZ122</f>
        <v>0</v>
      </c>
      <c r="BB122" s="124">
        <v>9</v>
      </c>
      <c r="BC122" s="116"/>
      <c r="BD122" s="116"/>
      <c r="BE122" s="124"/>
      <c r="BF122" s="116"/>
    </row>
    <row r="123" spans="1:58" ht="12.95" customHeight="1" x14ac:dyDescent="0.2">
      <c r="A123" s="117"/>
      <c r="B123" s="118" t="s">
        <v>115</v>
      </c>
      <c r="C123" s="119">
        <f>(M123*E123*O123*Q123)/100000000</f>
        <v>12.281449179999999</v>
      </c>
      <c r="D123" s="118" t="s">
        <v>177</v>
      </c>
      <c r="E123" s="37">
        <v>14</v>
      </c>
      <c r="F123" s="37">
        <v>1</v>
      </c>
      <c r="G123" s="120">
        <v>1230</v>
      </c>
      <c r="H123" s="121">
        <f>+N123</f>
        <v>0.22999999999999998</v>
      </c>
      <c r="I123" s="45">
        <v>0.88</v>
      </c>
      <c r="J123" s="46">
        <f>E123*G123*(1-H123)*1440/1000000*2.74</f>
        <v>52.316288640000003</v>
      </c>
      <c r="K123" s="46">
        <f>(IF(G123&lt;L123,L123,G123)*(1-IF(H123&lt;N123,H123,N123))*E123*O123*Q123)/100000000</f>
        <v>13.732893173999999</v>
      </c>
      <c r="L123" s="122">
        <v>1100</v>
      </c>
      <c r="M123" s="122">
        <v>847</v>
      </c>
      <c r="N123" s="47">
        <f>1-(M123/L123)</f>
        <v>0.22999999999999998</v>
      </c>
      <c r="O123" s="48">
        <f>+'[3]Trim Rwd'!H48</f>
        <v>257</v>
      </c>
      <c r="P123" s="49">
        <f>O123*(Q123-R123-S123)</f>
        <v>97146</v>
      </c>
      <c r="Q123" s="48">
        <v>403</v>
      </c>
      <c r="R123" s="123">
        <v>0</v>
      </c>
      <c r="S123" s="123">
        <v>25</v>
      </c>
      <c r="T123" s="50">
        <f>E123*M123*O123*Q123/100000000</f>
        <v>12.281449179999999</v>
      </c>
      <c r="U123" s="50">
        <f>E123*M123*O123*(Q123-R123-S123)/100000000</f>
        <v>11.51957268</v>
      </c>
      <c r="V123" s="50">
        <f>E123*G123*(1-N123)*O123/100*(R123+S123)/1000000</f>
        <v>0.85191644999999994</v>
      </c>
      <c r="W123" s="50">
        <f>+'[3]21'!K9/1000</f>
        <v>22.401</v>
      </c>
      <c r="X123" s="55"/>
      <c r="Y123" s="52"/>
      <c r="Z123" s="50">
        <f>+'[3]21'!D25/1000</f>
        <v>0.56000000000000005</v>
      </c>
      <c r="AA123" s="50"/>
      <c r="AB123" s="50"/>
      <c r="AC123" s="50">
        <f>K123-T123</f>
        <v>1.4514439939999999</v>
      </c>
      <c r="AD123" s="50">
        <f>+AM123+BA123</f>
        <v>12</v>
      </c>
      <c r="AE123" s="101" t="s">
        <v>131</v>
      </c>
      <c r="AF123" s="50"/>
      <c r="AG123" s="50">
        <v>12</v>
      </c>
      <c r="AH123" s="50"/>
      <c r="AI123" s="54"/>
      <c r="AJ123" s="50"/>
      <c r="AK123" s="50"/>
      <c r="AL123" s="50"/>
      <c r="AM123" s="50">
        <f t="shared" si="48"/>
        <v>12</v>
      </c>
      <c r="AN123" s="125"/>
      <c r="AO123" s="50"/>
      <c r="AP123" s="50"/>
      <c r="AQ123" s="50"/>
      <c r="AR123" s="50">
        <f t="shared" ref="AR123:AR126" si="50">SUM(AN123:AQ123)</f>
        <v>0</v>
      </c>
      <c r="AS123" s="50"/>
      <c r="AT123" s="50"/>
      <c r="AU123" s="50"/>
      <c r="AV123" s="50"/>
      <c r="AW123" s="50"/>
      <c r="AX123" s="50"/>
      <c r="AY123" s="50"/>
      <c r="AZ123" s="50"/>
      <c r="BA123" s="50">
        <f t="shared" si="49"/>
        <v>0</v>
      </c>
      <c r="BB123" s="126"/>
      <c r="BC123" s="116">
        <v>4</v>
      </c>
      <c r="BD123" s="116"/>
      <c r="BE123" s="126"/>
      <c r="BF123" s="116"/>
    </row>
    <row r="124" spans="1:58" ht="12.95" customHeight="1" x14ac:dyDescent="0.2">
      <c r="A124" s="117"/>
      <c r="B124" s="118" t="s">
        <v>115</v>
      </c>
      <c r="C124" s="119">
        <f>(M124*E124*O124*Q124)/100000000</f>
        <v>24.754356000000001</v>
      </c>
      <c r="D124" s="118" t="s">
        <v>177</v>
      </c>
      <c r="E124" s="37">
        <v>11</v>
      </c>
      <c r="F124" s="37">
        <v>1</v>
      </c>
      <c r="G124" s="120">
        <v>1230</v>
      </c>
      <c r="H124" s="121">
        <f>+N124</f>
        <v>0.23524590163934433</v>
      </c>
      <c r="I124" s="45">
        <v>0.88</v>
      </c>
      <c r="J124" s="46">
        <f>E124*G124*(1-H124)*1440/1000000*2.74</f>
        <v>40.825608314754099</v>
      </c>
      <c r="K124" s="46">
        <f>(IF(G124&lt;L124,L124,G124)*(1-IF(H124&lt;N124,H124,N124))*E124*O124*Q124)/100000000</f>
        <v>25.373214900000001</v>
      </c>
      <c r="L124" s="122">
        <v>1200</v>
      </c>
      <c r="M124" s="122">
        <v>917.70491803278685</v>
      </c>
      <c r="N124" s="47">
        <f>1-(M124/L124)</f>
        <v>0.23524590163934433</v>
      </c>
      <c r="O124" s="48">
        <f>+'[3]Trim Rwd'!H49</f>
        <v>268</v>
      </c>
      <c r="P124" s="49">
        <f>O124*(Q124-R124-S124)</f>
        <v>231820</v>
      </c>
      <c r="Q124" s="48">
        <v>915</v>
      </c>
      <c r="R124" s="123">
        <v>0</v>
      </c>
      <c r="S124" s="123">
        <v>50</v>
      </c>
      <c r="T124" s="50">
        <f>E124*M124*O124*Q124/100000000</f>
        <v>24.754356000000001</v>
      </c>
      <c r="U124" s="50">
        <f>E124*M124*O124*(Q124-R124-S124)/100000000</f>
        <v>23.401658950819673</v>
      </c>
      <c r="V124" s="50">
        <f>E124*G124*(1-N124)*O124/100*(R124+S124)/1000000</f>
        <v>1.386514475409836</v>
      </c>
      <c r="W124" s="50">
        <f>+'[3]21'!K10/1000</f>
        <v>8.7449999999999992</v>
      </c>
      <c r="X124" s="55"/>
      <c r="Y124" s="52"/>
      <c r="Z124" s="50"/>
      <c r="AA124" s="50"/>
      <c r="AB124" s="50"/>
      <c r="AC124" s="50">
        <f>K124-T124</f>
        <v>0.61885889999999932</v>
      </c>
      <c r="AD124" s="50">
        <f>+AM124+BA124</f>
        <v>33</v>
      </c>
      <c r="AE124" s="101" t="s">
        <v>169</v>
      </c>
      <c r="AF124" s="124"/>
      <c r="AG124" s="124"/>
      <c r="AH124" s="124">
        <v>33</v>
      </c>
      <c r="AJ124" s="50"/>
      <c r="AK124" s="50"/>
      <c r="AL124" s="50"/>
      <c r="AM124" s="50">
        <f t="shared" si="48"/>
        <v>33</v>
      </c>
      <c r="AN124" s="50"/>
      <c r="AO124" s="50"/>
      <c r="AP124" s="50"/>
      <c r="AQ124" s="50"/>
      <c r="AR124" s="50">
        <f t="shared" si="50"/>
        <v>0</v>
      </c>
      <c r="AS124" s="50"/>
      <c r="AT124" s="50"/>
      <c r="AU124" s="50"/>
      <c r="AV124" s="50"/>
      <c r="AW124" s="50"/>
      <c r="AX124" s="50"/>
      <c r="AY124" s="50"/>
      <c r="AZ124" s="50"/>
      <c r="BA124" s="50">
        <f t="shared" si="49"/>
        <v>0</v>
      </c>
      <c r="BB124" s="124"/>
      <c r="BC124" s="146"/>
      <c r="BD124" s="146"/>
      <c r="BE124" s="124"/>
      <c r="BF124" s="146"/>
    </row>
    <row r="125" spans="1:58" ht="12.95" customHeight="1" x14ac:dyDescent="0.2">
      <c r="A125" s="117"/>
      <c r="B125" s="118"/>
      <c r="C125" s="119"/>
      <c r="D125" s="118"/>
      <c r="E125" s="37"/>
      <c r="F125" s="37"/>
      <c r="G125" s="127"/>
      <c r="H125" s="121"/>
      <c r="I125" s="45"/>
      <c r="J125" s="46"/>
      <c r="K125" s="46"/>
      <c r="L125" s="122"/>
      <c r="M125" s="122"/>
      <c r="N125" s="47"/>
      <c r="O125" s="48"/>
      <c r="P125" s="49"/>
      <c r="Q125" s="56"/>
      <c r="R125" s="123"/>
      <c r="S125" s="123"/>
      <c r="T125" s="50"/>
      <c r="U125" s="50"/>
      <c r="V125" s="50"/>
      <c r="W125" s="50"/>
      <c r="X125" s="55"/>
      <c r="Y125" s="52"/>
      <c r="Z125" s="50"/>
      <c r="AA125" s="50"/>
      <c r="AB125" s="50"/>
      <c r="AC125" s="50"/>
      <c r="AD125" s="50">
        <f>+AM125+BA125</f>
        <v>55</v>
      </c>
      <c r="AE125" s="148" t="s">
        <v>252</v>
      </c>
      <c r="AF125" s="50"/>
      <c r="AG125" s="50"/>
      <c r="AH125" s="50"/>
      <c r="AI125" s="54">
        <v>0</v>
      </c>
      <c r="AJ125" s="50"/>
      <c r="AK125" s="50">
        <v>55</v>
      </c>
      <c r="AL125" s="50"/>
      <c r="AM125" s="50">
        <f t="shared" si="48"/>
        <v>55</v>
      </c>
      <c r="AN125" s="50"/>
      <c r="AO125" s="50"/>
      <c r="AP125" s="50"/>
      <c r="AQ125" s="50"/>
      <c r="AR125" s="50">
        <f t="shared" si="50"/>
        <v>0</v>
      </c>
      <c r="AS125" s="50"/>
      <c r="AT125" s="50"/>
      <c r="AU125" s="50"/>
      <c r="AV125" s="50"/>
      <c r="AW125" s="50"/>
      <c r="AX125" s="50"/>
      <c r="AY125" s="50"/>
      <c r="AZ125" s="50"/>
      <c r="BA125" s="50">
        <f t="shared" si="49"/>
        <v>0</v>
      </c>
      <c r="BB125" s="126"/>
      <c r="BC125" s="116"/>
      <c r="BD125" s="116"/>
      <c r="BE125" s="126"/>
      <c r="BF125" s="116"/>
    </row>
    <row r="126" spans="1:58" ht="12.95" customHeight="1" x14ac:dyDescent="0.2">
      <c r="A126" s="117"/>
      <c r="B126" s="118"/>
      <c r="C126" s="119"/>
      <c r="D126" s="118"/>
      <c r="E126" s="37"/>
      <c r="F126" s="37"/>
      <c r="G126" s="127"/>
      <c r="H126" s="121"/>
      <c r="I126" s="45"/>
      <c r="J126" s="46"/>
      <c r="K126" s="46"/>
      <c r="L126" s="122"/>
      <c r="M126" s="122"/>
      <c r="N126" s="47"/>
      <c r="O126" s="48"/>
      <c r="P126" s="49"/>
      <c r="Q126" s="56"/>
      <c r="R126" s="123"/>
      <c r="S126" s="123"/>
      <c r="T126" s="50"/>
      <c r="U126" s="50"/>
      <c r="V126" s="50"/>
      <c r="W126" s="50"/>
      <c r="X126" s="55"/>
      <c r="Y126" s="52"/>
      <c r="Z126" s="50"/>
      <c r="AA126" s="50"/>
      <c r="AB126" s="50"/>
      <c r="AC126" s="50"/>
      <c r="AD126" s="50"/>
      <c r="AE126" s="148"/>
      <c r="AF126" s="50"/>
      <c r="AG126" s="50"/>
      <c r="AH126" s="50"/>
      <c r="AI126" s="54"/>
      <c r="AJ126" s="50"/>
      <c r="AK126" s="50"/>
      <c r="AL126" s="50"/>
      <c r="AM126" s="50">
        <f t="shared" si="48"/>
        <v>0</v>
      </c>
      <c r="AN126" s="50"/>
      <c r="AO126" s="50"/>
      <c r="AP126" s="50"/>
      <c r="AQ126" s="50"/>
      <c r="AR126" s="50">
        <f t="shared" si="50"/>
        <v>0</v>
      </c>
      <c r="AS126" s="50"/>
      <c r="AT126" s="50"/>
      <c r="AU126" s="50"/>
      <c r="AV126" s="50"/>
      <c r="AW126" s="50"/>
      <c r="AX126" s="50"/>
      <c r="AY126" s="50"/>
      <c r="AZ126" s="50"/>
      <c r="BA126" s="50">
        <f t="shared" si="49"/>
        <v>0</v>
      </c>
      <c r="BB126" s="126"/>
      <c r="BC126" s="116"/>
      <c r="BD126" s="116"/>
      <c r="BE126" s="116"/>
      <c r="BF126" s="116"/>
    </row>
    <row r="127" spans="1:58" ht="12" customHeight="1" x14ac:dyDescent="0.2">
      <c r="A127" s="117">
        <v>45983</v>
      </c>
      <c r="B127" s="118" t="s">
        <v>115</v>
      </c>
      <c r="C127" s="119">
        <f>(M127*E127*O127*Q127)/100000000</f>
        <v>24.692436342365593</v>
      </c>
      <c r="D127" s="118" t="s">
        <v>177</v>
      </c>
      <c r="E127" s="37">
        <v>11</v>
      </c>
      <c r="F127" s="37">
        <v>1</v>
      </c>
      <c r="G127" s="120">
        <v>1230</v>
      </c>
      <c r="H127" s="121">
        <f>+N127</f>
        <v>0.23516129032258071</v>
      </c>
      <c r="I127" s="45">
        <v>0.88</v>
      </c>
      <c r="J127" s="46">
        <f>E127*G127*(1-H127)*1440/1000000*2.74</f>
        <v>40.830125202580646</v>
      </c>
      <c r="K127" s="46">
        <f>(IF(G127&lt;L127,L127,G127)*(1-IF(H127&lt;N127,H127,N127))*E127*O127*Q127)/100000000</f>
        <v>25.309747250924726</v>
      </c>
      <c r="L127" s="122">
        <v>1200</v>
      </c>
      <c r="M127" s="122">
        <v>917.80645161290317</v>
      </c>
      <c r="N127" s="47">
        <f>1-(M127/L127)</f>
        <v>0.23516129032258071</v>
      </c>
      <c r="O127" s="48">
        <f>+'[3]Trim Rwd'!H51</f>
        <v>263.55555555555554</v>
      </c>
      <c r="P127" s="49">
        <f>O127*(Q127-R127-S127)</f>
        <v>217696.88888888888</v>
      </c>
      <c r="Q127" s="48">
        <f>868+60</f>
        <v>928</v>
      </c>
      <c r="R127" s="123">
        <v>60</v>
      </c>
      <c r="S127" s="123">
        <v>42</v>
      </c>
      <c r="T127" s="50">
        <f>E127*M127*O127*Q127/100000000</f>
        <v>24.692436342365593</v>
      </c>
      <c r="U127" s="50">
        <f>E127*M127*O127*(Q127-R127-S127)/100000000</f>
        <v>21.978397003010755</v>
      </c>
      <c r="V127" s="50">
        <f>E127*G127*(1-N127)*O127/100*(R127+S127)/1000000</f>
        <v>2.7818903228387093</v>
      </c>
      <c r="W127" s="50">
        <f>+'[3]22'!K10/1000</f>
        <v>24.768000000000001</v>
      </c>
      <c r="X127" s="51">
        <f>SUM(W127:W131)/SUM(K127:K131)</f>
        <v>0.83116241400620816</v>
      </c>
      <c r="Y127" s="52">
        <v>0</v>
      </c>
      <c r="Z127" s="50">
        <f>+'[3]20'!D35/1000</f>
        <v>1.4031571034828364E-5</v>
      </c>
      <c r="AA127" s="53">
        <f>SUM(U127:U131)-SUM(W127:W131)-SUM(Z127:Z131)-SUM(Y127:Y131)</f>
        <v>2.0190742914397211</v>
      </c>
      <c r="AB127" s="53">
        <f>(SUM(K127:K131)-SUM(W127:W131)-SUM(Y127:Y131)-SUM(Z127:Z131)-SUM(AC127:AC131)-SUM(V127:V131))-AA127</f>
        <v>-0.10853162348387091</v>
      </c>
      <c r="AC127" s="50">
        <f>K127-T127</f>
        <v>0.61731090855913351</v>
      </c>
      <c r="AD127" s="50">
        <f>+AM127+BA127</f>
        <v>9</v>
      </c>
      <c r="AE127" s="101" t="s">
        <v>165</v>
      </c>
      <c r="AF127" s="50">
        <v>9</v>
      </c>
      <c r="AG127" s="50"/>
      <c r="AH127" s="50"/>
      <c r="AI127" s="54"/>
      <c r="AJ127" s="50"/>
      <c r="AK127" s="50"/>
      <c r="AL127" s="50"/>
      <c r="AM127" s="50">
        <f t="shared" si="48"/>
        <v>9</v>
      </c>
      <c r="AN127" s="50"/>
      <c r="AO127" s="50"/>
      <c r="AP127" s="50"/>
      <c r="AQ127" s="50"/>
      <c r="AR127" s="50">
        <f>SUM(AN127:AQ127)</f>
        <v>0</v>
      </c>
      <c r="AS127" s="50"/>
      <c r="AT127" s="50"/>
      <c r="AU127" s="50"/>
      <c r="AV127" s="50"/>
      <c r="AW127" s="50"/>
      <c r="AX127" s="50"/>
      <c r="AY127" s="50"/>
      <c r="AZ127" s="50"/>
      <c r="BA127" s="50">
        <f t="shared" si="49"/>
        <v>0</v>
      </c>
      <c r="BB127" s="124">
        <v>3</v>
      </c>
      <c r="BC127" s="116"/>
      <c r="BD127" s="116"/>
      <c r="BE127" s="124"/>
      <c r="BF127" s="116"/>
    </row>
    <row r="128" spans="1:58" ht="12.95" customHeight="1" x14ac:dyDescent="0.2">
      <c r="A128" s="117"/>
      <c r="B128" s="118" t="s">
        <v>115</v>
      </c>
      <c r="C128" s="119">
        <f>(M128*E128*O128*Q128)/100000000</f>
        <v>14.970475520000001</v>
      </c>
      <c r="D128" s="118" t="s">
        <v>177</v>
      </c>
      <c r="E128" s="37">
        <v>13</v>
      </c>
      <c r="F128" s="37">
        <v>1</v>
      </c>
      <c r="G128" s="120">
        <v>1230</v>
      </c>
      <c r="H128" s="121">
        <f>+N128</f>
        <v>0.22999999999999998</v>
      </c>
      <c r="I128" s="45">
        <v>0.88</v>
      </c>
      <c r="J128" s="46">
        <f>E128*G128*(1-H128)*1440/1000000*2.74</f>
        <v>48.579410880000005</v>
      </c>
      <c r="K128" s="46">
        <f>(IF(G128&lt;L128,L128,G128)*(1-IF(H128&lt;N128,H128,N128))*E128*O128*Q128)/100000000</f>
        <v>16.011899904</v>
      </c>
      <c r="L128" s="122">
        <v>1150</v>
      </c>
      <c r="M128" s="122">
        <v>885.5</v>
      </c>
      <c r="N128" s="47">
        <f>1-(M128/L128)</f>
        <v>0.22999999999999998</v>
      </c>
      <c r="O128" s="48">
        <f>+'[3]Trim Rwd'!H53</f>
        <v>254</v>
      </c>
      <c r="P128" s="49">
        <f>O128*(Q128-R128-S128)</f>
        <v>124968</v>
      </c>
      <c r="Q128" s="48">
        <v>512</v>
      </c>
      <c r="R128" s="123">
        <v>0</v>
      </c>
      <c r="S128" s="123">
        <v>20</v>
      </c>
      <c r="T128" s="50">
        <f>E128*M128*O128*Q128/100000000</f>
        <v>14.970475520000001</v>
      </c>
      <c r="U128" s="50">
        <f>E128*M128*O128*(Q128-R128-S128)/100000000</f>
        <v>14.385691319999999</v>
      </c>
      <c r="V128" s="50">
        <f>E128*G128*(1-N128)*O128/100*(R128+S128)/1000000</f>
        <v>0.62546484000000013</v>
      </c>
      <c r="W128" s="50">
        <f>+'[3]22'!K8/1000</f>
        <v>9.577</v>
      </c>
      <c r="X128" s="55"/>
      <c r="Y128" s="52"/>
      <c r="Z128" s="50"/>
      <c r="AA128" s="50"/>
      <c r="AB128" s="50"/>
      <c r="AC128" s="50">
        <f>K128-T128</f>
        <v>1.041424383999999</v>
      </c>
      <c r="AD128" s="50">
        <f>+AM128+BA128</f>
        <v>10</v>
      </c>
      <c r="AE128" s="101" t="s">
        <v>131</v>
      </c>
      <c r="AF128" s="50"/>
      <c r="AG128" s="50">
        <v>10</v>
      </c>
      <c r="AH128" s="50"/>
      <c r="AI128" s="54"/>
      <c r="AJ128" s="50"/>
      <c r="AK128" s="50"/>
      <c r="AL128" s="50"/>
      <c r="AM128" s="50">
        <f t="shared" si="48"/>
        <v>10</v>
      </c>
      <c r="AN128" s="125"/>
      <c r="AO128" s="50"/>
      <c r="AP128" s="50"/>
      <c r="AQ128" s="50"/>
      <c r="AR128" s="50">
        <f t="shared" ref="AR128:AR130" si="51">SUM(AN128:AQ128)</f>
        <v>0</v>
      </c>
      <c r="AS128" s="50"/>
      <c r="AT128" s="50"/>
      <c r="AU128" s="50"/>
      <c r="AV128" s="50"/>
      <c r="AW128" s="50"/>
      <c r="AX128" s="50"/>
      <c r="AY128" s="50"/>
      <c r="AZ128" s="50"/>
      <c r="BA128" s="50">
        <f t="shared" si="49"/>
        <v>0</v>
      </c>
      <c r="BB128" s="126"/>
      <c r="BC128" s="116">
        <v>4</v>
      </c>
      <c r="BD128" s="116"/>
      <c r="BE128" s="126"/>
      <c r="BF128" s="116"/>
    </row>
    <row r="129" spans="1:58" ht="12.95" customHeight="1" x14ac:dyDescent="0.2">
      <c r="A129" s="117"/>
      <c r="B129" s="118"/>
      <c r="C129" s="119"/>
      <c r="D129" s="118"/>
      <c r="E129" s="37"/>
      <c r="F129" s="37"/>
      <c r="G129" s="120"/>
      <c r="H129" s="121"/>
      <c r="I129" s="45"/>
      <c r="J129" s="46"/>
      <c r="K129" s="46"/>
      <c r="L129" s="122"/>
      <c r="M129" s="122"/>
      <c r="N129" s="47"/>
      <c r="O129" s="48"/>
      <c r="P129" s="49"/>
      <c r="Q129" s="48"/>
      <c r="R129" s="123"/>
      <c r="S129" s="123"/>
      <c r="T129" s="50"/>
      <c r="U129" s="50"/>
      <c r="V129" s="50"/>
      <c r="W129" s="50"/>
      <c r="X129" s="55"/>
      <c r="Y129" s="52"/>
      <c r="Z129" s="50"/>
      <c r="AA129" s="50"/>
      <c r="AB129" s="50"/>
      <c r="AC129" s="50"/>
      <c r="AD129" s="50">
        <f>+AM129+BA129</f>
        <v>43</v>
      </c>
      <c r="AE129" s="101" t="s">
        <v>123</v>
      </c>
      <c r="AF129" s="124"/>
      <c r="AG129" s="124"/>
      <c r="AH129" s="124">
        <v>43</v>
      </c>
      <c r="AJ129" s="50"/>
      <c r="AK129" s="50"/>
      <c r="AL129" s="50"/>
      <c r="AM129" s="50">
        <f t="shared" si="48"/>
        <v>43</v>
      </c>
      <c r="AN129" s="50"/>
      <c r="AO129" s="50"/>
      <c r="AP129" s="50"/>
      <c r="AQ129" s="50"/>
      <c r="AR129" s="50">
        <f t="shared" si="51"/>
        <v>0</v>
      </c>
      <c r="AS129" s="50"/>
      <c r="AT129" s="50"/>
      <c r="AU129" s="50"/>
      <c r="AV129" s="50"/>
      <c r="AW129" s="50"/>
      <c r="AX129" s="50"/>
      <c r="AY129" s="50"/>
      <c r="AZ129" s="50"/>
      <c r="BA129" s="50">
        <f t="shared" si="49"/>
        <v>0</v>
      </c>
      <c r="BB129" s="124"/>
      <c r="BC129" s="146"/>
      <c r="BD129" s="146"/>
      <c r="BE129" s="124"/>
      <c r="BF129" s="146"/>
    </row>
    <row r="130" spans="1:58" ht="12.95" customHeight="1" x14ac:dyDescent="0.2">
      <c r="A130" s="117"/>
      <c r="B130" s="118"/>
      <c r="C130" s="119"/>
      <c r="D130" s="118"/>
      <c r="E130" s="37"/>
      <c r="F130" s="37"/>
      <c r="G130" s="127"/>
      <c r="H130" s="121"/>
      <c r="I130" s="45"/>
      <c r="J130" s="46"/>
      <c r="K130" s="46"/>
      <c r="L130" s="122"/>
      <c r="M130" s="122"/>
      <c r="N130" s="47"/>
      <c r="O130" s="48"/>
      <c r="P130" s="49"/>
      <c r="Q130" s="56"/>
      <c r="R130" s="123"/>
      <c r="S130" s="123"/>
      <c r="T130" s="50"/>
      <c r="U130" s="50"/>
      <c r="V130" s="50"/>
      <c r="W130" s="50"/>
      <c r="X130" s="55"/>
      <c r="Y130" s="52"/>
      <c r="Z130" s="50"/>
      <c r="AA130" s="50"/>
      <c r="AB130" s="50"/>
      <c r="AC130" s="50"/>
      <c r="AD130" s="50">
        <f>+AM130+BA130</f>
        <v>60</v>
      </c>
      <c r="AE130" s="148" t="s">
        <v>253</v>
      </c>
      <c r="AF130" s="50"/>
      <c r="AG130" s="50"/>
      <c r="AH130" s="50"/>
      <c r="AI130" s="54">
        <v>0</v>
      </c>
      <c r="AJ130" s="50"/>
      <c r="AK130" s="50"/>
      <c r="AL130" s="50"/>
      <c r="AM130" s="50">
        <f t="shared" si="48"/>
        <v>0</v>
      </c>
      <c r="AN130" s="50">
        <v>60</v>
      </c>
      <c r="AO130" s="50"/>
      <c r="AP130" s="50"/>
      <c r="AQ130" s="50"/>
      <c r="AR130" s="50">
        <f t="shared" si="51"/>
        <v>60</v>
      </c>
      <c r="AS130" s="50"/>
      <c r="AT130" s="50"/>
      <c r="AU130" s="50"/>
      <c r="AV130" s="50"/>
      <c r="AW130" s="50"/>
      <c r="AX130" s="50"/>
      <c r="AY130" s="50"/>
      <c r="AZ130" s="50"/>
      <c r="BA130" s="50">
        <f t="shared" si="49"/>
        <v>60</v>
      </c>
      <c r="BB130" s="126"/>
      <c r="BC130" s="116"/>
      <c r="BD130" s="116"/>
      <c r="BE130" s="126"/>
      <c r="BF130" s="116"/>
    </row>
    <row r="131" spans="1:58" ht="12.95" customHeight="1" x14ac:dyDescent="0.2">
      <c r="A131" s="117"/>
      <c r="B131" s="118"/>
      <c r="C131" s="119"/>
      <c r="D131" s="118"/>
      <c r="E131" s="37"/>
      <c r="F131" s="37"/>
      <c r="G131" s="127"/>
      <c r="H131" s="121"/>
      <c r="I131" s="45"/>
      <c r="J131" s="46"/>
      <c r="K131" s="46"/>
      <c r="L131" s="122"/>
      <c r="M131" s="122"/>
      <c r="N131" s="47"/>
      <c r="O131" s="48"/>
      <c r="P131" s="49"/>
      <c r="Q131" s="56"/>
      <c r="R131" s="123"/>
      <c r="S131" s="123"/>
      <c r="T131" s="50"/>
      <c r="U131" s="50"/>
      <c r="V131" s="50"/>
      <c r="W131" s="50"/>
      <c r="X131" s="55"/>
      <c r="Y131" s="52"/>
      <c r="Z131" s="50"/>
      <c r="AA131" s="50"/>
      <c r="AB131" s="50"/>
      <c r="AC131" s="50"/>
      <c r="AD131" s="50"/>
      <c r="AE131" s="148"/>
      <c r="AF131" s="50"/>
      <c r="AG131" s="50"/>
      <c r="AH131" s="50"/>
      <c r="AI131" s="54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126"/>
      <c r="BC131" s="116"/>
      <c r="BD131" s="116"/>
      <c r="BE131" s="116"/>
      <c r="BF131" s="116"/>
    </row>
    <row r="132" spans="1:58" ht="12" customHeight="1" x14ac:dyDescent="0.2">
      <c r="A132" s="117">
        <v>45984</v>
      </c>
      <c r="B132" s="118" t="s">
        <v>115</v>
      </c>
      <c r="C132" s="119">
        <f>(M132*E132*O132*Q132)/100000000</f>
        <v>34.023761772</v>
      </c>
      <c r="D132" s="118" t="s">
        <v>177</v>
      </c>
      <c r="E132" s="37">
        <v>13</v>
      </c>
      <c r="F132" s="37">
        <v>1</v>
      </c>
      <c r="G132" s="120">
        <v>1230</v>
      </c>
      <c r="H132" s="121">
        <f>+N132</f>
        <v>0.22999999999999998</v>
      </c>
      <c r="I132" s="45">
        <v>0.88</v>
      </c>
      <c r="J132" s="46">
        <f>E132*G132*(1-H132)*1440/1000000*2.74</f>
        <v>48.579410880000005</v>
      </c>
      <c r="K132" s="46">
        <f>(IF(G132&lt;L132,L132,G132)*(1-IF(H132&lt;N132,H132,N132))*E132*O132*Q132)/100000000</f>
        <v>36.183140993999999</v>
      </c>
      <c r="L132" s="122">
        <v>1156.5946413137424</v>
      </c>
      <c r="M132" s="122">
        <v>890.57787381158164</v>
      </c>
      <c r="N132" s="47">
        <f>1-(M132/L132)</f>
        <v>0.22999999999999998</v>
      </c>
      <c r="O132" s="48">
        <f>+'[3]Trim Rwd'!H55</f>
        <v>254</v>
      </c>
      <c r="P132" s="49">
        <f>O132*(Q132-R132-S132)</f>
        <v>283210</v>
      </c>
      <c r="Q132" s="48">
        <v>1157</v>
      </c>
      <c r="R132" s="123">
        <v>0</v>
      </c>
      <c r="S132" s="123">
        <v>42</v>
      </c>
      <c r="T132" s="50">
        <f>E132*M132*O132*Q132/100000000</f>
        <v>34.023761772</v>
      </c>
      <c r="U132" s="50">
        <f>E132*M132*O132*(Q132-R132-S132)/100000000</f>
        <v>32.788672753483148</v>
      </c>
      <c r="V132" s="50">
        <f>E132*G132*(1-N132)*O132/100*(R132+S132)/1000000</f>
        <v>1.3134761640000001</v>
      </c>
      <c r="W132" s="50">
        <f>+'[3]23'!K8/1000</f>
        <v>33.417000000000002</v>
      </c>
      <c r="X132" s="51">
        <f>SUM(W132:W134)/SUM(K132:K136)</f>
        <v>0.39547760866506132</v>
      </c>
      <c r="Y132" s="52">
        <v>0</v>
      </c>
      <c r="Z132" s="50">
        <f>+'[3]23'!D7/1000</f>
        <v>0.9</v>
      </c>
      <c r="AA132" s="53">
        <f>SUM(U132:U134)-SUM(W132:W134)-SUM(Z132:Z134)-SUM(Y132:Y134)</f>
        <v>1.3921530293092361</v>
      </c>
      <c r="AB132" s="53">
        <f>(SUM(K132:K134)-SUM(W132:W134)-SUM(Y132:Y134)-SUM(Z132:Z134)-SUM(AC132:AC134)-SUM(V132:V134))-AA132</f>
        <v>-0.20747806730922869</v>
      </c>
      <c r="AC132" s="50">
        <f>K132-T132</f>
        <v>2.1593792219999983</v>
      </c>
      <c r="AD132" s="50">
        <f>+AM132+BA132</f>
        <v>18</v>
      </c>
      <c r="AE132" s="101" t="s">
        <v>161</v>
      </c>
      <c r="AF132" s="50">
        <v>18</v>
      </c>
      <c r="AG132" s="50"/>
      <c r="AH132" s="50"/>
      <c r="AI132" s="54"/>
      <c r="AJ132" s="50"/>
      <c r="AK132" s="50"/>
      <c r="AL132" s="50"/>
      <c r="AM132" s="50">
        <f t="shared" ref="AM132:AM134" si="52">SUM(AF132:AL132)+AT132+AV132+AX132</f>
        <v>18</v>
      </c>
      <c r="AN132" s="50"/>
      <c r="AO132" s="50"/>
      <c r="AP132" s="50"/>
      <c r="AQ132" s="50"/>
      <c r="AR132" s="50">
        <f>SUM(AN132:AQ132)</f>
        <v>0</v>
      </c>
      <c r="AS132" s="50"/>
      <c r="AT132" s="50"/>
      <c r="AU132" s="50"/>
      <c r="AV132" s="50"/>
      <c r="AW132" s="50"/>
      <c r="AX132" s="50"/>
      <c r="AY132" s="50"/>
      <c r="AZ132" s="50"/>
      <c r="BA132" s="50">
        <f>+AR132+AS132+AU132+AW132+AY132+AZ132</f>
        <v>0</v>
      </c>
      <c r="BB132" s="124">
        <v>6</v>
      </c>
      <c r="BC132" s="116"/>
      <c r="BD132" s="116"/>
      <c r="BE132" s="124"/>
      <c r="BF132" s="116"/>
    </row>
    <row r="133" spans="1:58" ht="12.95" customHeight="1" x14ac:dyDescent="0.2">
      <c r="A133" s="117"/>
      <c r="B133" s="118" t="s">
        <v>115</v>
      </c>
      <c r="C133" s="119">
        <f>(M133*E133*O133*Q133)/100000000</f>
        <v>3.2373849200000002</v>
      </c>
      <c r="D133" s="118" t="s">
        <v>177</v>
      </c>
      <c r="E133" s="37">
        <v>14</v>
      </c>
      <c r="F133" s="37">
        <v>1</v>
      </c>
      <c r="G133" s="120">
        <v>1230</v>
      </c>
      <c r="H133" s="121">
        <f>+N133</f>
        <v>0.23000000000000009</v>
      </c>
      <c r="I133" s="45">
        <v>0.88</v>
      </c>
      <c r="J133" s="46">
        <f>E133*G133*(1-H133)*1440/1000000*2.74</f>
        <v>52.316288639999996</v>
      </c>
      <c r="K133" s="46">
        <f>(IF(G133&lt;L133,L133,G133)*(1-IF(H133&lt;N133,H133,N133))*E133*O133*Q133)/100000000</f>
        <v>4.0560504599999998</v>
      </c>
      <c r="L133" s="122">
        <v>981.73913043478262</v>
      </c>
      <c r="M133" s="122">
        <v>755.93913043478256</v>
      </c>
      <c r="N133" s="47">
        <f>1-(M133/L133)</f>
        <v>0.23000000000000009</v>
      </c>
      <c r="O133" s="48">
        <f>+'[3]Trim Rwd'!H56</f>
        <v>266</v>
      </c>
      <c r="P133" s="49">
        <f>O133*(Q133-R133-S133)</f>
        <v>27930</v>
      </c>
      <c r="Q133" s="48">
        <v>115</v>
      </c>
      <c r="R133" s="123">
        <v>0</v>
      </c>
      <c r="S133" s="123">
        <f>63-S132-S134</f>
        <v>10</v>
      </c>
      <c r="T133" s="50">
        <f>E133*M133*O133*Q133/100000000</f>
        <v>3.2373849200000002</v>
      </c>
      <c r="U133" s="50">
        <f>E133*M133*O133*(Q133-R133-S133)/100000000</f>
        <v>2.9558731878260871</v>
      </c>
      <c r="V133" s="50">
        <f>E133*G133*(1-N133)*O133/100*(R133+S133)/1000000</f>
        <v>0.35270003999999994</v>
      </c>
      <c r="W133" s="50">
        <f>+'[3]23'!K9/1000</f>
        <v>2.6259999999999999</v>
      </c>
      <c r="X133" s="55"/>
      <c r="Y133" s="52"/>
      <c r="Z133" s="50">
        <f>+'[3]23'!D26/1000</f>
        <v>0.39200000000000002</v>
      </c>
      <c r="AA133" s="50"/>
      <c r="AB133" s="50"/>
      <c r="AC133" s="50">
        <f>K133-T133</f>
        <v>0.81866553999999958</v>
      </c>
      <c r="AD133" s="50">
        <f>+AM133+BA133</f>
        <v>9</v>
      </c>
      <c r="AE133" s="101" t="s">
        <v>131</v>
      </c>
      <c r="AF133" s="50"/>
      <c r="AG133" s="50">
        <v>9</v>
      </c>
      <c r="AH133" s="50"/>
      <c r="AI133" s="54"/>
      <c r="AJ133" s="50"/>
      <c r="AK133" s="50"/>
      <c r="AL133" s="50"/>
      <c r="AM133" s="50">
        <f t="shared" si="52"/>
        <v>9</v>
      </c>
      <c r="AN133" s="125"/>
      <c r="AO133" s="50"/>
      <c r="AP133" s="50"/>
      <c r="AQ133" s="50"/>
      <c r="AR133" s="50">
        <f t="shared" ref="AR133:AR134" si="53">SUM(AN133:AQ133)</f>
        <v>0</v>
      </c>
      <c r="AS133" s="50"/>
      <c r="AT133" s="50"/>
      <c r="AU133" s="50"/>
      <c r="AV133" s="50"/>
      <c r="AW133" s="50"/>
      <c r="AX133" s="50"/>
      <c r="AY133" s="50"/>
      <c r="AZ133" s="50"/>
      <c r="BA133" s="50">
        <f>+AR133+AS133+AU133+AW133+AY133+AZ133</f>
        <v>0</v>
      </c>
      <c r="BB133" s="126"/>
      <c r="BC133" s="116">
        <v>4</v>
      </c>
      <c r="BD133" s="116"/>
      <c r="BE133" s="126"/>
      <c r="BF133" s="116"/>
    </row>
    <row r="134" spans="1:58" ht="12.95" customHeight="1" x14ac:dyDescent="0.2">
      <c r="A134" s="117"/>
      <c r="B134" s="118" t="s">
        <v>168</v>
      </c>
      <c r="C134" s="119">
        <f>(M134*E134*O134*Q134)/100000000</f>
        <v>4.8405477120000002</v>
      </c>
      <c r="D134" s="118" t="s">
        <v>177</v>
      </c>
      <c r="E134" s="37">
        <v>14</v>
      </c>
      <c r="F134" s="37">
        <v>1</v>
      </c>
      <c r="G134" s="120">
        <v>1230</v>
      </c>
      <c r="H134" s="121">
        <f>+N134</f>
        <v>0.23000000000000009</v>
      </c>
      <c r="I134" s="45">
        <v>0.88</v>
      </c>
      <c r="J134" s="46">
        <f>E134*G134*(1-H134)*1440/1000000*2.74</f>
        <v>52.316288639999996</v>
      </c>
      <c r="K134" s="46">
        <f>(IF(G134&lt;L134,L134,G134)*(1-IF(H134&lt;N134,H134,N134))*E134*O134*Q134)/100000000</f>
        <v>5.7248785439999983</v>
      </c>
      <c r="L134" s="122">
        <v>1040</v>
      </c>
      <c r="M134" s="122">
        <v>800.8</v>
      </c>
      <c r="N134" s="47">
        <f>1-(M134/L134)</f>
        <v>0.23000000000000009</v>
      </c>
      <c r="O134" s="48">
        <f>+'[3]Trim Rwd'!H57</f>
        <v>257</v>
      </c>
      <c r="P134" s="49">
        <f>O134*(Q134-R134-S134)</f>
        <v>40349</v>
      </c>
      <c r="Q134" s="48">
        <v>168</v>
      </c>
      <c r="R134" s="123">
        <v>0</v>
      </c>
      <c r="S134" s="123">
        <v>11</v>
      </c>
      <c r="T134" s="50">
        <f>E134*M134*O134*Q134/100000000</f>
        <v>4.8405477120000002</v>
      </c>
      <c r="U134" s="50">
        <f>E134*M134*O134*(Q134-R134-S134)/100000000</f>
        <v>4.5236070880000003</v>
      </c>
      <c r="V134" s="50">
        <f>E134*G134*(1-N134)*O134/100*(R134+S134)/1000000</f>
        <v>0.37484323799999997</v>
      </c>
      <c r="W134" s="50">
        <f>+'[3]23'!K11/1000</f>
        <v>1.5409999999999999</v>
      </c>
      <c r="X134" s="55"/>
      <c r="Y134" s="52"/>
      <c r="Z134" s="50"/>
      <c r="AA134" s="50"/>
      <c r="AB134" s="50"/>
      <c r="AC134" s="50">
        <f>K134-T134</f>
        <v>0.88433083199999807</v>
      </c>
      <c r="AD134" s="50">
        <f>+AM134+BA134</f>
        <v>36</v>
      </c>
      <c r="AE134" s="101" t="s">
        <v>128</v>
      </c>
      <c r="AF134" s="124"/>
      <c r="AG134" s="124"/>
      <c r="AH134" s="124">
        <v>36</v>
      </c>
      <c r="AJ134" s="50"/>
      <c r="AK134" s="50"/>
      <c r="AL134" s="50"/>
      <c r="AM134" s="50">
        <f t="shared" si="52"/>
        <v>36</v>
      </c>
      <c r="AN134" s="50"/>
      <c r="AO134" s="50"/>
      <c r="AP134" s="50"/>
      <c r="AQ134" s="50"/>
      <c r="AR134" s="50">
        <f t="shared" si="53"/>
        <v>0</v>
      </c>
      <c r="AS134" s="50"/>
      <c r="AT134" s="50"/>
      <c r="AU134" s="50"/>
      <c r="AV134" s="50"/>
      <c r="AW134" s="50"/>
      <c r="AX134" s="50"/>
      <c r="AY134" s="50"/>
      <c r="AZ134" s="50"/>
      <c r="BA134" s="50">
        <f>+AR134+AS134+AU134+AW134+AY134+AZ134</f>
        <v>0</v>
      </c>
      <c r="BB134" s="124"/>
      <c r="BC134" s="146"/>
      <c r="BD134" s="146"/>
      <c r="BE134" s="124"/>
      <c r="BF134" s="146"/>
    </row>
    <row r="135" spans="1:58" ht="12.95" customHeight="1" x14ac:dyDescent="0.2">
      <c r="A135" s="117"/>
      <c r="B135" s="118"/>
      <c r="C135" s="119"/>
      <c r="D135" s="118"/>
      <c r="E135" s="37"/>
      <c r="F135" s="37"/>
      <c r="G135" s="127"/>
      <c r="H135" s="121"/>
      <c r="I135" s="45"/>
      <c r="J135" s="46"/>
      <c r="K135" s="46"/>
      <c r="L135" s="122"/>
      <c r="M135" s="122"/>
      <c r="N135" s="47"/>
      <c r="O135" s="48"/>
      <c r="P135" s="49"/>
      <c r="Q135" s="48"/>
      <c r="R135" s="123"/>
      <c r="S135" s="123"/>
      <c r="T135" s="50"/>
      <c r="U135" s="50"/>
      <c r="V135" s="50"/>
      <c r="W135" s="50"/>
      <c r="X135" s="55"/>
      <c r="Y135" s="52"/>
      <c r="Z135" s="50"/>
      <c r="AA135" s="50"/>
      <c r="AB135" s="50"/>
      <c r="AC135" s="50"/>
      <c r="AD135" s="50"/>
      <c r="AE135" s="101"/>
      <c r="AF135" s="124"/>
      <c r="AG135" s="124"/>
      <c r="AH135" s="124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124"/>
      <c r="BC135" s="146"/>
      <c r="BD135" s="116"/>
      <c r="BE135" s="116"/>
      <c r="BF135" s="116"/>
    </row>
    <row r="136" spans="1:58" ht="12" customHeight="1" x14ac:dyDescent="0.2">
      <c r="A136" s="117">
        <v>45985</v>
      </c>
      <c r="B136" s="118" t="s">
        <v>168</v>
      </c>
      <c r="C136" s="119">
        <f>(M136*E136*O136*Q136)/100000000</f>
        <v>42.391350284280442</v>
      </c>
      <c r="D136" s="118" t="s">
        <v>177</v>
      </c>
      <c r="E136" s="37">
        <v>14</v>
      </c>
      <c r="F136" s="37">
        <v>1</v>
      </c>
      <c r="G136" s="120">
        <v>1230</v>
      </c>
      <c r="H136" s="121">
        <f>+N136</f>
        <v>0.22999999999999998</v>
      </c>
      <c r="I136" s="45">
        <v>0.88</v>
      </c>
      <c r="J136" s="46">
        <f>E136*G136*(1-H136)*1440/1000000*2.74</f>
        <v>52.316288640000003</v>
      </c>
      <c r="K136" s="46">
        <f>(IF(G136&lt;L136,L136,G136)*(1-IF(H136&lt;N136,H136,N136))*E136*O136*Q136)/100000000</f>
        <v>49.070387519999997</v>
      </c>
      <c r="L136" s="122">
        <v>1062.5830258302583</v>
      </c>
      <c r="M136" s="122">
        <v>818.18892988929895</v>
      </c>
      <c r="N136" s="47">
        <f>1-(M136/L136)</f>
        <v>0.22999999999999998</v>
      </c>
      <c r="O136" s="48">
        <f>+'[3]Trim Rwd'!H59</f>
        <v>257</v>
      </c>
      <c r="P136" s="49">
        <f>O136*(Q136-R136-S136)</f>
        <v>333329</v>
      </c>
      <c r="Q136" s="48">
        <v>1440</v>
      </c>
      <c r="R136" s="123">
        <v>85</v>
      </c>
      <c r="S136" s="123">
        <v>58</v>
      </c>
      <c r="T136" s="50">
        <f>E136*M136*O136*Q136/100000000</f>
        <v>42.391350284280442</v>
      </c>
      <c r="U136" s="50">
        <f>E136*M136*O136*(Q136-R136-S136)/100000000</f>
        <v>38.181653693549812</v>
      </c>
      <c r="V136" s="50">
        <f>E136*G136*(1-N136)*O136/100*(R136+S136)/1000000</f>
        <v>4.8729620939999991</v>
      </c>
      <c r="W136" s="50">
        <f>+'[3]24'!K11/1000</f>
        <v>35.371000000000002</v>
      </c>
      <c r="X136" s="51">
        <f>SUM(W136:W140)/SUM(K136:K140)</f>
        <v>0.72082169690597142</v>
      </c>
      <c r="Y136" s="52">
        <v>0</v>
      </c>
      <c r="Z136" s="50">
        <f>+'[3]21'!D21/1000</f>
        <v>0</v>
      </c>
      <c r="AA136" s="53">
        <f>SUM(U136:U140)-SUM(W136:W140)-SUM(Z136:Z140)-SUM(Y136:Y140)</f>
        <v>2.8106536935498099</v>
      </c>
      <c r="AB136" s="53">
        <f>(SUM(K136:K140)-SUM(W136:W140)-SUM(Y136:Y140)-SUM(Z136:Z140)-SUM(AC136:AC140)-SUM(V136:V140))-AA136</f>
        <v>-0.66326550326936928</v>
      </c>
      <c r="AC136" s="50">
        <f>K136-T136</f>
        <v>6.6790372357195551</v>
      </c>
      <c r="AD136" s="50">
        <f>+AM136+BA136</f>
        <v>9</v>
      </c>
      <c r="AE136" s="101" t="s">
        <v>165</v>
      </c>
      <c r="AF136" s="50">
        <v>9</v>
      </c>
      <c r="AG136" s="50"/>
      <c r="AH136" s="50"/>
      <c r="AI136" s="54"/>
      <c r="AJ136" s="50"/>
      <c r="AK136" s="50"/>
      <c r="AL136" s="50"/>
      <c r="AM136" s="50">
        <f t="shared" ref="AM136:AM139" si="54">SUM(AF136:AL136)+AT136+AV136+AX136</f>
        <v>9</v>
      </c>
      <c r="AN136" s="50"/>
      <c r="AO136" s="50"/>
      <c r="AP136" s="50"/>
      <c r="AQ136" s="50"/>
      <c r="AR136" s="50">
        <f>SUM(AN136:AQ136)</f>
        <v>0</v>
      </c>
      <c r="AS136" s="50"/>
      <c r="AT136" s="50"/>
      <c r="AU136" s="50"/>
      <c r="AV136" s="50"/>
      <c r="AW136" s="50"/>
      <c r="AX136" s="50"/>
      <c r="AY136" s="50"/>
      <c r="AZ136" s="50"/>
      <c r="BA136" s="50">
        <f t="shared" ref="BA136:BA139" si="55">+AR136+AS136+AU136+AW136+AY136+AZ136</f>
        <v>0</v>
      </c>
      <c r="BB136" s="124">
        <v>3</v>
      </c>
      <c r="BC136" s="116"/>
      <c r="BD136" s="116"/>
      <c r="BE136" s="124"/>
      <c r="BF136" s="116"/>
    </row>
    <row r="137" spans="1:58" ht="12.95" customHeight="1" x14ac:dyDescent="0.2">
      <c r="A137" s="117"/>
      <c r="B137" s="118"/>
      <c r="C137" s="119"/>
      <c r="D137" s="118"/>
      <c r="E137" s="37"/>
      <c r="F137" s="37"/>
      <c r="G137" s="120"/>
      <c r="H137" s="121"/>
      <c r="I137" s="45"/>
      <c r="J137" s="46"/>
      <c r="K137" s="46"/>
      <c r="L137" s="122"/>
      <c r="M137" s="122"/>
      <c r="N137" s="47"/>
      <c r="O137" s="48"/>
      <c r="P137" s="49"/>
      <c r="Q137" s="48"/>
      <c r="R137" s="123"/>
      <c r="S137" s="123"/>
      <c r="T137" s="50"/>
      <c r="U137" s="50"/>
      <c r="V137" s="50"/>
      <c r="W137" s="50"/>
      <c r="X137" s="55"/>
      <c r="Y137" s="52"/>
      <c r="Z137" s="50">
        <f>+'[3]21'!D39/1000</f>
        <v>0</v>
      </c>
      <c r="AA137" s="50"/>
      <c r="AB137" s="50"/>
      <c r="AC137" s="50">
        <f>K137-T137</f>
        <v>0</v>
      </c>
      <c r="AD137" s="50">
        <f>+AM137+BA137</f>
        <v>15</v>
      </c>
      <c r="AE137" s="101" t="s">
        <v>133</v>
      </c>
      <c r="AF137" s="50"/>
      <c r="AG137" s="50">
        <v>15</v>
      </c>
      <c r="AH137" s="50"/>
      <c r="AI137" s="54"/>
      <c r="AJ137" s="50"/>
      <c r="AK137" s="50"/>
      <c r="AL137" s="50"/>
      <c r="AM137" s="50">
        <f t="shared" si="54"/>
        <v>15</v>
      </c>
      <c r="AN137" s="125"/>
      <c r="AO137" s="50"/>
      <c r="AP137" s="50"/>
      <c r="AQ137" s="50"/>
      <c r="AR137" s="50">
        <f t="shared" ref="AR137:AR139" si="56">SUM(AN137:AQ137)</f>
        <v>0</v>
      </c>
      <c r="AS137" s="50"/>
      <c r="AT137" s="50"/>
      <c r="AU137" s="50"/>
      <c r="AV137" s="50"/>
      <c r="AW137" s="50"/>
      <c r="AX137" s="50"/>
      <c r="AY137" s="50"/>
      <c r="AZ137" s="50"/>
      <c r="BA137" s="50">
        <f t="shared" si="55"/>
        <v>0</v>
      </c>
      <c r="BB137" s="126"/>
      <c r="BC137" s="116">
        <v>10</v>
      </c>
      <c r="BD137" s="116"/>
      <c r="BE137" s="126"/>
      <c r="BF137" s="116"/>
    </row>
    <row r="138" spans="1:58" ht="12.95" customHeight="1" x14ac:dyDescent="0.2">
      <c r="A138" s="117"/>
      <c r="B138" s="118"/>
      <c r="C138" s="119"/>
      <c r="D138" s="118"/>
      <c r="E138" s="37"/>
      <c r="F138" s="37"/>
      <c r="G138" s="120"/>
      <c r="H138" s="121"/>
      <c r="I138" s="45"/>
      <c r="J138" s="46"/>
      <c r="K138" s="46"/>
      <c r="L138" s="122"/>
      <c r="M138" s="122"/>
      <c r="N138" s="47"/>
      <c r="O138" s="48"/>
      <c r="P138" s="49"/>
      <c r="Q138" s="48"/>
      <c r="R138" s="123"/>
      <c r="S138" s="123"/>
      <c r="T138" s="50"/>
      <c r="U138" s="50"/>
      <c r="V138" s="50"/>
      <c r="W138" s="50"/>
      <c r="X138" s="55"/>
      <c r="Y138" s="52"/>
      <c r="Z138" s="50"/>
      <c r="AA138" s="50"/>
      <c r="AB138" s="50"/>
      <c r="AC138" s="50">
        <f>K138-T138</f>
        <v>0</v>
      </c>
      <c r="AD138" s="50">
        <f>+AM138+BA138</f>
        <v>34</v>
      </c>
      <c r="AE138" s="101" t="s">
        <v>123</v>
      </c>
      <c r="AF138" s="124"/>
      <c r="AG138" s="124"/>
      <c r="AH138" s="124">
        <v>34</v>
      </c>
      <c r="AJ138" s="50"/>
      <c r="AK138" s="50"/>
      <c r="AL138" s="50"/>
      <c r="AM138" s="50">
        <f t="shared" si="54"/>
        <v>34</v>
      </c>
      <c r="AN138" s="50"/>
      <c r="AO138" s="50"/>
      <c r="AP138" s="50"/>
      <c r="AQ138" s="50"/>
      <c r="AR138" s="50">
        <f t="shared" si="56"/>
        <v>0</v>
      </c>
      <c r="AS138" s="50"/>
      <c r="AT138" s="50"/>
      <c r="AU138" s="50"/>
      <c r="AV138" s="50"/>
      <c r="AW138" s="50"/>
      <c r="AX138" s="50"/>
      <c r="AY138" s="50"/>
      <c r="AZ138" s="50"/>
      <c r="BA138" s="50">
        <f t="shared" si="55"/>
        <v>0</v>
      </c>
      <c r="BB138" s="124"/>
      <c r="BC138" s="146"/>
      <c r="BD138" s="146"/>
      <c r="BE138" s="124"/>
      <c r="BF138" s="146"/>
    </row>
    <row r="139" spans="1:58" ht="12.95" customHeight="1" x14ac:dyDescent="0.2">
      <c r="A139" s="117"/>
      <c r="B139" s="118"/>
      <c r="C139" s="119"/>
      <c r="D139" s="118"/>
      <c r="E139" s="37"/>
      <c r="F139" s="37"/>
      <c r="G139" s="127"/>
      <c r="H139" s="121"/>
      <c r="I139" s="45"/>
      <c r="J139" s="46"/>
      <c r="K139" s="46"/>
      <c r="L139" s="122"/>
      <c r="M139" s="122"/>
      <c r="N139" s="47"/>
      <c r="O139" s="48"/>
      <c r="P139" s="49"/>
      <c r="Q139" s="56"/>
      <c r="R139" s="123"/>
      <c r="S139" s="123"/>
      <c r="T139" s="50"/>
      <c r="U139" s="50"/>
      <c r="V139" s="50"/>
      <c r="W139" s="50"/>
      <c r="X139" s="55"/>
      <c r="Y139" s="52"/>
      <c r="Z139" s="50"/>
      <c r="AA139" s="50"/>
      <c r="AB139" s="50"/>
      <c r="AC139" s="50"/>
      <c r="AD139" s="50">
        <f>+AM139+BA139</f>
        <v>85</v>
      </c>
      <c r="AE139" s="148" t="s">
        <v>254</v>
      </c>
      <c r="AF139" s="50"/>
      <c r="AG139" s="50"/>
      <c r="AH139" s="50"/>
      <c r="AI139" s="54">
        <v>0</v>
      </c>
      <c r="AJ139" s="50"/>
      <c r="AK139" s="50"/>
      <c r="AL139" s="50"/>
      <c r="AM139" s="50">
        <f t="shared" si="54"/>
        <v>0</v>
      </c>
      <c r="AN139" s="50"/>
      <c r="AO139" s="50"/>
      <c r="AP139" s="50">
        <v>85</v>
      </c>
      <c r="AQ139" s="50"/>
      <c r="AR139" s="50">
        <f t="shared" si="56"/>
        <v>85</v>
      </c>
      <c r="AS139" s="50"/>
      <c r="AT139" s="50"/>
      <c r="AU139" s="50"/>
      <c r="AV139" s="50"/>
      <c r="AW139" s="50"/>
      <c r="AX139" s="50"/>
      <c r="AY139" s="50"/>
      <c r="AZ139" s="50"/>
      <c r="BA139" s="50">
        <f t="shared" si="55"/>
        <v>85</v>
      </c>
      <c r="BB139" s="126"/>
      <c r="BC139" s="116"/>
      <c r="BD139" s="116"/>
      <c r="BE139" s="126"/>
      <c r="BF139" s="116"/>
    </row>
    <row r="140" spans="1:58" ht="12.95" customHeight="1" x14ac:dyDescent="0.2">
      <c r="A140" s="117"/>
      <c r="B140" s="118"/>
      <c r="C140" s="119"/>
      <c r="D140" s="118"/>
      <c r="E140" s="37"/>
      <c r="F140" s="37"/>
      <c r="G140" s="127"/>
      <c r="H140" s="121"/>
      <c r="I140" s="45"/>
      <c r="J140" s="46"/>
      <c r="K140" s="46"/>
      <c r="L140" s="122"/>
      <c r="M140" s="122"/>
      <c r="N140" s="47"/>
      <c r="O140" s="48"/>
      <c r="P140" s="49"/>
      <c r="Q140" s="48"/>
      <c r="R140" s="123"/>
      <c r="S140" s="123"/>
      <c r="T140" s="50"/>
      <c r="U140" s="50"/>
      <c r="V140" s="50"/>
      <c r="W140" s="50"/>
      <c r="X140" s="55"/>
      <c r="Y140" s="52"/>
      <c r="Z140" s="50"/>
      <c r="AA140" s="50"/>
      <c r="AB140" s="50"/>
      <c r="AC140" s="50"/>
      <c r="AD140" s="50"/>
      <c r="AE140" s="101"/>
      <c r="AF140" s="124"/>
      <c r="AG140" s="124"/>
      <c r="AH140" s="124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124"/>
      <c r="BC140" s="146"/>
      <c r="BD140" s="116"/>
      <c r="BE140" s="116"/>
      <c r="BF140" s="116"/>
    </row>
    <row r="141" spans="1:58" ht="12" customHeight="1" x14ac:dyDescent="0.2">
      <c r="A141" s="117">
        <v>45986</v>
      </c>
      <c r="B141" s="118" t="s">
        <v>168</v>
      </c>
      <c r="C141" s="119">
        <f>(M141*E141*O141*Q141)/100000000</f>
        <v>15.194587869999999</v>
      </c>
      <c r="D141" s="118" t="s">
        <v>177</v>
      </c>
      <c r="E141" s="37">
        <v>14</v>
      </c>
      <c r="F141" s="37">
        <v>1</v>
      </c>
      <c r="G141" s="120">
        <v>1230</v>
      </c>
      <c r="H141" s="121">
        <f>+N141</f>
        <v>0.23000000000000009</v>
      </c>
      <c r="I141" s="45">
        <v>0.88</v>
      </c>
      <c r="J141" s="46">
        <f>E141*G141*(1-H141)*1440/1000000*2.74</f>
        <v>52.316288639999996</v>
      </c>
      <c r="K141" s="46">
        <f>(IF(G141&lt;L141,L141,G141)*(1-IF(H141&lt;N141,H141,N141))*E141*O141*Q141)/100000000</f>
        <v>17.379095579999998</v>
      </c>
      <c r="L141" s="122">
        <v>1075.3921568627452</v>
      </c>
      <c r="M141" s="122">
        <v>828.05196078431368</v>
      </c>
      <c r="N141" s="47">
        <f>1-(M141/L141)</f>
        <v>0.23000000000000009</v>
      </c>
      <c r="O141" s="48">
        <f>+'[3]Trim Rwd'!H61</f>
        <v>257</v>
      </c>
      <c r="P141" s="49">
        <f>O141*(Q141-R141-S141)</f>
        <v>122075</v>
      </c>
      <c r="Q141" s="48">
        <v>510</v>
      </c>
      <c r="R141" s="123">
        <v>0</v>
      </c>
      <c r="S141" s="123">
        <f>25+10</f>
        <v>35</v>
      </c>
      <c r="T141" s="50">
        <f>E141*M141*O141*Q141/100000000</f>
        <v>15.194587869999999</v>
      </c>
      <c r="U141" s="50">
        <f>E141*M141*O141*(Q141-R141-S141)/100000000</f>
        <v>14.151822035784313</v>
      </c>
      <c r="V141" s="50">
        <f>E141*G141*(1-N141)*O141/100*(R141+S141)/1000000</f>
        <v>1.1926830299999998</v>
      </c>
      <c r="W141" s="50">
        <f>+'[3]25'!K11/1000</f>
        <v>17.248000000000001</v>
      </c>
      <c r="X141" s="51">
        <f>SUM(W141:W145)/SUM(K141:K145)</f>
        <v>0.75741496713922296</v>
      </c>
      <c r="Y141" s="52">
        <v>0</v>
      </c>
      <c r="Z141" s="50">
        <f>+'[3]21'!D26/1000</f>
        <v>0</v>
      </c>
      <c r="AA141" s="53">
        <f>SUM(U141:U145)-SUM(W141:W145)-SUM(Z141:Z145)-SUM(Y141:Y145)</f>
        <v>1.7417356674939881</v>
      </c>
      <c r="AB141" s="53">
        <f>(SUM(K141:K145)-SUM(W141:W145)-SUM(Y141:Y145)-SUM(Z141:Z145)-SUM(AC141:AC145)-SUM(V141:V145))-AA141</f>
        <v>-0.5270968124939921</v>
      </c>
      <c r="AC141" s="50">
        <f>K141-T141</f>
        <v>2.1845077099999983</v>
      </c>
      <c r="AD141" s="50">
        <f>+AM141+BA141</f>
        <v>24</v>
      </c>
      <c r="AE141" s="101" t="s">
        <v>161</v>
      </c>
      <c r="AF141" s="50">
        <v>24</v>
      </c>
      <c r="AG141" s="50"/>
      <c r="AH141" s="50"/>
      <c r="AI141" s="54"/>
      <c r="AJ141" s="50"/>
      <c r="AK141" s="50"/>
      <c r="AL141" s="50"/>
      <c r="AM141" s="50">
        <f t="shared" ref="AM141:AM144" si="57">SUM(AF141:AL141)+AT141+AV141+AX141</f>
        <v>24</v>
      </c>
      <c r="AN141" s="50"/>
      <c r="AO141" s="50"/>
      <c r="AP141" s="50"/>
      <c r="AQ141" s="50"/>
      <c r="AR141" s="50">
        <f>SUM(AN141:AQ141)</f>
        <v>0</v>
      </c>
      <c r="AS141" s="50"/>
      <c r="AT141" s="50"/>
      <c r="AU141" s="50"/>
      <c r="AV141" s="50"/>
      <c r="AW141" s="50"/>
      <c r="AX141" s="50"/>
      <c r="AY141" s="50"/>
      <c r="AZ141" s="50"/>
      <c r="BA141" s="50">
        <f t="shared" ref="BA141:BA144" si="58">+AR141+AS141+AU141+AW141+AY141+AZ141</f>
        <v>0</v>
      </c>
      <c r="BB141" s="124">
        <v>6</v>
      </c>
      <c r="BC141" s="116"/>
      <c r="BD141" s="116"/>
      <c r="BE141" s="124"/>
      <c r="BF141" s="116"/>
    </row>
    <row r="142" spans="1:58" ht="12.95" customHeight="1" x14ac:dyDescent="0.2">
      <c r="A142" s="117"/>
      <c r="B142" s="118" t="s">
        <v>168</v>
      </c>
      <c r="C142" s="119">
        <f>(M142*E142*O142*Q142)/100000000</f>
        <v>28.597677569999998</v>
      </c>
      <c r="D142" s="118" t="s">
        <v>177</v>
      </c>
      <c r="E142" s="37">
        <v>15</v>
      </c>
      <c r="F142" s="37">
        <v>1</v>
      </c>
      <c r="G142" s="120">
        <v>1210</v>
      </c>
      <c r="H142" s="121">
        <f>+N142</f>
        <v>0.22999999999999998</v>
      </c>
      <c r="I142" s="45">
        <v>0.88</v>
      </c>
      <c r="J142" s="46">
        <f>E142*G142*(1-H142)*1440/1000000*2.74</f>
        <v>55.141732800000007</v>
      </c>
      <c r="K142" s="46">
        <f>(IF(G142&lt;L142,L142,G142)*(1-IF(H142&lt;N142,H142,N142))*E142*O142*Q142)/100000000</f>
        <v>33.402842550000003</v>
      </c>
      <c r="L142" s="122">
        <v>1035.9354838709678</v>
      </c>
      <c r="M142" s="122">
        <v>797.67032258064523</v>
      </c>
      <c r="N142" s="47">
        <f>1-(M142/L142)</f>
        <v>0.22999999999999998</v>
      </c>
      <c r="O142" s="48">
        <f>+'[3]Trim Rwd'!H62</f>
        <v>257</v>
      </c>
      <c r="P142" s="49">
        <f>O142*(Q142-R142-S142)</f>
        <v>220249</v>
      </c>
      <c r="Q142" s="48">
        <v>930</v>
      </c>
      <c r="R142" s="123">
        <v>0</v>
      </c>
      <c r="S142" s="123">
        <f>48+25</f>
        <v>73</v>
      </c>
      <c r="T142" s="50">
        <f>E142*M142*O142*Q142/100000000</f>
        <v>28.597677569999998</v>
      </c>
      <c r="U142" s="50">
        <f>E142*M142*O142*(Q142-R142-S142)/100000000</f>
        <v>26.352913631709679</v>
      </c>
      <c r="V142" s="50">
        <f>E142*G142*(1-N142)*O142/100*(R142+S142)/1000000</f>
        <v>2.6219435550000001</v>
      </c>
      <c r="W142" s="50">
        <f>+'[3]25'!K12/1000</f>
        <v>21.215</v>
      </c>
      <c r="X142" s="55"/>
      <c r="Y142" s="52"/>
      <c r="Z142" s="50">
        <f>+'[3]25'!D25/1000</f>
        <v>0.3</v>
      </c>
      <c r="AA142" s="50"/>
      <c r="AB142" s="50"/>
      <c r="AC142" s="50">
        <f>K142-T142</f>
        <v>4.8051649800000042</v>
      </c>
      <c r="AD142" s="50">
        <f>+AM142+BA142</f>
        <v>8</v>
      </c>
      <c r="AE142" s="101" t="s">
        <v>163</v>
      </c>
      <c r="AF142" s="50"/>
      <c r="AG142" s="50">
        <v>8</v>
      </c>
      <c r="AH142" s="50"/>
      <c r="AI142" s="54"/>
      <c r="AJ142" s="50"/>
      <c r="AK142" s="50"/>
      <c r="AL142" s="50"/>
      <c r="AM142" s="50">
        <f t="shared" si="57"/>
        <v>8</v>
      </c>
      <c r="AN142" s="125"/>
      <c r="AO142" s="50"/>
      <c r="AP142" s="50"/>
      <c r="AQ142" s="50"/>
      <c r="AR142" s="50">
        <f t="shared" ref="AR142:AR144" si="59">SUM(AN142:AQ142)</f>
        <v>0</v>
      </c>
      <c r="AS142" s="50"/>
      <c r="AT142" s="50"/>
      <c r="AU142" s="50"/>
      <c r="AV142" s="50"/>
      <c r="AW142" s="50"/>
      <c r="AX142" s="50"/>
      <c r="AY142" s="50"/>
      <c r="AZ142" s="50"/>
      <c r="BA142" s="50">
        <f t="shared" si="58"/>
        <v>0</v>
      </c>
      <c r="BB142" s="126"/>
      <c r="BC142" s="116">
        <v>6</v>
      </c>
      <c r="BD142" s="116"/>
      <c r="BE142" s="126"/>
      <c r="BF142" s="116"/>
    </row>
    <row r="143" spans="1:58" ht="12.95" customHeight="1" x14ac:dyDescent="0.2">
      <c r="A143" s="117"/>
      <c r="B143" s="118"/>
      <c r="C143" s="119"/>
      <c r="D143" s="118"/>
      <c r="E143" s="37"/>
      <c r="F143" s="37"/>
      <c r="G143" s="120"/>
      <c r="H143" s="121"/>
      <c r="I143" s="45"/>
      <c r="J143" s="46"/>
      <c r="K143" s="46"/>
      <c r="L143" s="122"/>
      <c r="M143" s="122"/>
      <c r="N143" s="47"/>
      <c r="O143" s="48"/>
      <c r="P143" s="49"/>
      <c r="Q143" s="48"/>
      <c r="R143" s="123"/>
      <c r="S143" s="123"/>
      <c r="T143" s="50"/>
      <c r="U143" s="50"/>
      <c r="V143" s="50"/>
      <c r="W143" s="50"/>
      <c r="X143" s="55"/>
      <c r="Y143" s="52"/>
      <c r="Z143" s="50"/>
      <c r="AA143" s="50"/>
      <c r="AB143" s="50"/>
      <c r="AC143" s="50">
        <f>K143-T143</f>
        <v>0</v>
      </c>
      <c r="AD143" s="50">
        <f>+AM143+BA143</f>
        <v>41</v>
      </c>
      <c r="AE143" s="101" t="s">
        <v>128</v>
      </c>
      <c r="AF143" s="124"/>
      <c r="AG143" s="124"/>
      <c r="AH143" s="124">
        <v>41</v>
      </c>
      <c r="AJ143" s="50"/>
      <c r="AK143" s="50"/>
      <c r="AL143" s="50"/>
      <c r="AM143" s="50">
        <f t="shared" si="57"/>
        <v>41</v>
      </c>
      <c r="AN143" s="50"/>
      <c r="AO143" s="50"/>
      <c r="AP143" s="50"/>
      <c r="AQ143" s="50"/>
      <c r="AR143" s="50">
        <f t="shared" si="59"/>
        <v>0</v>
      </c>
      <c r="AS143" s="50"/>
      <c r="AT143" s="50"/>
      <c r="AU143" s="50"/>
      <c r="AV143" s="50"/>
      <c r="AW143" s="50"/>
      <c r="AX143" s="50"/>
      <c r="AY143" s="50"/>
      <c r="AZ143" s="50"/>
      <c r="BA143" s="50">
        <f t="shared" si="58"/>
        <v>0</v>
      </c>
      <c r="BB143" s="124"/>
      <c r="BC143" s="146"/>
      <c r="BD143" s="146"/>
      <c r="BE143" s="124"/>
      <c r="BF143" s="146"/>
    </row>
    <row r="144" spans="1:58" ht="25.5" x14ac:dyDescent="0.2">
      <c r="A144" s="117"/>
      <c r="B144" s="118"/>
      <c r="C144" s="119"/>
      <c r="D144" s="118"/>
      <c r="E144" s="37"/>
      <c r="F144" s="37"/>
      <c r="G144" s="120"/>
      <c r="H144" s="121"/>
      <c r="I144" s="45"/>
      <c r="J144" s="46"/>
      <c r="K144" s="46"/>
      <c r="L144" s="122"/>
      <c r="M144" s="122"/>
      <c r="N144" s="47"/>
      <c r="O144" s="48"/>
      <c r="P144" s="49"/>
      <c r="Q144" s="48"/>
      <c r="R144" s="123"/>
      <c r="S144" s="123"/>
      <c r="T144" s="50"/>
      <c r="U144" s="50"/>
      <c r="V144" s="50"/>
      <c r="W144" s="50"/>
      <c r="X144" s="51"/>
      <c r="Y144" s="52"/>
      <c r="Z144" s="50"/>
      <c r="AA144" s="53"/>
      <c r="AB144" s="53"/>
      <c r="AC144" s="50"/>
      <c r="AD144" s="50">
        <f>+AM144+BA144</f>
        <v>35</v>
      </c>
      <c r="AE144" s="148" t="s">
        <v>255</v>
      </c>
      <c r="AF144" s="50"/>
      <c r="AG144" s="50"/>
      <c r="AH144" s="50"/>
      <c r="AI144" s="54"/>
      <c r="AJ144" s="50"/>
      <c r="AK144" s="50">
        <v>35</v>
      </c>
      <c r="AL144" s="50"/>
      <c r="AM144" s="50">
        <f t="shared" si="57"/>
        <v>35</v>
      </c>
      <c r="AN144" s="50"/>
      <c r="AO144" s="50"/>
      <c r="AP144" s="50"/>
      <c r="AQ144" s="50"/>
      <c r="AR144" s="50">
        <f t="shared" si="59"/>
        <v>0</v>
      </c>
      <c r="AS144" s="50"/>
      <c r="AT144" s="50"/>
      <c r="AU144" s="50"/>
      <c r="AV144" s="50"/>
      <c r="AW144" s="50"/>
      <c r="AX144" s="50"/>
      <c r="AY144" s="50"/>
      <c r="AZ144" s="50"/>
      <c r="BA144" s="50">
        <f t="shared" si="58"/>
        <v>0</v>
      </c>
      <c r="BB144" s="124"/>
      <c r="BC144" s="116"/>
      <c r="BD144" s="116"/>
      <c r="BE144" s="116"/>
      <c r="BF144" s="116"/>
    </row>
    <row r="145" spans="1:58" ht="12.95" customHeight="1" x14ac:dyDescent="0.2">
      <c r="A145" s="117"/>
      <c r="B145" s="118"/>
      <c r="C145" s="119"/>
      <c r="D145" s="118"/>
      <c r="E145" s="37"/>
      <c r="F145" s="37"/>
      <c r="G145" s="120"/>
      <c r="H145" s="121"/>
      <c r="I145" s="45"/>
      <c r="J145" s="46"/>
      <c r="K145" s="46"/>
      <c r="L145" s="122"/>
      <c r="M145" s="122"/>
      <c r="N145" s="47"/>
      <c r="O145" s="48"/>
      <c r="P145" s="49"/>
      <c r="Q145" s="48"/>
      <c r="R145" s="123"/>
      <c r="S145" s="123"/>
      <c r="T145" s="50"/>
      <c r="U145" s="50"/>
      <c r="V145" s="50"/>
      <c r="W145" s="50"/>
      <c r="X145" s="55"/>
      <c r="Y145" s="52"/>
      <c r="Z145" s="50"/>
      <c r="AA145" s="50"/>
      <c r="AB145" s="50"/>
      <c r="AC145" s="50"/>
      <c r="AD145" s="50"/>
      <c r="AE145" s="101"/>
      <c r="AF145" s="50"/>
      <c r="AG145" s="50"/>
      <c r="AH145" s="50"/>
      <c r="AI145" s="54"/>
      <c r="AJ145" s="50"/>
      <c r="AK145" s="50"/>
      <c r="AL145" s="50"/>
      <c r="AM145" s="50"/>
      <c r="AN145" s="125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126"/>
      <c r="BC145" s="116"/>
      <c r="BD145" s="116"/>
      <c r="BE145" s="116"/>
      <c r="BF145" s="116"/>
    </row>
    <row r="146" spans="1:58" ht="12" customHeight="1" x14ac:dyDescent="0.2">
      <c r="A146" s="117">
        <v>45987</v>
      </c>
      <c r="B146" s="118" t="s">
        <v>168</v>
      </c>
      <c r="C146" s="119">
        <f>(M146*E146*O146*Q146)/100000000</f>
        <v>48.291011150735301</v>
      </c>
      <c r="D146" s="118" t="s">
        <v>177</v>
      </c>
      <c r="E146" s="37">
        <v>15</v>
      </c>
      <c r="F146" s="37">
        <v>1</v>
      </c>
      <c r="G146" s="120">
        <v>1210</v>
      </c>
      <c r="H146" s="121">
        <f>+N146</f>
        <v>0.22999999999999998</v>
      </c>
      <c r="I146" s="45">
        <v>0.88</v>
      </c>
      <c r="J146" s="46">
        <f>E146*G146*(1-H146)*1440/1000000*2.74</f>
        <v>55.141732800000007</v>
      </c>
      <c r="K146" s="46">
        <f>(IF(G146&lt;L146,L146,G146)*(1-IF(H146&lt;N146,H146,N146))*E146*O146*Q146)/100000000</f>
        <v>52.664616529411767</v>
      </c>
      <c r="L146" s="122">
        <v>1109.5138888888889</v>
      </c>
      <c r="M146" s="122">
        <v>854.32569444444448</v>
      </c>
      <c r="N146" s="47">
        <f>1-(M146/L146)</f>
        <v>0.22999999999999998</v>
      </c>
      <c r="O146" s="48">
        <f>+'[3]Trim Rwd'!H64</f>
        <v>261.69117647058823</v>
      </c>
      <c r="P146" s="49">
        <f>O146*(Q146-R146-S146)</f>
        <v>359040.29411764705</v>
      </c>
      <c r="Q146" s="48">
        <v>1440</v>
      </c>
      <c r="R146" s="123">
        <v>0</v>
      </c>
      <c r="S146" s="123">
        <v>68</v>
      </c>
      <c r="T146" s="50">
        <f>E146*M146*O146*Q146/100000000</f>
        <v>48.291011150735301</v>
      </c>
      <c r="U146" s="50">
        <f>E146*M146*O146*(Q146-R146-S146)/100000000</f>
        <v>46.010602290839465</v>
      </c>
      <c r="V146" s="50">
        <f>E146*G146*(1-N146)*O146/100*(R146+S146)/1000000</f>
        <v>2.4869402250000001</v>
      </c>
      <c r="W146" s="50">
        <f>+'[3]26'!K12/1000</f>
        <v>38.930999999999997</v>
      </c>
      <c r="X146" s="51">
        <f>SUM(W146:W149)/SUM(K146:K150)</f>
        <v>0.65949139565827919</v>
      </c>
      <c r="Y146" s="52">
        <v>0</v>
      </c>
      <c r="Z146" s="50">
        <f>+'[3]26'!D34/1000</f>
        <v>1.472</v>
      </c>
      <c r="AA146" s="53">
        <f>SUM(U146:U149)-SUM(W146:W149)-SUM(Z146:Z149)-SUM(Y146:Y149)</f>
        <v>5.607602290839468</v>
      </c>
      <c r="AB146" s="53">
        <f>(SUM(K146:K149)-SUM(W146:W149)-SUM(Y146:Y149)-SUM(Z146:Z149)-SUM(AC146:AC149)-SUM(V146:V149))-AA146</f>
        <v>-0.20653136510416381</v>
      </c>
      <c r="AC146" s="50">
        <f>K146-T146</f>
        <v>4.3736053786764657</v>
      </c>
      <c r="AD146" s="50">
        <f>+AM146+BA146</f>
        <v>27</v>
      </c>
      <c r="AE146" s="101" t="s">
        <v>208</v>
      </c>
      <c r="AF146" s="50">
        <v>27</v>
      </c>
      <c r="AG146" s="50"/>
      <c r="AH146" s="50"/>
      <c r="AI146" s="54"/>
      <c r="AJ146" s="50"/>
      <c r="AK146" s="50"/>
      <c r="AL146" s="50"/>
      <c r="AM146" s="50">
        <f t="shared" ref="AM146:AM148" si="60">SUM(AF146:AL146)+AT146+AV146+AX146</f>
        <v>27</v>
      </c>
      <c r="AN146" s="50"/>
      <c r="AO146" s="50"/>
      <c r="AP146" s="50"/>
      <c r="AQ146" s="50"/>
      <c r="AR146" s="50">
        <f>SUM(AN146:AQ146)</f>
        <v>0</v>
      </c>
      <c r="AS146" s="50"/>
      <c r="AT146" s="50"/>
      <c r="AU146" s="50"/>
      <c r="AV146" s="50"/>
      <c r="AW146" s="50"/>
      <c r="AX146" s="50"/>
      <c r="AY146" s="50"/>
      <c r="AZ146" s="50"/>
      <c r="BA146" s="50">
        <f t="shared" ref="BA146:BA148" si="61">+AR146+AS146+AU146+AW146+AY146+AZ146</f>
        <v>0</v>
      </c>
      <c r="BB146" s="124">
        <v>10</v>
      </c>
      <c r="BC146" s="116"/>
      <c r="BD146" s="116"/>
      <c r="BE146" s="124"/>
      <c r="BF146" s="116"/>
    </row>
    <row r="147" spans="1:58" ht="12.95" customHeight="1" x14ac:dyDescent="0.2">
      <c r="A147" s="117"/>
      <c r="B147" s="118"/>
      <c r="C147" s="119"/>
      <c r="D147" s="118"/>
      <c r="E147" s="37"/>
      <c r="F147" s="37"/>
      <c r="G147" s="120"/>
      <c r="H147" s="121"/>
      <c r="I147" s="45"/>
      <c r="J147" s="46"/>
      <c r="K147" s="46"/>
      <c r="L147" s="122"/>
      <c r="M147" s="122"/>
      <c r="N147" s="47"/>
      <c r="O147" s="48"/>
      <c r="P147" s="49"/>
      <c r="Q147" s="48"/>
      <c r="R147" s="123"/>
      <c r="S147" s="123"/>
      <c r="T147" s="50"/>
      <c r="U147" s="50"/>
      <c r="V147" s="50"/>
      <c r="W147" s="50"/>
      <c r="X147" s="55"/>
      <c r="Y147" s="52"/>
      <c r="Z147" s="50"/>
      <c r="AA147" s="50"/>
      <c r="AB147" s="50"/>
      <c r="AC147" s="50">
        <f>K147-T147</f>
        <v>0</v>
      </c>
      <c r="AD147" s="50">
        <f>+AM147+BA147</f>
        <v>0</v>
      </c>
      <c r="AE147" s="101" t="s">
        <v>111</v>
      </c>
      <c r="AF147" s="50"/>
      <c r="AG147" s="50">
        <v>0</v>
      </c>
      <c r="AH147" s="50"/>
      <c r="AI147" s="54"/>
      <c r="AJ147" s="50"/>
      <c r="AK147" s="50"/>
      <c r="AL147" s="50"/>
      <c r="AM147" s="50">
        <f t="shared" si="60"/>
        <v>0</v>
      </c>
      <c r="AN147" s="125"/>
      <c r="AO147" s="50"/>
      <c r="AP147" s="50"/>
      <c r="AQ147" s="50"/>
      <c r="AR147" s="50">
        <f t="shared" ref="AR147:AR148" si="62">SUM(AN147:AQ147)</f>
        <v>0</v>
      </c>
      <c r="AS147" s="50"/>
      <c r="AT147" s="50"/>
      <c r="AU147" s="50"/>
      <c r="AV147" s="50"/>
      <c r="AW147" s="50"/>
      <c r="AX147" s="50"/>
      <c r="AY147" s="50"/>
      <c r="AZ147" s="50"/>
      <c r="BA147" s="50">
        <f t="shared" si="61"/>
        <v>0</v>
      </c>
      <c r="BB147" s="126"/>
      <c r="BC147" s="116">
        <v>0</v>
      </c>
      <c r="BD147" s="116"/>
      <c r="BE147" s="126"/>
      <c r="BF147" s="116"/>
    </row>
    <row r="148" spans="1:58" ht="12.95" customHeight="1" x14ac:dyDescent="0.2">
      <c r="A148" s="117"/>
      <c r="B148" s="118"/>
      <c r="C148" s="119"/>
      <c r="D148" s="118"/>
      <c r="E148" s="37"/>
      <c r="F148" s="37"/>
      <c r="G148" s="120"/>
      <c r="H148" s="121"/>
      <c r="I148" s="45"/>
      <c r="J148" s="46"/>
      <c r="K148" s="46"/>
      <c r="L148" s="122"/>
      <c r="M148" s="122"/>
      <c r="N148" s="47"/>
      <c r="O148" s="48"/>
      <c r="P148" s="49"/>
      <c r="Q148" s="48"/>
      <c r="R148" s="123"/>
      <c r="S148" s="123"/>
      <c r="T148" s="50"/>
      <c r="U148" s="50"/>
      <c r="V148" s="50"/>
      <c r="W148" s="50"/>
      <c r="X148" s="55"/>
      <c r="Y148" s="52"/>
      <c r="Z148" s="50"/>
      <c r="AA148" s="50"/>
      <c r="AB148" s="50"/>
      <c r="AC148" s="50">
        <f>K148-T148</f>
        <v>0</v>
      </c>
      <c r="AD148" s="50">
        <f>+AM148+BA148</f>
        <v>41</v>
      </c>
      <c r="AE148" s="101" t="s">
        <v>169</v>
      </c>
      <c r="AF148" s="124"/>
      <c r="AG148" s="124"/>
      <c r="AH148" s="124">
        <v>41</v>
      </c>
      <c r="AJ148" s="50"/>
      <c r="AK148" s="50"/>
      <c r="AL148" s="50"/>
      <c r="AM148" s="50">
        <f t="shared" si="60"/>
        <v>41</v>
      </c>
      <c r="AN148" s="50"/>
      <c r="AO148" s="50"/>
      <c r="AP148" s="50"/>
      <c r="AQ148" s="50"/>
      <c r="AR148" s="50">
        <f t="shared" si="62"/>
        <v>0</v>
      </c>
      <c r="AS148" s="50"/>
      <c r="AT148" s="50"/>
      <c r="AU148" s="50"/>
      <c r="AV148" s="50"/>
      <c r="AW148" s="50"/>
      <c r="AX148" s="50"/>
      <c r="AY148" s="50"/>
      <c r="AZ148" s="50"/>
      <c r="BA148" s="50">
        <f t="shared" si="61"/>
        <v>0</v>
      </c>
      <c r="BB148" s="124"/>
      <c r="BC148" s="146"/>
      <c r="BD148" s="146"/>
      <c r="BE148" s="124"/>
      <c r="BF148" s="146"/>
    </row>
    <row r="149" spans="1:58" ht="16.5" customHeight="1" x14ac:dyDescent="0.2">
      <c r="A149" s="117"/>
      <c r="B149" s="118"/>
      <c r="C149" s="119"/>
      <c r="D149" s="118"/>
      <c r="E149" s="37"/>
      <c r="F149" s="37"/>
      <c r="G149" s="120"/>
      <c r="H149" s="121"/>
      <c r="I149" s="45"/>
      <c r="J149" s="46"/>
      <c r="K149" s="46"/>
      <c r="L149" s="122"/>
      <c r="M149" s="122"/>
      <c r="N149" s="47"/>
      <c r="O149" s="48"/>
      <c r="P149" s="49"/>
      <c r="Q149" s="48"/>
      <c r="R149" s="123"/>
      <c r="S149" s="123"/>
      <c r="T149" s="50"/>
      <c r="U149" s="50"/>
      <c r="V149" s="50"/>
      <c r="W149" s="50"/>
      <c r="X149" s="51"/>
      <c r="Y149" s="52"/>
      <c r="Z149" s="50"/>
      <c r="AA149" s="53"/>
      <c r="AB149" s="53"/>
      <c r="AC149" s="50"/>
      <c r="AD149" s="50"/>
      <c r="AE149" s="101"/>
      <c r="AF149" s="50"/>
      <c r="AG149" s="50"/>
      <c r="AH149" s="50"/>
      <c r="AI149" s="54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124"/>
      <c r="BC149" s="116"/>
      <c r="BD149" s="116"/>
      <c r="BE149" s="116"/>
      <c r="BF149" s="116"/>
    </row>
    <row r="150" spans="1:58" ht="12" customHeight="1" x14ac:dyDescent="0.2">
      <c r="A150" s="117">
        <v>45988</v>
      </c>
      <c r="B150" s="118" t="s">
        <v>168</v>
      </c>
      <c r="C150" s="119">
        <f>(M150*E150*O150*Q150)/100000000</f>
        <v>5.5252889999999999</v>
      </c>
      <c r="D150" s="118" t="s">
        <v>177</v>
      </c>
      <c r="E150" s="37">
        <v>15</v>
      </c>
      <c r="F150" s="37">
        <v>1</v>
      </c>
      <c r="G150" s="120">
        <v>1210</v>
      </c>
      <c r="H150" s="121">
        <f>+N150</f>
        <v>0.22999999999999998</v>
      </c>
      <c r="I150" s="45">
        <v>0.88</v>
      </c>
      <c r="J150" s="46">
        <f>E150*G150*(1-H150)*1440/1000000*2.74</f>
        <v>55.141732800000007</v>
      </c>
      <c r="K150" s="46">
        <f>(IF(G150&lt;L150,L150,G150)*(1-IF(H150&lt;N150,H150,N150))*E150*O150*Q150)/100000000</f>
        <v>6.3672377999999998</v>
      </c>
      <c r="L150" s="122">
        <v>1050</v>
      </c>
      <c r="M150" s="122">
        <v>808.5</v>
      </c>
      <c r="N150" s="47">
        <f>1-(M150/L150)</f>
        <v>0.22999999999999998</v>
      </c>
      <c r="O150" s="48">
        <f>+'[3]Trim Rwd'!H67</f>
        <v>268</v>
      </c>
      <c r="P150" s="49">
        <f>O150*(Q150-R150-S150)</f>
        <v>42076</v>
      </c>
      <c r="Q150" s="48">
        <v>170</v>
      </c>
      <c r="R150" s="123">
        <v>0</v>
      </c>
      <c r="S150" s="123">
        <v>13</v>
      </c>
      <c r="T150" s="50">
        <f>E150*M150*O150*Q150/100000000</f>
        <v>5.5252889999999999</v>
      </c>
      <c r="U150" s="50">
        <f>E150*M150*O150*(Q150-R150-S150)/100000000</f>
        <v>5.1027668999999998</v>
      </c>
      <c r="V150" s="50">
        <f>E150*G150*(1-N150)*O150/100*(R150+S150)/1000000</f>
        <v>0.48690641999999995</v>
      </c>
      <c r="W150" s="50">
        <f>+'[3]27'!K12/1000</f>
        <v>8.4529999999999994</v>
      </c>
      <c r="X150" s="51">
        <f>SUM(W150:W153)/SUM(K150:K154)</f>
        <v>0.57457281279424965</v>
      </c>
      <c r="Y150" s="52">
        <v>0</v>
      </c>
      <c r="Z150" s="50">
        <v>0</v>
      </c>
      <c r="AA150" s="53">
        <f>SUM(U150:U153)-SUM(W150:W153)-SUM(Z150:Z153)-SUM(Y150:Y153)</f>
        <v>0.46074029027559571</v>
      </c>
      <c r="AB150" s="53">
        <f>(SUM(K150:K153)-SUM(W150:W153)-SUM(Y150:Y153)-SUM(Z150:Z153)-SUM(AC150:AC153)-SUM(V150:V153))-AA150</f>
        <v>-0.19466671027559213</v>
      </c>
      <c r="AC150" s="50">
        <f>K150-T150</f>
        <v>0.84194879999999994</v>
      </c>
      <c r="AD150" s="50">
        <f>+AM150+BA150</f>
        <v>24</v>
      </c>
      <c r="AE150" s="101" t="s">
        <v>189</v>
      </c>
      <c r="AF150" s="50">
        <v>24</v>
      </c>
      <c r="AG150" s="50"/>
      <c r="AH150" s="50"/>
      <c r="AI150" s="54"/>
      <c r="AJ150" s="50"/>
      <c r="AK150" s="50"/>
      <c r="AL150" s="50"/>
      <c r="AM150" s="50">
        <f t="shared" ref="AM150:AM152" si="63">SUM(AF150:AL150)+AT150+AV150+AX150</f>
        <v>24</v>
      </c>
      <c r="AN150" s="50"/>
      <c r="AO150" s="50"/>
      <c r="AP150" s="50"/>
      <c r="AQ150" s="50"/>
      <c r="AR150" s="50">
        <f>SUM(AN150:AQ150)</f>
        <v>0</v>
      </c>
      <c r="AS150" s="50"/>
      <c r="AT150" s="50"/>
      <c r="AU150" s="50"/>
      <c r="AV150" s="50"/>
      <c r="AW150" s="50"/>
      <c r="AX150" s="50"/>
      <c r="AY150" s="50"/>
      <c r="AZ150" s="50"/>
      <c r="BA150" s="50">
        <f t="shared" ref="BA150:BA152" si="64">+AR150+AS150+AU150+AW150+AY150+AZ150</f>
        <v>0</v>
      </c>
      <c r="BB150" s="124">
        <v>9</v>
      </c>
      <c r="BC150" s="116"/>
      <c r="BD150" s="116"/>
      <c r="BE150" s="124"/>
      <c r="BF150" s="116"/>
    </row>
    <row r="151" spans="1:58" ht="12.95" customHeight="1" x14ac:dyDescent="0.2">
      <c r="A151" s="117"/>
      <c r="B151" s="118" t="s">
        <v>115</v>
      </c>
      <c r="C151" s="119">
        <f>(M151*E151*O151*Q151)/100000000</f>
        <v>34.766874450000003</v>
      </c>
      <c r="D151" s="118" t="s">
        <v>177</v>
      </c>
      <c r="E151" s="37">
        <v>12</v>
      </c>
      <c r="F151" s="37">
        <v>1</v>
      </c>
      <c r="G151" s="120">
        <v>1230</v>
      </c>
      <c r="H151" s="121">
        <f>+N151</f>
        <v>0.22999999999999998</v>
      </c>
      <c r="I151" s="45">
        <v>0.88</v>
      </c>
      <c r="J151" s="46">
        <f>E151*G151*(1-H151)*1440/1000000*2.74</f>
        <v>44.842533120000006</v>
      </c>
      <c r="K151" s="46">
        <f>(IF(G151&lt;L151,L151,G151)*(1-IF(H151&lt;N151,H151,N151))*E151*O151*Q151)/100000000</f>
        <v>37.888735500000003</v>
      </c>
      <c r="L151" s="122">
        <v>1128.6535433070867</v>
      </c>
      <c r="M151" s="122">
        <v>869.06322834645675</v>
      </c>
      <c r="N151" s="47">
        <f>1-(M151/L151)</f>
        <v>0.22999999999999998</v>
      </c>
      <c r="O151" s="48">
        <f>+'[3]Trim Rwd'!H68</f>
        <v>262.5</v>
      </c>
      <c r="P151" s="49">
        <f>O151*(Q151-R151-S151)</f>
        <v>319462.5</v>
      </c>
      <c r="Q151" s="48">
        <v>1270</v>
      </c>
      <c r="R151" s="123">
        <v>0</v>
      </c>
      <c r="S151" s="123">
        <f>66-S150</f>
        <v>53</v>
      </c>
      <c r="T151" s="50">
        <f>E151*M151*O151*Q151/100000000</f>
        <v>34.766874450000003</v>
      </c>
      <c r="U151" s="50">
        <f>E151*M151*O151*(Q151-R151-S151)/100000000</f>
        <v>33.315973390275595</v>
      </c>
      <c r="V151" s="50">
        <f>E151*G151*(1-N151)*O151/100*(R151+S151)/1000000</f>
        <v>1.5811834500000002</v>
      </c>
      <c r="W151" s="50">
        <f>+'[3]27'!K7/1000</f>
        <v>28.986999999999998</v>
      </c>
      <c r="X151" s="55"/>
      <c r="Y151" s="52"/>
      <c r="Z151" s="50">
        <f>+'[3]27'!D25/1000</f>
        <v>0.51800000000000002</v>
      </c>
      <c r="AA151" s="50"/>
      <c r="AB151" s="50"/>
      <c r="AC151" s="50">
        <f>K151-T151</f>
        <v>3.1218610499999997</v>
      </c>
      <c r="AD151" s="50">
        <f>+AM151+BA151</f>
        <v>2</v>
      </c>
      <c r="AE151" s="101" t="s">
        <v>174</v>
      </c>
      <c r="AF151" s="50"/>
      <c r="AG151" s="50">
        <v>2</v>
      </c>
      <c r="AH151" s="50"/>
      <c r="AI151" s="54"/>
      <c r="AJ151" s="50"/>
      <c r="AK151" s="50"/>
      <c r="AL151" s="50"/>
      <c r="AM151" s="50">
        <f t="shared" si="63"/>
        <v>2</v>
      </c>
      <c r="AN151" s="125"/>
      <c r="AO151" s="50"/>
      <c r="AP151" s="50"/>
      <c r="AQ151" s="50"/>
      <c r="AR151" s="50">
        <f t="shared" ref="AR151:AR152" si="65">SUM(AN151:AQ151)</f>
        <v>0</v>
      </c>
      <c r="AS151" s="50"/>
      <c r="AT151" s="50"/>
      <c r="AU151" s="50"/>
      <c r="AV151" s="50"/>
      <c r="AW151" s="50"/>
      <c r="AX151" s="50"/>
      <c r="AY151" s="50"/>
      <c r="AZ151" s="50"/>
      <c r="BA151" s="50">
        <f t="shared" si="64"/>
        <v>0</v>
      </c>
      <c r="BB151" s="126"/>
      <c r="BC151" s="116">
        <v>1</v>
      </c>
      <c r="BD151" s="116"/>
      <c r="BE151" s="126"/>
      <c r="BF151" s="116"/>
    </row>
    <row r="152" spans="1:58" ht="12.95" customHeight="1" x14ac:dyDescent="0.2">
      <c r="A152" s="117"/>
      <c r="B152" s="118"/>
      <c r="C152" s="119"/>
      <c r="D152" s="118"/>
      <c r="E152" s="37"/>
      <c r="F152" s="37"/>
      <c r="G152" s="120"/>
      <c r="H152" s="121"/>
      <c r="I152" s="45"/>
      <c r="J152" s="46"/>
      <c r="K152" s="46"/>
      <c r="L152" s="122"/>
      <c r="M152" s="122"/>
      <c r="N152" s="47"/>
      <c r="O152" s="48"/>
      <c r="P152" s="49"/>
      <c r="Q152" s="48"/>
      <c r="R152" s="123"/>
      <c r="S152" s="123"/>
      <c r="T152" s="50"/>
      <c r="U152" s="50"/>
      <c r="V152" s="50"/>
      <c r="W152" s="50"/>
      <c r="X152" s="55"/>
      <c r="Y152" s="52"/>
      <c r="Z152" s="50"/>
      <c r="AA152" s="50"/>
      <c r="AB152" s="50"/>
      <c r="AC152" s="50">
        <f>K152-T152</f>
        <v>0</v>
      </c>
      <c r="AD152" s="50">
        <f>+AM152+BA152</f>
        <v>40</v>
      </c>
      <c r="AE152" s="101" t="s">
        <v>114</v>
      </c>
      <c r="AF152" s="124"/>
      <c r="AG152" s="124"/>
      <c r="AH152" s="124">
        <v>40</v>
      </c>
      <c r="AJ152" s="50"/>
      <c r="AK152" s="50"/>
      <c r="AL152" s="50"/>
      <c r="AM152" s="50">
        <f t="shared" si="63"/>
        <v>40</v>
      </c>
      <c r="AN152" s="50"/>
      <c r="AO152" s="50"/>
      <c r="AP152" s="50"/>
      <c r="AQ152" s="50"/>
      <c r="AR152" s="50">
        <f t="shared" si="65"/>
        <v>0</v>
      </c>
      <c r="AS152" s="50"/>
      <c r="AT152" s="50"/>
      <c r="AU152" s="50"/>
      <c r="AV152" s="50"/>
      <c r="AW152" s="50"/>
      <c r="AX152" s="50"/>
      <c r="AY152" s="50"/>
      <c r="AZ152" s="50"/>
      <c r="BA152" s="50">
        <f t="shared" si="64"/>
        <v>0</v>
      </c>
      <c r="BB152" s="124"/>
      <c r="BC152" s="146"/>
      <c r="BD152" s="146"/>
      <c r="BE152" s="124"/>
      <c r="BF152" s="146"/>
    </row>
    <row r="153" spans="1:58" ht="16.5" customHeight="1" x14ac:dyDescent="0.2">
      <c r="A153" s="117"/>
      <c r="B153" s="118"/>
      <c r="C153" s="119"/>
      <c r="D153" s="118"/>
      <c r="E153" s="37"/>
      <c r="F153" s="37"/>
      <c r="G153" s="120"/>
      <c r="H153" s="121"/>
      <c r="I153" s="45"/>
      <c r="J153" s="46"/>
      <c r="K153" s="46"/>
      <c r="L153" s="122"/>
      <c r="M153" s="122"/>
      <c r="N153" s="47"/>
      <c r="O153" s="48"/>
      <c r="P153" s="49"/>
      <c r="Q153" s="48"/>
      <c r="R153" s="123"/>
      <c r="S153" s="123"/>
      <c r="T153" s="50"/>
      <c r="U153" s="50"/>
      <c r="V153" s="50"/>
      <c r="W153" s="50"/>
      <c r="X153" s="51"/>
      <c r="Y153" s="52"/>
      <c r="Z153" s="50"/>
      <c r="AA153" s="53"/>
      <c r="AB153" s="53"/>
      <c r="AC153" s="50"/>
      <c r="AD153" s="50"/>
      <c r="AE153" s="101"/>
      <c r="AF153" s="50"/>
      <c r="AG153" s="50"/>
      <c r="AH153" s="50"/>
      <c r="AI153" s="54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124"/>
      <c r="BC153" s="116"/>
      <c r="BD153" s="116"/>
      <c r="BE153" s="116"/>
      <c r="BF153" s="116"/>
    </row>
    <row r="154" spans="1:58" ht="12" customHeight="1" x14ac:dyDescent="0.2">
      <c r="A154" s="117">
        <v>45989</v>
      </c>
      <c r="B154" s="118" t="s">
        <v>115</v>
      </c>
      <c r="C154" s="119">
        <f t="shared" ref="C154:C155" si="66">(M154*E154*O154*Q154)/100000000</f>
        <v>20.860001390366968</v>
      </c>
      <c r="D154" s="118" t="s">
        <v>177</v>
      </c>
      <c r="E154" s="37">
        <v>12</v>
      </c>
      <c r="F154" s="37">
        <v>1</v>
      </c>
      <c r="G154" s="120">
        <v>1230</v>
      </c>
      <c r="H154" s="121">
        <f t="shared" ref="H154:H155" si="67">+N154</f>
        <v>0.23029115327594163</v>
      </c>
      <c r="I154" s="45">
        <v>0.88</v>
      </c>
      <c r="J154" s="46">
        <f t="shared" ref="J154:J155" si="68">E154*G154*(1-H154)*1440/1000000*2.74</f>
        <v>44.825577210364401</v>
      </c>
      <c r="K154" s="46">
        <f t="shared" ref="K154:K155" si="69">(IF(G154&lt;L154,L154,G154)*(1-IF(H154&lt;N154,H154,N154))*E154*O154*Q154)/100000000</f>
        <v>20.905480855692872</v>
      </c>
      <c r="L154" s="122">
        <v>1227.3241590214068</v>
      </c>
      <c r="M154" s="122">
        <v>944.68226299694186</v>
      </c>
      <c r="N154" s="47">
        <f t="shared" ref="N154:N155" si="70">1-(M154/L154)</f>
        <v>0.23029115327594163</v>
      </c>
      <c r="O154" s="48">
        <f>+'[3]Trim Rwd'!H70</f>
        <v>262.5</v>
      </c>
      <c r="P154" s="49">
        <f t="shared" ref="P154:P155" si="71">O154*(Q154-R154-S154)</f>
        <v>162225</v>
      </c>
      <c r="Q154" s="48">
        <f>654+47</f>
        <v>701</v>
      </c>
      <c r="R154" s="123">
        <v>47</v>
      </c>
      <c r="S154" s="123">
        <v>36</v>
      </c>
      <c r="T154" s="50">
        <f t="shared" ref="T154:T155" si="72">E154*M154*O154*Q154/100000000</f>
        <v>20.860001390366968</v>
      </c>
      <c r="U154" s="50">
        <f t="shared" ref="U154:U155" si="73">E154*M154*O154*(Q154-R154-S154)/100000000</f>
        <v>18.390129613761466</v>
      </c>
      <c r="V154" s="50">
        <f t="shared" ref="V154:V155" si="74">E154*G154*(1-N154)*O154/100*(R154+S154)/1000000</f>
        <v>2.4752566491048622</v>
      </c>
      <c r="W154" s="50">
        <f>+'[3]28'!K7/1000</f>
        <v>18.027999999999999</v>
      </c>
      <c r="X154" s="51">
        <f>SUM(W154:W158)/SUM(K154:K158)</f>
        <v>0.88846416455897692</v>
      </c>
      <c r="Y154" s="52">
        <v>0</v>
      </c>
      <c r="Z154" s="50">
        <f>+'[3]28'!D16/1000</f>
        <v>0.53500000000000003</v>
      </c>
      <c r="AA154" s="53">
        <f>SUM(U154:U158)-SUM(W154:W158)-SUM(Z154:Z158)-SUM(Y154:Y158)</f>
        <v>0.66136944939340137</v>
      </c>
      <c r="AB154" s="53">
        <f>(SUM(K154:K158)-SUM(W154:W158)-SUM(Y154:Y158)-SUM(Z154:Z158)-SUM(AC154:AC158)-SUM(V154:V158))-AA154</f>
        <v>-7.5234961312943271E-3</v>
      </c>
      <c r="AC154" s="50">
        <f>K154-T154</f>
        <v>4.54794653259043E-2</v>
      </c>
      <c r="AD154" s="50">
        <f>+AM154+BA154</f>
        <v>27</v>
      </c>
      <c r="AE154" s="101" t="s">
        <v>189</v>
      </c>
      <c r="AF154" s="50">
        <v>27</v>
      </c>
      <c r="AG154" s="50"/>
      <c r="AH154" s="50"/>
      <c r="AI154" s="54"/>
      <c r="AJ154" s="50"/>
      <c r="AK154" s="50"/>
      <c r="AL154" s="50"/>
      <c r="AM154" s="50">
        <f t="shared" ref="AM154:AM156" si="75">SUM(AF154:AL154)+AT154+AV154+AX154</f>
        <v>27</v>
      </c>
      <c r="AN154" s="50"/>
      <c r="AO154" s="50"/>
      <c r="AP154" s="50"/>
      <c r="AQ154" s="50"/>
      <c r="AR154" s="50">
        <f>SUM(AN154:AQ154)</f>
        <v>0</v>
      </c>
      <c r="AS154" s="50"/>
      <c r="AT154" s="50"/>
      <c r="AU154" s="50"/>
      <c r="AV154" s="50"/>
      <c r="AW154" s="50"/>
      <c r="AX154" s="50"/>
      <c r="AY154" s="50"/>
      <c r="AZ154" s="50"/>
      <c r="BA154" s="50">
        <f t="shared" ref="BA154:BA157" si="76">+AR154+AS154+AU154+AW154+AY154+AZ154</f>
        <v>0</v>
      </c>
      <c r="BB154" s="124">
        <v>9</v>
      </c>
      <c r="BC154" s="116"/>
      <c r="BD154" s="116"/>
      <c r="BE154" s="124"/>
      <c r="BF154" s="116"/>
    </row>
    <row r="155" spans="1:58" ht="12.95" customHeight="1" x14ac:dyDescent="0.2">
      <c r="A155" s="117"/>
      <c r="B155" s="118" t="s">
        <v>115</v>
      </c>
      <c r="C155" s="119">
        <f t="shared" si="66"/>
        <v>23.068211165999998</v>
      </c>
      <c r="D155" s="118" t="s">
        <v>177</v>
      </c>
      <c r="E155" s="37">
        <v>13</v>
      </c>
      <c r="F155" s="37">
        <v>1</v>
      </c>
      <c r="G155" s="120">
        <v>1230</v>
      </c>
      <c r="H155" s="121">
        <f t="shared" si="67"/>
        <v>0.23000000000000009</v>
      </c>
      <c r="I155" s="45">
        <v>0.88</v>
      </c>
      <c r="J155" s="46">
        <f t="shared" si="68"/>
        <v>48.579410880000005</v>
      </c>
      <c r="K155" s="46">
        <f t="shared" si="69"/>
        <v>23.110925837999996</v>
      </c>
      <c r="L155" s="122">
        <v>1227.726657645467</v>
      </c>
      <c r="M155" s="122">
        <v>945.3495263870094</v>
      </c>
      <c r="N155" s="47">
        <f t="shared" si="70"/>
        <v>0.23000000000000009</v>
      </c>
      <c r="O155" s="48">
        <f>+'[3]Trim Rwd'!H71</f>
        <v>254</v>
      </c>
      <c r="P155" s="49">
        <f t="shared" si="71"/>
        <v>178308</v>
      </c>
      <c r="Q155" s="48">
        <v>739</v>
      </c>
      <c r="R155" s="123">
        <v>0</v>
      </c>
      <c r="S155" s="123">
        <v>37</v>
      </c>
      <c r="T155" s="50">
        <f t="shared" si="72"/>
        <v>23.068211165999998</v>
      </c>
      <c r="U155" s="50">
        <f t="shared" si="73"/>
        <v>21.913239835631934</v>
      </c>
      <c r="V155" s="50">
        <f t="shared" si="74"/>
        <v>1.1571099539999998</v>
      </c>
      <c r="W155" s="50">
        <f>+'[3]28'!K8/1000</f>
        <v>21.079000000000001</v>
      </c>
      <c r="X155" s="55"/>
      <c r="Y155" s="52"/>
      <c r="Z155" s="50">
        <f>+'[3]27'!D29/1000</f>
        <v>0</v>
      </c>
      <c r="AA155" s="50"/>
      <c r="AB155" s="50"/>
      <c r="AC155" s="50">
        <f>K155-T155</f>
        <v>4.2714671999998899E-2</v>
      </c>
      <c r="AD155" s="50">
        <f>+AM155+BA155</f>
        <v>2</v>
      </c>
      <c r="AE155" s="101" t="s">
        <v>174</v>
      </c>
      <c r="AF155" s="50"/>
      <c r="AG155" s="50">
        <v>2</v>
      </c>
      <c r="AH155" s="50"/>
      <c r="AI155" s="54"/>
      <c r="AJ155" s="50"/>
      <c r="AK155" s="50"/>
      <c r="AL155" s="50"/>
      <c r="AM155" s="50">
        <f t="shared" si="75"/>
        <v>2</v>
      </c>
      <c r="AN155" s="125"/>
      <c r="AO155" s="50"/>
      <c r="AP155" s="50"/>
      <c r="AQ155" s="50"/>
      <c r="AR155" s="50">
        <f t="shared" ref="AR155:AR156" si="77">SUM(AN155:AQ155)</f>
        <v>0</v>
      </c>
      <c r="AS155" s="50"/>
      <c r="AT155" s="50"/>
      <c r="AU155" s="50"/>
      <c r="AV155" s="50"/>
      <c r="AW155" s="50"/>
      <c r="AX155" s="50"/>
      <c r="AY155" s="50"/>
      <c r="AZ155" s="50"/>
      <c r="BA155" s="50">
        <f t="shared" si="76"/>
        <v>0</v>
      </c>
      <c r="BB155" s="126"/>
      <c r="BC155" s="116">
        <v>1</v>
      </c>
      <c r="BD155" s="116"/>
      <c r="BE155" s="126"/>
      <c r="BF155" s="116"/>
    </row>
    <row r="156" spans="1:58" ht="12.95" customHeight="1" x14ac:dyDescent="0.2">
      <c r="A156" s="117"/>
      <c r="B156" s="118"/>
      <c r="C156" s="119"/>
      <c r="D156" s="118"/>
      <c r="E156" s="37"/>
      <c r="F156" s="37"/>
      <c r="G156" s="120"/>
      <c r="H156" s="121"/>
      <c r="I156" s="45"/>
      <c r="J156" s="46"/>
      <c r="K156" s="46"/>
      <c r="L156" s="122"/>
      <c r="M156" s="122"/>
      <c r="N156" s="47"/>
      <c r="O156" s="48"/>
      <c r="P156" s="49"/>
      <c r="Q156" s="48"/>
      <c r="R156" s="123"/>
      <c r="S156" s="123"/>
      <c r="T156" s="50"/>
      <c r="U156" s="50"/>
      <c r="V156" s="50"/>
      <c r="W156" s="50"/>
      <c r="X156" s="55"/>
      <c r="Y156" s="52"/>
      <c r="Z156" s="50"/>
      <c r="AA156" s="50"/>
      <c r="AB156" s="50"/>
      <c r="AC156" s="50">
        <f>K156-T156</f>
        <v>0</v>
      </c>
      <c r="AD156" s="50">
        <f>+AM156+BA156</f>
        <v>44</v>
      </c>
      <c r="AE156" s="101" t="s">
        <v>130</v>
      </c>
      <c r="AF156" s="124"/>
      <c r="AG156" s="124"/>
      <c r="AH156" s="124">
        <v>44</v>
      </c>
      <c r="AJ156" s="50"/>
      <c r="AK156" s="50"/>
      <c r="AL156" s="50"/>
      <c r="AM156" s="50">
        <f t="shared" si="75"/>
        <v>44</v>
      </c>
      <c r="AN156" s="50"/>
      <c r="AO156" s="50"/>
      <c r="AP156" s="50"/>
      <c r="AQ156" s="50"/>
      <c r="AR156" s="50">
        <f t="shared" si="77"/>
        <v>0</v>
      </c>
      <c r="AS156" s="50"/>
      <c r="AT156" s="50"/>
      <c r="AU156" s="50"/>
      <c r="AV156" s="50"/>
      <c r="AW156" s="50"/>
      <c r="AX156" s="50"/>
      <c r="AY156" s="50"/>
      <c r="AZ156" s="50"/>
      <c r="BA156" s="50">
        <f t="shared" si="76"/>
        <v>0</v>
      </c>
      <c r="BB156" s="124"/>
      <c r="BC156" s="146"/>
      <c r="BD156" s="146"/>
      <c r="BE156" s="124"/>
      <c r="BF156" s="146"/>
    </row>
    <row r="157" spans="1:58" ht="12.95" customHeight="1" x14ac:dyDescent="0.2">
      <c r="A157" s="117"/>
      <c r="B157" s="118"/>
      <c r="C157" s="119"/>
      <c r="D157" s="118"/>
      <c r="E157" s="37"/>
      <c r="F157" s="37"/>
      <c r="G157" s="120"/>
      <c r="H157" s="121"/>
      <c r="I157" s="45"/>
      <c r="J157" s="46"/>
      <c r="K157" s="46"/>
      <c r="L157" s="122"/>
      <c r="M157" s="122"/>
      <c r="N157" s="47"/>
      <c r="O157" s="48"/>
      <c r="P157" s="49"/>
      <c r="Q157" s="48"/>
      <c r="R157" s="123"/>
      <c r="S157" s="123"/>
      <c r="T157" s="50"/>
      <c r="U157" s="50"/>
      <c r="V157" s="50"/>
      <c r="W157" s="50"/>
      <c r="X157" s="55"/>
      <c r="Y157" s="52"/>
      <c r="Z157" s="50"/>
      <c r="AA157" s="50"/>
      <c r="AB157" s="50"/>
      <c r="AC157" s="50">
        <f>K157-T157</f>
        <v>0</v>
      </c>
      <c r="AD157" s="50">
        <f>+AM157+BA157</f>
        <v>47</v>
      </c>
      <c r="AE157" s="101" t="s">
        <v>256</v>
      </c>
      <c r="AF157" s="124"/>
      <c r="AG157" s="124"/>
      <c r="AH157" s="124"/>
      <c r="AJ157" s="50"/>
      <c r="AK157" s="50"/>
      <c r="AL157" s="50"/>
      <c r="AM157" s="50">
        <f t="shared" ref="AM157" si="78">SUM(AF157:AL157)+AT157+AV157+AX157</f>
        <v>0</v>
      </c>
      <c r="AN157" s="50">
        <v>47</v>
      </c>
      <c r="AO157" s="50"/>
      <c r="AP157" s="50"/>
      <c r="AQ157" s="50"/>
      <c r="AR157" s="50">
        <f t="shared" ref="AR157" si="79">SUM(AN157:AQ157)</f>
        <v>47</v>
      </c>
      <c r="AS157" s="50"/>
      <c r="AT157" s="50"/>
      <c r="AU157" s="50"/>
      <c r="AV157" s="50"/>
      <c r="AW157" s="50"/>
      <c r="AX157" s="50"/>
      <c r="AY157" s="50"/>
      <c r="AZ157" s="50"/>
      <c r="BA157" s="50">
        <f t="shared" si="76"/>
        <v>47</v>
      </c>
      <c r="BB157" s="124"/>
      <c r="BC157" s="146"/>
      <c r="BD157" s="146"/>
      <c r="BE157" s="124"/>
      <c r="BF157" s="146"/>
    </row>
    <row r="158" spans="1:58" ht="12.75" customHeight="1" x14ac:dyDescent="0.25">
      <c r="A158" s="117"/>
      <c r="B158" s="102"/>
      <c r="C158" s="119"/>
      <c r="D158" s="118"/>
      <c r="E158" s="37"/>
      <c r="F158" s="37"/>
      <c r="G158" s="127"/>
      <c r="H158" s="121"/>
      <c r="I158" s="45"/>
      <c r="J158" s="46"/>
      <c r="K158" s="46"/>
      <c r="L158" s="122"/>
      <c r="M158" s="122"/>
      <c r="N158" s="47"/>
      <c r="O158" s="48"/>
      <c r="P158" s="49"/>
      <c r="Q158" s="56"/>
      <c r="R158" s="123"/>
      <c r="S158" s="123"/>
      <c r="T158" s="50"/>
      <c r="U158" s="50"/>
      <c r="V158" s="50"/>
      <c r="W158" s="50"/>
      <c r="X158" s="55"/>
      <c r="Y158" s="55"/>
      <c r="Z158" s="50"/>
      <c r="AA158" s="53"/>
      <c r="AB158" s="53"/>
      <c r="AC158" s="50"/>
      <c r="AD158" s="50"/>
      <c r="AE158" s="101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124"/>
      <c r="BC158" s="116"/>
      <c r="BD158" s="116"/>
      <c r="BE158" s="116"/>
      <c r="BF158" s="116"/>
    </row>
    <row r="159" spans="1:58" ht="12" customHeight="1" x14ac:dyDescent="0.2">
      <c r="A159" s="117">
        <v>45990</v>
      </c>
      <c r="B159" s="118" t="s">
        <v>115</v>
      </c>
      <c r="C159" s="119">
        <f t="shared" ref="C159:C160" si="80">(M159*E159*O159*Q159)/100000000</f>
        <v>7.5324849599999997</v>
      </c>
      <c r="D159" s="118" t="s">
        <v>177</v>
      </c>
      <c r="E159" s="37">
        <v>12</v>
      </c>
      <c r="F159" s="37">
        <v>1</v>
      </c>
      <c r="G159" s="120">
        <v>1230</v>
      </c>
      <c r="H159" s="121">
        <f t="shared" ref="H159:H160" si="81">+N159</f>
        <v>0.22999999999999998</v>
      </c>
      <c r="I159" s="45">
        <v>0.88</v>
      </c>
      <c r="J159" s="46">
        <f t="shared" ref="J159:J160" si="82">E159*G159*(1-H159)*1440/1000000*2.74</f>
        <v>44.842533120000006</v>
      </c>
      <c r="K159" s="46">
        <f t="shared" ref="K159:K160" si="83">(IF(G159&lt;L159,L159,G159)*(1-IF(H159&lt;N159,H159,N159))*E159*O159*Q159)/100000000</f>
        <v>7.5942266399999996</v>
      </c>
      <c r="L159" s="122">
        <v>1220</v>
      </c>
      <c r="M159" s="122">
        <v>939.4</v>
      </c>
      <c r="N159" s="47">
        <f t="shared" ref="N159:N160" si="84">1-(M159/L159)</f>
        <v>0.22999999999999998</v>
      </c>
      <c r="O159" s="48">
        <f>+'[3]Trim Rwd'!H73</f>
        <v>260</v>
      </c>
      <c r="P159" s="49">
        <f t="shared" ref="P159:P160" si="85">O159*(Q159-R159-S159)</f>
        <v>62660</v>
      </c>
      <c r="Q159" s="48">
        <v>257</v>
      </c>
      <c r="R159" s="123">
        <v>0</v>
      </c>
      <c r="S159" s="123">
        <v>16</v>
      </c>
      <c r="T159" s="50">
        <f t="shared" ref="T159:T160" si="86">E159*M159*O159*Q159/100000000</f>
        <v>7.5324849599999997</v>
      </c>
      <c r="U159" s="50">
        <f t="shared" ref="U159:U160" si="87">E159*M159*O159*(Q159-R159-S159)/100000000</f>
        <v>7.0635364799999998</v>
      </c>
      <c r="V159" s="50">
        <f t="shared" ref="V159:V160" si="88">E159*G159*(1-N159)*O159/100*(R159+S159)/1000000</f>
        <v>0.47279231999999999</v>
      </c>
      <c r="W159" s="50">
        <f>+'[3]29'!K7/1000</f>
        <v>9.76</v>
      </c>
      <c r="X159" s="51">
        <f>SUM(W159:W162)/SUM(K159:K162)</f>
        <v>0.80833331055278401</v>
      </c>
      <c r="Y159" s="52">
        <v>0</v>
      </c>
      <c r="Z159" s="50">
        <f>+'[3]26'!D47/1000</f>
        <v>0</v>
      </c>
      <c r="AA159" s="53">
        <f>SUM(U159:U162)-SUM(W159:W162)-SUM(Z159:Z162)-SUM(Y159:Y162)</f>
        <v>3.4910459200000119</v>
      </c>
      <c r="AB159" s="53">
        <f>(SUM(K159:K162)-SUM(W159:W162)-SUM(Y159:Y162)-SUM(Z159:Z162)-SUM(AC159:AC162)-SUM(V159:V162))-AA159</f>
        <v>-0.1559958400000041</v>
      </c>
      <c r="AC159" s="50">
        <f>K159-T159</f>
        <v>6.174167999999991E-2</v>
      </c>
      <c r="AD159" s="50">
        <f>+AM159+BA159</f>
        <v>9</v>
      </c>
      <c r="AE159" s="101" t="s">
        <v>165</v>
      </c>
      <c r="AF159" s="50">
        <v>9</v>
      </c>
      <c r="AG159" s="50"/>
      <c r="AH159" s="50"/>
      <c r="AI159" s="54"/>
      <c r="AJ159" s="50"/>
      <c r="AK159" s="50"/>
      <c r="AL159" s="50"/>
      <c r="AM159" s="50">
        <f t="shared" ref="AM159:AM161" si="89">SUM(AF159:AL159)+AT159+AV159+AX159</f>
        <v>9</v>
      </c>
      <c r="AN159" s="50"/>
      <c r="AO159" s="50"/>
      <c r="AP159" s="50"/>
      <c r="AQ159" s="50"/>
      <c r="AR159" s="50">
        <f>SUM(AN159:AQ159)</f>
        <v>0</v>
      </c>
      <c r="AS159" s="50"/>
      <c r="AT159" s="50"/>
      <c r="AU159" s="50"/>
      <c r="AV159" s="50"/>
      <c r="AW159" s="50"/>
      <c r="AX159" s="50"/>
      <c r="AY159" s="50"/>
      <c r="AZ159" s="50"/>
      <c r="BA159" s="50">
        <f t="shared" ref="BA159:BA161" si="90">+AR159+AS159+AU159+AW159+AY159+AZ159</f>
        <v>0</v>
      </c>
      <c r="BB159" s="124">
        <v>3</v>
      </c>
      <c r="BC159" s="116"/>
      <c r="BD159" s="116"/>
      <c r="BE159" s="124"/>
      <c r="BF159" s="116"/>
    </row>
    <row r="160" spans="1:58" ht="12.95" customHeight="1" x14ac:dyDescent="0.2">
      <c r="A160" s="117"/>
      <c r="B160" s="118" t="s">
        <v>115</v>
      </c>
      <c r="C160" s="119">
        <f t="shared" si="80"/>
        <v>36.653693440000005</v>
      </c>
      <c r="D160" s="118" t="s">
        <v>177</v>
      </c>
      <c r="E160" s="37">
        <v>14</v>
      </c>
      <c r="F160" s="37">
        <v>1</v>
      </c>
      <c r="G160" s="120">
        <v>1230</v>
      </c>
      <c r="H160" s="121">
        <f t="shared" si="81"/>
        <v>0.24</v>
      </c>
      <c r="I160" s="45">
        <v>0.88</v>
      </c>
      <c r="J160" s="46">
        <f t="shared" si="82"/>
        <v>51.636856320000007</v>
      </c>
      <c r="K160" s="46">
        <f t="shared" si="83"/>
        <v>40.253609759999996</v>
      </c>
      <c r="L160" s="122">
        <v>1120</v>
      </c>
      <c r="M160" s="122">
        <v>851.2</v>
      </c>
      <c r="N160" s="47">
        <f t="shared" si="84"/>
        <v>0.24</v>
      </c>
      <c r="O160" s="48">
        <f>+'[3]Trim Rwd'!H74</f>
        <v>260</v>
      </c>
      <c r="P160" s="49">
        <f t="shared" si="85"/>
        <v>294580</v>
      </c>
      <c r="Q160" s="48">
        <v>1183</v>
      </c>
      <c r="R160" s="123">
        <v>0</v>
      </c>
      <c r="S160" s="123">
        <v>50</v>
      </c>
      <c r="T160" s="50">
        <f t="shared" si="86"/>
        <v>36.653693440000005</v>
      </c>
      <c r="U160" s="50">
        <f t="shared" si="87"/>
        <v>35.104509440000008</v>
      </c>
      <c r="V160" s="50">
        <f t="shared" si="88"/>
        <v>1.701336</v>
      </c>
      <c r="W160" s="50">
        <f>+'[3]29'!K8/1000</f>
        <v>28.917000000000002</v>
      </c>
      <c r="X160" s="55"/>
      <c r="Y160" s="52"/>
      <c r="Z160" s="50"/>
      <c r="AA160" s="50"/>
      <c r="AB160" s="50"/>
      <c r="AC160" s="50">
        <f>K160-T160</f>
        <v>3.5999163199999913</v>
      </c>
      <c r="AD160" s="50">
        <f>+AM160+BA160</f>
        <v>16</v>
      </c>
      <c r="AE160" s="101" t="s">
        <v>133</v>
      </c>
      <c r="AF160" s="50"/>
      <c r="AG160" s="50">
        <v>16</v>
      </c>
      <c r="AH160" s="50"/>
      <c r="AI160" s="54"/>
      <c r="AJ160" s="50"/>
      <c r="AK160" s="50"/>
      <c r="AL160" s="50"/>
      <c r="AM160" s="50">
        <f t="shared" si="89"/>
        <v>16</v>
      </c>
      <c r="AN160" s="125"/>
      <c r="AO160" s="50"/>
      <c r="AP160" s="50"/>
      <c r="AQ160" s="50"/>
      <c r="AR160" s="50">
        <f t="shared" ref="AR160:AR161" si="91">SUM(AN160:AQ160)</f>
        <v>0</v>
      </c>
      <c r="AS160" s="50"/>
      <c r="AT160" s="50"/>
      <c r="AU160" s="50"/>
      <c r="AV160" s="50"/>
      <c r="AW160" s="50"/>
      <c r="AX160" s="50"/>
      <c r="AY160" s="50"/>
      <c r="AZ160" s="50"/>
      <c r="BA160" s="50">
        <f t="shared" si="90"/>
        <v>0</v>
      </c>
      <c r="BB160" s="126"/>
      <c r="BC160" s="116">
        <v>10</v>
      </c>
      <c r="BD160" s="116"/>
      <c r="BE160" s="126"/>
      <c r="BF160" s="116"/>
    </row>
    <row r="161" spans="1:58" ht="12.95" customHeight="1" x14ac:dyDescent="0.2">
      <c r="A161" s="117"/>
      <c r="B161" s="118"/>
      <c r="C161" s="119"/>
      <c r="D161" s="118"/>
      <c r="E161" s="37"/>
      <c r="F161" s="37"/>
      <c r="G161" s="120"/>
      <c r="H161" s="121"/>
      <c r="I161" s="45"/>
      <c r="J161" s="46"/>
      <c r="K161" s="46"/>
      <c r="L161" s="122"/>
      <c r="M161" s="122"/>
      <c r="N161" s="47"/>
      <c r="O161" s="48"/>
      <c r="P161" s="49"/>
      <c r="Q161" s="48"/>
      <c r="R161" s="123"/>
      <c r="S161" s="123"/>
      <c r="T161" s="50"/>
      <c r="U161" s="50"/>
      <c r="V161" s="50"/>
      <c r="W161" s="50"/>
      <c r="X161" s="55"/>
      <c r="Y161" s="52"/>
      <c r="Z161" s="50"/>
      <c r="AA161" s="50"/>
      <c r="AB161" s="50"/>
      <c r="AC161" s="50">
        <f>K161-T161</f>
        <v>0</v>
      </c>
      <c r="AD161" s="50">
        <f>+AM161+BA161</f>
        <v>41</v>
      </c>
      <c r="AE161" s="101" t="s">
        <v>169</v>
      </c>
      <c r="AF161" s="124"/>
      <c r="AG161" s="124"/>
      <c r="AH161" s="124">
        <v>41</v>
      </c>
      <c r="AJ161" s="50"/>
      <c r="AK161" s="50"/>
      <c r="AL161" s="50"/>
      <c r="AM161" s="50">
        <f t="shared" si="89"/>
        <v>41</v>
      </c>
      <c r="AN161" s="50"/>
      <c r="AO161" s="50"/>
      <c r="AP161" s="50"/>
      <c r="AQ161" s="50"/>
      <c r="AR161" s="50">
        <f t="shared" si="91"/>
        <v>0</v>
      </c>
      <c r="AS161" s="50"/>
      <c r="AT161" s="50"/>
      <c r="AU161" s="50"/>
      <c r="AV161" s="50"/>
      <c r="AW161" s="50"/>
      <c r="AX161" s="50"/>
      <c r="AY161" s="50"/>
      <c r="AZ161" s="50"/>
      <c r="BA161" s="50">
        <f t="shared" si="90"/>
        <v>0</v>
      </c>
      <c r="BB161" s="124"/>
      <c r="BC161" s="146"/>
      <c r="BD161" s="146"/>
      <c r="BE161" s="124"/>
      <c r="BF161" s="146"/>
    </row>
    <row r="162" spans="1:58" ht="16.5" customHeight="1" x14ac:dyDescent="0.2">
      <c r="A162" s="117"/>
      <c r="B162" s="118"/>
      <c r="C162" s="119"/>
      <c r="D162" s="118"/>
      <c r="E162" s="37"/>
      <c r="F162" s="37"/>
      <c r="G162" s="120"/>
      <c r="H162" s="121"/>
      <c r="I162" s="45"/>
      <c r="J162" s="46"/>
      <c r="K162" s="46"/>
      <c r="L162" s="122"/>
      <c r="M162" s="122"/>
      <c r="N162" s="47"/>
      <c r="O162" s="48"/>
      <c r="P162" s="49"/>
      <c r="Q162" s="48"/>
      <c r="R162" s="123"/>
      <c r="S162" s="123"/>
      <c r="T162" s="50"/>
      <c r="U162" s="50"/>
      <c r="V162" s="50"/>
      <c r="W162" s="50"/>
      <c r="X162" s="51"/>
      <c r="Y162" s="52"/>
      <c r="Z162" s="50"/>
      <c r="AA162" s="53"/>
      <c r="AB162" s="53"/>
      <c r="AC162" s="50"/>
      <c r="AD162" s="50"/>
      <c r="AE162" s="101"/>
      <c r="AF162" s="50"/>
      <c r="AG162" s="50"/>
      <c r="AH162" s="50"/>
      <c r="AI162" s="54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124"/>
      <c r="BC162" s="116"/>
      <c r="BD162" s="116"/>
      <c r="BE162" s="116"/>
      <c r="BF162" s="116"/>
    </row>
    <row r="163" spans="1:58" ht="12" customHeight="1" x14ac:dyDescent="0.2">
      <c r="A163" s="117">
        <v>45991</v>
      </c>
      <c r="B163" s="118" t="s">
        <v>115</v>
      </c>
      <c r="C163" s="119">
        <f t="shared" ref="C163" si="92">(M163*E163*O163*Q163)/100000000</f>
        <v>44.616499200000007</v>
      </c>
      <c r="D163" s="118" t="s">
        <v>177</v>
      </c>
      <c r="E163" s="37">
        <v>14</v>
      </c>
      <c r="F163" s="37">
        <v>1</v>
      </c>
      <c r="G163" s="120">
        <v>1230</v>
      </c>
      <c r="H163" s="121">
        <f t="shared" ref="H163" si="93">+N163</f>
        <v>0.24</v>
      </c>
      <c r="I163" s="45">
        <v>0.88</v>
      </c>
      <c r="J163" s="46">
        <f t="shared" ref="J163" si="94">E163*G163*(1-H163)*1440/1000000*2.74</f>
        <v>51.636856320000007</v>
      </c>
      <c r="K163" s="46">
        <f t="shared" ref="K163" si="95">(IF(G163&lt;L163,L163,G163)*(1-IF(H163&lt;N163,H163,N163))*E163*O163*Q163)/100000000</f>
        <v>48.998476799999992</v>
      </c>
      <c r="L163" s="122">
        <v>1120</v>
      </c>
      <c r="M163" s="122">
        <v>851.2</v>
      </c>
      <c r="N163" s="47">
        <f t="shared" ref="N163" si="96">1-(M163/L163)</f>
        <v>0.24</v>
      </c>
      <c r="O163" s="48">
        <f>+'[3]Trim Rwd'!H77</f>
        <v>260</v>
      </c>
      <c r="P163" s="49">
        <f t="shared" ref="P163" si="97">O163*(Q163-R163-S163)</f>
        <v>357240</v>
      </c>
      <c r="Q163" s="48">
        <v>1440</v>
      </c>
      <c r="R163" s="123">
        <v>0</v>
      </c>
      <c r="S163" s="123">
        <v>66</v>
      </c>
      <c r="T163" s="50">
        <f t="shared" ref="T163" si="98">E163*M163*O163*Q163/100000000</f>
        <v>44.616499200000007</v>
      </c>
      <c r="U163" s="50">
        <f t="shared" ref="U163" si="99">E163*M163*O163*(Q163-R163-S163)/100000000</f>
        <v>42.571576320000005</v>
      </c>
      <c r="V163" s="50">
        <f t="shared" ref="V163" si="100">E163*G163*(1-N163)*O163/100*(R163+S163)/1000000</f>
        <v>2.2457635200000001</v>
      </c>
      <c r="W163" s="50">
        <f>+'[3]30'!K9/1000</f>
        <v>41.048999999999999</v>
      </c>
      <c r="X163" s="51">
        <f>SUM(W163:W166)/SUM(K163:K166)</f>
        <v>0.83776073626843861</v>
      </c>
      <c r="Y163" s="52">
        <f>+SUM([3]RBP!AG3:AG4)</f>
        <v>3.7170000000000001</v>
      </c>
      <c r="Z163" s="50">
        <f>+'[3]26'!D51/1000</f>
        <v>0</v>
      </c>
      <c r="AA163" s="53">
        <f>SUM(U163:U166)-SUM(W163:W166)-SUM(Z163:Z166)-SUM(Y163:Y166)</f>
        <v>-2.1944236799999941</v>
      </c>
      <c r="AB163" s="53">
        <f>(SUM(K163:K166)-SUM(W163:W166)-SUM(Y163:Y166)-SUM(Z163:Z166)-SUM(AC163:AC166)-SUM(V163:V166))-AA163</f>
        <v>-0.20084063999999913</v>
      </c>
      <c r="AC163" s="50">
        <f>K163-T163</f>
        <v>4.3819775999999848</v>
      </c>
      <c r="AD163" s="50">
        <f>+AM163+BA163</f>
        <v>9</v>
      </c>
      <c r="AE163" s="101" t="s">
        <v>165</v>
      </c>
      <c r="AF163" s="50">
        <v>9</v>
      </c>
      <c r="AG163" s="50"/>
      <c r="AH163" s="50"/>
      <c r="AI163" s="54"/>
      <c r="AJ163" s="50"/>
      <c r="AK163" s="50"/>
      <c r="AL163" s="50"/>
      <c r="AM163" s="50">
        <f t="shared" ref="AM163:AM165" si="101">SUM(AF163:AL163)+AT163+AV163+AX163</f>
        <v>9</v>
      </c>
      <c r="AN163" s="50"/>
      <c r="AO163" s="50"/>
      <c r="AP163" s="50"/>
      <c r="AQ163" s="50"/>
      <c r="AR163" s="50">
        <f>SUM(AN163:AQ163)</f>
        <v>0</v>
      </c>
      <c r="AS163" s="50"/>
      <c r="AT163" s="50"/>
      <c r="AU163" s="50"/>
      <c r="AV163" s="50"/>
      <c r="AW163" s="50"/>
      <c r="AX163" s="50"/>
      <c r="AY163" s="50"/>
      <c r="AZ163" s="50"/>
      <c r="BA163" s="50">
        <f t="shared" ref="BA163:BA165" si="102">+AR163+AS163+AU163+AW163+AY163+AZ163</f>
        <v>0</v>
      </c>
      <c r="BB163" s="124">
        <v>3</v>
      </c>
      <c r="BC163" s="116"/>
      <c r="BD163" s="116"/>
      <c r="BE163" s="124"/>
      <c r="BF163" s="116"/>
    </row>
    <row r="164" spans="1:58" ht="12.95" customHeight="1" x14ac:dyDescent="0.2">
      <c r="A164" s="117"/>
      <c r="B164" s="118"/>
      <c r="C164" s="119"/>
      <c r="D164" s="118"/>
      <c r="E164" s="37"/>
      <c r="F164" s="37"/>
      <c r="G164" s="120"/>
      <c r="H164" s="121"/>
      <c r="I164" s="45"/>
      <c r="J164" s="46"/>
      <c r="K164" s="46"/>
      <c r="L164" s="122"/>
      <c r="M164" s="122"/>
      <c r="N164" s="47"/>
      <c r="O164" s="48"/>
      <c r="P164" s="49"/>
      <c r="Q164" s="48"/>
      <c r="R164" s="123"/>
      <c r="S164" s="123"/>
      <c r="T164" s="50"/>
      <c r="U164" s="50"/>
      <c r="V164" s="50"/>
      <c r="W164" s="50"/>
      <c r="X164" s="55"/>
      <c r="Y164" s="52"/>
      <c r="Z164" s="50"/>
      <c r="AA164" s="50"/>
      <c r="AB164" s="50"/>
      <c r="AC164" s="50">
        <f>K164-T164</f>
        <v>0</v>
      </c>
      <c r="AD164" s="50">
        <f>+AM164+BA164</f>
        <v>13</v>
      </c>
      <c r="AE164" s="101" t="s">
        <v>133</v>
      </c>
      <c r="AF164" s="50"/>
      <c r="AG164" s="50">
        <v>13</v>
      </c>
      <c r="AH164" s="50"/>
      <c r="AI164" s="54"/>
      <c r="AJ164" s="50"/>
      <c r="AK164" s="50"/>
      <c r="AL164" s="50"/>
      <c r="AM164" s="50">
        <f t="shared" si="101"/>
        <v>13</v>
      </c>
      <c r="AN164" s="125"/>
      <c r="AO164" s="50"/>
      <c r="AP164" s="50"/>
      <c r="AQ164" s="50"/>
      <c r="AR164" s="50">
        <f t="shared" ref="AR164:AR165" si="103">SUM(AN164:AQ164)</f>
        <v>0</v>
      </c>
      <c r="AS164" s="50"/>
      <c r="AT164" s="50"/>
      <c r="AU164" s="50"/>
      <c r="AV164" s="50"/>
      <c r="AW164" s="50"/>
      <c r="AX164" s="50"/>
      <c r="AY164" s="50"/>
      <c r="AZ164" s="50"/>
      <c r="BA164" s="50">
        <f t="shared" si="102"/>
        <v>0</v>
      </c>
      <c r="BB164" s="126"/>
      <c r="BC164" s="116">
        <v>10</v>
      </c>
      <c r="BD164" s="116"/>
      <c r="BE164" s="126"/>
      <c r="BF164" s="116"/>
    </row>
    <row r="165" spans="1:58" ht="12.95" customHeight="1" x14ac:dyDescent="0.2">
      <c r="A165" s="117"/>
      <c r="B165" s="118"/>
      <c r="C165" s="119"/>
      <c r="D165" s="118"/>
      <c r="E165" s="37"/>
      <c r="F165" s="37"/>
      <c r="G165" s="120"/>
      <c r="H165" s="121"/>
      <c r="I165" s="45"/>
      <c r="J165" s="46"/>
      <c r="K165" s="46"/>
      <c r="L165" s="122"/>
      <c r="M165" s="122"/>
      <c r="N165" s="47"/>
      <c r="O165" s="48"/>
      <c r="P165" s="49"/>
      <c r="Q165" s="48"/>
      <c r="R165" s="123"/>
      <c r="S165" s="123"/>
      <c r="T165" s="50"/>
      <c r="U165" s="50"/>
      <c r="V165" s="50"/>
      <c r="W165" s="50"/>
      <c r="X165" s="55"/>
      <c r="Y165" s="52"/>
      <c r="Z165" s="50"/>
      <c r="AA165" s="50"/>
      <c r="AB165" s="50"/>
      <c r="AC165" s="50">
        <f>K165-T165</f>
        <v>0</v>
      </c>
      <c r="AD165" s="50">
        <f>+AM165+BA165</f>
        <v>44</v>
      </c>
      <c r="AE165" s="101" t="s">
        <v>169</v>
      </c>
      <c r="AF165" s="124"/>
      <c r="AG165" s="124"/>
      <c r="AH165" s="124">
        <v>44</v>
      </c>
      <c r="AJ165" s="50"/>
      <c r="AK165" s="50"/>
      <c r="AL165" s="50"/>
      <c r="AM165" s="50">
        <f t="shared" si="101"/>
        <v>44</v>
      </c>
      <c r="AN165" s="50"/>
      <c r="AO165" s="50"/>
      <c r="AP165" s="50"/>
      <c r="AQ165" s="50"/>
      <c r="AR165" s="50">
        <f t="shared" si="103"/>
        <v>0</v>
      </c>
      <c r="AS165" s="50"/>
      <c r="AT165" s="50"/>
      <c r="AU165" s="50"/>
      <c r="AV165" s="50"/>
      <c r="AW165" s="50"/>
      <c r="AX165" s="50"/>
      <c r="AY165" s="50"/>
      <c r="AZ165" s="50"/>
      <c r="BA165" s="50">
        <f t="shared" si="102"/>
        <v>0</v>
      </c>
      <c r="BB165" s="124"/>
      <c r="BC165" s="146"/>
      <c r="BD165" s="146"/>
      <c r="BE165" s="124"/>
      <c r="BF165" s="146"/>
    </row>
    <row r="166" spans="1:58" ht="16.5" customHeight="1" x14ac:dyDescent="0.2">
      <c r="A166" s="117"/>
      <c r="B166" s="118"/>
      <c r="C166" s="119"/>
      <c r="D166" s="118"/>
      <c r="E166" s="37"/>
      <c r="F166" s="37"/>
      <c r="G166" s="120"/>
      <c r="H166" s="121"/>
      <c r="I166" s="45"/>
      <c r="J166" s="46"/>
      <c r="K166" s="46"/>
      <c r="L166" s="122"/>
      <c r="M166" s="122"/>
      <c r="N166" s="47"/>
      <c r="O166" s="48"/>
      <c r="P166" s="49"/>
      <c r="Q166" s="48"/>
      <c r="R166" s="123"/>
      <c r="S166" s="123"/>
      <c r="T166" s="50"/>
      <c r="U166" s="50"/>
      <c r="V166" s="50"/>
      <c r="W166" s="50"/>
      <c r="X166" s="51"/>
      <c r="Y166" s="52"/>
      <c r="Z166" s="50"/>
      <c r="AA166" s="53"/>
      <c r="AB166" s="53"/>
      <c r="AC166" s="50"/>
      <c r="AD166" s="50"/>
      <c r="AE166" s="101"/>
      <c r="AF166" s="50"/>
      <c r="AG166" s="50"/>
      <c r="AH166" s="50"/>
      <c r="AI166" s="54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124"/>
      <c r="BC166" s="116"/>
      <c r="BD166" s="116"/>
      <c r="BE166" s="116"/>
      <c r="BF166" s="116"/>
    </row>
    <row r="167" spans="1:58" x14ac:dyDescent="0.2">
      <c r="R167" s="131"/>
      <c r="S167" s="131"/>
      <c r="AA167" s="59">
        <f>U167-W167-Z167</f>
        <v>0</v>
      </c>
      <c r="AB167" s="59"/>
      <c r="AC167" s="60">
        <f>K167-T167</f>
        <v>0</v>
      </c>
      <c r="AD167" s="50"/>
      <c r="AF167" s="61"/>
      <c r="AG167" s="61"/>
      <c r="AH167" s="61"/>
      <c r="AI167" s="61"/>
      <c r="AJ167" s="61"/>
      <c r="AK167" s="61"/>
      <c r="AL167" s="61"/>
      <c r="AM167" s="50">
        <f t="shared" ref="AM167" si="104">SUM(AF167:AL167)</f>
        <v>0</v>
      </c>
      <c r="AN167" s="61"/>
      <c r="AO167" s="61"/>
      <c r="AP167" s="61"/>
      <c r="AQ167" s="61"/>
      <c r="AR167" s="50">
        <f t="shared" ref="AR167" si="105">SUM(AN167:AQ167)</f>
        <v>0</v>
      </c>
      <c r="AS167" s="61"/>
      <c r="AT167" s="61"/>
      <c r="AU167" s="61"/>
      <c r="AV167" s="61"/>
      <c r="AW167" s="61"/>
      <c r="AX167" s="61"/>
      <c r="AY167" s="61"/>
      <c r="AZ167" s="61"/>
      <c r="BA167" s="50"/>
      <c r="BB167" s="124"/>
      <c r="BC167" s="116"/>
      <c r="BD167" s="116"/>
      <c r="BE167" s="116"/>
      <c r="BF167" s="116"/>
    </row>
    <row r="168" spans="1:58" s="128" customFormat="1" ht="12.95" customHeight="1" x14ac:dyDescent="0.2">
      <c r="A168" s="132"/>
      <c r="B168" s="133"/>
      <c r="C168" s="62">
        <f>SUM(C6:C166)</f>
        <v>576.9540549909965</v>
      </c>
      <c r="D168" s="133"/>
      <c r="E168" s="38"/>
      <c r="F168" s="38"/>
      <c r="G168" s="63"/>
      <c r="H168" s="63"/>
      <c r="I168" s="64">
        <v>0.85</v>
      </c>
      <c r="J168" s="46"/>
      <c r="K168" s="65">
        <f>SUM(K6:K166)</f>
        <v>635.91607022044332</v>
      </c>
      <c r="L168" s="150"/>
      <c r="M168" s="150"/>
      <c r="N168" s="149"/>
      <c r="O168" s="66">
        <f>P168/(Q168-R168-S168)</f>
        <v>260.14017088214786</v>
      </c>
      <c r="P168" s="67">
        <f>SUM(P6:P166)</f>
        <v>4896098.1561729051</v>
      </c>
      <c r="Q168" s="68">
        <f>SUM(Q6:Q167)</f>
        <v>20004</v>
      </c>
      <c r="R168" s="67">
        <f t="shared" ref="R168:W168" si="106">SUM(R6:R166)</f>
        <v>192</v>
      </c>
      <c r="S168" s="67">
        <f t="shared" si="106"/>
        <v>991</v>
      </c>
      <c r="T168" s="67">
        <f t="shared" si="106"/>
        <v>576.9540549909965</v>
      </c>
      <c r="U168" s="67">
        <f t="shared" si="106"/>
        <v>542.75435063668044</v>
      </c>
      <c r="V168" s="69">
        <f t="shared" si="106"/>
        <v>37.64671596964407</v>
      </c>
      <c r="W168" s="70">
        <f t="shared" si="106"/>
        <v>500.22699999999998</v>
      </c>
      <c r="X168" s="71">
        <f>W168/K168</f>
        <v>0.78662424716927493</v>
      </c>
      <c r="Y168" s="72">
        <f>SUM(Y6:Y166)</f>
        <v>3.7170000000000001</v>
      </c>
      <c r="Z168" s="70">
        <f>SUM(Z6:Z166)</f>
        <v>7.9540140315710355</v>
      </c>
      <c r="AA168" s="67">
        <f>SUM(AA6:AA166)</f>
        <v>30.856336605109412</v>
      </c>
      <c r="AB168" s="67">
        <f>SUM(AB6:AB166)</f>
        <v>-3.4470116153279782</v>
      </c>
      <c r="AC168" s="67">
        <f>SUM(AC6:AC166)</f>
        <v>58.962015229446791</v>
      </c>
      <c r="AD168" s="50">
        <f>SUM(AD6:AD167)</f>
        <v>1183</v>
      </c>
      <c r="AE168" s="134"/>
      <c r="AF168" s="67">
        <f t="shared" ref="AF168:BF168" si="107">SUM(AF6:AF167)</f>
        <v>257</v>
      </c>
      <c r="AG168" s="67">
        <f t="shared" si="107"/>
        <v>115</v>
      </c>
      <c r="AH168" s="67">
        <f t="shared" si="107"/>
        <v>529</v>
      </c>
      <c r="AI168" s="67">
        <f t="shared" si="107"/>
        <v>0</v>
      </c>
      <c r="AJ168" s="67">
        <f t="shared" si="107"/>
        <v>0</v>
      </c>
      <c r="AK168" s="67">
        <f t="shared" si="107"/>
        <v>90</v>
      </c>
      <c r="AL168" s="67">
        <f t="shared" si="107"/>
        <v>0</v>
      </c>
      <c r="AM168" s="67">
        <f t="shared" si="107"/>
        <v>991</v>
      </c>
      <c r="AN168" s="61">
        <f t="shared" si="107"/>
        <v>107</v>
      </c>
      <c r="AO168" s="61">
        <f t="shared" si="107"/>
        <v>0</v>
      </c>
      <c r="AP168" s="61">
        <f t="shared" si="107"/>
        <v>85</v>
      </c>
      <c r="AQ168" s="61">
        <f t="shared" si="107"/>
        <v>0</v>
      </c>
      <c r="AR168" s="67">
        <f t="shared" si="107"/>
        <v>192</v>
      </c>
      <c r="AS168" s="67">
        <f t="shared" si="107"/>
        <v>0</v>
      </c>
      <c r="AT168" s="67">
        <f t="shared" si="107"/>
        <v>0</v>
      </c>
      <c r="AU168" s="67">
        <f t="shared" si="107"/>
        <v>0</v>
      </c>
      <c r="AV168" s="67">
        <f t="shared" si="107"/>
        <v>0</v>
      </c>
      <c r="AW168" s="67">
        <f t="shared" si="107"/>
        <v>0</v>
      </c>
      <c r="AX168" s="67">
        <f t="shared" si="107"/>
        <v>0</v>
      </c>
      <c r="AY168" s="67">
        <f t="shared" si="107"/>
        <v>0</v>
      </c>
      <c r="AZ168" s="67">
        <f t="shared" si="107"/>
        <v>0</v>
      </c>
      <c r="BA168" s="67">
        <f t="shared" si="107"/>
        <v>192</v>
      </c>
      <c r="BB168" s="61">
        <f t="shared" si="107"/>
        <v>89</v>
      </c>
      <c r="BC168" s="61">
        <f t="shared" si="107"/>
        <v>66</v>
      </c>
      <c r="BD168" s="61">
        <f t="shared" si="107"/>
        <v>0</v>
      </c>
      <c r="BE168" s="61">
        <f t="shared" si="107"/>
        <v>0</v>
      </c>
      <c r="BF168" s="61">
        <f t="shared" si="107"/>
        <v>0</v>
      </c>
    </row>
    <row r="169" spans="1:58" s="128" customFormat="1" ht="12.95" customHeight="1" x14ac:dyDescent="0.2">
      <c r="A169" s="132"/>
      <c r="B169" s="133"/>
      <c r="C169" s="133"/>
      <c r="D169" s="133"/>
      <c r="E169" s="38"/>
      <c r="F169" s="38"/>
      <c r="G169" s="63"/>
      <c r="H169" s="63"/>
      <c r="I169" s="63"/>
      <c r="J169" s="73"/>
      <c r="K169" s="73"/>
      <c r="L169" s="150"/>
      <c r="M169" s="150"/>
      <c r="N169" s="149"/>
      <c r="O169" s="321"/>
      <c r="P169" s="322"/>
      <c r="Q169" s="63">
        <f>30*1440-Q168</f>
        <v>23196</v>
      </c>
      <c r="R169" s="74">
        <f>R168/Q168</f>
        <v>9.5980803839232146E-3</v>
      </c>
      <c r="S169" s="74">
        <f>S168/Q168</f>
        <v>4.9540091981603682E-2</v>
      </c>
      <c r="T169" s="75"/>
      <c r="U169" s="75"/>
      <c r="V169" s="76">
        <f>V168/K168</f>
        <v>5.9200762070053772E-2</v>
      </c>
      <c r="W169" s="77" t="s">
        <v>136</v>
      </c>
      <c r="X169" s="78">
        <v>0.85</v>
      </c>
      <c r="Y169" s="79">
        <f>Y168/K168</f>
        <v>5.8451109730746145E-3</v>
      </c>
      <c r="Z169" s="80">
        <f>Z168/K168</f>
        <v>1.2507961984375924E-2</v>
      </c>
      <c r="AA169" s="80">
        <f>AA168/K168</f>
        <v>4.8522655819050013E-2</v>
      </c>
      <c r="AB169" s="80">
        <f>AB168/K168</f>
        <v>-5.4205449063947312E-3</v>
      </c>
      <c r="AC169" s="81">
        <f>AC168/K168</f>
        <v>9.2719806890565498E-2</v>
      </c>
      <c r="AD169" s="82"/>
      <c r="AE169" s="151"/>
      <c r="AF169" s="80">
        <f>AF168/$AD$168*$V$169</f>
        <v>1.2861027770079306E-2</v>
      </c>
      <c r="AG169" s="80">
        <f>AG168/$AD$168*$V$169</f>
        <v>5.7549346052884059E-3</v>
      </c>
      <c r="AH169" s="80">
        <f>AH168/$AD$168*$V$169</f>
        <v>2.6472699184326667E-2</v>
      </c>
      <c r="AI169" s="80">
        <f>AI168/$AD$168*$V$169</f>
        <v>0</v>
      </c>
      <c r="AJ169" s="80">
        <f t="shared" ref="AJ169:BA169" si="108">AJ168/$AD$168*$V$169</f>
        <v>0</v>
      </c>
      <c r="AK169" s="80">
        <f t="shared" si="108"/>
        <v>4.5038618650083172E-3</v>
      </c>
      <c r="AL169" s="80">
        <f t="shared" si="108"/>
        <v>0</v>
      </c>
      <c r="AM169" s="80">
        <f t="shared" si="108"/>
        <v>4.9592523424702696E-2</v>
      </c>
      <c r="AN169" s="80">
        <f t="shared" si="108"/>
        <v>5.3545913283987775E-3</v>
      </c>
      <c r="AO169" s="80">
        <f t="shared" si="108"/>
        <v>0</v>
      </c>
      <c r="AP169" s="80">
        <f t="shared" si="108"/>
        <v>4.2536473169522996E-3</v>
      </c>
      <c r="AQ169" s="80">
        <f t="shared" si="108"/>
        <v>0</v>
      </c>
      <c r="AR169" s="80">
        <f t="shared" si="108"/>
        <v>9.608238645351078E-3</v>
      </c>
      <c r="AS169" s="80">
        <f t="shared" si="108"/>
        <v>0</v>
      </c>
      <c r="AT169" s="80">
        <f t="shared" si="108"/>
        <v>0</v>
      </c>
      <c r="AU169" s="80">
        <f t="shared" si="108"/>
        <v>0</v>
      </c>
      <c r="AV169" s="80">
        <f>AV168/$AD$168*$V$169</f>
        <v>0</v>
      </c>
      <c r="AW169" s="80">
        <f t="shared" ref="AW169:AZ169" si="109">AW168/$AD$168*$V$169</f>
        <v>0</v>
      </c>
      <c r="AX169" s="80">
        <f t="shared" si="109"/>
        <v>0</v>
      </c>
      <c r="AY169" s="80">
        <f t="shared" si="109"/>
        <v>0</v>
      </c>
      <c r="AZ169" s="80">
        <f t="shared" si="109"/>
        <v>0</v>
      </c>
      <c r="BA169" s="80">
        <f t="shared" si="108"/>
        <v>9.608238645351078E-3</v>
      </c>
      <c r="BB169" s="56" t="s">
        <v>137</v>
      </c>
      <c r="BC169" s="56" t="s">
        <v>137</v>
      </c>
      <c r="BD169" s="56" t="s">
        <v>203</v>
      </c>
      <c r="BE169" s="56" t="s">
        <v>203</v>
      </c>
      <c r="BF169" s="56" t="s">
        <v>203</v>
      </c>
    </row>
    <row r="170" spans="1:58" ht="12.95" customHeight="1" x14ac:dyDescent="0.2">
      <c r="A170" s="132"/>
      <c r="B170" s="133"/>
      <c r="C170" s="133"/>
      <c r="D170" s="133"/>
      <c r="E170" s="38"/>
      <c r="F170" s="38"/>
      <c r="G170" s="56"/>
      <c r="H170" s="56"/>
      <c r="I170" s="56"/>
      <c r="J170" s="46"/>
      <c r="K170" s="46"/>
      <c r="L170" s="122"/>
      <c r="M170" s="122"/>
      <c r="N170" s="124"/>
      <c r="O170" s="83"/>
      <c r="P170" s="84"/>
      <c r="Q170" s="56"/>
      <c r="R170" s="50">
        <f>R168-(BA168)</f>
        <v>0</v>
      </c>
      <c r="S170" s="50">
        <f>S168-SUM(AF168:AL168)</f>
        <v>0</v>
      </c>
      <c r="T170" s="124"/>
      <c r="U170" s="124"/>
      <c r="V170" s="124"/>
      <c r="W170" s="135"/>
      <c r="X170" s="136"/>
      <c r="Y170" s="152">
        <f>+Y168-(SUM([3]RBP!AG3:AG4))</f>
        <v>0</v>
      </c>
      <c r="Z170" s="50"/>
      <c r="AA170" s="124"/>
      <c r="AB170" s="124"/>
      <c r="AC170" s="124"/>
      <c r="AD170" s="124"/>
      <c r="AE170" s="151"/>
      <c r="AF170" s="85"/>
      <c r="AG170" s="85"/>
      <c r="AH170" s="85"/>
      <c r="AI170" s="85"/>
      <c r="AJ170" s="86"/>
      <c r="AK170" s="86"/>
      <c r="AL170" s="86"/>
      <c r="AM170" s="86"/>
      <c r="AN170" s="86"/>
      <c r="AO170" s="86"/>
      <c r="AP170" s="86"/>
      <c r="AQ170" s="86"/>
      <c r="AR170" s="86"/>
      <c r="AS170" s="147">
        <v>0</v>
      </c>
      <c r="AT170" s="147">
        <v>0</v>
      </c>
      <c r="AU170" s="147">
        <v>0</v>
      </c>
      <c r="AV170" s="147">
        <v>0</v>
      </c>
      <c r="AW170" s="147">
        <v>0</v>
      </c>
      <c r="AX170" s="147">
        <v>0</v>
      </c>
      <c r="AY170" s="147">
        <v>0</v>
      </c>
      <c r="AZ170" s="147">
        <v>23196</v>
      </c>
      <c r="BA170" s="86"/>
      <c r="BB170" s="87">
        <f>BB168/($Q$168/1440)/2</f>
        <v>3.2033593281343729</v>
      </c>
      <c r="BC170" s="87">
        <f>BC168/($Q$168/1440)/2</f>
        <v>2.3755248950209955</v>
      </c>
      <c r="BD170" s="87">
        <f>BD168/($Q$168/1440)</f>
        <v>0</v>
      </c>
      <c r="BE170" s="87">
        <f>BE168/($Q$168/1440)</f>
        <v>0</v>
      </c>
      <c r="BF170" s="87">
        <f>BF168/($Q$168/1440)</f>
        <v>0</v>
      </c>
    </row>
    <row r="171" spans="1:58" x14ac:dyDescent="0.2">
      <c r="A171" s="137"/>
      <c r="B171" s="138"/>
      <c r="C171" s="138"/>
      <c r="D171" s="138"/>
      <c r="E171" s="39"/>
      <c r="F171" s="39"/>
      <c r="G171" s="88"/>
      <c r="H171" s="88"/>
      <c r="I171" s="88"/>
      <c r="J171" s="89"/>
      <c r="K171" s="89"/>
      <c r="O171" s="90"/>
      <c r="P171" s="91"/>
      <c r="Q171" s="88"/>
      <c r="R171" s="92"/>
      <c r="S171" s="92"/>
      <c r="U171" s="139"/>
      <c r="V171" s="139"/>
      <c r="W171" s="93" t="s">
        <v>138</v>
      </c>
      <c r="X171" s="160">
        <f>W168/U168</f>
        <v>0.92164530678235268</v>
      </c>
      <c r="Y171" s="160"/>
      <c r="Z171" s="92"/>
      <c r="AD171" s="125"/>
      <c r="AE171" s="140"/>
      <c r="AF171" s="94"/>
      <c r="AG171" s="94"/>
      <c r="AH171" s="94"/>
      <c r="AI171" s="94"/>
      <c r="AJ171" s="94"/>
      <c r="AK171" s="94"/>
      <c r="AL171" s="94"/>
      <c r="AM171" s="94"/>
      <c r="AN171" s="86"/>
      <c r="AO171" s="86"/>
      <c r="AP171" s="86"/>
      <c r="AQ171" s="86"/>
      <c r="AR171" s="86"/>
      <c r="AS171" s="94"/>
      <c r="AT171" s="94"/>
      <c r="AU171" s="94"/>
      <c r="AV171" s="94"/>
      <c r="AW171" s="94"/>
      <c r="AX171" s="94"/>
      <c r="AY171" s="94"/>
      <c r="AZ171" s="94"/>
      <c r="BA171" s="86"/>
      <c r="BB171" s="128"/>
      <c r="BC171" s="86"/>
      <c r="BD171" s="86"/>
      <c r="BE171" s="128"/>
      <c r="BF171" s="86"/>
    </row>
    <row r="172" spans="1:58" x14ac:dyDescent="0.2">
      <c r="A172" s="137"/>
      <c r="B172" s="138"/>
      <c r="C172" s="138"/>
      <c r="D172" s="138"/>
      <c r="E172" s="39"/>
      <c r="F172" s="39"/>
      <c r="G172" s="88"/>
      <c r="H172" s="88"/>
      <c r="I172" s="88"/>
      <c r="J172" s="89"/>
      <c r="K172" s="89"/>
      <c r="O172" s="90"/>
      <c r="P172" s="91"/>
      <c r="Q172" s="88"/>
      <c r="R172" s="92"/>
      <c r="S172" s="92"/>
      <c r="U172" s="139"/>
      <c r="V172" s="139"/>
      <c r="W172" s="93"/>
      <c r="X172" s="86"/>
      <c r="Y172" s="86"/>
      <c r="Z172" s="92"/>
      <c r="AA172" s="141"/>
      <c r="AB172" s="141"/>
      <c r="AD172" s="125"/>
      <c r="AE172" s="140"/>
      <c r="AF172" s="94"/>
      <c r="AG172" s="94"/>
      <c r="AH172" s="94"/>
      <c r="AI172" s="94"/>
      <c r="AJ172" s="94"/>
      <c r="AK172" s="94"/>
      <c r="AL172" s="94"/>
      <c r="AM172" s="94"/>
      <c r="AN172" s="94"/>
      <c r="AO172" s="86"/>
      <c r="AP172" s="86"/>
      <c r="AQ172" s="86"/>
      <c r="AR172" s="94"/>
      <c r="AS172" s="86"/>
      <c r="AT172" s="86"/>
      <c r="AU172" s="86"/>
      <c r="AV172" s="86"/>
      <c r="AW172" s="86"/>
      <c r="AX172" s="86"/>
      <c r="AY172" s="147">
        <f>810+11</f>
        <v>821</v>
      </c>
      <c r="AZ172" s="86"/>
      <c r="BA172" s="86"/>
      <c r="BB172" s="128"/>
      <c r="BC172" s="86"/>
      <c r="BD172" s="86"/>
      <c r="BE172" s="128"/>
      <c r="BF172" s="86"/>
    </row>
    <row r="173" spans="1:58" x14ac:dyDescent="0.2">
      <c r="A173" s="137"/>
      <c r="B173" s="138"/>
      <c r="C173" s="138"/>
      <c r="D173" s="138"/>
      <c r="E173" s="39"/>
      <c r="F173" s="39"/>
      <c r="G173" s="88"/>
      <c r="H173" s="88"/>
      <c r="I173" s="88"/>
      <c r="J173" s="89"/>
      <c r="K173" s="89"/>
      <c r="O173" s="90"/>
      <c r="P173" s="91"/>
      <c r="Q173" s="88"/>
      <c r="R173" s="95"/>
      <c r="S173" s="92"/>
      <c r="U173" s="139"/>
      <c r="V173" s="139"/>
      <c r="W173" s="93" t="s">
        <v>139</v>
      </c>
      <c r="X173" s="85">
        <f>+W168+Y168</f>
        <v>503.94399999999996</v>
      </c>
      <c r="Y173" s="86"/>
      <c r="Z173" s="92"/>
      <c r="AD173" s="125"/>
      <c r="AE173" s="140"/>
      <c r="AF173" s="125"/>
      <c r="AG173" s="125"/>
      <c r="AH173" s="125"/>
      <c r="AI173" s="125"/>
      <c r="AJ173" s="86"/>
      <c r="AK173" s="86"/>
      <c r="AL173" s="86"/>
      <c r="AM173" s="94"/>
      <c r="AN173" s="86"/>
      <c r="AO173" s="86"/>
      <c r="AP173" s="86"/>
      <c r="AQ173" s="86"/>
      <c r="AR173" s="94"/>
      <c r="AS173" s="86"/>
      <c r="AT173" s="86"/>
      <c r="AU173" s="86"/>
      <c r="AV173" s="86"/>
      <c r="AW173" s="86"/>
      <c r="AX173" s="86"/>
      <c r="AY173" s="147">
        <v>223</v>
      </c>
      <c r="AZ173" s="86"/>
      <c r="BA173" s="86"/>
      <c r="BB173" s="128"/>
      <c r="BC173" s="86"/>
      <c r="BD173" s="86"/>
      <c r="BE173" s="128"/>
      <c r="BF173" s="86"/>
    </row>
    <row r="174" spans="1:58" x14ac:dyDescent="0.2">
      <c r="A174" s="137"/>
      <c r="C174" s="138" t="s">
        <v>140</v>
      </c>
      <c r="D174" s="138"/>
      <c r="E174" s="39"/>
      <c r="F174" s="39"/>
      <c r="G174" s="88"/>
      <c r="H174" s="88"/>
      <c r="I174" s="88"/>
      <c r="J174" s="89"/>
      <c r="K174" s="89"/>
      <c r="O174" s="90"/>
      <c r="P174" s="91"/>
      <c r="Q174" s="88"/>
      <c r="R174" s="95"/>
      <c r="S174" s="92"/>
      <c r="U174" s="139"/>
      <c r="V174" s="142"/>
      <c r="W174" s="96"/>
      <c r="X174" s="97"/>
      <c r="Y174" s="96"/>
      <c r="Z174" s="97"/>
      <c r="AD174" s="98"/>
      <c r="AE174" s="140"/>
      <c r="AF174" s="98"/>
      <c r="AG174" s="98"/>
      <c r="AH174" s="98"/>
      <c r="AI174" s="98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86"/>
      <c r="AW174" s="86"/>
      <c r="AX174" s="86"/>
      <c r="AY174" s="147">
        <f>+AY172-AY173</f>
        <v>598</v>
      </c>
      <c r="AZ174" s="86"/>
      <c r="BA174" s="86"/>
      <c r="BB174" s="128"/>
      <c r="BC174" s="86"/>
      <c r="BD174" s="86"/>
      <c r="BE174" s="128"/>
      <c r="BF174" s="86"/>
    </row>
    <row r="175" spans="1:58" x14ac:dyDescent="0.2">
      <c r="A175" s="137"/>
      <c r="B175" s="138"/>
      <c r="C175" s="138" t="s">
        <v>141</v>
      </c>
      <c r="D175" s="138"/>
      <c r="E175" s="39"/>
      <c r="F175" s="39"/>
      <c r="G175" s="88"/>
      <c r="H175" s="88"/>
      <c r="I175" s="88"/>
      <c r="J175" s="89"/>
      <c r="K175" s="89"/>
      <c r="O175" s="90"/>
      <c r="P175" s="91"/>
      <c r="Q175" s="88"/>
      <c r="R175" s="95"/>
      <c r="S175" s="92"/>
      <c r="V175" s="103"/>
      <c r="W175" s="143" t="s">
        <v>170</v>
      </c>
      <c r="X175" s="103"/>
      <c r="Y175" s="103"/>
      <c r="Z175" s="97"/>
      <c r="AE175" s="140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  <c r="AP175" s="92"/>
      <c r="AQ175" s="92"/>
      <c r="AS175" s="92"/>
      <c r="AT175" s="92"/>
      <c r="AU175" s="92"/>
      <c r="AV175" s="92"/>
      <c r="AW175" s="92"/>
      <c r="AX175" s="92"/>
      <c r="AY175" s="92"/>
      <c r="AZ175" s="92"/>
      <c r="BA175" s="92"/>
      <c r="BB175" s="128"/>
      <c r="BE175" s="128"/>
    </row>
    <row r="176" spans="1:58" x14ac:dyDescent="0.2">
      <c r="A176" s="137"/>
      <c r="B176" s="138"/>
      <c r="C176" s="138"/>
      <c r="D176" s="138"/>
      <c r="E176" s="39"/>
      <c r="F176" s="39"/>
      <c r="G176" s="88"/>
      <c r="H176" s="88"/>
      <c r="I176" s="88"/>
      <c r="J176" s="89"/>
      <c r="K176" s="89"/>
      <c r="O176" s="90"/>
      <c r="P176" s="91"/>
      <c r="Q176" s="88"/>
      <c r="R176" s="95"/>
      <c r="S176" s="92"/>
      <c r="V176" s="103"/>
      <c r="W176" s="104" t="s">
        <v>181</v>
      </c>
      <c r="X176" s="144">
        <f>Y169</f>
        <v>5.8451109730746145E-3</v>
      </c>
      <c r="Y176" s="145"/>
      <c r="Z176" s="97"/>
      <c r="AE176" s="140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  <c r="AP176" s="92"/>
      <c r="AQ176" s="92"/>
      <c r="AS176" s="92"/>
      <c r="AT176" s="92"/>
      <c r="AU176" s="92"/>
      <c r="AV176" s="92"/>
      <c r="AW176" s="92"/>
      <c r="AX176" s="92"/>
      <c r="AY176" s="92"/>
      <c r="AZ176" s="92"/>
      <c r="BA176" s="92"/>
      <c r="BB176" s="128"/>
      <c r="BE176" s="128"/>
    </row>
    <row r="177" spans="18:26" x14ac:dyDescent="0.2">
      <c r="R177" s="141"/>
      <c r="V177" s="103"/>
      <c r="W177" s="104" t="s">
        <v>143</v>
      </c>
      <c r="X177" s="105">
        <f>Z169</f>
        <v>1.2507961984375924E-2</v>
      </c>
      <c r="Y177" s="106"/>
      <c r="Z177" s="103"/>
    </row>
    <row r="178" spans="18:26" x14ac:dyDescent="0.2">
      <c r="R178" s="141"/>
      <c r="V178" s="103"/>
      <c r="W178" s="104" t="s">
        <v>144</v>
      </c>
      <c r="X178" s="105">
        <f>AC169</f>
        <v>9.2719806890565498E-2</v>
      </c>
      <c r="Y178" s="105"/>
      <c r="Z178" s="103"/>
    </row>
    <row r="179" spans="18:26" x14ac:dyDescent="0.2">
      <c r="R179" s="141"/>
      <c r="V179" s="103"/>
      <c r="W179" s="104" t="s">
        <v>145</v>
      </c>
      <c r="X179" s="105">
        <f>AA169</f>
        <v>4.8522655819050013E-2</v>
      </c>
      <c r="Y179" s="106"/>
      <c r="Z179" s="103"/>
    </row>
    <row r="180" spans="18:26" x14ac:dyDescent="0.2">
      <c r="V180" s="103"/>
      <c r="W180" s="104" t="s">
        <v>146</v>
      </c>
      <c r="X180" s="105">
        <f>AB169</f>
        <v>-5.4205449063947312E-3</v>
      </c>
      <c r="Y180" s="106" t="s">
        <v>147</v>
      </c>
      <c r="Z180" s="103"/>
    </row>
    <row r="181" spans="18:26" x14ac:dyDescent="0.2">
      <c r="V181" s="103"/>
      <c r="W181" s="104" t="s">
        <v>148</v>
      </c>
      <c r="X181" s="105">
        <f>AF169</f>
        <v>1.2861027770079306E-2</v>
      </c>
      <c r="Y181" s="106"/>
      <c r="Z181" s="103"/>
    </row>
    <row r="182" spans="18:26" x14ac:dyDescent="0.2">
      <c r="V182" s="103"/>
      <c r="W182" s="104" t="s">
        <v>149</v>
      </c>
      <c r="X182" s="105">
        <f>+AG169</f>
        <v>5.7549346052884059E-3</v>
      </c>
      <c r="Y182" s="106"/>
      <c r="Z182" s="103"/>
    </row>
    <row r="183" spans="18:26" x14ac:dyDescent="0.2">
      <c r="V183" s="103"/>
      <c r="W183" s="104" t="s">
        <v>150</v>
      </c>
      <c r="X183" s="105">
        <f>+AH169</f>
        <v>2.6472699184326667E-2</v>
      </c>
      <c r="Y183" s="106"/>
      <c r="Z183" s="103"/>
    </row>
    <row r="184" spans="18:26" x14ac:dyDescent="0.2">
      <c r="V184" s="103"/>
      <c r="W184" s="104" t="s">
        <v>151</v>
      </c>
      <c r="X184" s="105">
        <f>+AI169</f>
        <v>0</v>
      </c>
      <c r="Y184" s="106"/>
      <c r="Z184" s="103"/>
    </row>
    <row r="185" spans="18:26" x14ac:dyDescent="0.2">
      <c r="V185" s="103"/>
      <c r="W185" s="104" t="s">
        <v>152</v>
      </c>
      <c r="X185" s="105">
        <f>+AJ169</f>
        <v>0</v>
      </c>
      <c r="Y185" s="106"/>
      <c r="Z185" s="103"/>
    </row>
    <row r="186" spans="18:26" x14ac:dyDescent="0.2">
      <c r="V186" s="103"/>
      <c r="W186" s="104" t="s">
        <v>154</v>
      </c>
      <c r="X186" s="105">
        <f>+AK169</f>
        <v>4.5038618650083172E-3</v>
      </c>
      <c r="Y186" s="106"/>
      <c r="Z186" s="103"/>
    </row>
    <row r="187" spans="18:26" x14ac:dyDescent="0.2">
      <c r="V187" s="103"/>
      <c r="W187" s="104" t="s">
        <v>153</v>
      </c>
      <c r="X187" s="105">
        <f>+AL169</f>
        <v>0</v>
      </c>
      <c r="Y187" s="106"/>
      <c r="Z187" s="103"/>
    </row>
    <row r="188" spans="18:26" x14ac:dyDescent="0.2">
      <c r="V188" s="103"/>
      <c r="W188" s="104" t="s">
        <v>155</v>
      </c>
      <c r="X188" s="105">
        <f>+AN169</f>
        <v>5.3545913283987775E-3</v>
      </c>
      <c r="Y188" s="106"/>
      <c r="Z188" s="103"/>
    </row>
    <row r="189" spans="18:26" x14ac:dyDescent="0.2">
      <c r="V189" s="103"/>
      <c r="W189" s="104" t="s">
        <v>158</v>
      </c>
      <c r="X189" s="105">
        <f>+AO169</f>
        <v>0</v>
      </c>
      <c r="Y189" s="106"/>
      <c r="Z189" s="103"/>
    </row>
    <row r="190" spans="18:26" x14ac:dyDescent="0.2">
      <c r="V190" s="103"/>
      <c r="W190" s="104" t="s">
        <v>157</v>
      </c>
      <c r="X190" s="105">
        <f>+AP169</f>
        <v>4.2536473169522996E-3</v>
      </c>
      <c r="Y190" s="106"/>
      <c r="Z190" s="103"/>
    </row>
    <row r="191" spans="18:26" x14ac:dyDescent="0.2">
      <c r="V191" s="103"/>
      <c r="W191" s="104" t="s">
        <v>156</v>
      </c>
      <c r="X191" s="105">
        <f>+AQ169</f>
        <v>0</v>
      </c>
      <c r="Y191" s="106"/>
      <c r="Z191" s="103"/>
    </row>
    <row r="192" spans="18:26" x14ac:dyDescent="0.2">
      <c r="V192" s="103"/>
      <c r="W192" s="104" t="s">
        <v>159</v>
      </c>
      <c r="X192" s="105">
        <f>+AS169</f>
        <v>0</v>
      </c>
      <c r="Y192" s="106"/>
      <c r="Z192" s="103"/>
    </row>
    <row r="193" spans="22:26" x14ac:dyDescent="0.2">
      <c r="V193" s="103"/>
      <c r="W193" s="104" t="s">
        <v>185</v>
      </c>
      <c r="X193" s="105">
        <f>+AT169</f>
        <v>0</v>
      </c>
      <c r="Y193" s="106"/>
      <c r="Z193" s="103"/>
    </row>
    <row r="194" spans="22:26" x14ac:dyDescent="0.2">
      <c r="V194" s="103"/>
      <c r="W194" s="104" t="s">
        <v>186</v>
      </c>
      <c r="X194" s="105">
        <f>+AU169</f>
        <v>0</v>
      </c>
      <c r="Y194" s="106"/>
      <c r="Z194" s="103"/>
    </row>
    <row r="195" spans="22:26" x14ac:dyDescent="0.2">
      <c r="V195" s="103"/>
      <c r="W195" s="104" t="s">
        <v>40</v>
      </c>
      <c r="X195" s="105">
        <f>+AW169</f>
        <v>0</v>
      </c>
      <c r="Y195" s="106"/>
      <c r="Z195" s="103"/>
    </row>
    <row r="196" spans="22:26" x14ac:dyDescent="0.2">
      <c r="V196" s="103"/>
      <c r="W196" s="104" t="s">
        <v>193</v>
      </c>
      <c r="X196" s="105">
        <f>+AV169</f>
        <v>0</v>
      </c>
      <c r="Y196" s="106"/>
      <c r="Z196" s="103"/>
    </row>
    <row r="197" spans="22:26" x14ac:dyDescent="0.2">
      <c r="V197" s="103"/>
      <c r="W197" s="103" t="s">
        <v>171</v>
      </c>
      <c r="X197" s="105">
        <f>+AX169+AY169</f>
        <v>0</v>
      </c>
      <c r="Y197" s="105"/>
      <c r="Z197" s="103"/>
    </row>
    <row r="198" spans="22:26" x14ac:dyDescent="0.2">
      <c r="V198" s="103"/>
      <c r="W198" s="103" t="s">
        <v>194</v>
      </c>
      <c r="X198" s="105">
        <f>+AZ169</f>
        <v>0</v>
      </c>
      <c r="Y198" s="103"/>
      <c r="Z198" s="103"/>
    </row>
    <row r="199" spans="22:26" x14ac:dyDescent="0.2">
      <c r="V199" s="103"/>
      <c r="W199" s="103"/>
      <c r="X199" s="107">
        <f>SUM(X176:X198)</f>
        <v>0.21337575283072507</v>
      </c>
      <c r="Y199" s="103"/>
      <c r="Z199" s="103"/>
    </row>
    <row r="202" spans="22:26" x14ac:dyDescent="0.2">
      <c r="X202" s="141">
        <f>+X199+X168</f>
        <v>1</v>
      </c>
    </row>
  </sheetData>
  <mergeCells count="50">
    <mergeCell ref="S3:S5"/>
    <mergeCell ref="T3:T5"/>
    <mergeCell ref="U3:U5"/>
    <mergeCell ref="A3:A5"/>
    <mergeCell ref="B3:B5"/>
    <mergeCell ref="C3:C5"/>
    <mergeCell ref="D3:D5"/>
    <mergeCell ref="E3:E5"/>
    <mergeCell ref="Q3:Q5"/>
    <mergeCell ref="R3:R5"/>
    <mergeCell ref="F3:F5"/>
    <mergeCell ref="G3:K4"/>
    <mergeCell ref="L3:N4"/>
    <mergeCell ref="O3:O5"/>
    <mergeCell ref="P3:P5"/>
    <mergeCell ref="V3:V5"/>
    <mergeCell ref="W3:W5"/>
    <mergeCell ref="AQ4:AQ5"/>
    <mergeCell ref="AR4:AR5"/>
    <mergeCell ref="Y3:Y5"/>
    <mergeCell ref="Z3:Z5"/>
    <mergeCell ref="AN4:AN5"/>
    <mergeCell ref="AD3:AD5"/>
    <mergeCell ref="AE3:AE5"/>
    <mergeCell ref="X3:X5"/>
    <mergeCell ref="AA3:AA5"/>
    <mergeCell ref="AB3:AB5"/>
    <mergeCell ref="AC3:AC5"/>
    <mergeCell ref="AL4:AL5"/>
    <mergeCell ref="AS3:AS5"/>
    <mergeCell ref="AT3:AU4"/>
    <mergeCell ref="AP4:AP5"/>
    <mergeCell ref="AX3:AY3"/>
    <mergeCell ref="BE3:BE5"/>
    <mergeCell ref="O169:P169"/>
    <mergeCell ref="BF3:BF5"/>
    <mergeCell ref="AO4:AO5"/>
    <mergeCell ref="AF3:AL3"/>
    <mergeCell ref="AM3:AM5"/>
    <mergeCell ref="AN3:AR3"/>
    <mergeCell ref="BD3:BD5"/>
    <mergeCell ref="BB3:BB5"/>
    <mergeCell ref="BC3:BC5"/>
    <mergeCell ref="AV3:AW3"/>
    <mergeCell ref="BA3:BA5"/>
    <mergeCell ref="AZ3:AZ5"/>
    <mergeCell ref="AF4:AH4"/>
    <mergeCell ref="AI4:AI5"/>
    <mergeCell ref="AJ4:AJ5"/>
    <mergeCell ref="AK4:AK5"/>
  </mergeCells>
  <conditionalFormatting sqref="C169 B167:B169 C167">
    <cfRule type="cellIs" dxfId="13369" priority="647" stopIfTrue="1" operator="equal">
      <formula>"Towel"</formula>
    </cfRule>
    <cfRule type="cellIs" dxfId="13368" priority="648" stopIfTrue="1" operator="equal">
      <formula>"Napkin Hs"</formula>
    </cfRule>
  </conditionalFormatting>
  <conditionalFormatting sqref="B6:C6 B8:C8 B59:C59 B77:C77 B158:C158 B10:C10">
    <cfRule type="cellIs" dxfId="13367" priority="645" stopIfTrue="1" operator="equal">
      <formula>"Towel"</formula>
    </cfRule>
    <cfRule type="cellIs" dxfId="13366" priority="646" stopIfTrue="1" operator="equal">
      <formula>"Napkin Hs"</formula>
    </cfRule>
  </conditionalFormatting>
  <conditionalFormatting sqref="B7:C7">
    <cfRule type="cellIs" dxfId="13365" priority="619" stopIfTrue="1" operator="equal">
      <formula>"Towel"</formula>
    </cfRule>
    <cfRule type="cellIs" dxfId="13364" priority="620" stopIfTrue="1" operator="equal">
      <formula>"Napkin Hs"</formula>
    </cfRule>
  </conditionalFormatting>
  <conditionalFormatting sqref="B11:C11">
    <cfRule type="cellIs" dxfId="13363" priority="613" stopIfTrue="1" operator="equal">
      <formula>"Towel"</formula>
    </cfRule>
    <cfRule type="cellIs" dxfId="13362" priority="614" stopIfTrue="1" operator="equal">
      <formula>"Napkin Hs"</formula>
    </cfRule>
  </conditionalFormatting>
  <conditionalFormatting sqref="B17:C17">
    <cfRule type="cellIs" dxfId="13361" priority="623" stopIfTrue="1" operator="equal">
      <formula>"Towel"</formula>
    </cfRule>
    <cfRule type="cellIs" dxfId="13360" priority="624" stopIfTrue="1" operator="equal">
      <formula>"Napkin Hs"</formula>
    </cfRule>
  </conditionalFormatting>
  <conditionalFormatting sqref="B65:C65">
    <cfRule type="cellIs" dxfId="13359" priority="639" stopIfTrue="1" operator="equal">
      <formula>"Towel"</formula>
    </cfRule>
    <cfRule type="cellIs" dxfId="13358" priority="640" stopIfTrue="1" operator="equal">
      <formula>"Napkin Hs"</formula>
    </cfRule>
  </conditionalFormatting>
  <conditionalFormatting sqref="C71">
    <cfRule type="cellIs" dxfId="13357" priority="629" stopIfTrue="1" operator="equal">
      <formula>"Towel"</formula>
    </cfRule>
    <cfRule type="cellIs" dxfId="13356" priority="630" stopIfTrue="1" operator="equal">
      <formula>"Napkin Hs"</formula>
    </cfRule>
  </conditionalFormatting>
  <conditionalFormatting sqref="B71:C71">
    <cfRule type="cellIs" dxfId="13355" priority="633" stopIfTrue="1" operator="equal">
      <formula>"Towel"</formula>
    </cfRule>
    <cfRule type="cellIs" dxfId="13354" priority="634" stopIfTrue="1" operator="equal">
      <formula>"Napkin Hs"</formula>
    </cfRule>
  </conditionalFormatting>
  <conditionalFormatting sqref="C6 C8 C59 C77 C158 C10">
    <cfRule type="cellIs" dxfId="13353" priority="644" stopIfTrue="1" operator="equal">
      <formula>"Napkin Hs"</formula>
    </cfRule>
  </conditionalFormatting>
  <conditionalFormatting sqref="C6:C8 C10">
    <cfRule type="cellIs" dxfId="13352" priority="617" stopIfTrue="1" operator="equal">
      <formula>"Towel"</formula>
    </cfRule>
    <cfRule type="cellIs" dxfId="13351" priority="618" stopIfTrue="1" operator="equal">
      <formula>"Napkin Hs"</formula>
    </cfRule>
  </conditionalFormatting>
  <conditionalFormatting sqref="C7">
    <cfRule type="cellIs" dxfId="13350" priority="615" stopIfTrue="1" operator="equal">
      <formula>"Towel"</formula>
    </cfRule>
    <cfRule type="cellIs" dxfId="13349" priority="616" stopIfTrue="1" operator="equal">
      <formula>"Napkin Hs"</formula>
    </cfRule>
  </conditionalFormatting>
  <conditionalFormatting sqref="C11 C17">
    <cfRule type="cellIs" dxfId="13348" priority="611" stopIfTrue="1" operator="equal">
      <formula>"Towel"</formula>
    </cfRule>
    <cfRule type="cellIs" dxfId="13347" priority="612" stopIfTrue="1" operator="equal">
      <formula>"Napkin Hs"</formula>
    </cfRule>
  </conditionalFormatting>
  <conditionalFormatting sqref="C11">
    <cfRule type="cellIs" dxfId="13346" priority="609" stopIfTrue="1" operator="equal">
      <formula>"Towel"</formula>
    </cfRule>
    <cfRule type="cellIs" dxfId="13345" priority="610" stopIfTrue="1" operator="equal">
      <formula>"Napkin Hs"</formula>
    </cfRule>
  </conditionalFormatting>
  <conditionalFormatting sqref="C17">
    <cfRule type="cellIs" dxfId="13344" priority="621" stopIfTrue="1" operator="equal">
      <formula>"Towel"</formula>
    </cfRule>
    <cfRule type="cellIs" dxfId="13343" priority="622" stopIfTrue="1" operator="equal">
      <formula>"Napkin Hs"</formula>
    </cfRule>
  </conditionalFormatting>
  <conditionalFormatting sqref="C59 C77 C158 C6 C8 C10">
    <cfRule type="cellIs" dxfId="13342" priority="643" stopIfTrue="1" operator="equal">
      <formula>"Towel"</formula>
    </cfRule>
  </conditionalFormatting>
  <conditionalFormatting sqref="C59">
    <cfRule type="cellIs" dxfId="13341" priority="641" stopIfTrue="1" operator="equal">
      <formula>"Towel"</formula>
    </cfRule>
    <cfRule type="cellIs" dxfId="13340" priority="642" stopIfTrue="1" operator="equal">
      <formula>"Napkin Hs"</formula>
    </cfRule>
  </conditionalFormatting>
  <conditionalFormatting sqref="C77">
    <cfRule type="cellIs" dxfId="13339" priority="627" stopIfTrue="1" operator="equal">
      <formula>"Towel"</formula>
    </cfRule>
    <cfRule type="cellIs" dxfId="13338" priority="628" stopIfTrue="1" operator="equal">
      <formula>"Napkin Hs"</formula>
    </cfRule>
  </conditionalFormatting>
  <conditionalFormatting sqref="C65">
    <cfRule type="cellIs" dxfId="13337" priority="637" stopIfTrue="1" operator="equal">
      <formula>"Towel"</formula>
    </cfRule>
    <cfRule type="cellIs" dxfId="13336" priority="638" stopIfTrue="1" operator="equal">
      <formula>"Napkin Hs"</formula>
    </cfRule>
  </conditionalFormatting>
  <conditionalFormatting sqref="C65">
    <cfRule type="cellIs" dxfId="13335" priority="635" stopIfTrue="1" operator="equal">
      <formula>"Towel"</formula>
    </cfRule>
    <cfRule type="cellIs" dxfId="13334" priority="636" stopIfTrue="1" operator="equal">
      <formula>"Napkin Hs"</formula>
    </cfRule>
  </conditionalFormatting>
  <conditionalFormatting sqref="C71">
    <cfRule type="cellIs" dxfId="13333" priority="631" stopIfTrue="1" operator="equal">
      <formula>"Towel"</formula>
    </cfRule>
    <cfRule type="cellIs" dxfId="13332" priority="632" stopIfTrue="1" operator="equal">
      <formula>"Napkin Hs"</formula>
    </cfRule>
  </conditionalFormatting>
  <conditionalFormatting sqref="C158">
    <cfRule type="cellIs" dxfId="13331" priority="625" stopIfTrue="1" operator="equal">
      <formula>"Towel"</formula>
    </cfRule>
    <cfRule type="cellIs" dxfId="13330" priority="626" stopIfTrue="1" operator="equal">
      <formula>"Napkin Hs"</formula>
    </cfRule>
  </conditionalFormatting>
  <conditionalFormatting sqref="B9:C9">
    <cfRule type="cellIs" dxfId="13329" priority="607" stopIfTrue="1" operator="equal">
      <formula>"Towel"</formula>
    </cfRule>
    <cfRule type="cellIs" dxfId="13328" priority="608" stopIfTrue="1" operator="equal">
      <formula>"Napkin Hs"</formula>
    </cfRule>
  </conditionalFormatting>
  <conditionalFormatting sqref="C9">
    <cfRule type="cellIs" dxfId="13327" priority="603" stopIfTrue="1" operator="equal">
      <formula>"Towel"</formula>
    </cfRule>
    <cfRule type="cellIs" dxfId="13326" priority="604" stopIfTrue="1" operator="equal">
      <formula>"Napkin Hs"</formula>
    </cfRule>
  </conditionalFormatting>
  <conditionalFormatting sqref="C9">
    <cfRule type="cellIs" dxfId="13325" priority="606" stopIfTrue="1" operator="equal">
      <formula>"Napkin Hs"</formula>
    </cfRule>
  </conditionalFormatting>
  <conditionalFormatting sqref="C9">
    <cfRule type="cellIs" dxfId="13324" priority="605" stopIfTrue="1" operator="equal">
      <formula>"Towel"</formula>
    </cfRule>
  </conditionalFormatting>
  <conditionalFormatting sqref="B41:C41">
    <cfRule type="cellIs" dxfId="13323" priority="601" stopIfTrue="1" operator="equal">
      <formula>"Towel"</formula>
    </cfRule>
    <cfRule type="cellIs" dxfId="13322" priority="602" stopIfTrue="1" operator="equal">
      <formula>"Napkin Hs"</formula>
    </cfRule>
  </conditionalFormatting>
  <conditionalFormatting sqref="C41">
    <cfRule type="cellIs" dxfId="13321" priority="600" stopIfTrue="1" operator="equal">
      <formula>"Napkin Hs"</formula>
    </cfRule>
  </conditionalFormatting>
  <conditionalFormatting sqref="C41">
    <cfRule type="cellIs" dxfId="13320" priority="597" stopIfTrue="1" operator="equal">
      <formula>"Towel"</formula>
    </cfRule>
    <cfRule type="cellIs" dxfId="13319" priority="598" stopIfTrue="1" operator="equal">
      <formula>"Napkin Hs"</formula>
    </cfRule>
  </conditionalFormatting>
  <conditionalFormatting sqref="C41">
    <cfRule type="cellIs" dxfId="13318" priority="599" stopIfTrue="1" operator="equal">
      <formula>"Towel"</formula>
    </cfRule>
  </conditionalFormatting>
  <conditionalFormatting sqref="B47:C47">
    <cfRule type="cellIs" dxfId="13317" priority="595" stopIfTrue="1" operator="equal">
      <formula>"Towel"</formula>
    </cfRule>
    <cfRule type="cellIs" dxfId="13316" priority="596" stopIfTrue="1" operator="equal">
      <formula>"Napkin Hs"</formula>
    </cfRule>
  </conditionalFormatting>
  <conditionalFormatting sqref="C47">
    <cfRule type="cellIs" dxfId="13315" priority="594" stopIfTrue="1" operator="equal">
      <formula>"Napkin Hs"</formula>
    </cfRule>
  </conditionalFormatting>
  <conditionalFormatting sqref="C47">
    <cfRule type="cellIs" dxfId="13314" priority="591" stopIfTrue="1" operator="equal">
      <formula>"Towel"</formula>
    </cfRule>
    <cfRule type="cellIs" dxfId="13313" priority="592" stopIfTrue="1" operator="equal">
      <formula>"Napkin Hs"</formula>
    </cfRule>
  </conditionalFormatting>
  <conditionalFormatting sqref="C47">
    <cfRule type="cellIs" dxfId="13312" priority="593" stopIfTrue="1" operator="equal">
      <formula>"Towel"</formula>
    </cfRule>
  </conditionalFormatting>
  <conditionalFormatting sqref="B53:C53">
    <cfRule type="cellIs" dxfId="13311" priority="589" stopIfTrue="1" operator="equal">
      <formula>"Towel"</formula>
    </cfRule>
    <cfRule type="cellIs" dxfId="13310" priority="590" stopIfTrue="1" operator="equal">
      <formula>"Napkin Hs"</formula>
    </cfRule>
  </conditionalFormatting>
  <conditionalFormatting sqref="C53">
    <cfRule type="cellIs" dxfId="13309" priority="588" stopIfTrue="1" operator="equal">
      <formula>"Napkin Hs"</formula>
    </cfRule>
  </conditionalFormatting>
  <conditionalFormatting sqref="C53">
    <cfRule type="cellIs" dxfId="13308" priority="585" stopIfTrue="1" operator="equal">
      <formula>"Towel"</formula>
    </cfRule>
    <cfRule type="cellIs" dxfId="13307" priority="586" stopIfTrue="1" operator="equal">
      <formula>"Napkin Hs"</formula>
    </cfRule>
  </conditionalFormatting>
  <conditionalFormatting sqref="C53">
    <cfRule type="cellIs" dxfId="13306" priority="587" stopIfTrue="1" operator="equal">
      <formula>"Towel"</formula>
    </cfRule>
  </conditionalFormatting>
  <conditionalFormatting sqref="B83:C83">
    <cfRule type="cellIs" dxfId="13305" priority="583" stopIfTrue="1" operator="equal">
      <formula>"Towel"</formula>
    </cfRule>
    <cfRule type="cellIs" dxfId="13304" priority="584" stopIfTrue="1" operator="equal">
      <formula>"Napkin Hs"</formula>
    </cfRule>
  </conditionalFormatting>
  <conditionalFormatting sqref="C83">
    <cfRule type="cellIs" dxfId="13303" priority="579" stopIfTrue="1" operator="equal">
      <formula>"Towel"</formula>
    </cfRule>
    <cfRule type="cellIs" dxfId="13302" priority="580" stopIfTrue="1" operator="equal">
      <formula>"Napkin Hs"</formula>
    </cfRule>
  </conditionalFormatting>
  <conditionalFormatting sqref="C83">
    <cfRule type="cellIs" dxfId="13301" priority="582" stopIfTrue="1" operator="equal">
      <formula>"Napkin Hs"</formula>
    </cfRule>
  </conditionalFormatting>
  <conditionalFormatting sqref="C83">
    <cfRule type="cellIs" dxfId="13300" priority="581" stopIfTrue="1" operator="equal">
      <formula>"Towel"</formula>
    </cfRule>
  </conditionalFormatting>
  <conditionalFormatting sqref="B89:C89">
    <cfRule type="cellIs" dxfId="13299" priority="577" stopIfTrue="1" operator="equal">
      <formula>"Towel"</formula>
    </cfRule>
    <cfRule type="cellIs" dxfId="13298" priority="578" stopIfTrue="1" operator="equal">
      <formula>"Napkin Hs"</formula>
    </cfRule>
  </conditionalFormatting>
  <conditionalFormatting sqref="C89">
    <cfRule type="cellIs" dxfId="13297" priority="576" stopIfTrue="1" operator="equal">
      <formula>"Napkin Hs"</formula>
    </cfRule>
  </conditionalFormatting>
  <conditionalFormatting sqref="C89">
    <cfRule type="cellIs" dxfId="13296" priority="573" stopIfTrue="1" operator="equal">
      <formula>"Towel"</formula>
    </cfRule>
    <cfRule type="cellIs" dxfId="13295" priority="574" stopIfTrue="1" operator="equal">
      <formula>"Napkin Hs"</formula>
    </cfRule>
  </conditionalFormatting>
  <conditionalFormatting sqref="C89">
    <cfRule type="cellIs" dxfId="13294" priority="575" stopIfTrue="1" operator="equal">
      <formula>"Towel"</formula>
    </cfRule>
  </conditionalFormatting>
  <conditionalFormatting sqref="B95:C95">
    <cfRule type="cellIs" dxfId="13293" priority="571" stopIfTrue="1" operator="equal">
      <formula>"Towel"</formula>
    </cfRule>
    <cfRule type="cellIs" dxfId="13292" priority="572" stopIfTrue="1" operator="equal">
      <formula>"Napkin Hs"</formula>
    </cfRule>
  </conditionalFormatting>
  <conditionalFormatting sqref="C95">
    <cfRule type="cellIs" dxfId="13291" priority="570" stopIfTrue="1" operator="equal">
      <formula>"Napkin Hs"</formula>
    </cfRule>
  </conditionalFormatting>
  <conditionalFormatting sqref="C95">
    <cfRule type="cellIs" dxfId="13290" priority="567" stopIfTrue="1" operator="equal">
      <formula>"Towel"</formula>
    </cfRule>
    <cfRule type="cellIs" dxfId="13289" priority="568" stopIfTrue="1" operator="equal">
      <formula>"Napkin Hs"</formula>
    </cfRule>
  </conditionalFormatting>
  <conditionalFormatting sqref="C95">
    <cfRule type="cellIs" dxfId="13288" priority="569" stopIfTrue="1" operator="equal">
      <formula>"Towel"</formula>
    </cfRule>
  </conditionalFormatting>
  <conditionalFormatting sqref="B101:C101">
    <cfRule type="cellIs" dxfId="13287" priority="565" stopIfTrue="1" operator="equal">
      <formula>"Towel"</formula>
    </cfRule>
    <cfRule type="cellIs" dxfId="13286" priority="566" stopIfTrue="1" operator="equal">
      <formula>"Napkin Hs"</formula>
    </cfRule>
  </conditionalFormatting>
  <conditionalFormatting sqref="C101">
    <cfRule type="cellIs" dxfId="13285" priority="564" stopIfTrue="1" operator="equal">
      <formula>"Napkin Hs"</formula>
    </cfRule>
  </conditionalFormatting>
  <conditionalFormatting sqref="C101">
    <cfRule type="cellIs" dxfId="13284" priority="561" stopIfTrue="1" operator="equal">
      <formula>"Towel"</formula>
    </cfRule>
    <cfRule type="cellIs" dxfId="13283" priority="562" stopIfTrue="1" operator="equal">
      <formula>"Napkin Hs"</formula>
    </cfRule>
  </conditionalFormatting>
  <conditionalFormatting sqref="C101">
    <cfRule type="cellIs" dxfId="13282" priority="563" stopIfTrue="1" operator="equal">
      <formula>"Towel"</formula>
    </cfRule>
  </conditionalFormatting>
  <conditionalFormatting sqref="B106:C106">
    <cfRule type="cellIs" dxfId="13281" priority="559" stopIfTrue="1" operator="equal">
      <formula>"Towel"</formula>
    </cfRule>
    <cfRule type="cellIs" dxfId="13280" priority="560" stopIfTrue="1" operator="equal">
      <formula>"Napkin Hs"</formula>
    </cfRule>
  </conditionalFormatting>
  <conditionalFormatting sqref="C106">
    <cfRule type="cellIs" dxfId="13279" priority="558" stopIfTrue="1" operator="equal">
      <formula>"Napkin Hs"</formula>
    </cfRule>
  </conditionalFormatting>
  <conditionalFormatting sqref="C106">
    <cfRule type="cellIs" dxfId="13278" priority="555" stopIfTrue="1" operator="equal">
      <formula>"Towel"</formula>
    </cfRule>
    <cfRule type="cellIs" dxfId="13277" priority="556" stopIfTrue="1" operator="equal">
      <formula>"Napkin Hs"</formula>
    </cfRule>
  </conditionalFormatting>
  <conditionalFormatting sqref="C106">
    <cfRule type="cellIs" dxfId="13276" priority="557" stopIfTrue="1" operator="equal">
      <formula>"Towel"</formula>
    </cfRule>
  </conditionalFormatting>
  <conditionalFormatting sqref="B111:C111">
    <cfRule type="cellIs" dxfId="13275" priority="553" stopIfTrue="1" operator="equal">
      <formula>"Towel"</formula>
    </cfRule>
    <cfRule type="cellIs" dxfId="13274" priority="554" stopIfTrue="1" operator="equal">
      <formula>"Napkin Hs"</formula>
    </cfRule>
  </conditionalFormatting>
  <conditionalFormatting sqref="C111">
    <cfRule type="cellIs" dxfId="13273" priority="552" stopIfTrue="1" operator="equal">
      <formula>"Napkin Hs"</formula>
    </cfRule>
  </conditionalFormatting>
  <conditionalFormatting sqref="C111">
    <cfRule type="cellIs" dxfId="13272" priority="549" stopIfTrue="1" operator="equal">
      <formula>"Towel"</formula>
    </cfRule>
    <cfRule type="cellIs" dxfId="13271" priority="550" stopIfTrue="1" operator="equal">
      <formula>"Napkin Hs"</formula>
    </cfRule>
  </conditionalFormatting>
  <conditionalFormatting sqref="C111">
    <cfRule type="cellIs" dxfId="13270" priority="551" stopIfTrue="1" operator="equal">
      <formula>"Towel"</formula>
    </cfRule>
  </conditionalFormatting>
  <conditionalFormatting sqref="B116:C116">
    <cfRule type="cellIs" dxfId="13269" priority="547" stopIfTrue="1" operator="equal">
      <formula>"Towel"</formula>
    </cfRule>
    <cfRule type="cellIs" dxfId="13268" priority="548" stopIfTrue="1" operator="equal">
      <formula>"Napkin Hs"</formula>
    </cfRule>
  </conditionalFormatting>
  <conditionalFormatting sqref="C116">
    <cfRule type="cellIs" dxfId="13267" priority="546" stopIfTrue="1" operator="equal">
      <formula>"Napkin Hs"</formula>
    </cfRule>
  </conditionalFormatting>
  <conditionalFormatting sqref="C116">
    <cfRule type="cellIs" dxfId="13266" priority="543" stopIfTrue="1" operator="equal">
      <formula>"Towel"</formula>
    </cfRule>
    <cfRule type="cellIs" dxfId="13265" priority="544" stopIfTrue="1" operator="equal">
      <formula>"Napkin Hs"</formula>
    </cfRule>
  </conditionalFormatting>
  <conditionalFormatting sqref="C116">
    <cfRule type="cellIs" dxfId="13264" priority="545" stopIfTrue="1" operator="equal">
      <formula>"Towel"</formula>
    </cfRule>
  </conditionalFormatting>
  <conditionalFormatting sqref="B121:C121">
    <cfRule type="cellIs" dxfId="13263" priority="541" stopIfTrue="1" operator="equal">
      <formula>"Towel"</formula>
    </cfRule>
    <cfRule type="cellIs" dxfId="13262" priority="542" stopIfTrue="1" operator="equal">
      <formula>"Napkin Hs"</formula>
    </cfRule>
  </conditionalFormatting>
  <conditionalFormatting sqref="C121">
    <cfRule type="cellIs" dxfId="13261" priority="540" stopIfTrue="1" operator="equal">
      <formula>"Napkin Hs"</formula>
    </cfRule>
  </conditionalFormatting>
  <conditionalFormatting sqref="C121">
    <cfRule type="cellIs" dxfId="13260" priority="537" stopIfTrue="1" operator="equal">
      <formula>"Towel"</formula>
    </cfRule>
    <cfRule type="cellIs" dxfId="13259" priority="538" stopIfTrue="1" operator="equal">
      <formula>"Napkin Hs"</formula>
    </cfRule>
  </conditionalFormatting>
  <conditionalFormatting sqref="C121">
    <cfRule type="cellIs" dxfId="13258" priority="539" stopIfTrue="1" operator="equal">
      <formula>"Towel"</formula>
    </cfRule>
  </conditionalFormatting>
  <conditionalFormatting sqref="B126:C126">
    <cfRule type="cellIs" dxfId="13257" priority="535" stopIfTrue="1" operator="equal">
      <formula>"Towel"</formula>
    </cfRule>
    <cfRule type="cellIs" dxfId="13256" priority="536" stopIfTrue="1" operator="equal">
      <formula>"Napkin Hs"</formula>
    </cfRule>
  </conditionalFormatting>
  <conditionalFormatting sqref="C126">
    <cfRule type="cellIs" dxfId="13255" priority="534" stopIfTrue="1" operator="equal">
      <formula>"Napkin Hs"</formula>
    </cfRule>
  </conditionalFormatting>
  <conditionalFormatting sqref="C126">
    <cfRule type="cellIs" dxfId="13254" priority="531" stopIfTrue="1" operator="equal">
      <formula>"Towel"</formula>
    </cfRule>
    <cfRule type="cellIs" dxfId="13253" priority="532" stopIfTrue="1" operator="equal">
      <formula>"Napkin Hs"</formula>
    </cfRule>
  </conditionalFormatting>
  <conditionalFormatting sqref="C126">
    <cfRule type="cellIs" dxfId="13252" priority="533" stopIfTrue="1" operator="equal">
      <formula>"Towel"</formula>
    </cfRule>
  </conditionalFormatting>
  <conditionalFormatting sqref="B131:C131">
    <cfRule type="cellIs" dxfId="13251" priority="529" stopIfTrue="1" operator="equal">
      <formula>"Towel"</formula>
    </cfRule>
    <cfRule type="cellIs" dxfId="13250" priority="530" stopIfTrue="1" operator="equal">
      <formula>"Napkin Hs"</formula>
    </cfRule>
  </conditionalFormatting>
  <conditionalFormatting sqref="C131">
    <cfRule type="cellIs" dxfId="13249" priority="528" stopIfTrue="1" operator="equal">
      <formula>"Napkin Hs"</formula>
    </cfRule>
  </conditionalFormatting>
  <conditionalFormatting sqref="C131">
    <cfRule type="cellIs" dxfId="13248" priority="525" stopIfTrue="1" operator="equal">
      <formula>"Towel"</formula>
    </cfRule>
    <cfRule type="cellIs" dxfId="13247" priority="526" stopIfTrue="1" operator="equal">
      <formula>"Napkin Hs"</formula>
    </cfRule>
  </conditionalFormatting>
  <conditionalFormatting sqref="C131">
    <cfRule type="cellIs" dxfId="13246" priority="527" stopIfTrue="1" operator="equal">
      <formula>"Towel"</formula>
    </cfRule>
  </conditionalFormatting>
  <conditionalFormatting sqref="B135:C135">
    <cfRule type="cellIs" dxfId="13245" priority="523" stopIfTrue="1" operator="equal">
      <formula>"Towel"</formula>
    </cfRule>
    <cfRule type="cellIs" dxfId="13244" priority="524" stopIfTrue="1" operator="equal">
      <formula>"Napkin Hs"</formula>
    </cfRule>
  </conditionalFormatting>
  <conditionalFormatting sqref="C135">
    <cfRule type="cellIs" dxfId="13243" priority="522" stopIfTrue="1" operator="equal">
      <formula>"Napkin Hs"</formula>
    </cfRule>
  </conditionalFormatting>
  <conditionalFormatting sqref="C135">
    <cfRule type="cellIs" dxfId="13242" priority="519" stopIfTrue="1" operator="equal">
      <formula>"Towel"</formula>
    </cfRule>
    <cfRule type="cellIs" dxfId="13241" priority="520" stopIfTrue="1" operator="equal">
      <formula>"Napkin Hs"</formula>
    </cfRule>
  </conditionalFormatting>
  <conditionalFormatting sqref="C135">
    <cfRule type="cellIs" dxfId="13240" priority="521" stopIfTrue="1" operator="equal">
      <formula>"Towel"</formula>
    </cfRule>
  </conditionalFormatting>
  <conditionalFormatting sqref="B140:C140">
    <cfRule type="cellIs" dxfId="13239" priority="517" stopIfTrue="1" operator="equal">
      <formula>"Towel"</formula>
    </cfRule>
    <cfRule type="cellIs" dxfId="13238" priority="518" stopIfTrue="1" operator="equal">
      <formula>"Napkin Hs"</formula>
    </cfRule>
  </conditionalFormatting>
  <conditionalFormatting sqref="C140">
    <cfRule type="cellIs" dxfId="13237" priority="516" stopIfTrue="1" operator="equal">
      <formula>"Napkin Hs"</formula>
    </cfRule>
  </conditionalFormatting>
  <conditionalFormatting sqref="C140">
    <cfRule type="cellIs" dxfId="13236" priority="513" stopIfTrue="1" operator="equal">
      <formula>"Towel"</formula>
    </cfRule>
    <cfRule type="cellIs" dxfId="13235" priority="514" stopIfTrue="1" operator="equal">
      <formula>"Napkin Hs"</formula>
    </cfRule>
  </conditionalFormatting>
  <conditionalFormatting sqref="C140">
    <cfRule type="cellIs" dxfId="13234" priority="515" stopIfTrue="1" operator="equal">
      <formula>"Towel"</formula>
    </cfRule>
  </conditionalFormatting>
  <conditionalFormatting sqref="B145:C145">
    <cfRule type="cellIs" dxfId="13233" priority="511" stopIfTrue="1" operator="equal">
      <formula>"Towel"</formula>
    </cfRule>
    <cfRule type="cellIs" dxfId="13232" priority="512" stopIfTrue="1" operator="equal">
      <formula>"Napkin Hs"</formula>
    </cfRule>
  </conditionalFormatting>
  <conditionalFormatting sqref="C145">
    <cfRule type="cellIs" dxfId="13231" priority="510" stopIfTrue="1" operator="equal">
      <formula>"Napkin Hs"</formula>
    </cfRule>
  </conditionalFormatting>
  <conditionalFormatting sqref="C145">
    <cfRule type="cellIs" dxfId="13230" priority="507" stopIfTrue="1" operator="equal">
      <formula>"Towel"</formula>
    </cfRule>
    <cfRule type="cellIs" dxfId="13229" priority="508" stopIfTrue="1" operator="equal">
      <formula>"Napkin Hs"</formula>
    </cfRule>
  </conditionalFormatting>
  <conditionalFormatting sqref="C145">
    <cfRule type="cellIs" dxfId="13228" priority="509" stopIfTrue="1" operator="equal">
      <formula>"Towel"</formula>
    </cfRule>
  </conditionalFormatting>
  <conditionalFormatting sqref="B144:C144">
    <cfRule type="cellIs" dxfId="13227" priority="505" stopIfTrue="1" operator="equal">
      <formula>"Towel"</formula>
    </cfRule>
    <cfRule type="cellIs" dxfId="13226" priority="506" stopIfTrue="1" operator="equal">
      <formula>"Napkin Hs"</formula>
    </cfRule>
  </conditionalFormatting>
  <conditionalFormatting sqref="C144">
    <cfRule type="cellIs" dxfId="13225" priority="504" stopIfTrue="1" operator="equal">
      <formula>"Napkin Hs"</formula>
    </cfRule>
  </conditionalFormatting>
  <conditionalFormatting sqref="C144">
    <cfRule type="cellIs" dxfId="13224" priority="501" stopIfTrue="1" operator="equal">
      <formula>"Towel"</formula>
    </cfRule>
    <cfRule type="cellIs" dxfId="13223" priority="502" stopIfTrue="1" operator="equal">
      <formula>"Napkin Hs"</formula>
    </cfRule>
  </conditionalFormatting>
  <conditionalFormatting sqref="C144">
    <cfRule type="cellIs" dxfId="13222" priority="503" stopIfTrue="1" operator="equal">
      <formula>"Towel"</formula>
    </cfRule>
  </conditionalFormatting>
  <conditionalFormatting sqref="C149">
    <cfRule type="cellIs" dxfId="13221" priority="495" stopIfTrue="1" operator="equal">
      <formula>"Towel"</formula>
    </cfRule>
    <cfRule type="cellIs" dxfId="13220" priority="496" stopIfTrue="1" operator="equal">
      <formula>"Napkin Hs"</formula>
    </cfRule>
  </conditionalFormatting>
  <conditionalFormatting sqref="B149:C149">
    <cfRule type="cellIs" dxfId="13219" priority="499" stopIfTrue="1" operator="equal">
      <formula>"Towel"</formula>
    </cfRule>
    <cfRule type="cellIs" dxfId="13218" priority="500" stopIfTrue="1" operator="equal">
      <formula>"Napkin Hs"</formula>
    </cfRule>
  </conditionalFormatting>
  <conditionalFormatting sqref="C149">
    <cfRule type="cellIs" dxfId="13217" priority="498" stopIfTrue="1" operator="equal">
      <formula>"Napkin Hs"</formula>
    </cfRule>
  </conditionalFormatting>
  <conditionalFormatting sqref="C149">
    <cfRule type="cellIs" dxfId="13216" priority="497" stopIfTrue="1" operator="equal">
      <formula>"Towel"</formula>
    </cfRule>
  </conditionalFormatting>
  <conditionalFormatting sqref="B17:C17">
    <cfRule type="cellIs" dxfId="13215" priority="493" stopIfTrue="1" operator="equal">
      <formula>"Towel"</formula>
    </cfRule>
    <cfRule type="cellIs" dxfId="13214" priority="494" stopIfTrue="1" operator="equal">
      <formula>"Napkin Hs"</formula>
    </cfRule>
  </conditionalFormatting>
  <conditionalFormatting sqref="C17">
    <cfRule type="cellIs" dxfId="13213" priority="491" stopIfTrue="1" operator="equal">
      <formula>"Towel"</formula>
    </cfRule>
    <cfRule type="cellIs" dxfId="13212" priority="492" stopIfTrue="1" operator="equal">
      <formula>"Napkin Hs"</formula>
    </cfRule>
  </conditionalFormatting>
  <conditionalFormatting sqref="B23:C23">
    <cfRule type="cellIs" dxfId="13211" priority="489" stopIfTrue="1" operator="equal">
      <formula>"Towel"</formula>
    </cfRule>
    <cfRule type="cellIs" dxfId="13210" priority="490" stopIfTrue="1" operator="equal">
      <formula>"Napkin Hs"</formula>
    </cfRule>
  </conditionalFormatting>
  <conditionalFormatting sqref="C23">
    <cfRule type="cellIs" dxfId="13209" priority="488" stopIfTrue="1" operator="equal">
      <formula>"Napkin Hs"</formula>
    </cfRule>
  </conditionalFormatting>
  <conditionalFormatting sqref="C23">
    <cfRule type="cellIs" dxfId="13208" priority="485" stopIfTrue="1" operator="equal">
      <formula>"Towel"</formula>
    </cfRule>
    <cfRule type="cellIs" dxfId="13207" priority="486" stopIfTrue="1" operator="equal">
      <formula>"Napkin Hs"</formula>
    </cfRule>
  </conditionalFormatting>
  <conditionalFormatting sqref="C23">
    <cfRule type="cellIs" dxfId="13206" priority="487" stopIfTrue="1" operator="equal">
      <formula>"Towel"</formula>
    </cfRule>
  </conditionalFormatting>
  <conditionalFormatting sqref="B23:C23">
    <cfRule type="cellIs" dxfId="13205" priority="483" stopIfTrue="1" operator="equal">
      <formula>"Towel"</formula>
    </cfRule>
    <cfRule type="cellIs" dxfId="13204" priority="484" stopIfTrue="1" operator="equal">
      <formula>"Napkin Hs"</formula>
    </cfRule>
  </conditionalFormatting>
  <conditionalFormatting sqref="C23">
    <cfRule type="cellIs" dxfId="13203" priority="482" stopIfTrue="1" operator="equal">
      <formula>"Napkin Hs"</formula>
    </cfRule>
  </conditionalFormatting>
  <conditionalFormatting sqref="C23">
    <cfRule type="cellIs" dxfId="13202" priority="479" stopIfTrue="1" operator="equal">
      <formula>"Towel"</formula>
    </cfRule>
    <cfRule type="cellIs" dxfId="13201" priority="480" stopIfTrue="1" operator="equal">
      <formula>"Napkin Hs"</formula>
    </cfRule>
  </conditionalFormatting>
  <conditionalFormatting sqref="C23">
    <cfRule type="cellIs" dxfId="13200" priority="481" stopIfTrue="1" operator="equal">
      <formula>"Towel"</formula>
    </cfRule>
  </conditionalFormatting>
  <conditionalFormatting sqref="B29:C29">
    <cfRule type="cellIs" dxfId="13199" priority="477" stopIfTrue="1" operator="equal">
      <formula>"Towel"</formula>
    </cfRule>
    <cfRule type="cellIs" dxfId="13198" priority="478" stopIfTrue="1" operator="equal">
      <formula>"Napkin Hs"</formula>
    </cfRule>
  </conditionalFormatting>
  <conditionalFormatting sqref="C29">
    <cfRule type="cellIs" dxfId="13197" priority="476" stopIfTrue="1" operator="equal">
      <formula>"Napkin Hs"</formula>
    </cfRule>
  </conditionalFormatting>
  <conditionalFormatting sqref="C29">
    <cfRule type="cellIs" dxfId="13196" priority="473" stopIfTrue="1" operator="equal">
      <formula>"Towel"</formula>
    </cfRule>
    <cfRule type="cellIs" dxfId="13195" priority="474" stopIfTrue="1" operator="equal">
      <formula>"Napkin Hs"</formula>
    </cfRule>
  </conditionalFormatting>
  <conditionalFormatting sqref="C29">
    <cfRule type="cellIs" dxfId="13194" priority="475" stopIfTrue="1" operator="equal">
      <formula>"Towel"</formula>
    </cfRule>
  </conditionalFormatting>
  <conditionalFormatting sqref="B29:C29">
    <cfRule type="cellIs" dxfId="13193" priority="471" stopIfTrue="1" operator="equal">
      <formula>"Towel"</formula>
    </cfRule>
    <cfRule type="cellIs" dxfId="13192" priority="472" stopIfTrue="1" operator="equal">
      <formula>"Napkin Hs"</formula>
    </cfRule>
  </conditionalFormatting>
  <conditionalFormatting sqref="C29">
    <cfRule type="cellIs" dxfId="13191" priority="470" stopIfTrue="1" operator="equal">
      <formula>"Napkin Hs"</formula>
    </cfRule>
  </conditionalFormatting>
  <conditionalFormatting sqref="C29">
    <cfRule type="cellIs" dxfId="13190" priority="467" stopIfTrue="1" operator="equal">
      <formula>"Towel"</formula>
    </cfRule>
    <cfRule type="cellIs" dxfId="13189" priority="468" stopIfTrue="1" operator="equal">
      <formula>"Napkin Hs"</formula>
    </cfRule>
  </conditionalFormatting>
  <conditionalFormatting sqref="C29">
    <cfRule type="cellIs" dxfId="13188" priority="469" stopIfTrue="1" operator="equal">
      <formula>"Towel"</formula>
    </cfRule>
  </conditionalFormatting>
  <conditionalFormatting sqref="B35:C35">
    <cfRule type="cellIs" dxfId="13187" priority="465" stopIfTrue="1" operator="equal">
      <formula>"Towel"</formula>
    </cfRule>
    <cfRule type="cellIs" dxfId="13186" priority="466" stopIfTrue="1" operator="equal">
      <formula>"Napkin Hs"</formula>
    </cfRule>
  </conditionalFormatting>
  <conditionalFormatting sqref="C35">
    <cfRule type="cellIs" dxfId="13185" priority="464" stopIfTrue="1" operator="equal">
      <formula>"Napkin Hs"</formula>
    </cfRule>
  </conditionalFormatting>
  <conditionalFormatting sqref="C35">
    <cfRule type="cellIs" dxfId="13184" priority="461" stopIfTrue="1" operator="equal">
      <formula>"Towel"</formula>
    </cfRule>
    <cfRule type="cellIs" dxfId="13183" priority="462" stopIfTrue="1" operator="equal">
      <formula>"Napkin Hs"</formula>
    </cfRule>
  </conditionalFormatting>
  <conditionalFormatting sqref="C35">
    <cfRule type="cellIs" dxfId="13182" priority="463" stopIfTrue="1" operator="equal">
      <formula>"Towel"</formula>
    </cfRule>
  </conditionalFormatting>
  <conditionalFormatting sqref="B35:C35">
    <cfRule type="cellIs" dxfId="13181" priority="459" stopIfTrue="1" operator="equal">
      <formula>"Towel"</formula>
    </cfRule>
    <cfRule type="cellIs" dxfId="13180" priority="460" stopIfTrue="1" operator="equal">
      <formula>"Napkin Hs"</formula>
    </cfRule>
  </conditionalFormatting>
  <conditionalFormatting sqref="C35">
    <cfRule type="cellIs" dxfId="13179" priority="458" stopIfTrue="1" operator="equal">
      <formula>"Napkin Hs"</formula>
    </cfRule>
  </conditionalFormatting>
  <conditionalFormatting sqref="C35">
    <cfRule type="cellIs" dxfId="13178" priority="455" stopIfTrue="1" operator="equal">
      <formula>"Towel"</formula>
    </cfRule>
    <cfRule type="cellIs" dxfId="13177" priority="456" stopIfTrue="1" operator="equal">
      <formula>"Napkin Hs"</formula>
    </cfRule>
  </conditionalFormatting>
  <conditionalFormatting sqref="C35">
    <cfRule type="cellIs" dxfId="13176" priority="457" stopIfTrue="1" operator="equal">
      <formula>"Towel"</formula>
    </cfRule>
  </conditionalFormatting>
  <conditionalFormatting sqref="B12:C12 B14:C14 B16:C16">
    <cfRule type="cellIs" dxfId="13175" priority="453" stopIfTrue="1" operator="equal">
      <formula>"Towel"</formula>
    </cfRule>
    <cfRule type="cellIs" dxfId="13174" priority="454" stopIfTrue="1" operator="equal">
      <formula>"Napkin Hs"</formula>
    </cfRule>
  </conditionalFormatting>
  <conditionalFormatting sqref="B13:C13">
    <cfRule type="cellIs" dxfId="13173" priority="449" stopIfTrue="1" operator="equal">
      <formula>"Towel"</formula>
    </cfRule>
    <cfRule type="cellIs" dxfId="13172" priority="450" stopIfTrue="1" operator="equal">
      <formula>"Napkin Hs"</formula>
    </cfRule>
  </conditionalFormatting>
  <conditionalFormatting sqref="C12 C14 C16">
    <cfRule type="cellIs" dxfId="13171" priority="452" stopIfTrue="1" operator="equal">
      <formula>"Napkin Hs"</formula>
    </cfRule>
  </conditionalFormatting>
  <conditionalFormatting sqref="C12:C14 C16">
    <cfRule type="cellIs" dxfId="13170" priority="447" stopIfTrue="1" operator="equal">
      <formula>"Towel"</formula>
    </cfRule>
    <cfRule type="cellIs" dxfId="13169" priority="448" stopIfTrue="1" operator="equal">
      <formula>"Napkin Hs"</formula>
    </cfRule>
  </conditionalFormatting>
  <conditionalFormatting sqref="C13">
    <cfRule type="cellIs" dxfId="13168" priority="445" stopIfTrue="1" operator="equal">
      <formula>"Towel"</formula>
    </cfRule>
    <cfRule type="cellIs" dxfId="13167" priority="446" stopIfTrue="1" operator="equal">
      <formula>"Napkin Hs"</formula>
    </cfRule>
  </conditionalFormatting>
  <conditionalFormatting sqref="C12 C14 C16">
    <cfRule type="cellIs" dxfId="13166" priority="451" stopIfTrue="1" operator="equal">
      <formula>"Towel"</formula>
    </cfRule>
  </conditionalFormatting>
  <conditionalFormatting sqref="B15:C15">
    <cfRule type="cellIs" dxfId="13165" priority="443" stopIfTrue="1" operator="equal">
      <formula>"Towel"</formula>
    </cfRule>
    <cfRule type="cellIs" dxfId="13164" priority="444" stopIfTrue="1" operator="equal">
      <formula>"Napkin Hs"</formula>
    </cfRule>
  </conditionalFormatting>
  <conditionalFormatting sqref="C15">
    <cfRule type="cellIs" dxfId="13163" priority="439" stopIfTrue="1" operator="equal">
      <formula>"Towel"</formula>
    </cfRule>
    <cfRule type="cellIs" dxfId="13162" priority="440" stopIfTrue="1" operator="equal">
      <formula>"Napkin Hs"</formula>
    </cfRule>
  </conditionalFormatting>
  <conditionalFormatting sqref="C15">
    <cfRule type="cellIs" dxfId="13161" priority="442" stopIfTrue="1" operator="equal">
      <formula>"Napkin Hs"</formula>
    </cfRule>
  </conditionalFormatting>
  <conditionalFormatting sqref="C15">
    <cfRule type="cellIs" dxfId="13160" priority="441" stopIfTrue="1" operator="equal">
      <formula>"Towel"</formula>
    </cfRule>
  </conditionalFormatting>
  <conditionalFormatting sqref="B18:C18 B20:C20 B22:C22">
    <cfRule type="cellIs" dxfId="13159" priority="437" stopIfTrue="1" operator="equal">
      <formula>"Towel"</formula>
    </cfRule>
    <cfRule type="cellIs" dxfId="13158" priority="438" stopIfTrue="1" operator="equal">
      <formula>"Napkin Hs"</formula>
    </cfRule>
  </conditionalFormatting>
  <conditionalFormatting sqref="B19:C19">
    <cfRule type="cellIs" dxfId="13157" priority="433" stopIfTrue="1" operator="equal">
      <formula>"Towel"</formula>
    </cfRule>
    <cfRule type="cellIs" dxfId="13156" priority="434" stopIfTrue="1" operator="equal">
      <formula>"Napkin Hs"</formula>
    </cfRule>
  </conditionalFormatting>
  <conditionalFormatting sqref="C18 C20 C22">
    <cfRule type="cellIs" dxfId="13155" priority="436" stopIfTrue="1" operator="equal">
      <formula>"Napkin Hs"</formula>
    </cfRule>
  </conditionalFormatting>
  <conditionalFormatting sqref="C18:C20 C22">
    <cfRule type="cellIs" dxfId="13154" priority="431" stopIfTrue="1" operator="equal">
      <formula>"Towel"</formula>
    </cfRule>
    <cfRule type="cellIs" dxfId="13153" priority="432" stopIfTrue="1" operator="equal">
      <formula>"Napkin Hs"</formula>
    </cfRule>
  </conditionalFormatting>
  <conditionalFormatting sqref="C19">
    <cfRule type="cellIs" dxfId="13152" priority="429" stopIfTrue="1" operator="equal">
      <formula>"Towel"</formula>
    </cfRule>
    <cfRule type="cellIs" dxfId="13151" priority="430" stopIfTrue="1" operator="equal">
      <formula>"Napkin Hs"</formula>
    </cfRule>
  </conditionalFormatting>
  <conditionalFormatting sqref="C18 C20 C22">
    <cfRule type="cellIs" dxfId="13150" priority="435" stopIfTrue="1" operator="equal">
      <formula>"Towel"</formula>
    </cfRule>
  </conditionalFormatting>
  <conditionalFormatting sqref="B21:C21">
    <cfRule type="cellIs" dxfId="13149" priority="427" stopIfTrue="1" operator="equal">
      <formula>"Towel"</formula>
    </cfRule>
    <cfRule type="cellIs" dxfId="13148" priority="428" stopIfTrue="1" operator="equal">
      <formula>"Napkin Hs"</formula>
    </cfRule>
  </conditionalFormatting>
  <conditionalFormatting sqref="C21">
    <cfRule type="cellIs" dxfId="13147" priority="423" stopIfTrue="1" operator="equal">
      <formula>"Towel"</formula>
    </cfRule>
    <cfRule type="cellIs" dxfId="13146" priority="424" stopIfTrue="1" operator="equal">
      <formula>"Napkin Hs"</formula>
    </cfRule>
  </conditionalFormatting>
  <conditionalFormatting sqref="C21">
    <cfRule type="cellIs" dxfId="13145" priority="426" stopIfTrue="1" operator="equal">
      <formula>"Napkin Hs"</formula>
    </cfRule>
  </conditionalFormatting>
  <conditionalFormatting sqref="C21">
    <cfRule type="cellIs" dxfId="13144" priority="425" stopIfTrue="1" operator="equal">
      <formula>"Towel"</formula>
    </cfRule>
  </conditionalFormatting>
  <conditionalFormatting sqref="B24:C24 B26:C26 B28:C28">
    <cfRule type="cellIs" dxfId="13143" priority="421" stopIfTrue="1" operator="equal">
      <formula>"Towel"</formula>
    </cfRule>
    <cfRule type="cellIs" dxfId="13142" priority="422" stopIfTrue="1" operator="equal">
      <formula>"Napkin Hs"</formula>
    </cfRule>
  </conditionalFormatting>
  <conditionalFormatting sqref="B25:C25">
    <cfRule type="cellIs" dxfId="13141" priority="417" stopIfTrue="1" operator="equal">
      <formula>"Towel"</formula>
    </cfRule>
    <cfRule type="cellIs" dxfId="13140" priority="418" stopIfTrue="1" operator="equal">
      <formula>"Napkin Hs"</formula>
    </cfRule>
  </conditionalFormatting>
  <conditionalFormatting sqref="C24 C26 C28">
    <cfRule type="cellIs" dxfId="13139" priority="420" stopIfTrue="1" operator="equal">
      <formula>"Napkin Hs"</formula>
    </cfRule>
  </conditionalFormatting>
  <conditionalFormatting sqref="C24:C26 C28">
    <cfRule type="cellIs" dxfId="13138" priority="415" stopIfTrue="1" operator="equal">
      <formula>"Towel"</formula>
    </cfRule>
    <cfRule type="cellIs" dxfId="13137" priority="416" stopIfTrue="1" operator="equal">
      <formula>"Napkin Hs"</formula>
    </cfRule>
  </conditionalFormatting>
  <conditionalFormatting sqref="C25">
    <cfRule type="cellIs" dxfId="13136" priority="413" stopIfTrue="1" operator="equal">
      <formula>"Towel"</formula>
    </cfRule>
    <cfRule type="cellIs" dxfId="13135" priority="414" stopIfTrue="1" operator="equal">
      <formula>"Napkin Hs"</formula>
    </cfRule>
  </conditionalFormatting>
  <conditionalFormatting sqref="C24 C26 C28">
    <cfRule type="cellIs" dxfId="13134" priority="419" stopIfTrue="1" operator="equal">
      <formula>"Towel"</formula>
    </cfRule>
  </conditionalFormatting>
  <conditionalFormatting sqref="B27:C27">
    <cfRule type="cellIs" dxfId="13133" priority="411" stopIfTrue="1" operator="equal">
      <formula>"Towel"</formula>
    </cfRule>
    <cfRule type="cellIs" dxfId="13132" priority="412" stopIfTrue="1" operator="equal">
      <formula>"Napkin Hs"</formula>
    </cfRule>
  </conditionalFormatting>
  <conditionalFormatting sqref="C27">
    <cfRule type="cellIs" dxfId="13131" priority="407" stopIfTrue="1" operator="equal">
      <formula>"Towel"</formula>
    </cfRule>
    <cfRule type="cellIs" dxfId="13130" priority="408" stopIfTrue="1" operator="equal">
      <formula>"Napkin Hs"</formula>
    </cfRule>
  </conditionalFormatting>
  <conditionalFormatting sqref="C27">
    <cfRule type="cellIs" dxfId="13129" priority="410" stopIfTrue="1" operator="equal">
      <formula>"Napkin Hs"</formula>
    </cfRule>
  </conditionalFormatting>
  <conditionalFormatting sqref="C27">
    <cfRule type="cellIs" dxfId="13128" priority="409" stopIfTrue="1" operator="equal">
      <formula>"Towel"</formula>
    </cfRule>
  </conditionalFormatting>
  <conditionalFormatting sqref="B30:C30 B32:C32 B34:C34">
    <cfRule type="cellIs" dxfId="13127" priority="405" stopIfTrue="1" operator="equal">
      <formula>"Towel"</formula>
    </cfRule>
    <cfRule type="cellIs" dxfId="13126" priority="406" stopIfTrue="1" operator="equal">
      <formula>"Napkin Hs"</formula>
    </cfRule>
  </conditionalFormatting>
  <conditionalFormatting sqref="B31:C31">
    <cfRule type="cellIs" dxfId="13125" priority="401" stopIfTrue="1" operator="equal">
      <formula>"Towel"</formula>
    </cfRule>
    <cfRule type="cellIs" dxfId="13124" priority="402" stopIfTrue="1" operator="equal">
      <formula>"Napkin Hs"</formula>
    </cfRule>
  </conditionalFormatting>
  <conditionalFormatting sqref="C30 C32 C34">
    <cfRule type="cellIs" dxfId="13123" priority="404" stopIfTrue="1" operator="equal">
      <formula>"Napkin Hs"</formula>
    </cfRule>
  </conditionalFormatting>
  <conditionalFormatting sqref="C30:C32 C34">
    <cfRule type="cellIs" dxfId="13122" priority="399" stopIfTrue="1" operator="equal">
      <formula>"Towel"</formula>
    </cfRule>
    <cfRule type="cellIs" dxfId="13121" priority="400" stopIfTrue="1" operator="equal">
      <formula>"Napkin Hs"</formula>
    </cfRule>
  </conditionalFormatting>
  <conditionalFormatting sqref="C31">
    <cfRule type="cellIs" dxfId="13120" priority="397" stopIfTrue="1" operator="equal">
      <formula>"Towel"</formula>
    </cfRule>
    <cfRule type="cellIs" dxfId="13119" priority="398" stopIfTrue="1" operator="equal">
      <formula>"Napkin Hs"</formula>
    </cfRule>
  </conditionalFormatting>
  <conditionalFormatting sqref="C30 C32 C34">
    <cfRule type="cellIs" dxfId="13118" priority="403" stopIfTrue="1" operator="equal">
      <formula>"Towel"</formula>
    </cfRule>
  </conditionalFormatting>
  <conditionalFormatting sqref="B33:C33">
    <cfRule type="cellIs" dxfId="13117" priority="395" stopIfTrue="1" operator="equal">
      <formula>"Towel"</formula>
    </cfRule>
    <cfRule type="cellIs" dxfId="13116" priority="396" stopIfTrue="1" operator="equal">
      <formula>"Napkin Hs"</formula>
    </cfRule>
  </conditionalFormatting>
  <conditionalFormatting sqref="C33">
    <cfRule type="cellIs" dxfId="13115" priority="391" stopIfTrue="1" operator="equal">
      <formula>"Towel"</formula>
    </cfRule>
    <cfRule type="cellIs" dxfId="13114" priority="392" stopIfTrue="1" operator="equal">
      <formula>"Napkin Hs"</formula>
    </cfRule>
  </conditionalFormatting>
  <conditionalFormatting sqref="C33">
    <cfRule type="cellIs" dxfId="13113" priority="394" stopIfTrue="1" operator="equal">
      <formula>"Napkin Hs"</formula>
    </cfRule>
  </conditionalFormatting>
  <conditionalFormatting sqref="C33">
    <cfRule type="cellIs" dxfId="13112" priority="393" stopIfTrue="1" operator="equal">
      <formula>"Towel"</formula>
    </cfRule>
  </conditionalFormatting>
  <conditionalFormatting sqref="B36:C36 B38:C38 B40:C40">
    <cfRule type="cellIs" dxfId="13111" priority="389" stopIfTrue="1" operator="equal">
      <formula>"Towel"</formula>
    </cfRule>
    <cfRule type="cellIs" dxfId="13110" priority="390" stopIfTrue="1" operator="equal">
      <formula>"Napkin Hs"</formula>
    </cfRule>
  </conditionalFormatting>
  <conditionalFormatting sqref="B37:C37">
    <cfRule type="cellIs" dxfId="13109" priority="385" stopIfTrue="1" operator="equal">
      <formula>"Towel"</formula>
    </cfRule>
    <cfRule type="cellIs" dxfId="13108" priority="386" stopIfTrue="1" operator="equal">
      <formula>"Napkin Hs"</formula>
    </cfRule>
  </conditionalFormatting>
  <conditionalFormatting sqref="C36 C38 C40">
    <cfRule type="cellIs" dxfId="13107" priority="388" stopIfTrue="1" operator="equal">
      <formula>"Napkin Hs"</formula>
    </cfRule>
  </conditionalFormatting>
  <conditionalFormatting sqref="C36:C38 C40">
    <cfRule type="cellIs" dxfId="13106" priority="383" stopIfTrue="1" operator="equal">
      <formula>"Towel"</formula>
    </cfRule>
    <cfRule type="cellIs" dxfId="13105" priority="384" stopIfTrue="1" operator="equal">
      <formula>"Napkin Hs"</formula>
    </cfRule>
  </conditionalFormatting>
  <conditionalFormatting sqref="C37">
    <cfRule type="cellIs" dxfId="13104" priority="381" stopIfTrue="1" operator="equal">
      <formula>"Towel"</formula>
    </cfRule>
    <cfRule type="cellIs" dxfId="13103" priority="382" stopIfTrue="1" operator="equal">
      <formula>"Napkin Hs"</formula>
    </cfRule>
  </conditionalFormatting>
  <conditionalFormatting sqref="C36 C38 C40">
    <cfRule type="cellIs" dxfId="13102" priority="387" stopIfTrue="1" operator="equal">
      <formula>"Towel"</formula>
    </cfRule>
  </conditionalFormatting>
  <conditionalFormatting sqref="B39:C39">
    <cfRule type="cellIs" dxfId="13101" priority="379" stopIfTrue="1" operator="equal">
      <formula>"Towel"</formula>
    </cfRule>
    <cfRule type="cellIs" dxfId="13100" priority="380" stopIfTrue="1" operator="equal">
      <formula>"Napkin Hs"</formula>
    </cfRule>
  </conditionalFormatting>
  <conditionalFormatting sqref="C39">
    <cfRule type="cellIs" dxfId="13099" priority="375" stopIfTrue="1" operator="equal">
      <formula>"Towel"</formula>
    </cfRule>
    <cfRule type="cellIs" dxfId="13098" priority="376" stopIfTrue="1" operator="equal">
      <formula>"Napkin Hs"</formula>
    </cfRule>
  </conditionalFormatting>
  <conditionalFormatting sqref="C39">
    <cfRule type="cellIs" dxfId="13097" priority="378" stopIfTrue="1" operator="equal">
      <formula>"Napkin Hs"</formula>
    </cfRule>
  </conditionalFormatting>
  <conditionalFormatting sqref="C39">
    <cfRule type="cellIs" dxfId="13096" priority="377" stopIfTrue="1" operator="equal">
      <formula>"Towel"</formula>
    </cfRule>
  </conditionalFormatting>
  <conditionalFormatting sqref="B42:C42 B44:C44 B46:C46">
    <cfRule type="cellIs" dxfId="13095" priority="373" stopIfTrue="1" operator="equal">
      <formula>"Towel"</formula>
    </cfRule>
    <cfRule type="cellIs" dxfId="13094" priority="374" stopIfTrue="1" operator="equal">
      <formula>"Napkin Hs"</formula>
    </cfRule>
  </conditionalFormatting>
  <conditionalFormatting sqref="B43:C43">
    <cfRule type="cellIs" dxfId="13093" priority="369" stopIfTrue="1" operator="equal">
      <formula>"Towel"</formula>
    </cfRule>
    <cfRule type="cellIs" dxfId="13092" priority="370" stopIfTrue="1" operator="equal">
      <formula>"Napkin Hs"</formula>
    </cfRule>
  </conditionalFormatting>
  <conditionalFormatting sqref="C42 C44 C46">
    <cfRule type="cellIs" dxfId="13091" priority="372" stopIfTrue="1" operator="equal">
      <formula>"Napkin Hs"</formula>
    </cfRule>
  </conditionalFormatting>
  <conditionalFormatting sqref="C42:C44 C46">
    <cfRule type="cellIs" dxfId="13090" priority="367" stopIfTrue="1" operator="equal">
      <formula>"Towel"</formula>
    </cfRule>
    <cfRule type="cellIs" dxfId="13089" priority="368" stopIfTrue="1" operator="equal">
      <formula>"Napkin Hs"</formula>
    </cfRule>
  </conditionalFormatting>
  <conditionalFormatting sqref="C43">
    <cfRule type="cellIs" dxfId="13088" priority="365" stopIfTrue="1" operator="equal">
      <formula>"Towel"</formula>
    </cfRule>
    <cfRule type="cellIs" dxfId="13087" priority="366" stopIfTrue="1" operator="equal">
      <formula>"Napkin Hs"</formula>
    </cfRule>
  </conditionalFormatting>
  <conditionalFormatting sqref="C42 C44 C46">
    <cfRule type="cellIs" dxfId="13086" priority="371" stopIfTrue="1" operator="equal">
      <formula>"Towel"</formula>
    </cfRule>
  </conditionalFormatting>
  <conditionalFormatting sqref="B45:C45">
    <cfRule type="cellIs" dxfId="13085" priority="363" stopIfTrue="1" operator="equal">
      <formula>"Towel"</formula>
    </cfRule>
    <cfRule type="cellIs" dxfId="13084" priority="364" stopIfTrue="1" operator="equal">
      <formula>"Napkin Hs"</formula>
    </cfRule>
  </conditionalFormatting>
  <conditionalFormatting sqref="C45">
    <cfRule type="cellIs" dxfId="13083" priority="359" stopIfTrue="1" operator="equal">
      <formula>"Towel"</formula>
    </cfRule>
    <cfRule type="cellIs" dxfId="13082" priority="360" stopIfTrue="1" operator="equal">
      <formula>"Napkin Hs"</formula>
    </cfRule>
  </conditionalFormatting>
  <conditionalFormatting sqref="C45">
    <cfRule type="cellIs" dxfId="13081" priority="362" stopIfTrue="1" operator="equal">
      <formula>"Napkin Hs"</formula>
    </cfRule>
  </conditionalFormatting>
  <conditionalFormatting sqref="C45">
    <cfRule type="cellIs" dxfId="13080" priority="361" stopIfTrue="1" operator="equal">
      <formula>"Towel"</formula>
    </cfRule>
  </conditionalFormatting>
  <conditionalFormatting sqref="B48:C48 B50:C50 B52:C52">
    <cfRule type="cellIs" dxfId="13079" priority="357" stopIfTrue="1" operator="equal">
      <formula>"Towel"</formula>
    </cfRule>
    <cfRule type="cellIs" dxfId="13078" priority="358" stopIfTrue="1" operator="equal">
      <formula>"Napkin Hs"</formula>
    </cfRule>
  </conditionalFormatting>
  <conditionalFormatting sqref="B49:C49">
    <cfRule type="cellIs" dxfId="13077" priority="353" stopIfTrue="1" operator="equal">
      <formula>"Towel"</formula>
    </cfRule>
    <cfRule type="cellIs" dxfId="13076" priority="354" stopIfTrue="1" operator="equal">
      <formula>"Napkin Hs"</formula>
    </cfRule>
  </conditionalFormatting>
  <conditionalFormatting sqref="C48 C50 C52">
    <cfRule type="cellIs" dxfId="13075" priority="356" stopIfTrue="1" operator="equal">
      <formula>"Napkin Hs"</formula>
    </cfRule>
  </conditionalFormatting>
  <conditionalFormatting sqref="C48:C50 C52">
    <cfRule type="cellIs" dxfId="13074" priority="351" stopIfTrue="1" operator="equal">
      <formula>"Towel"</formula>
    </cfRule>
    <cfRule type="cellIs" dxfId="13073" priority="352" stopIfTrue="1" operator="equal">
      <formula>"Napkin Hs"</formula>
    </cfRule>
  </conditionalFormatting>
  <conditionalFormatting sqref="C49">
    <cfRule type="cellIs" dxfId="13072" priority="349" stopIfTrue="1" operator="equal">
      <formula>"Towel"</formula>
    </cfRule>
    <cfRule type="cellIs" dxfId="13071" priority="350" stopIfTrue="1" operator="equal">
      <formula>"Napkin Hs"</formula>
    </cfRule>
  </conditionalFormatting>
  <conditionalFormatting sqref="C48 C50 C52">
    <cfRule type="cellIs" dxfId="13070" priority="355" stopIfTrue="1" operator="equal">
      <formula>"Towel"</formula>
    </cfRule>
  </conditionalFormatting>
  <conditionalFormatting sqref="B51:C51">
    <cfRule type="cellIs" dxfId="13069" priority="347" stopIfTrue="1" operator="equal">
      <formula>"Towel"</formula>
    </cfRule>
    <cfRule type="cellIs" dxfId="13068" priority="348" stopIfTrue="1" operator="equal">
      <formula>"Napkin Hs"</formula>
    </cfRule>
  </conditionalFormatting>
  <conditionalFormatting sqref="C51">
    <cfRule type="cellIs" dxfId="13067" priority="343" stopIfTrue="1" operator="equal">
      <formula>"Towel"</formula>
    </cfRule>
    <cfRule type="cellIs" dxfId="13066" priority="344" stopIfTrue="1" operator="equal">
      <formula>"Napkin Hs"</formula>
    </cfRule>
  </conditionalFormatting>
  <conditionalFormatting sqref="C51">
    <cfRule type="cellIs" dxfId="13065" priority="346" stopIfTrue="1" operator="equal">
      <formula>"Napkin Hs"</formula>
    </cfRule>
  </conditionalFormatting>
  <conditionalFormatting sqref="C51">
    <cfRule type="cellIs" dxfId="13064" priority="345" stopIfTrue="1" operator="equal">
      <formula>"Towel"</formula>
    </cfRule>
  </conditionalFormatting>
  <conditionalFormatting sqref="B54:C54 B56:C56 B58:C58">
    <cfRule type="cellIs" dxfId="13063" priority="341" stopIfTrue="1" operator="equal">
      <formula>"Towel"</formula>
    </cfRule>
    <cfRule type="cellIs" dxfId="13062" priority="342" stopIfTrue="1" operator="equal">
      <formula>"Napkin Hs"</formula>
    </cfRule>
  </conditionalFormatting>
  <conditionalFormatting sqref="B55:C55">
    <cfRule type="cellIs" dxfId="13061" priority="337" stopIfTrue="1" operator="equal">
      <formula>"Towel"</formula>
    </cfRule>
    <cfRule type="cellIs" dxfId="13060" priority="338" stopIfTrue="1" operator="equal">
      <formula>"Napkin Hs"</formula>
    </cfRule>
  </conditionalFormatting>
  <conditionalFormatting sqref="C54 C56 C58">
    <cfRule type="cellIs" dxfId="13059" priority="340" stopIfTrue="1" operator="equal">
      <formula>"Napkin Hs"</formula>
    </cfRule>
  </conditionalFormatting>
  <conditionalFormatting sqref="C54:C56 C58">
    <cfRule type="cellIs" dxfId="13058" priority="335" stopIfTrue="1" operator="equal">
      <formula>"Towel"</formula>
    </cfRule>
    <cfRule type="cellIs" dxfId="13057" priority="336" stopIfTrue="1" operator="equal">
      <formula>"Napkin Hs"</formula>
    </cfRule>
  </conditionalFormatting>
  <conditionalFormatting sqref="C55">
    <cfRule type="cellIs" dxfId="13056" priority="333" stopIfTrue="1" operator="equal">
      <formula>"Towel"</formula>
    </cfRule>
    <cfRule type="cellIs" dxfId="13055" priority="334" stopIfTrue="1" operator="equal">
      <formula>"Napkin Hs"</formula>
    </cfRule>
  </conditionalFormatting>
  <conditionalFormatting sqref="C54 C56 C58">
    <cfRule type="cellIs" dxfId="13054" priority="339" stopIfTrue="1" operator="equal">
      <formula>"Towel"</formula>
    </cfRule>
  </conditionalFormatting>
  <conditionalFormatting sqref="B57:C57">
    <cfRule type="cellIs" dxfId="13053" priority="331" stopIfTrue="1" operator="equal">
      <formula>"Towel"</formula>
    </cfRule>
    <cfRule type="cellIs" dxfId="13052" priority="332" stopIfTrue="1" operator="equal">
      <formula>"Napkin Hs"</formula>
    </cfRule>
  </conditionalFormatting>
  <conditionalFormatting sqref="C57">
    <cfRule type="cellIs" dxfId="13051" priority="327" stopIfTrue="1" operator="equal">
      <formula>"Towel"</formula>
    </cfRule>
    <cfRule type="cellIs" dxfId="13050" priority="328" stopIfTrue="1" operator="equal">
      <formula>"Napkin Hs"</formula>
    </cfRule>
  </conditionalFormatting>
  <conditionalFormatting sqref="C57">
    <cfRule type="cellIs" dxfId="13049" priority="330" stopIfTrue="1" operator="equal">
      <formula>"Napkin Hs"</formula>
    </cfRule>
  </conditionalFormatting>
  <conditionalFormatting sqref="C57">
    <cfRule type="cellIs" dxfId="13048" priority="329" stopIfTrue="1" operator="equal">
      <formula>"Towel"</formula>
    </cfRule>
  </conditionalFormatting>
  <conditionalFormatting sqref="B60:C60 B62:C62 B64:C64">
    <cfRule type="cellIs" dxfId="13047" priority="325" stopIfTrue="1" operator="equal">
      <formula>"Towel"</formula>
    </cfRule>
    <cfRule type="cellIs" dxfId="13046" priority="326" stopIfTrue="1" operator="equal">
      <formula>"Napkin Hs"</formula>
    </cfRule>
  </conditionalFormatting>
  <conditionalFormatting sqref="B61:C61">
    <cfRule type="cellIs" dxfId="13045" priority="321" stopIfTrue="1" operator="equal">
      <formula>"Towel"</formula>
    </cfRule>
    <cfRule type="cellIs" dxfId="13044" priority="322" stopIfTrue="1" operator="equal">
      <formula>"Napkin Hs"</formula>
    </cfRule>
  </conditionalFormatting>
  <conditionalFormatting sqref="C60 C62 C64">
    <cfRule type="cellIs" dxfId="13043" priority="324" stopIfTrue="1" operator="equal">
      <formula>"Napkin Hs"</formula>
    </cfRule>
  </conditionalFormatting>
  <conditionalFormatting sqref="C60:C62 C64">
    <cfRule type="cellIs" dxfId="13042" priority="319" stopIfTrue="1" operator="equal">
      <formula>"Towel"</formula>
    </cfRule>
    <cfRule type="cellIs" dxfId="13041" priority="320" stopIfTrue="1" operator="equal">
      <formula>"Napkin Hs"</formula>
    </cfRule>
  </conditionalFormatting>
  <conditionalFormatting sqref="C61">
    <cfRule type="cellIs" dxfId="13040" priority="317" stopIfTrue="1" operator="equal">
      <formula>"Towel"</formula>
    </cfRule>
    <cfRule type="cellIs" dxfId="13039" priority="318" stopIfTrue="1" operator="equal">
      <formula>"Napkin Hs"</formula>
    </cfRule>
  </conditionalFormatting>
  <conditionalFormatting sqref="C60 C62 C64">
    <cfRule type="cellIs" dxfId="13038" priority="323" stopIfTrue="1" operator="equal">
      <formula>"Towel"</formula>
    </cfRule>
  </conditionalFormatting>
  <conditionalFormatting sqref="B63:C63">
    <cfRule type="cellIs" dxfId="13037" priority="315" stopIfTrue="1" operator="equal">
      <formula>"Towel"</formula>
    </cfRule>
    <cfRule type="cellIs" dxfId="13036" priority="316" stopIfTrue="1" operator="equal">
      <formula>"Napkin Hs"</formula>
    </cfRule>
  </conditionalFormatting>
  <conditionalFormatting sqref="C63">
    <cfRule type="cellIs" dxfId="13035" priority="311" stopIfTrue="1" operator="equal">
      <formula>"Towel"</formula>
    </cfRule>
    <cfRule type="cellIs" dxfId="13034" priority="312" stopIfTrue="1" operator="equal">
      <formula>"Napkin Hs"</formula>
    </cfRule>
  </conditionalFormatting>
  <conditionalFormatting sqref="C63">
    <cfRule type="cellIs" dxfId="13033" priority="314" stopIfTrue="1" operator="equal">
      <formula>"Napkin Hs"</formula>
    </cfRule>
  </conditionalFormatting>
  <conditionalFormatting sqref="C63">
    <cfRule type="cellIs" dxfId="13032" priority="313" stopIfTrue="1" operator="equal">
      <formula>"Towel"</formula>
    </cfRule>
  </conditionalFormatting>
  <conditionalFormatting sqref="B66:C66 B68:C68 B70:C70">
    <cfRule type="cellIs" dxfId="13031" priority="309" stopIfTrue="1" operator="equal">
      <formula>"Towel"</formula>
    </cfRule>
    <cfRule type="cellIs" dxfId="13030" priority="310" stopIfTrue="1" operator="equal">
      <formula>"Napkin Hs"</formula>
    </cfRule>
  </conditionalFormatting>
  <conditionalFormatting sqref="B67:C67">
    <cfRule type="cellIs" dxfId="13029" priority="305" stopIfTrue="1" operator="equal">
      <formula>"Towel"</formula>
    </cfRule>
    <cfRule type="cellIs" dxfId="13028" priority="306" stopIfTrue="1" operator="equal">
      <formula>"Napkin Hs"</formula>
    </cfRule>
  </conditionalFormatting>
  <conditionalFormatting sqref="C66 C68 C70">
    <cfRule type="cellIs" dxfId="13027" priority="308" stopIfTrue="1" operator="equal">
      <formula>"Napkin Hs"</formula>
    </cfRule>
  </conditionalFormatting>
  <conditionalFormatting sqref="C66:C68 C70">
    <cfRule type="cellIs" dxfId="13026" priority="303" stopIfTrue="1" operator="equal">
      <formula>"Towel"</formula>
    </cfRule>
    <cfRule type="cellIs" dxfId="13025" priority="304" stopIfTrue="1" operator="equal">
      <formula>"Napkin Hs"</formula>
    </cfRule>
  </conditionalFormatting>
  <conditionalFormatting sqref="C67">
    <cfRule type="cellIs" dxfId="13024" priority="301" stopIfTrue="1" operator="equal">
      <formula>"Towel"</formula>
    </cfRule>
    <cfRule type="cellIs" dxfId="13023" priority="302" stopIfTrue="1" operator="equal">
      <formula>"Napkin Hs"</formula>
    </cfRule>
  </conditionalFormatting>
  <conditionalFormatting sqref="C66 C68 C70">
    <cfRule type="cellIs" dxfId="13022" priority="307" stopIfTrue="1" operator="equal">
      <formula>"Towel"</formula>
    </cfRule>
  </conditionalFormatting>
  <conditionalFormatting sqref="B69:C69">
    <cfRule type="cellIs" dxfId="13021" priority="299" stopIfTrue="1" operator="equal">
      <formula>"Towel"</formula>
    </cfRule>
    <cfRule type="cellIs" dxfId="13020" priority="300" stopIfTrue="1" operator="equal">
      <formula>"Napkin Hs"</formula>
    </cfRule>
  </conditionalFormatting>
  <conditionalFormatting sqref="C69">
    <cfRule type="cellIs" dxfId="13019" priority="295" stopIfTrue="1" operator="equal">
      <formula>"Towel"</formula>
    </cfRule>
    <cfRule type="cellIs" dxfId="13018" priority="296" stopIfTrue="1" operator="equal">
      <formula>"Napkin Hs"</formula>
    </cfRule>
  </conditionalFormatting>
  <conditionalFormatting sqref="C69">
    <cfRule type="cellIs" dxfId="13017" priority="298" stopIfTrue="1" operator="equal">
      <formula>"Napkin Hs"</formula>
    </cfRule>
  </conditionalFormatting>
  <conditionalFormatting sqref="C69">
    <cfRule type="cellIs" dxfId="13016" priority="297" stopIfTrue="1" operator="equal">
      <formula>"Towel"</formula>
    </cfRule>
  </conditionalFormatting>
  <conditionalFormatting sqref="B72:C72 B74:C74 B76:C76">
    <cfRule type="cellIs" dxfId="13015" priority="293" stopIfTrue="1" operator="equal">
      <formula>"Towel"</formula>
    </cfRule>
    <cfRule type="cellIs" dxfId="13014" priority="294" stopIfTrue="1" operator="equal">
      <formula>"Napkin Hs"</formula>
    </cfRule>
  </conditionalFormatting>
  <conditionalFormatting sqref="B73:C73">
    <cfRule type="cellIs" dxfId="13013" priority="289" stopIfTrue="1" operator="equal">
      <formula>"Towel"</formula>
    </cfRule>
    <cfRule type="cellIs" dxfId="13012" priority="290" stopIfTrue="1" operator="equal">
      <formula>"Napkin Hs"</formula>
    </cfRule>
  </conditionalFormatting>
  <conditionalFormatting sqref="C72 C74 C76">
    <cfRule type="cellIs" dxfId="13011" priority="292" stopIfTrue="1" operator="equal">
      <formula>"Napkin Hs"</formula>
    </cfRule>
  </conditionalFormatting>
  <conditionalFormatting sqref="C72:C74 C76">
    <cfRule type="cellIs" dxfId="13010" priority="287" stopIfTrue="1" operator="equal">
      <formula>"Towel"</formula>
    </cfRule>
    <cfRule type="cellIs" dxfId="13009" priority="288" stopIfTrue="1" operator="equal">
      <formula>"Napkin Hs"</formula>
    </cfRule>
  </conditionalFormatting>
  <conditionalFormatting sqref="C73">
    <cfRule type="cellIs" dxfId="13008" priority="285" stopIfTrue="1" operator="equal">
      <formula>"Towel"</formula>
    </cfRule>
    <cfRule type="cellIs" dxfId="13007" priority="286" stopIfTrue="1" operator="equal">
      <formula>"Napkin Hs"</formula>
    </cfRule>
  </conditionalFormatting>
  <conditionalFormatting sqref="C72 C74 C76">
    <cfRule type="cellIs" dxfId="13006" priority="291" stopIfTrue="1" operator="equal">
      <formula>"Towel"</formula>
    </cfRule>
  </conditionalFormatting>
  <conditionalFormatting sqref="B75:C75">
    <cfRule type="cellIs" dxfId="13005" priority="283" stopIfTrue="1" operator="equal">
      <formula>"Towel"</formula>
    </cfRule>
    <cfRule type="cellIs" dxfId="13004" priority="284" stopIfTrue="1" operator="equal">
      <formula>"Napkin Hs"</formula>
    </cfRule>
  </conditionalFormatting>
  <conditionalFormatting sqref="C75">
    <cfRule type="cellIs" dxfId="13003" priority="279" stopIfTrue="1" operator="equal">
      <formula>"Towel"</formula>
    </cfRule>
    <cfRule type="cellIs" dxfId="13002" priority="280" stopIfTrue="1" operator="equal">
      <formula>"Napkin Hs"</formula>
    </cfRule>
  </conditionalFormatting>
  <conditionalFormatting sqref="C75">
    <cfRule type="cellIs" dxfId="13001" priority="282" stopIfTrue="1" operator="equal">
      <formula>"Napkin Hs"</formula>
    </cfRule>
  </conditionalFormatting>
  <conditionalFormatting sqref="C75">
    <cfRule type="cellIs" dxfId="13000" priority="281" stopIfTrue="1" operator="equal">
      <formula>"Towel"</formula>
    </cfRule>
  </conditionalFormatting>
  <conditionalFormatting sqref="B78:C78 B80:C80 B82:C82">
    <cfRule type="cellIs" dxfId="12999" priority="277" stopIfTrue="1" operator="equal">
      <formula>"Towel"</formula>
    </cfRule>
    <cfRule type="cellIs" dxfId="12998" priority="278" stopIfTrue="1" operator="equal">
      <formula>"Napkin Hs"</formula>
    </cfRule>
  </conditionalFormatting>
  <conditionalFormatting sqref="B79:C79">
    <cfRule type="cellIs" dxfId="12997" priority="273" stopIfTrue="1" operator="equal">
      <formula>"Towel"</formula>
    </cfRule>
    <cfRule type="cellIs" dxfId="12996" priority="274" stopIfTrue="1" operator="equal">
      <formula>"Napkin Hs"</formula>
    </cfRule>
  </conditionalFormatting>
  <conditionalFormatting sqref="C78 C80 C82">
    <cfRule type="cellIs" dxfId="12995" priority="276" stopIfTrue="1" operator="equal">
      <formula>"Napkin Hs"</formula>
    </cfRule>
  </conditionalFormatting>
  <conditionalFormatting sqref="C78:C80 C82">
    <cfRule type="cellIs" dxfId="12994" priority="271" stopIfTrue="1" operator="equal">
      <formula>"Towel"</formula>
    </cfRule>
    <cfRule type="cellIs" dxfId="12993" priority="272" stopIfTrue="1" operator="equal">
      <formula>"Napkin Hs"</formula>
    </cfRule>
  </conditionalFormatting>
  <conditionalFormatting sqref="C79">
    <cfRule type="cellIs" dxfId="12992" priority="269" stopIfTrue="1" operator="equal">
      <formula>"Towel"</formula>
    </cfRule>
    <cfRule type="cellIs" dxfId="12991" priority="270" stopIfTrue="1" operator="equal">
      <formula>"Napkin Hs"</formula>
    </cfRule>
  </conditionalFormatting>
  <conditionalFormatting sqref="C78 C80 C82">
    <cfRule type="cellIs" dxfId="12990" priority="275" stopIfTrue="1" operator="equal">
      <formula>"Towel"</formula>
    </cfRule>
  </conditionalFormatting>
  <conditionalFormatting sqref="B81:C81">
    <cfRule type="cellIs" dxfId="12989" priority="267" stopIfTrue="1" operator="equal">
      <formula>"Towel"</formula>
    </cfRule>
    <cfRule type="cellIs" dxfId="12988" priority="268" stopIfTrue="1" operator="equal">
      <formula>"Napkin Hs"</formula>
    </cfRule>
  </conditionalFormatting>
  <conditionalFormatting sqref="C81">
    <cfRule type="cellIs" dxfId="12987" priority="263" stopIfTrue="1" operator="equal">
      <formula>"Towel"</formula>
    </cfRule>
    <cfRule type="cellIs" dxfId="12986" priority="264" stopIfTrue="1" operator="equal">
      <formula>"Napkin Hs"</formula>
    </cfRule>
  </conditionalFormatting>
  <conditionalFormatting sqref="C81">
    <cfRule type="cellIs" dxfId="12985" priority="266" stopIfTrue="1" operator="equal">
      <formula>"Napkin Hs"</formula>
    </cfRule>
  </conditionalFormatting>
  <conditionalFormatting sqref="C81">
    <cfRule type="cellIs" dxfId="12984" priority="265" stopIfTrue="1" operator="equal">
      <formula>"Towel"</formula>
    </cfRule>
  </conditionalFormatting>
  <conditionalFormatting sqref="B84:C84 B86:C86 B88:C88">
    <cfRule type="cellIs" dxfId="12983" priority="261" stopIfTrue="1" operator="equal">
      <formula>"Towel"</formula>
    </cfRule>
    <cfRule type="cellIs" dxfId="12982" priority="262" stopIfTrue="1" operator="equal">
      <formula>"Napkin Hs"</formula>
    </cfRule>
  </conditionalFormatting>
  <conditionalFormatting sqref="B85:C85">
    <cfRule type="cellIs" dxfId="12981" priority="257" stopIfTrue="1" operator="equal">
      <formula>"Towel"</formula>
    </cfRule>
    <cfRule type="cellIs" dxfId="12980" priority="258" stopIfTrue="1" operator="equal">
      <formula>"Napkin Hs"</formula>
    </cfRule>
  </conditionalFormatting>
  <conditionalFormatting sqref="C84 C86 C88">
    <cfRule type="cellIs" dxfId="12979" priority="260" stopIfTrue="1" operator="equal">
      <formula>"Napkin Hs"</formula>
    </cfRule>
  </conditionalFormatting>
  <conditionalFormatting sqref="C84:C86 C88">
    <cfRule type="cellIs" dxfId="12978" priority="255" stopIfTrue="1" operator="equal">
      <formula>"Towel"</formula>
    </cfRule>
    <cfRule type="cellIs" dxfId="12977" priority="256" stopIfTrue="1" operator="equal">
      <formula>"Napkin Hs"</formula>
    </cfRule>
  </conditionalFormatting>
  <conditionalFormatting sqref="C85">
    <cfRule type="cellIs" dxfId="12976" priority="253" stopIfTrue="1" operator="equal">
      <formula>"Towel"</formula>
    </cfRule>
    <cfRule type="cellIs" dxfId="12975" priority="254" stopIfTrue="1" operator="equal">
      <formula>"Napkin Hs"</formula>
    </cfRule>
  </conditionalFormatting>
  <conditionalFormatting sqref="C84 C86 C88">
    <cfRule type="cellIs" dxfId="12974" priority="259" stopIfTrue="1" operator="equal">
      <formula>"Towel"</formula>
    </cfRule>
  </conditionalFormatting>
  <conditionalFormatting sqref="B87:C87">
    <cfRule type="cellIs" dxfId="12973" priority="251" stopIfTrue="1" operator="equal">
      <formula>"Towel"</formula>
    </cfRule>
    <cfRule type="cellIs" dxfId="12972" priority="252" stopIfTrue="1" operator="equal">
      <formula>"Napkin Hs"</formula>
    </cfRule>
  </conditionalFormatting>
  <conditionalFormatting sqref="C87">
    <cfRule type="cellIs" dxfId="12971" priority="247" stopIfTrue="1" operator="equal">
      <formula>"Towel"</formula>
    </cfRule>
    <cfRule type="cellIs" dxfId="12970" priority="248" stopIfTrue="1" operator="equal">
      <formula>"Napkin Hs"</formula>
    </cfRule>
  </conditionalFormatting>
  <conditionalFormatting sqref="C87">
    <cfRule type="cellIs" dxfId="12969" priority="250" stopIfTrue="1" operator="equal">
      <formula>"Napkin Hs"</formula>
    </cfRule>
  </conditionalFormatting>
  <conditionalFormatting sqref="C87">
    <cfRule type="cellIs" dxfId="12968" priority="249" stopIfTrue="1" operator="equal">
      <formula>"Towel"</formula>
    </cfRule>
  </conditionalFormatting>
  <conditionalFormatting sqref="B90:C90 B92:C92 B94:C94">
    <cfRule type="cellIs" dxfId="12967" priority="245" stopIfTrue="1" operator="equal">
      <formula>"Towel"</formula>
    </cfRule>
    <cfRule type="cellIs" dxfId="12966" priority="246" stopIfTrue="1" operator="equal">
      <formula>"Napkin Hs"</formula>
    </cfRule>
  </conditionalFormatting>
  <conditionalFormatting sqref="B91:C91">
    <cfRule type="cellIs" dxfId="12965" priority="241" stopIfTrue="1" operator="equal">
      <formula>"Towel"</formula>
    </cfRule>
    <cfRule type="cellIs" dxfId="12964" priority="242" stopIfTrue="1" operator="equal">
      <formula>"Napkin Hs"</formula>
    </cfRule>
  </conditionalFormatting>
  <conditionalFormatting sqref="C90 C92 C94">
    <cfRule type="cellIs" dxfId="12963" priority="244" stopIfTrue="1" operator="equal">
      <formula>"Napkin Hs"</formula>
    </cfRule>
  </conditionalFormatting>
  <conditionalFormatting sqref="C90:C92 C94">
    <cfRule type="cellIs" dxfId="12962" priority="239" stopIfTrue="1" operator="equal">
      <formula>"Towel"</formula>
    </cfRule>
    <cfRule type="cellIs" dxfId="12961" priority="240" stopIfTrue="1" operator="equal">
      <formula>"Napkin Hs"</formula>
    </cfRule>
  </conditionalFormatting>
  <conditionalFormatting sqref="C91">
    <cfRule type="cellIs" dxfId="12960" priority="237" stopIfTrue="1" operator="equal">
      <formula>"Towel"</formula>
    </cfRule>
    <cfRule type="cellIs" dxfId="12959" priority="238" stopIfTrue="1" operator="equal">
      <formula>"Napkin Hs"</formula>
    </cfRule>
  </conditionalFormatting>
  <conditionalFormatting sqref="C90 C92 C94">
    <cfRule type="cellIs" dxfId="12958" priority="243" stopIfTrue="1" operator="equal">
      <formula>"Towel"</formula>
    </cfRule>
  </conditionalFormatting>
  <conditionalFormatting sqref="B93:C93">
    <cfRule type="cellIs" dxfId="12957" priority="235" stopIfTrue="1" operator="equal">
      <formula>"Towel"</formula>
    </cfRule>
    <cfRule type="cellIs" dxfId="12956" priority="236" stopIfTrue="1" operator="equal">
      <formula>"Napkin Hs"</formula>
    </cfRule>
  </conditionalFormatting>
  <conditionalFormatting sqref="C93">
    <cfRule type="cellIs" dxfId="12955" priority="231" stopIfTrue="1" operator="equal">
      <formula>"Towel"</formula>
    </cfRule>
    <cfRule type="cellIs" dxfId="12954" priority="232" stopIfTrue="1" operator="equal">
      <formula>"Napkin Hs"</formula>
    </cfRule>
  </conditionalFormatting>
  <conditionalFormatting sqref="C93">
    <cfRule type="cellIs" dxfId="12953" priority="234" stopIfTrue="1" operator="equal">
      <formula>"Napkin Hs"</formula>
    </cfRule>
  </conditionalFormatting>
  <conditionalFormatting sqref="C93">
    <cfRule type="cellIs" dxfId="12952" priority="233" stopIfTrue="1" operator="equal">
      <formula>"Towel"</formula>
    </cfRule>
  </conditionalFormatting>
  <conditionalFormatting sqref="B96:C96 B98:C98 B100:C100">
    <cfRule type="cellIs" dxfId="12951" priority="229" stopIfTrue="1" operator="equal">
      <formula>"Towel"</formula>
    </cfRule>
    <cfRule type="cellIs" dxfId="12950" priority="230" stopIfTrue="1" operator="equal">
      <formula>"Napkin Hs"</formula>
    </cfRule>
  </conditionalFormatting>
  <conditionalFormatting sqref="B97:C97">
    <cfRule type="cellIs" dxfId="12949" priority="225" stopIfTrue="1" operator="equal">
      <formula>"Towel"</formula>
    </cfRule>
    <cfRule type="cellIs" dxfId="12948" priority="226" stopIfTrue="1" operator="equal">
      <formula>"Napkin Hs"</formula>
    </cfRule>
  </conditionalFormatting>
  <conditionalFormatting sqref="C96 C98 C100">
    <cfRule type="cellIs" dxfId="12947" priority="228" stopIfTrue="1" operator="equal">
      <formula>"Napkin Hs"</formula>
    </cfRule>
  </conditionalFormatting>
  <conditionalFormatting sqref="C96:C98 C100">
    <cfRule type="cellIs" dxfId="12946" priority="223" stopIfTrue="1" operator="equal">
      <formula>"Towel"</formula>
    </cfRule>
    <cfRule type="cellIs" dxfId="12945" priority="224" stopIfTrue="1" operator="equal">
      <formula>"Napkin Hs"</formula>
    </cfRule>
  </conditionalFormatting>
  <conditionalFormatting sqref="C97">
    <cfRule type="cellIs" dxfId="12944" priority="221" stopIfTrue="1" operator="equal">
      <formula>"Towel"</formula>
    </cfRule>
    <cfRule type="cellIs" dxfId="12943" priority="222" stopIfTrue="1" operator="equal">
      <formula>"Napkin Hs"</formula>
    </cfRule>
  </conditionalFormatting>
  <conditionalFormatting sqref="C96 C98 C100">
    <cfRule type="cellIs" dxfId="12942" priority="227" stopIfTrue="1" operator="equal">
      <formula>"Towel"</formula>
    </cfRule>
  </conditionalFormatting>
  <conditionalFormatting sqref="B99:C99">
    <cfRule type="cellIs" dxfId="12941" priority="219" stopIfTrue="1" operator="equal">
      <formula>"Towel"</formula>
    </cfRule>
    <cfRule type="cellIs" dxfId="12940" priority="220" stopIfTrue="1" operator="equal">
      <formula>"Napkin Hs"</formula>
    </cfRule>
  </conditionalFormatting>
  <conditionalFormatting sqref="C99">
    <cfRule type="cellIs" dxfId="12939" priority="215" stopIfTrue="1" operator="equal">
      <formula>"Towel"</formula>
    </cfRule>
    <cfRule type="cellIs" dxfId="12938" priority="216" stopIfTrue="1" operator="equal">
      <formula>"Napkin Hs"</formula>
    </cfRule>
  </conditionalFormatting>
  <conditionalFormatting sqref="C99">
    <cfRule type="cellIs" dxfId="12937" priority="218" stopIfTrue="1" operator="equal">
      <formula>"Napkin Hs"</formula>
    </cfRule>
  </conditionalFormatting>
  <conditionalFormatting sqref="C99">
    <cfRule type="cellIs" dxfId="12936" priority="217" stopIfTrue="1" operator="equal">
      <formula>"Towel"</formula>
    </cfRule>
  </conditionalFormatting>
  <conditionalFormatting sqref="B102:C102 B104:C104">
    <cfRule type="cellIs" dxfId="12935" priority="213" stopIfTrue="1" operator="equal">
      <formula>"Towel"</formula>
    </cfRule>
    <cfRule type="cellIs" dxfId="12934" priority="214" stopIfTrue="1" operator="equal">
      <formula>"Napkin Hs"</formula>
    </cfRule>
  </conditionalFormatting>
  <conditionalFormatting sqref="B103:C103">
    <cfRule type="cellIs" dxfId="12933" priority="209" stopIfTrue="1" operator="equal">
      <formula>"Towel"</formula>
    </cfRule>
    <cfRule type="cellIs" dxfId="12932" priority="210" stopIfTrue="1" operator="equal">
      <formula>"Napkin Hs"</formula>
    </cfRule>
  </conditionalFormatting>
  <conditionalFormatting sqref="C102 C104">
    <cfRule type="cellIs" dxfId="12931" priority="212" stopIfTrue="1" operator="equal">
      <formula>"Napkin Hs"</formula>
    </cfRule>
  </conditionalFormatting>
  <conditionalFormatting sqref="C102:C104">
    <cfRule type="cellIs" dxfId="12930" priority="207" stopIfTrue="1" operator="equal">
      <formula>"Towel"</formula>
    </cfRule>
    <cfRule type="cellIs" dxfId="12929" priority="208" stopIfTrue="1" operator="equal">
      <formula>"Napkin Hs"</formula>
    </cfRule>
  </conditionalFormatting>
  <conditionalFormatting sqref="C103">
    <cfRule type="cellIs" dxfId="12928" priority="205" stopIfTrue="1" operator="equal">
      <formula>"Towel"</formula>
    </cfRule>
    <cfRule type="cellIs" dxfId="12927" priority="206" stopIfTrue="1" operator="equal">
      <formula>"Napkin Hs"</formula>
    </cfRule>
  </conditionalFormatting>
  <conditionalFormatting sqref="C102 C104">
    <cfRule type="cellIs" dxfId="12926" priority="211" stopIfTrue="1" operator="equal">
      <formula>"Towel"</formula>
    </cfRule>
  </conditionalFormatting>
  <conditionalFormatting sqref="B105:C105">
    <cfRule type="cellIs" dxfId="12925" priority="203" stopIfTrue="1" operator="equal">
      <formula>"Towel"</formula>
    </cfRule>
    <cfRule type="cellIs" dxfId="12924" priority="204" stopIfTrue="1" operator="equal">
      <formula>"Napkin Hs"</formula>
    </cfRule>
  </conditionalFormatting>
  <conditionalFormatting sqref="C105">
    <cfRule type="cellIs" dxfId="12923" priority="199" stopIfTrue="1" operator="equal">
      <formula>"Towel"</formula>
    </cfRule>
    <cfRule type="cellIs" dxfId="12922" priority="200" stopIfTrue="1" operator="equal">
      <formula>"Napkin Hs"</formula>
    </cfRule>
  </conditionalFormatting>
  <conditionalFormatting sqref="C105">
    <cfRule type="cellIs" dxfId="12921" priority="202" stopIfTrue="1" operator="equal">
      <formula>"Napkin Hs"</formula>
    </cfRule>
  </conditionalFormatting>
  <conditionalFormatting sqref="C105">
    <cfRule type="cellIs" dxfId="12920" priority="201" stopIfTrue="1" operator="equal">
      <formula>"Towel"</formula>
    </cfRule>
  </conditionalFormatting>
  <conditionalFormatting sqref="B107:C109">
    <cfRule type="cellIs" dxfId="12919" priority="197" stopIfTrue="1" operator="equal">
      <formula>"Towel"</formula>
    </cfRule>
    <cfRule type="cellIs" dxfId="12918" priority="198" stopIfTrue="1" operator="equal">
      <formula>"Napkin Hs"</formula>
    </cfRule>
  </conditionalFormatting>
  <conditionalFormatting sqref="C107:C109">
    <cfRule type="cellIs" dxfId="12917" priority="196" stopIfTrue="1" operator="equal">
      <formula>"Napkin Hs"</formula>
    </cfRule>
  </conditionalFormatting>
  <conditionalFormatting sqref="C107:C109">
    <cfRule type="cellIs" dxfId="12916" priority="193" stopIfTrue="1" operator="equal">
      <formula>"Towel"</formula>
    </cfRule>
    <cfRule type="cellIs" dxfId="12915" priority="194" stopIfTrue="1" operator="equal">
      <formula>"Napkin Hs"</formula>
    </cfRule>
  </conditionalFormatting>
  <conditionalFormatting sqref="C107:C109">
    <cfRule type="cellIs" dxfId="12914" priority="195" stopIfTrue="1" operator="equal">
      <formula>"Towel"</formula>
    </cfRule>
  </conditionalFormatting>
  <conditionalFormatting sqref="B110:C110">
    <cfRule type="cellIs" dxfId="12913" priority="191" stopIfTrue="1" operator="equal">
      <formula>"Towel"</formula>
    </cfRule>
    <cfRule type="cellIs" dxfId="12912" priority="192" stopIfTrue="1" operator="equal">
      <formula>"Napkin Hs"</formula>
    </cfRule>
  </conditionalFormatting>
  <conditionalFormatting sqref="C110">
    <cfRule type="cellIs" dxfId="12911" priority="187" stopIfTrue="1" operator="equal">
      <formula>"Towel"</formula>
    </cfRule>
    <cfRule type="cellIs" dxfId="12910" priority="188" stopIfTrue="1" operator="equal">
      <formula>"Napkin Hs"</formula>
    </cfRule>
  </conditionalFormatting>
  <conditionalFormatting sqref="C110">
    <cfRule type="cellIs" dxfId="12909" priority="190" stopIfTrue="1" operator="equal">
      <formula>"Napkin Hs"</formula>
    </cfRule>
  </conditionalFormatting>
  <conditionalFormatting sqref="C110">
    <cfRule type="cellIs" dxfId="12908" priority="189" stopIfTrue="1" operator="equal">
      <formula>"Towel"</formula>
    </cfRule>
  </conditionalFormatting>
  <conditionalFormatting sqref="B112:C114">
    <cfRule type="cellIs" dxfId="12907" priority="185" stopIfTrue="1" operator="equal">
      <formula>"Towel"</formula>
    </cfRule>
    <cfRule type="cellIs" dxfId="12906" priority="186" stopIfTrue="1" operator="equal">
      <formula>"Napkin Hs"</formula>
    </cfRule>
  </conditionalFormatting>
  <conditionalFormatting sqref="C112:C114">
    <cfRule type="cellIs" dxfId="12905" priority="184" stopIfTrue="1" operator="equal">
      <formula>"Napkin Hs"</formula>
    </cfRule>
  </conditionalFormatting>
  <conditionalFormatting sqref="C112:C114">
    <cfRule type="cellIs" dxfId="12904" priority="181" stopIfTrue="1" operator="equal">
      <formula>"Towel"</formula>
    </cfRule>
    <cfRule type="cellIs" dxfId="12903" priority="182" stopIfTrue="1" operator="equal">
      <formula>"Napkin Hs"</formula>
    </cfRule>
  </conditionalFormatting>
  <conditionalFormatting sqref="C112:C114">
    <cfRule type="cellIs" dxfId="12902" priority="183" stopIfTrue="1" operator="equal">
      <formula>"Towel"</formula>
    </cfRule>
  </conditionalFormatting>
  <conditionalFormatting sqref="B115:C115">
    <cfRule type="cellIs" dxfId="12901" priority="179" stopIfTrue="1" operator="equal">
      <formula>"Towel"</formula>
    </cfRule>
    <cfRule type="cellIs" dxfId="12900" priority="180" stopIfTrue="1" operator="equal">
      <formula>"Napkin Hs"</formula>
    </cfRule>
  </conditionalFormatting>
  <conditionalFormatting sqref="C115">
    <cfRule type="cellIs" dxfId="12899" priority="175" stopIfTrue="1" operator="equal">
      <formula>"Towel"</formula>
    </cfRule>
    <cfRule type="cellIs" dxfId="12898" priority="176" stopIfTrue="1" operator="equal">
      <formula>"Napkin Hs"</formula>
    </cfRule>
  </conditionalFormatting>
  <conditionalFormatting sqref="C115">
    <cfRule type="cellIs" dxfId="12897" priority="178" stopIfTrue="1" operator="equal">
      <formula>"Napkin Hs"</formula>
    </cfRule>
  </conditionalFormatting>
  <conditionalFormatting sqref="C115">
    <cfRule type="cellIs" dxfId="12896" priority="177" stopIfTrue="1" operator="equal">
      <formula>"Towel"</formula>
    </cfRule>
  </conditionalFormatting>
  <conditionalFormatting sqref="B117:C119">
    <cfRule type="cellIs" dxfId="12895" priority="173" stopIfTrue="1" operator="equal">
      <formula>"Towel"</formula>
    </cfRule>
    <cfRule type="cellIs" dxfId="12894" priority="174" stopIfTrue="1" operator="equal">
      <formula>"Napkin Hs"</formula>
    </cfRule>
  </conditionalFormatting>
  <conditionalFormatting sqref="C117:C119">
    <cfRule type="cellIs" dxfId="12893" priority="172" stopIfTrue="1" operator="equal">
      <formula>"Napkin Hs"</formula>
    </cfRule>
  </conditionalFormatting>
  <conditionalFormatting sqref="C117:C119">
    <cfRule type="cellIs" dxfId="12892" priority="169" stopIfTrue="1" operator="equal">
      <formula>"Towel"</formula>
    </cfRule>
    <cfRule type="cellIs" dxfId="12891" priority="170" stopIfTrue="1" operator="equal">
      <formula>"Napkin Hs"</formula>
    </cfRule>
  </conditionalFormatting>
  <conditionalFormatting sqref="C117:C119">
    <cfRule type="cellIs" dxfId="12890" priority="171" stopIfTrue="1" operator="equal">
      <formula>"Towel"</formula>
    </cfRule>
  </conditionalFormatting>
  <conditionalFormatting sqref="B120:C120">
    <cfRule type="cellIs" dxfId="12889" priority="167" stopIfTrue="1" operator="equal">
      <formula>"Towel"</formula>
    </cfRule>
    <cfRule type="cellIs" dxfId="12888" priority="168" stopIfTrue="1" operator="equal">
      <formula>"Napkin Hs"</formula>
    </cfRule>
  </conditionalFormatting>
  <conditionalFormatting sqref="C120">
    <cfRule type="cellIs" dxfId="12887" priority="163" stopIfTrue="1" operator="equal">
      <formula>"Towel"</formula>
    </cfRule>
    <cfRule type="cellIs" dxfId="12886" priority="164" stopIfTrue="1" operator="equal">
      <formula>"Napkin Hs"</formula>
    </cfRule>
  </conditionalFormatting>
  <conditionalFormatting sqref="C120">
    <cfRule type="cellIs" dxfId="12885" priority="166" stopIfTrue="1" operator="equal">
      <formula>"Napkin Hs"</formula>
    </cfRule>
  </conditionalFormatting>
  <conditionalFormatting sqref="C120">
    <cfRule type="cellIs" dxfId="12884" priority="165" stopIfTrue="1" operator="equal">
      <formula>"Towel"</formula>
    </cfRule>
  </conditionalFormatting>
  <conditionalFormatting sqref="B122:C124">
    <cfRule type="cellIs" dxfId="12883" priority="161" stopIfTrue="1" operator="equal">
      <formula>"Towel"</formula>
    </cfRule>
    <cfRule type="cellIs" dxfId="12882" priority="162" stopIfTrue="1" operator="equal">
      <formula>"Napkin Hs"</formula>
    </cfRule>
  </conditionalFormatting>
  <conditionalFormatting sqref="C122:C124">
    <cfRule type="cellIs" dxfId="12881" priority="160" stopIfTrue="1" operator="equal">
      <formula>"Napkin Hs"</formula>
    </cfRule>
  </conditionalFormatting>
  <conditionalFormatting sqref="C122:C124">
    <cfRule type="cellIs" dxfId="12880" priority="157" stopIfTrue="1" operator="equal">
      <formula>"Towel"</formula>
    </cfRule>
    <cfRule type="cellIs" dxfId="12879" priority="158" stopIfTrue="1" operator="equal">
      <formula>"Napkin Hs"</formula>
    </cfRule>
  </conditionalFormatting>
  <conditionalFormatting sqref="C122:C124">
    <cfRule type="cellIs" dxfId="12878" priority="159" stopIfTrue="1" operator="equal">
      <formula>"Towel"</formula>
    </cfRule>
  </conditionalFormatting>
  <conditionalFormatting sqref="B125:C125">
    <cfRule type="cellIs" dxfId="12877" priority="155" stopIfTrue="1" operator="equal">
      <formula>"Towel"</formula>
    </cfRule>
    <cfRule type="cellIs" dxfId="12876" priority="156" stopIfTrue="1" operator="equal">
      <formula>"Napkin Hs"</formula>
    </cfRule>
  </conditionalFormatting>
  <conditionalFormatting sqref="C125">
    <cfRule type="cellIs" dxfId="12875" priority="151" stopIfTrue="1" operator="equal">
      <formula>"Towel"</formula>
    </cfRule>
    <cfRule type="cellIs" dxfId="12874" priority="152" stopIfTrue="1" operator="equal">
      <formula>"Napkin Hs"</formula>
    </cfRule>
  </conditionalFormatting>
  <conditionalFormatting sqref="C125">
    <cfRule type="cellIs" dxfId="12873" priority="154" stopIfTrue="1" operator="equal">
      <formula>"Napkin Hs"</formula>
    </cfRule>
  </conditionalFormatting>
  <conditionalFormatting sqref="C125">
    <cfRule type="cellIs" dxfId="12872" priority="153" stopIfTrue="1" operator="equal">
      <formula>"Towel"</formula>
    </cfRule>
  </conditionalFormatting>
  <conditionalFormatting sqref="B129:C129">
    <cfRule type="cellIs" dxfId="12871" priority="149" stopIfTrue="1" operator="equal">
      <formula>"Towel"</formula>
    </cfRule>
    <cfRule type="cellIs" dxfId="12870" priority="150" stopIfTrue="1" operator="equal">
      <formula>"Napkin Hs"</formula>
    </cfRule>
  </conditionalFormatting>
  <conditionalFormatting sqref="C129">
    <cfRule type="cellIs" dxfId="12869" priority="148" stopIfTrue="1" operator="equal">
      <formula>"Napkin Hs"</formula>
    </cfRule>
  </conditionalFormatting>
  <conditionalFormatting sqref="C129">
    <cfRule type="cellIs" dxfId="12868" priority="145" stopIfTrue="1" operator="equal">
      <formula>"Towel"</formula>
    </cfRule>
    <cfRule type="cellIs" dxfId="12867" priority="146" stopIfTrue="1" operator="equal">
      <formula>"Napkin Hs"</formula>
    </cfRule>
  </conditionalFormatting>
  <conditionalFormatting sqref="C129">
    <cfRule type="cellIs" dxfId="12866" priority="147" stopIfTrue="1" operator="equal">
      <formula>"Towel"</formula>
    </cfRule>
  </conditionalFormatting>
  <conditionalFormatting sqref="B130:C130">
    <cfRule type="cellIs" dxfId="12865" priority="143" stopIfTrue="1" operator="equal">
      <formula>"Towel"</formula>
    </cfRule>
    <cfRule type="cellIs" dxfId="12864" priority="144" stopIfTrue="1" operator="equal">
      <formula>"Napkin Hs"</formula>
    </cfRule>
  </conditionalFormatting>
  <conditionalFormatting sqref="C130">
    <cfRule type="cellIs" dxfId="12863" priority="139" stopIfTrue="1" operator="equal">
      <formula>"Towel"</formula>
    </cfRule>
    <cfRule type="cellIs" dxfId="12862" priority="140" stopIfTrue="1" operator="equal">
      <formula>"Napkin Hs"</formula>
    </cfRule>
  </conditionalFormatting>
  <conditionalFormatting sqref="C130">
    <cfRule type="cellIs" dxfId="12861" priority="142" stopIfTrue="1" operator="equal">
      <formula>"Napkin Hs"</formula>
    </cfRule>
  </conditionalFormatting>
  <conditionalFormatting sqref="C130">
    <cfRule type="cellIs" dxfId="12860" priority="141" stopIfTrue="1" operator="equal">
      <formula>"Towel"</formula>
    </cfRule>
  </conditionalFormatting>
  <conditionalFormatting sqref="B127:C127">
    <cfRule type="cellIs" dxfId="12859" priority="137" stopIfTrue="1" operator="equal">
      <formula>"Towel"</formula>
    </cfRule>
    <cfRule type="cellIs" dxfId="12858" priority="138" stopIfTrue="1" operator="equal">
      <formula>"Napkin Hs"</formula>
    </cfRule>
  </conditionalFormatting>
  <conditionalFormatting sqref="C127">
    <cfRule type="cellIs" dxfId="12857" priority="136" stopIfTrue="1" operator="equal">
      <formula>"Napkin Hs"</formula>
    </cfRule>
  </conditionalFormatting>
  <conditionalFormatting sqref="C127">
    <cfRule type="cellIs" dxfId="12856" priority="133" stopIfTrue="1" operator="equal">
      <formula>"Towel"</formula>
    </cfRule>
    <cfRule type="cellIs" dxfId="12855" priority="134" stopIfTrue="1" operator="equal">
      <formula>"Napkin Hs"</formula>
    </cfRule>
  </conditionalFormatting>
  <conditionalFormatting sqref="C127">
    <cfRule type="cellIs" dxfId="12854" priority="135" stopIfTrue="1" operator="equal">
      <formula>"Towel"</formula>
    </cfRule>
  </conditionalFormatting>
  <conditionalFormatting sqref="B128:C128">
    <cfRule type="cellIs" dxfId="12853" priority="131" stopIfTrue="1" operator="equal">
      <formula>"Towel"</formula>
    </cfRule>
    <cfRule type="cellIs" dxfId="12852" priority="132" stopIfTrue="1" operator="equal">
      <formula>"Napkin Hs"</formula>
    </cfRule>
  </conditionalFormatting>
  <conditionalFormatting sqref="C128">
    <cfRule type="cellIs" dxfId="12851" priority="130" stopIfTrue="1" operator="equal">
      <formula>"Napkin Hs"</formula>
    </cfRule>
  </conditionalFormatting>
  <conditionalFormatting sqref="C128">
    <cfRule type="cellIs" dxfId="12850" priority="127" stopIfTrue="1" operator="equal">
      <formula>"Towel"</formula>
    </cfRule>
    <cfRule type="cellIs" dxfId="12849" priority="128" stopIfTrue="1" operator="equal">
      <formula>"Napkin Hs"</formula>
    </cfRule>
  </conditionalFormatting>
  <conditionalFormatting sqref="C128">
    <cfRule type="cellIs" dxfId="12848" priority="129" stopIfTrue="1" operator="equal">
      <formula>"Towel"</formula>
    </cfRule>
  </conditionalFormatting>
  <conditionalFormatting sqref="B133:C134">
    <cfRule type="cellIs" dxfId="12847" priority="125" stopIfTrue="1" operator="equal">
      <formula>"Towel"</formula>
    </cfRule>
    <cfRule type="cellIs" dxfId="12846" priority="126" stopIfTrue="1" operator="equal">
      <formula>"Napkin Hs"</formula>
    </cfRule>
  </conditionalFormatting>
  <conditionalFormatting sqref="C133:C134">
    <cfRule type="cellIs" dxfId="12845" priority="124" stopIfTrue="1" operator="equal">
      <formula>"Napkin Hs"</formula>
    </cfRule>
  </conditionalFormatting>
  <conditionalFormatting sqref="C133:C134">
    <cfRule type="cellIs" dxfId="12844" priority="121" stopIfTrue="1" operator="equal">
      <formula>"Towel"</formula>
    </cfRule>
    <cfRule type="cellIs" dxfId="12843" priority="122" stopIfTrue="1" operator="equal">
      <formula>"Napkin Hs"</formula>
    </cfRule>
  </conditionalFormatting>
  <conditionalFormatting sqref="C133:C134">
    <cfRule type="cellIs" dxfId="12842" priority="123" stopIfTrue="1" operator="equal">
      <formula>"Towel"</formula>
    </cfRule>
  </conditionalFormatting>
  <conditionalFormatting sqref="B132:C132">
    <cfRule type="cellIs" dxfId="12841" priority="119" stopIfTrue="1" operator="equal">
      <formula>"Towel"</formula>
    </cfRule>
    <cfRule type="cellIs" dxfId="12840" priority="120" stopIfTrue="1" operator="equal">
      <formula>"Napkin Hs"</formula>
    </cfRule>
  </conditionalFormatting>
  <conditionalFormatting sqref="C132">
    <cfRule type="cellIs" dxfId="12839" priority="118" stopIfTrue="1" operator="equal">
      <formula>"Napkin Hs"</formula>
    </cfRule>
  </conditionalFormatting>
  <conditionalFormatting sqref="C132">
    <cfRule type="cellIs" dxfId="12838" priority="115" stopIfTrue="1" operator="equal">
      <formula>"Towel"</formula>
    </cfRule>
    <cfRule type="cellIs" dxfId="12837" priority="116" stopIfTrue="1" operator="equal">
      <formula>"Napkin Hs"</formula>
    </cfRule>
  </conditionalFormatting>
  <conditionalFormatting sqref="C132">
    <cfRule type="cellIs" dxfId="12836" priority="117" stopIfTrue="1" operator="equal">
      <formula>"Towel"</formula>
    </cfRule>
  </conditionalFormatting>
  <conditionalFormatting sqref="B137:C138">
    <cfRule type="cellIs" dxfId="12835" priority="113" stopIfTrue="1" operator="equal">
      <formula>"Towel"</formula>
    </cfRule>
    <cfRule type="cellIs" dxfId="12834" priority="114" stopIfTrue="1" operator="equal">
      <formula>"Napkin Hs"</formula>
    </cfRule>
  </conditionalFormatting>
  <conditionalFormatting sqref="C137:C138">
    <cfRule type="cellIs" dxfId="12833" priority="112" stopIfTrue="1" operator="equal">
      <formula>"Napkin Hs"</formula>
    </cfRule>
  </conditionalFormatting>
  <conditionalFormatting sqref="C137:C138">
    <cfRule type="cellIs" dxfId="12832" priority="109" stopIfTrue="1" operator="equal">
      <formula>"Towel"</formula>
    </cfRule>
    <cfRule type="cellIs" dxfId="12831" priority="110" stopIfTrue="1" operator="equal">
      <formula>"Napkin Hs"</formula>
    </cfRule>
  </conditionalFormatting>
  <conditionalFormatting sqref="C137:C138">
    <cfRule type="cellIs" dxfId="12830" priority="111" stopIfTrue="1" operator="equal">
      <formula>"Towel"</formula>
    </cfRule>
  </conditionalFormatting>
  <conditionalFormatting sqref="B139:C139">
    <cfRule type="cellIs" dxfId="12829" priority="107" stopIfTrue="1" operator="equal">
      <formula>"Towel"</formula>
    </cfRule>
    <cfRule type="cellIs" dxfId="12828" priority="108" stopIfTrue="1" operator="equal">
      <formula>"Napkin Hs"</formula>
    </cfRule>
  </conditionalFormatting>
  <conditionalFormatting sqref="C139">
    <cfRule type="cellIs" dxfId="12827" priority="103" stopIfTrue="1" operator="equal">
      <formula>"Towel"</formula>
    </cfRule>
    <cfRule type="cellIs" dxfId="12826" priority="104" stopIfTrue="1" operator="equal">
      <formula>"Napkin Hs"</formula>
    </cfRule>
  </conditionalFormatting>
  <conditionalFormatting sqref="C139">
    <cfRule type="cellIs" dxfId="12825" priority="106" stopIfTrue="1" operator="equal">
      <formula>"Napkin Hs"</formula>
    </cfRule>
  </conditionalFormatting>
  <conditionalFormatting sqref="C139">
    <cfRule type="cellIs" dxfId="12824" priority="105" stopIfTrue="1" operator="equal">
      <formula>"Towel"</formula>
    </cfRule>
  </conditionalFormatting>
  <conditionalFormatting sqref="B136:C136">
    <cfRule type="cellIs" dxfId="12823" priority="101" stopIfTrue="1" operator="equal">
      <formula>"Towel"</formula>
    </cfRule>
    <cfRule type="cellIs" dxfId="12822" priority="102" stopIfTrue="1" operator="equal">
      <formula>"Napkin Hs"</formula>
    </cfRule>
  </conditionalFormatting>
  <conditionalFormatting sqref="C136">
    <cfRule type="cellIs" dxfId="12821" priority="100" stopIfTrue="1" operator="equal">
      <formula>"Napkin Hs"</formula>
    </cfRule>
  </conditionalFormatting>
  <conditionalFormatting sqref="C136">
    <cfRule type="cellIs" dxfId="12820" priority="97" stopIfTrue="1" operator="equal">
      <formula>"Towel"</formula>
    </cfRule>
    <cfRule type="cellIs" dxfId="12819" priority="98" stopIfTrue="1" operator="equal">
      <formula>"Napkin Hs"</formula>
    </cfRule>
  </conditionalFormatting>
  <conditionalFormatting sqref="C136">
    <cfRule type="cellIs" dxfId="12818" priority="99" stopIfTrue="1" operator="equal">
      <formula>"Towel"</formula>
    </cfRule>
  </conditionalFormatting>
  <conditionalFormatting sqref="B143:C143">
    <cfRule type="cellIs" dxfId="12817" priority="95" stopIfTrue="1" operator="equal">
      <formula>"Towel"</formula>
    </cfRule>
    <cfRule type="cellIs" dxfId="12816" priority="96" stopIfTrue="1" operator="equal">
      <formula>"Napkin Hs"</formula>
    </cfRule>
  </conditionalFormatting>
  <conditionalFormatting sqref="C143">
    <cfRule type="cellIs" dxfId="12815" priority="94" stopIfTrue="1" operator="equal">
      <formula>"Napkin Hs"</formula>
    </cfRule>
  </conditionalFormatting>
  <conditionalFormatting sqref="C143">
    <cfRule type="cellIs" dxfId="12814" priority="91" stopIfTrue="1" operator="equal">
      <formula>"Towel"</formula>
    </cfRule>
    <cfRule type="cellIs" dxfId="12813" priority="92" stopIfTrue="1" operator="equal">
      <formula>"Napkin Hs"</formula>
    </cfRule>
  </conditionalFormatting>
  <conditionalFormatting sqref="C143">
    <cfRule type="cellIs" dxfId="12812" priority="93" stopIfTrue="1" operator="equal">
      <formula>"Towel"</formula>
    </cfRule>
  </conditionalFormatting>
  <conditionalFormatting sqref="B141:C142">
    <cfRule type="cellIs" dxfId="12811" priority="89" stopIfTrue="1" operator="equal">
      <formula>"Towel"</formula>
    </cfRule>
    <cfRule type="cellIs" dxfId="12810" priority="90" stopIfTrue="1" operator="equal">
      <formula>"Napkin Hs"</formula>
    </cfRule>
  </conditionalFormatting>
  <conditionalFormatting sqref="C141:C142">
    <cfRule type="cellIs" dxfId="12809" priority="88" stopIfTrue="1" operator="equal">
      <formula>"Napkin Hs"</formula>
    </cfRule>
  </conditionalFormatting>
  <conditionalFormatting sqref="C141:C142">
    <cfRule type="cellIs" dxfId="12808" priority="85" stopIfTrue="1" operator="equal">
      <formula>"Towel"</formula>
    </cfRule>
    <cfRule type="cellIs" dxfId="12807" priority="86" stopIfTrue="1" operator="equal">
      <formula>"Napkin Hs"</formula>
    </cfRule>
  </conditionalFormatting>
  <conditionalFormatting sqref="C141:C142">
    <cfRule type="cellIs" dxfId="12806" priority="87" stopIfTrue="1" operator="equal">
      <formula>"Towel"</formula>
    </cfRule>
  </conditionalFormatting>
  <conditionalFormatting sqref="B147:C148">
    <cfRule type="cellIs" dxfId="12805" priority="83" stopIfTrue="1" operator="equal">
      <formula>"Towel"</formula>
    </cfRule>
    <cfRule type="cellIs" dxfId="12804" priority="84" stopIfTrue="1" operator="equal">
      <formula>"Napkin Hs"</formula>
    </cfRule>
  </conditionalFormatting>
  <conditionalFormatting sqref="C147:C148">
    <cfRule type="cellIs" dxfId="12803" priority="82" stopIfTrue="1" operator="equal">
      <formula>"Napkin Hs"</formula>
    </cfRule>
  </conditionalFormatting>
  <conditionalFormatting sqref="C147:C148">
    <cfRule type="cellIs" dxfId="12802" priority="79" stopIfTrue="1" operator="equal">
      <formula>"Towel"</formula>
    </cfRule>
    <cfRule type="cellIs" dxfId="12801" priority="80" stopIfTrue="1" operator="equal">
      <formula>"Napkin Hs"</formula>
    </cfRule>
  </conditionalFormatting>
  <conditionalFormatting sqref="C147:C148">
    <cfRule type="cellIs" dxfId="12800" priority="81" stopIfTrue="1" operator="equal">
      <formula>"Towel"</formula>
    </cfRule>
  </conditionalFormatting>
  <conditionalFormatting sqref="B146:C146">
    <cfRule type="cellIs" dxfId="12799" priority="77" stopIfTrue="1" operator="equal">
      <formula>"Towel"</formula>
    </cfRule>
    <cfRule type="cellIs" dxfId="12798" priority="78" stopIfTrue="1" operator="equal">
      <formula>"Napkin Hs"</formula>
    </cfRule>
  </conditionalFormatting>
  <conditionalFormatting sqref="C146">
    <cfRule type="cellIs" dxfId="12797" priority="76" stopIfTrue="1" operator="equal">
      <formula>"Napkin Hs"</formula>
    </cfRule>
  </conditionalFormatting>
  <conditionalFormatting sqref="C146">
    <cfRule type="cellIs" dxfId="12796" priority="73" stopIfTrue="1" operator="equal">
      <formula>"Towel"</formula>
    </cfRule>
    <cfRule type="cellIs" dxfId="12795" priority="74" stopIfTrue="1" operator="equal">
      <formula>"Napkin Hs"</formula>
    </cfRule>
  </conditionalFormatting>
  <conditionalFormatting sqref="C146">
    <cfRule type="cellIs" dxfId="12794" priority="75" stopIfTrue="1" operator="equal">
      <formula>"Towel"</formula>
    </cfRule>
  </conditionalFormatting>
  <conditionalFormatting sqref="C153">
    <cfRule type="cellIs" dxfId="12793" priority="67" stopIfTrue="1" operator="equal">
      <formula>"Towel"</formula>
    </cfRule>
    <cfRule type="cellIs" dxfId="12792" priority="68" stopIfTrue="1" operator="equal">
      <formula>"Napkin Hs"</formula>
    </cfRule>
  </conditionalFormatting>
  <conditionalFormatting sqref="B153:C153">
    <cfRule type="cellIs" dxfId="12791" priority="71" stopIfTrue="1" operator="equal">
      <formula>"Towel"</formula>
    </cfRule>
    <cfRule type="cellIs" dxfId="12790" priority="72" stopIfTrue="1" operator="equal">
      <formula>"Napkin Hs"</formula>
    </cfRule>
  </conditionalFormatting>
  <conditionalFormatting sqref="C153">
    <cfRule type="cellIs" dxfId="12789" priority="70" stopIfTrue="1" operator="equal">
      <formula>"Napkin Hs"</formula>
    </cfRule>
  </conditionalFormatting>
  <conditionalFormatting sqref="C153">
    <cfRule type="cellIs" dxfId="12788" priority="69" stopIfTrue="1" operator="equal">
      <formula>"Towel"</formula>
    </cfRule>
  </conditionalFormatting>
  <conditionalFormatting sqref="B152:C152">
    <cfRule type="cellIs" dxfId="12787" priority="65" stopIfTrue="1" operator="equal">
      <formula>"Towel"</formula>
    </cfRule>
    <cfRule type="cellIs" dxfId="12786" priority="66" stopIfTrue="1" operator="equal">
      <formula>"Napkin Hs"</formula>
    </cfRule>
  </conditionalFormatting>
  <conditionalFormatting sqref="C152">
    <cfRule type="cellIs" dxfId="12785" priority="64" stopIfTrue="1" operator="equal">
      <formula>"Napkin Hs"</formula>
    </cfRule>
  </conditionalFormatting>
  <conditionalFormatting sqref="C152">
    <cfRule type="cellIs" dxfId="12784" priority="61" stopIfTrue="1" operator="equal">
      <formula>"Towel"</formula>
    </cfRule>
    <cfRule type="cellIs" dxfId="12783" priority="62" stopIfTrue="1" operator="equal">
      <formula>"Napkin Hs"</formula>
    </cfRule>
  </conditionalFormatting>
  <conditionalFormatting sqref="C152">
    <cfRule type="cellIs" dxfId="12782" priority="63" stopIfTrue="1" operator="equal">
      <formula>"Towel"</formula>
    </cfRule>
  </conditionalFormatting>
  <conditionalFormatting sqref="B150:C151">
    <cfRule type="cellIs" dxfId="12781" priority="59" stopIfTrue="1" operator="equal">
      <formula>"Towel"</formula>
    </cfRule>
    <cfRule type="cellIs" dxfId="12780" priority="60" stopIfTrue="1" operator="equal">
      <formula>"Napkin Hs"</formula>
    </cfRule>
  </conditionalFormatting>
  <conditionalFormatting sqref="C150:C151">
    <cfRule type="cellIs" dxfId="12779" priority="58" stopIfTrue="1" operator="equal">
      <formula>"Napkin Hs"</formula>
    </cfRule>
  </conditionalFormatting>
  <conditionalFormatting sqref="C150:C151">
    <cfRule type="cellIs" dxfId="12778" priority="55" stopIfTrue="1" operator="equal">
      <formula>"Towel"</formula>
    </cfRule>
    <cfRule type="cellIs" dxfId="12777" priority="56" stopIfTrue="1" operator="equal">
      <formula>"Napkin Hs"</formula>
    </cfRule>
  </conditionalFormatting>
  <conditionalFormatting sqref="C150:C151">
    <cfRule type="cellIs" dxfId="12776" priority="57" stopIfTrue="1" operator="equal">
      <formula>"Towel"</formula>
    </cfRule>
  </conditionalFormatting>
  <conditionalFormatting sqref="B156:C157">
    <cfRule type="cellIs" dxfId="12775" priority="53" stopIfTrue="1" operator="equal">
      <formula>"Towel"</formula>
    </cfRule>
    <cfRule type="cellIs" dxfId="12774" priority="54" stopIfTrue="1" operator="equal">
      <formula>"Napkin Hs"</formula>
    </cfRule>
  </conditionalFormatting>
  <conditionalFormatting sqref="C156:C157">
    <cfRule type="cellIs" dxfId="12773" priority="52" stopIfTrue="1" operator="equal">
      <formula>"Napkin Hs"</formula>
    </cfRule>
  </conditionalFormatting>
  <conditionalFormatting sqref="C156:C157">
    <cfRule type="cellIs" dxfId="12772" priority="49" stopIfTrue="1" operator="equal">
      <formula>"Towel"</formula>
    </cfRule>
    <cfRule type="cellIs" dxfId="12771" priority="50" stopIfTrue="1" operator="equal">
      <formula>"Napkin Hs"</formula>
    </cfRule>
  </conditionalFormatting>
  <conditionalFormatting sqref="C156:C157">
    <cfRule type="cellIs" dxfId="12770" priority="51" stopIfTrue="1" operator="equal">
      <formula>"Towel"</formula>
    </cfRule>
  </conditionalFormatting>
  <conditionalFormatting sqref="B154:C155">
    <cfRule type="cellIs" dxfId="12769" priority="47" stopIfTrue="1" operator="equal">
      <formula>"Towel"</formula>
    </cfRule>
    <cfRule type="cellIs" dxfId="12768" priority="48" stopIfTrue="1" operator="equal">
      <formula>"Napkin Hs"</formula>
    </cfRule>
  </conditionalFormatting>
  <conditionalFormatting sqref="C154:C155">
    <cfRule type="cellIs" dxfId="12767" priority="46" stopIfTrue="1" operator="equal">
      <formula>"Napkin Hs"</formula>
    </cfRule>
  </conditionalFormatting>
  <conditionalFormatting sqref="C154:C155">
    <cfRule type="cellIs" dxfId="12766" priority="43" stopIfTrue="1" operator="equal">
      <formula>"Towel"</formula>
    </cfRule>
    <cfRule type="cellIs" dxfId="12765" priority="44" stopIfTrue="1" operator="equal">
      <formula>"Napkin Hs"</formula>
    </cfRule>
  </conditionalFormatting>
  <conditionalFormatting sqref="C154:C155">
    <cfRule type="cellIs" dxfId="12764" priority="45" stopIfTrue="1" operator="equal">
      <formula>"Towel"</formula>
    </cfRule>
  </conditionalFormatting>
  <conditionalFormatting sqref="C162">
    <cfRule type="cellIs" dxfId="12763" priority="37" stopIfTrue="1" operator="equal">
      <formula>"Towel"</formula>
    </cfRule>
    <cfRule type="cellIs" dxfId="12762" priority="38" stopIfTrue="1" operator="equal">
      <formula>"Napkin Hs"</formula>
    </cfRule>
  </conditionalFormatting>
  <conditionalFormatting sqref="B162:C162">
    <cfRule type="cellIs" dxfId="12761" priority="41" stopIfTrue="1" operator="equal">
      <formula>"Towel"</formula>
    </cfRule>
    <cfRule type="cellIs" dxfId="12760" priority="42" stopIfTrue="1" operator="equal">
      <formula>"Napkin Hs"</formula>
    </cfRule>
  </conditionalFormatting>
  <conditionalFormatting sqref="C162">
    <cfRule type="cellIs" dxfId="12759" priority="40" stopIfTrue="1" operator="equal">
      <formula>"Napkin Hs"</formula>
    </cfRule>
  </conditionalFormatting>
  <conditionalFormatting sqref="C162">
    <cfRule type="cellIs" dxfId="12758" priority="39" stopIfTrue="1" operator="equal">
      <formula>"Towel"</formula>
    </cfRule>
  </conditionalFormatting>
  <conditionalFormatting sqref="B161:C161">
    <cfRule type="cellIs" dxfId="12757" priority="35" stopIfTrue="1" operator="equal">
      <formula>"Towel"</formula>
    </cfRule>
    <cfRule type="cellIs" dxfId="12756" priority="36" stopIfTrue="1" operator="equal">
      <formula>"Napkin Hs"</formula>
    </cfRule>
  </conditionalFormatting>
  <conditionalFormatting sqref="C161">
    <cfRule type="cellIs" dxfId="12755" priority="34" stopIfTrue="1" operator="equal">
      <formula>"Napkin Hs"</formula>
    </cfRule>
  </conditionalFormatting>
  <conditionalFormatting sqref="C161">
    <cfRule type="cellIs" dxfId="12754" priority="31" stopIfTrue="1" operator="equal">
      <formula>"Towel"</formula>
    </cfRule>
    <cfRule type="cellIs" dxfId="12753" priority="32" stopIfTrue="1" operator="equal">
      <formula>"Napkin Hs"</formula>
    </cfRule>
  </conditionalFormatting>
  <conditionalFormatting sqref="C161">
    <cfRule type="cellIs" dxfId="12752" priority="33" stopIfTrue="1" operator="equal">
      <formula>"Towel"</formula>
    </cfRule>
  </conditionalFormatting>
  <conditionalFormatting sqref="B159:C160">
    <cfRule type="cellIs" dxfId="12751" priority="29" stopIfTrue="1" operator="equal">
      <formula>"Towel"</formula>
    </cfRule>
    <cfRule type="cellIs" dxfId="12750" priority="30" stopIfTrue="1" operator="equal">
      <formula>"Napkin Hs"</formula>
    </cfRule>
  </conditionalFormatting>
  <conditionalFormatting sqref="C159:C160">
    <cfRule type="cellIs" dxfId="12749" priority="28" stopIfTrue="1" operator="equal">
      <formula>"Napkin Hs"</formula>
    </cfRule>
  </conditionalFormatting>
  <conditionalFormatting sqref="C159:C160">
    <cfRule type="cellIs" dxfId="12748" priority="25" stopIfTrue="1" operator="equal">
      <formula>"Towel"</formula>
    </cfRule>
    <cfRule type="cellIs" dxfId="12747" priority="26" stopIfTrue="1" operator="equal">
      <formula>"Napkin Hs"</formula>
    </cfRule>
  </conditionalFormatting>
  <conditionalFormatting sqref="C159:C160">
    <cfRule type="cellIs" dxfId="12746" priority="27" stopIfTrue="1" operator="equal">
      <formula>"Towel"</formula>
    </cfRule>
  </conditionalFormatting>
  <conditionalFormatting sqref="C166">
    <cfRule type="cellIs" dxfId="12745" priority="19" stopIfTrue="1" operator="equal">
      <formula>"Towel"</formula>
    </cfRule>
    <cfRule type="cellIs" dxfId="12744" priority="20" stopIfTrue="1" operator="equal">
      <formula>"Napkin Hs"</formula>
    </cfRule>
  </conditionalFormatting>
  <conditionalFormatting sqref="B166:C166">
    <cfRule type="cellIs" dxfId="12743" priority="23" stopIfTrue="1" operator="equal">
      <formula>"Towel"</formula>
    </cfRule>
    <cfRule type="cellIs" dxfId="12742" priority="24" stopIfTrue="1" operator="equal">
      <formula>"Napkin Hs"</formula>
    </cfRule>
  </conditionalFormatting>
  <conditionalFormatting sqref="C166">
    <cfRule type="cellIs" dxfId="12741" priority="22" stopIfTrue="1" operator="equal">
      <formula>"Napkin Hs"</formula>
    </cfRule>
  </conditionalFormatting>
  <conditionalFormatting sqref="C166">
    <cfRule type="cellIs" dxfId="12740" priority="21" stopIfTrue="1" operator="equal">
      <formula>"Towel"</formula>
    </cfRule>
  </conditionalFormatting>
  <conditionalFormatting sqref="B165:C165">
    <cfRule type="cellIs" dxfId="12739" priority="17" stopIfTrue="1" operator="equal">
      <formula>"Towel"</formula>
    </cfRule>
    <cfRule type="cellIs" dxfId="12738" priority="18" stopIfTrue="1" operator="equal">
      <formula>"Napkin Hs"</formula>
    </cfRule>
  </conditionalFormatting>
  <conditionalFormatting sqref="C165">
    <cfRule type="cellIs" dxfId="12737" priority="16" stopIfTrue="1" operator="equal">
      <formula>"Napkin Hs"</formula>
    </cfRule>
  </conditionalFormatting>
  <conditionalFormatting sqref="C165">
    <cfRule type="cellIs" dxfId="12736" priority="13" stopIfTrue="1" operator="equal">
      <formula>"Towel"</formula>
    </cfRule>
    <cfRule type="cellIs" dxfId="12735" priority="14" stopIfTrue="1" operator="equal">
      <formula>"Napkin Hs"</formula>
    </cfRule>
  </conditionalFormatting>
  <conditionalFormatting sqref="C165">
    <cfRule type="cellIs" dxfId="12734" priority="15" stopIfTrue="1" operator="equal">
      <formula>"Towel"</formula>
    </cfRule>
  </conditionalFormatting>
  <conditionalFormatting sqref="B164:C164">
    <cfRule type="cellIs" dxfId="12733" priority="11" stopIfTrue="1" operator="equal">
      <formula>"Towel"</formula>
    </cfRule>
    <cfRule type="cellIs" dxfId="12732" priority="12" stopIfTrue="1" operator="equal">
      <formula>"Napkin Hs"</formula>
    </cfRule>
  </conditionalFormatting>
  <conditionalFormatting sqref="C164">
    <cfRule type="cellIs" dxfId="12731" priority="10" stopIfTrue="1" operator="equal">
      <formula>"Napkin Hs"</formula>
    </cfRule>
  </conditionalFormatting>
  <conditionalFormatting sqref="C164">
    <cfRule type="cellIs" dxfId="12730" priority="7" stopIfTrue="1" operator="equal">
      <formula>"Towel"</formula>
    </cfRule>
    <cfRule type="cellIs" dxfId="12729" priority="8" stopIfTrue="1" operator="equal">
      <formula>"Napkin Hs"</formula>
    </cfRule>
  </conditionalFormatting>
  <conditionalFormatting sqref="C164">
    <cfRule type="cellIs" dxfId="12728" priority="9" stopIfTrue="1" operator="equal">
      <formula>"Towel"</formula>
    </cfRule>
  </conditionalFormatting>
  <conditionalFormatting sqref="B163:C163">
    <cfRule type="cellIs" dxfId="12727" priority="5" stopIfTrue="1" operator="equal">
      <formula>"Towel"</formula>
    </cfRule>
    <cfRule type="cellIs" dxfId="12726" priority="6" stopIfTrue="1" operator="equal">
      <formula>"Napkin Hs"</formula>
    </cfRule>
  </conditionalFormatting>
  <conditionalFormatting sqref="C163">
    <cfRule type="cellIs" dxfId="12725" priority="4" stopIfTrue="1" operator="equal">
      <formula>"Napkin Hs"</formula>
    </cfRule>
  </conditionalFormatting>
  <conditionalFormatting sqref="C163">
    <cfRule type="cellIs" dxfId="12724" priority="1" stopIfTrue="1" operator="equal">
      <formula>"Towel"</formula>
    </cfRule>
    <cfRule type="cellIs" dxfId="12723" priority="2" stopIfTrue="1" operator="equal">
      <formula>"Napkin Hs"</formula>
    </cfRule>
  </conditionalFormatting>
  <conditionalFormatting sqref="C163">
    <cfRule type="cellIs" dxfId="12722" priority="3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S272"/>
  <sheetViews>
    <sheetView zoomScale="90" zoomScaleNormal="90" workbookViewId="0">
      <pane xSplit="6" ySplit="6" topLeftCell="AT155" activePane="bottomRight" state="frozen"/>
      <selection pane="topRight" activeCell="F1" sqref="F1"/>
      <selection pane="bottomLeft" activeCell="A7" sqref="A7"/>
      <selection pane="bottomRight" activeCell="AX166" sqref="AX166"/>
    </sheetView>
  </sheetViews>
  <sheetFormatPr defaultColWidth="10.28515625" defaultRowHeight="12" x14ac:dyDescent="0.2"/>
  <cols>
    <col min="1" max="1" width="12.28515625" style="114" customWidth="1"/>
    <col min="2" max="2" width="14.140625" style="114" customWidth="1"/>
    <col min="3" max="3" width="10.140625" style="114" customWidth="1"/>
    <col min="4" max="4" width="10.28515625" style="114" customWidth="1"/>
    <col min="5" max="5" width="7.5703125" style="114" bestFit="1" customWidth="1"/>
    <col min="6" max="6" width="7" style="129" customWidth="1"/>
    <col min="7" max="9" width="10.28515625" style="114" customWidth="1"/>
    <col min="10" max="11" width="10.28515625" style="125" customWidth="1"/>
    <col min="12" max="13" width="12.7109375" style="130" customWidth="1"/>
    <col min="14" max="15" width="10.28515625" style="114" customWidth="1"/>
    <col min="16" max="16" width="16.85546875" style="114" bestFit="1" customWidth="1"/>
    <col min="17" max="17" width="12.7109375" style="58" customWidth="1"/>
    <col min="18" max="19" width="10.28515625" style="114" customWidth="1"/>
    <col min="20" max="20" width="10.7109375" style="114" customWidth="1"/>
    <col min="21" max="21" width="10.28515625" style="114" customWidth="1"/>
    <col min="22" max="22" width="12.28515625" style="114" customWidth="1"/>
    <col min="23" max="23" width="13" style="114" customWidth="1"/>
    <col min="24" max="24" width="10.28515625" style="114" customWidth="1"/>
    <col min="25" max="25" width="10.140625" style="114" customWidth="1"/>
    <col min="26" max="28" width="10.28515625" style="114" customWidth="1"/>
    <col min="29" max="29" width="12" style="114" customWidth="1"/>
    <col min="30" max="30" width="11.42578125" style="114" bestFit="1" customWidth="1"/>
    <col min="31" max="31" width="41.42578125" style="114" customWidth="1"/>
    <col min="32" max="38" width="10.28515625" style="114" customWidth="1"/>
    <col min="39" max="39" width="11.7109375" style="114" customWidth="1"/>
    <col min="40" max="41" width="10.28515625" style="114" customWidth="1"/>
    <col min="42" max="43" width="12.42578125" style="114" customWidth="1"/>
    <col min="44" max="44" width="29.7109375" style="114" bestFit="1" customWidth="1"/>
    <col min="45" max="16384" width="10.28515625" style="114"/>
  </cols>
  <sheetData>
    <row r="1" spans="1:58" s="111" customFormat="1" ht="15.75" x14ac:dyDescent="0.25">
      <c r="A1" s="110" t="s">
        <v>205</v>
      </c>
      <c r="G1" s="40"/>
      <c r="H1" s="40"/>
      <c r="I1" s="40"/>
      <c r="J1" s="41"/>
      <c r="K1" s="41"/>
      <c r="L1" s="112"/>
      <c r="M1" s="112"/>
      <c r="O1" s="40"/>
      <c r="P1" s="42"/>
      <c r="Q1" s="40"/>
      <c r="R1" s="42"/>
      <c r="S1" s="42"/>
      <c r="W1" s="42"/>
      <c r="X1" s="43"/>
      <c r="Y1" s="43"/>
      <c r="Z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</row>
    <row r="2" spans="1:58" s="111" customFormat="1" x14ac:dyDescent="0.2">
      <c r="A2" s="113"/>
      <c r="G2" s="40"/>
      <c r="H2" s="40"/>
      <c r="I2" s="40"/>
      <c r="J2" s="41"/>
      <c r="K2" s="41"/>
      <c r="L2" s="112"/>
      <c r="M2" s="112"/>
      <c r="O2" s="40"/>
      <c r="P2" s="42"/>
      <c r="Q2" s="40"/>
      <c r="R2" s="42"/>
      <c r="S2" s="42"/>
      <c r="W2" s="42"/>
      <c r="X2" s="43"/>
      <c r="Y2" s="43"/>
      <c r="Z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</row>
    <row r="3" spans="1:58" ht="24" customHeight="1" x14ac:dyDescent="0.35">
      <c r="A3" s="267" t="s">
        <v>58</v>
      </c>
      <c r="B3" s="267" t="s">
        <v>59</v>
      </c>
      <c r="C3" s="267" t="s">
        <v>60</v>
      </c>
      <c r="D3" s="267" t="s">
        <v>61</v>
      </c>
      <c r="E3" s="267" t="s">
        <v>62</v>
      </c>
      <c r="F3" s="267" t="s">
        <v>63</v>
      </c>
      <c r="G3" s="272" t="s">
        <v>64</v>
      </c>
      <c r="H3" s="273"/>
      <c r="I3" s="273"/>
      <c r="J3" s="273"/>
      <c r="K3" s="274"/>
      <c r="L3" s="278" t="s">
        <v>65</v>
      </c>
      <c r="M3" s="279"/>
      <c r="N3" s="280"/>
      <c r="O3" s="284" t="s">
        <v>66</v>
      </c>
      <c r="P3" s="286" t="s">
        <v>67</v>
      </c>
      <c r="Q3" s="284" t="s">
        <v>68</v>
      </c>
      <c r="R3" s="269" t="s">
        <v>69</v>
      </c>
      <c r="S3" s="269" t="s">
        <v>70</v>
      </c>
      <c r="T3" s="267" t="s">
        <v>71</v>
      </c>
      <c r="U3" s="267" t="s">
        <v>72</v>
      </c>
      <c r="V3" s="267" t="s">
        <v>73</v>
      </c>
      <c r="W3" s="269" t="s">
        <v>74</v>
      </c>
      <c r="X3" s="289" t="s">
        <v>75</v>
      </c>
      <c r="Y3" s="289" t="s">
        <v>181</v>
      </c>
      <c r="Z3" s="269" t="s">
        <v>76</v>
      </c>
      <c r="AA3" s="267" t="s">
        <v>77</v>
      </c>
      <c r="AB3" s="267" t="s">
        <v>78</v>
      </c>
      <c r="AC3" s="267" t="s">
        <v>79</v>
      </c>
      <c r="AD3" s="267" t="s">
        <v>80</v>
      </c>
      <c r="AE3" s="267" t="s">
        <v>81</v>
      </c>
      <c r="AF3" s="298" t="s">
        <v>82</v>
      </c>
      <c r="AG3" s="298"/>
      <c r="AH3" s="298"/>
      <c r="AI3" s="298"/>
      <c r="AJ3" s="298"/>
      <c r="AK3" s="298"/>
      <c r="AL3" s="298"/>
      <c r="AM3" s="299" t="s">
        <v>83</v>
      </c>
      <c r="AN3" s="302" t="s">
        <v>84</v>
      </c>
      <c r="AO3" s="302"/>
      <c r="AP3" s="302"/>
      <c r="AQ3" s="302"/>
      <c r="AR3" s="302"/>
      <c r="AS3" s="303" t="s">
        <v>11</v>
      </c>
      <c r="AT3" s="292" t="s">
        <v>160</v>
      </c>
      <c r="AU3" s="293"/>
      <c r="AV3" s="328" t="s">
        <v>86</v>
      </c>
      <c r="AW3" s="329"/>
      <c r="AX3" s="330" t="s">
        <v>86</v>
      </c>
      <c r="AY3" s="331"/>
      <c r="AZ3" s="318" t="s">
        <v>194</v>
      </c>
      <c r="BA3" s="297" t="s">
        <v>85</v>
      </c>
      <c r="BB3" s="341" t="s">
        <v>87</v>
      </c>
      <c r="BC3" s="341" t="s">
        <v>88</v>
      </c>
      <c r="BD3" s="323" t="s">
        <v>199</v>
      </c>
      <c r="BE3" s="318" t="s">
        <v>200</v>
      </c>
      <c r="BF3" s="341" t="s">
        <v>201</v>
      </c>
    </row>
    <row r="4" spans="1:58" ht="12" customHeight="1" x14ac:dyDescent="0.2">
      <c r="A4" s="268"/>
      <c r="B4" s="268"/>
      <c r="C4" s="268"/>
      <c r="D4" s="268"/>
      <c r="E4" s="268"/>
      <c r="F4" s="268"/>
      <c r="G4" s="275"/>
      <c r="H4" s="276"/>
      <c r="I4" s="276"/>
      <c r="J4" s="276"/>
      <c r="K4" s="277"/>
      <c r="L4" s="281"/>
      <c r="M4" s="282"/>
      <c r="N4" s="283"/>
      <c r="O4" s="285"/>
      <c r="P4" s="287"/>
      <c r="Q4" s="285"/>
      <c r="R4" s="270"/>
      <c r="S4" s="270"/>
      <c r="T4" s="268"/>
      <c r="U4" s="268"/>
      <c r="V4" s="268"/>
      <c r="W4" s="270"/>
      <c r="X4" s="290"/>
      <c r="Y4" s="290"/>
      <c r="Z4" s="270"/>
      <c r="AA4" s="268"/>
      <c r="AB4" s="268"/>
      <c r="AC4" s="268"/>
      <c r="AD4" s="268"/>
      <c r="AE4" s="268"/>
      <c r="AF4" s="311" t="s">
        <v>89</v>
      </c>
      <c r="AG4" s="312"/>
      <c r="AH4" s="313"/>
      <c r="AI4" s="287" t="s">
        <v>90</v>
      </c>
      <c r="AJ4" s="287" t="s">
        <v>91</v>
      </c>
      <c r="AK4" s="287" t="s">
        <v>93</v>
      </c>
      <c r="AL4" s="287" t="s">
        <v>92</v>
      </c>
      <c r="AM4" s="300"/>
      <c r="AN4" s="296" t="s">
        <v>94</v>
      </c>
      <c r="AO4" s="296" t="s">
        <v>91</v>
      </c>
      <c r="AP4" s="296" t="s">
        <v>95</v>
      </c>
      <c r="AQ4" s="296" t="s">
        <v>92</v>
      </c>
      <c r="AR4" s="297" t="s">
        <v>96</v>
      </c>
      <c r="AS4" s="303"/>
      <c r="AT4" s="294"/>
      <c r="AU4" s="295"/>
      <c r="AV4" s="164" t="s">
        <v>192</v>
      </c>
      <c r="AW4" s="164" t="s">
        <v>97</v>
      </c>
      <c r="AX4" s="231" t="s">
        <v>192</v>
      </c>
      <c r="AY4" s="165" t="s">
        <v>97</v>
      </c>
      <c r="AZ4" s="319"/>
      <c r="BA4" s="297"/>
      <c r="BB4" s="341"/>
      <c r="BC4" s="341"/>
      <c r="BD4" s="324"/>
      <c r="BE4" s="319"/>
      <c r="BF4" s="341"/>
    </row>
    <row r="5" spans="1:58" s="115" customFormat="1" ht="48" x14ac:dyDescent="0.25">
      <c r="A5" s="268"/>
      <c r="B5" s="268"/>
      <c r="C5" s="271"/>
      <c r="D5" s="268"/>
      <c r="E5" s="268"/>
      <c r="F5" s="268"/>
      <c r="G5" s="226" t="s">
        <v>98</v>
      </c>
      <c r="H5" s="233" t="s">
        <v>99</v>
      </c>
      <c r="I5" s="153" t="s">
        <v>100</v>
      </c>
      <c r="J5" s="154" t="s">
        <v>101</v>
      </c>
      <c r="K5" s="154" t="s">
        <v>102</v>
      </c>
      <c r="L5" s="155" t="s">
        <v>103</v>
      </c>
      <c r="M5" s="155" t="s">
        <v>104</v>
      </c>
      <c r="N5" s="233" t="s">
        <v>105</v>
      </c>
      <c r="O5" s="285"/>
      <c r="P5" s="288"/>
      <c r="Q5" s="285"/>
      <c r="R5" s="270"/>
      <c r="S5" s="270"/>
      <c r="T5" s="268"/>
      <c r="U5" s="268"/>
      <c r="V5" s="268"/>
      <c r="W5" s="270"/>
      <c r="X5" s="290"/>
      <c r="Y5" s="291"/>
      <c r="Z5" s="270"/>
      <c r="AA5" s="268"/>
      <c r="AB5" s="271"/>
      <c r="AC5" s="268"/>
      <c r="AD5" s="271"/>
      <c r="AE5" s="268"/>
      <c r="AF5" s="44" t="s">
        <v>106</v>
      </c>
      <c r="AG5" s="227" t="s">
        <v>107</v>
      </c>
      <c r="AH5" s="227" t="s">
        <v>108</v>
      </c>
      <c r="AI5" s="288"/>
      <c r="AJ5" s="288"/>
      <c r="AK5" s="288"/>
      <c r="AL5" s="288"/>
      <c r="AM5" s="301"/>
      <c r="AN5" s="286"/>
      <c r="AO5" s="286"/>
      <c r="AP5" s="286"/>
      <c r="AQ5" s="286"/>
      <c r="AR5" s="269"/>
      <c r="AS5" s="304"/>
      <c r="AT5" s="228" t="s">
        <v>182</v>
      </c>
      <c r="AU5" s="228" t="s">
        <v>183</v>
      </c>
      <c r="AV5" s="232" t="s">
        <v>184</v>
      </c>
      <c r="AW5" s="232" t="s">
        <v>184</v>
      </c>
      <c r="AX5" s="231" t="s">
        <v>173</v>
      </c>
      <c r="AY5" s="231" t="s">
        <v>173</v>
      </c>
      <c r="AZ5" s="320"/>
      <c r="BA5" s="269"/>
      <c r="BB5" s="267"/>
      <c r="BC5" s="267"/>
      <c r="BD5" s="325"/>
      <c r="BE5" s="320"/>
      <c r="BF5" s="267"/>
    </row>
    <row r="6" spans="1:58" ht="12.95" customHeight="1" x14ac:dyDescent="0.2">
      <c r="A6" s="117">
        <f>+[4]Report1!A9</f>
        <v>45962</v>
      </c>
      <c r="B6" s="118" t="s">
        <v>168</v>
      </c>
      <c r="C6" s="119">
        <f>(M6*E6*O6*Q6)/100000000</f>
        <v>3.9742302600000001</v>
      </c>
      <c r="D6" s="118" t="s">
        <v>196</v>
      </c>
      <c r="E6" s="37">
        <v>14</v>
      </c>
      <c r="F6" s="37">
        <v>1</v>
      </c>
      <c r="G6" s="120">
        <v>1295</v>
      </c>
      <c r="H6" s="121">
        <f>+N6</f>
        <v>0.22999999999999998</v>
      </c>
      <c r="I6" s="45">
        <v>0.88</v>
      </c>
      <c r="J6" s="46">
        <f>E6*G6*(1-H6)*1440/1000000*2.74</f>
        <v>55.080970560000011</v>
      </c>
      <c r="K6" s="46">
        <f t="shared" ref="K6:K7" si="0">(IF(G6&lt;L6,L6,G6)*(1-IF(H6&lt;N6,H6,N6))*E6*O6*Q6)/100000000</f>
        <v>4.3988275100000003</v>
      </c>
      <c r="L6" s="122">
        <v>1170</v>
      </c>
      <c r="M6" s="122">
        <v>900.9</v>
      </c>
      <c r="N6" s="47">
        <f>1-(M6/L6)</f>
        <v>0.22999999999999998</v>
      </c>
      <c r="O6" s="48">
        <f>+'[4]Trim Rwd'!H5</f>
        <v>274</v>
      </c>
      <c r="P6" s="49">
        <f>O6*(Q6-R6-S6)</f>
        <v>26578</v>
      </c>
      <c r="Q6" s="48">
        <v>115</v>
      </c>
      <c r="R6" s="123">
        <v>0</v>
      </c>
      <c r="S6" s="123">
        <v>18</v>
      </c>
      <c r="T6" s="50">
        <f>E6*M6*O6*Q6/100000000</f>
        <v>3.9742302600000001</v>
      </c>
      <c r="U6" s="50">
        <f>E6*M6*O6*(Q6-R6-S6)/100000000</f>
        <v>3.3521768280000002</v>
      </c>
      <c r="V6" s="50">
        <f>E6*G6*(1-N6)*O6/100*(R6+S6)/1000000</f>
        <v>0.68851213199999994</v>
      </c>
      <c r="W6" s="50">
        <f>+'[4]1'!K8/1000</f>
        <v>7.0170000000000003</v>
      </c>
      <c r="X6" s="51">
        <f>SUM(W6:W9)/SUM(K6:K9)</f>
        <v>0.72220006040347318</v>
      </c>
      <c r="Y6" s="52">
        <v>0</v>
      </c>
      <c r="Z6" s="50">
        <v>0</v>
      </c>
      <c r="AA6" s="53">
        <f>SUM(U6:U9)-SUM(W6:W9)-SUM(Z6:Z9)-SUM(Y6:Y9)</f>
        <v>2.7535099961645528</v>
      </c>
      <c r="AB6" s="53">
        <f>(SUM(K6:K9)-SUM(W6:W9)-SUM(Y6:Y9)-SUM(Z6:Z9)-SUM(AC6:AC9)-SUM(V6:V9))-AA6</f>
        <v>-0.80389188626582264</v>
      </c>
      <c r="AC6" s="50">
        <f>K6-T6</f>
        <v>0.42459725000000015</v>
      </c>
      <c r="AD6" s="50">
        <f>+AM6+BA6</f>
        <v>0</v>
      </c>
      <c r="AE6" s="101" t="s">
        <v>110</v>
      </c>
      <c r="AF6" s="50">
        <v>0</v>
      </c>
      <c r="AG6" s="50"/>
      <c r="AH6" s="50"/>
      <c r="AI6" s="54"/>
      <c r="AJ6" s="50"/>
      <c r="AK6" s="50"/>
      <c r="AL6" s="50"/>
      <c r="AM6" s="50">
        <f>SUM(AF6:AL6)+AT6</f>
        <v>0</v>
      </c>
      <c r="AN6" s="50"/>
      <c r="AO6" s="50"/>
      <c r="AP6" s="50"/>
      <c r="AQ6" s="50"/>
      <c r="AR6" s="50">
        <f>SUM(AN6:AQ6)</f>
        <v>0</v>
      </c>
      <c r="AS6" s="50"/>
      <c r="AT6" s="50"/>
      <c r="AU6" s="50"/>
      <c r="AV6" s="50"/>
      <c r="AW6" s="50"/>
      <c r="AX6" s="50"/>
      <c r="AY6" s="50"/>
      <c r="AZ6" s="50"/>
      <c r="BA6" s="50">
        <f>+AR6+AS6+AU6+AV6+AX6</f>
        <v>0</v>
      </c>
      <c r="BB6" s="124">
        <v>0</v>
      </c>
      <c r="BC6" s="116"/>
      <c r="BD6" s="116"/>
      <c r="BE6" s="124"/>
      <c r="BF6" s="116"/>
    </row>
    <row r="7" spans="1:58" ht="12.95" customHeight="1" x14ac:dyDescent="0.2">
      <c r="A7" s="117"/>
      <c r="B7" s="118" t="s">
        <v>168</v>
      </c>
      <c r="C7" s="119">
        <f>(M7*E7*O7*Q7)/100000000</f>
        <v>45.011377876898734</v>
      </c>
      <c r="D7" s="118" t="s">
        <v>196</v>
      </c>
      <c r="E7" s="37">
        <v>13.5</v>
      </c>
      <c r="F7" s="37">
        <v>1</v>
      </c>
      <c r="G7" s="120">
        <v>1345</v>
      </c>
      <c r="H7" s="121">
        <f>+N7</f>
        <v>0.22999999999999998</v>
      </c>
      <c r="I7" s="45">
        <v>0.88</v>
      </c>
      <c r="J7" s="46">
        <f>E7*G7*(1-H7)*1440/1000000*2.74</f>
        <v>55.164518640000004</v>
      </c>
      <c r="K7" s="46">
        <f t="shared" si="0"/>
        <v>50.759018887500012</v>
      </c>
      <c r="L7" s="122">
        <v>1192.7004219409282</v>
      </c>
      <c r="M7" s="122">
        <v>918.37932489451475</v>
      </c>
      <c r="N7" s="47">
        <f>1-(M7/L7)</f>
        <v>0.22999999999999998</v>
      </c>
      <c r="O7" s="48">
        <f>+'[4]Trim Rwd'!H4</f>
        <v>274</v>
      </c>
      <c r="P7" s="49">
        <f>O7*(Q7-R7-S7)</f>
        <v>316470</v>
      </c>
      <c r="Q7" s="48">
        <f>1185+140</f>
        <v>1325</v>
      </c>
      <c r="R7" s="123">
        <f>25+115</f>
        <v>140</v>
      </c>
      <c r="S7" s="123">
        <v>30</v>
      </c>
      <c r="T7" s="50">
        <f>E7*M7*O7*Q7/100000000</f>
        <v>45.011377876898734</v>
      </c>
      <c r="U7" s="50">
        <f>E7*M7*O7*(Q7-R7-S7)/100000000</f>
        <v>39.236333168164556</v>
      </c>
      <c r="V7" s="50">
        <f>E7*G7*(1-N7)*O7/100*(R7+S7)/1000000</f>
        <v>6.5124778950000008</v>
      </c>
      <c r="W7" s="50">
        <f>+'[4]1'!K7/1000</f>
        <v>32.817999999999998</v>
      </c>
      <c r="X7" s="55"/>
      <c r="Y7" s="52"/>
      <c r="Z7" s="50"/>
      <c r="AA7" s="50"/>
      <c r="AB7" s="50"/>
      <c r="AC7" s="50">
        <f>K7-T7</f>
        <v>5.7476410106012779</v>
      </c>
      <c r="AD7" s="50">
        <f t="shared" ref="AD7:AD10" si="1">+AM7+BA7</f>
        <v>10</v>
      </c>
      <c r="AE7" s="101" t="s">
        <v>119</v>
      </c>
      <c r="AF7" s="50"/>
      <c r="AG7" s="50">
        <v>10</v>
      </c>
      <c r="AH7" s="50"/>
      <c r="AI7" s="54"/>
      <c r="AJ7" s="50"/>
      <c r="AK7" s="50"/>
      <c r="AL7" s="50"/>
      <c r="AM7" s="50">
        <f t="shared" ref="AM7:AM10" si="2">SUM(AF7:AL7)+AT7</f>
        <v>10</v>
      </c>
      <c r="AN7" s="125"/>
      <c r="AO7" s="50"/>
      <c r="AP7" s="50"/>
      <c r="AQ7" s="50"/>
      <c r="AR7" s="50">
        <f t="shared" ref="AR7:AR10" si="3">SUM(AN7:AQ7)</f>
        <v>0</v>
      </c>
      <c r="AS7" s="50"/>
      <c r="AT7" s="50"/>
      <c r="AU7" s="50"/>
      <c r="AV7" s="50"/>
      <c r="AW7" s="50"/>
      <c r="AX7" s="50"/>
      <c r="AY7" s="50"/>
      <c r="AZ7" s="50"/>
      <c r="BA7" s="50">
        <f t="shared" ref="BA7:BA10" si="4">+AR7+AS7+AU7+AV7+AX7</f>
        <v>0</v>
      </c>
      <c r="BB7" s="126"/>
      <c r="BC7" s="116">
        <v>11</v>
      </c>
      <c r="BD7" s="116"/>
      <c r="BE7" s="126"/>
      <c r="BF7" s="116"/>
    </row>
    <row r="8" spans="1:58" ht="12.95" customHeight="1" x14ac:dyDescent="0.2">
      <c r="A8" s="117"/>
      <c r="B8" s="118"/>
      <c r="C8" s="119"/>
      <c r="D8" s="118"/>
      <c r="E8" s="37"/>
      <c r="F8" s="37"/>
      <c r="G8" s="127"/>
      <c r="H8" s="121"/>
      <c r="I8" s="45"/>
      <c r="J8" s="46"/>
      <c r="K8" s="46"/>
      <c r="L8" s="122"/>
      <c r="M8" s="122"/>
      <c r="N8" s="47"/>
      <c r="O8" s="48"/>
      <c r="P8" s="49"/>
      <c r="Q8" s="48"/>
      <c r="R8" s="123"/>
      <c r="S8" s="123"/>
      <c r="T8" s="50"/>
      <c r="U8" s="50"/>
      <c r="V8" s="50"/>
      <c r="W8" s="50"/>
      <c r="X8" s="55"/>
      <c r="Y8" s="52"/>
      <c r="Z8" s="50"/>
      <c r="AA8" s="50"/>
      <c r="AB8" s="50"/>
      <c r="AC8" s="50"/>
      <c r="AD8" s="50">
        <f t="shared" si="1"/>
        <v>23</v>
      </c>
      <c r="AE8" s="101" t="s">
        <v>128</v>
      </c>
      <c r="AF8" s="124"/>
      <c r="AG8" s="124"/>
      <c r="AH8" s="124">
        <v>23</v>
      </c>
      <c r="AJ8" s="50"/>
      <c r="AK8" s="50"/>
      <c r="AL8" s="50"/>
      <c r="AM8" s="50">
        <f t="shared" si="2"/>
        <v>23</v>
      </c>
      <c r="AN8" s="50"/>
      <c r="AO8" s="50"/>
      <c r="AP8" s="50"/>
      <c r="AQ8" s="50"/>
      <c r="AR8" s="50">
        <f t="shared" si="3"/>
        <v>0</v>
      </c>
      <c r="AS8" s="50"/>
      <c r="AT8" s="50"/>
      <c r="AU8" s="50"/>
      <c r="AV8" s="50"/>
      <c r="AW8" s="50"/>
      <c r="AX8" s="50"/>
      <c r="AY8" s="50"/>
      <c r="AZ8" s="50"/>
      <c r="BA8" s="50">
        <f t="shared" si="4"/>
        <v>0</v>
      </c>
      <c r="BB8" s="124"/>
      <c r="BC8" s="146"/>
      <c r="BD8" s="146"/>
      <c r="BE8" s="124"/>
      <c r="BF8" s="146"/>
    </row>
    <row r="9" spans="1:58" ht="12.95" customHeight="1" x14ac:dyDescent="0.2">
      <c r="A9" s="117"/>
      <c r="B9" s="118"/>
      <c r="C9" s="119"/>
      <c r="D9" s="118"/>
      <c r="E9" s="37"/>
      <c r="F9" s="37"/>
      <c r="G9" s="127"/>
      <c r="H9" s="121"/>
      <c r="I9" s="45"/>
      <c r="J9" s="46"/>
      <c r="K9" s="46"/>
      <c r="L9" s="122"/>
      <c r="M9" s="122"/>
      <c r="N9" s="47"/>
      <c r="O9" s="48"/>
      <c r="P9" s="49"/>
      <c r="Q9" s="56"/>
      <c r="R9" s="123"/>
      <c r="S9" s="123"/>
      <c r="T9" s="50"/>
      <c r="U9" s="50"/>
      <c r="V9" s="50"/>
      <c r="W9" s="50"/>
      <c r="X9" s="55"/>
      <c r="Y9" s="52"/>
      <c r="Z9" s="50"/>
      <c r="AA9" s="50"/>
      <c r="AB9" s="50"/>
      <c r="AC9" s="50"/>
      <c r="AD9" s="50">
        <f t="shared" si="1"/>
        <v>15</v>
      </c>
      <c r="AE9" s="148" t="s">
        <v>162</v>
      </c>
      <c r="AF9" s="50"/>
      <c r="AG9" s="50"/>
      <c r="AH9" s="50"/>
      <c r="AI9" s="54">
        <v>15</v>
      </c>
      <c r="AJ9" s="50"/>
      <c r="AK9" s="50"/>
      <c r="AL9" s="50"/>
      <c r="AM9" s="50">
        <f t="shared" si="2"/>
        <v>15</v>
      </c>
      <c r="AN9" s="50"/>
      <c r="AO9" s="50"/>
      <c r="AP9" s="50"/>
      <c r="AQ9" s="50"/>
      <c r="AR9" s="50">
        <f t="shared" si="3"/>
        <v>0</v>
      </c>
      <c r="AS9" s="50"/>
      <c r="AT9" s="50"/>
      <c r="AU9" s="50"/>
      <c r="AV9" s="50"/>
      <c r="AW9" s="50"/>
      <c r="AX9" s="50"/>
      <c r="AY9" s="50"/>
      <c r="AZ9" s="50"/>
      <c r="BA9" s="50">
        <f t="shared" si="4"/>
        <v>0</v>
      </c>
      <c r="BB9" s="126"/>
      <c r="BC9" s="116"/>
      <c r="BD9" s="116"/>
      <c r="BE9" s="126"/>
      <c r="BF9" s="116"/>
    </row>
    <row r="10" spans="1:58" ht="12.95" customHeight="1" x14ac:dyDescent="0.2">
      <c r="A10" s="117"/>
      <c r="B10" s="118"/>
      <c r="C10" s="119"/>
      <c r="D10" s="118"/>
      <c r="E10" s="37"/>
      <c r="F10" s="37"/>
      <c r="G10" s="120"/>
      <c r="H10" s="121"/>
      <c r="I10" s="45"/>
      <c r="J10" s="46"/>
      <c r="K10" s="46"/>
      <c r="L10" s="122"/>
      <c r="M10" s="122"/>
      <c r="N10" s="47"/>
      <c r="O10" s="48"/>
      <c r="P10" s="49"/>
      <c r="Q10" s="48"/>
      <c r="R10" s="123"/>
      <c r="S10" s="123"/>
      <c r="T10" s="50"/>
      <c r="U10" s="50"/>
      <c r="V10" s="50"/>
      <c r="W10" s="50"/>
      <c r="X10" s="51"/>
      <c r="Y10" s="52"/>
      <c r="Z10" s="50"/>
      <c r="AA10" s="53"/>
      <c r="AB10" s="53"/>
      <c r="AC10" s="50"/>
      <c r="AD10" s="50">
        <f t="shared" si="1"/>
        <v>140</v>
      </c>
      <c r="AE10" s="148" t="s">
        <v>257</v>
      </c>
      <c r="AF10" s="50"/>
      <c r="AG10" s="50"/>
      <c r="AH10" s="50"/>
      <c r="AI10" s="54"/>
      <c r="AJ10" s="50"/>
      <c r="AK10" s="50"/>
      <c r="AL10" s="50"/>
      <c r="AM10" s="50">
        <f t="shared" si="2"/>
        <v>0</v>
      </c>
      <c r="AN10" s="50">
        <v>140</v>
      </c>
      <c r="AO10" s="50"/>
      <c r="AP10" s="50"/>
      <c r="AQ10" s="50"/>
      <c r="AR10" s="50">
        <f t="shared" si="3"/>
        <v>140</v>
      </c>
      <c r="AS10" s="50"/>
      <c r="AT10" s="50"/>
      <c r="AU10" s="50"/>
      <c r="AV10" s="50"/>
      <c r="AW10" s="50"/>
      <c r="AX10" s="50"/>
      <c r="AY10" s="50"/>
      <c r="AZ10" s="50"/>
      <c r="BA10" s="50">
        <f t="shared" si="4"/>
        <v>140</v>
      </c>
      <c r="BB10" s="124"/>
      <c r="BC10" s="116"/>
      <c r="BD10" s="116"/>
      <c r="BE10" s="124"/>
      <c r="BF10" s="116"/>
    </row>
    <row r="11" spans="1:58" ht="12.95" customHeight="1" x14ac:dyDescent="0.2">
      <c r="A11" s="117"/>
      <c r="B11" s="118"/>
      <c r="C11" s="119"/>
      <c r="D11" s="118"/>
      <c r="E11" s="37"/>
      <c r="F11" s="37"/>
      <c r="G11" s="120"/>
      <c r="H11" s="121"/>
      <c r="I11" s="45"/>
      <c r="J11" s="46"/>
      <c r="K11" s="46"/>
      <c r="L11" s="122"/>
      <c r="M11" s="122"/>
      <c r="N11" s="47"/>
      <c r="O11" s="48"/>
      <c r="P11" s="49"/>
      <c r="Q11" s="48"/>
      <c r="R11" s="123"/>
      <c r="S11" s="123"/>
      <c r="T11" s="50"/>
      <c r="U11" s="50"/>
      <c r="V11" s="50"/>
      <c r="W11" s="50"/>
      <c r="X11" s="55"/>
      <c r="Y11" s="52"/>
      <c r="Z11" s="50"/>
      <c r="AA11" s="50"/>
      <c r="AB11" s="50"/>
      <c r="AC11" s="50"/>
      <c r="AD11" s="50"/>
      <c r="AE11" s="101"/>
      <c r="AF11" s="50"/>
      <c r="AG11" s="50"/>
      <c r="AH11" s="50"/>
      <c r="AI11" s="54"/>
      <c r="AJ11" s="50"/>
      <c r="AK11" s="50"/>
      <c r="AL11" s="50"/>
      <c r="AM11" s="50"/>
      <c r="AN11" s="125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126"/>
      <c r="BC11" s="116"/>
      <c r="BD11" s="116"/>
      <c r="BE11" s="126"/>
      <c r="BF11" s="116"/>
    </row>
    <row r="12" spans="1:58" ht="12.95" customHeight="1" x14ac:dyDescent="0.2">
      <c r="A12" s="117">
        <v>45963</v>
      </c>
      <c r="B12" s="118" t="s">
        <v>168</v>
      </c>
      <c r="C12" s="119">
        <f>(M12*E12*O12*Q12)/100000000</f>
        <v>25.227342755999999</v>
      </c>
      <c r="D12" s="118" t="s">
        <v>196</v>
      </c>
      <c r="E12" s="37">
        <v>13.5</v>
      </c>
      <c r="F12" s="37">
        <v>1</v>
      </c>
      <c r="G12" s="120">
        <v>1345</v>
      </c>
      <c r="H12" s="121">
        <f>+N12</f>
        <v>0.23000000000000009</v>
      </c>
      <c r="I12" s="45">
        <v>0.88</v>
      </c>
      <c r="J12" s="46">
        <f>E12*G12*(1-H12)*1440/1000000*2.74</f>
        <v>55.164518639999997</v>
      </c>
      <c r="K12" s="46">
        <f t="shared" ref="K12:K13" si="5">(IF(G12&lt;L12,L12,G12)*(1-IF(H12&lt;N12,H12,N12))*E12*O12*Q12)/100000000</f>
        <v>27.812111480999999</v>
      </c>
      <c r="L12" s="122">
        <v>1220</v>
      </c>
      <c r="M12" s="122">
        <v>939.39999999999986</v>
      </c>
      <c r="N12" s="47">
        <f>1-(M12/L12)</f>
        <v>0.23000000000000009</v>
      </c>
      <c r="O12" s="48">
        <f>+'[4]Trim Rwd'!H7</f>
        <v>274</v>
      </c>
      <c r="P12" s="49">
        <f>O12*(Q12-R12-S12)</f>
        <v>192622</v>
      </c>
      <c r="Q12" s="48">
        <v>726</v>
      </c>
      <c r="R12" s="123">
        <v>0</v>
      </c>
      <c r="S12" s="123">
        <v>23</v>
      </c>
      <c r="T12" s="50">
        <f>E12*M12*O12*Q12/100000000</f>
        <v>25.227342755999999</v>
      </c>
      <c r="U12" s="50">
        <f>E12*M12*O12*(Q12-R12-S12)/100000000</f>
        <v>24.428129417999997</v>
      </c>
      <c r="V12" s="50">
        <f>E12*G12*(1-N12)*O12/100*(R12+S12)/1000000</f>
        <v>0.88109995049999978</v>
      </c>
      <c r="W12" s="50">
        <f>+'[4]2'!K7/1000</f>
        <v>28.510999999999999</v>
      </c>
      <c r="X12" s="51">
        <f>SUM(W12:W15)/SUM(K12:K15)</f>
        <v>0.89075190777271496</v>
      </c>
      <c r="Y12" s="52">
        <v>0</v>
      </c>
      <c r="Z12" s="50">
        <v>0</v>
      </c>
      <c r="AA12" s="53">
        <f>SUM(U12:U15)-SUM(W12:W15)-SUM(Z12:Z15)-SUM(Y12:Y15)</f>
        <v>0.22124705250979559</v>
      </c>
      <c r="AB12" s="53">
        <f>(SUM(K12:K15)-SUM(W12:W15)-SUM(Y12:Y15)-SUM(Z12:Z15)-SUM(AC12:AC15)-SUM(V12:V15))-AA12</f>
        <v>-0.13196995500980169</v>
      </c>
      <c r="AC12" s="50">
        <f>K12-T12</f>
        <v>2.584768725</v>
      </c>
      <c r="AD12" s="50">
        <f>+AM12+BA12</f>
        <v>0</v>
      </c>
      <c r="AE12" s="101" t="s">
        <v>110</v>
      </c>
      <c r="AF12" s="50">
        <v>0</v>
      </c>
      <c r="AG12" s="50"/>
      <c r="AH12" s="50"/>
      <c r="AI12" s="54"/>
      <c r="AJ12" s="50"/>
      <c r="AK12" s="50"/>
      <c r="AL12" s="50"/>
      <c r="AM12" s="50">
        <f>SUM(AF12:AL12)+AT12</f>
        <v>0</v>
      </c>
      <c r="AN12" s="50"/>
      <c r="AO12" s="50"/>
      <c r="AP12" s="50"/>
      <c r="AQ12" s="50"/>
      <c r="AR12" s="50">
        <f>SUM(AN12:AQ12)</f>
        <v>0</v>
      </c>
      <c r="AS12" s="50"/>
      <c r="AT12" s="50"/>
      <c r="AU12" s="50"/>
      <c r="AV12" s="50"/>
      <c r="AW12" s="50"/>
      <c r="AX12" s="50"/>
      <c r="AY12" s="50"/>
      <c r="AZ12" s="50"/>
      <c r="BA12" s="50">
        <f>+AR12+AS12+AU12+AV12+AX12</f>
        <v>0</v>
      </c>
      <c r="BB12" s="124">
        <v>0</v>
      </c>
      <c r="BC12" s="116"/>
      <c r="BD12" s="116"/>
      <c r="BE12" s="124"/>
      <c r="BF12" s="116"/>
    </row>
    <row r="13" spans="1:58" ht="12.95" customHeight="1" x14ac:dyDescent="0.2">
      <c r="A13" s="117"/>
      <c r="B13" s="118" t="s">
        <v>168</v>
      </c>
      <c r="C13" s="119">
        <f>(M13*E13*O13*Q13)/100000000</f>
        <v>25.685549119999994</v>
      </c>
      <c r="D13" s="118" t="s">
        <v>196</v>
      </c>
      <c r="E13" s="37">
        <v>14</v>
      </c>
      <c r="F13" s="37">
        <v>1</v>
      </c>
      <c r="G13" s="120">
        <v>1295</v>
      </c>
      <c r="H13" s="121">
        <f>+N13</f>
        <v>0.22999999999999998</v>
      </c>
      <c r="I13" s="45">
        <v>0.88</v>
      </c>
      <c r="J13" s="46">
        <f>E13*G13*(1-H13)*1440/1000000*2.74</f>
        <v>55.080970560000011</v>
      </c>
      <c r="K13" s="46">
        <f t="shared" si="5"/>
        <v>27.310981236</v>
      </c>
      <c r="L13" s="122">
        <v>1217.9271708683473</v>
      </c>
      <c r="M13" s="122">
        <v>937.8039215686274</v>
      </c>
      <c r="N13" s="47">
        <f>1-(M13/L13)</f>
        <v>0.22999999999999998</v>
      </c>
      <c r="O13" s="48">
        <f>+'[4]Trim Rwd'!H8</f>
        <v>274</v>
      </c>
      <c r="P13" s="49">
        <f>O13*(Q13-R13-S13)</f>
        <v>189608</v>
      </c>
      <c r="Q13" s="48">
        <v>714</v>
      </c>
      <c r="R13" s="123">
        <v>0</v>
      </c>
      <c r="S13" s="123">
        <v>22</v>
      </c>
      <c r="T13" s="50">
        <f>E13*M13*O13*Q13/100000000</f>
        <v>25.685549119999994</v>
      </c>
      <c r="U13" s="50">
        <f>E13*M13*O13*(Q13-R13-S13)/100000000</f>
        <v>24.894117634509801</v>
      </c>
      <c r="V13" s="50">
        <f>E13*G13*(1-N13)*O13/100*(R13+S13)/1000000</f>
        <v>0.84151482799999999</v>
      </c>
      <c r="W13" s="50">
        <f>+'[4]2'!K8/1000</f>
        <v>20.59</v>
      </c>
      <c r="X13" s="55"/>
      <c r="Y13" s="52"/>
      <c r="Z13" s="50"/>
      <c r="AA13" s="50"/>
      <c r="AB13" s="50"/>
      <c r="AC13" s="50">
        <f>K13-T13</f>
        <v>1.625432116000006</v>
      </c>
      <c r="AD13" s="50">
        <f t="shared" ref="AD13:AD15" si="6">+AM13+BA13</f>
        <v>12</v>
      </c>
      <c r="AE13" s="101" t="s">
        <v>133</v>
      </c>
      <c r="AF13" s="50"/>
      <c r="AG13" s="50">
        <v>12</v>
      </c>
      <c r="AH13" s="50"/>
      <c r="AI13" s="54"/>
      <c r="AJ13" s="50"/>
      <c r="AK13" s="50"/>
      <c r="AL13" s="50"/>
      <c r="AM13" s="50">
        <f t="shared" ref="AM13:AM15" si="7">SUM(AF13:AL13)+AT13</f>
        <v>12</v>
      </c>
      <c r="AN13" s="125"/>
      <c r="AO13" s="50"/>
      <c r="AP13" s="50"/>
      <c r="AQ13" s="50"/>
      <c r="AR13" s="50">
        <f t="shared" ref="AR13:AR15" si="8">SUM(AN13:AQ13)</f>
        <v>0</v>
      </c>
      <c r="AS13" s="50"/>
      <c r="AT13" s="50"/>
      <c r="AU13" s="50"/>
      <c r="AV13" s="50"/>
      <c r="AW13" s="50"/>
      <c r="AX13" s="50"/>
      <c r="AY13" s="50"/>
      <c r="AZ13" s="50"/>
      <c r="BA13" s="50">
        <f t="shared" ref="BA13:BA15" si="9">+AR13+AS13+AU13+AV13+AX13</f>
        <v>0</v>
      </c>
      <c r="BB13" s="126"/>
      <c r="BC13" s="116">
        <v>10</v>
      </c>
      <c r="BD13" s="116"/>
      <c r="BE13" s="126"/>
      <c r="BF13" s="116"/>
    </row>
    <row r="14" spans="1:58" ht="12.95" customHeight="1" x14ac:dyDescent="0.2">
      <c r="A14" s="117"/>
      <c r="B14" s="118"/>
      <c r="C14" s="119"/>
      <c r="D14" s="118"/>
      <c r="E14" s="37"/>
      <c r="F14" s="37"/>
      <c r="G14" s="127"/>
      <c r="H14" s="121"/>
      <c r="I14" s="45"/>
      <c r="J14" s="46"/>
      <c r="K14" s="46"/>
      <c r="L14" s="122"/>
      <c r="M14" s="122"/>
      <c r="N14" s="47"/>
      <c r="O14" s="48"/>
      <c r="P14" s="49"/>
      <c r="Q14" s="48"/>
      <c r="R14" s="123"/>
      <c r="S14" s="123"/>
      <c r="T14" s="50"/>
      <c r="U14" s="50"/>
      <c r="V14" s="50"/>
      <c r="W14" s="50"/>
      <c r="X14" s="55"/>
      <c r="Y14" s="52"/>
      <c r="Z14" s="50"/>
      <c r="AA14" s="50"/>
      <c r="AB14" s="50"/>
      <c r="AC14" s="50"/>
      <c r="AD14" s="50">
        <f t="shared" si="6"/>
        <v>23</v>
      </c>
      <c r="AE14" s="101" t="s">
        <v>128</v>
      </c>
      <c r="AF14" s="124"/>
      <c r="AG14" s="124"/>
      <c r="AH14" s="124">
        <v>23</v>
      </c>
      <c r="AJ14" s="50"/>
      <c r="AK14" s="50"/>
      <c r="AL14" s="50"/>
      <c r="AM14" s="50">
        <f t="shared" si="7"/>
        <v>23</v>
      </c>
      <c r="AN14" s="50"/>
      <c r="AO14" s="50"/>
      <c r="AP14" s="50"/>
      <c r="AQ14" s="50"/>
      <c r="AR14" s="50">
        <f t="shared" si="8"/>
        <v>0</v>
      </c>
      <c r="AS14" s="50"/>
      <c r="AT14" s="50"/>
      <c r="AU14" s="50"/>
      <c r="AV14" s="50"/>
      <c r="AW14" s="50"/>
      <c r="AX14" s="50"/>
      <c r="AY14" s="50"/>
      <c r="AZ14" s="50"/>
      <c r="BA14" s="50">
        <f t="shared" si="9"/>
        <v>0</v>
      </c>
      <c r="BB14" s="124"/>
      <c r="BC14" s="146"/>
      <c r="BD14" s="146"/>
      <c r="BE14" s="124"/>
      <c r="BF14" s="146"/>
    </row>
    <row r="15" spans="1:58" ht="12.95" customHeight="1" x14ac:dyDescent="0.2">
      <c r="A15" s="117"/>
      <c r="B15" s="118"/>
      <c r="C15" s="119"/>
      <c r="D15" s="118"/>
      <c r="E15" s="37"/>
      <c r="F15" s="37"/>
      <c r="G15" s="127"/>
      <c r="H15" s="121"/>
      <c r="I15" s="45"/>
      <c r="J15" s="46"/>
      <c r="K15" s="46"/>
      <c r="L15" s="122"/>
      <c r="M15" s="122"/>
      <c r="N15" s="47"/>
      <c r="O15" s="48"/>
      <c r="P15" s="49"/>
      <c r="Q15" s="56"/>
      <c r="R15" s="123"/>
      <c r="S15" s="123"/>
      <c r="T15" s="50"/>
      <c r="U15" s="50"/>
      <c r="V15" s="50"/>
      <c r="W15" s="50"/>
      <c r="X15" s="55"/>
      <c r="Y15" s="52"/>
      <c r="Z15" s="50"/>
      <c r="AA15" s="50"/>
      <c r="AB15" s="50"/>
      <c r="AC15" s="50"/>
      <c r="AD15" s="50">
        <f t="shared" si="6"/>
        <v>10</v>
      </c>
      <c r="AE15" s="148" t="s">
        <v>162</v>
      </c>
      <c r="AF15" s="50"/>
      <c r="AG15" s="50"/>
      <c r="AH15" s="50"/>
      <c r="AI15" s="54">
        <v>10</v>
      </c>
      <c r="AJ15" s="50"/>
      <c r="AK15" s="50"/>
      <c r="AL15" s="50"/>
      <c r="AM15" s="50">
        <f t="shared" si="7"/>
        <v>10</v>
      </c>
      <c r="AN15" s="50"/>
      <c r="AO15" s="50"/>
      <c r="AP15" s="50"/>
      <c r="AQ15" s="50"/>
      <c r="AR15" s="50">
        <f t="shared" si="8"/>
        <v>0</v>
      </c>
      <c r="AS15" s="50"/>
      <c r="AT15" s="50"/>
      <c r="AU15" s="50"/>
      <c r="AV15" s="50"/>
      <c r="AW15" s="50"/>
      <c r="AX15" s="50"/>
      <c r="AY15" s="50"/>
      <c r="AZ15" s="50"/>
      <c r="BA15" s="50">
        <f t="shared" si="9"/>
        <v>0</v>
      </c>
      <c r="BB15" s="126"/>
      <c r="BC15" s="116"/>
      <c r="BD15" s="116"/>
      <c r="BE15" s="126"/>
      <c r="BF15" s="116"/>
    </row>
    <row r="16" spans="1:58" ht="12.95" customHeight="1" x14ac:dyDescent="0.2">
      <c r="A16" s="117"/>
      <c r="B16" s="118"/>
      <c r="C16" s="119"/>
      <c r="D16" s="118"/>
      <c r="E16" s="37"/>
      <c r="F16" s="37"/>
      <c r="G16" s="120"/>
      <c r="H16" s="121"/>
      <c r="I16" s="45"/>
      <c r="J16" s="46"/>
      <c r="K16" s="46"/>
      <c r="L16" s="122"/>
      <c r="M16" s="122"/>
      <c r="N16" s="47"/>
      <c r="O16" s="48"/>
      <c r="P16" s="49"/>
      <c r="Q16" s="48"/>
      <c r="R16" s="123"/>
      <c r="S16" s="123"/>
      <c r="T16" s="50"/>
      <c r="U16" s="50"/>
      <c r="V16" s="50"/>
      <c r="W16" s="50"/>
      <c r="X16" s="51"/>
      <c r="Y16" s="52"/>
      <c r="Z16" s="50"/>
      <c r="AA16" s="53"/>
      <c r="AB16" s="53"/>
      <c r="AC16" s="50"/>
      <c r="AD16" s="50"/>
      <c r="AE16" s="148"/>
      <c r="AF16" s="50"/>
      <c r="AG16" s="50"/>
      <c r="AH16" s="50"/>
      <c r="AI16" s="54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124"/>
      <c r="BC16" s="116"/>
      <c r="BD16" s="116"/>
      <c r="BE16" s="124"/>
      <c r="BF16" s="116"/>
    </row>
    <row r="17" spans="1:58" ht="12.95" customHeight="1" x14ac:dyDescent="0.2">
      <c r="A17" s="117">
        <v>45964</v>
      </c>
      <c r="B17" s="118" t="s">
        <v>168</v>
      </c>
      <c r="C17" s="119">
        <f>(M17*E17*O17*Q17)/100000000</f>
        <v>51.64207910399999</v>
      </c>
      <c r="D17" s="118" t="s">
        <v>196</v>
      </c>
      <c r="E17" s="37">
        <v>14</v>
      </c>
      <c r="F17" s="37">
        <v>1</v>
      </c>
      <c r="G17" s="120">
        <v>1295</v>
      </c>
      <c r="H17" s="121">
        <f>+N17</f>
        <v>0.22999999999999998</v>
      </c>
      <c r="I17" s="45">
        <v>0.88</v>
      </c>
      <c r="J17" s="46">
        <f>E17*G17*(1-H17)*1440/1000000*2.74</f>
        <v>55.080970560000011</v>
      </c>
      <c r="K17" s="46">
        <f t="shared" ref="K17" si="10">(IF(G17&lt;L17,L17,G17)*(1-IF(H17&lt;N17,H17,N17))*E17*O17*Q17)/100000000</f>
        <v>54.667432511999998</v>
      </c>
      <c r="L17" s="122">
        <v>1223.3333333333333</v>
      </c>
      <c r="M17" s="122">
        <v>941.9666666666667</v>
      </c>
      <c r="N17" s="47">
        <f>1-(M17/L17)</f>
        <v>0.22999999999999998</v>
      </c>
      <c r="O17" s="48">
        <f>+'[4]Trim Rwd'!H10</f>
        <v>271.94285714285712</v>
      </c>
      <c r="P17" s="49">
        <f>O17*(Q17-R17-S17)</f>
        <v>375825.02857142856</v>
      </c>
      <c r="Q17" s="48">
        <v>1440</v>
      </c>
      <c r="R17" s="123">
        <v>0</v>
      </c>
      <c r="S17" s="123">
        <v>58</v>
      </c>
      <c r="T17" s="50">
        <f>E17*M17*O17*Q17/100000000</f>
        <v>51.64207910399999</v>
      </c>
      <c r="U17" s="50">
        <f>E17*M17*O17*(Q17-R17-S17)/100000000</f>
        <v>49.562050917866657</v>
      </c>
      <c r="V17" s="50">
        <f>E17*G17*(1-N17)*O17/100*(R17+S17)/1000000</f>
        <v>2.2018826983999999</v>
      </c>
      <c r="W17" s="50">
        <f>+'[4]3'!K8/1000</f>
        <v>48.119</v>
      </c>
      <c r="X17" s="51">
        <f>SUM(W17:W20)/SUM(K17:K20)</f>
        <v>0.88021327852624942</v>
      </c>
      <c r="Y17" s="52">
        <f>+SUM([4]RBP!AG8:AG9)</f>
        <v>0</v>
      </c>
      <c r="Z17" s="50">
        <v>0</v>
      </c>
      <c r="AA17" s="53">
        <f>SUM(U17:U20)-SUM(W17:W20)-SUM(Z17:Z20)-SUM(Y17:Y20)</f>
        <v>1.4430509178666568</v>
      </c>
      <c r="AB17" s="53">
        <f>(SUM(K17:K20)-SUM(W17:W20)-SUM(Y17:Y20)-SUM(Z17:Z20)-SUM(AC17:AC20)-SUM(V17:V20))-AA17</f>
        <v>-0.12185451226666677</v>
      </c>
      <c r="AC17" s="50">
        <f>K17-T17</f>
        <v>3.025353408000008</v>
      </c>
      <c r="AD17" s="50">
        <f>+AM17+BA17</f>
        <v>0</v>
      </c>
      <c r="AE17" s="101" t="s">
        <v>110</v>
      </c>
      <c r="AF17" s="50">
        <v>0</v>
      </c>
      <c r="AG17" s="50"/>
      <c r="AH17" s="50"/>
      <c r="AI17" s="54"/>
      <c r="AJ17" s="50"/>
      <c r="AK17" s="50"/>
      <c r="AL17" s="50"/>
      <c r="AM17" s="50">
        <f>SUM(AF17:AL17)+AT17</f>
        <v>0</v>
      </c>
      <c r="AN17" s="50"/>
      <c r="AO17" s="50"/>
      <c r="AP17" s="50"/>
      <c r="AQ17" s="50"/>
      <c r="AR17" s="50">
        <f>SUM(AN17:AQ17)</f>
        <v>0</v>
      </c>
      <c r="AS17" s="50"/>
      <c r="AT17" s="50"/>
      <c r="AU17" s="50"/>
      <c r="AV17" s="50"/>
      <c r="AW17" s="50"/>
      <c r="AX17" s="50"/>
      <c r="AY17" s="50"/>
      <c r="AZ17" s="50"/>
      <c r="BA17" s="50">
        <f>+AR17+AS17+AU17+AV17+AX17</f>
        <v>0</v>
      </c>
      <c r="BB17" s="124">
        <v>0</v>
      </c>
      <c r="BC17" s="116"/>
      <c r="BD17" s="116"/>
      <c r="BE17" s="124"/>
      <c r="BF17" s="116"/>
    </row>
    <row r="18" spans="1:58" ht="12.95" customHeight="1" x14ac:dyDescent="0.2">
      <c r="A18" s="117"/>
      <c r="B18" s="118"/>
      <c r="C18" s="119"/>
      <c r="D18" s="118"/>
      <c r="E18" s="37"/>
      <c r="F18" s="37"/>
      <c r="G18" s="120"/>
      <c r="H18" s="121"/>
      <c r="I18" s="45"/>
      <c r="J18" s="46"/>
      <c r="K18" s="46"/>
      <c r="L18" s="122"/>
      <c r="M18" s="122"/>
      <c r="N18" s="47"/>
      <c r="O18" s="48"/>
      <c r="P18" s="49"/>
      <c r="Q18" s="48"/>
      <c r="R18" s="123"/>
      <c r="S18" s="123"/>
      <c r="T18" s="50"/>
      <c r="U18" s="50"/>
      <c r="V18" s="50"/>
      <c r="W18" s="50"/>
      <c r="X18" s="55"/>
      <c r="Y18" s="52"/>
      <c r="Z18" s="50"/>
      <c r="AA18" s="50"/>
      <c r="AB18" s="50"/>
      <c r="AC18" s="50">
        <f>K18-T18</f>
        <v>0</v>
      </c>
      <c r="AD18" s="50">
        <f t="shared" ref="AD18:AD20" si="11">+AM18+BA18</f>
        <v>13</v>
      </c>
      <c r="AE18" s="101" t="s">
        <v>188</v>
      </c>
      <c r="AF18" s="50"/>
      <c r="AG18" s="50">
        <v>13</v>
      </c>
      <c r="AH18" s="50"/>
      <c r="AI18" s="54"/>
      <c r="AJ18" s="50"/>
      <c r="AK18" s="50"/>
      <c r="AL18" s="50"/>
      <c r="AM18" s="50">
        <f t="shared" ref="AM18:AM20" si="12">SUM(AF18:AL18)+AT18</f>
        <v>13</v>
      </c>
      <c r="AN18" s="125"/>
      <c r="AO18" s="50"/>
      <c r="AP18" s="50"/>
      <c r="AQ18" s="50"/>
      <c r="AR18" s="50">
        <f t="shared" ref="AR18:AR20" si="13">SUM(AN18:AQ18)</f>
        <v>0</v>
      </c>
      <c r="AS18" s="50"/>
      <c r="AT18" s="50"/>
      <c r="AU18" s="50"/>
      <c r="AV18" s="50"/>
      <c r="AW18" s="50"/>
      <c r="AX18" s="50"/>
      <c r="AY18" s="50"/>
      <c r="AZ18" s="50"/>
      <c r="BA18" s="50">
        <f t="shared" ref="BA18:BA20" si="14">+AR18+AS18+AU18+AV18+AX18</f>
        <v>0</v>
      </c>
      <c r="BB18" s="126"/>
      <c r="BC18" s="116">
        <v>14</v>
      </c>
      <c r="BD18" s="116"/>
      <c r="BE18" s="126"/>
      <c r="BF18" s="116"/>
    </row>
    <row r="19" spans="1:58" ht="12.95" customHeight="1" x14ac:dyDescent="0.2">
      <c r="A19" s="117"/>
      <c r="B19" s="118"/>
      <c r="C19" s="119"/>
      <c r="D19" s="118"/>
      <c r="E19" s="37"/>
      <c r="F19" s="37"/>
      <c r="G19" s="127"/>
      <c r="H19" s="121"/>
      <c r="I19" s="45"/>
      <c r="J19" s="46"/>
      <c r="K19" s="46"/>
      <c r="L19" s="122"/>
      <c r="M19" s="122"/>
      <c r="N19" s="47"/>
      <c r="O19" s="48"/>
      <c r="P19" s="49"/>
      <c r="Q19" s="48"/>
      <c r="R19" s="123"/>
      <c r="S19" s="123"/>
      <c r="T19" s="50"/>
      <c r="U19" s="50"/>
      <c r="V19" s="50"/>
      <c r="W19" s="50"/>
      <c r="X19" s="55"/>
      <c r="Y19" s="52"/>
      <c r="Z19" s="50"/>
      <c r="AA19" s="50"/>
      <c r="AB19" s="50"/>
      <c r="AC19" s="50"/>
      <c r="AD19" s="50">
        <f t="shared" si="11"/>
        <v>22</v>
      </c>
      <c r="AE19" s="101" t="s">
        <v>128</v>
      </c>
      <c r="AF19" s="124"/>
      <c r="AG19" s="124"/>
      <c r="AH19" s="124">
        <v>22</v>
      </c>
      <c r="AJ19" s="50"/>
      <c r="AK19" s="50"/>
      <c r="AL19" s="50"/>
      <c r="AM19" s="50">
        <f t="shared" si="12"/>
        <v>22</v>
      </c>
      <c r="AN19" s="50"/>
      <c r="AO19" s="50"/>
      <c r="AP19" s="50"/>
      <c r="AQ19" s="50"/>
      <c r="AR19" s="50">
        <f t="shared" si="13"/>
        <v>0</v>
      </c>
      <c r="AS19" s="50"/>
      <c r="AT19" s="50"/>
      <c r="AU19" s="50"/>
      <c r="AV19" s="50"/>
      <c r="AW19" s="50"/>
      <c r="AX19" s="50"/>
      <c r="AY19" s="50"/>
      <c r="AZ19" s="50"/>
      <c r="BA19" s="50">
        <f t="shared" si="14"/>
        <v>0</v>
      </c>
      <c r="BB19" s="124"/>
      <c r="BC19" s="146"/>
      <c r="BD19" s="146"/>
      <c r="BE19" s="124"/>
      <c r="BF19" s="146"/>
    </row>
    <row r="20" spans="1:58" ht="12.95" customHeight="1" x14ac:dyDescent="0.2">
      <c r="A20" s="117"/>
      <c r="B20" s="118"/>
      <c r="C20" s="119"/>
      <c r="D20" s="118"/>
      <c r="E20" s="37"/>
      <c r="F20" s="37"/>
      <c r="G20" s="127"/>
      <c r="H20" s="121"/>
      <c r="I20" s="45"/>
      <c r="J20" s="46"/>
      <c r="K20" s="46"/>
      <c r="L20" s="122"/>
      <c r="M20" s="122"/>
      <c r="N20" s="47"/>
      <c r="O20" s="48"/>
      <c r="P20" s="49"/>
      <c r="Q20" s="56"/>
      <c r="R20" s="123"/>
      <c r="S20" s="123"/>
      <c r="T20" s="50"/>
      <c r="U20" s="50"/>
      <c r="V20" s="50"/>
      <c r="W20" s="50"/>
      <c r="X20" s="55"/>
      <c r="Y20" s="52"/>
      <c r="Z20" s="50"/>
      <c r="AA20" s="50"/>
      <c r="AB20" s="50"/>
      <c r="AC20" s="50"/>
      <c r="AD20" s="50">
        <f t="shared" si="11"/>
        <v>23</v>
      </c>
      <c r="AE20" s="148" t="s">
        <v>162</v>
      </c>
      <c r="AF20" s="50"/>
      <c r="AG20" s="50"/>
      <c r="AH20" s="50"/>
      <c r="AI20" s="54">
        <v>23</v>
      </c>
      <c r="AJ20" s="50"/>
      <c r="AK20" s="50"/>
      <c r="AL20" s="50"/>
      <c r="AM20" s="50">
        <f t="shared" si="12"/>
        <v>23</v>
      </c>
      <c r="AN20" s="50"/>
      <c r="AO20" s="50"/>
      <c r="AP20" s="50"/>
      <c r="AQ20" s="50"/>
      <c r="AR20" s="50">
        <f t="shared" si="13"/>
        <v>0</v>
      </c>
      <c r="AS20" s="50"/>
      <c r="AT20" s="50"/>
      <c r="AU20" s="50"/>
      <c r="AV20" s="50"/>
      <c r="AW20" s="50"/>
      <c r="AX20" s="50"/>
      <c r="AY20" s="50"/>
      <c r="AZ20" s="50"/>
      <c r="BA20" s="50">
        <f t="shared" si="14"/>
        <v>0</v>
      </c>
      <c r="BB20" s="126"/>
      <c r="BC20" s="116"/>
      <c r="BD20" s="116"/>
      <c r="BE20" s="126"/>
      <c r="BF20" s="116"/>
    </row>
    <row r="21" spans="1:58" ht="12.95" customHeight="1" x14ac:dyDescent="0.2">
      <c r="A21" s="117"/>
      <c r="B21" s="118"/>
      <c r="C21" s="119"/>
      <c r="D21" s="118"/>
      <c r="E21" s="37"/>
      <c r="F21" s="37"/>
      <c r="G21" s="127"/>
      <c r="H21" s="121"/>
      <c r="I21" s="45"/>
      <c r="J21" s="46"/>
      <c r="K21" s="46"/>
      <c r="L21" s="122"/>
      <c r="M21" s="122"/>
      <c r="N21" s="47"/>
      <c r="O21" s="48"/>
      <c r="P21" s="49"/>
      <c r="Q21" s="56"/>
      <c r="R21" s="123"/>
      <c r="S21" s="123"/>
      <c r="T21" s="50"/>
      <c r="U21" s="50"/>
      <c r="V21" s="50"/>
      <c r="W21" s="50"/>
      <c r="X21" s="55"/>
      <c r="Y21" s="52"/>
      <c r="Z21" s="50"/>
      <c r="AA21" s="50"/>
      <c r="AB21" s="50"/>
      <c r="AC21" s="50"/>
      <c r="AD21" s="50"/>
      <c r="AE21" s="148"/>
      <c r="AF21" s="50"/>
      <c r="AG21" s="50"/>
      <c r="AH21" s="50"/>
      <c r="AI21" s="54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126"/>
      <c r="BC21" s="116"/>
      <c r="BD21" s="116"/>
      <c r="BE21" s="124"/>
      <c r="BF21" s="116"/>
    </row>
    <row r="22" spans="1:58" ht="12.95" customHeight="1" x14ac:dyDescent="0.2">
      <c r="A22" s="117">
        <v>45965</v>
      </c>
      <c r="B22" s="118" t="s">
        <v>168</v>
      </c>
      <c r="C22" s="119">
        <f>(M22*E22*O22*Q22)/100000000</f>
        <v>17.966486999999997</v>
      </c>
      <c r="D22" s="118" t="s">
        <v>196</v>
      </c>
      <c r="E22" s="37">
        <v>14</v>
      </c>
      <c r="F22" s="37">
        <v>1</v>
      </c>
      <c r="G22" s="120">
        <v>1295</v>
      </c>
      <c r="H22" s="121">
        <f>+N22</f>
        <v>0.23000000000000009</v>
      </c>
      <c r="I22" s="45">
        <v>0.88</v>
      </c>
      <c r="J22" s="46">
        <f>E22*G22*(1-H22)*1440/1000000*2.74</f>
        <v>55.08097055999999</v>
      </c>
      <c r="K22" s="46">
        <f t="shared" ref="K22:K23" si="15">(IF(G22&lt;L22,L22,G22)*(1-IF(H22&lt;N22,H22,N22))*E22*O22*Q22)/100000000</f>
        <v>18.915935499999996</v>
      </c>
      <c r="L22" s="122">
        <v>1230</v>
      </c>
      <c r="M22" s="122">
        <v>947.09999999999991</v>
      </c>
      <c r="N22" s="47">
        <f>1-(M22/L22)</f>
        <v>0.23000000000000009</v>
      </c>
      <c r="O22" s="48">
        <f>+'[4]Trim Rwd'!H13</f>
        <v>271</v>
      </c>
      <c r="P22" s="49">
        <f>O22*(Q22-R22-S22)</f>
        <v>129538</v>
      </c>
      <c r="Q22" s="48">
        <v>500</v>
      </c>
      <c r="R22" s="123">
        <v>0</v>
      </c>
      <c r="S22" s="123">
        <v>22</v>
      </c>
      <c r="T22" s="50">
        <f>E22*M22*O22*Q22/100000000</f>
        <v>17.966486999999997</v>
      </c>
      <c r="U22" s="50">
        <f>E22*M22*O22*(Q22-R22-S22)/100000000</f>
        <v>17.175961571999999</v>
      </c>
      <c r="V22" s="50">
        <f>E22*G22*(1-N22)*O22/100*(R22+S22)/1000000</f>
        <v>0.83230116200000004</v>
      </c>
      <c r="W22" s="50">
        <f>+'[4]4'!K8/1000</f>
        <v>22.055</v>
      </c>
      <c r="X22" s="51">
        <f>SUM(W22:W25)/SUM(K22:K25)</f>
        <v>0.92179422004169198</v>
      </c>
      <c r="Y22" s="52">
        <v>0</v>
      </c>
      <c r="Z22" s="50">
        <v>0</v>
      </c>
      <c r="AA22" s="53">
        <f>SUM(U22:U25)-SUM(W22:W25)-SUM(Z22:Z25)-SUM(Y22:Y25)</f>
        <v>0.49532842524467213</v>
      </c>
      <c r="AB22" s="53">
        <f>(SUM(K22:K25)-SUM(W22:W25)-SUM(Y22:Y25)-SUM(Z22:Z25)-SUM(AC22:AC25)-SUM(V22:V25))-AA22</f>
        <v>-6.947778287454387E-2</v>
      </c>
      <c r="AC22" s="50">
        <f>K22-T22</f>
        <v>0.94944849999999903</v>
      </c>
      <c r="AD22" s="50">
        <f>+AM22+BA22</f>
        <v>0</v>
      </c>
      <c r="AE22" s="101" t="s">
        <v>110</v>
      </c>
      <c r="AF22" s="50">
        <v>0</v>
      </c>
      <c r="AG22" s="50"/>
      <c r="AH22" s="50"/>
      <c r="AI22" s="54"/>
      <c r="AJ22" s="50"/>
      <c r="AK22" s="50"/>
      <c r="AL22" s="50"/>
      <c r="AM22" s="50">
        <f>SUM(AF22:AL22)+AT22</f>
        <v>0</v>
      </c>
      <c r="AN22" s="50"/>
      <c r="AO22" s="50"/>
      <c r="AP22" s="50"/>
      <c r="AQ22" s="50"/>
      <c r="AR22" s="50">
        <f>SUM(AN22:AQ22)</f>
        <v>0</v>
      </c>
      <c r="AS22" s="50"/>
      <c r="AT22" s="50"/>
      <c r="AU22" s="50"/>
      <c r="AV22" s="50"/>
      <c r="AW22" s="50"/>
      <c r="AX22" s="50"/>
      <c r="AY22" s="50"/>
      <c r="AZ22" s="50"/>
      <c r="BA22" s="50">
        <f>+AR22+AS22+AU22+AV22+AX22</f>
        <v>0</v>
      </c>
      <c r="BB22" s="124">
        <v>0</v>
      </c>
      <c r="BC22" s="116"/>
      <c r="BD22" s="116"/>
      <c r="BE22" s="124"/>
      <c r="BF22" s="116"/>
    </row>
    <row r="23" spans="1:58" ht="12.95" customHeight="1" x14ac:dyDescent="0.2">
      <c r="A23" s="117"/>
      <c r="B23" s="118" t="s">
        <v>168</v>
      </c>
      <c r="C23" s="119">
        <f>(M23*E23*O23*Q23)/100000000</f>
        <v>35.189618609999997</v>
      </c>
      <c r="D23" s="118" t="s">
        <v>196</v>
      </c>
      <c r="E23" s="37">
        <v>15</v>
      </c>
      <c r="F23" s="37">
        <v>1</v>
      </c>
      <c r="G23" s="120">
        <v>1200</v>
      </c>
      <c r="H23" s="121">
        <f>+N23</f>
        <v>0.22491379583486093</v>
      </c>
      <c r="I23" s="45">
        <v>0.88</v>
      </c>
      <c r="J23" s="46">
        <f>E23*G23*(1-H23)*1440/1000000*2.74</f>
        <v>55.047242288771514</v>
      </c>
      <c r="K23" s="46">
        <f t="shared" si="15"/>
        <v>35.933616494059173</v>
      </c>
      <c r="L23" s="122">
        <v>1175.1542553191489</v>
      </c>
      <c r="M23" s="122">
        <v>910.84585106382974</v>
      </c>
      <c r="N23" s="47">
        <f>1-(M23/L23)</f>
        <v>0.22491379583486093</v>
      </c>
      <c r="O23" s="48">
        <f>+'[4]Trim Rwd'!H14</f>
        <v>274</v>
      </c>
      <c r="P23" s="49">
        <f>O23*(Q23-R23-S23)</f>
        <v>247970</v>
      </c>
      <c r="Q23" s="48">
        <v>940</v>
      </c>
      <c r="R23" s="123">
        <v>0</v>
      </c>
      <c r="S23" s="123">
        <v>35</v>
      </c>
      <c r="T23" s="50">
        <f>E23*M23*O23*Q23/100000000</f>
        <v>35.189618609999997</v>
      </c>
      <c r="U23" s="50">
        <f>E23*M23*O23*(Q23-R23-S23)/100000000</f>
        <v>33.879366853244676</v>
      </c>
      <c r="V23" s="50">
        <f>E23*G23*(1-N23)*O23/100*(R23+S23)/1000000</f>
        <v>1.337953805629863</v>
      </c>
      <c r="W23" s="50">
        <f>+'[4]4'!K9/1000</f>
        <v>28.504999999999999</v>
      </c>
      <c r="X23" s="55"/>
      <c r="Y23" s="52"/>
      <c r="Z23" s="50"/>
      <c r="AA23" s="50"/>
      <c r="AB23" s="50"/>
      <c r="AC23" s="50">
        <f>K23-T23</f>
        <v>0.74399788405917633</v>
      </c>
      <c r="AD23" s="50">
        <f t="shared" ref="AD23:AD25" si="16">+AM23+BA23</f>
        <v>12</v>
      </c>
      <c r="AE23" s="101" t="s">
        <v>191</v>
      </c>
      <c r="AF23" s="50"/>
      <c r="AG23" s="50">
        <v>12</v>
      </c>
      <c r="AH23" s="50"/>
      <c r="AI23" s="54"/>
      <c r="AJ23" s="50"/>
      <c r="AK23" s="50"/>
      <c r="AL23" s="50"/>
      <c r="AM23" s="50">
        <f t="shared" ref="AM23:AM25" si="17">SUM(AF23:AL23)+AT23</f>
        <v>12</v>
      </c>
      <c r="AN23" s="125"/>
      <c r="AO23" s="50"/>
      <c r="AP23" s="50"/>
      <c r="AQ23" s="50"/>
      <c r="AR23" s="50">
        <f t="shared" ref="AR23:AR25" si="18">SUM(AN23:AQ23)</f>
        <v>0</v>
      </c>
      <c r="AS23" s="50"/>
      <c r="AT23" s="50"/>
      <c r="AU23" s="50"/>
      <c r="AV23" s="50"/>
      <c r="AW23" s="50"/>
      <c r="AX23" s="50"/>
      <c r="AY23" s="50"/>
      <c r="AZ23" s="50"/>
      <c r="BA23" s="50">
        <f t="shared" ref="BA23:BA25" si="19">+AR23+AS23+AU23+AV23+AX23</f>
        <v>0</v>
      </c>
      <c r="BB23" s="126"/>
      <c r="BC23" s="116">
        <v>15</v>
      </c>
      <c r="BD23" s="116"/>
      <c r="BE23" s="126"/>
      <c r="BF23" s="116"/>
    </row>
    <row r="24" spans="1:58" ht="12.95" customHeight="1" x14ac:dyDescent="0.2">
      <c r="A24" s="117"/>
      <c r="B24" s="118"/>
      <c r="C24" s="119"/>
      <c r="D24" s="118"/>
      <c r="E24" s="37"/>
      <c r="F24" s="37"/>
      <c r="G24" s="127"/>
      <c r="H24" s="121"/>
      <c r="I24" s="45"/>
      <c r="J24" s="46"/>
      <c r="K24" s="46"/>
      <c r="L24" s="122"/>
      <c r="M24" s="122"/>
      <c r="N24" s="47"/>
      <c r="O24" s="48"/>
      <c r="P24" s="49"/>
      <c r="Q24" s="48"/>
      <c r="R24" s="123"/>
      <c r="S24" s="123"/>
      <c r="T24" s="50"/>
      <c r="U24" s="50"/>
      <c r="V24" s="50"/>
      <c r="W24" s="50"/>
      <c r="X24" s="55"/>
      <c r="Y24" s="52"/>
      <c r="Z24" s="50"/>
      <c r="AA24" s="50"/>
      <c r="AB24" s="50"/>
      <c r="AC24" s="50"/>
      <c r="AD24" s="50">
        <f t="shared" si="16"/>
        <v>22</v>
      </c>
      <c r="AE24" s="101" t="s">
        <v>120</v>
      </c>
      <c r="AF24" s="124"/>
      <c r="AG24" s="124"/>
      <c r="AH24" s="124">
        <v>22</v>
      </c>
      <c r="AJ24" s="50"/>
      <c r="AK24" s="50"/>
      <c r="AL24" s="50"/>
      <c r="AM24" s="50">
        <f t="shared" si="17"/>
        <v>22</v>
      </c>
      <c r="AN24" s="50"/>
      <c r="AO24" s="50"/>
      <c r="AP24" s="50"/>
      <c r="AQ24" s="50"/>
      <c r="AR24" s="50">
        <f t="shared" si="18"/>
        <v>0</v>
      </c>
      <c r="AS24" s="50"/>
      <c r="AT24" s="50"/>
      <c r="AU24" s="50"/>
      <c r="AV24" s="50"/>
      <c r="AW24" s="50"/>
      <c r="AX24" s="50"/>
      <c r="AY24" s="50"/>
      <c r="AZ24" s="50"/>
      <c r="BA24" s="50">
        <f t="shared" si="19"/>
        <v>0</v>
      </c>
      <c r="BB24" s="124"/>
      <c r="BC24" s="146"/>
      <c r="BD24" s="146"/>
      <c r="BE24" s="124"/>
      <c r="BF24" s="146"/>
    </row>
    <row r="25" spans="1:58" ht="12.95" customHeight="1" x14ac:dyDescent="0.2">
      <c r="A25" s="117"/>
      <c r="B25" s="118"/>
      <c r="C25" s="119"/>
      <c r="D25" s="118"/>
      <c r="E25" s="37"/>
      <c r="F25" s="37"/>
      <c r="G25" s="127"/>
      <c r="H25" s="121"/>
      <c r="I25" s="45"/>
      <c r="J25" s="46"/>
      <c r="K25" s="46"/>
      <c r="L25" s="122"/>
      <c r="M25" s="122"/>
      <c r="N25" s="47"/>
      <c r="O25" s="48"/>
      <c r="P25" s="49"/>
      <c r="Q25" s="56"/>
      <c r="R25" s="123"/>
      <c r="S25" s="123"/>
      <c r="T25" s="50"/>
      <c r="U25" s="50"/>
      <c r="V25" s="50"/>
      <c r="W25" s="50"/>
      <c r="X25" s="55"/>
      <c r="Y25" s="52"/>
      <c r="Z25" s="50"/>
      <c r="AA25" s="50"/>
      <c r="AB25" s="50"/>
      <c r="AC25" s="50"/>
      <c r="AD25" s="50">
        <f t="shared" si="16"/>
        <v>23</v>
      </c>
      <c r="AE25" s="148" t="s">
        <v>162</v>
      </c>
      <c r="AF25" s="50"/>
      <c r="AG25" s="50"/>
      <c r="AH25" s="50"/>
      <c r="AI25" s="54">
        <v>23</v>
      </c>
      <c r="AJ25" s="50"/>
      <c r="AK25" s="50"/>
      <c r="AL25" s="50"/>
      <c r="AM25" s="50">
        <f t="shared" si="17"/>
        <v>23</v>
      </c>
      <c r="AN25" s="50"/>
      <c r="AO25" s="50"/>
      <c r="AP25" s="50"/>
      <c r="AQ25" s="50"/>
      <c r="AR25" s="50">
        <f t="shared" si="18"/>
        <v>0</v>
      </c>
      <c r="AS25" s="50"/>
      <c r="AT25" s="50"/>
      <c r="AU25" s="50"/>
      <c r="AV25" s="50"/>
      <c r="AW25" s="50"/>
      <c r="AX25" s="50"/>
      <c r="AY25" s="50"/>
      <c r="AZ25" s="50"/>
      <c r="BA25" s="50">
        <f t="shared" si="19"/>
        <v>0</v>
      </c>
      <c r="BB25" s="126"/>
      <c r="BC25" s="116"/>
      <c r="BD25" s="116"/>
      <c r="BE25" s="126"/>
      <c r="BF25" s="116"/>
    </row>
    <row r="26" spans="1:58" ht="12.95" customHeight="1" x14ac:dyDescent="0.2">
      <c r="A26" s="117"/>
      <c r="B26" s="118"/>
      <c r="C26" s="119"/>
      <c r="D26" s="118"/>
      <c r="E26" s="37"/>
      <c r="F26" s="37"/>
      <c r="G26" s="127"/>
      <c r="H26" s="203"/>
      <c r="I26" s="45"/>
      <c r="J26" s="46"/>
      <c r="K26" s="46"/>
      <c r="L26" s="206"/>
      <c r="M26" s="206"/>
      <c r="N26" s="47"/>
      <c r="O26" s="48"/>
      <c r="P26" s="49"/>
      <c r="Q26" s="48"/>
      <c r="R26" s="123"/>
      <c r="S26" s="123"/>
      <c r="T26" s="50"/>
      <c r="U26" s="50"/>
      <c r="V26" s="50"/>
      <c r="W26" s="50"/>
      <c r="X26" s="55"/>
      <c r="Y26" s="52"/>
      <c r="Z26" s="50"/>
      <c r="AA26" s="50"/>
      <c r="AB26" s="50"/>
      <c r="AC26" s="50"/>
      <c r="AD26" s="50"/>
      <c r="AE26" s="101"/>
      <c r="AF26" s="124"/>
      <c r="AG26" s="124"/>
      <c r="AH26" s="124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124"/>
      <c r="BC26" s="146"/>
      <c r="BD26" s="116"/>
      <c r="BE26" s="124"/>
      <c r="BF26" s="116"/>
    </row>
    <row r="27" spans="1:58" ht="12.95" customHeight="1" x14ac:dyDescent="0.2">
      <c r="A27" s="117">
        <v>45966</v>
      </c>
      <c r="B27" s="118" t="s">
        <v>168</v>
      </c>
      <c r="C27" s="119">
        <f>(M27*E27*O27*Q27)/100000000</f>
        <v>0.6721822799999998</v>
      </c>
      <c r="D27" s="118" t="s">
        <v>196</v>
      </c>
      <c r="E27" s="37">
        <v>15</v>
      </c>
      <c r="F27" s="37">
        <v>1</v>
      </c>
      <c r="G27" s="120">
        <v>1210</v>
      </c>
      <c r="H27" s="203">
        <f>+N27</f>
        <v>0.23000000000000009</v>
      </c>
      <c r="I27" s="45">
        <v>0.88</v>
      </c>
      <c r="J27" s="46">
        <f>E27*G27*(1-H27)*1440/1000000*2.74</f>
        <v>55.141732799999993</v>
      </c>
      <c r="K27" s="46">
        <f t="shared" ref="K27:K30" si="20">(IF(G27&lt;L27,L27,G27)*(1-IF(H27&lt;N27,H27,N27))*E27*O27*Q27)/100000000</f>
        <v>0.68927165999999984</v>
      </c>
      <c r="L27" s="206">
        <v>1180</v>
      </c>
      <c r="M27" s="206">
        <v>908.59999999999991</v>
      </c>
      <c r="N27" s="47">
        <f>1-(M27/L27)</f>
        <v>0.23000000000000009</v>
      </c>
      <c r="O27" s="48">
        <f>+'[4]Trim Rwd'!H16</f>
        <v>274</v>
      </c>
      <c r="P27" s="49">
        <f>O27*(Q27-R27-S27)</f>
        <v>4110</v>
      </c>
      <c r="Q27" s="48">
        <v>18</v>
      </c>
      <c r="R27" s="123">
        <v>0</v>
      </c>
      <c r="S27" s="123">
        <v>3</v>
      </c>
      <c r="T27" s="50">
        <f>E27*M27*O27*Q27/100000000</f>
        <v>0.6721822799999998</v>
      </c>
      <c r="U27" s="50">
        <f>E27*M27*O27*(Q27-R27-S27)/100000000</f>
        <v>0.56015189999999992</v>
      </c>
      <c r="V27" s="50">
        <f>E27*G27*(1-N27)*O27/100*(R27+S27)/1000000</f>
        <v>0.11487860999999999</v>
      </c>
      <c r="W27" s="50">
        <f>+'[4]5'!K9/1000</f>
        <v>5.7329999999999997</v>
      </c>
      <c r="X27" s="51">
        <f>SUM(W27:W30)/SUM(K27:K30)</f>
        <v>0.54867609079830204</v>
      </c>
      <c r="Y27" s="52">
        <v>0</v>
      </c>
      <c r="Z27" s="50">
        <v>0</v>
      </c>
      <c r="AA27" s="53">
        <f>SUM(U27:U30)-SUM(W27:W30)-SUM(Z27:Z30)-SUM(Y27:Y30)</f>
        <v>-1.9218617832841924</v>
      </c>
      <c r="AB27" s="53">
        <f>(SUM(K27:K30)-SUM(W27:W30)-SUM(Y27:Y30)-SUM(Z27:Z30)-SUM(AC27:AC30)-SUM(V27:V30))-AA27</f>
        <v>-1.8712633305091271</v>
      </c>
      <c r="AC27" s="50">
        <f>K27-T27</f>
        <v>1.7089380000000043E-2</v>
      </c>
      <c r="AD27" s="50">
        <f>+AM27+BA27</f>
        <v>0</v>
      </c>
      <c r="AE27" s="101" t="s">
        <v>110</v>
      </c>
      <c r="AF27" s="50">
        <v>0</v>
      </c>
      <c r="AG27" s="50"/>
      <c r="AH27" s="50"/>
      <c r="AI27" s="54"/>
      <c r="AJ27" s="50"/>
      <c r="AK27" s="50"/>
      <c r="AL27" s="50"/>
      <c r="AM27" s="50">
        <f>SUM(AF27:AL27)+AT27</f>
        <v>0</v>
      </c>
      <c r="AN27" s="50"/>
      <c r="AO27" s="50"/>
      <c r="AP27" s="50"/>
      <c r="AQ27" s="50"/>
      <c r="AR27" s="50">
        <f>SUM(AN27:AQ27)</f>
        <v>0</v>
      </c>
      <c r="AS27" s="50"/>
      <c r="AT27" s="50"/>
      <c r="AU27" s="50"/>
      <c r="AV27" s="50"/>
      <c r="AW27" s="50"/>
      <c r="AX27" s="50"/>
      <c r="AY27" s="50"/>
      <c r="AZ27" s="50"/>
      <c r="BA27" s="50">
        <f>+AR27+AS27+AU27+AV27+AX27</f>
        <v>0</v>
      </c>
      <c r="BB27" s="124">
        <v>0</v>
      </c>
      <c r="BC27" s="116"/>
      <c r="BD27" s="116"/>
      <c r="BE27" s="124"/>
      <c r="BF27" s="116"/>
    </row>
    <row r="28" spans="1:58" ht="12.95" customHeight="1" x14ac:dyDescent="0.2">
      <c r="A28" s="117"/>
      <c r="B28" s="118" t="s">
        <v>168</v>
      </c>
      <c r="C28" s="119">
        <f>(M28*E28*O28*Q28)/100000000</f>
        <v>15.724793007000001</v>
      </c>
      <c r="D28" s="118" t="s">
        <v>196</v>
      </c>
      <c r="E28" s="37">
        <v>13.5</v>
      </c>
      <c r="F28" s="37">
        <v>1</v>
      </c>
      <c r="G28" s="120">
        <v>1345</v>
      </c>
      <c r="H28" s="203">
        <f>+N28</f>
        <v>0.22999999999999998</v>
      </c>
      <c r="I28" s="45">
        <v>0.88</v>
      </c>
      <c r="J28" s="46">
        <f>E28*G28*(1-H28)*1440/1000000*2.74</f>
        <v>55.164518640000004</v>
      </c>
      <c r="K28" s="46">
        <f t="shared" si="20"/>
        <v>17.698616397000002</v>
      </c>
      <c r="L28" s="206">
        <v>1195</v>
      </c>
      <c r="M28" s="206">
        <v>920.15</v>
      </c>
      <c r="N28" s="47">
        <f>1-(M28/L28)</f>
        <v>0.22999999999999998</v>
      </c>
      <c r="O28" s="48">
        <f>+'[4]Trim Rwd'!H17</f>
        <v>274</v>
      </c>
      <c r="P28" s="49">
        <f>O28*(Q28-R28-S28)</f>
        <v>9042</v>
      </c>
      <c r="Q28" s="48">
        <f>47+415</f>
        <v>462</v>
      </c>
      <c r="R28" s="123">
        <v>415</v>
      </c>
      <c r="S28" s="123">
        <v>14</v>
      </c>
      <c r="T28" s="50">
        <f>E28*M28*O28*Q28/100000000</f>
        <v>15.724793007000001</v>
      </c>
      <c r="U28" s="50">
        <f>E28*M28*O28*(Q28-R28-S28)/100000000</f>
        <v>1.1231995004999999</v>
      </c>
      <c r="V28" s="50">
        <f>E28*G28*(1-N28)*O28/100*(R28+S28)/1000000</f>
        <v>16.434429511499999</v>
      </c>
      <c r="W28" s="50">
        <f>+'[4]5'!K7/1000</f>
        <v>1.254</v>
      </c>
      <c r="X28" s="55"/>
      <c r="Y28" s="52"/>
      <c r="Z28" s="50"/>
      <c r="AA28" s="50"/>
      <c r="AB28" s="50"/>
      <c r="AC28" s="50">
        <f>K28-T28</f>
        <v>1.9738233900000015</v>
      </c>
      <c r="AD28" s="50">
        <f t="shared" ref="AD28:AD31" si="21">+AM28+BA28</f>
        <v>7</v>
      </c>
      <c r="AE28" s="101" t="s">
        <v>163</v>
      </c>
      <c r="AF28" s="50"/>
      <c r="AG28" s="50">
        <v>7</v>
      </c>
      <c r="AH28" s="50"/>
      <c r="AI28" s="54"/>
      <c r="AJ28" s="50"/>
      <c r="AK28" s="50"/>
      <c r="AL28" s="50"/>
      <c r="AM28" s="50">
        <f t="shared" ref="AM28:AM31" si="22">SUM(AF28:AL28)+AT28</f>
        <v>7</v>
      </c>
      <c r="AN28" s="125"/>
      <c r="AO28" s="50"/>
      <c r="AP28" s="50"/>
      <c r="AQ28" s="50"/>
      <c r="AR28" s="50">
        <f t="shared" ref="AR28:AR31" si="23">SUM(AN28:AQ28)</f>
        <v>0</v>
      </c>
      <c r="AS28" s="50"/>
      <c r="AT28" s="50"/>
      <c r="AU28" s="50"/>
      <c r="AV28" s="50"/>
      <c r="AW28" s="50"/>
      <c r="AX28" s="50"/>
      <c r="AY28" s="50"/>
      <c r="AZ28" s="50"/>
      <c r="BA28" s="50">
        <f t="shared" ref="BA28:BA31" si="24">+AR28+AS28+AU28+AV28+AX28</f>
        <v>0</v>
      </c>
      <c r="BB28" s="126"/>
      <c r="BC28" s="116">
        <v>6</v>
      </c>
      <c r="BD28" s="116"/>
      <c r="BE28" s="126"/>
      <c r="BF28" s="116"/>
    </row>
    <row r="29" spans="1:58" ht="12.95" customHeight="1" x14ac:dyDescent="0.2">
      <c r="A29" s="117"/>
      <c r="B29" s="118" t="s">
        <v>121</v>
      </c>
      <c r="C29" s="119">
        <f t="shared" ref="C29:C30" si="25">(M29*E29*O29*Q29)/100000000</f>
        <v>30.237392618206687</v>
      </c>
      <c r="D29" s="118" t="s">
        <v>196</v>
      </c>
      <c r="E29" s="37">
        <v>29</v>
      </c>
      <c r="F29" s="37">
        <v>1</v>
      </c>
      <c r="G29" s="120">
        <v>565</v>
      </c>
      <c r="H29" s="203">
        <f>+N29</f>
        <v>0.15000000000000002</v>
      </c>
      <c r="I29" s="45">
        <v>0.88</v>
      </c>
      <c r="J29" s="46">
        <f t="shared" ref="J29:J30" si="26">E29*G29*(1-H29)*1440/1000000*2.74</f>
        <v>54.951357600000009</v>
      </c>
      <c r="K29" s="46">
        <f t="shared" si="20"/>
        <v>30.436333605000002</v>
      </c>
      <c r="L29" s="206">
        <v>561.306990881459</v>
      </c>
      <c r="M29" s="206">
        <v>477.11094224924011</v>
      </c>
      <c r="N29" s="47">
        <f t="shared" ref="N29:N30" si="27">1-(M29/L29)</f>
        <v>0.15000000000000002</v>
      </c>
      <c r="O29" s="48">
        <f>+'[4]Trim Rwd'!H18</f>
        <v>256.5</v>
      </c>
      <c r="P29" s="49">
        <f t="shared" ref="P29:P30" si="28">O29*(Q29-R29-S29)</f>
        <v>163647</v>
      </c>
      <c r="Q29" s="48">
        <f>658+194</f>
        <v>852</v>
      </c>
      <c r="R29" s="123">
        <v>194</v>
      </c>
      <c r="S29" s="123">
        <v>20</v>
      </c>
      <c r="T29" s="50">
        <f t="shared" ref="T29:T30" si="29">E29*M29*O29*Q29/100000000</f>
        <v>30.237392618206687</v>
      </c>
      <c r="U29" s="50">
        <f t="shared" ref="U29:U30" si="30">E29*M29*O29*(Q29-R29-S29)/100000000</f>
        <v>22.642554566215807</v>
      </c>
      <c r="V29" s="50">
        <f t="shared" ref="V29:V30" si="31">E29*G29*(1-N29)*O29/100*(R29+S29)/1000000</f>
        <v>7.6448067974999994</v>
      </c>
      <c r="W29" s="50">
        <f>+'[4]5'!K10/1000</f>
        <v>21.998000000000001</v>
      </c>
      <c r="X29" s="55"/>
      <c r="Y29" s="52"/>
      <c r="Z29" s="50">
        <f>+'[4]5'!D25/1000</f>
        <v>0.85799999999999998</v>
      </c>
      <c r="AA29" s="50"/>
      <c r="AB29" s="50"/>
      <c r="AC29" s="50">
        <f>K29-T29</f>
        <v>0.19894098679331407</v>
      </c>
      <c r="AD29" s="50">
        <f t="shared" si="21"/>
        <v>18</v>
      </c>
      <c r="AE29" s="101" t="s">
        <v>216</v>
      </c>
      <c r="AF29" s="124"/>
      <c r="AG29" s="124"/>
      <c r="AH29" s="124">
        <v>18</v>
      </c>
      <c r="AJ29" s="50"/>
      <c r="AK29" s="50"/>
      <c r="AL29" s="50"/>
      <c r="AM29" s="50">
        <f t="shared" si="22"/>
        <v>18</v>
      </c>
      <c r="AN29" s="50"/>
      <c r="AO29" s="50"/>
      <c r="AP29" s="50"/>
      <c r="AQ29" s="50"/>
      <c r="AR29" s="50">
        <f t="shared" si="23"/>
        <v>0</v>
      </c>
      <c r="AS29" s="50"/>
      <c r="AT29" s="50"/>
      <c r="AU29" s="50"/>
      <c r="AV29" s="50"/>
      <c r="AW29" s="50"/>
      <c r="AX29" s="50"/>
      <c r="AY29" s="50"/>
      <c r="AZ29" s="50"/>
      <c r="BA29" s="50">
        <f t="shared" si="24"/>
        <v>0</v>
      </c>
      <c r="BB29" s="124"/>
      <c r="BC29" s="146"/>
      <c r="BD29" s="146"/>
      <c r="BE29" s="124"/>
      <c r="BF29" s="146"/>
    </row>
    <row r="30" spans="1:58" ht="12.95" customHeight="1" x14ac:dyDescent="0.2">
      <c r="A30" s="117"/>
      <c r="B30" s="118" t="s">
        <v>121</v>
      </c>
      <c r="C30" s="119">
        <f t="shared" si="25"/>
        <v>4.0029389999999996</v>
      </c>
      <c r="D30" s="118" t="s">
        <v>196</v>
      </c>
      <c r="E30" s="37">
        <v>20</v>
      </c>
      <c r="F30" s="37">
        <v>1</v>
      </c>
      <c r="G30" s="120">
        <v>820</v>
      </c>
      <c r="H30" s="203">
        <f t="shared" ref="H30" si="32">+N30</f>
        <v>0.15000000000000002</v>
      </c>
      <c r="I30" s="45">
        <v>0.88</v>
      </c>
      <c r="J30" s="46">
        <f t="shared" si="26"/>
        <v>55.001663999999998</v>
      </c>
      <c r="K30" s="46">
        <f t="shared" si="20"/>
        <v>4.0029389999999996</v>
      </c>
      <c r="L30" s="206">
        <v>850</v>
      </c>
      <c r="M30" s="206">
        <v>722.5</v>
      </c>
      <c r="N30" s="47">
        <f t="shared" si="27"/>
        <v>0.15000000000000002</v>
      </c>
      <c r="O30" s="48">
        <f>+'[4]Trim Rwd'!H19</f>
        <v>256.5</v>
      </c>
      <c r="P30" s="49">
        <f t="shared" si="28"/>
        <v>24880.5</v>
      </c>
      <c r="Q30" s="48">
        <v>108</v>
      </c>
      <c r="R30" s="123">
        <v>0</v>
      </c>
      <c r="S30" s="123">
        <f>48-S27-S28-S29</f>
        <v>11</v>
      </c>
      <c r="T30" s="50">
        <f t="shared" si="29"/>
        <v>4.0029389999999996</v>
      </c>
      <c r="U30" s="50">
        <f t="shared" si="30"/>
        <v>3.59523225</v>
      </c>
      <c r="V30" s="50">
        <f t="shared" si="31"/>
        <v>0.39331709999999998</v>
      </c>
      <c r="W30" s="50">
        <f>+'[4]4'!K16/1000</f>
        <v>0</v>
      </c>
      <c r="X30" s="55"/>
      <c r="Y30" s="52"/>
      <c r="Z30" s="50"/>
      <c r="AA30" s="50"/>
      <c r="AB30" s="50"/>
      <c r="AC30" s="50">
        <f>K30-T30</f>
        <v>0</v>
      </c>
      <c r="AD30" s="50">
        <f t="shared" si="21"/>
        <v>23</v>
      </c>
      <c r="AE30" s="148" t="s">
        <v>162</v>
      </c>
      <c r="AF30" s="50"/>
      <c r="AG30" s="50"/>
      <c r="AH30" s="50"/>
      <c r="AI30" s="54">
        <v>23</v>
      </c>
      <c r="AJ30" s="50"/>
      <c r="AK30" s="50"/>
      <c r="AL30" s="50"/>
      <c r="AM30" s="50">
        <f t="shared" si="22"/>
        <v>23</v>
      </c>
      <c r="AN30" s="50"/>
      <c r="AO30" s="50"/>
      <c r="AP30" s="50"/>
      <c r="AQ30" s="50"/>
      <c r="AR30" s="50">
        <f t="shared" si="23"/>
        <v>0</v>
      </c>
      <c r="AS30" s="50"/>
      <c r="AT30" s="50"/>
      <c r="AU30" s="50"/>
      <c r="AV30" s="50"/>
      <c r="AW30" s="50"/>
      <c r="AX30" s="50"/>
      <c r="AY30" s="50"/>
      <c r="AZ30" s="50"/>
      <c r="BA30" s="50">
        <f t="shared" si="24"/>
        <v>0</v>
      </c>
      <c r="BB30" s="126"/>
      <c r="BC30" s="116"/>
      <c r="BD30" s="116"/>
      <c r="BE30" s="126"/>
      <c r="BF30" s="116"/>
    </row>
    <row r="31" spans="1:58" ht="12.95" customHeight="1" x14ac:dyDescent="0.2">
      <c r="A31" s="117"/>
      <c r="B31" s="118"/>
      <c r="C31" s="119"/>
      <c r="D31" s="118"/>
      <c r="E31" s="37"/>
      <c r="F31" s="37"/>
      <c r="G31" s="120"/>
      <c r="H31" s="203"/>
      <c r="I31" s="45"/>
      <c r="J31" s="46"/>
      <c r="K31" s="46"/>
      <c r="L31" s="206"/>
      <c r="M31" s="206"/>
      <c r="N31" s="47"/>
      <c r="O31" s="48"/>
      <c r="P31" s="49"/>
      <c r="Q31" s="48"/>
      <c r="R31" s="123"/>
      <c r="S31" s="123"/>
      <c r="T31" s="50"/>
      <c r="U31" s="50"/>
      <c r="V31" s="50"/>
      <c r="W31" s="50"/>
      <c r="X31" s="51"/>
      <c r="Y31" s="52"/>
      <c r="Z31" s="50"/>
      <c r="AA31" s="53"/>
      <c r="AB31" s="53"/>
      <c r="AC31" s="50"/>
      <c r="AD31" s="50">
        <f t="shared" si="21"/>
        <v>609</v>
      </c>
      <c r="AE31" s="148" t="s">
        <v>258</v>
      </c>
      <c r="AF31" s="50"/>
      <c r="AG31" s="50"/>
      <c r="AH31" s="50"/>
      <c r="AI31" s="54"/>
      <c r="AJ31" s="50"/>
      <c r="AK31" s="50"/>
      <c r="AL31" s="50"/>
      <c r="AM31" s="50">
        <f t="shared" si="22"/>
        <v>0</v>
      </c>
      <c r="AN31" s="50"/>
      <c r="AO31" s="50"/>
      <c r="AP31" s="50"/>
      <c r="AQ31" s="50"/>
      <c r="AR31" s="50">
        <f t="shared" si="23"/>
        <v>0</v>
      </c>
      <c r="AS31" s="50">
        <v>609</v>
      </c>
      <c r="AT31" s="50"/>
      <c r="AU31" s="50"/>
      <c r="AV31" s="50"/>
      <c r="AW31" s="50"/>
      <c r="AX31" s="50"/>
      <c r="AY31" s="50"/>
      <c r="AZ31" s="50"/>
      <c r="BA31" s="50">
        <f t="shared" si="24"/>
        <v>609</v>
      </c>
      <c r="BB31" s="124"/>
      <c r="BC31" s="116"/>
      <c r="BD31" s="116"/>
      <c r="BE31" s="124"/>
      <c r="BF31" s="116"/>
    </row>
    <row r="32" spans="1:58" ht="12.95" customHeight="1" x14ac:dyDescent="0.2">
      <c r="A32" s="117"/>
      <c r="B32" s="118"/>
      <c r="C32" s="119"/>
      <c r="D32" s="118"/>
      <c r="E32" s="37"/>
      <c r="F32" s="37"/>
      <c r="G32" s="127"/>
      <c r="H32" s="203"/>
      <c r="I32" s="45"/>
      <c r="J32" s="46"/>
      <c r="K32" s="46"/>
      <c r="L32" s="206"/>
      <c r="M32" s="206"/>
      <c r="N32" s="47"/>
      <c r="O32" s="48"/>
      <c r="P32" s="49"/>
      <c r="Q32" s="48"/>
      <c r="R32" s="123"/>
      <c r="S32" s="123"/>
      <c r="T32" s="50"/>
      <c r="U32" s="50"/>
      <c r="V32" s="50"/>
      <c r="W32" s="50"/>
      <c r="X32" s="55"/>
      <c r="Y32" s="52"/>
      <c r="Z32" s="50"/>
      <c r="AA32" s="50"/>
      <c r="AB32" s="50"/>
      <c r="AC32" s="50"/>
      <c r="AD32" s="50"/>
      <c r="AE32" s="101"/>
      <c r="AF32" s="124"/>
      <c r="AG32" s="124"/>
      <c r="AH32" s="124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124"/>
      <c r="BC32" s="146"/>
      <c r="BD32" s="116"/>
      <c r="BE32" s="116"/>
      <c r="BF32" s="116"/>
    </row>
    <row r="33" spans="1:58" ht="12.95" customHeight="1" x14ac:dyDescent="0.2">
      <c r="A33" s="117">
        <v>45967</v>
      </c>
      <c r="B33" s="118" t="s">
        <v>121</v>
      </c>
      <c r="C33" s="119">
        <f t="shared" ref="C33" si="33">(M33*E33*O33*Q33)/100000000</f>
        <v>55.83205384615384</v>
      </c>
      <c r="D33" s="118" t="s">
        <v>196</v>
      </c>
      <c r="E33" s="37">
        <v>20</v>
      </c>
      <c r="F33" s="37">
        <v>1</v>
      </c>
      <c r="G33" s="120">
        <v>820</v>
      </c>
      <c r="H33" s="121">
        <f t="shared" ref="H33" si="34">+N33</f>
        <v>0.15000000000000002</v>
      </c>
      <c r="I33" s="45">
        <v>0.88</v>
      </c>
      <c r="J33" s="46">
        <f t="shared" ref="J33" si="35">E33*G33*(1-H33)*1440/1000000*2.74</f>
        <v>55.001663999999998</v>
      </c>
      <c r="K33" s="46">
        <f t="shared" ref="K33" si="36">(IF(G33&lt;L33,L33,G33)*(1-IF(H33&lt;N33,H33,N33))*E33*O33*Q33)/100000000</f>
        <v>55.83205384615384</v>
      </c>
      <c r="L33" s="122">
        <v>875</v>
      </c>
      <c r="M33" s="122">
        <v>743.75</v>
      </c>
      <c r="N33" s="47">
        <f t="shared" ref="N33" si="37">1-(M33/L33)</f>
        <v>0.15000000000000002</v>
      </c>
      <c r="O33" s="48">
        <f>+'[4]Trim Rwd'!H21</f>
        <v>260.65384615384613</v>
      </c>
      <c r="P33" s="49">
        <f t="shared" ref="P33" si="38">O33*(Q33-R33-S33)</f>
        <v>365436.69230769225</v>
      </c>
      <c r="Q33" s="48">
        <v>1440</v>
      </c>
      <c r="R33" s="123">
        <v>0</v>
      </c>
      <c r="S33" s="123">
        <v>38</v>
      </c>
      <c r="T33" s="50">
        <f t="shared" ref="T33" si="39">E33*M33*O33*Q33/100000000</f>
        <v>55.83205384615384</v>
      </c>
      <c r="U33" s="50">
        <f t="shared" ref="U33" si="40">E33*M33*O33*(Q33-R33-S33)/100000000</f>
        <v>54.358707980769225</v>
      </c>
      <c r="V33" s="50">
        <f t="shared" ref="V33" si="41">E33*G33*(1-N33)*O33/100*(R33+S33)/1000000</f>
        <v>1.3807355538461537</v>
      </c>
      <c r="W33" s="50">
        <f>+'[4]6'!K11/1000</f>
        <v>56.119</v>
      </c>
      <c r="X33" s="51">
        <f>SUM(W33:W36)/SUM(K33:K36)</f>
        <v>1.005139451875384</v>
      </c>
      <c r="Y33" s="52">
        <v>0</v>
      </c>
      <c r="Z33" s="50">
        <v>0</v>
      </c>
      <c r="AA33" s="53">
        <f>SUM(U33:U36)-SUM(W33:W36)-SUM(Z33:Z36)-SUM(Y33:Y36)</f>
        <v>-1.7602920192307749</v>
      </c>
      <c r="AB33" s="53">
        <f>(SUM(K33:K36)-SUM(W33:W36)-SUM(Y33:Y36)-SUM(Z33:Z36)-SUM(AC33:AC36)-SUM(V33:V36))-AA33</f>
        <v>9.2610311538461998E-2</v>
      </c>
      <c r="AC33" s="50">
        <f>K33-T33</f>
        <v>0</v>
      </c>
      <c r="AD33" s="50">
        <f>+AM33+BA33</f>
        <v>0</v>
      </c>
      <c r="AE33" s="101" t="s">
        <v>110</v>
      </c>
      <c r="AF33" s="50">
        <v>0</v>
      </c>
      <c r="AG33" s="50"/>
      <c r="AH33" s="50"/>
      <c r="AI33" s="54"/>
      <c r="AJ33" s="50"/>
      <c r="AK33" s="50"/>
      <c r="AL33" s="50"/>
      <c r="AM33" s="50">
        <f>SUM(AF33:AL33)+AT33</f>
        <v>0</v>
      </c>
      <c r="AN33" s="50"/>
      <c r="AO33" s="50"/>
      <c r="AP33" s="50"/>
      <c r="AQ33" s="50"/>
      <c r="AR33" s="50">
        <f>SUM(AN33:AQ33)</f>
        <v>0</v>
      </c>
      <c r="AS33" s="50"/>
      <c r="AT33" s="50"/>
      <c r="AU33" s="50"/>
      <c r="AV33" s="50"/>
      <c r="AW33" s="50"/>
      <c r="AX33" s="50"/>
      <c r="AY33" s="50"/>
      <c r="AZ33" s="50"/>
      <c r="BA33" s="50">
        <f>+AR33+AS33+AU33+AV33+AX33</f>
        <v>0</v>
      </c>
      <c r="BB33" s="124">
        <v>0</v>
      </c>
      <c r="BC33" s="116"/>
      <c r="BD33" s="116"/>
      <c r="BE33" s="124"/>
      <c r="BF33" s="116"/>
    </row>
    <row r="34" spans="1:58" ht="12.95" customHeight="1" x14ac:dyDescent="0.2">
      <c r="A34" s="117"/>
      <c r="B34" s="118"/>
      <c r="C34" s="119"/>
      <c r="D34" s="118"/>
      <c r="E34" s="37"/>
      <c r="F34" s="37"/>
      <c r="G34" s="120"/>
      <c r="H34" s="121"/>
      <c r="I34" s="45"/>
      <c r="J34" s="46"/>
      <c r="K34" s="46"/>
      <c r="L34" s="122"/>
      <c r="M34" s="122"/>
      <c r="N34" s="47"/>
      <c r="O34" s="48"/>
      <c r="P34" s="49"/>
      <c r="Q34" s="48"/>
      <c r="R34" s="123"/>
      <c r="S34" s="123"/>
      <c r="T34" s="50"/>
      <c r="U34" s="50"/>
      <c r="V34" s="50"/>
      <c r="W34" s="50"/>
      <c r="X34" s="55"/>
      <c r="Y34" s="52"/>
      <c r="Z34" s="50"/>
      <c r="AA34" s="50"/>
      <c r="AB34" s="50"/>
      <c r="AC34" s="50">
        <f>K34-T34</f>
        <v>0</v>
      </c>
      <c r="AD34" s="50">
        <f t="shared" ref="AD34:AD36" si="42">+AM34+BA34</f>
        <v>7</v>
      </c>
      <c r="AE34" s="101" t="s">
        <v>163</v>
      </c>
      <c r="AF34" s="50"/>
      <c r="AG34" s="50">
        <v>7</v>
      </c>
      <c r="AH34" s="50"/>
      <c r="AI34" s="54"/>
      <c r="AJ34" s="50"/>
      <c r="AK34" s="50"/>
      <c r="AL34" s="50"/>
      <c r="AM34" s="50">
        <f t="shared" ref="AM34:AM36" si="43">SUM(AF34:AL34)+AT34</f>
        <v>7</v>
      </c>
      <c r="AN34" s="125"/>
      <c r="AO34" s="50"/>
      <c r="AP34" s="50"/>
      <c r="AQ34" s="50"/>
      <c r="AR34" s="50">
        <f t="shared" ref="AR34:AR36" si="44">SUM(AN34:AQ34)</f>
        <v>0</v>
      </c>
      <c r="AS34" s="50"/>
      <c r="AT34" s="50"/>
      <c r="AU34" s="50"/>
      <c r="AV34" s="50"/>
      <c r="AW34" s="50"/>
      <c r="AX34" s="50"/>
      <c r="AY34" s="50"/>
      <c r="AZ34" s="50"/>
      <c r="BA34" s="50">
        <f t="shared" ref="BA34:BA36" si="45">+AR34+AS34+AU34+AV34+AX34</f>
        <v>0</v>
      </c>
      <c r="BB34" s="126"/>
      <c r="BC34" s="116">
        <v>6</v>
      </c>
      <c r="BD34" s="116"/>
      <c r="BE34" s="126"/>
      <c r="BF34" s="116"/>
    </row>
    <row r="35" spans="1:58" ht="12.95" customHeight="1" x14ac:dyDescent="0.2">
      <c r="A35" s="117"/>
      <c r="B35" s="118"/>
      <c r="C35" s="119"/>
      <c r="D35" s="118"/>
      <c r="E35" s="37"/>
      <c r="F35" s="37"/>
      <c r="G35" s="127"/>
      <c r="H35" s="121"/>
      <c r="I35" s="45"/>
      <c r="J35" s="46"/>
      <c r="K35" s="46"/>
      <c r="L35" s="122"/>
      <c r="M35" s="122"/>
      <c r="N35" s="47"/>
      <c r="O35" s="48"/>
      <c r="P35" s="49"/>
      <c r="Q35" s="48"/>
      <c r="R35" s="123"/>
      <c r="S35" s="123"/>
      <c r="T35" s="50"/>
      <c r="U35" s="50"/>
      <c r="V35" s="50"/>
      <c r="W35" s="50"/>
      <c r="X35" s="55"/>
      <c r="Y35" s="52"/>
      <c r="Z35" s="50"/>
      <c r="AA35" s="50"/>
      <c r="AB35" s="50"/>
      <c r="AC35" s="50"/>
      <c r="AD35" s="50">
        <f t="shared" si="42"/>
        <v>13</v>
      </c>
      <c r="AE35" s="101" t="s">
        <v>118</v>
      </c>
      <c r="AF35" s="124"/>
      <c r="AG35" s="124"/>
      <c r="AH35" s="124">
        <v>13</v>
      </c>
      <c r="AJ35" s="50"/>
      <c r="AK35" s="50"/>
      <c r="AL35" s="50"/>
      <c r="AM35" s="50">
        <f t="shared" si="43"/>
        <v>13</v>
      </c>
      <c r="AN35" s="50"/>
      <c r="AO35" s="50"/>
      <c r="AP35" s="50"/>
      <c r="AQ35" s="50"/>
      <c r="AR35" s="50">
        <f t="shared" si="44"/>
        <v>0</v>
      </c>
      <c r="AS35" s="50"/>
      <c r="AT35" s="50"/>
      <c r="AU35" s="50"/>
      <c r="AV35" s="50"/>
      <c r="AW35" s="50"/>
      <c r="AX35" s="50"/>
      <c r="AY35" s="50"/>
      <c r="AZ35" s="50"/>
      <c r="BA35" s="50">
        <f t="shared" si="45"/>
        <v>0</v>
      </c>
      <c r="BB35" s="124"/>
      <c r="BC35" s="146"/>
      <c r="BD35" s="146"/>
      <c r="BE35" s="124"/>
      <c r="BF35" s="146"/>
    </row>
    <row r="36" spans="1:58" ht="12.95" customHeight="1" x14ac:dyDescent="0.2">
      <c r="A36" s="117"/>
      <c r="B36" s="118"/>
      <c r="C36" s="119"/>
      <c r="D36" s="118"/>
      <c r="E36" s="37"/>
      <c r="F36" s="37"/>
      <c r="G36" s="127"/>
      <c r="H36" s="121"/>
      <c r="I36" s="45"/>
      <c r="J36" s="46"/>
      <c r="K36" s="46"/>
      <c r="L36" s="122"/>
      <c r="M36" s="122"/>
      <c r="N36" s="47"/>
      <c r="O36" s="48"/>
      <c r="P36" s="49"/>
      <c r="Q36" s="56"/>
      <c r="R36" s="123"/>
      <c r="S36" s="123"/>
      <c r="T36" s="50"/>
      <c r="U36" s="50"/>
      <c r="V36" s="50"/>
      <c r="W36" s="50"/>
      <c r="X36" s="55"/>
      <c r="Y36" s="52"/>
      <c r="Z36" s="50"/>
      <c r="AA36" s="50"/>
      <c r="AB36" s="50"/>
      <c r="AC36" s="50"/>
      <c r="AD36" s="50">
        <f t="shared" si="42"/>
        <v>18</v>
      </c>
      <c r="AE36" s="148" t="s">
        <v>162</v>
      </c>
      <c r="AF36" s="50"/>
      <c r="AG36" s="50"/>
      <c r="AH36" s="50"/>
      <c r="AI36" s="54">
        <v>18</v>
      </c>
      <c r="AJ36" s="50"/>
      <c r="AK36" s="50"/>
      <c r="AL36" s="50"/>
      <c r="AM36" s="50">
        <f t="shared" si="43"/>
        <v>18</v>
      </c>
      <c r="AN36" s="50"/>
      <c r="AO36" s="50"/>
      <c r="AP36" s="50"/>
      <c r="AQ36" s="50"/>
      <c r="AR36" s="50">
        <f t="shared" si="44"/>
        <v>0</v>
      </c>
      <c r="AS36" s="50"/>
      <c r="AT36" s="50"/>
      <c r="AU36" s="50"/>
      <c r="AV36" s="50"/>
      <c r="AW36" s="50"/>
      <c r="AX36" s="50"/>
      <c r="AY36" s="50"/>
      <c r="AZ36" s="50"/>
      <c r="BA36" s="50">
        <f t="shared" si="45"/>
        <v>0</v>
      </c>
      <c r="BB36" s="126"/>
      <c r="BC36" s="116"/>
      <c r="BD36" s="116"/>
      <c r="BE36" s="126"/>
      <c r="BF36" s="116"/>
    </row>
    <row r="37" spans="1:58" ht="12.95" customHeight="1" x14ac:dyDescent="0.2">
      <c r="A37" s="117"/>
      <c r="B37" s="118"/>
      <c r="C37" s="119"/>
      <c r="D37" s="118"/>
      <c r="E37" s="37"/>
      <c r="F37" s="37"/>
      <c r="G37" s="120"/>
      <c r="H37" s="121"/>
      <c r="I37" s="45"/>
      <c r="J37" s="46"/>
      <c r="K37" s="46"/>
      <c r="L37" s="122"/>
      <c r="M37" s="122"/>
      <c r="N37" s="47"/>
      <c r="O37" s="48"/>
      <c r="P37" s="49"/>
      <c r="Q37" s="48"/>
      <c r="R37" s="123"/>
      <c r="S37" s="123"/>
      <c r="T37" s="50"/>
      <c r="U37" s="50"/>
      <c r="V37" s="50"/>
      <c r="W37" s="50"/>
      <c r="X37" s="55"/>
      <c r="Y37" s="52"/>
      <c r="Z37" s="50"/>
      <c r="AA37" s="50"/>
      <c r="AB37" s="50"/>
      <c r="AC37" s="50"/>
      <c r="AD37" s="50"/>
      <c r="AE37" s="101"/>
      <c r="AF37" s="50"/>
      <c r="AG37" s="50"/>
      <c r="AH37" s="50"/>
      <c r="AI37" s="54"/>
      <c r="AJ37" s="50"/>
      <c r="AK37" s="50"/>
      <c r="AL37" s="50"/>
      <c r="AM37" s="50"/>
      <c r="AN37" s="125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126"/>
      <c r="BC37" s="116"/>
      <c r="BD37" s="116"/>
      <c r="BE37" s="116"/>
      <c r="BF37" s="116"/>
    </row>
    <row r="38" spans="1:58" ht="12.95" customHeight="1" x14ac:dyDescent="0.2">
      <c r="A38" s="117">
        <v>45968</v>
      </c>
      <c r="B38" s="118" t="s">
        <v>121</v>
      </c>
      <c r="C38" s="119">
        <f t="shared" ref="C38:C39" si="46">(M38*E38*O38*Q38)/100000000</f>
        <v>45.402903000000002</v>
      </c>
      <c r="D38" s="118" t="s">
        <v>196</v>
      </c>
      <c r="E38" s="37">
        <v>20</v>
      </c>
      <c r="F38" s="37">
        <v>1</v>
      </c>
      <c r="G38" s="120">
        <v>820</v>
      </c>
      <c r="H38" s="121">
        <f t="shared" ref="H38:H39" si="47">+N38</f>
        <v>0.15000000000000002</v>
      </c>
      <c r="I38" s="45">
        <v>0.88</v>
      </c>
      <c r="J38" s="46">
        <f t="shared" ref="J38:J39" si="48">E38*G38*(1-H38)*1440/1000000*2.74</f>
        <v>55.001663999999998</v>
      </c>
      <c r="K38" s="46">
        <f t="shared" ref="K38:K39" si="49">(IF(G38&lt;L38,L38,G38)*(1-IF(H38&lt;N38,H38,N38))*E38*O38*Q38)/100000000</f>
        <v>45.402903000000002</v>
      </c>
      <c r="L38" s="122">
        <v>910</v>
      </c>
      <c r="M38" s="122">
        <v>773.5</v>
      </c>
      <c r="N38" s="47">
        <f t="shared" ref="N38:N39" si="50">1-(M38/L38)</f>
        <v>0.15000000000000002</v>
      </c>
      <c r="O38" s="48">
        <f>+'[4]Trim Rwd'!H24</f>
        <v>270</v>
      </c>
      <c r="P38" s="49">
        <f t="shared" ref="P38:P39" si="51">O38*(Q38-R38-S38)</f>
        <v>285930</v>
      </c>
      <c r="Q38" s="48">
        <v>1087</v>
      </c>
      <c r="R38" s="123">
        <v>0</v>
      </c>
      <c r="S38" s="123">
        <v>28</v>
      </c>
      <c r="T38" s="50">
        <f t="shared" ref="T38:T39" si="52">E38*M38*O38*Q38/100000000</f>
        <v>45.402903000000002</v>
      </c>
      <c r="U38" s="50">
        <f t="shared" ref="U38:U39" si="53">E38*M38*O38*(Q38-R38-S38)/100000000</f>
        <v>44.233370999999998</v>
      </c>
      <c r="V38" s="50">
        <f t="shared" ref="V38:V39" si="54">E38*G38*(1-N38)*O38/100*(R38+S38)/1000000</f>
        <v>1.0538639999999999</v>
      </c>
      <c r="W38" s="50">
        <f>+'[4]7'!K11/1000</f>
        <v>48.045000000000002</v>
      </c>
      <c r="X38" s="51">
        <f>SUM(W38:W41)/SUM(K38:K41)</f>
        <v>0.95309107847395524</v>
      </c>
      <c r="Y38" s="52">
        <f>+SUM([4]RBP!AG29:AG30)</f>
        <v>0</v>
      </c>
      <c r="Z38" s="50">
        <v>0</v>
      </c>
      <c r="AA38" s="53">
        <f>SUM(U38:U41)-SUM(W38:W41)-SUM(Z38:Z41)-SUM(Y38:Y41)</f>
        <v>0.36307779999999457</v>
      </c>
      <c r="AB38" s="53">
        <f>(SUM(K38:K41)-SUM(W38:W41)-SUM(Y38:Y41)-SUM(Z38:Z41)-SUM(AC38:AC41)-SUM(V38:V41))-AA38</f>
        <v>0.13471208000000767</v>
      </c>
      <c r="AC38" s="50">
        <f>K38-T38</f>
        <v>0</v>
      </c>
      <c r="AD38" s="50">
        <f>+AM38+BA38</f>
        <v>0</v>
      </c>
      <c r="AE38" s="101" t="s">
        <v>110</v>
      </c>
      <c r="AF38" s="50">
        <v>0</v>
      </c>
      <c r="AG38" s="50"/>
      <c r="AH38" s="50"/>
      <c r="AI38" s="54"/>
      <c r="AJ38" s="50"/>
      <c r="AK38" s="50"/>
      <c r="AL38" s="50"/>
      <c r="AM38" s="50">
        <f>SUM(AF38:AL38)+AT38</f>
        <v>0</v>
      </c>
      <c r="AN38" s="50"/>
      <c r="AO38" s="50"/>
      <c r="AP38" s="50"/>
      <c r="AQ38" s="50"/>
      <c r="AR38" s="50">
        <f>SUM(AN38:AQ38)</f>
        <v>0</v>
      </c>
      <c r="AS38" s="50"/>
      <c r="AT38" s="50"/>
      <c r="AU38" s="50"/>
      <c r="AV38" s="50"/>
      <c r="AW38" s="50"/>
      <c r="AX38" s="50"/>
      <c r="AY38" s="50"/>
      <c r="AZ38" s="50"/>
      <c r="BA38" s="50">
        <f>+AR38+AS38+AU38+AV38+AX38</f>
        <v>0</v>
      </c>
      <c r="BB38" s="124">
        <v>0</v>
      </c>
      <c r="BC38" s="116"/>
      <c r="BD38" s="116"/>
      <c r="BE38" s="124"/>
      <c r="BF38" s="116"/>
    </row>
    <row r="39" spans="1:58" ht="12.95" customHeight="1" x14ac:dyDescent="0.2">
      <c r="A39" s="117"/>
      <c r="B39" s="118" t="s">
        <v>121</v>
      </c>
      <c r="C39" s="119">
        <f t="shared" si="46"/>
        <v>14.05626232</v>
      </c>
      <c r="D39" s="118" t="s">
        <v>196</v>
      </c>
      <c r="E39" s="37">
        <v>19</v>
      </c>
      <c r="F39" s="37">
        <v>1</v>
      </c>
      <c r="G39" s="120">
        <v>865</v>
      </c>
      <c r="H39" s="121">
        <f t="shared" si="47"/>
        <v>0.15000000000000002</v>
      </c>
      <c r="I39" s="45">
        <v>0.88</v>
      </c>
      <c r="J39" s="46">
        <f t="shared" si="48"/>
        <v>55.119045600000007</v>
      </c>
      <c r="K39" s="46">
        <f t="shared" si="49"/>
        <v>14.05626232</v>
      </c>
      <c r="L39" s="122">
        <v>920</v>
      </c>
      <c r="M39" s="122">
        <v>782</v>
      </c>
      <c r="N39" s="47">
        <f t="shared" si="50"/>
        <v>0.15000000000000002</v>
      </c>
      <c r="O39" s="48">
        <f>+'[4]Trim Rwd'!H25</f>
        <v>268</v>
      </c>
      <c r="P39" s="49">
        <f t="shared" si="51"/>
        <v>92460</v>
      </c>
      <c r="Q39" s="48">
        <v>353</v>
      </c>
      <c r="R39" s="123">
        <v>0</v>
      </c>
      <c r="S39" s="123">
        <v>8</v>
      </c>
      <c r="T39" s="50">
        <f t="shared" si="52"/>
        <v>14.05626232</v>
      </c>
      <c r="U39" s="50">
        <f t="shared" si="53"/>
        <v>13.7377068</v>
      </c>
      <c r="V39" s="50">
        <f t="shared" si="54"/>
        <v>0.29951144000000002</v>
      </c>
      <c r="W39" s="50">
        <f>+'[4]7'!K12/1000</f>
        <v>8.625</v>
      </c>
      <c r="X39" s="55"/>
      <c r="Y39" s="52"/>
      <c r="Z39" s="50">
        <f>+'[4]7'!D26/1000</f>
        <v>0.93799999999999994</v>
      </c>
      <c r="AA39" s="50"/>
      <c r="AB39" s="50"/>
      <c r="AC39" s="50">
        <f>K39-T39</f>
        <v>0</v>
      </c>
      <c r="AD39" s="50">
        <f t="shared" ref="AD39:AD41" si="55">+AM39+BA39</f>
        <v>9</v>
      </c>
      <c r="AE39" s="101" t="s">
        <v>132</v>
      </c>
      <c r="AF39" s="50"/>
      <c r="AG39" s="50">
        <v>9</v>
      </c>
      <c r="AH39" s="50"/>
      <c r="AI39" s="54"/>
      <c r="AJ39" s="50"/>
      <c r="AK39" s="50"/>
      <c r="AL39" s="50"/>
      <c r="AM39" s="50">
        <f t="shared" ref="AM39:AM41" si="56">SUM(AF39:AL39)+AT39</f>
        <v>9</v>
      </c>
      <c r="AN39" s="125"/>
      <c r="AO39" s="50"/>
      <c r="AP39" s="50"/>
      <c r="AQ39" s="50"/>
      <c r="AR39" s="50">
        <f t="shared" ref="AR39:AR41" si="57">SUM(AN39:AQ39)</f>
        <v>0</v>
      </c>
      <c r="AS39" s="50"/>
      <c r="AT39" s="50"/>
      <c r="AU39" s="50"/>
      <c r="AV39" s="50"/>
      <c r="AW39" s="50"/>
      <c r="AX39" s="50"/>
      <c r="AY39" s="50"/>
      <c r="AZ39" s="50"/>
      <c r="BA39" s="50">
        <f t="shared" ref="BA39:BA41" si="58">+AR39+AS39+AU39+AV39+AX39</f>
        <v>0</v>
      </c>
      <c r="BB39" s="126"/>
      <c r="BC39" s="116">
        <v>7</v>
      </c>
      <c r="BD39" s="116"/>
      <c r="BE39" s="126"/>
      <c r="BF39" s="116"/>
    </row>
    <row r="40" spans="1:58" ht="12.95" customHeight="1" x14ac:dyDescent="0.2">
      <c r="A40" s="117"/>
      <c r="B40" s="118"/>
      <c r="C40" s="119"/>
      <c r="D40" s="118"/>
      <c r="E40" s="37"/>
      <c r="F40" s="37"/>
      <c r="G40" s="127"/>
      <c r="H40" s="121"/>
      <c r="I40" s="45"/>
      <c r="J40" s="46"/>
      <c r="K40" s="46"/>
      <c r="L40" s="122"/>
      <c r="M40" s="122"/>
      <c r="N40" s="47"/>
      <c r="O40" s="48"/>
      <c r="P40" s="49"/>
      <c r="Q40" s="48"/>
      <c r="R40" s="123"/>
      <c r="S40" s="123"/>
      <c r="T40" s="50"/>
      <c r="U40" s="50"/>
      <c r="V40" s="50"/>
      <c r="W40" s="50"/>
      <c r="X40" s="55"/>
      <c r="Y40" s="52"/>
      <c r="Z40" s="50"/>
      <c r="AA40" s="50"/>
      <c r="AB40" s="50"/>
      <c r="AC40" s="50"/>
      <c r="AD40" s="50">
        <f t="shared" si="55"/>
        <v>19</v>
      </c>
      <c r="AE40" s="101" t="s">
        <v>180</v>
      </c>
      <c r="AF40" s="124"/>
      <c r="AG40" s="124"/>
      <c r="AH40" s="124">
        <v>19</v>
      </c>
      <c r="AJ40" s="50"/>
      <c r="AK40" s="50"/>
      <c r="AL40" s="50"/>
      <c r="AM40" s="50">
        <f t="shared" si="56"/>
        <v>19</v>
      </c>
      <c r="AN40" s="50"/>
      <c r="AO40" s="50"/>
      <c r="AP40" s="50"/>
      <c r="AQ40" s="50"/>
      <c r="AR40" s="50">
        <f t="shared" si="57"/>
        <v>0</v>
      </c>
      <c r="AS40" s="50"/>
      <c r="AT40" s="50"/>
      <c r="AU40" s="50"/>
      <c r="AV40" s="50"/>
      <c r="AW40" s="50"/>
      <c r="AX40" s="50"/>
      <c r="AY40" s="50"/>
      <c r="AZ40" s="50"/>
      <c r="BA40" s="50">
        <f t="shared" si="58"/>
        <v>0</v>
      </c>
      <c r="BB40" s="124"/>
      <c r="BC40" s="146"/>
      <c r="BD40" s="146"/>
      <c r="BE40" s="124"/>
      <c r="BF40" s="146"/>
    </row>
    <row r="41" spans="1:58" ht="12.95" customHeight="1" x14ac:dyDescent="0.2">
      <c r="A41" s="117"/>
      <c r="B41" s="118"/>
      <c r="C41" s="119"/>
      <c r="D41" s="118"/>
      <c r="E41" s="37"/>
      <c r="F41" s="37"/>
      <c r="G41" s="127"/>
      <c r="H41" s="121"/>
      <c r="I41" s="45"/>
      <c r="J41" s="46"/>
      <c r="K41" s="46"/>
      <c r="L41" s="122"/>
      <c r="M41" s="122"/>
      <c r="N41" s="47"/>
      <c r="O41" s="48"/>
      <c r="P41" s="49"/>
      <c r="Q41" s="56"/>
      <c r="R41" s="123"/>
      <c r="S41" s="123"/>
      <c r="T41" s="50"/>
      <c r="U41" s="50"/>
      <c r="V41" s="50"/>
      <c r="W41" s="50"/>
      <c r="X41" s="55"/>
      <c r="Y41" s="52"/>
      <c r="Z41" s="50"/>
      <c r="AA41" s="50"/>
      <c r="AB41" s="50"/>
      <c r="AC41" s="50"/>
      <c r="AD41" s="50">
        <f t="shared" si="55"/>
        <v>8</v>
      </c>
      <c r="AE41" s="148" t="s">
        <v>162</v>
      </c>
      <c r="AF41" s="50"/>
      <c r="AG41" s="50"/>
      <c r="AH41" s="50"/>
      <c r="AI41" s="54">
        <v>8</v>
      </c>
      <c r="AJ41" s="50"/>
      <c r="AK41" s="50"/>
      <c r="AL41" s="50"/>
      <c r="AM41" s="50">
        <f t="shared" si="56"/>
        <v>8</v>
      </c>
      <c r="AN41" s="50"/>
      <c r="AO41" s="50"/>
      <c r="AP41" s="50"/>
      <c r="AQ41" s="50"/>
      <c r="AR41" s="50">
        <f t="shared" si="57"/>
        <v>0</v>
      </c>
      <c r="AS41" s="50"/>
      <c r="AT41" s="50"/>
      <c r="AU41" s="50"/>
      <c r="AV41" s="50"/>
      <c r="AW41" s="50"/>
      <c r="AX41" s="50"/>
      <c r="AY41" s="50"/>
      <c r="AZ41" s="50"/>
      <c r="BA41" s="50">
        <f t="shared" si="58"/>
        <v>0</v>
      </c>
      <c r="BB41" s="126"/>
      <c r="BC41" s="116"/>
      <c r="BD41" s="116"/>
      <c r="BE41" s="126"/>
      <c r="BF41" s="116"/>
    </row>
    <row r="42" spans="1:58" ht="12.75" customHeight="1" x14ac:dyDescent="0.2">
      <c r="A42" s="117"/>
      <c r="B42" s="118"/>
      <c r="C42" s="119"/>
      <c r="D42" s="118"/>
      <c r="E42" s="37"/>
      <c r="F42" s="37"/>
      <c r="G42" s="127"/>
      <c r="H42" s="121"/>
      <c r="I42" s="45"/>
      <c r="J42" s="46"/>
      <c r="K42" s="46"/>
      <c r="L42" s="122"/>
      <c r="M42" s="122"/>
      <c r="N42" s="47"/>
      <c r="O42" s="48"/>
      <c r="P42" s="49"/>
      <c r="Q42" s="56"/>
      <c r="R42" s="123"/>
      <c r="S42" s="123"/>
      <c r="T42" s="50"/>
      <c r="U42" s="50"/>
      <c r="V42" s="50"/>
      <c r="W42" s="50"/>
      <c r="X42" s="55"/>
      <c r="Y42" s="52"/>
      <c r="Z42" s="50"/>
      <c r="AA42" s="50"/>
      <c r="AB42" s="50"/>
      <c r="AC42" s="50"/>
      <c r="AD42" s="50"/>
      <c r="AE42" s="148"/>
      <c r="AF42" s="50"/>
      <c r="AG42" s="50"/>
      <c r="AH42" s="50"/>
      <c r="AI42" s="54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126"/>
      <c r="BC42" s="116"/>
      <c r="BD42" s="116"/>
      <c r="BE42" s="126"/>
      <c r="BF42" s="116"/>
    </row>
    <row r="43" spans="1:58" ht="12.95" customHeight="1" x14ac:dyDescent="0.2">
      <c r="A43" s="117">
        <v>45938</v>
      </c>
      <c r="B43" s="118" t="s">
        <v>121</v>
      </c>
      <c r="C43" s="119">
        <f t="shared" ref="C43:C44" si="59">(M43*E43*O43*Q43)/100000000</f>
        <v>6.3711104000000001</v>
      </c>
      <c r="D43" s="118" t="s">
        <v>196</v>
      </c>
      <c r="E43" s="37">
        <v>19</v>
      </c>
      <c r="F43" s="37">
        <v>1</v>
      </c>
      <c r="G43" s="120">
        <v>865</v>
      </c>
      <c r="H43" s="121">
        <f t="shared" ref="H43:H44" si="60">+N43</f>
        <v>0.15000000000000002</v>
      </c>
      <c r="I43" s="45">
        <v>0.88</v>
      </c>
      <c r="J43" s="46">
        <f t="shared" ref="J43:J44" si="61">E43*G43*(1-H43)*1440/1000000*2.74</f>
        <v>55.119045600000007</v>
      </c>
      <c r="K43" s="46">
        <f t="shared" ref="K43:K44" si="62">(IF(G43&lt;L43,L43,G43)*(1-IF(H43&lt;N43,H43,N43))*E43*O43*Q43)/100000000</f>
        <v>6.3711104000000001</v>
      </c>
      <c r="L43" s="122">
        <v>920</v>
      </c>
      <c r="M43" s="122">
        <v>782</v>
      </c>
      <c r="N43" s="47">
        <f t="shared" ref="N43:N44" si="63">1-(M43/L43)</f>
        <v>0.15000000000000002</v>
      </c>
      <c r="O43" s="48">
        <f>+'[4]Trim Rwd'!H27</f>
        <v>268</v>
      </c>
      <c r="P43" s="49">
        <f t="shared" ref="P43:P44" si="64">O43*(Q43-R43-S43)</f>
        <v>40736</v>
      </c>
      <c r="Q43" s="48">
        <v>160</v>
      </c>
      <c r="R43" s="123">
        <v>0</v>
      </c>
      <c r="S43" s="123">
        <v>8</v>
      </c>
      <c r="T43" s="50">
        <f t="shared" ref="T43:T44" si="65">E43*M43*O43*Q43/100000000</f>
        <v>6.3711104000000001</v>
      </c>
      <c r="U43" s="50">
        <f t="shared" ref="U43:U44" si="66">E43*M43*O43*(Q43-R43-S43)/100000000</f>
        <v>6.0525548799999997</v>
      </c>
      <c r="V43" s="50">
        <f t="shared" ref="V43:V44" si="67">E43*G43*(1-N43)*O43/100*(R43+S43)/1000000</f>
        <v>0.29951144000000002</v>
      </c>
      <c r="W43" s="50">
        <f>+'[4]8'!K12/1000</f>
        <v>10.238</v>
      </c>
      <c r="X43" s="51">
        <f>SUM(W43:W46)/SUM(K43:K46)</f>
        <v>0.97811112813571321</v>
      </c>
      <c r="Y43" s="52">
        <f>+SUM([4]RBP!AG33:AG34)</f>
        <v>0</v>
      </c>
      <c r="Z43" s="50">
        <v>0</v>
      </c>
      <c r="AA43" s="53">
        <f>SUM(U43:U46)-SUM(W43:W46)-SUM(Z43:Z46)-SUM(Y43:Y46)</f>
        <v>-0.4312684609090951</v>
      </c>
      <c r="AB43" s="53">
        <f>(SUM(K43:K46)-SUM(W43:W46)-SUM(Y43:Y46)-SUM(Z43:Z46)-SUM(AC43:AC46)-SUM(V43:V46))-AA43</f>
        <v>1.9044079999994024E-2</v>
      </c>
      <c r="AC43" s="50">
        <f>K43-T43</f>
        <v>0</v>
      </c>
      <c r="AD43" s="50">
        <f>+AM43+BA43</f>
        <v>0</v>
      </c>
      <c r="AE43" s="101" t="s">
        <v>110</v>
      </c>
      <c r="AF43" s="50">
        <v>0</v>
      </c>
      <c r="AG43" s="50"/>
      <c r="AH43" s="50"/>
      <c r="AI43" s="54"/>
      <c r="AJ43" s="50"/>
      <c r="AK43" s="50"/>
      <c r="AL43" s="50"/>
      <c r="AM43" s="50">
        <f>SUM(AF43:AL43)+AT43</f>
        <v>0</v>
      </c>
      <c r="AN43" s="50"/>
      <c r="AO43" s="50"/>
      <c r="AP43" s="50"/>
      <c r="AQ43" s="50"/>
      <c r="AR43" s="50">
        <f>SUM(AN43:AQ43)</f>
        <v>0</v>
      </c>
      <c r="AS43" s="50"/>
      <c r="AT43" s="50"/>
      <c r="AU43" s="50"/>
      <c r="AV43" s="50"/>
      <c r="AW43" s="50"/>
      <c r="AX43" s="50"/>
      <c r="AY43" s="50"/>
      <c r="AZ43" s="50"/>
      <c r="BA43" s="50">
        <f>+AR43+AS43+AU43+AV43+AX43</f>
        <v>0</v>
      </c>
      <c r="BB43" s="124">
        <v>0</v>
      </c>
      <c r="BC43" s="116"/>
      <c r="BD43" s="116"/>
      <c r="BE43" s="124"/>
      <c r="BF43" s="116"/>
    </row>
    <row r="44" spans="1:58" ht="12.95" customHeight="1" x14ac:dyDescent="0.2">
      <c r="A44" s="117"/>
      <c r="B44" s="118" t="s">
        <v>121</v>
      </c>
      <c r="C44" s="119">
        <f t="shared" si="59"/>
        <v>46.228229818181809</v>
      </c>
      <c r="D44" s="118" t="s">
        <v>196</v>
      </c>
      <c r="E44" s="37">
        <v>17</v>
      </c>
      <c r="F44" s="37">
        <v>1</v>
      </c>
      <c r="G44" s="120">
        <f>+L44</f>
        <v>950</v>
      </c>
      <c r="H44" s="121">
        <f t="shared" si="60"/>
        <v>0.15000000000000002</v>
      </c>
      <c r="I44" s="45">
        <v>0.88</v>
      </c>
      <c r="J44" s="46">
        <f t="shared" si="61"/>
        <v>54.163224000000007</v>
      </c>
      <c r="K44" s="46">
        <f t="shared" si="62"/>
        <v>46.228229818181809</v>
      </c>
      <c r="L44" s="122">
        <v>950</v>
      </c>
      <c r="M44" s="122">
        <v>807.5</v>
      </c>
      <c r="N44" s="47">
        <f t="shared" si="63"/>
        <v>0.15000000000000002</v>
      </c>
      <c r="O44" s="48">
        <f>+'[4]Trim Rwd'!H28</f>
        <v>263.09090909090907</v>
      </c>
      <c r="P44" s="49">
        <f t="shared" si="64"/>
        <v>327548.18181818177</v>
      </c>
      <c r="Q44" s="48">
        <v>1280</v>
      </c>
      <c r="R44" s="123">
        <v>0</v>
      </c>
      <c r="S44" s="123">
        <v>35</v>
      </c>
      <c r="T44" s="50">
        <f t="shared" si="65"/>
        <v>46.228229818181809</v>
      </c>
      <c r="U44" s="50">
        <f t="shared" si="66"/>
        <v>44.964176659090903</v>
      </c>
      <c r="V44" s="50">
        <f t="shared" si="67"/>
        <v>1.264053159090909</v>
      </c>
      <c r="W44" s="50">
        <f>+'[4]8'!K13/1000</f>
        <v>41.21</v>
      </c>
      <c r="X44" s="55"/>
      <c r="Y44" s="52"/>
      <c r="Z44" s="50">
        <f>+'[4]7'!D30/1000</f>
        <v>0</v>
      </c>
      <c r="AA44" s="50"/>
      <c r="AB44" s="50"/>
      <c r="AC44" s="50">
        <f>K44-T44</f>
        <v>0</v>
      </c>
      <c r="AD44" s="50">
        <f t="shared" ref="AD44:AD46" si="68">+AM44+BA44</f>
        <v>10</v>
      </c>
      <c r="AE44" s="101" t="s">
        <v>132</v>
      </c>
      <c r="AF44" s="50"/>
      <c r="AG44" s="50">
        <v>10</v>
      </c>
      <c r="AH44" s="50"/>
      <c r="AI44" s="54"/>
      <c r="AJ44" s="50"/>
      <c r="AK44" s="50"/>
      <c r="AL44" s="50"/>
      <c r="AM44" s="50">
        <f t="shared" ref="AM44:AM46" si="69">SUM(AF44:AL44)+AT44</f>
        <v>10</v>
      </c>
      <c r="AN44" s="125"/>
      <c r="AO44" s="50"/>
      <c r="AP44" s="50"/>
      <c r="AQ44" s="50"/>
      <c r="AR44" s="50">
        <f t="shared" ref="AR44:AR46" si="70">SUM(AN44:AQ44)</f>
        <v>0</v>
      </c>
      <c r="AS44" s="50"/>
      <c r="AT44" s="50"/>
      <c r="AU44" s="50"/>
      <c r="AV44" s="50"/>
      <c r="AW44" s="50"/>
      <c r="AX44" s="50"/>
      <c r="AY44" s="50"/>
      <c r="AZ44" s="50"/>
      <c r="BA44" s="50">
        <f t="shared" ref="BA44:BA46" si="71">+AR44+AS44+AU44+AV44+AX44</f>
        <v>0</v>
      </c>
      <c r="BB44" s="126"/>
      <c r="BC44" s="116">
        <v>7</v>
      </c>
      <c r="BD44" s="116"/>
      <c r="BE44" s="126"/>
      <c r="BF44" s="116"/>
    </row>
    <row r="45" spans="1:58" ht="12.95" customHeight="1" x14ac:dyDescent="0.2">
      <c r="A45" s="117"/>
      <c r="B45" s="118"/>
      <c r="C45" s="119"/>
      <c r="D45" s="118"/>
      <c r="E45" s="37"/>
      <c r="F45" s="37"/>
      <c r="G45" s="127"/>
      <c r="H45" s="121"/>
      <c r="I45" s="45"/>
      <c r="J45" s="46"/>
      <c r="K45" s="46"/>
      <c r="L45" s="122"/>
      <c r="M45" s="122"/>
      <c r="N45" s="47"/>
      <c r="O45" s="48"/>
      <c r="P45" s="49"/>
      <c r="Q45" s="48"/>
      <c r="R45" s="123"/>
      <c r="S45" s="123"/>
      <c r="T45" s="50"/>
      <c r="U45" s="50"/>
      <c r="V45" s="50"/>
      <c r="W45" s="50"/>
      <c r="X45" s="55"/>
      <c r="Y45" s="52"/>
      <c r="Z45" s="50"/>
      <c r="AA45" s="50"/>
      <c r="AB45" s="50"/>
      <c r="AC45" s="50"/>
      <c r="AD45" s="50">
        <f t="shared" si="68"/>
        <v>25</v>
      </c>
      <c r="AE45" s="101" t="s">
        <v>118</v>
      </c>
      <c r="AF45" s="124"/>
      <c r="AG45" s="124"/>
      <c r="AH45" s="124">
        <v>25</v>
      </c>
      <c r="AJ45" s="50"/>
      <c r="AK45" s="50"/>
      <c r="AL45" s="50"/>
      <c r="AM45" s="50">
        <f t="shared" si="69"/>
        <v>25</v>
      </c>
      <c r="AN45" s="50"/>
      <c r="AO45" s="50"/>
      <c r="AP45" s="50"/>
      <c r="AQ45" s="50"/>
      <c r="AR45" s="50">
        <f t="shared" si="70"/>
        <v>0</v>
      </c>
      <c r="AS45" s="50"/>
      <c r="AT45" s="50"/>
      <c r="AU45" s="50"/>
      <c r="AV45" s="50"/>
      <c r="AW45" s="50"/>
      <c r="AX45" s="50"/>
      <c r="AY45" s="50"/>
      <c r="AZ45" s="50"/>
      <c r="BA45" s="50">
        <f t="shared" si="71"/>
        <v>0</v>
      </c>
      <c r="BB45" s="124"/>
      <c r="BC45" s="146"/>
      <c r="BD45" s="146"/>
      <c r="BE45" s="124"/>
      <c r="BF45" s="146"/>
    </row>
    <row r="46" spans="1:58" ht="12.95" customHeight="1" x14ac:dyDescent="0.2">
      <c r="A46" s="117"/>
      <c r="B46" s="118"/>
      <c r="C46" s="119"/>
      <c r="D46" s="118"/>
      <c r="E46" s="37"/>
      <c r="F46" s="37"/>
      <c r="G46" s="127"/>
      <c r="H46" s="121"/>
      <c r="I46" s="45"/>
      <c r="J46" s="46"/>
      <c r="K46" s="46"/>
      <c r="L46" s="122"/>
      <c r="M46" s="122"/>
      <c r="N46" s="47"/>
      <c r="O46" s="48"/>
      <c r="P46" s="49"/>
      <c r="Q46" s="56"/>
      <c r="R46" s="123"/>
      <c r="S46" s="123"/>
      <c r="T46" s="50"/>
      <c r="U46" s="50"/>
      <c r="V46" s="50"/>
      <c r="W46" s="50"/>
      <c r="X46" s="55"/>
      <c r="Y46" s="52"/>
      <c r="Z46" s="50"/>
      <c r="AA46" s="50"/>
      <c r="AB46" s="50"/>
      <c r="AC46" s="50"/>
      <c r="AD46" s="50">
        <f t="shared" si="68"/>
        <v>8</v>
      </c>
      <c r="AE46" s="148" t="s">
        <v>162</v>
      </c>
      <c r="AF46" s="50"/>
      <c r="AG46" s="50"/>
      <c r="AH46" s="50"/>
      <c r="AI46" s="54">
        <v>8</v>
      </c>
      <c r="AJ46" s="50"/>
      <c r="AK46" s="50"/>
      <c r="AL46" s="50"/>
      <c r="AM46" s="50">
        <f t="shared" si="69"/>
        <v>8</v>
      </c>
      <c r="AN46" s="50"/>
      <c r="AO46" s="50"/>
      <c r="AP46" s="50"/>
      <c r="AQ46" s="50"/>
      <c r="AR46" s="50">
        <f t="shared" si="70"/>
        <v>0</v>
      </c>
      <c r="AS46" s="50"/>
      <c r="AT46" s="50"/>
      <c r="AU46" s="50"/>
      <c r="AV46" s="50"/>
      <c r="AW46" s="50"/>
      <c r="AX46" s="50"/>
      <c r="AY46" s="50"/>
      <c r="AZ46" s="50"/>
      <c r="BA46" s="50">
        <f t="shared" si="71"/>
        <v>0</v>
      </c>
      <c r="BB46" s="126"/>
      <c r="BC46" s="116"/>
      <c r="BD46" s="116"/>
      <c r="BE46" s="126"/>
      <c r="BF46" s="116"/>
    </row>
    <row r="47" spans="1:58" ht="12.95" customHeight="1" x14ac:dyDescent="0.2">
      <c r="A47" s="117"/>
      <c r="B47" s="118"/>
      <c r="C47" s="119"/>
      <c r="D47" s="118"/>
      <c r="E47" s="37"/>
      <c r="F47" s="37"/>
      <c r="G47" s="127"/>
      <c r="H47" s="121"/>
      <c r="I47" s="45"/>
      <c r="J47" s="46"/>
      <c r="K47" s="46"/>
      <c r="L47" s="122"/>
      <c r="M47" s="122"/>
      <c r="N47" s="47"/>
      <c r="O47" s="48"/>
      <c r="P47" s="49"/>
      <c r="Q47" s="48"/>
      <c r="R47" s="123"/>
      <c r="S47" s="123"/>
      <c r="T47" s="50"/>
      <c r="U47" s="50"/>
      <c r="V47" s="50"/>
      <c r="W47" s="50"/>
      <c r="X47" s="55"/>
      <c r="Y47" s="52"/>
      <c r="Z47" s="50"/>
      <c r="AA47" s="50"/>
      <c r="AB47" s="50"/>
      <c r="AC47" s="50"/>
      <c r="AD47" s="50"/>
      <c r="AE47" s="101"/>
      <c r="AF47" s="50"/>
      <c r="AG47" s="50"/>
      <c r="AH47" s="50"/>
      <c r="AI47" s="54"/>
      <c r="AJ47" s="50"/>
      <c r="AK47" s="50"/>
      <c r="AL47" s="50"/>
      <c r="AM47" s="50"/>
      <c r="AN47" s="125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126"/>
      <c r="BC47" s="116"/>
      <c r="BD47" s="116"/>
      <c r="BE47" s="116"/>
      <c r="BF47" s="116"/>
    </row>
    <row r="48" spans="1:58" ht="12.95" customHeight="1" x14ac:dyDescent="0.2">
      <c r="A48" s="117">
        <v>45939</v>
      </c>
      <c r="B48" s="118" t="s">
        <v>121</v>
      </c>
      <c r="C48" s="119">
        <f t="shared" ref="C48:C51" si="72">(M48*E48*O48*Q48)/100000000</f>
        <v>21.623056236206892</v>
      </c>
      <c r="D48" s="118" t="s">
        <v>196</v>
      </c>
      <c r="E48" s="37">
        <v>17</v>
      </c>
      <c r="F48" s="37">
        <v>1</v>
      </c>
      <c r="G48" s="120">
        <f>+L48</f>
        <v>950</v>
      </c>
      <c r="H48" s="121">
        <f t="shared" ref="H48:H51" si="73">+N48</f>
        <v>0.15000000000000002</v>
      </c>
      <c r="I48" s="45">
        <v>0.88</v>
      </c>
      <c r="J48" s="46">
        <f t="shared" ref="J48:J51" si="74">E48*G48*(1-H48)*1440/1000000*2.74</f>
        <v>54.163224000000007</v>
      </c>
      <c r="K48" s="46">
        <f t="shared" ref="K48:K51" si="75">(IF(G48&lt;L48,L48,G48)*(1-IF(H48&lt;N48,H48,N48))*E48*O48*Q48)/100000000</f>
        <v>21.623056236206892</v>
      </c>
      <c r="L48" s="122">
        <v>950</v>
      </c>
      <c r="M48" s="122">
        <v>807.5</v>
      </c>
      <c r="N48" s="47">
        <f t="shared" ref="N48:N51" si="76">1-(M48/L48)</f>
        <v>0.15000000000000002</v>
      </c>
      <c r="O48" s="48">
        <f>+'[4]Trim Rwd'!H31</f>
        <v>262.9655172413793</v>
      </c>
      <c r="P48" s="49">
        <f t="shared" ref="P48:P51" si="77">O48*(Q48-R48-S48)</f>
        <v>153834.8275862069</v>
      </c>
      <c r="Q48" s="48">
        <v>599</v>
      </c>
      <c r="R48" s="123">
        <v>0</v>
      </c>
      <c r="S48" s="123">
        <v>14</v>
      </c>
      <c r="T48" s="50">
        <f t="shared" ref="T48:T51" si="78">E48*M48*O48*Q48/100000000</f>
        <v>21.623056236206892</v>
      </c>
      <c r="U48" s="50">
        <f t="shared" ref="U48:U51" si="79">E48*M48*O48*(Q48-R48-S48)/100000000</f>
        <v>21.117675956896552</v>
      </c>
      <c r="V48" s="50">
        <f t="shared" ref="V48:V51" si="80">E48*G48*(1-N48)*O48/100*(R48+S48)/1000000</f>
        <v>0.50538027931034479</v>
      </c>
      <c r="W48" s="50">
        <f>+'[4]9'!K13/1000</f>
        <v>26.606000000000002</v>
      </c>
      <c r="X48" s="51">
        <f>SUM(W48:W51)/SUM(K48:K51)</f>
        <v>0.94802685303952994</v>
      </c>
      <c r="Y48" s="52">
        <v>0</v>
      </c>
      <c r="Z48" s="50">
        <v>0</v>
      </c>
      <c r="AA48" s="53">
        <f>SUM(U48:U51)-SUM(W48:W51)-SUM(Z48:Z51)-SUM(Y48:Y51)</f>
        <v>-0.42682157247529007</v>
      </c>
      <c r="AB48" s="53">
        <f>(SUM(K48:K51)-SUM(W48:W51)-SUM(Y48:Y51)-SUM(Z48:Z51)-SUM(AC48:AC51)-SUM(V48:V51))-AA48</f>
        <v>-5.390398458893142E-2</v>
      </c>
      <c r="AC48" s="50">
        <f>K48-T48</f>
        <v>0</v>
      </c>
      <c r="AD48" s="50">
        <f>+AM48+BA48</f>
        <v>0</v>
      </c>
      <c r="AE48" s="101" t="s">
        <v>110</v>
      </c>
      <c r="AF48" s="50">
        <v>0</v>
      </c>
      <c r="AG48" s="50"/>
      <c r="AH48" s="50"/>
      <c r="AI48" s="54"/>
      <c r="AJ48" s="50"/>
      <c r="AK48" s="50"/>
      <c r="AL48" s="50"/>
      <c r="AM48" s="50">
        <f>SUM(AF48:AL48)+AT48</f>
        <v>0</v>
      </c>
      <c r="AN48" s="50"/>
      <c r="AO48" s="50"/>
      <c r="AP48" s="50"/>
      <c r="AQ48" s="50"/>
      <c r="AR48" s="50">
        <f>SUM(AN48:AQ48)</f>
        <v>0</v>
      </c>
      <c r="AS48" s="50"/>
      <c r="AT48" s="50"/>
      <c r="AU48" s="50"/>
      <c r="AV48" s="50"/>
      <c r="AW48" s="50"/>
      <c r="AX48" s="50"/>
      <c r="AY48" s="50"/>
      <c r="AZ48" s="50"/>
      <c r="BA48" s="50">
        <f>+AR48+AS48+AU48+AV48+AX48</f>
        <v>0</v>
      </c>
      <c r="BB48" s="124">
        <v>0</v>
      </c>
      <c r="BC48" s="116"/>
      <c r="BD48" s="116"/>
      <c r="BE48" s="124"/>
      <c r="BF48" s="116"/>
    </row>
    <row r="49" spans="1:58" ht="12.95" customHeight="1" x14ac:dyDescent="0.2">
      <c r="A49" s="117"/>
      <c r="B49" s="118" t="s">
        <v>115</v>
      </c>
      <c r="C49" s="119">
        <f t="shared" si="72"/>
        <v>11.431816032</v>
      </c>
      <c r="D49" s="118" t="s">
        <v>196</v>
      </c>
      <c r="E49" s="37">
        <v>14</v>
      </c>
      <c r="F49" s="37">
        <v>1</v>
      </c>
      <c r="G49" s="120">
        <v>1280</v>
      </c>
      <c r="H49" s="121">
        <f t="shared" si="73"/>
        <v>0.21999999999999997</v>
      </c>
      <c r="I49" s="45">
        <v>0.88</v>
      </c>
      <c r="J49" s="46">
        <f t="shared" si="74"/>
        <v>55.150018560000007</v>
      </c>
      <c r="K49" s="46">
        <f t="shared" si="75"/>
        <v>12.269537280000002</v>
      </c>
      <c r="L49" s="122">
        <v>1192.6060606060605</v>
      </c>
      <c r="M49" s="122">
        <v>930.23272727272729</v>
      </c>
      <c r="N49" s="47">
        <f t="shared" si="76"/>
        <v>0.21999999999999997</v>
      </c>
      <c r="O49" s="48">
        <f>+'[4]Trim Rwd'!H33</f>
        <v>266</v>
      </c>
      <c r="P49" s="49">
        <f t="shared" si="77"/>
        <v>85652</v>
      </c>
      <c r="Q49" s="48">
        <v>330</v>
      </c>
      <c r="R49" s="123">
        <v>0</v>
      </c>
      <c r="S49" s="123">
        <v>8</v>
      </c>
      <c r="T49" s="50">
        <f t="shared" si="78"/>
        <v>11.431816032</v>
      </c>
      <c r="U49" s="50">
        <f t="shared" si="79"/>
        <v>11.154681097890911</v>
      </c>
      <c r="V49" s="50">
        <f t="shared" si="80"/>
        <v>0.29744332800000001</v>
      </c>
      <c r="W49" s="50">
        <f>+'[4]9'!K14/1000</f>
        <v>10.231999999999999</v>
      </c>
      <c r="X49" s="55"/>
      <c r="Y49" s="52"/>
      <c r="Z49" s="50">
        <f>+'[4]7'!D35/1000</f>
        <v>1.6282460769337592E-5</v>
      </c>
      <c r="AA49" s="50"/>
      <c r="AB49" s="50"/>
      <c r="AC49" s="50">
        <f>K49-T49</f>
        <v>0.83772124800000114</v>
      </c>
      <c r="AD49" s="50">
        <f t="shared" ref="AD49:AD51" si="81">+AM49+BA49</f>
        <v>9</v>
      </c>
      <c r="AE49" s="101" t="s">
        <v>119</v>
      </c>
      <c r="AF49" s="50"/>
      <c r="AG49" s="50">
        <v>9</v>
      </c>
      <c r="AH49" s="50"/>
      <c r="AI49" s="54"/>
      <c r="AJ49" s="50"/>
      <c r="AK49" s="50"/>
      <c r="AL49" s="50"/>
      <c r="AM49" s="50">
        <f t="shared" ref="AM49:AM51" si="82">SUM(AF49:AL49)+AT49</f>
        <v>9</v>
      </c>
      <c r="AN49" s="125"/>
      <c r="AO49" s="50"/>
      <c r="AP49" s="50"/>
      <c r="AQ49" s="50"/>
      <c r="AR49" s="50">
        <f t="shared" ref="AR49:AR51" si="83">SUM(AN49:AQ49)</f>
        <v>0</v>
      </c>
      <c r="AS49" s="50"/>
      <c r="AT49" s="50"/>
      <c r="AU49" s="50"/>
      <c r="AV49" s="50"/>
      <c r="AW49" s="50"/>
      <c r="AX49" s="50"/>
      <c r="AY49" s="50"/>
      <c r="AZ49" s="50"/>
      <c r="BA49" s="50">
        <f t="shared" ref="BA49:BA51" si="84">+AR49+AS49+AU49+AV49+AX49</f>
        <v>0</v>
      </c>
      <c r="BB49" s="126"/>
      <c r="BC49" s="116">
        <v>11</v>
      </c>
      <c r="BD49" s="116"/>
      <c r="BE49" s="126"/>
      <c r="BF49" s="116"/>
    </row>
    <row r="50" spans="1:58" ht="12.95" customHeight="1" x14ac:dyDescent="0.2">
      <c r="A50" s="117"/>
      <c r="B50" s="118" t="s">
        <v>168</v>
      </c>
      <c r="C50" s="119">
        <f t="shared" si="72"/>
        <v>11.119490810999999</v>
      </c>
      <c r="D50" s="118" t="s">
        <v>196</v>
      </c>
      <c r="E50" s="37">
        <v>16.5</v>
      </c>
      <c r="F50" s="37">
        <v>1</v>
      </c>
      <c r="G50" s="120">
        <v>1085</v>
      </c>
      <c r="H50" s="121">
        <f t="shared" si="73"/>
        <v>0.21999999999999997</v>
      </c>
      <c r="I50" s="45">
        <v>0.88</v>
      </c>
      <c r="J50" s="46">
        <f t="shared" si="74"/>
        <v>55.096161119999998</v>
      </c>
      <c r="K50" s="46">
        <f t="shared" si="75"/>
        <v>11.296975189500001</v>
      </c>
      <c r="L50" s="122">
        <v>1067.953795379538</v>
      </c>
      <c r="M50" s="122">
        <v>833.00396039603959</v>
      </c>
      <c r="N50" s="47">
        <f t="shared" si="76"/>
        <v>0.21999999999999997</v>
      </c>
      <c r="O50" s="48">
        <f>+'[4]Trim Rwd'!H34</f>
        <v>267</v>
      </c>
      <c r="P50" s="49">
        <f t="shared" si="77"/>
        <v>78765</v>
      </c>
      <c r="Q50" s="48">
        <v>303</v>
      </c>
      <c r="R50" s="123">
        <v>0</v>
      </c>
      <c r="S50" s="123">
        <v>8</v>
      </c>
      <c r="T50" s="50">
        <f t="shared" si="78"/>
        <v>11.119490810999999</v>
      </c>
      <c r="U50" s="50">
        <f t="shared" si="79"/>
        <v>10.82590689519802</v>
      </c>
      <c r="V50" s="50">
        <f t="shared" si="80"/>
        <v>0.29826997199999999</v>
      </c>
      <c r="W50" s="50">
        <f>+'[4]9'!K15/1000</f>
        <v>10.954000000000001</v>
      </c>
      <c r="X50" s="55"/>
      <c r="Y50" s="52"/>
      <c r="Z50" s="50"/>
      <c r="AA50" s="50"/>
      <c r="AB50" s="50"/>
      <c r="AC50" s="50">
        <f>K50-T50</f>
        <v>0.17748437850000265</v>
      </c>
      <c r="AD50" s="50">
        <f t="shared" si="81"/>
        <v>18</v>
      </c>
      <c r="AE50" s="101" t="s">
        <v>169</v>
      </c>
      <c r="AF50" s="124"/>
      <c r="AG50" s="124"/>
      <c r="AH50" s="124">
        <v>18</v>
      </c>
      <c r="AJ50" s="50"/>
      <c r="AK50" s="50"/>
      <c r="AL50" s="50"/>
      <c r="AM50" s="50">
        <f t="shared" si="82"/>
        <v>18</v>
      </c>
      <c r="AN50" s="50"/>
      <c r="AO50" s="50"/>
      <c r="AP50" s="50"/>
      <c r="AQ50" s="50"/>
      <c r="AR50" s="50">
        <f t="shared" si="83"/>
        <v>0</v>
      </c>
      <c r="AS50" s="50"/>
      <c r="AT50" s="50"/>
      <c r="AU50" s="50"/>
      <c r="AV50" s="50"/>
      <c r="AW50" s="50"/>
      <c r="AX50" s="50"/>
      <c r="AY50" s="50"/>
      <c r="AZ50" s="50"/>
      <c r="BA50" s="50">
        <f t="shared" si="84"/>
        <v>0</v>
      </c>
      <c r="BB50" s="124"/>
      <c r="BC50" s="146"/>
      <c r="BD50" s="146"/>
      <c r="BE50" s="124"/>
      <c r="BF50" s="146"/>
    </row>
    <row r="51" spans="1:58" ht="12.95" customHeight="1" x14ac:dyDescent="0.2">
      <c r="A51" s="117"/>
      <c r="B51" s="118" t="s">
        <v>168</v>
      </c>
      <c r="C51" s="119">
        <f t="shared" si="72"/>
        <v>7.1091820800000001</v>
      </c>
      <c r="D51" s="118" t="s">
        <v>196</v>
      </c>
      <c r="E51" s="37">
        <v>13.5</v>
      </c>
      <c r="F51" s="37">
        <v>1</v>
      </c>
      <c r="G51" s="120">
        <v>1345</v>
      </c>
      <c r="H51" s="121">
        <f t="shared" si="73"/>
        <v>0.22999999999999998</v>
      </c>
      <c r="I51" s="45">
        <v>0.88</v>
      </c>
      <c r="J51" s="46">
        <f t="shared" si="74"/>
        <v>55.164518640000004</v>
      </c>
      <c r="K51" s="46">
        <f t="shared" si="75"/>
        <v>7.9682082480000007</v>
      </c>
      <c r="L51" s="122">
        <v>1200</v>
      </c>
      <c r="M51" s="122">
        <v>924</v>
      </c>
      <c r="N51" s="47">
        <f t="shared" si="76"/>
        <v>0.22999999999999998</v>
      </c>
      <c r="O51" s="48">
        <f>+'[4]Trim Rwd'!H35</f>
        <v>274</v>
      </c>
      <c r="P51" s="49">
        <f t="shared" si="77"/>
        <v>55074</v>
      </c>
      <c r="Q51" s="48">
        <v>208</v>
      </c>
      <c r="R51" s="123">
        <v>0</v>
      </c>
      <c r="S51" s="123">
        <f>37-S48-S49-S50</f>
        <v>7</v>
      </c>
      <c r="T51" s="50">
        <f t="shared" si="78"/>
        <v>7.1091820800000001</v>
      </c>
      <c r="U51" s="50">
        <f t="shared" si="79"/>
        <v>6.8699307599999999</v>
      </c>
      <c r="V51" s="50">
        <f t="shared" si="80"/>
        <v>0.26816085449999999</v>
      </c>
      <c r="W51" s="50">
        <f>+'[4]9'!K7/1000</f>
        <v>2.6030000000000002</v>
      </c>
      <c r="X51" s="55"/>
      <c r="Y51" s="52"/>
      <c r="Z51" s="50"/>
      <c r="AA51" s="50"/>
      <c r="AB51" s="50"/>
      <c r="AC51" s="50">
        <f>K51-T51</f>
        <v>0.85902616800000065</v>
      </c>
      <c r="AD51" s="50">
        <f t="shared" si="81"/>
        <v>10</v>
      </c>
      <c r="AE51" s="148" t="s">
        <v>162</v>
      </c>
      <c r="AF51" s="50"/>
      <c r="AG51" s="50"/>
      <c r="AH51" s="50"/>
      <c r="AI51" s="54">
        <v>10</v>
      </c>
      <c r="AJ51" s="50"/>
      <c r="AK51" s="50"/>
      <c r="AL51" s="50"/>
      <c r="AM51" s="50">
        <f t="shared" si="82"/>
        <v>10</v>
      </c>
      <c r="AN51" s="50"/>
      <c r="AO51" s="50"/>
      <c r="AP51" s="50"/>
      <c r="AQ51" s="50"/>
      <c r="AR51" s="50">
        <f t="shared" si="83"/>
        <v>0</v>
      </c>
      <c r="AS51" s="50"/>
      <c r="AT51" s="50"/>
      <c r="AU51" s="50"/>
      <c r="AV51" s="50"/>
      <c r="AW51" s="50"/>
      <c r="AX51" s="50"/>
      <c r="AY51" s="50"/>
      <c r="AZ51" s="50"/>
      <c r="BA51" s="50">
        <f t="shared" si="84"/>
        <v>0</v>
      </c>
      <c r="BB51" s="126"/>
      <c r="BC51" s="116"/>
      <c r="BD51" s="116"/>
      <c r="BE51" s="126"/>
      <c r="BF51" s="116"/>
    </row>
    <row r="52" spans="1:58" ht="12.95" customHeight="1" x14ac:dyDescent="0.2">
      <c r="A52" s="117"/>
      <c r="B52" s="118"/>
      <c r="C52" s="119"/>
      <c r="D52" s="118"/>
      <c r="E52" s="37"/>
      <c r="F52" s="37"/>
      <c r="G52" s="127"/>
      <c r="H52" s="127"/>
      <c r="I52" s="45"/>
      <c r="J52" s="46"/>
      <c r="K52" s="46"/>
      <c r="L52" s="122"/>
      <c r="M52" s="122"/>
      <c r="N52" s="47"/>
      <c r="O52" s="48"/>
      <c r="P52" s="49"/>
      <c r="Q52" s="48"/>
      <c r="R52" s="123"/>
      <c r="S52" s="123"/>
      <c r="T52" s="50"/>
      <c r="U52" s="50"/>
      <c r="V52" s="50"/>
      <c r="W52" s="50"/>
      <c r="X52" s="55"/>
      <c r="Y52" s="52"/>
      <c r="Z52" s="50"/>
      <c r="AA52" s="50"/>
      <c r="AB52" s="50"/>
      <c r="AC52" s="50"/>
      <c r="AD52" s="50"/>
      <c r="AE52" s="101"/>
      <c r="AF52" s="50"/>
      <c r="AG52" s="50"/>
      <c r="AH52" s="50"/>
      <c r="AI52" s="54"/>
      <c r="AJ52" s="50"/>
      <c r="AK52" s="50"/>
      <c r="AL52" s="50"/>
      <c r="AM52" s="50"/>
      <c r="AN52" s="125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126"/>
      <c r="BC52" s="116"/>
      <c r="BD52" s="116"/>
      <c r="BE52" s="124"/>
      <c r="BF52" s="116"/>
    </row>
    <row r="53" spans="1:58" ht="12.95" customHeight="1" x14ac:dyDescent="0.2">
      <c r="A53" s="117">
        <v>45971</v>
      </c>
      <c r="B53" s="118" t="s">
        <v>168</v>
      </c>
      <c r="C53" s="119">
        <f t="shared" ref="C53" si="85">(M53*E53*O53*Q53)/100000000</f>
        <v>53.455580640000008</v>
      </c>
      <c r="D53" s="118" t="s">
        <v>196</v>
      </c>
      <c r="E53" s="37">
        <v>13.5</v>
      </c>
      <c r="F53" s="37">
        <v>1</v>
      </c>
      <c r="G53" s="120">
        <v>1345</v>
      </c>
      <c r="H53" s="121">
        <f t="shared" ref="H53" si="86">+N53</f>
        <v>0.22999999999999987</v>
      </c>
      <c r="I53" s="45">
        <v>0.88</v>
      </c>
      <c r="J53" s="46">
        <f t="shared" ref="J53" si="87">E53*G53*(1-H53)*1440/1000000*2.74</f>
        <v>55.164518640000018</v>
      </c>
      <c r="K53" s="46">
        <f t="shared" ref="K53" si="88">(IF(G53&lt;L53,L53,G53)*(1-IF(H53&lt;N53,H53,N53))*E53*O53*Q53)/100000000</f>
        <v>55.164518640000011</v>
      </c>
      <c r="L53" s="122">
        <v>1303.3333333333333</v>
      </c>
      <c r="M53" s="122">
        <v>1003.5666666666667</v>
      </c>
      <c r="N53" s="47">
        <f t="shared" ref="N53" si="89">1-(M53/L53)</f>
        <v>0.22999999999999987</v>
      </c>
      <c r="O53" s="48">
        <f>+'[4]Trim Rwd'!H37</f>
        <v>274</v>
      </c>
      <c r="P53" s="49">
        <f t="shared" ref="P53" si="90">O53*(Q53-R53-S53)</f>
        <v>383600</v>
      </c>
      <c r="Q53" s="48">
        <v>1440</v>
      </c>
      <c r="R53" s="123">
        <v>0</v>
      </c>
      <c r="S53" s="123">
        <v>40</v>
      </c>
      <c r="T53" s="50">
        <f t="shared" ref="T53" si="91">E53*M53*O53*Q53/100000000</f>
        <v>53.455580640000008</v>
      </c>
      <c r="U53" s="50">
        <f t="shared" ref="U53" si="92">E53*M53*O53*(Q53-R53-S53)/100000000</f>
        <v>51.970703400000012</v>
      </c>
      <c r="V53" s="50">
        <f t="shared" ref="V53" si="93">E53*G53*(1-N53)*O53/100*(R53+S53)/1000000</f>
        <v>1.5323477400000003</v>
      </c>
      <c r="W53" s="50">
        <f>+'[4]10'!K7/1000</f>
        <v>51.182000000000002</v>
      </c>
      <c r="X53" s="51">
        <f>SUM(W53:W56)/SUM(K53:K56)</f>
        <v>0.92780651878810616</v>
      </c>
      <c r="Y53" s="52">
        <f>+SUM([4]RBP!AG44:AG45)</f>
        <v>0</v>
      </c>
      <c r="Z53" s="50">
        <v>0</v>
      </c>
      <c r="AA53" s="53">
        <f>SUM(U53:U56)-SUM(W53:W56)-SUM(Z53:Z56)-SUM(Y53:Y56)</f>
        <v>0.78870340000000994</v>
      </c>
      <c r="AB53" s="53">
        <f>(SUM(K53:K56)-SUM(W53:W56)-SUM(Y53:Y56)-SUM(Z53:Z56)-SUM(AC53:AC56)-SUM(V53:V56))-AA53</f>
        <v>-4.7470500000004412E-2</v>
      </c>
      <c r="AC53" s="50">
        <f>K53-T53</f>
        <v>1.7089380000000034</v>
      </c>
      <c r="AD53" s="50">
        <f>+AM53+BA53</f>
        <v>0</v>
      </c>
      <c r="AE53" s="101" t="s">
        <v>110</v>
      </c>
      <c r="AF53" s="50">
        <v>0</v>
      </c>
      <c r="AG53" s="50"/>
      <c r="AH53" s="50"/>
      <c r="AI53" s="54"/>
      <c r="AJ53" s="50"/>
      <c r="AK53" s="50"/>
      <c r="AL53" s="50"/>
      <c r="AM53" s="50">
        <f>SUM(AF53:AL53)+AT53</f>
        <v>0</v>
      </c>
      <c r="AN53" s="50"/>
      <c r="AO53" s="50"/>
      <c r="AP53" s="50"/>
      <c r="AQ53" s="50"/>
      <c r="AR53" s="50">
        <f>SUM(AN53:AQ53)</f>
        <v>0</v>
      </c>
      <c r="AS53" s="50"/>
      <c r="AT53" s="50"/>
      <c r="AU53" s="50"/>
      <c r="AV53" s="50"/>
      <c r="AW53" s="50"/>
      <c r="AX53" s="50"/>
      <c r="AY53" s="50"/>
      <c r="AZ53" s="50"/>
      <c r="BA53" s="50">
        <f>+AR53+AS53+AU53+AV53+AX53</f>
        <v>0</v>
      </c>
      <c r="BB53" s="124">
        <v>0</v>
      </c>
      <c r="BC53" s="116"/>
      <c r="BD53" s="116"/>
      <c r="BE53" s="124"/>
      <c r="BF53" s="116"/>
    </row>
    <row r="54" spans="1:58" ht="12.95" customHeight="1" x14ac:dyDescent="0.2">
      <c r="A54" s="117"/>
      <c r="B54" s="118"/>
      <c r="C54" s="119"/>
      <c r="D54" s="118"/>
      <c r="E54" s="37"/>
      <c r="F54" s="37"/>
      <c r="G54" s="120"/>
      <c r="H54" s="121"/>
      <c r="I54" s="45"/>
      <c r="J54" s="46"/>
      <c r="K54" s="46"/>
      <c r="L54" s="122"/>
      <c r="M54" s="122"/>
      <c r="N54" s="47"/>
      <c r="O54" s="48"/>
      <c r="P54" s="49"/>
      <c r="Q54" s="48"/>
      <c r="R54" s="123"/>
      <c r="S54" s="123"/>
      <c r="T54" s="50"/>
      <c r="U54" s="50"/>
      <c r="V54" s="50"/>
      <c r="W54" s="50"/>
      <c r="X54" s="55"/>
      <c r="Y54" s="52"/>
      <c r="Z54" s="50"/>
      <c r="AA54" s="50"/>
      <c r="AB54" s="50"/>
      <c r="AC54" s="50">
        <f>K54-T54</f>
        <v>0</v>
      </c>
      <c r="AD54" s="50">
        <f t="shared" ref="AD54:AD56" si="94">+AM54+BA54</f>
        <v>11</v>
      </c>
      <c r="AE54" s="101" t="s">
        <v>119</v>
      </c>
      <c r="AF54" s="50"/>
      <c r="AG54" s="50">
        <v>11</v>
      </c>
      <c r="AH54" s="50"/>
      <c r="AI54" s="54"/>
      <c r="AJ54" s="50"/>
      <c r="AK54" s="50"/>
      <c r="AL54" s="50"/>
      <c r="AM54" s="50">
        <f t="shared" ref="AM54:AM56" si="95">SUM(AF54:AL54)+AT54</f>
        <v>11</v>
      </c>
      <c r="AN54" s="125"/>
      <c r="AO54" s="50"/>
      <c r="AP54" s="50"/>
      <c r="AQ54" s="50"/>
      <c r="AR54" s="50">
        <f t="shared" ref="AR54:AR56" si="96">SUM(AN54:AQ54)</f>
        <v>0</v>
      </c>
      <c r="AS54" s="50"/>
      <c r="AT54" s="50"/>
      <c r="AU54" s="50"/>
      <c r="AV54" s="50"/>
      <c r="AW54" s="50"/>
      <c r="AX54" s="50"/>
      <c r="AY54" s="50"/>
      <c r="AZ54" s="50"/>
      <c r="BA54" s="50">
        <f t="shared" ref="BA54:BA56" si="97">+AR54+AS54+AU54+AV54+AX54</f>
        <v>0</v>
      </c>
      <c r="BB54" s="126"/>
      <c r="BC54" s="116">
        <v>11</v>
      </c>
      <c r="BD54" s="116"/>
      <c r="BE54" s="126"/>
      <c r="BF54" s="116"/>
    </row>
    <row r="55" spans="1:58" ht="12.95" customHeight="1" x14ac:dyDescent="0.2">
      <c r="A55" s="117"/>
      <c r="B55" s="118"/>
      <c r="C55" s="119"/>
      <c r="D55" s="118"/>
      <c r="E55" s="37"/>
      <c r="F55" s="37"/>
      <c r="G55" s="127"/>
      <c r="H55" s="121"/>
      <c r="I55" s="45"/>
      <c r="J55" s="46"/>
      <c r="K55" s="46"/>
      <c r="L55" s="122"/>
      <c r="M55" s="122"/>
      <c r="N55" s="47"/>
      <c r="O55" s="48"/>
      <c r="P55" s="49"/>
      <c r="Q55" s="48"/>
      <c r="R55" s="123"/>
      <c r="S55" s="123"/>
      <c r="T55" s="50"/>
      <c r="U55" s="50"/>
      <c r="V55" s="50"/>
      <c r="W55" s="50"/>
      <c r="X55" s="55"/>
      <c r="Y55" s="52"/>
      <c r="Z55" s="50"/>
      <c r="AA55" s="50"/>
      <c r="AB55" s="50"/>
      <c r="AC55" s="50"/>
      <c r="AD55" s="50">
        <f t="shared" si="94"/>
        <v>19</v>
      </c>
      <c r="AE55" s="101" t="s">
        <v>130</v>
      </c>
      <c r="AF55" s="124"/>
      <c r="AG55" s="124"/>
      <c r="AH55" s="124">
        <v>19</v>
      </c>
      <c r="AJ55" s="50"/>
      <c r="AK55" s="50"/>
      <c r="AL55" s="50"/>
      <c r="AM55" s="50">
        <f t="shared" si="95"/>
        <v>19</v>
      </c>
      <c r="AN55" s="50"/>
      <c r="AO55" s="50"/>
      <c r="AP55" s="50"/>
      <c r="AQ55" s="50"/>
      <c r="AR55" s="50">
        <f t="shared" si="96"/>
        <v>0</v>
      </c>
      <c r="AS55" s="50"/>
      <c r="AT55" s="50"/>
      <c r="AU55" s="50"/>
      <c r="AV55" s="50"/>
      <c r="AW55" s="50"/>
      <c r="AX55" s="50"/>
      <c r="AY55" s="50"/>
      <c r="AZ55" s="50"/>
      <c r="BA55" s="50">
        <f t="shared" si="97"/>
        <v>0</v>
      </c>
      <c r="BB55" s="124"/>
      <c r="BC55" s="146"/>
      <c r="BD55" s="146"/>
      <c r="BE55" s="124"/>
      <c r="BF55" s="146"/>
    </row>
    <row r="56" spans="1:58" ht="12.95" customHeight="1" x14ac:dyDescent="0.2">
      <c r="A56" s="117"/>
      <c r="B56" s="118"/>
      <c r="C56" s="119"/>
      <c r="D56" s="118"/>
      <c r="E56" s="37"/>
      <c r="F56" s="37"/>
      <c r="G56" s="127"/>
      <c r="H56" s="121"/>
      <c r="I56" s="45"/>
      <c r="J56" s="46"/>
      <c r="K56" s="46"/>
      <c r="L56" s="122"/>
      <c r="M56" s="122"/>
      <c r="N56" s="47"/>
      <c r="O56" s="48"/>
      <c r="P56" s="49"/>
      <c r="Q56" s="56"/>
      <c r="R56" s="123"/>
      <c r="S56" s="123"/>
      <c r="T56" s="50"/>
      <c r="U56" s="50"/>
      <c r="V56" s="50"/>
      <c r="W56" s="50"/>
      <c r="X56" s="55"/>
      <c r="Y56" s="52"/>
      <c r="Z56" s="50"/>
      <c r="AA56" s="50"/>
      <c r="AB56" s="50"/>
      <c r="AC56" s="50"/>
      <c r="AD56" s="50">
        <f t="shared" si="94"/>
        <v>10</v>
      </c>
      <c r="AE56" s="148" t="s">
        <v>162</v>
      </c>
      <c r="AF56" s="50"/>
      <c r="AG56" s="50"/>
      <c r="AH56" s="50"/>
      <c r="AI56" s="54">
        <v>10</v>
      </c>
      <c r="AJ56" s="50"/>
      <c r="AK56" s="50"/>
      <c r="AL56" s="50"/>
      <c r="AM56" s="50">
        <f t="shared" si="95"/>
        <v>10</v>
      </c>
      <c r="AN56" s="50"/>
      <c r="AO56" s="50"/>
      <c r="AP56" s="50"/>
      <c r="AQ56" s="50"/>
      <c r="AR56" s="50">
        <f t="shared" si="96"/>
        <v>0</v>
      </c>
      <c r="AS56" s="50"/>
      <c r="AT56" s="50"/>
      <c r="AU56" s="50"/>
      <c r="AV56" s="50"/>
      <c r="AW56" s="50"/>
      <c r="AX56" s="50"/>
      <c r="AY56" s="50"/>
      <c r="AZ56" s="50"/>
      <c r="BA56" s="50">
        <f t="shared" si="97"/>
        <v>0</v>
      </c>
      <c r="BB56" s="126"/>
      <c r="BC56" s="116"/>
      <c r="BD56" s="116"/>
      <c r="BE56" s="126"/>
      <c r="BF56" s="116"/>
    </row>
    <row r="57" spans="1:58" ht="12.95" customHeight="1" x14ac:dyDescent="0.2">
      <c r="A57" s="117"/>
      <c r="B57" s="118"/>
      <c r="C57" s="119"/>
      <c r="D57" s="118"/>
      <c r="E57" s="37"/>
      <c r="F57" s="37"/>
      <c r="G57" s="127"/>
      <c r="H57" s="127"/>
      <c r="I57" s="45"/>
      <c r="J57" s="46"/>
      <c r="K57" s="46"/>
      <c r="L57" s="122"/>
      <c r="M57" s="122"/>
      <c r="N57" s="47"/>
      <c r="O57" s="48"/>
      <c r="P57" s="49"/>
      <c r="Q57" s="48"/>
      <c r="R57" s="123"/>
      <c r="S57" s="123"/>
      <c r="T57" s="50"/>
      <c r="U57" s="50"/>
      <c r="V57" s="50"/>
      <c r="W57" s="50"/>
      <c r="X57" s="55"/>
      <c r="Y57" s="52"/>
      <c r="Z57" s="50"/>
      <c r="AA57" s="53"/>
      <c r="AB57" s="53"/>
      <c r="AC57" s="50"/>
      <c r="AD57" s="50"/>
      <c r="AE57" s="148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124"/>
      <c r="BC57" s="116"/>
      <c r="BD57" s="116"/>
      <c r="BE57" s="126"/>
      <c r="BF57" s="116"/>
    </row>
    <row r="58" spans="1:58" ht="12.95" customHeight="1" x14ac:dyDescent="0.2">
      <c r="A58" s="117">
        <v>45972</v>
      </c>
      <c r="B58" s="118" t="s">
        <v>168</v>
      </c>
      <c r="C58" s="119">
        <f t="shared" ref="C58" si="98">(M58*E58*O58*Q58)/100000000</f>
        <v>53.455580640000008</v>
      </c>
      <c r="D58" s="118" t="s">
        <v>196</v>
      </c>
      <c r="E58" s="37">
        <v>13.5</v>
      </c>
      <c r="F58" s="37">
        <v>1</v>
      </c>
      <c r="G58" s="120">
        <v>1345</v>
      </c>
      <c r="H58" s="121">
        <f t="shared" ref="H58" si="99">+N58</f>
        <v>0.22999999999999987</v>
      </c>
      <c r="I58" s="45">
        <v>0.88</v>
      </c>
      <c r="J58" s="46">
        <f t="shared" ref="J58" si="100">E58*G58*(1-H58)*1440/1000000*2.74</f>
        <v>55.164518640000018</v>
      </c>
      <c r="K58" s="46">
        <f>(IF(G58&lt;L58,L58,G58)*(1-IF(H58&lt;N58,H58,N58))*E58*O58*Q58)/100000000</f>
        <v>55.164518640000011</v>
      </c>
      <c r="L58" s="122">
        <v>1303.3333333333333</v>
      </c>
      <c r="M58" s="122">
        <v>1003.5666666666667</v>
      </c>
      <c r="N58" s="47">
        <f t="shared" ref="N58" si="101">1-(M58/L58)</f>
        <v>0.22999999999999987</v>
      </c>
      <c r="O58" s="48">
        <f>+'[4]Trim Rwd'!H40</f>
        <v>274</v>
      </c>
      <c r="P58" s="49">
        <f t="shared" ref="P58" si="102">O58*(Q58-R58-S58)</f>
        <v>380312</v>
      </c>
      <c r="Q58" s="48">
        <v>1440</v>
      </c>
      <c r="R58" s="123">
        <v>0</v>
      </c>
      <c r="S58" s="123">
        <v>52</v>
      </c>
      <c r="T58" s="50">
        <f t="shared" ref="T58" si="103">E58*M58*O58*Q58/100000000</f>
        <v>53.455580640000008</v>
      </c>
      <c r="U58" s="50">
        <f t="shared" ref="U58" si="104">E58*M58*O58*(Q58-R58-S58)/100000000</f>
        <v>51.525240228000008</v>
      </c>
      <c r="V58" s="50">
        <f t="shared" ref="V58" si="105">E58*G58*(1-N58)*O58/100*(R58+S58)/1000000</f>
        <v>1.9920520620000004</v>
      </c>
      <c r="W58" s="50">
        <f>+'[4]11'!K7/1000</f>
        <v>50.652999999999999</v>
      </c>
      <c r="X58" s="51">
        <f>SUM(W58:W61)/SUM(K58:K61)</f>
        <v>0.91821702153440543</v>
      </c>
      <c r="Y58" s="52">
        <f>+SUM([4]RBP!AG49:AG50)</f>
        <v>0</v>
      </c>
      <c r="Z58" s="50">
        <v>0</v>
      </c>
      <c r="AA58" s="53">
        <f>SUM(U58:U61)-SUM(W58:W61)-SUM(Z58:Z61)-SUM(Y58:Y61)</f>
        <v>0.87224022800000967</v>
      </c>
      <c r="AB58" s="53">
        <f>(SUM(K58:K61)-SUM(W58:W61)-SUM(Y58:Y61)-SUM(Z58:Z61)-SUM(AC58:AC61)-SUM(V58:V61))-AA58</f>
        <v>-6.1711650000000784E-2</v>
      </c>
      <c r="AC58" s="50">
        <f>K58-T58</f>
        <v>1.7089380000000034</v>
      </c>
      <c r="AD58" s="50">
        <f>+AM58+BA58</f>
        <v>0</v>
      </c>
      <c r="AE58" s="101" t="s">
        <v>110</v>
      </c>
      <c r="AF58" s="50">
        <v>0</v>
      </c>
      <c r="AG58" s="50"/>
      <c r="AH58" s="50"/>
      <c r="AI58" s="54"/>
      <c r="AJ58" s="50"/>
      <c r="AK58" s="50"/>
      <c r="AL58" s="50"/>
      <c r="AM58" s="50">
        <f>SUM(AF58:AL58)+AT58</f>
        <v>0</v>
      </c>
      <c r="AN58" s="50"/>
      <c r="AO58" s="50"/>
      <c r="AP58" s="50"/>
      <c r="AQ58" s="50"/>
      <c r="AR58" s="50">
        <f>SUM(AN58:AQ58)</f>
        <v>0</v>
      </c>
      <c r="AS58" s="50"/>
      <c r="AT58" s="50"/>
      <c r="AU58" s="50"/>
      <c r="AV58" s="50"/>
      <c r="AW58" s="50"/>
      <c r="AX58" s="50"/>
      <c r="AY58" s="50"/>
      <c r="AZ58" s="50"/>
      <c r="BA58" s="50">
        <f>+AR58+AS58+AU58+AV58+AX58</f>
        <v>0</v>
      </c>
      <c r="BB58" s="124">
        <v>0</v>
      </c>
      <c r="BC58" s="116"/>
      <c r="BD58" s="116"/>
      <c r="BE58" s="124"/>
      <c r="BF58" s="116"/>
    </row>
    <row r="59" spans="1:58" ht="12.95" customHeight="1" x14ac:dyDescent="0.2">
      <c r="A59" s="117"/>
      <c r="B59" s="118"/>
      <c r="C59" s="119"/>
      <c r="D59" s="118"/>
      <c r="E59" s="37"/>
      <c r="F59" s="37"/>
      <c r="G59" s="120"/>
      <c r="H59" s="121"/>
      <c r="I59" s="45"/>
      <c r="J59" s="46"/>
      <c r="K59" s="46"/>
      <c r="L59" s="122"/>
      <c r="M59" s="122"/>
      <c r="N59" s="47"/>
      <c r="O59" s="48"/>
      <c r="P59" s="49"/>
      <c r="Q59" s="48"/>
      <c r="R59" s="123"/>
      <c r="S59" s="123"/>
      <c r="T59" s="50"/>
      <c r="U59" s="50"/>
      <c r="V59" s="50"/>
      <c r="W59" s="50"/>
      <c r="X59" s="55"/>
      <c r="Y59" s="52"/>
      <c r="Z59" s="50"/>
      <c r="AA59" s="50"/>
      <c r="AB59" s="50"/>
      <c r="AC59" s="50">
        <f>K59-T59</f>
        <v>0</v>
      </c>
      <c r="AD59" s="50">
        <f t="shared" ref="AD59:AD61" si="106">+AM59+BA59</f>
        <v>12</v>
      </c>
      <c r="AE59" s="101" t="s">
        <v>117</v>
      </c>
      <c r="AF59" s="50"/>
      <c r="AG59" s="50">
        <v>12</v>
      </c>
      <c r="AH59" s="50"/>
      <c r="AI59" s="54"/>
      <c r="AJ59" s="50"/>
      <c r="AK59" s="50"/>
      <c r="AL59" s="50"/>
      <c r="AM59" s="50">
        <f t="shared" ref="AM59:AM61" si="107">SUM(AF59:AL59)+AT59</f>
        <v>12</v>
      </c>
      <c r="AN59" s="125"/>
      <c r="AO59" s="50"/>
      <c r="AP59" s="50"/>
      <c r="AQ59" s="50"/>
      <c r="AR59" s="50">
        <f t="shared" ref="AR59:AR61" si="108">SUM(AN59:AQ59)</f>
        <v>0</v>
      </c>
      <c r="AS59" s="50"/>
      <c r="AT59" s="50"/>
      <c r="AU59" s="50"/>
      <c r="AV59" s="50"/>
      <c r="AW59" s="50"/>
      <c r="AX59" s="50"/>
      <c r="AY59" s="50"/>
      <c r="AZ59" s="50"/>
      <c r="BA59" s="50">
        <f t="shared" ref="BA59:BA61" si="109">+AR59+AS59+AU59+AV59+AX59</f>
        <v>0</v>
      </c>
      <c r="BB59" s="126"/>
      <c r="BC59" s="116">
        <v>9</v>
      </c>
      <c r="BD59" s="116"/>
      <c r="BE59" s="126"/>
      <c r="BF59" s="116"/>
    </row>
    <row r="60" spans="1:58" ht="12.95" customHeight="1" x14ac:dyDescent="0.2">
      <c r="A60" s="117"/>
      <c r="B60" s="118"/>
      <c r="C60" s="119"/>
      <c r="D60" s="118"/>
      <c r="E60" s="37"/>
      <c r="F60" s="37"/>
      <c r="G60" s="127"/>
      <c r="H60" s="121"/>
      <c r="I60" s="45"/>
      <c r="J60" s="46"/>
      <c r="K60" s="46"/>
      <c r="L60" s="122"/>
      <c r="M60" s="122"/>
      <c r="N60" s="47"/>
      <c r="O60" s="48"/>
      <c r="P60" s="49"/>
      <c r="Q60" s="48"/>
      <c r="R60" s="123"/>
      <c r="S60" s="123"/>
      <c r="T60" s="50"/>
      <c r="U60" s="50"/>
      <c r="V60" s="50"/>
      <c r="W60" s="50"/>
      <c r="X60" s="55"/>
      <c r="Y60" s="52"/>
      <c r="Z60" s="50"/>
      <c r="AA60" s="50"/>
      <c r="AB60" s="50"/>
      <c r="AC60" s="50"/>
      <c r="AD60" s="50">
        <f t="shared" si="106"/>
        <v>22</v>
      </c>
      <c r="AE60" s="101" t="s">
        <v>135</v>
      </c>
      <c r="AF60" s="124"/>
      <c r="AG60" s="124"/>
      <c r="AH60" s="124">
        <v>22</v>
      </c>
      <c r="AJ60" s="50"/>
      <c r="AK60" s="50"/>
      <c r="AL60" s="50"/>
      <c r="AM60" s="50">
        <f t="shared" si="107"/>
        <v>22</v>
      </c>
      <c r="AN60" s="50"/>
      <c r="AO60" s="50"/>
      <c r="AP60" s="50"/>
      <c r="AQ60" s="50"/>
      <c r="AR60" s="50">
        <f t="shared" si="108"/>
        <v>0</v>
      </c>
      <c r="AS60" s="50"/>
      <c r="AT60" s="50"/>
      <c r="AU60" s="50"/>
      <c r="AV60" s="50"/>
      <c r="AW60" s="50"/>
      <c r="AX60" s="50"/>
      <c r="AY60" s="50"/>
      <c r="AZ60" s="50"/>
      <c r="BA60" s="50">
        <f t="shared" si="109"/>
        <v>0</v>
      </c>
      <c r="BB60" s="124"/>
      <c r="BC60" s="146"/>
      <c r="BD60" s="146"/>
      <c r="BE60" s="124"/>
      <c r="BF60" s="146"/>
    </row>
    <row r="61" spans="1:58" ht="12.95" customHeight="1" x14ac:dyDescent="0.2">
      <c r="A61" s="117"/>
      <c r="B61" s="118"/>
      <c r="C61" s="119"/>
      <c r="D61" s="118"/>
      <c r="E61" s="37"/>
      <c r="F61" s="37"/>
      <c r="G61" s="127"/>
      <c r="H61" s="121"/>
      <c r="I61" s="45"/>
      <c r="J61" s="46"/>
      <c r="K61" s="46"/>
      <c r="L61" s="122"/>
      <c r="M61" s="122"/>
      <c r="N61" s="47"/>
      <c r="O61" s="48"/>
      <c r="P61" s="49"/>
      <c r="Q61" s="56"/>
      <c r="R61" s="123"/>
      <c r="S61" s="123"/>
      <c r="T61" s="50"/>
      <c r="U61" s="50"/>
      <c r="V61" s="50"/>
      <c r="W61" s="50"/>
      <c r="X61" s="55"/>
      <c r="Y61" s="52"/>
      <c r="Z61" s="50"/>
      <c r="AA61" s="50"/>
      <c r="AB61" s="50"/>
      <c r="AC61" s="50"/>
      <c r="AD61" s="50">
        <f t="shared" si="106"/>
        <v>18</v>
      </c>
      <c r="AE61" s="148" t="s">
        <v>162</v>
      </c>
      <c r="AF61" s="50"/>
      <c r="AG61" s="50"/>
      <c r="AH61" s="50"/>
      <c r="AI61" s="54">
        <v>18</v>
      </c>
      <c r="AJ61" s="50"/>
      <c r="AK61" s="50"/>
      <c r="AL61" s="50"/>
      <c r="AM61" s="50">
        <f t="shared" si="107"/>
        <v>18</v>
      </c>
      <c r="AN61" s="50"/>
      <c r="AO61" s="50"/>
      <c r="AP61" s="50"/>
      <c r="AQ61" s="50"/>
      <c r="AR61" s="50">
        <f t="shared" si="108"/>
        <v>0</v>
      </c>
      <c r="AS61" s="50"/>
      <c r="AT61" s="50"/>
      <c r="AU61" s="50"/>
      <c r="AV61" s="50"/>
      <c r="AW61" s="50"/>
      <c r="AX61" s="50"/>
      <c r="AY61" s="50"/>
      <c r="AZ61" s="50"/>
      <c r="BA61" s="50">
        <f t="shared" si="109"/>
        <v>0</v>
      </c>
      <c r="BB61" s="126"/>
      <c r="BC61" s="116"/>
      <c r="BD61" s="116"/>
      <c r="BE61" s="126"/>
      <c r="BF61" s="116"/>
    </row>
    <row r="62" spans="1:58" ht="12.95" customHeight="1" x14ac:dyDescent="0.2">
      <c r="A62" s="117"/>
      <c r="B62" s="118"/>
      <c r="C62" s="119"/>
      <c r="D62" s="118"/>
      <c r="E62" s="37"/>
      <c r="F62" s="37"/>
      <c r="G62" s="127"/>
      <c r="H62" s="127"/>
      <c r="I62" s="45"/>
      <c r="J62" s="46"/>
      <c r="K62" s="46"/>
      <c r="L62" s="122"/>
      <c r="M62" s="122"/>
      <c r="N62" s="47"/>
      <c r="O62" s="48"/>
      <c r="P62" s="49"/>
      <c r="Q62" s="48"/>
      <c r="R62" s="123"/>
      <c r="S62" s="123"/>
      <c r="T62" s="50"/>
      <c r="U62" s="50"/>
      <c r="V62" s="50"/>
      <c r="W62" s="50"/>
      <c r="X62" s="55"/>
      <c r="Y62" s="52"/>
      <c r="Z62" s="50"/>
      <c r="AA62" s="53"/>
      <c r="AB62" s="53"/>
      <c r="AC62" s="50"/>
      <c r="AD62" s="50"/>
      <c r="AE62" s="148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124"/>
      <c r="BC62" s="116"/>
      <c r="BD62" s="116"/>
      <c r="BE62" s="126"/>
      <c r="BF62" s="116"/>
    </row>
    <row r="63" spans="1:58" ht="12.95" customHeight="1" x14ac:dyDescent="0.2">
      <c r="A63" s="117">
        <v>45973</v>
      </c>
      <c r="B63" s="118" t="s">
        <v>168</v>
      </c>
      <c r="C63" s="119">
        <f t="shared" ref="C63" si="110">(M63*E63*O63*Q63)/100000000</f>
        <v>53.318865600000002</v>
      </c>
      <c r="D63" s="118" t="s">
        <v>196</v>
      </c>
      <c r="E63" s="37">
        <v>13.5</v>
      </c>
      <c r="F63" s="37">
        <v>1</v>
      </c>
      <c r="G63" s="120">
        <v>1345</v>
      </c>
      <c r="H63" s="121">
        <f t="shared" ref="H63" si="111">+N63</f>
        <v>0.22999999999999998</v>
      </c>
      <c r="I63" s="45">
        <v>0.88</v>
      </c>
      <c r="J63" s="46">
        <f t="shared" ref="J63" si="112">E63*G63*(1-H63)*1440/1000000*2.74</f>
        <v>55.164518640000004</v>
      </c>
      <c r="K63" s="46">
        <f>(IF(G63&lt;L63,L63,G63)*(1-IF(H63&lt;N63,H63,N63))*E63*O63*Q63)/100000000</f>
        <v>55.164518640000011</v>
      </c>
      <c r="L63" s="122">
        <v>1300</v>
      </c>
      <c r="M63" s="122">
        <v>1001</v>
      </c>
      <c r="N63" s="47">
        <f t="shared" ref="N63" si="113">1-(M63/L63)</f>
        <v>0.22999999999999998</v>
      </c>
      <c r="O63" s="48">
        <f>+'[4]Trim Rwd'!H42</f>
        <v>274</v>
      </c>
      <c r="P63" s="49">
        <f t="shared" ref="P63" si="114">O63*(Q63-R63-S63)</f>
        <v>377572</v>
      </c>
      <c r="Q63" s="48">
        <v>1440</v>
      </c>
      <c r="R63" s="123">
        <v>0</v>
      </c>
      <c r="S63" s="123">
        <v>62</v>
      </c>
      <c r="T63" s="50">
        <f t="shared" ref="T63" si="115">E63*M63*O63*Q63/100000000</f>
        <v>53.318865600000002</v>
      </c>
      <c r="U63" s="50">
        <f t="shared" ref="U63" si="116">E63*M63*O63*(Q63-R63-S63)/100000000</f>
        <v>51.023192219999999</v>
      </c>
      <c r="V63" s="50">
        <f t="shared" ref="V63" si="117">E63*G63*(1-N63)*O63/100*(R63+S63)/1000000</f>
        <v>2.3751389970000001</v>
      </c>
      <c r="W63" s="50">
        <f>+'[4]12'!K7/1000</f>
        <v>49.13</v>
      </c>
      <c r="X63" s="51">
        <f>SUM(W63:W66)/SUM(K63:K66)</f>
        <v>0.89060869579265478</v>
      </c>
      <c r="Y63" s="52">
        <f>+SUM([4]RBP!AG54:AG55)</f>
        <v>0</v>
      </c>
      <c r="Z63" s="50">
        <f>+'[4]12'!D25/1000</f>
        <v>0.68</v>
      </c>
      <c r="AA63" s="53">
        <f>SUM(U63:U66)-SUM(W63:W66)-SUM(Z63:Z66)-SUM(Y63:Y66)</f>
        <v>1.2131922199999958</v>
      </c>
      <c r="AB63" s="53">
        <f>(SUM(K63:K66)-SUM(W63:W66)-SUM(Y63:Y66)-SUM(Z63:Z66)-SUM(AC63:AC66)-SUM(V63:V66))-AA63</f>
        <v>-7.9465616999995881E-2</v>
      </c>
      <c r="AC63" s="50">
        <f>K63-T63</f>
        <v>1.8456530400000091</v>
      </c>
      <c r="AD63" s="50">
        <f>+AM63+BA63</f>
        <v>0</v>
      </c>
      <c r="AE63" s="101" t="s">
        <v>110</v>
      </c>
      <c r="AF63" s="50">
        <v>0</v>
      </c>
      <c r="AG63" s="50"/>
      <c r="AH63" s="50"/>
      <c r="AI63" s="54"/>
      <c r="AJ63" s="50"/>
      <c r="AK63" s="50"/>
      <c r="AL63" s="50"/>
      <c r="AM63" s="50">
        <f>SUM(AF63:AL63)+AT63</f>
        <v>0</v>
      </c>
      <c r="AN63" s="50"/>
      <c r="AO63" s="50"/>
      <c r="AP63" s="50"/>
      <c r="AQ63" s="50"/>
      <c r="AR63" s="50">
        <f>SUM(AN63:AQ63)</f>
        <v>0</v>
      </c>
      <c r="AS63" s="50"/>
      <c r="AT63" s="50"/>
      <c r="AU63" s="50"/>
      <c r="AV63" s="50"/>
      <c r="AW63" s="50"/>
      <c r="AX63" s="50"/>
      <c r="AY63" s="50"/>
      <c r="AZ63" s="50"/>
      <c r="BA63" s="50">
        <f>+AR63+AS63+AU63+AV63+AX63</f>
        <v>0</v>
      </c>
      <c r="BB63" s="124">
        <v>0</v>
      </c>
      <c r="BC63" s="116"/>
      <c r="BD63" s="116"/>
      <c r="BE63" s="124"/>
      <c r="BF63" s="116"/>
    </row>
    <row r="64" spans="1:58" ht="12.95" customHeight="1" x14ac:dyDescent="0.2">
      <c r="A64" s="117"/>
      <c r="B64" s="118"/>
      <c r="C64" s="119"/>
      <c r="D64" s="118"/>
      <c r="E64" s="37"/>
      <c r="F64" s="37"/>
      <c r="G64" s="120"/>
      <c r="H64" s="121"/>
      <c r="I64" s="45"/>
      <c r="J64" s="46"/>
      <c r="K64" s="46"/>
      <c r="L64" s="122"/>
      <c r="M64" s="122"/>
      <c r="N64" s="47"/>
      <c r="O64" s="48"/>
      <c r="P64" s="49"/>
      <c r="Q64" s="48"/>
      <c r="R64" s="123"/>
      <c r="S64" s="123"/>
      <c r="T64" s="50"/>
      <c r="U64" s="50"/>
      <c r="V64" s="50"/>
      <c r="W64" s="50"/>
      <c r="X64" s="55"/>
      <c r="Y64" s="52"/>
      <c r="Z64" s="50"/>
      <c r="AA64" s="50"/>
      <c r="AB64" s="50"/>
      <c r="AC64" s="50">
        <f>K64-T64</f>
        <v>0</v>
      </c>
      <c r="AD64" s="50">
        <f t="shared" ref="AD64:AD66" si="118">+AM64+BA64</f>
        <v>19</v>
      </c>
      <c r="AE64" s="101" t="s">
        <v>132</v>
      </c>
      <c r="AF64" s="50"/>
      <c r="AG64" s="50">
        <v>19</v>
      </c>
      <c r="AH64" s="50"/>
      <c r="AI64" s="54"/>
      <c r="AJ64" s="50"/>
      <c r="AK64" s="50"/>
      <c r="AL64" s="50"/>
      <c r="AM64" s="50">
        <f t="shared" ref="AM64:AM66" si="119">SUM(AF64:AL64)+AT64</f>
        <v>19</v>
      </c>
      <c r="AN64" s="125"/>
      <c r="AO64" s="50"/>
      <c r="AP64" s="50"/>
      <c r="AQ64" s="50"/>
      <c r="AR64" s="50">
        <f t="shared" ref="AR64:AR66" si="120">SUM(AN64:AQ64)</f>
        <v>0</v>
      </c>
      <c r="AS64" s="50"/>
      <c r="AT64" s="50"/>
      <c r="AU64" s="50"/>
      <c r="AV64" s="50"/>
      <c r="AW64" s="50"/>
      <c r="AX64" s="50"/>
      <c r="AY64" s="50"/>
      <c r="AZ64" s="50"/>
      <c r="BA64" s="50">
        <f t="shared" ref="BA64:BA66" si="121">+AR64+AS64+AU64+AV64+AX64</f>
        <v>0</v>
      </c>
      <c r="BB64" s="126"/>
      <c r="BC64" s="116">
        <v>7</v>
      </c>
      <c r="BD64" s="116"/>
      <c r="BE64" s="126"/>
      <c r="BF64" s="116"/>
    </row>
    <row r="65" spans="1:58" ht="12.95" customHeight="1" x14ac:dyDescent="0.2">
      <c r="A65" s="117"/>
      <c r="B65" s="118"/>
      <c r="C65" s="119"/>
      <c r="D65" s="118"/>
      <c r="E65" s="37"/>
      <c r="F65" s="37"/>
      <c r="G65" s="127"/>
      <c r="H65" s="121"/>
      <c r="I65" s="45"/>
      <c r="J65" s="46"/>
      <c r="K65" s="46"/>
      <c r="L65" s="122"/>
      <c r="M65" s="122"/>
      <c r="N65" s="47"/>
      <c r="O65" s="48"/>
      <c r="P65" s="49"/>
      <c r="Q65" s="48"/>
      <c r="R65" s="123"/>
      <c r="S65" s="123"/>
      <c r="T65" s="50"/>
      <c r="U65" s="50"/>
      <c r="V65" s="50"/>
      <c r="W65" s="50"/>
      <c r="X65" s="55"/>
      <c r="Y65" s="52"/>
      <c r="Z65" s="50"/>
      <c r="AA65" s="50"/>
      <c r="AB65" s="50"/>
      <c r="AC65" s="50"/>
      <c r="AD65" s="50">
        <f t="shared" si="118"/>
        <v>33</v>
      </c>
      <c r="AE65" s="101" t="s">
        <v>120</v>
      </c>
      <c r="AF65" s="124"/>
      <c r="AG65" s="124"/>
      <c r="AH65" s="124">
        <v>33</v>
      </c>
      <c r="AJ65" s="50"/>
      <c r="AK65" s="50"/>
      <c r="AL65" s="50"/>
      <c r="AM65" s="50">
        <f t="shared" si="119"/>
        <v>33</v>
      </c>
      <c r="AN65" s="50"/>
      <c r="AO65" s="50"/>
      <c r="AP65" s="50"/>
      <c r="AQ65" s="50"/>
      <c r="AR65" s="50">
        <f t="shared" si="120"/>
        <v>0</v>
      </c>
      <c r="AS65" s="50"/>
      <c r="AT65" s="50"/>
      <c r="AU65" s="50"/>
      <c r="AV65" s="50"/>
      <c r="AW65" s="50"/>
      <c r="AX65" s="50"/>
      <c r="AY65" s="50"/>
      <c r="AZ65" s="50"/>
      <c r="BA65" s="50">
        <f t="shared" si="121"/>
        <v>0</v>
      </c>
      <c r="BB65" s="124"/>
      <c r="BC65" s="146"/>
      <c r="BD65" s="146"/>
      <c r="BE65" s="124"/>
      <c r="BF65" s="146"/>
    </row>
    <row r="66" spans="1:58" ht="12.95" customHeight="1" x14ac:dyDescent="0.2">
      <c r="A66" s="117"/>
      <c r="B66" s="118"/>
      <c r="C66" s="119"/>
      <c r="D66" s="118"/>
      <c r="E66" s="37"/>
      <c r="F66" s="37"/>
      <c r="G66" s="127"/>
      <c r="H66" s="121"/>
      <c r="I66" s="45"/>
      <c r="J66" s="46"/>
      <c r="K66" s="46"/>
      <c r="L66" s="122"/>
      <c r="M66" s="122"/>
      <c r="N66" s="47"/>
      <c r="O66" s="48"/>
      <c r="P66" s="49"/>
      <c r="Q66" s="56"/>
      <c r="R66" s="123"/>
      <c r="S66" s="123"/>
      <c r="T66" s="50"/>
      <c r="U66" s="50"/>
      <c r="V66" s="50"/>
      <c r="W66" s="50"/>
      <c r="X66" s="55"/>
      <c r="Y66" s="52"/>
      <c r="Z66" s="50"/>
      <c r="AA66" s="50"/>
      <c r="AB66" s="50"/>
      <c r="AC66" s="50"/>
      <c r="AD66" s="50">
        <f t="shared" si="118"/>
        <v>10</v>
      </c>
      <c r="AE66" s="148" t="s">
        <v>162</v>
      </c>
      <c r="AF66" s="50"/>
      <c r="AG66" s="50"/>
      <c r="AH66" s="50"/>
      <c r="AI66" s="54">
        <v>10</v>
      </c>
      <c r="AJ66" s="50"/>
      <c r="AK66" s="50"/>
      <c r="AL66" s="50"/>
      <c r="AM66" s="50">
        <f t="shared" si="119"/>
        <v>10</v>
      </c>
      <c r="AN66" s="50"/>
      <c r="AO66" s="50"/>
      <c r="AP66" s="50"/>
      <c r="AQ66" s="50"/>
      <c r="AR66" s="50">
        <f t="shared" si="120"/>
        <v>0</v>
      </c>
      <c r="AS66" s="50"/>
      <c r="AT66" s="50"/>
      <c r="AU66" s="50"/>
      <c r="AV66" s="50"/>
      <c r="AW66" s="50"/>
      <c r="AX66" s="50"/>
      <c r="AY66" s="50"/>
      <c r="AZ66" s="50"/>
      <c r="BA66" s="50">
        <f t="shared" si="121"/>
        <v>0</v>
      </c>
      <c r="BB66" s="126"/>
      <c r="BC66" s="116"/>
      <c r="BD66" s="116"/>
      <c r="BE66" s="126"/>
      <c r="BF66" s="116"/>
    </row>
    <row r="67" spans="1:58" ht="12.95" customHeight="1" x14ac:dyDescent="0.2">
      <c r="A67" s="117"/>
      <c r="B67" s="118"/>
      <c r="C67" s="119"/>
      <c r="D67" s="118"/>
      <c r="E67" s="37"/>
      <c r="F67" s="37"/>
      <c r="G67" s="127"/>
      <c r="H67" s="127"/>
      <c r="I67" s="45"/>
      <c r="J67" s="46"/>
      <c r="K67" s="46"/>
      <c r="L67" s="122"/>
      <c r="M67" s="122"/>
      <c r="N67" s="47"/>
      <c r="O67" s="48"/>
      <c r="P67" s="49"/>
      <c r="Q67" s="48"/>
      <c r="R67" s="123"/>
      <c r="S67" s="123"/>
      <c r="T67" s="50"/>
      <c r="U67" s="50"/>
      <c r="V67" s="50"/>
      <c r="W67" s="50"/>
      <c r="X67" s="55"/>
      <c r="Y67" s="52"/>
      <c r="Z67" s="50"/>
      <c r="AA67" s="53"/>
      <c r="AB67" s="53"/>
      <c r="AC67" s="50"/>
      <c r="AD67" s="50"/>
      <c r="AE67" s="148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124"/>
      <c r="BC67" s="116"/>
      <c r="BD67" s="116"/>
      <c r="BE67" s="126"/>
      <c r="BF67" s="116"/>
    </row>
    <row r="68" spans="1:58" ht="12.95" customHeight="1" x14ac:dyDescent="0.2">
      <c r="A68" s="117">
        <v>45974</v>
      </c>
      <c r="B68" s="118" t="s">
        <v>168</v>
      </c>
      <c r="C68" s="119">
        <f t="shared" ref="C68" si="122">(M68*E68*O68*Q68)/100000000</f>
        <v>49.801276521616877</v>
      </c>
      <c r="D68" s="118" t="s">
        <v>196</v>
      </c>
      <c r="E68" s="37">
        <v>13.5</v>
      </c>
      <c r="F68" s="37">
        <v>1</v>
      </c>
      <c r="G68" s="120">
        <v>1345</v>
      </c>
      <c r="H68" s="121">
        <f t="shared" ref="H68" si="123">+N68</f>
        <v>0.22999999999999998</v>
      </c>
      <c r="I68" s="45">
        <v>0.88</v>
      </c>
      <c r="J68" s="46">
        <f t="shared" ref="J68" si="124">E68*G68*(1-H68)*1440/1000000*2.74</f>
        <v>55.164518640000004</v>
      </c>
      <c r="K68" s="46">
        <f>(IF(G68&lt;L68,L68,G68)*(1-IF(H68&lt;N68,H68,N68))*E68*O68*Q68)/100000000</f>
        <v>55.164518640000011</v>
      </c>
      <c r="L68" s="122">
        <v>1214.2355008787347</v>
      </c>
      <c r="M68" s="122">
        <v>934.96133567662571</v>
      </c>
      <c r="N68" s="47">
        <f t="shared" ref="N68" si="125">1-(M68/L68)</f>
        <v>0.22999999999999998</v>
      </c>
      <c r="O68" s="48">
        <f>+'[4]Trim Rwd'!H44</f>
        <v>274</v>
      </c>
      <c r="P68" s="49">
        <f t="shared" ref="P68" si="126">O68*(Q68-R68-S68)</f>
        <v>298386</v>
      </c>
      <c r="Q68" s="48">
        <v>1440</v>
      </c>
      <c r="R68" s="123">
        <f>170+132</f>
        <v>302</v>
      </c>
      <c r="S68" s="123">
        <v>49</v>
      </c>
      <c r="T68" s="50">
        <f t="shared" ref="T68" si="127">E68*M68*O68*Q68/100000000</f>
        <v>49.801276521616877</v>
      </c>
      <c r="U68" s="50">
        <f t="shared" ref="U68" si="128">E68*M68*O68*(Q68-R68-S68)/100000000</f>
        <v>37.662215369472769</v>
      </c>
      <c r="V68" s="50">
        <f t="shared" ref="V68" si="129">E68*G68*(1-N68)*O68/100*(R68+S68)/1000000</f>
        <v>13.446351418500001</v>
      </c>
      <c r="W68" s="50">
        <f>+'[4]13'!K7/1000</f>
        <v>29.459</v>
      </c>
      <c r="X68" s="51">
        <f>SUM(W68:W71)/SUM(K68:K71)</f>
        <v>0.53402079318859785</v>
      </c>
      <c r="Y68" s="52">
        <f>+SUM([4]RBP!AG59:AG60)</f>
        <v>0</v>
      </c>
      <c r="Z68" s="50">
        <f>+'[4]12'!D30/1000</f>
        <v>0</v>
      </c>
      <c r="AA68" s="53">
        <f>SUM(U68:U71)-SUM(W68:W71)-SUM(Z68:Z71)-SUM(Y68:Y71)</f>
        <v>8.203215369472769</v>
      </c>
      <c r="AB68" s="53">
        <f>(SUM(K68:K71)-SUM(W68:W71)-SUM(Y68:Y71)-SUM(Z68:Z71)-SUM(AC68:AC71)-SUM(V68:V71))-AA68</f>
        <v>-1.3072902663558921</v>
      </c>
      <c r="AC68" s="50">
        <f>K68-T68</f>
        <v>5.363242118383134</v>
      </c>
      <c r="AD68" s="50">
        <f>+AM68+BA68</f>
        <v>9</v>
      </c>
      <c r="AE68" s="101" t="s">
        <v>165</v>
      </c>
      <c r="AF68" s="50">
        <v>9</v>
      </c>
      <c r="AG68" s="50"/>
      <c r="AH68" s="50"/>
      <c r="AI68" s="54"/>
      <c r="AJ68" s="50"/>
      <c r="AK68" s="50"/>
      <c r="AL68" s="50"/>
      <c r="AM68" s="50">
        <f>SUM(AF68:AL68)+AT68</f>
        <v>9</v>
      </c>
      <c r="AN68" s="50"/>
      <c r="AO68" s="50"/>
      <c r="AP68" s="50"/>
      <c r="AQ68" s="50"/>
      <c r="AR68" s="50">
        <f>SUM(AN68:AQ68)</f>
        <v>0</v>
      </c>
      <c r="AS68" s="50"/>
      <c r="AT68" s="50"/>
      <c r="AU68" s="50"/>
      <c r="AV68" s="50"/>
      <c r="AW68" s="50"/>
      <c r="AX68" s="50"/>
      <c r="AY68" s="50"/>
      <c r="AZ68" s="50"/>
      <c r="BA68" s="50">
        <f>+AR68+AS68+AU68+AV68+AX68</f>
        <v>0</v>
      </c>
      <c r="BB68" s="124">
        <v>3</v>
      </c>
      <c r="BC68" s="116"/>
      <c r="BD68" s="116"/>
      <c r="BE68" s="124"/>
      <c r="BF68" s="116"/>
    </row>
    <row r="69" spans="1:58" ht="12.95" customHeight="1" x14ac:dyDescent="0.2">
      <c r="A69" s="117"/>
      <c r="B69" s="118"/>
      <c r="C69" s="119"/>
      <c r="D69" s="118"/>
      <c r="E69" s="37"/>
      <c r="F69" s="37"/>
      <c r="G69" s="120"/>
      <c r="H69" s="121"/>
      <c r="I69" s="45"/>
      <c r="J69" s="46"/>
      <c r="K69" s="46"/>
      <c r="L69" s="122"/>
      <c r="M69" s="122"/>
      <c r="N69" s="47"/>
      <c r="O69" s="48"/>
      <c r="P69" s="49"/>
      <c r="Q69" s="48"/>
      <c r="R69" s="123"/>
      <c r="S69" s="123"/>
      <c r="T69" s="50"/>
      <c r="U69" s="50"/>
      <c r="V69" s="50"/>
      <c r="W69" s="50"/>
      <c r="X69" s="55"/>
      <c r="Y69" s="52"/>
      <c r="Z69" s="50"/>
      <c r="AA69" s="50"/>
      <c r="AB69" s="50"/>
      <c r="AC69" s="50">
        <f>K69-T69</f>
        <v>0</v>
      </c>
      <c r="AD69" s="50">
        <f t="shared" ref="AD69:AD73" si="130">+AM69+BA69</f>
        <v>7</v>
      </c>
      <c r="AE69" s="101" t="s">
        <v>163</v>
      </c>
      <c r="AF69" s="50"/>
      <c r="AG69" s="50">
        <v>7</v>
      </c>
      <c r="AH69" s="50"/>
      <c r="AI69" s="54"/>
      <c r="AJ69" s="50"/>
      <c r="AK69" s="50"/>
      <c r="AL69" s="50"/>
      <c r="AM69" s="50">
        <f t="shared" ref="AM69:AM71" si="131">SUM(AF69:AL69)+AT69</f>
        <v>7</v>
      </c>
      <c r="AN69" s="125"/>
      <c r="AO69" s="50"/>
      <c r="AP69" s="50"/>
      <c r="AQ69" s="50"/>
      <c r="AR69" s="50">
        <f t="shared" ref="AR69:AR71" si="132">SUM(AN69:AQ69)</f>
        <v>0</v>
      </c>
      <c r="AS69" s="50"/>
      <c r="AT69" s="50"/>
      <c r="AU69" s="50"/>
      <c r="AV69" s="50"/>
      <c r="AW69" s="50"/>
      <c r="AX69" s="50"/>
      <c r="AY69" s="50"/>
      <c r="AZ69" s="50"/>
      <c r="BA69" s="50">
        <f t="shared" ref="BA69:BA73" si="133">+AR69+AS69+AU69+AV69+AX69</f>
        <v>0</v>
      </c>
      <c r="BB69" s="126"/>
      <c r="BC69" s="116">
        <v>6</v>
      </c>
      <c r="BD69" s="116"/>
      <c r="BE69" s="126"/>
      <c r="BF69" s="116"/>
    </row>
    <row r="70" spans="1:58" ht="12.95" customHeight="1" x14ac:dyDescent="0.2">
      <c r="A70" s="117"/>
      <c r="B70" s="118"/>
      <c r="C70" s="119"/>
      <c r="D70" s="118"/>
      <c r="E70" s="37"/>
      <c r="F70" s="37"/>
      <c r="G70" s="127"/>
      <c r="H70" s="121"/>
      <c r="I70" s="45"/>
      <c r="J70" s="46"/>
      <c r="K70" s="46"/>
      <c r="L70" s="122"/>
      <c r="M70" s="122"/>
      <c r="N70" s="47"/>
      <c r="O70" s="48"/>
      <c r="P70" s="49"/>
      <c r="Q70" s="48"/>
      <c r="R70" s="123"/>
      <c r="S70" s="123"/>
      <c r="T70" s="50"/>
      <c r="U70" s="50"/>
      <c r="V70" s="50"/>
      <c r="W70" s="50"/>
      <c r="X70" s="55"/>
      <c r="Y70" s="52"/>
      <c r="Z70" s="50"/>
      <c r="AA70" s="50"/>
      <c r="AB70" s="50"/>
      <c r="AC70" s="50"/>
      <c r="AD70" s="50">
        <f t="shared" si="130"/>
        <v>25</v>
      </c>
      <c r="AE70" s="101" t="s">
        <v>118</v>
      </c>
      <c r="AF70" s="124"/>
      <c r="AG70" s="124"/>
      <c r="AH70" s="124">
        <v>25</v>
      </c>
      <c r="AJ70" s="50"/>
      <c r="AK70" s="50"/>
      <c r="AL70" s="50"/>
      <c r="AM70" s="50">
        <f t="shared" si="131"/>
        <v>25</v>
      </c>
      <c r="AN70" s="50"/>
      <c r="AO70" s="50"/>
      <c r="AP70" s="50"/>
      <c r="AQ70" s="50"/>
      <c r="AR70" s="50">
        <f t="shared" si="132"/>
        <v>0</v>
      </c>
      <c r="AS70" s="50"/>
      <c r="AT70" s="50"/>
      <c r="AU70" s="50"/>
      <c r="AV70" s="50"/>
      <c r="AW70" s="50"/>
      <c r="AX70" s="50"/>
      <c r="AY70" s="50"/>
      <c r="AZ70" s="50"/>
      <c r="BA70" s="50">
        <f t="shared" si="133"/>
        <v>0</v>
      </c>
      <c r="BB70" s="124"/>
      <c r="BC70" s="146"/>
      <c r="BD70" s="146"/>
      <c r="BE70" s="124"/>
      <c r="BF70" s="146"/>
    </row>
    <row r="71" spans="1:58" ht="12.95" customHeight="1" x14ac:dyDescent="0.2">
      <c r="A71" s="117"/>
      <c r="B71" s="118"/>
      <c r="C71" s="119"/>
      <c r="D71" s="118"/>
      <c r="E71" s="37"/>
      <c r="F71" s="37"/>
      <c r="G71" s="127"/>
      <c r="H71" s="121"/>
      <c r="I71" s="45"/>
      <c r="J71" s="46"/>
      <c r="K71" s="46"/>
      <c r="L71" s="122"/>
      <c r="M71" s="122"/>
      <c r="N71" s="47"/>
      <c r="O71" s="48"/>
      <c r="P71" s="49"/>
      <c r="Q71" s="56"/>
      <c r="R71" s="123"/>
      <c r="S71" s="123"/>
      <c r="T71" s="50"/>
      <c r="U71" s="50"/>
      <c r="V71" s="50"/>
      <c r="W71" s="50"/>
      <c r="X71" s="55"/>
      <c r="Y71" s="52"/>
      <c r="Z71" s="50"/>
      <c r="AA71" s="50"/>
      <c r="AB71" s="50"/>
      <c r="AC71" s="50"/>
      <c r="AD71" s="50">
        <f t="shared" si="130"/>
        <v>8</v>
      </c>
      <c r="AE71" s="148" t="s">
        <v>162</v>
      </c>
      <c r="AF71" s="50"/>
      <c r="AG71" s="50"/>
      <c r="AH71" s="50"/>
      <c r="AI71" s="54">
        <v>8</v>
      </c>
      <c r="AJ71" s="50"/>
      <c r="AK71" s="50"/>
      <c r="AL71" s="50"/>
      <c r="AM71" s="50">
        <f t="shared" si="131"/>
        <v>8</v>
      </c>
      <c r="AN71" s="50"/>
      <c r="AO71" s="50"/>
      <c r="AP71" s="50"/>
      <c r="AQ71" s="50"/>
      <c r="AR71" s="50">
        <f t="shared" si="132"/>
        <v>0</v>
      </c>
      <c r="AS71" s="50"/>
      <c r="AT71" s="50"/>
      <c r="AU71" s="50"/>
      <c r="AV71" s="50"/>
      <c r="AW71" s="50"/>
      <c r="AX71" s="50"/>
      <c r="AY71" s="50"/>
      <c r="AZ71" s="50"/>
      <c r="BA71" s="50">
        <f t="shared" si="133"/>
        <v>0</v>
      </c>
      <c r="BB71" s="126"/>
      <c r="BC71" s="116"/>
      <c r="BD71" s="116"/>
      <c r="BE71" s="126"/>
      <c r="BF71" s="116"/>
    </row>
    <row r="72" spans="1:58" ht="12.95" customHeight="1" x14ac:dyDescent="0.2">
      <c r="A72" s="117"/>
      <c r="B72" s="118"/>
      <c r="C72" s="119"/>
      <c r="D72" s="118"/>
      <c r="E72" s="37"/>
      <c r="F72" s="37"/>
      <c r="G72" s="127"/>
      <c r="H72" s="121"/>
      <c r="I72" s="45"/>
      <c r="J72" s="46"/>
      <c r="K72" s="46"/>
      <c r="L72" s="122"/>
      <c r="M72" s="122"/>
      <c r="N72" s="47"/>
      <c r="O72" s="48"/>
      <c r="P72" s="49"/>
      <c r="Q72" s="56"/>
      <c r="R72" s="123"/>
      <c r="S72" s="123"/>
      <c r="T72" s="50"/>
      <c r="U72" s="50"/>
      <c r="V72" s="50"/>
      <c r="W72" s="50"/>
      <c r="X72" s="55"/>
      <c r="Y72" s="52"/>
      <c r="Z72" s="50"/>
      <c r="AA72" s="50"/>
      <c r="AB72" s="50"/>
      <c r="AC72" s="50"/>
      <c r="AD72" s="50">
        <f t="shared" si="130"/>
        <v>170</v>
      </c>
      <c r="AE72" s="148" t="s">
        <v>259</v>
      </c>
      <c r="AF72" s="50"/>
      <c r="AG72" s="50"/>
      <c r="AH72" s="50"/>
      <c r="AI72" s="54"/>
      <c r="AJ72" s="50"/>
      <c r="AK72" s="50"/>
      <c r="AL72" s="50"/>
      <c r="AM72" s="50">
        <f t="shared" ref="AM72:AM73" si="134">SUM(AF72:AL72)+AT72</f>
        <v>0</v>
      </c>
      <c r="AN72" s="50"/>
      <c r="AO72" s="50"/>
      <c r="AP72" s="50">
        <v>170</v>
      </c>
      <c r="AQ72" s="50"/>
      <c r="AR72" s="50">
        <f t="shared" ref="AR72:AR73" si="135">SUM(AN72:AQ72)</f>
        <v>170</v>
      </c>
      <c r="AS72" s="50"/>
      <c r="AT72" s="50"/>
      <c r="AU72" s="50"/>
      <c r="AV72" s="50"/>
      <c r="AW72" s="50"/>
      <c r="AX72" s="50"/>
      <c r="AY72" s="50"/>
      <c r="AZ72" s="50"/>
      <c r="BA72" s="50">
        <f t="shared" si="133"/>
        <v>170</v>
      </c>
      <c r="BB72" s="126"/>
      <c r="BC72" s="116"/>
      <c r="BD72" s="116"/>
      <c r="BE72" s="126"/>
      <c r="BF72" s="116"/>
    </row>
    <row r="73" spans="1:58" ht="12.95" customHeight="1" x14ac:dyDescent="0.2">
      <c r="A73" s="117"/>
      <c r="B73" s="118"/>
      <c r="C73" s="119"/>
      <c r="D73" s="118"/>
      <c r="E73" s="37"/>
      <c r="F73" s="37"/>
      <c r="G73" s="127"/>
      <c r="H73" s="121"/>
      <c r="I73" s="45"/>
      <c r="J73" s="46"/>
      <c r="K73" s="46"/>
      <c r="L73" s="122"/>
      <c r="M73" s="122"/>
      <c r="N73" s="47"/>
      <c r="O73" s="48"/>
      <c r="P73" s="49"/>
      <c r="Q73" s="56"/>
      <c r="R73" s="123"/>
      <c r="S73" s="123"/>
      <c r="T73" s="50"/>
      <c r="U73" s="50"/>
      <c r="V73" s="50"/>
      <c r="W73" s="50"/>
      <c r="X73" s="55"/>
      <c r="Y73" s="52"/>
      <c r="Z73" s="50"/>
      <c r="AA73" s="50"/>
      <c r="AB73" s="50"/>
      <c r="AC73" s="50"/>
      <c r="AD73" s="50">
        <f t="shared" si="130"/>
        <v>132</v>
      </c>
      <c r="AE73" s="148" t="s">
        <v>260</v>
      </c>
      <c r="AF73" s="50"/>
      <c r="AG73" s="50"/>
      <c r="AH73" s="50"/>
      <c r="AI73" s="54"/>
      <c r="AJ73" s="50"/>
      <c r="AK73" s="50"/>
      <c r="AL73" s="50"/>
      <c r="AM73" s="50">
        <f t="shared" si="134"/>
        <v>0</v>
      </c>
      <c r="AN73" s="50">
        <v>132</v>
      </c>
      <c r="AO73" s="50"/>
      <c r="AP73" s="50"/>
      <c r="AQ73" s="50"/>
      <c r="AR73" s="50">
        <f t="shared" si="135"/>
        <v>132</v>
      </c>
      <c r="AS73" s="50"/>
      <c r="AT73" s="50"/>
      <c r="AU73" s="50"/>
      <c r="AV73" s="50"/>
      <c r="AW73" s="50"/>
      <c r="AX73" s="50"/>
      <c r="AY73" s="50"/>
      <c r="AZ73" s="50"/>
      <c r="BA73" s="50">
        <f t="shared" si="133"/>
        <v>132</v>
      </c>
      <c r="BB73" s="126"/>
      <c r="BC73" s="116"/>
      <c r="BD73" s="116"/>
      <c r="BE73" s="126"/>
      <c r="BF73" s="116"/>
    </row>
    <row r="74" spans="1:58" ht="12.95" customHeight="1" x14ac:dyDescent="0.2">
      <c r="A74" s="117"/>
      <c r="B74" s="118"/>
      <c r="C74" s="119"/>
      <c r="D74" s="118"/>
      <c r="E74" s="37"/>
      <c r="F74" s="37"/>
      <c r="G74" s="127"/>
      <c r="H74" s="127"/>
      <c r="I74" s="45"/>
      <c r="J74" s="46"/>
      <c r="K74" s="46"/>
      <c r="L74" s="122"/>
      <c r="M74" s="122"/>
      <c r="N74" s="47"/>
      <c r="O74" s="48"/>
      <c r="P74" s="49"/>
      <c r="Q74" s="48"/>
      <c r="R74" s="123"/>
      <c r="S74" s="123"/>
      <c r="T74" s="50"/>
      <c r="U74" s="50"/>
      <c r="V74" s="50"/>
      <c r="W74" s="50"/>
      <c r="X74" s="55"/>
      <c r="Y74" s="52"/>
      <c r="Z74" s="50"/>
      <c r="AA74" s="50"/>
      <c r="AB74" s="50"/>
      <c r="AC74" s="50"/>
      <c r="AD74" s="50"/>
      <c r="AE74" s="101"/>
      <c r="AF74" s="50"/>
      <c r="AG74" s="50"/>
      <c r="AH74" s="50"/>
      <c r="AI74" s="54"/>
      <c r="AJ74" s="50"/>
      <c r="AK74" s="50"/>
      <c r="AL74" s="50"/>
      <c r="AM74" s="50"/>
      <c r="AN74" s="125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126"/>
      <c r="BC74" s="116"/>
      <c r="BD74" s="116"/>
      <c r="BE74" s="116"/>
      <c r="BF74" s="116"/>
    </row>
    <row r="75" spans="1:58" ht="12.95" customHeight="1" x14ac:dyDescent="0.2">
      <c r="A75" s="117">
        <v>45975</v>
      </c>
      <c r="B75" s="118" t="s">
        <v>168</v>
      </c>
      <c r="C75" s="119">
        <f t="shared" ref="C75:C76" si="136">(M75*E75*O75*Q75)/100000000</f>
        <v>8.9781906059999983</v>
      </c>
      <c r="D75" s="118" t="s">
        <v>196</v>
      </c>
      <c r="E75" s="37">
        <v>13.5</v>
      </c>
      <c r="F75" s="37">
        <v>1</v>
      </c>
      <c r="G75" s="120">
        <v>1345</v>
      </c>
      <c r="H75" s="121">
        <f t="shared" ref="H75:H76" si="137">+N75</f>
        <v>0.22999999999999998</v>
      </c>
      <c r="I75" s="45">
        <v>0.88</v>
      </c>
      <c r="J75" s="46">
        <f t="shared" ref="J75:J76" si="138">E75*G75*(1-H75)*1440/1000000*2.74</f>
        <v>55.164518640000004</v>
      </c>
      <c r="K75" s="46">
        <f>(IF(G75&lt;L75,L75,G75)*(1-IF(H75&lt;N75,H75,N75))*E75*O75*Q75)/100000000</f>
        <v>11.722460211000001</v>
      </c>
      <c r="L75" s="122">
        <v>1030.1307189542483</v>
      </c>
      <c r="M75" s="122">
        <v>793.20065359477121</v>
      </c>
      <c r="N75" s="47">
        <f t="shared" ref="N75:N76" si="139">1-(M75/L75)</f>
        <v>0.22999999999999998</v>
      </c>
      <c r="O75" s="48">
        <f>+'[4]Trim Rwd'!H46</f>
        <v>274</v>
      </c>
      <c r="P75" s="49">
        <f t="shared" ref="P75:P76" si="140">O75*(Q75-R75-S75)</f>
        <v>79734</v>
      </c>
      <c r="Q75" s="48">
        <v>306</v>
      </c>
      <c r="R75" s="123">
        <v>0</v>
      </c>
      <c r="S75" s="123">
        <v>15</v>
      </c>
      <c r="T75" s="50">
        <f t="shared" ref="T75:T76" si="141">E75*M75*O75*Q75/100000000</f>
        <v>8.9781906059999983</v>
      </c>
      <c r="U75" s="50">
        <f t="shared" ref="U75:U76" si="142">E75*M75*O75*(Q75-R75-S75)/100000000</f>
        <v>8.53808322335294</v>
      </c>
      <c r="V75" s="50">
        <f t="shared" ref="V75:V76" si="143">E75*G75*(1-N75)*O75/100*(R75+S75)/1000000</f>
        <v>0.57463040249999997</v>
      </c>
      <c r="W75" s="50">
        <f>+'[4]14'!K7/1000</f>
        <v>17.556000000000001</v>
      </c>
      <c r="X75" s="51">
        <f>SUM(W75:W78)/SUM(K75:K78)</f>
        <v>0.98328789770011338</v>
      </c>
      <c r="Y75" s="52">
        <f>+SUM([4]RBP!AG66:AG67)</f>
        <v>0</v>
      </c>
      <c r="Z75" s="50">
        <v>0</v>
      </c>
      <c r="AA75" s="53">
        <f>SUM(U75:U78)-SUM(W75:W78)-SUM(Z75:Z78)-SUM(Y75:Y78)</f>
        <v>-4.4691019345174325</v>
      </c>
      <c r="AB75" s="53">
        <f>(SUM(K75:K78)-SUM(W75:W78)-SUM(Y75:Y78)-SUM(Z75:Z78)-SUM(AC75:AC78)-SUM(V75:V78))-AA75</f>
        <v>-0.16038592173257893</v>
      </c>
      <c r="AC75" s="50">
        <f>K75-T75</f>
        <v>2.7442696050000031</v>
      </c>
      <c r="AD75" s="50">
        <f>+AM75+BA75</f>
        <v>0</v>
      </c>
      <c r="AE75" s="101" t="s">
        <v>110</v>
      </c>
      <c r="AF75" s="50">
        <v>0</v>
      </c>
      <c r="AG75" s="50"/>
      <c r="AH75" s="50"/>
      <c r="AI75" s="54"/>
      <c r="AJ75" s="50"/>
      <c r="AK75" s="50"/>
      <c r="AL75" s="50"/>
      <c r="AM75" s="50">
        <f>SUM(AF75:AL75)+AT75</f>
        <v>0</v>
      </c>
      <c r="AN75" s="50"/>
      <c r="AO75" s="50"/>
      <c r="AP75" s="50"/>
      <c r="AQ75" s="50"/>
      <c r="AR75" s="50">
        <f>SUM(AN75:AQ75)</f>
        <v>0</v>
      </c>
      <c r="AS75" s="50"/>
      <c r="AT75" s="50"/>
      <c r="AU75" s="50"/>
      <c r="AV75" s="50"/>
      <c r="AW75" s="50"/>
      <c r="AX75" s="50"/>
      <c r="AY75" s="50"/>
      <c r="AZ75" s="50"/>
      <c r="BA75" s="50">
        <f>+AR75+AS75+AU75+AV75+AX75</f>
        <v>0</v>
      </c>
      <c r="BB75" s="124">
        <v>0</v>
      </c>
      <c r="BC75" s="116"/>
      <c r="BD75" s="116"/>
      <c r="BE75" s="124"/>
      <c r="BF75" s="116"/>
    </row>
    <row r="76" spans="1:58" ht="12.95" customHeight="1" x14ac:dyDescent="0.2">
      <c r="A76" s="117"/>
      <c r="B76" s="118" t="s">
        <v>168</v>
      </c>
      <c r="C76" s="119">
        <f t="shared" si="136"/>
        <v>41.923632904999998</v>
      </c>
      <c r="D76" s="118" t="s">
        <v>196</v>
      </c>
      <c r="E76" s="37">
        <v>15.5</v>
      </c>
      <c r="F76" s="37">
        <v>1</v>
      </c>
      <c r="G76" s="120">
        <v>1170</v>
      </c>
      <c r="H76" s="121">
        <f t="shared" si="137"/>
        <v>0.22999999999999998</v>
      </c>
      <c r="I76" s="45">
        <v>0.88</v>
      </c>
      <c r="J76" s="46">
        <f t="shared" si="138"/>
        <v>55.096161119999998</v>
      </c>
      <c r="K76" s="46">
        <f>(IF(G76&lt;L76,L76,G76)*(1-IF(H76&lt;N76,H76,N76))*E76*O76*Q76)/100000000</f>
        <v>42.675646513499998</v>
      </c>
      <c r="L76" s="122">
        <v>1149.3827160493827</v>
      </c>
      <c r="M76" s="122">
        <v>885.02469135802471</v>
      </c>
      <c r="N76" s="47">
        <f t="shared" si="139"/>
        <v>0.22999999999999998</v>
      </c>
      <c r="O76" s="48">
        <f>+'[4]Trim Rwd'!H47</f>
        <v>269.5</v>
      </c>
      <c r="P76" s="49">
        <f t="shared" si="140"/>
        <v>295102.5</v>
      </c>
      <c r="Q76" s="48">
        <v>1134</v>
      </c>
      <c r="R76" s="123">
        <v>0</v>
      </c>
      <c r="S76" s="123">
        <f>54-S75</f>
        <v>39</v>
      </c>
      <c r="T76" s="50">
        <f t="shared" si="141"/>
        <v>41.923632904999998</v>
      </c>
      <c r="U76" s="50">
        <f t="shared" si="142"/>
        <v>40.48181484212963</v>
      </c>
      <c r="V76" s="50">
        <f t="shared" si="143"/>
        <v>1.4676809647500002</v>
      </c>
      <c r="W76" s="50">
        <f>+'[4]14'!K16/1000</f>
        <v>35.933</v>
      </c>
      <c r="X76" s="55"/>
      <c r="Y76" s="52"/>
      <c r="Z76" s="50"/>
      <c r="AA76" s="50"/>
      <c r="AB76" s="50"/>
      <c r="AC76" s="50">
        <f>K76-T76</f>
        <v>0.75201360850000043</v>
      </c>
      <c r="AD76" s="50">
        <f t="shared" ref="AD76:AD78" si="144">+AM76+BA76</f>
        <v>15</v>
      </c>
      <c r="AE76" s="101" t="s">
        <v>117</v>
      </c>
      <c r="AF76" s="50"/>
      <c r="AG76" s="50">
        <v>15</v>
      </c>
      <c r="AH76" s="50"/>
      <c r="AI76" s="54"/>
      <c r="AJ76" s="50"/>
      <c r="AK76" s="50"/>
      <c r="AL76" s="50"/>
      <c r="AM76" s="50">
        <f t="shared" ref="AM76:AM78" si="145">SUM(AF76:AL76)+AT76</f>
        <v>15</v>
      </c>
      <c r="AN76" s="125"/>
      <c r="AO76" s="50"/>
      <c r="AP76" s="50"/>
      <c r="AQ76" s="50"/>
      <c r="AR76" s="50">
        <f t="shared" ref="AR76:AR78" si="146">SUM(AN76:AQ76)</f>
        <v>0</v>
      </c>
      <c r="AS76" s="50"/>
      <c r="AT76" s="50"/>
      <c r="AU76" s="50"/>
      <c r="AV76" s="50"/>
      <c r="AW76" s="50"/>
      <c r="AX76" s="50"/>
      <c r="AY76" s="50"/>
      <c r="AZ76" s="50"/>
      <c r="BA76" s="50">
        <f t="shared" ref="BA76:BA78" si="147">+AR76+AS76+AU76+AV76+AX76</f>
        <v>0</v>
      </c>
      <c r="BB76" s="126"/>
      <c r="BC76" s="116">
        <v>9</v>
      </c>
      <c r="BD76" s="116"/>
      <c r="BE76" s="126"/>
      <c r="BF76" s="116"/>
    </row>
    <row r="77" spans="1:58" ht="12.95" customHeight="1" x14ac:dyDescent="0.2">
      <c r="A77" s="117"/>
      <c r="B77" s="118"/>
      <c r="C77" s="119"/>
      <c r="D77" s="118"/>
      <c r="E77" s="37"/>
      <c r="F77" s="37"/>
      <c r="G77" s="127"/>
      <c r="H77" s="121"/>
      <c r="I77" s="45"/>
      <c r="J77" s="46"/>
      <c r="K77" s="46"/>
      <c r="L77" s="122"/>
      <c r="M77" s="122"/>
      <c r="N77" s="47"/>
      <c r="O77" s="48"/>
      <c r="P77" s="49"/>
      <c r="Q77" s="48"/>
      <c r="R77" s="123"/>
      <c r="S77" s="123"/>
      <c r="T77" s="50"/>
      <c r="U77" s="50"/>
      <c r="V77" s="50"/>
      <c r="W77" s="50"/>
      <c r="X77" s="55"/>
      <c r="Y77" s="52"/>
      <c r="Z77" s="50"/>
      <c r="AA77" s="50"/>
      <c r="AB77" s="50"/>
      <c r="AC77" s="50"/>
      <c r="AD77" s="50">
        <f t="shared" si="144"/>
        <v>31</v>
      </c>
      <c r="AE77" s="101" t="s">
        <v>114</v>
      </c>
      <c r="AF77" s="124"/>
      <c r="AG77" s="124"/>
      <c r="AH77" s="124">
        <v>31</v>
      </c>
      <c r="AJ77" s="50"/>
      <c r="AK77" s="50"/>
      <c r="AL77" s="50"/>
      <c r="AM77" s="50">
        <f t="shared" si="145"/>
        <v>31</v>
      </c>
      <c r="AN77" s="50"/>
      <c r="AO77" s="50"/>
      <c r="AP77" s="50"/>
      <c r="AQ77" s="50"/>
      <c r="AR77" s="50">
        <f t="shared" si="146"/>
        <v>0</v>
      </c>
      <c r="AS77" s="50"/>
      <c r="AT77" s="50"/>
      <c r="AU77" s="50"/>
      <c r="AV77" s="50"/>
      <c r="AW77" s="50"/>
      <c r="AX77" s="50"/>
      <c r="AY77" s="50"/>
      <c r="AZ77" s="50"/>
      <c r="BA77" s="50">
        <f t="shared" si="147"/>
        <v>0</v>
      </c>
      <c r="BB77" s="124"/>
      <c r="BC77" s="146"/>
      <c r="BD77" s="146"/>
      <c r="BE77" s="124"/>
      <c r="BF77" s="146"/>
    </row>
    <row r="78" spans="1:58" ht="12.95" customHeight="1" x14ac:dyDescent="0.2">
      <c r="A78" s="117"/>
      <c r="B78" s="118"/>
      <c r="C78" s="119"/>
      <c r="D78" s="118"/>
      <c r="E78" s="37"/>
      <c r="F78" s="37"/>
      <c r="G78" s="127"/>
      <c r="H78" s="121"/>
      <c r="I78" s="45"/>
      <c r="J78" s="46"/>
      <c r="K78" s="46"/>
      <c r="L78" s="122"/>
      <c r="M78" s="122"/>
      <c r="N78" s="47"/>
      <c r="O78" s="48"/>
      <c r="P78" s="49"/>
      <c r="Q78" s="56"/>
      <c r="R78" s="123"/>
      <c r="S78" s="123"/>
      <c r="T78" s="50"/>
      <c r="U78" s="50"/>
      <c r="V78" s="50"/>
      <c r="W78" s="50"/>
      <c r="X78" s="55"/>
      <c r="Y78" s="52"/>
      <c r="Z78" s="50"/>
      <c r="AA78" s="50"/>
      <c r="AB78" s="50"/>
      <c r="AC78" s="50"/>
      <c r="AD78" s="50">
        <f t="shared" si="144"/>
        <v>8</v>
      </c>
      <c r="AE78" s="148" t="s">
        <v>162</v>
      </c>
      <c r="AF78" s="50"/>
      <c r="AG78" s="50"/>
      <c r="AH78" s="50"/>
      <c r="AI78" s="54">
        <v>8</v>
      </c>
      <c r="AJ78" s="50"/>
      <c r="AK78" s="50"/>
      <c r="AL78" s="50"/>
      <c r="AM78" s="50">
        <f t="shared" si="145"/>
        <v>8</v>
      </c>
      <c r="AN78" s="50"/>
      <c r="AO78" s="50"/>
      <c r="AP78" s="50"/>
      <c r="AQ78" s="50"/>
      <c r="AR78" s="50">
        <f t="shared" si="146"/>
        <v>0</v>
      </c>
      <c r="AS78" s="50"/>
      <c r="AT78" s="50"/>
      <c r="AU78" s="50"/>
      <c r="AV78" s="50"/>
      <c r="AW78" s="50"/>
      <c r="AX78" s="50"/>
      <c r="AY78" s="50"/>
      <c r="AZ78" s="50"/>
      <c r="BA78" s="50">
        <f t="shared" si="147"/>
        <v>0</v>
      </c>
      <c r="BB78" s="126"/>
      <c r="BC78" s="116"/>
      <c r="BD78" s="116"/>
      <c r="BE78" s="126"/>
      <c r="BF78" s="116"/>
    </row>
    <row r="79" spans="1:58" ht="12.95" customHeight="1" x14ac:dyDescent="0.2">
      <c r="A79" s="117"/>
      <c r="B79" s="118"/>
      <c r="C79" s="119"/>
      <c r="D79" s="118"/>
      <c r="E79" s="37"/>
      <c r="F79" s="37"/>
      <c r="G79" s="127"/>
      <c r="H79" s="127"/>
      <c r="I79" s="45"/>
      <c r="J79" s="46"/>
      <c r="K79" s="46"/>
      <c r="L79" s="122"/>
      <c r="M79" s="122"/>
      <c r="N79" s="47"/>
      <c r="O79" s="48"/>
      <c r="P79" s="49"/>
      <c r="Q79" s="48"/>
      <c r="R79" s="123"/>
      <c r="S79" s="123"/>
      <c r="T79" s="50"/>
      <c r="U79" s="50"/>
      <c r="V79" s="50"/>
      <c r="W79" s="50"/>
      <c r="X79" s="51"/>
      <c r="Y79" s="52"/>
      <c r="Z79" s="50"/>
      <c r="AA79" s="53"/>
      <c r="AB79" s="53"/>
      <c r="AC79" s="50"/>
      <c r="AD79" s="50"/>
      <c r="AE79" s="101"/>
      <c r="AF79" s="50"/>
      <c r="AG79" s="50"/>
      <c r="AH79" s="50"/>
      <c r="AI79" s="54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124"/>
      <c r="BC79" s="116"/>
      <c r="BD79" s="116"/>
      <c r="BE79" s="116"/>
      <c r="BF79" s="116"/>
    </row>
    <row r="80" spans="1:58" ht="12.95" customHeight="1" x14ac:dyDescent="0.2">
      <c r="A80" s="117">
        <v>45976</v>
      </c>
      <c r="B80" s="118" t="s">
        <v>168</v>
      </c>
      <c r="C80" s="119">
        <f t="shared" ref="C80" si="148">(M80*E80*O80*Q80)/100000000</f>
        <v>54.191297159999998</v>
      </c>
      <c r="D80" s="118" t="s">
        <v>196</v>
      </c>
      <c r="E80" s="37">
        <v>15.5</v>
      </c>
      <c r="F80" s="37">
        <v>1</v>
      </c>
      <c r="G80" s="120">
        <v>1170</v>
      </c>
      <c r="H80" s="121">
        <f t="shared" ref="H80" si="149">+N80</f>
        <v>0.22999999999999998</v>
      </c>
      <c r="I80" s="45">
        <v>0.88</v>
      </c>
      <c r="J80" s="46">
        <f t="shared" ref="J80" si="150">E80*G80*(1-H80)*1440/1000000*2.74</f>
        <v>55.096161119999998</v>
      </c>
      <c r="K80" s="46">
        <f>(IF(G80&lt;L80,L80,G80)*(1-IF(H80&lt;N80,H80,N80))*E80*O80*Q80)/100000000</f>
        <v>54.191297159999998</v>
      </c>
      <c r="L80" s="122">
        <v>1170</v>
      </c>
      <c r="M80" s="122">
        <v>900.9</v>
      </c>
      <c r="N80" s="47">
        <f t="shared" ref="N80" si="151">1-(M80/L80)</f>
        <v>0.22999999999999998</v>
      </c>
      <c r="O80" s="48">
        <f>+'[4]Trim Rwd'!H49</f>
        <v>269.5</v>
      </c>
      <c r="P80" s="49">
        <f t="shared" ref="P80" si="152">O80*(Q80-R80-S80)</f>
        <v>375952.5</v>
      </c>
      <c r="Q80" s="48">
        <v>1440</v>
      </c>
      <c r="R80" s="123">
        <v>0</v>
      </c>
      <c r="S80" s="123">
        <v>45</v>
      </c>
      <c r="T80" s="50">
        <f t="shared" ref="T80" si="153">E80*M80*O80*Q80/100000000</f>
        <v>54.191297159999998</v>
      </c>
      <c r="U80" s="50">
        <f t="shared" ref="U80" si="154">E80*M80*O80*(Q80-R80-S80)/100000000</f>
        <v>52.497819123749998</v>
      </c>
      <c r="V80" s="50">
        <f t="shared" ref="V80" si="155">E80*G80*(1-N80)*O80/100*(R80+S80)/1000000</f>
        <v>1.6934780362500004</v>
      </c>
      <c r="W80" s="50">
        <f>+'[4]15'!K16/1000</f>
        <v>50.347999999999999</v>
      </c>
      <c r="X80" s="51">
        <f>SUM(W80:W83)/SUM(K80:K83)</f>
        <v>0.92907907059960848</v>
      </c>
      <c r="Y80" s="52">
        <f>+SUM([4]RBP!AG71:AG72)</f>
        <v>0</v>
      </c>
      <c r="Z80" s="50">
        <f>+'[4]15'!D25/1000</f>
        <v>0.67100000000000004</v>
      </c>
      <c r="AA80" s="53">
        <f>SUM(U80:U83)-SUM(W80:W83)-SUM(Z80:Z83)-SUM(Y80:Y83)</f>
        <v>1.4788191237499995</v>
      </c>
      <c r="AB80" s="53">
        <f>(SUM(K80:K83)-SUM(W80:W83)-SUM(Y80:Y83)-SUM(Z80:Z83)-SUM(AC80:AC83)-SUM(V80:V83))-AA80</f>
        <v>0</v>
      </c>
      <c r="AC80" s="50">
        <f>K80-T80</f>
        <v>0</v>
      </c>
      <c r="AD80" s="50">
        <f>+AM80+BA80</f>
        <v>0</v>
      </c>
      <c r="AE80" s="101" t="s">
        <v>110</v>
      </c>
      <c r="AF80" s="50">
        <v>0</v>
      </c>
      <c r="AG80" s="50"/>
      <c r="AH80" s="50"/>
      <c r="AI80" s="54"/>
      <c r="AJ80" s="50"/>
      <c r="AK80" s="50"/>
      <c r="AL80" s="50"/>
      <c r="AM80" s="50">
        <f>SUM(AF80:AL80)+AT80</f>
        <v>0</v>
      </c>
      <c r="AN80" s="50"/>
      <c r="AO80" s="50"/>
      <c r="AP80" s="50"/>
      <c r="AQ80" s="50"/>
      <c r="AR80" s="50">
        <f>SUM(AN80:AQ80)</f>
        <v>0</v>
      </c>
      <c r="AS80" s="50"/>
      <c r="AT80" s="50"/>
      <c r="AU80" s="50"/>
      <c r="AV80" s="50"/>
      <c r="AW80" s="50"/>
      <c r="AX80" s="50"/>
      <c r="AY80" s="50"/>
      <c r="AZ80" s="50"/>
      <c r="BA80" s="50">
        <f>+AR80+AS80+AU80+AV80+AX80</f>
        <v>0</v>
      </c>
      <c r="BB80" s="124">
        <v>0</v>
      </c>
      <c r="BC80" s="116"/>
      <c r="BD80" s="116"/>
      <c r="BE80" s="124"/>
      <c r="BF80" s="116"/>
    </row>
    <row r="81" spans="1:58" ht="12.95" customHeight="1" x14ac:dyDescent="0.2">
      <c r="A81" s="117"/>
      <c r="B81" s="118"/>
      <c r="C81" s="119"/>
      <c r="D81" s="118"/>
      <c r="E81" s="37"/>
      <c r="F81" s="37"/>
      <c r="G81" s="120"/>
      <c r="H81" s="121"/>
      <c r="I81" s="45"/>
      <c r="J81" s="46"/>
      <c r="K81" s="46"/>
      <c r="L81" s="122"/>
      <c r="M81" s="122"/>
      <c r="N81" s="47"/>
      <c r="O81" s="48"/>
      <c r="P81" s="49"/>
      <c r="Q81" s="48"/>
      <c r="R81" s="123"/>
      <c r="S81" s="123"/>
      <c r="T81" s="50"/>
      <c r="U81" s="50"/>
      <c r="V81" s="50"/>
      <c r="W81" s="50"/>
      <c r="X81" s="55"/>
      <c r="Y81" s="52"/>
      <c r="Z81" s="50"/>
      <c r="AA81" s="50"/>
      <c r="AB81" s="50"/>
      <c r="AC81" s="50">
        <f>K81-T81</f>
        <v>0</v>
      </c>
      <c r="AD81" s="50">
        <f t="shared" ref="AD81:AD83" si="156">+AM81+BA81</f>
        <v>11</v>
      </c>
      <c r="AE81" s="101" t="s">
        <v>117</v>
      </c>
      <c r="AF81" s="50"/>
      <c r="AG81" s="50">
        <v>11</v>
      </c>
      <c r="AH81" s="50"/>
      <c r="AI81" s="54"/>
      <c r="AJ81" s="50"/>
      <c r="AK81" s="50"/>
      <c r="AL81" s="50"/>
      <c r="AM81" s="50">
        <f t="shared" ref="AM81:AM83" si="157">SUM(AF81:AL81)+AT81</f>
        <v>11</v>
      </c>
      <c r="AN81" s="125"/>
      <c r="AO81" s="50"/>
      <c r="AP81" s="50"/>
      <c r="AQ81" s="50"/>
      <c r="AR81" s="50">
        <f t="shared" ref="AR81:AR83" si="158">SUM(AN81:AQ81)</f>
        <v>0</v>
      </c>
      <c r="AS81" s="50"/>
      <c r="AT81" s="50"/>
      <c r="AU81" s="50"/>
      <c r="AV81" s="50"/>
      <c r="AW81" s="50"/>
      <c r="AX81" s="50"/>
      <c r="AY81" s="50"/>
      <c r="AZ81" s="50"/>
      <c r="BA81" s="50">
        <f t="shared" ref="BA81:BA83" si="159">+AR81+AS81+AU81+AV81+AX81</f>
        <v>0</v>
      </c>
      <c r="BB81" s="126"/>
      <c r="BC81" s="116">
        <v>9</v>
      </c>
      <c r="BD81" s="116"/>
      <c r="BE81" s="126"/>
      <c r="BF81" s="116"/>
    </row>
    <row r="82" spans="1:58" ht="12.95" customHeight="1" x14ac:dyDescent="0.2">
      <c r="A82" s="117"/>
      <c r="B82" s="118"/>
      <c r="C82" s="119"/>
      <c r="D82" s="118"/>
      <c r="E82" s="37"/>
      <c r="F82" s="37"/>
      <c r="G82" s="127"/>
      <c r="H82" s="121"/>
      <c r="I82" s="45"/>
      <c r="J82" s="46"/>
      <c r="K82" s="46"/>
      <c r="L82" s="122"/>
      <c r="M82" s="122"/>
      <c r="N82" s="47"/>
      <c r="O82" s="48"/>
      <c r="P82" s="49"/>
      <c r="Q82" s="48"/>
      <c r="R82" s="123"/>
      <c r="S82" s="123"/>
      <c r="T82" s="50"/>
      <c r="U82" s="50"/>
      <c r="V82" s="50"/>
      <c r="W82" s="50"/>
      <c r="X82" s="55"/>
      <c r="Y82" s="52"/>
      <c r="Z82" s="50"/>
      <c r="AA82" s="50"/>
      <c r="AB82" s="50"/>
      <c r="AC82" s="50"/>
      <c r="AD82" s="50">
        <f t="shared" si="156"/>
        <v>26</v>
      </c>
      <c r="AE82" s="101" t="s">
        <v>123</v>
      </c>
      <c r="AF82" s="124"/>
      <c r="AG82" s="124"/>
      <c r="AH82" s="124">
        <v>26</v>
      </c>
      <c r="AJ82" s="50"/>
      <c r="AK82" s="50"/>
      <c r="AL82" s="50"/>
      <c r="AM82" s="50">
        <f t="shared" si="157"/>
        <v>26</v>
      </c>
      <c r="AN82" s="50"/>
      <c r="AO82" s="50"/>
      <c r="AP82" s="50"/>
      <c r="AQ82" s="50"/>
      <c r="AR82" s="50">
        <f t="shared" si="158"/>
        <v>0</v>
      </c>
      <c r="AS82" s="50"/>
      <c r="AT82" s="50"/>
      <c r="AU82" s="50"/>
      <c r="AV82" s="50"/>
      <c r="AW82" s="50"/>
      <c r="AX82" s="50"/>
      <c r="AY82" s="50"/>
      <c r="AZ82" s="50"/>
      <c r="BA82" s="50">
        <f t="shared" si="159"/>
        <v>0</v>
      </c>
      <c r="BB82" s="124"/>
      <c r="BC82" s="146"/>
      <c r="BD82" s="146"/>
      <c r="BE82" s="124"/>
      <c r="BF82" s="146"/>
    </row>
    <row r="83" spans="1:58" ht="12.95" customHeight="1" x14ac:dyDescent="0.2">
      <c r="A83" s="117"/>
      <c r="B83" s="118"/>
      <c r="C83" s="119"/>
      <c r="D83" s="118"/>
      <c r="E83" s="37"/>
      <c r="F83" s="37"/>
      <c r="G83" s="127"/>
      <c r="H83" s="121"/>
      <c r="I83" s="45"/>
      <c r="J83" s="46"/>
      <c r="K83" s="46"/>
      <c r="L83" s="122"/>
      <c r="M83" s="122"/>
      <c r="N83" s="47"/>
      <c r="O83" s="48"/>
      <c r="P83" s="49"/>
      <c r="Q83" s="56"/>
      <c r="R83" s="123"/>
      <c r="S83" s="123"/>
      <c r="T83" s="50"/>
      <c r="U83" s="50"/>
      <c r="V83" s="50"/>
      <c r="W83" s="50"/>
      <c r="X83" s="55"/>
      <c r="Y83" s="52"/>
      <c r="Z83" s="50"/>
      <c r="AA83" s="50"/>
      <c r="AB83" s="50"/>
      <c r="AC83" s="50"/>
      <c r="AD83" s="50">
        <f t="shared" si="156"/>
        <v>8</v>
      </c>
      <c r="AE83" s="148" t="s">
        <v>162</v>
      </c>
      <c r="AF83" s="50"/>
      <c r="AG83" s="50"/>
      <c r="AH83" s="50"/>
      <c r="AI83" s="54">
        <v>8</v>
      </c>
      <c r="AJ83" s="50"/>
      <c r="AK83" s="50"/>
      <c r="AL83" s="50"/>
      <c r="AM83" s="50">
        <f t="shared" si="157"/>
        <v>8</v>
      </c>
      <c r="AN83" s="50"/>
      <c r="AO83" s="50"/>
      <c r="AP83" s="50"/>
      <c r="AQ83" s="50"/>
      <c r="AR83" s="50">
        <f t="shared" si="158"/>
        <v>0</v>
      </c>
      <c r="AS83" s="50"/>
      <c r="AT83" s="50"/>
      <c r="AU83" s="50"/>
      <c r="AV83" s="50"/>
      <c r="AW83" s="50"/>
      <c r="AX83" s="50"/>
      <c r="AY83" s="50"/>
      <c r="AZ83" s="50"/>
      <c r="BA83" s="50">
        <f t="shared" si="159"/>
        <v>0</v>
      </c>
      <c r="BB83" s="126"/>
      <c r="BC83" s="116"/>
      <c r="BD83" s="116"/>
      <c r="BE83" s="126"/>
      <c r="BF83" s="116"/>
    </row>
    <row r="84" spans="1:58" ht="12.95" customHeight="1" x14ac:dyDescent="0.2">
      <c r="A84" s="117"/>
      <c r="B84" s="118"/>
      <c r="C84" s="119"/>
      <c r="D84" s="118"/>
      <c r="E84" s="37"/>
      <c r="F84" s="37"/>
      <c r="G84" s="127"/>
      <c r="H84" s="127"/>
      <c r="I84" s="45"/>
      <c r="J84" s="46"/>
      <c r="K84" s="46"/>
      <c r="L84" s="122"/>
      <c r="M84" s="122"/>
      <c r="N84" s="47"/>
      <c r="O84" s="48"/>
      <c r="P84" s="49"/>
      <c r="Q84" s="48"/>
      <c r="R84" s="123"/>
      <c r="S84" s="123"/>
      <c r="T84" s="50"/>
      <c r="U84" s="50"/>
      <c r="V84" s="50"/>
      <c r="W84" s="50"/>
      <c r="X84" s="51"/>
      <c r="Y84" s="52"/>
      <c r="Z84" s="50"/>
      <c r="AA84" s="53"/>
      <c r="AB84" s="53"/>
      <c r="AC84" s="50"/>
      <c r="AD84" s="50"/>
      <c r="AE84" s="101"/>
      <c r="AF84" s="50"/>
      <c r="AG84" s="50"/>
      <c r="AH84" s="50"/>
      <c r="AI84" s="54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124"/>
      <c r="BC84" s="116"/>
      <c r="BD84" s="116"/>
      <c r="BE84" s="116"/>
      <c r="BF84" s="116"/>
    </row>
    <row r="85" spans="1:58" ht="12.95" customHeight="1" x14ac:dyDescent="0.2">
      <c r="A85" s="117">
        <v>45977</v>
      </c>
      <c r="B85" s="118" t="s">
        <v>168</v>
      </c>
      <c r="C85" s="119">
        <f t="shared" ref="C85:C86" si="160">(M85*E85*O85*Q85)/100000000</f>
        <v>51.933326444999999</v>
      </c>
      <c r="D85" s="118" t="s">
        <v>196</v>
      </c>
      <c r="E85" s="37">
        <v>15.5</v>
      </c>
      <c r="F85" s="37">
        <v>1</v>
      </c>
      <c r="G85" s="120">
        <v>1170</v>
      </c>
      <c r="H85" s="121">
        <f t="shared" ref="H85:H86" si="161">+N85</f>
        <v>0.22999999999999998</v>
      </c>
      <c r="I85" s="45">
        <v>0.88</v>
      </c>
      <c r="J85" s="46">
        <f t="shared" ref="J85:J86" si="162">E85*G85*(1-H85)*1440/1000000*2.74</f>
        <v>55.096161119999998</v>
      </c>
      <c r="K85" s="46">
        <f>(IF(G85&lt;L85,L85,G85)*(1-IF(H85&lt;N85,H85,N85))*E85*O85*Q85)/100000000</f>
        <v>51.933326444999999</v>
      </c>
      <c r="L85" s="122">
        <v>1170</v>
      </c>
      <c r="M85" s="122">
        <v>900.9</v>
      </c>
      <c r="N85" s="47">
        <f t="shared" ref="N85:N86" si="163">1-(M85/L85)</f>
        <v>0.22999999999999998</v>
      </c>
      <c r="O85" s="48">
        <f>+'[4]Trim Rwd'!H51</f>
        <v>269.5</v>
      </c>
      <c r="P85" s="49">
        <f t="shared" ref="P85:P86" si="164">O85*(Q85-R85-S85)</f>
        <v>362208</v>
      </c>
      <c r="Q85" s="48">
        <v>1380</v>
      </c>
      <c r="R85" s="123">
        <v>0</v>
      </c>
      <c r="S85" s="123">
        <v>36</v>
      </c>
      <c r="T85" s="50">
        <f t="shared" ref="T85:T86" si="165">E85*M85*O85*Q85/100000000</f>
        <v>51.933326444999999</v>
      </c>
      <c r="U85" s="50">
        <f t="shared" ref="U85:U86" si="166">E85*M85*O85*(Q85-R85-S85)/100000000</f>
        <v>50.578544015999995</v>
      </c>
      <c r="V85" s="50">
        <f t="shared" ref="V85:V86" si="167">E85*G85*(1-N85)*O85/100*(R85+S85)/1000000</f>
        <v>1.3547824290000003</v>
      </c>
      <c r="W85" s="50">
        <f>+'[4]16'!K16/1000</f>
        <v>52.406999999999996</v>
      </c>
      <c r="X85" s="51">
        <f>SUM(W85:W88)/SUM(K85:K88)</f>
        <v>0.96297080014302994</v>
      </c>
      <c r="Y85" s="52">
        <f>+SUM([4]RBP!AG76:AG77)</f>
        <v>0</v>
      </c>
      <c r="Z85" s="50">
        <v>0</v>
      </c>
      <c r="AA85" s="53">
        <f>SUM(U85:U88)-SUM(W85:W88)-SUM(Z85:Z88)-SUM(Y85:Y88)</f>
        <v>0.32857723200000066</v>
      </c>
      <c r="AB85" s="53">
        <f>(SUM(K85:K88)-SUM(W85:W88)-SUM(Y85:Y88)-SUM(Z85:Z88)-SUM(AC85:AC88)-SUM(V85:V88))-AA85</f>
        <v>2.6198784000004194E-2</v>
      </c>
      <c r="AC85" s="50">
        <f>K85-T85</f>
        <v>0</v>
      </c>
      <c r="AD85" s="50">
        <f>+AM85+BA85</f>
        <v>0</v>
      </c>
      <c r="AE85" s="101" t="s">
        <v>110</v>
      </c>
      <c r="AF85" s="50">
        <v>0</v>
      </c>
      <c r="AG85" s="50"/>
      <c r="AH85" s="50"/>
      <c r="AI85" s="54"/>
      <c r="AJ85" s="50"/>
      <c r="AK85" s="50"/>
      <c r="AL85" s="50"/>
      <c r="AM85" s="50">
        <f>SUM(AF85:AL85)+AT85</f>
        <v>0</v>
      </c>
      <c r="AN85" s="50"/>
      <c r="AO85" s="50"/>
      <c r="AP85" s="50"/>
      <c r="AQ85" s="50"/>
      <c r="AR85" s="50">
        <f>SUM(AN85:AQ85)</f>
        <v>0</v>
      </c>
      <c r="AS85" s="50"/>
      <c r="AT85" s="50"/>
      <c r="AU85" s="50"/>
      <c r="AV85" s="50"/>
      <c r="AW85" s="50"/>
      <c r="AX85" s="50"/>
      <c r="AY85" s="50"/>
      <c r="AZ85" s="50"/>
      <c r="BA85" s="50">
        <f>+AR85+AS85+AU85+AV85+AX85</f>
        <v>0</v>
      </c>
      <c r="BB85" s="124">
        <v>0</v>
      </c>
      <c r="BC85" s="116"/>
      <c r="BD85" s="116"/>
      <c r="BE85" s="124"/>
      <c r="BF85" s="116"/>
    </row>
    <row r="86" spans="1:58" ht="12.95" customHeight="1" x14ac:dyDescent="0.2">
      <c r="A86" s="117"/>
      <c r="B86" s="118" t="s">
        <v>168</v>
      </c>
      <c r="C86" s="119">
        <f t="shared" si="160"/>
        <v>2.4888844800000003</v>
      </c>
      <c r="D86" s="118" t="s">
        <v>196</v>
      </c>
      <c r="E86" s="37">
        <v>16</v>
      </c>
      <c r="F86" s="37">
        <v>1</v>
      </c>
      <c r="G86" s="120">
        <v>1050</v>
      </c>
      <c r="H86" s="121">
        <f t="shared" si="161"/>
        <v>0.16999999999999993</v>
      </c>
      <c r="I86" s="45">
        <v>0.88</v>
      </c>
      <c r="J86" s="46">
        <f t="shared" si="162"/>
        <v>55.017446400000019</v>
      </c>
      <c r="K86" s="46">
        <f>(IF(G86&lt;L86,L86,G86)*(1-IF(H86&lt;N86,H86,N86))*E86*O86*Q86)/100000000</f>
        <v>2.4888844800000003</v>
      </c>
      <c r="L86" s="122">
        <v>1140</v>
      </c>
      <c r="M86" s="122">
        <v>946.2</v>
      </c>
      <c r="N86" s="47">
        <f t="shared" si="163"/>
        <v>0.16999999999999993</v>
      </c>
      <c r="O86" s="48">
        <f>+'[4]Trim Rwd'!H52</f>
        <v>274</v>
      </c>
      <c r="P86" s="49">
        <f t="shared" si="164"/>
        <v>14248</v>
      </c>
      <c r="Q86" s="48">
        <v>60</v>
      </c>
      <c r="R86" s="123">
        <v>0</v>
      </c>
      <c r="S86" s="123">
        <v>8</v>
      </c>
      <c r="T86" s="50">
        <f t="shared" si="165"/>
        <v>2.4888844800000003</v>
      </c>
      <c r="U86" s="50">
        <f t="shared" si="166"/>
        <v>2.1570332160000003</v>
      </c>
      <c r="V86" s="50">
        <f t="shared" si="167"/>
        <v>0.30565248000000006</v>
      </c>
      <c r="W86" s="50">
        <f>+'[4]14'!K26/1000</f>
        <v>0</v>
      </c>
      <c r="X86" s="55"/>
      <c r="Y86" s="52"/>
      <c r="Z86" s="50"/>
      <c r="AA86" s="50"/>
      <c r="AB86" s="50"/>
      <c r="AC86" s="50">
        <f>K86-T86</f>
        <v>0</v>
      </c>
      <c r="AD86" s="50">
        <f t="shared" ref="AD86:AD88" si="168">+AM86+BA86</f>
        <v>10</v>
      </c>
      <c r="AE86" s="101" t="s">
        <v>117</v>
      </c>
      <c r="AF86" s="50"/>
      <c r="AG86" s="50">
        <v>10</v>
      </c>
      <c r="AH86" s="50"/>
      <c r="AI86" s="54"/>
      <c r="AJ86" s="50"/>
      <c r="AK86" s="50"/>
      <c r="AL86" s="50"/>
      <c r="AM86" s="50">
        <f t="shared" ref="AM86:AM88" si="169">SUM(AF86:AL86)+AT86</f>
        <v>10</v>
      </c>
      <c r="AN86" s="125"/>
      <c r="AO86" s="50"/>
      <c r="AP86" s="50"/>
      <c r="AQ86" s="50"/>
      <c r="AR86" s="50">
        <f t="shared" ref="AR86:AR88" si="170">SUM(AN86:AQ86)</f>
        <v>0</v>
      </c>
      <c r="AS86" s="50"/>
      <c r="AT86" s="50"/>
      <c r="AU86" s="50"/>
      <c r="AV86" s="50"/>
      <c r="AW86" s="50"/>
      <c r="AX86" s="50"/>
      <c r="AY86" s="50"/>
      <c r="AZ86" s="50"/>
      <c r="BA86" s="50">
        <f t="shared" ref="BA86:BA88" si="171">+AR86+AS86+AU86+AV86+AX86</f>
        <v>0</v>
      </c>
      <c r="BB86" s="126"/>
      <c r="BC86" s="116">
        <v>9</v>
      </c>
      <c r="BD86" s="116"/>
      <c r="BE86" s="126"/>
      <c r="BF86" s="116"/>
    </row>
    <row r="87" spans="1:58" ht="12.95" customHeight="1" x14ac:dyDescent="0.2">
      <c r="A87" s="117"/>
      <c r="B87" s="118"/>
      <c r="C87" s="119"/>
      <c r="D87" s="118"/>
      <c r="E87" s="37"/>
      <c r="F87" s="37"/>
      <c r="G87" s="127"/>
      <c r="H87" s="121"/>
      <c r="I87" s="45"/>
      <c r="J87" s="46"/>
      <c r="K87" s="46"/>
      <c r="L87" s="122"/>
      <c r="M87" s="122"/>
      <c r="N87" s="47"/>
      <c r="O87" s="48"/>
      <c r="P87" s="49"/>
      <c r="Q87" s="48"/>
      <c r="R87" s="123"/>
      <c r="S87" s="123"/>
      <c r="T87" s="50"/>
      <c r="U87" s="50"/>
      <c r="V87" s="50"/>
      <c r="W87" s="50"/>
      <c r="X87" s="55"/>
      <c r="Y87" s="52"/>
      <c r="Z87" s="50"/>
      <c r="AA87" s="50"/>
      <c r="AB87" s="50"/>
      <c r="AC87" s="50"/>
      <c r="AD87" s="50">
        <f t="shared" si="168"/>
        <v>26</v>
      </c>
      <c r="AE87" s="101" t="s">
        <v>128</v>
      </c>
      <c r="AF87" s="124"/>
      <c r="AG87" s="124"/>
      <c r="AH87" s="124">
        <v>26</v>
      </c>
      <c r="AJ87" s="50"/>
      <c r="AK87" s="50"/>
      <c r="AL87" s="50"/>
      <c r="AM87" s="50">
        <f t="shared" si="169"/>
        <v>26</v>
      </c>
      <c r="AN87" s="50"/>
      <c r="AO87" s="50"/>
      <c r="AP87" s="50"/>
      <c r="AQ87" s="50"/>
      <c r="AR87" s="50">
        <f t="shared" si="170"/>
        <v>0</v>
      </c>
      <c r="AS87" s="50"/>
      <c r="AT87" s="50"/>
      <c r="AU87" s="50"/>
      <c r="AV87" s="50"/>
      <c r="AW87" s="50"/>
      <c r="AX87" s="50"/>
      <c r="AY87" s="50"/>
      <c r="AZ87" s="50"/>
      <c r="BA87" s="50">
        <f t="shared" si="171"/>
        <v>0</v>
      </c>
      <c r="BB87" s="124"/>
      <c r="BC87" s="146"/>
      <c r="BD87" s="146"/>
      <c r="BE87" s="124"/>
      <c r="BF87" s="146"/>
    </row>
    <row r="88" spans="1:58" ht="12.95" customHeight="1" x14ac:dyDescent="0.2">
      <c r="A88" s="117"/>
      <c r="B88" s="118"/>
      <c r="C88" s="119"/>
      <c r="D88" s="118"/>
      <c r="E88" s="37"/>
      <c r="F88" s="37"/>
      <c r="G88" s="127"/>
      <c r="H88" s="121"/>
      <c r="I88" s="45"/>
      <c r="J88" s="46"/>
      <c r="K88" s="46"/>
      <c r="L88" s="122"/>
      <c r="M88" s="122"/>
      <c r="N88" s="47"/>
      <c r="O88" s="48"/>
      <c r="P88" s="49"/>
      <c r="Q88" s="56"/>
      <c r="R88" s="123"/>
      <c r="S88" s="123"/>
      <c r="T88" s="50"/>
      <c r="U88" s="50"/>
      <c r="V88" s="50"/>
      <c r="W88" s="50"/>
      <c r="X88" s="55"/>
      <c r="Y88" s="52"/>
      <c r="Z88" s="50"/>
      <c r="AA88" s="50"/>
      <c r="AB88" s="50"/>
      <c r="AC88" s="50"/>
      <c r="AD88" s="50">
        <f t="shared" si="168"/>
        <v>8</v>
      </c>
      <c r="AE88" s="148" t="s">
        <v>162</v>
      </c>
      <c r="AF88" s="50"/>
      <c r="AG88" s="50"/>
      <c r="AH88" s="50"/>
      <c r="AI88" s="54">
        <v>8</v>
      </c>
      <c r="AJ88" s="50"/>
      <c r="AK88" s="50"/>
      <c r="AL88" s="50"/>
      <c r="AM88" s="50">
        <f t="shared" si="169"/>
        <v>8</v>
      </c>
      <c r="AN88" s="50"/>
      <c r="AO88" s="50"/>
      <c r="AP88" s="50"/>
      <c r="AQ88" s="50"/>
      <c r="AR88" s="50">
        <f t="shared" si="170"/>
        <v>0</v>
      </c>
      <c r="AS88" s="50"/>
      <c r="AT88" s="50"/>
      <c r="AU88" s="50"/>
      <c r="AV88" s="50"/>
      <c r="AW88" s="50"/>
      <c r="AX88" s="50"/>
      <c r="AY88" s="50"/>
      <c r="AZ88" s="50"/>
      <c r="BA88" s="50">
        <f t="shared" si="171"/>
        <v>0</v>
      </c>
      <c r="BB88" s="126"/>
      <c r="BC88" s="116"/>
      <c r="BD88" s="116"/>
      <c r="BE88" s="126"/>
      <c r="BF88" s="116"/>
    </row>
    <row r="89" spans="1:58" ht="12.95" customHeight="1" x14ac:dyDescent="0.2">
      <c r="A89" s="117"/>
      <c r="B89" s="118"/>
      <c r="C89" s="119"/>
      <c r="D89" s="118"/>
      <c r="E89" s="37"/>
      <c r="F89" s="37"/>
      <c r="G89" s="127"/>
      <c r="H89" s="127"/>
      <c r="I89" s="45"/>
      <c r="J89" s="46"/>
      <c r="K89" s="46"/>
      <c r="L89" s="122"/>
      <c r="M89" s="122"/>
      <c r="N89" s="47"/>
      <c r="O89" s="48"/>
      <c r="P89" s="49"/>
      <c r="Q89" s="48"/>
      <c r="R89" s="123"/>
      <c r="S89" s="123"/>
      <c r="T89" s="50"/>
      <c r="U89" s="50"/>
      <c r="V89" s="50"/>
      <c r="W89" s="50"/>
      <c r="X89" s="55"/>
      <c r="Y89" s="52"/>
      <c r="Z89" s="50"/>
      <c r="AA89" s="50"/>
      <c r="AB89" s="50"/>
      <c r="AC89" s="50"/>
      <c r="AD89" s="50"/>
      <c r="AE89" s="101"/>
      <c r="AF89" s="50"/>
      <c r="AG89" s="50"/>
      <c r="AH89" s="50"/>
      <c r="AI89" s="54"/>
      <c r="AJ89" s="50"/>
      <c r="AK89" s="50"/>
      <c r="AL89" s="50"/>
      <c r="AM89" s="50"/>
      <c r="AN89" s="125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126"/>
      <c r="BC89" s="116"/>
      <c r="BD89" s="116"/>
      <c r="BE89" s="116"/>
      <c r="BF89" s="116"/>
    </row>
    <row r="90" spans="1:58" ht="12.95" customHeight="1" x14ac:dyDescent="0.2">
      <c r="A90" s="117">
        <v>45978</v>
      </c>
      <c r="B90" s="118" t="s">
        <v>168</v>
      </c>
      <c r="C90" s="119">
        <f t="shared" ref="C90:C91" si="172">(M90*E90*O90*Q90)/100000000</f>
        <v>12.475139040000002</v>
      </c>
      <c r="D90" s="118" t="s">
        <v>196</v>
      </c>
      <c r="E90" s="37">
        <v>16</v>
      </c>
      <c r="F90" s="37">
        <v>1</v>
      </c>
      <c r="G90" s="120">
        <v>1050</v>
      </c>
      <c r="H90" s="121">
        <f t="shared" ref="H90:H91" si="173">+N90</f>
        <v>0.16999999999999993</v>
      </c>
      <c r="I90" s="45">
        <v>0.88</v>
      </c>
      <c r="J90" s="46">
        <f t="shared" ref="J90:J91" si="174">E90*G90*(1-H90)*1440/1000000*2.74</f>
        <v>55.017446400000019</v>
      </c>
      <c r="K90" s="46">
        <f>(IF(G90&lt;L90,L90,G90)*(1-IF(H90&lt;N90,H90,N90))*E90*O90*Q90)/100000000</f>
        <v>12.475139040000002</v>
      </c>
      <c r="L90" s="122">
        <v>1140</v>
      </c>
      <c r="M90" s="122">
        <v>946.2</v>
      </c>
      <c r="N90" s="47">
        <f t="shared" ref="N90:N91" si="175">1-(M90/L90)</f>
        <v>0.16999999999999993</v>
      </c>
      <c r="O90" s="48">
        <f>+'[4]Trim Rwd'!H54</f>
        <v>261.59649122807019</v>
      </c>
      <c r="P90" s="49">
        <f t="shared" ref="P90:P91" si="176">O90*(Q90-R90-S90)</f>
        <v>79786.929824561405</v>
      </c>
      <c r="Q90" s="48">
        <v>315</v>
      </c>
      <c r="R90" s="123">
        <v>0</v>
      </c>
      <c r="S90" s="123">
        <v>10</v>
      </c>
      <c r="T90" s="50">
        <f t="shared" ref="T90:T91" si="177">E90*M90*O90*Q90/100000000</f>
        <v>12.475139040000002</v>
      </c>
      <c r="U90" s="50">
        <f t="shared" ref="U90:U91" si="178">E90*M90*O90*(Q90-R90-S90)/100000000</f>
        <v>12.079102880000002</v>
      </c>
      <c r="V90" s="50">
        <f t="shared" ref="V90:V91" si="179">E90*G90*(1-N90)*O90/100*(R90+S90)/1000000</f>
        <v>0.36477014736842106</v>
      </c>
      <c r="W90" s="50">
        <f>+'[4]17'!K17/1000</f>
        <v>13.542</v>
      </c>
      <c r="X90" s="51">
        <f>SUM(W90:W93)/SUM(K90:K93)</f>
        <v>0.93426728035711137</v>
      </c>
      <c r="Y90" s="52">
        <f>+SUM([4]RBP!AG81:AG82)</f>
        <v>0</v>
      </c>
      <c r="Z90" s="50">
        <v>0</v>
      </c>
      <c r="AA90" s="53">
        <f>SUM(U90:U93)-SUM(W90:W93)-SUM(Z90:Z93)-SUM(Y90:Y93)</f>
        <v>2.111748324079997</v>
      </c>
      <c r="AB90" s="53">
        <f>(SUM(K90:K93)-SUM(W90:W93)-SUM(Y90:Y93)-SUM(Z90:Z93)-SUM(AC90:AC93)-SUM(V90:V93))-AA90</f>
        <v>3.5501800551581031E-2</v>
      </c>
      <c r="AC90" s="50">
        <f>K90-T90</f>
        <v>0</v>
      </c>
      <c r="AD90" s="50">
        <f>+AM90+BA90</f>
        <v>0</v>
      </c>
      <c r="AE90" s="101" t="s">
        <v>110</v>
      </c>
      <c r="AF90" s="50">
        <v>0</v>
      </c>
      <c r="AG90" s="50"/>
      <c r="AH90" s="50"/>
      <c r="AI90" s="54"/>
      <c r="AJ90" s="50"/>
      <c r="AK90" s="50"/>
      <c r="AL90" s="50"/>
      <c r="AM90" s="50">
        <f>SUM(AF90:AL90)+AT90</f>
        <v>0</v>
      </c>
      <c r="AN90" s="50"/>
      <c r="AO90" s="50"/>
      <c r="AP90" s="50"/>
      <c r="AQ90" s="50"/>
      <c r="AR90" s="50">
        <f>SUM(AN90:AQ90)</f>
        <v>0</v>
      </c>
      <c r="AS90" s="50"/>
      <c r="AT90" s="50"/>
      <c r="AU90" s="50"/>
      <c r="AV90" s="50"/>
      <c r="AW90" s="50"/>
      <c r="AX90" s="50"/>
      <c r="AY90" s="50"/>
      <c r="AZ90" s="50"/>
      <c r="BA90" s="50">
        <f>+AR90+AS90+AU90+AV90+AX90</f>
        <v>0</v>
      </c>
      <c r="BB90" s="124">
        <v>0</v>
      </c>
      <c r="BC90" s="116"/>
      <c r="BD90" s="116"/>
      <c r="BE90" s="124"/>
      <c r="BF90" s="116"/>
    </row>
    <row r="91" spans="1:58" ht="12.95" customHeight="1" x14ac:dyDescent="0.2">
      <c r="A91" s="117"/>
      <c r="B91" s="118" t="s">
        <v>168</v>
      </c>
      <c r="C91" s="119">
        <f t="shared" si="172"/>
        <v>43.202717921999998</v>
      </c>
      <c r="D91" s="118" t="s">
        <v>196</v>
      </c>
      <c r="E91" s="37">
        <v>15.5</v>
      </c>
      <c r="F91" s="37">
        <v>1</v>
      </c>
      <c r="G91" s="120">
        <v>1155</v>
      </c>
      <c r="H91" s="121">
        <f t="shared" si="173"/>
        <v>0.21999999999999997</v>
      </c>
      <c r="I91" s="45">
        <v>0.88</v>
      </c>
      <c r="J91" s="46">
        <f t="shared" si="174"/>
        <v>55.096161119999998</v>
      </c>
      <c r="K91" s="46">
        <f>(IF(G91&lt;L91,L91,G91)*(1-IF(H91&lt;N91,H91,N91))*E91*O91*Q91)/100000000</f>
        <v>43.202717921999998</v>
      </c>
      <c r="L91" s="122">
        <v>1159.2622222222221</v>
      </c>
      <c r="M91" s="122">
        <v>904.22453333333328</v>
      </c>
      <c r="N91" s="47">
        <f t="shared" si="175"/>
        <v>0.21999999999999997</v>
      </c>
      <c r="O91" s="48">
        <f>+'[4]Trim Rwd'!H56</f>
        <v>274</v>
      </c>
      <c r="P91" s="49">
        <f t="shared" si="176"/>
        <v>300030</v>
      </c>
      <c r="Q91" s="48">
        <v>1125</v>
      </c>
      <c r="R91" s="123">
        <v>0</v>
      </c>
      <c r="S91" s="123">
        <v>30</v>
      </c>
      <c r="T91" s="50">
        <f t="shared" si="177"/>
        <v>43.202717921999998</v>
      </c>
      <c r="U91" s="50">
        <f t="shared" si="178"/>
        <v>42.050645444079997</v>
      </c>
      <c r="V91" s="50">
        <f t="shared" si="179"/>
        <v>1.1478366900000001</v>
      </c>
      <c r="W91" s="50">
        <f>+'[4]17'!K16/1000</f>
        <v>38.475999999999999</v>
      </c>
      <c r="X91" s="55"/>
      <c r="Y91" s="52"/>
      <c r="Z91" s="50"/>
      <c r="AA91" s="50"/>
      <c r="AB91" s="50"/>
      <c r="AC91" s="50">
        <f>K91-T91</f>
        <v>0</v>
      </c>
      <c r="AD91" s="50">
        <f t="shared" ref="AD91:AD93" si="180">+AM91+BA91</f>
        <v>11</v>
      </c>
      <c r="AE91" s="101" t="s">
        <v>129</v>
      </c>
      <c r="AF91" s="50"/>
      <c r="AG91" s="50">
        <v>11</v>
      </c>
      <c r="AH91" s="50"/>
      <c r="AI91" s="54"/>
      <c r="AJ91" s="50"/>
      <c r="AK91" s="50"/>
      <c r="AL91" s="50"/>
      <c r="AM91" s="50">
        <f t="shared" ref="AM91:AM93" si="181">SUM(AF91:AL91)+AT91</f>
        <v>11</v>
      </c>
      <c r="AN91" s="125"/>
      <c r="AO91" s="50"/>
      <c r="AP91" s="50"/>
      <c r="AQ91" s="50"/>
      <c r="AR91" s="50">
        <f t="shared" ref="AR91:AR93" si="182">SUM(AN91:AQ91)</f>
        <v>0</v>
      </c>
      <c r="AS91" s="50"/>
      <c r="AT91" s="50"/>
      <c r="AU91" s="50"/>
      <c r="AV91" s="50"/>
      <c r="AW91" s="50"/>
      <c r="AX91" s="50"/>
      <c r="AY91" s="50"/>
      <c r="AZ91" s="50"/>
      <c r="BA91" s="50">
        <f t="shared" ref="BA91:BA93" si="183">+AR91+AS91+AU91+AV91+AX91</f>
        <v>0</v>
      </c>
      <c r="BB91" s="126"/>
      <c r="BC91" s="116">
        <v>8</v>
      </c>
      <c r="BD91" s="116"/>
      <c r="BE91" s="126"/>
      <c r="BF91" s="116"/>
    </row>
    <row r="92" spans="1:58" ht="12.75" customHeight="1" x14ac:dyDescent="0.2">
      <c r="A92" s="117"/>
      <c r="B92" s="118"/>
      <c r="C92" s="119"/>
      <c r="D92" s="118"/>
      <c r="E92" s="37"/>
      <c r="F92" s="37"/>
      <c r="G92" s="127"/>
      <c r="H92" s="121"/>
      <c r="I92" s="45"/>
      <c r="J92" s="46"/>
      <c r="K92" s="46"/>
      <c r="L92" s="122"/>
      <c r="M92" s="122"/>
      <c r="N92" s="47"/>
      <c r="O92" s="48"/>
      <c r="P92" s="49"/>
      <c r="Q92" s="48"/>
      <c r="R92" s="123"/>
      <c r="S92" s="123"/>
      <c r="T92" s="50"/>
      <c r="U92" s="50"/>
      <c r="V92" s="50"/>
      <c r="W92" s="50"/>
      <c r="X92" s="55"/>
      <c r="Y92" s="52"/>
      <c r="Z92" s="50"/>
      <c r="AA92" s="50"/>
      <c r="AB92" s="50"/>
      <c r="AC92" s="50"/>
      <c r="AD92" s="50">
        <f t="shared" si="180"/>
        <v>24</v>
      </c>
      <c r="AE92" s="101" t="s">
        <v>128</v>
      </c>
      <c r="AF92" s="124"/>
      <c r="AG92" s="124"/>
      <c r="AH92" s="124">
        <v>24</v>
      </c>
      <c r="AJ92" s="50"/>
      <c r="AK92" s="50"/>
      <c r="AL92" s="50"/>
      <c r="AM92" s="50">
        <f t="shared" si="181"/>
        <v>24</v>
      </c>
      <c r="AN92" s="50"/>
      <c r="AO92" s="50"/>
      <c r="AP92" s="50"/>
      <c r="AQ92" s="50"/>
      <c r="AR92" s="50">
        <f t="shared" si="182"/>
        <v>0</v>
      </c>
      <c r="AS92" s="50"/>
      <c r="AT92" s="50"/>
      <c r="AU92" s="50"/>
      <c r="AV92" s="50"/>
      <c r="AW92" s="50"/>
      <c r="AX92" s="50"/>
      <c r="AY92" s="50"/>
      <c r="AZ92" s="50"/>
      <c r="BA92" s="50">
        <f t="shared" si="183"/>
        <v>0</v>
      </c>
      <c r="BB92" s="124"/>
      <c r="BC92" s="146"/>
      <c r="BD92" s="146"/>
      <c r="BE92" s="124"/>
      <c r="BF92" s="146"/>
    </row>
    <row r="93" spans="1:58" ht="12.95" customHeight="1" x14ac:dyDescent="0.2">
      <c r="A93" s="117"/>
      <c r="B93" s="118"/>
      <c r="C93" s="119"/>
      <c r="D93" s="118"/>
      <c r="E93" s="37"/>
      <c r="F93" s="37"/>
      <c r="G93" s="127"/>
      <c r="H93" s="121"/>
      <c r="I93" s="45"/>
      <c r="J93" s="46"/>
      <c r="K93" s="46"/>
      <c r="L93" s="122"/>
      <c r="M93" s="122"/>
      <c r="N93" s="47"/>
      <c r="O93" s="48"/>
      <c r="P93" s="49"/>
      <c r="Q93" s="56"/>
      <c r="R93" s="123"/>
      <c r="S93" s="123"/>
      <c r="T93" s="50"/>
      <c r="U93" s="50"/>
      <c r="V93" s="50"/>
      <c r="W93" s="50"/>
      <c r="X93" s="55"/>
      <c r="Y93" s="52"/>
      <c r="Z93" s="50"/>
      <c r="AA93" s="50"/>
      <c r="AB93" s="50"/>
      <c r="AC93" s="50"/>
      <c r="AD93" s="50">
        <f t="shared" si="180"/>
        <v>5</v>
      </c>
      <c r="AE93" s="148" t="s">
        <v>162</v>
      </c>
      <c r="AF93" s="50"/>
      <c r="AG93" s="50"/>
      <c r="AH93" s="50"/>
      <c r="AI93" s="54">
        <v>5</v>
      </c>
      <c r="AJ93" s="50"/>
      <c r="AK93" s="50"/>
      <c r="AL93" s="50"/>
      <c r="AM93" s="50">
        <f t="shared" si="181"/>
        <v>5</v>
      </c>
      <c r="AN93" s="50"/>
      <c r="AO93" s="50"/>
      <c r="AP93" s="50"/>
      <c r="AQ93" s="50"/>
      <c r="AR93" s="50">
        <f t="shared" si="182"/>
        <v>0</v>
      </c>
      <c r="AS93" s="50"/>
      <c r="AT93" s="50"/>
      <c r="AU93" s="50"/>
      <c r="AV93" s="50"/>
      <c r="AW93" s="50"/>
      <c r="AX93" s="50"/>
      <c r="AY93" s="50"/>
      <c r="AZ93" s="50"/>
      <c r="BA93" s="50">
        <f t="shared" si="183"/>
        <v>0</v>
      </c>
      <c r="BB93" s="126"/>
      <c r="BC93" s="116"/>
      <c r="BD93" s="116"/>
      <c r="BE93" s="126"/>
      <c r="BF93" s="116"/>
    </row>
    <row r="94" spans="1:58" ht="12.95" customHeight="1" x14ac:dyDescent="0.2">
      <c r="A94" s="117"/>
      <c r="B94" s="118"/>
      <c r="C94" s="119"/>
      <c r="D94" s="118"/>
      <c r="E94" s="37"/>
      <c r="F94" s="37"/>
      <c r="G94" s="127"/>
      <c r="H94" s="127"/>
      <c r="I94" s="45"/>
      <c r="J94" s="46"/>
      <c r="K94" s="46"/>
      <c r="L94" s="122"/>
      <c r="M94" s="122"/>
      <c r="N94" s="47"/>
      <c r="O94" s="48"/>
      <c r="P94" s="49"/>
      <c r="Q94" s="48"/>
      <c r="R94" s="123"/>
      <c r="S94" s="123"/>
      <c r="T94" s="50"/>
      <c r="U94" s="50"/>
      <c r="V94" s="50"/>
      <c r="W94" s="50"/>
      <c r="X94" s="55"/>
      <c r="Y94" s="52"/>
      <c r="Z94" s="50"/>
      <c r="AA94" s="50"/>
      <c r="AB94" s="50"/>
      <c r="AC94" s="50"/>
      <c r="AD94" s="50"/>
      <c r="AE94" s="101"/>
      <c r="AF94" s="50"/>
      <c r="AG94" s="50"/>
      <c r="AH94" s="50"/>
      <c r="AI94" s="54"/>
      <c r="AJ94" s="50"/>
      <c r="AK94" s="50"/>
      <c r="AL94" s="50"/>
      <c r="AM94" s="50"/>
      <c r="AN94" s="125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126"/>
      <c r="BC94" s="116"/>
      <c r="BD94" s="116"/>
      <c r="BE94" s="116"/>
      <c r="BF94" s="116"/>
    </row>
    <row r="95" spans="1:58" ht="12.95" customHeight="1" x14ac:dyDescent="0.2">
      <c r="A95" s="117">
        <v>45979</v>
      </c>
      <c r="B95" s="118" t="s">
        <v>168</v>
      </c>
      <c r="C95" s="119">
        <f t="shared" ref="C95:C96" si="184">(M95*E95*O95*Q95)/100000000</f>
        <v>41.053216641973826</v>
      </c>
      <c r="D95" s="118" t="s">
        <v>196</v>
      </c>
      <c r="E95" s="37">
        <v>15.5</v>
      </c>
      <c r="F95" s="37">
        <v>1</v>
      </c>
      <c r="G95" s="120">
        <v>1160</v>
      </c>
      <c r="H95" s="121">
        <f t="shared" ref="H95:H96" si="185">+N95</f>
        <v>0.22240767773113435</v>
      </c>
      <c r="I95" s="45">
        <v>0.88</v>
      </c>
      <c r="J95" s="46">
        <f t="shared" ref="J95:J96" si="186">E95*G95*(1-H95)*1440/1000000*2.74</f>
        <v>55.163867436057771</v>
      </c>
      <c r="K95" s="46">
        <f>(IF(G95&lt;L95,L95,G95)*(1-IF(H95&lt;N95,H95,N95))*E95*O95*Q95)/100000000</f>
        <v>41.234487588494822</v>
      </c>
      <c r="L95" s="122">
        <v>1154.9005235602094</v>
      </c>
      <c r="M95" s="122">
        <v>898.04178010471207</v>
      </c>
      <c r="N95" s="47">
        <f t="shared" ref="N95:N96" si="187">1-(M95/L95)</f>
        <v>0.22240767773113435</v>
      </c>
      <c r="O95" s="48">
        <f>+'[4]Trim Rwd'!H58</f>
        <v>261</v>
      </c>
      <c r="P95" s="49">
        <f t="shared" ref="P95:P96" si="188">O95*(Q95-R95-S95)</f>
        <v>241425</v>
      </c>
      <c r="Q95" s="48">
        <f>955+175</f>
        <v>1130</v>
      </c>
      <c r="R95" s="123">
        <v>175</v>
      </c>
      <c r="S95" s="123">
        <v>30</v>
      </c>
      <c r="T95" s="50">
        <f t="shared" ref="T95:T96" si="189">E95*M95*O95*Q95/100000000</f>
        <v>41.053216641973826</v>
      </c>
      <c r="U95" s="50">
        <f t="shared" ref="U95:U96" si="190">E95*M95*O95*(Q95-R95-S95)/100000000</f>
        <v>33.605509198075922</v>
      </c>
      <c r="V95" s="50">
        <f t="shared" ref="V95:V96" si="191">E95*G95*(1-N95)*O95/100*(R95+S95)/1000000</f>
        <v>7.4805928810986195</v>
      </c>
      <c r="W95" s="50">
        <f>+'[4]18'!K16/1000</f>
        <v>31.056000000000001</v>
      </c>
      <c r="X95" s="51">
        <f>SUM(W95:W98)/SUM(K95:K98)</f>
        <v>0.85466379693890182</v>
      </c>
      <c r="Y95" s="52">
        <f>+SUM([4]RBP!AG86:AG87)</f>
        <v>0</v>
      </c>
      <c r="Z95" s="50">
        <v>0</v>
      </c>
      <c r="AA95" s="53">
        <f>SUM(U95:U98)-SUM(W95:W98)-SUM(Z95:Z98)-SUM(Y95:Y98)</f>
        <v>-0.19418133095634005</v>
      </c>
      <c r="AB95" s="53">
        <f>(SUM(K95:K98)-SUM(W95:W98)-SUM(Y95:Y98)-SUM(Z95:Z98)-SUM(AC95:AC98)-SUM(V95:V98))-AA95</f>
        <v>-5.1045664658433409E-3</v>
      </c>
      <c r="AC95" s="50">
        <f>K95-T95</f>
        <v>0.18127094652099629</v>
      </c>
      <c r="AD95" s="50">
        <f>+AM95+BA95</f>
        <v>0</v>
      </c>
      <c r="AE95" s="101" t="s">
        <v>110</v>
      </c>
      <c r="AF95" s="50">
        <v>0</v>
      </c>
      <c r="AG95" s="50"/>
      <c r="AH95" s="50"/>
      <c r="AI95" s="54"/>
      <c r="AJ95" s="50"/>
      <c r="AK95" s="50"/>
      <c r="AL95" s="50"/>
      <c r="AM95" s="50">
        <f>SUM(AF95:AL95)+AT95</f>
        <v>0</v>
      </c>
      <c r="AN95" s="50"/>
      <c r="AO95" s="50"/>
      <c r="AP95" s="50"/>
      <c r="AQ95" s="50"/>
      <c r="AR95" s="50">
        <f>SUM(AN95:AQ95)</f>
        <v>0</v>
      </c>
      <c r="AS95" s="50"/>
      <c r="AT95" s="50"/>
      <c r="AU95" s="50"/>
      <c r="AV95" s="50"/>
      <c r="AW95" s="50"/>
      <c r="AX95" s="50"/>
      <c r="AY95" s="50"/>
      <c r="AZ95" s="50"/>
      <c r="BA95" s="50">
        <f>+AR95+AS95+AU95+AV95+AX95</f>
        <v>0</v>
      </c>
      <c r="BB95" s="124">
        <v>0</v>
      </c>
      <c r="BC95" s="116"/>
      <c r="BD95" s="116"/>
      <c r="BE95" s="124"/>
      <c r="BF95" s="116"/>
    </row>
    <row r="96" spans="1:58" ht="12.75" customHeight="1" x14ac:dyDescent="0.2">
      <c r="A96" s="117"/>
      <c r="B96" s="118" t="s">
        <v>168</v>
      </c>
      <c r="C96" s="119">
        <f t="shared" si="184"/>
        <v>12.75165312</v>
      </c>
      <c r="D96" s="118" t="s">
        <v>196</v>
      </c>
      <c r="E96" s="37">
        <v>16</v>
      </c>
      <c r="F96" s="37">
        <v>1</v>
      </c>
      <c r="G96" s="120">
        <v>1060</v>
      </c>
      <c r="H96" s="121">
        <f t="shared" si="185"/>
        <v>0.17460839954597052</v>
      </c>
      <c r="I96" s="45">
        <v>0.88</v>
      </c>
      <c r="J96" s="46">
        <f t="shared" si="186"/>
        <v>55.233040074824061</v>
      </c>
      <c r="K96" s="46">
        <f>(IF(G96&lt;L96,L96,G96)*(1-IF(H96&lt;N96,H96,N96))*E96*O96*Q96)/100000000</f>
        <v>12.75165312</v>
      </c>
      <c r="L96" s="122">
        <v>1136.7741935483871</v>
      </c>
      <c r="M96" s="122">
        <v>938.2838709677419</v>
      </c>
      <c r="N96" s="47">
        <f t="shared" si="187"/>
        <v>0.17460839954597052</v>
      </c>
      <c r="O96" s="48">
        <f>+'[4]Trim Rwd'!H59</f>
        <v>274</v>
      </c>
      <c r="P96" s="49">
        <f t="shared" si="188"/>
        <v>82200</v>
      </c>
      <c r="Q96" s="48">
        <v>310</v>
      </c>
      <c r="R96" s="123">
        <v>0</v>
      </c>
      <c r="S96" s="123">
        <v>10</v>
      </c>
      <c r="T96" s="50">
        <f t="shared" si="189"/>
        <v>12.75165312</v>
      </c>
      <c r="U96" s="50">
        <f t="shared" si="190"/>
        <v>12.340309470967741</v>
      </c>
      <c r="V96" s="50">
        <f t="shared" si="191"/>
        <v>0.38356277829738927</v>
      </c>
      <c r="W96" s="50">
        <f>+'[4]18'!K17/1000</f>
        <v>15.084</v>
      </c>
      <c r="X96" s="55"/>
      <c r="Y96" s="52"/>
      <c r="Z96" s="50"/>
      <c r="AA96" s="50"/>
      <c r="AB96" s="50"/>
      <c r="AC96" s="50">
        <f>K96-T96</f>
        <v>0</v>
      </c>
      <c r="AD96" s="50">
        <f t="shared" ref="AD96:AD99" si="192">+AM96+BA96</f>
        <v>9</v>
      </c>
      <c r="AE96" s="101" t="s">
        <v>129</v>
      </c>
      <c r="AF96" s="50"/>
      <c r="AG96" s="50">
        <v>9</v>
      </c>
      <c r="AH96" s="50"/>
      <c r="AI96" s="54"/>
      <c r="AJ96" s="50"/>
      <c r="AK96" s="50"/>
      <c r="AL96" s="50"/>
      <c r="AM96" s="50">
        <f t="shared" ref="AM96:AM98" si="193">SUM(AF96:AL96)+AT96</f>
        <v>9</v>
      </c>
      <c r="AN96" s="125"/>
      <c r="AO96" s="50"/>
      <c r="AP96" s="50"/>
      <c r="AQ96" s="50"/>
      <c r="AR96" s="50">
        <f t="shared" ref="AR96:AR98" si="194">SUM(AN96:AQ96)</f>
        <v>0</v>
      </c>
      <c r="AS96" s="50"/>
      <c r="AT96" s="50"/>
      <c r="AU96" s="50"/>
      <c r="AV96" s="50"/>
      <c r="AW96" s="50"/>
      <c r="AX96" s="50"/>
      <c r="AY96" s="50"/>
      <c r="AZ96" s="50"/>
      <c r="BA96" s="50">
        <f t="shared" ref="BA96:BA99" si="195">+AR96+AS96+AU96+AV96+AX96</f>
        <v>0</v>
      </c>
      <c r="BB96" s="126"/>
      <c r="BC96" s="116">
        <v>8</v>
      </c>
      <c r="BD96" s="116"/>
      <c r="BE96" s="126"/>
      <c r="BF96" s="116"/>
    </row>
    <row r="97" spans="1:58" ht="12.95" customHeight="1" x14ac:dyDescent="0.2">
      <c r="A97" s="117"/>
      <c r="B97" s="118"/>
      <c r="C97" s="119"/>
      <c r="D97" s="118"/>
      <c r="E97" s="37"/>
      <c r="F97" s="37"/>
      <c r="G97" s="127"/>
      <c r="H97" s="121"/>
      <c r="I97" s="45"/>
      <c r="J97" s="46"/>
      <c r="K97" s="46"/>
      <c r="L97" s="122"/>
      <c r="M97" s="122"/>
      <c r="N97" s="47"/>
      <c r="O97" s="48"/>
      <c r="P97" s="49"/>
      <c r="Q97" s="48"/>
      <c r="R97" s="123"/>
      <c r="S97" s="123"/>
      <c r="T97" s="50"/>
      <c r="U97" s="50"/>
      <c r="V97" s="50"/>
      <c r="W97" s="50"/>
      <c r="X97" s="55"/>
      <c r="Y97" s="52"/>
      <c r="Z97" s="50"/>
      <c r="AA97" s="50"/>
      <c r="AB97" s="50"/>
      <c r="AC97" s="50"/>
      <c r="AD97" s="50">
        <f t="shared" si="192"/>
        <v>21</v>
      </c>
      <c r="AE97" s="101" t="s">
        <v>123</v>
      </c>
      <c r="AF97" s="124"/>
      <c r="AG97" s="124"/>
      <c r="AH97" s="124">
        <v>21</v>
      </c>
      <c r="AJ97" s="50"/>
      <c r="AK97" s="50"/>
      <c r="AL97" s="50"/>
      <c r="AM97" s="50">
        <f t="shared" si="193"/>
        <v>21</v>
      </c>
      <c r="AN97" s="50"/>
      <c r="AO97" s="50"/>
      <c r="AP97" s="50"/>
      <c r="AQ97" s="50"/>
      <c r="AR97" s="50">
        <f t="shared" si="194"/>
        <v>0</v>
      </c>
      <c r="AS97" s="50"/>
      <c r="AT97" s="50"/>
      <c r="AU97" s="50"/>
      <c r="AV97" s="50"/>
      <c r="AW97" s="50"/>
      <c r="AX97" s="50"/>
      <c r="AY97" s="50"/>
      <c r="AZ97" s="50"/>
      <c r="BA97" s="50">
        <f t="shared" si="195"/>
        <v>0</v>
      </c>
      <c r="BB97" s="124"/>
      <c r="BC97" s="146"/>
      <c r="BD97" s="146"/>
      <c r="BE97" s="124"/>
      <c r="BF97" s="146"/>
    </row>
    <row r="98" spans="1:58" ht="12.95" customHeight="1" x14ac:dyDescent="0.2">
      <c r="A98" s="117"/>
      <c r="B98" s="118"/>
      <c r="C98" s="119"/>
      <c r="D98" s="118"/>
      <c r="E98" s="37"/>
      <c r="F98" s="37"/>
      <c r="G98" s="127"/>
      <c r="H98" s="121"/>
      <c r="I98" s="45"/>
      <c r="J98" s="46"/>
      <c r="K98" s="46"/>
      <c r="L98" s="122"/>
      <c r="M98" s="122"/>
      <c r="N98" s="47"/>
      <c r="O98" s="48"/>
      <c r="P98" s="49"/>
      <c r="Q98" s="56"/>
      <c r="R98" s="123"/>
      <c r="S98" s="123"/>
      <c r="T98" s="50"/>
      <c r="U98" s="50"/>
      <c r="V98" s="50"/>
      <c r="W98" s="50"/>
      <c r="X98" s="55"/>
      <c r="Y98" s="52"/>
      <c r="Z98" s="50"/>
      <c r="AA98" s="50"/>
      <c r="AB98" s="50"/>
      <c r="AC98" s="50"/>
      <c r="AD98" s="50">
        <f t="shared" si="192"/>
        <v>10</v>
      </c>
      <c r="AE98" s="148" t="s">
        <v>162</v>
      </c>
      <c r="AF98" s="50"/>
      <c r="AG98" s="50"/>
      <c r="AH98" s="50"/>
      <c r="AI98" s="54">
        <v>10</v>
      </c>
      <c r="AJ98" s="50"/>
      <c r="AK98" s="50"/>
      <c r="AL98" s="50"/>
      <c r="AM98" s="50">
        <f t="shared" si="193"/>
        <v>10</v>
      </c>
      <c r="AN98" s="50"/>
      <c r="AO98" s="50"/>
      <c r="AP98" s="50"/>
      <c r="AQ98" s="50"/>
      <c r="AR98" s="50">
        <f t="shared" si="194"/>
        <v>0</v>
      </c>
      <c r="AS98" s="50"/>
      <c r="AT98" s="50"/>
      <c r="AU98" s="50"/>
      <c r="AV98" s="50"/>
      <c r="AW98" s="50"/>
      <c r="AX98" s="50"/>
      <c r="AY98" s="50"/>
      <c r="AZ98" s="50"/>
      <c r="BA98" s="50">
        <f t="shared" si="195"/>
        <v>0</v>
      </c>
      <c r="BB98" s="126"/>
      <c r="BC98" s="116"/>
      <c r="BD98" s="116"/>
      <c r="BE98" s="126"/>
      <c r="BF98" s="116"/>
    </row>
    <row r="99" spans="1:58" ht="12.95" customHeight="1" x14ac:dyDescent="0.2">
      <c r="A99" s="117"/>
      <c r="B99" s="118"/>
      <c r="C99" s="119"/>
      <c r="D99" s="118"/>
      <c r="E99" s="37"/>
      <c r="F99" s="37"/>
      <c r="G99" s="127"/>
      <c r="H99" s="121"/>
      <c r="I99" s="45"/>
      <c r="J99" s="46"/>
      <c r="K99" s="46"/>
      <c r="L99" s="122"/>
      <c r="M99" s="122"/>
      <c r="N99" s="47"/>
      <c r="O99" s="48"/>
      <c r="P99" s="49"/>
      <c r="Q99" s="56"/>
      <c r="R99" s="123"/>
      <c r="S99" s="123"/>
      <c r="T99" s="50"/>
      <c r="U99" s="50"/>
      <c r="V99" s="50"/>
      <c r="W99" s="50"/>
      <c r="X99" s="55"/>
      <c r="Y99" s="52"/>
      <c r="Z99" s="50"/>
      <c r="AA99" s="50"/>
      <c r="AB99" s="50"/>
      <c r="AC99" s="50"/>
      <c r="AD99" s="50">
        <f t="shared" si="192"/>
        <v>175</v>
      </c>
      <c r="AE99" s="148" t="s">
        <v>261</v>
      </c>
      <c r="AF99" s="50"/>
      <c r="AG99" s="50"/>
      <c r="AH99" s="50"/>
      <c r="AI99" s="54"/>
      <c r="AJ99" s="50"/>
      <c r="AK99" s="50"/>
      <c r="AL99" s="50"/>
      <c r="AM99" s="50">
        <f t="shared" ref="AM99" si="196">SUM(AF99:AL99)+AT99</f>
        <v>0</v>
      </c>
      <c r="AN99" s="50">
        <v>175</v>
      </c>
      <c r="AO99" s="50"/>
      <c r="AP99" s="50"/>
      <c r="AQ99" s="50"/>
      <c r="AR99" s="50">
        <f t="shared" ref="AR99" si="197">SUM(AN99:AQ99)</f>
        <v>175</v>
      </c>
      <c r="AS99" s="50"/>
      <c r="AT99" s="50"/>
      <c r="AU99" s="50"/>
      <c r="AV99" s="50"/>
      <c r="AW99" s="50"/>
      <c r="AX99" s="50"/>
      <c r="AY99" s="50"/>
      <c r="AZ99" s="50"/>
      <c r="BA99" s="50">
        <f t="shared" si="195"/>
        <v>175</v>
      </c>
      <c r="BB99" s="126"/>
      <c r="BC99" s="116"/>
      <c r="BD99" s="116"/>
      <c r="BE99" s="126"/>
      <c r="BF99" s="116"/>
    </row>
    <row r="100" spans="1:58" ht="12.95" customHeight="1" x14ac:dyDescent="0.2">
      <c r="A100" s="117"/>
      <c r="B100" s="118"/>
      <c r="C100" s="119"/>
      <c r="D100" s="118"/>
      <c r="E100" s="37"/>
      <c r="F100" s="37"/>
      <c r="G100" s="127"/>
      <c r="H100" s="127"/>
      <c r="I100" s="45"/>
      <c r="J100" s="46"/>
      <c r="K100" s="46"/>
      <c r="L100" s="122"/>
      <c r="M100" s="122"/>
      <c r="N100" s="47"/>
      <c r="O100" s="48"/>
      <c r="P100" s="49"/>
      <c r="Q100" s="48"/>
      <c r="R100" s="123"/>
      <c r="S100" s="123"/>
      <c r="T100" s="50"/>
      <c r="U100" s="50"/>
      <c r="V100" s="50"/>
      <c r="W100" s="50"/>
      <c r="X100" s="55"/>
      <c r="Y100" s="52"/>
      <c r="Z100" s="50"/>
      <c r="AA100" s="50"/>
      <c r="AB100" s="50"/>
      <c r="AC100" s="50"/>
      <c r="AD100" s="50"/>
      <c r="AE100" s="101"/>
      <c r="AF100" s="50"/>
      <c r="AG100" s="50"/>
      <c r="AH100" s="50"/>
      <c r="AI100" s="54"/>
      <c r="AJ100" s="50"/>
      <c r="AK100" s="50"/>
      <c r="AL100" s="50"/>
      <c r="AM100" s="50"/>
      <c r="AN100" s="125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126"/>
      <c r="BC100" s="116"/>
      <c r="BD100" s="116"/>
      <c r="BE100" s="116"/>
      <c r="BF100" s="116"/>
    </row>
    <row r="101" spans="1:58" ht="12.95" customHeight="1" x14ac:dyDescent="0.2">
      <c r="A101" s="117">
        <v>45980</v>
      </c>
      <c r="B101" s="118" t="s">
        <v>168</v>
      </c>
      <c r="C101" s="119">
        <f t="shared" ref="C101" si="198">(M101*E101*O101*Q101)/100000000</f>
        <v>52.854161274782612</v>
      </c>
      <c r="D101" s="118" t="s">
        <v>196</v>
      </c>
      <c r="E101" s="37">
        <v>15.5</v>
      </c>
      <c r="F101" s="37">
        <v>1</v>
      </c>
      <c r="G101" s="120">
        <v>1135</v>
      </c>
      <c r="H101" s="121">
        <f t="shared" ref="H101" si="199">+N101</f>
        <v>0.20693759071117557</v>
      </c>
      <c r="I101" s="45">
        <v>0.88</v>
      </c>
      <c r="J101" s="46">
        <f t="shared" ref="J101" si="200">E101*G101*(1-H101)*1440/1000000*2.74</f>
        <v>55.048815637968083</v>
      </c>
      <c r="K101" s="46">
        <f>(IF(G101&lt;L101,L101,G101)*(1-IF(H101&lt;N101,H101,N101))*E101*O101*Q101)/100000000</f>
        <v>52.854161274782612</v>
      </c>
      <c r="L101" s="122">
        <v>1148.3333333333333</v>
      </c>
      <c r="M101" s="122">
        <v>910.7</v>
      </c>
      <c r="N101" s="47">
        <f t="shared" ref="N101" si="201">1-(M101/L101)</f>
        <v>0.20693759071117557</v>
      </c>
      <c r="O101" s="48">
        <f>+'[4]Trim Rwd'!H61</f>
        <v>260.02173913043481</v>
      </c>
      <c r="P101" s="49">
        <f t="shared" ref="P101" si="202">O101*(Q101-R101-S101)</f>
        <v>361170.19565217395</v>
      </c>
      <c r="Q101" s="48">
        <v>1440</v>
      </c>
      <c r="R101" s="123">
        <v>0</v>
      </c>
      <c r="S101" s="123">
        <v>51</v>
      </c>
      <c r="T101" s="50">
        <f t="shared" ref="T101" si="203">E101*M101*O101*Q101/100000000</f>
        <v>52.854161274782612</v>
      </c>
      <c r="U101" s="50">
        <f t="shared" ref="U101" si="204">E101*M101*O101*(Q101-R101-S101)/100000000</f>
        <v>50.982243062967399</v>
      </c>
      <c r="V101" s="50">
        <f t="shared" ref="V101" si="205">E101*G101*(1-N101)*O101/100*(R101+S101)/1000000</f>
        <v>1.8501833124037204</v>
      </c>
      <c r="W101" s="50">
        <f>+'[4]19'!K16/1000</f>
        <v>50.061</v>
      </c>
      <c r="X101" s="51">
        <f>SUM(W101:W104)/SUM(K101:K104)</f>
        <v>0.94715342732880969</v>
      </c>
      <c r="Y101" s="52">
        <f>+SUM([4]RBP!AG92:AG93)</f>
        <v>0</v>
      </c>
      <c r="Z101" s="50">
        <v>0</v>
      </c>
      <c r="AA101" s="53">
        <f>SUM(U101:U104)-SUM(W101:W104)-SUM(Z101:Z104)-SUM(Y101:Y104)</f>
        <v>0.92124306296739888</v>
      </c>
      <c r="AB101" s="53">
        <f>(SUM(K101:K104)-SUM(W101:W104)-SUM(Y101:Y104)-SUM(Z101:Z104)-SUM(AC101:AC104)-SUM(V101:V104))-AA101</f>
        <v>2.1734899411492981E-2</v>
      </c>
      <c r="AC101" s="50">
        <f>K101-T101</f>
        <v>0</v>
      </c>
      <c r="AD101" s="50">
        <f>+AM101+BA101</f>
        <v>0</v>
      </c>
      <c r="AE101" s="101" t="s">
        <v>110</v>
      </c>
      <c r="AF101" s="50">
        <v>0</v>
      </c>
      <c r="AG101" s="50"/>
      <c r="AH101" s="50"/>
      <c r="AI101" s="54"/>
      <c r="AJ101" s="50"/>
      <c r="AK101" s="50"/>
      <c r="AL101" s="50"/>
      <c r="AM101" s="50">
        <f>SUM(AF101:AL101)+AT101</f>
        <v>0</v>
      </c>
      <c r="AN101" s="50"/>
      <c r="AO101" s="50"/>
      <c r="AP101" s="50"/>
      <c r="AQ101" s="50"/>
      <c r="AR101" s="50">
        <f>SUM(AN101:AQ101)</f>
        <v>0</v>
      </c>
      <c r="AS101" s="50"/>
      <c r="AT101" s="50"/>
      <c r="AU101" s="50"/>
      <c r="AV101" s="50"/>
      <c r="AW101" s="50"/>
      <c r="AX101" s="50"/>
      <c r="AY101" s="50"/>
      <c r="AZ101" s="50"/>
      <c r="BA101" s="50">
        <f>+AR101+AS101+AU101+AV101+AX101</f>
        <v>0</v>
      </c>
      <c r="BB101" s="124">
        <v>0</v>
      </c>
      <c r="BC101" s="116"/>
      <c r="BD101" s="116"/>
      <c r="BE101" s="124"/>
      <c r="BF101" s="116"/>
    </row>
    <row r="102" spans="1:58" ht="12.95" customHeight="1" x14ac:dyDescent="0.2">
      <c r="A102" s="117"/>
      <c r="B102" s="118"/>
      <c r="C102" s="119"/>
      <c r="D102" s="118"/>
      <c r="E102" s="37"/>
      <c r="F102" s="37"/>
      <c r="G102" s="120"/>
      <c r="H102" s="121"/>
      <c r="I102" s="45"/>
      <c r="J102" s="46"/>
      <c r="K102" s="46"/>
      <c r="L102" s="122"/>
      <c r="M102" s="122"/>
      <c r="N102" s="47"/>
      <c r="O102" s="48"/>
      <c r="P102" s="49"/>
      <c r="Q102" s="48"/>
      <c r="R102" s="123"/>
      <c r="S102" s="123"/>
      <c r="T102" s="50"/>
      <c r="U102" s="50"/>
      <c r="V102" s="50"/>
      <c r="W102" s="50"/>
      <c r="X102" s="55"/>
      <c r="Y102" s="52"/>
      <c r="Z102" s="50"/>
      <c r="AA102" s="50"/>
      <c r="AB102" s="50"/>
      <c r="AC102" s="50">
        <f>K102-T102</f>
        <v>0</v>
      </c>
      <c r="AD102" s="50">
        <f t="shared" ref="AD102:AD104" si="206">+AM102+BA102</f>
        <v>11</v>
      </c>
      <c r="AE102" s="101" t="s">
        <v>117</v>
      </c>
      <c r="AF102" s="50"/>
      <c r="AG102" s="50">
        <v>11</v>
      </c>
      <c r="AH102" s="50"/>
      <c r="AI102" s="54"/>
      <c r="AJ102" s="50"/>
      <c r="AK102" s="50"/>
      <c r="AL102" s="50"/>
      <c r="AM102" s="50">
        <f t="shared" ref="AM102:AM104" si="207">SUM(AF102:AL102)+AT102</f>
        <v>11</v>
      </c>
      <c r="AN102" s="125"/>
      <c r="AO102" s="50"/>
      <c r="AP102" s="50"/>
      <c r="AQ102" s="50"/>
      <c r="AR102" s="50">
        <f t="shared" ref="AR102:AR104" si="208">SUM(AN102:AQ102)</f>
        <v>0</v>
      </c>
      <c r="AS102" s="50"/>
      <c r="AT102" s="50"/>
      <c r="AU102" s="50"/>
      <c r="AV102" s="50"/>
      <c r="AW102" s="50"/>
      <c r="AX102" s="50"/>
      <c r="AY102" s="50"/>
      <c r="AZ102" s="50"/>
      <c r="BA102" s="50">
        <f t="shared" ref="BA102:BA104" si="209">+AR102+AS102+AU102+AV102+AX102</f>
        <v>0</v>
      </c>
      <c r="BB102" s="126"/>
      <c r="BC102" s="116">
        <v>9</v>
      </c>
      <c r="BD102" s="116"/>
      <c r="BE102" s="126"/>
      <c r="BF102" s="116"/>
    </row>
    <row r="103" spans="1:58" ht="12.95" customHeight="1" x14ac:dyDescent="0.2">
      <c r="A103" s="117"/>
      <c r="B103" s="118"/>
      <c r="C103" s="119"/>
      <c r="D103" s="118"/>
      <c r="E103" s="37"/>
      <c r="F103" s="37"/>
      <c r="G103" s="127"/>
      <c r="H103" s="121"/>
      <c r="I103" s="45"/>
      <c r="J103" s="46"/>
      <c r="K103" s="46"/>
      <c r="L103" s="122"/>
      <c r="M103" s="122"/>
      <c r="N103" s="47"/>
      <c r="O103" s="48"/>
      <c r="P103" s="49"/>
      <c r="Q103" s="48"/>
      <c r="R103" s="123"/>
      <c r="S103" s="123"/>
      <c r="T103" s="50"/>
      <c r="U103" s="50"/>
      <c r="V103" s="50"/>
      <c r="W103" s="50"/>
      <c r="X103" s="55"/>
      <c r="Y103" s="52"/>
      <c r="Z103" s="50"/>
      <c r="AA103" s="50"/>
      <c r="AB103" s="50"/>
      <c r="AC103" s="50"/>
      <c r="AD103" s="50">
        <f t="shared" si="206"/>
        <v>22</v>
      </c>
      <c r="AE103" s="101" t="s">
        <v>114</v>
      </c>
      <c r="AF103" s="124"/>
      <c r="AG103" s="124"/>
      <c r="AH103" s="124">
        <v>22</v>
      </c>
      <c r="AJ103" s="50"/>
      <c r="AK103" s="50"/>
      <c r="AL103" s="50"/>
      <c r="AM103" s="50">
        <f t="shared" si="207"/>
        <v>22</v>
      </c>
      <c r="AN103" s="50"/>
      <c r="AO103" s="50"/>
      <c r="AP103" s="50"/>
      <c r="AQ103" s="50"/>
      <c r="AR103" s="50">
        <f t="shared" si="208"/>
        <v>0</v>
      </c>
      <c r="AS103" s="50"/>
      <c r="AT103" s="50"/>
      <c r="AU103" s="50"/>
      <c r="AV103" s="50"/>
      <c r="AW103" s="50"/>
      <c r="AX103" s="50"/>
      <c r="AY103" s="50"/>
      <c r="AZ103" s="50"/>
      <c r="BA103" s="50">
        <f t="shared" si="209"/>
        <v>0</v>
      </c>
      <c r="BB103" s="124"/>
      <c r="BC103" s="146"/>
      <c r="BD103" s="146"/>
      <c r="BE103" s="124"/>
      <c r="BF103" s="146"/>
    </row>
    <row r="104" spans="1:58" ht="12.95" customHeight="1" x14ac:dyDescent="0.2">
      <c r="A104" s="117"/>
      <c r="B104" s="118"/>
      <c r="C104" s="119"/>
      <c r="D104" s="118"/>
      <c r="E104" s="37"/>
      <c r="F104" s="37"/>
      <c r="G104" s="127"/>
      <c r="H104" s="121"/>
      <c r="I104" s="45"/>
      <c r="J104" s="46"/>
      <c r="K104" s="46"/>
      <c r="L104" s="122"/>
      <c r="M104" s="122"/>
      <c r="N104" s="47"/>
      <c r="O104" s="48"/>
      <c r="P104" s="49"/>
      <c r="Q104" s="56"/>
      <c r="R104" s="123"/>
      <c r="S104" s="123"/>
      <c r="T104" s="50"/>
      <c r="U104" s="50"/>
      <c r="V104" s="50"/>
      <c r="W104" s="50"/>
      <c r="X104" s="55"/>
      <c r="Y104" s="52"/>
      <c r="Z104" s="50"/>
      <c r="AA104" s="50"/>
      <c r="AB104" s="50"/>
      <c r="AC104" s="50"/>
      <c r="AD104" s="50">
        <f t="shared" si="206"/>
        <v>18</v>
      </c>
      <c r="AE104" s="148" t="s">
        <v>162</v>
      </c>
      <c r="AF104" s="50"/>
      <c r="AG104" s="50"/>
      <c r="AH104" s="50"/>
      <c r="AI104" s="54">
        <v>18</v>
      </c>
      <c r="AJ104" s="50"/>
      <c r="AK104" s="50"/>
      <c r="AL104" s="50"/>
      <c r="AM104" s="50">
        <f t="shared" si="207"/>
        <v>18</v>
      </c>
      <c r="AN104" s="50"/>
      <c r="AO104" s="50"/>
      <c r="AP104" s="50"/>
      <c r="AQ104" s="50"/>
      <c r="AR104" s="50">
        <f t="shared" si="208"/>
        <v>0</v>
      </c>
      <c r="AS104" s="50"/>
      <c r="AT104" s="50"/>
      <c r="AU104" s="50"/>
      <c r="AV104" s="50"/>
      <c r="AW104" s="50"/>
      <c r="AX104" s="50"/>
      <c r="AY104" s="50"/>
      <c r="AZ104" s="50"/>
      <c r="BA104" s="50">
        <f t="shared" si="209"/>
        <v>0</v>
      </c>
      <c r="BB104" s="126"/>
      <c r="BC104" s="116"/>
      <c r="BD104" s="116"/>
      <c r="BE104" s="126"/>
      <c r="BF104" s="116"/>
    </row>
    <row r="105" spans="1:58" ht="12.95" customHeight="1" x14ac:dyDescent="0.2">
      <c r="A105" s="117"/>
      <c r="B105" s="118"/>
      <c r="C105" s="119"/>
      <c r="D105" s="118"/>
      <c r="E105" s="37"/>
      <c r="F105" s="37"/>
      <c r="G105" s="127"/>
      <c r="H105" s="127"/>
      <c r="I105" s="45"/>
      <c r="J105" s="46"/>
      <c r="K105" s="46"/>
      <c r="L105" s="122"/>
      <c r="M105" s="122"/>
      <c r="N105" s="47"/>
      <c r="O105" s="48"/>
      <c r="P105" s="49"/>
      <c r="Q105" s="48"/>
      <c r="R105" s="123"/>
      <c r="S105" s="123"/>
      <c r="T105" s="50"/>
      <c r="U105" s="50"/>
      <c r="V105" s="50"/>
      <c r="W105" s="50"/>
      <c r="X105" s="51"/>
      <c r="Y105" s="52"/>
      <c r="Z105" s="50"/>
      <c r="AA105" s="53"/>
      <c r="AB105" s="53"/>
      <c r="AC105" s="50"/>
      <c r="AD105" s="50"/>
      <c r="AE105" s="101"/>
      <c r="AF105" s="50"/>
      <c r="AG105" s="50"/>
      <c r="AH105" s="50"/>
      <c r="AI105" s="54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124"/>
      <c r="BC105" s="116"/>
      <c r="BD105" s="116"/>
      <c r="BE105" s="116"/>
      <c r="BF105" s="116"/>
    </row>
    <row r="106" spans="1:58" ht="12.95" customHeight="1" x14ac:dyDescent="0.2">
      <c r="A106" s="117">
        <v>45981</v>
      </c>
      <c r="B106" s="118" t="s">
        <v>168</v>
      </c>
      <c r="C106" s="119">
        <f t="shared" ref="C106:C108" si="210">(M106*E106*O106*Q106)/100000000</f>
        <v>1.0981105200000001</v>
      </c>
      <c r="D106" s="118" t="s">
        <v>196</v>
      </c>
      <c r="E106" s="37">
        <v>15.5</v>
      </c>
      <c r="F106" s="37">
        <v>1</v>
      </c>
      <c r="G106" s="120">
        <v>1155</v>
      </c>
      <c r="H106" s="121">
        <f t="shared" ref="H106:H108" si="211">+N106</f>
        <v>0.22000000000000008</v>
      </c>
      <c r="I106" s="45">
        <v>0.88</v>
      </c>
      <c r="J106" s="46">
        <f t="shared" ref="J106:J108" si="212">E106*G106*(1-H106)*1440/1000000*2.74</f>
        <v>55.096161119999998</v>
      </c>
      <c r="K106" s="46">
        <f>(IF(G106&lt;L106,L106,G106)*(1-IF(H106&lt;N106,H106,N106))*E106*O106*Q106)/100000000</f>
        <v>1.0981105200000001</v>
      </c>
      <c r="L106" s="122">
        <v>1160</v>
      </c>
      <c r="M106" s="122">
        <v>904.8</v>
      </c>
      <c r="N106" s="47">
        <f t="shared" ref="N106:N108" si="213">1-(M106/L106)</f>
        <v>0.22000000000000008</v>
      </c>
      <c r="O106" s="48">
        <f>+'[4]Trim Rwd'!H64</f>
        <v>261</v>
      </c>
      <c r="P106" s="49">
        <f t="shared" ref="P106:P108" si="214">O106*(Q106-R106-S106)</f>
        <v>6525</v>
      </c>
      <c r="Q106" s="48">
        <v>30</v>
      </c>
      <c r="R106" s="123">
        <v>0</v>
      </c>
      <c r="S106" s="123">
        <v>5</v>
      </c>
      <c r="T106" s="50">
        <f t="shared" ref="T106:T108" si="215">E106*M106*O106*Q106/100000000</f>
        <v>1.0981105200000001</v>
      </c>
      <c r="U106" s="50">
        <f t="shared" ref="U106:U108" si="216">E106*M106*O106*(Q106-R106-S106)/100000000</f>
        <v>0.91509209999999996</v>
      </c>
      <c r="V106" s="50">
        <f t="shared" ref="V106:V108" si="217">E106*G106*(1-N106)*O106/100*(R106+S106)/1000000</f>
        <v>0.18222954749999998</v>
      </c>
      <c r="W106" s="50">
        <f>+'[4]20'!K16/1000</f>
        <v>5.4269999999999996</v>
      </c>
      <c r="X106" s="51">
        <f>SUM(W106:W109)/SUM(K106:K109)</f>
        <v>0.96062044160805338</v>
      </c>
      <c r="Y106" s="52">
        <f>+SUM([4]RBP!AG97:AG98)</f>
        <v>0</v>
      </c>
      <c r="Z106" s="50">
        <v>0</v>
      </c>
      <c r="AA106" s="53">
        <f>SUM(U106:U109)-SUM(W106:W109)-SUM(Z106:Z109)-SUM(Y106:Y109)</f>
        <v>0.38642869520644041</v>
      </c>
      <c r="AB106" s="53">
        <f>(SUM(K106:K109)-SUM(W106:W109)-SUM(Y106:Y109)-SUM(Z106:Z109)-SUM(AC106:AC109)-SUM(V106:V109))-AA106</f>
        <v>7.0867221293559046E-2</v>
      </c>
      <c r="AC106" s="50">
        <f>K106-T106</f>
        <v>0</v>
      </c>
      <c r="AD106" s="50">
        <f>+AM106+BA106</f>
        <v>0</v>
      </c>
      <c r="AE106" s="101" t="s">
        <v>110</v>
      </c>
      <c r="AF106" s="50">
        <v>0</v>
      </c>
      <c r="AG106" s="50"/>
      <c r="AH106" s="50"/>
      <c r="AI106" s="54"/>
      <c r="AJ106" s="50"/>
      <c r="AK106" s="50"/>
      <c r="AL106" s="50"/>
      <c r="AM106" s="50">
        <f>SUM(AF106:AL106)+AT106</f>
        <v>0</v>
      </c>
      <c r="AN106" s="50"/>
      <c r="AO106" s="50"/>
      <c r="AP106" s="50"/>
      <c r="AQ106" s="50"/>
      <c r="AR106" s="50">
        <f>SUM(AN106:AQ106)</f>
        <v>0</v>
      </c>
      <c r="AS106" s="50"/>
      <c r="AT106" s="50"/>
      <c r="AU106" s="50"/>
      <c r="AV106" s="50"/>
      <c r="AW106" s="50"/>
      <c r="AX106" s="50"/>
      <c r="AY106" s="50"/>
      <c r="AZ106" s="50"/>
      <c r="BA106" s="50">
        <f>+AR106+AS106+AU106+AV106+AX106</f>
        <v>0</v>
      </c>
      <c r="BB106" s="124">
        <v>0</v>
      </c>
      <c r="BC106" s="116"/>
      <c r="BD106" s="116"/>
      <c r="BE106" s="124"/>
      <c r="BF106" s="116"/>
    </row>
    <row r="107" spans="1:58" ht="12.95" customHeight="1" x14ac:dyDescent="0.2">
      <c r="A107" s="117"/>
      <c r="B107" s="118" t="s">
        <v>168</v>
      </c>
      <c r="C107" s="119">
        <f t="shared" si="210"/>
        <v>16.080013728000001</v>
      </c>
      <c r="D107" s="118" t="s">
        <v>196</v>
      </c>
      <c r="E107" s="37">
        <v>16</v>
      </c>
      <c r="F107" s="37">
        <v>1</v>
      </c>
      <c r="G107" s="120">
        <v>1080</v>
      </c>
      <c r="H107" s="121">
        <f t="shared" si="211"/>
        <v>0.18999999999999995</v>
      </c>
      <c r="I107" s="45">
        <v>0.88</v>
      </c>
      <c r="J107" s="46">
        <f t="shared" si="212"/>
        <v>55.225774080000001</v>
      </c>
      <c r="K107" s="46">
        <f>(IF(G107&lt;L107,L107,G107)*(1-IF(H107&lt;N107,H107,N107))*E107*O107*Q107)/100000000</f>
        <v>16.080013728000001</v>
      </c>
      <c r="L107" s="122">
        <v>1160</v>
      </c>
      <c r="M107" s="122">
        <v>939.6</v>
      </c>
      <c r="N107" s="47">
        <f t="shared" si="213"/>
        <v>0.18999999999999995</v>
      </c>
      <c r="O107" s="48">
        <f>+'[4]Trim Rwd'!H65</f>
        <v>256.5</v>
      </c>
      <c r="P107" s="49">
        <f t="shared" si="214"/>
        <v>102600</v>
      </c>
      <c r="Q107" s="48">
        <v>417</v>
      </c>
      <c r="R107" s="123">
        <v>0</v>
      </c>
      <c r="S107" s="123">
        <f>47-S106-S108</f>
        <v>17</v>
      </c>
      <c r="T107" s="50">
        <f t="shared" si="215"/>
        <v>16.080013728000001</v>
      </c>
      <c r="U107" s="50">
        <f t="shared" si="216"/>
        <v>15.424473600000001</v>
      </c>
      <c r="V107" s="50">
        <f t="shared" si="217"/>
        <v>0.61033046400000002</v>
      </c>
      <c r="W107" s="50">
        <f>+'[4]20'!K17/1000</f>
        <v>14.609</v>
      </c>
      <c r="X107" s="55"/>
      <c r="Y107" s="52"/>
      <c r="Z107" s="50"/>
      <c r="AA107" s="50"/>
      <c r="AB107" s="50"/>
      <c r="AC107" s="50">
        <f>K107-T107</f>
        <v>0</v>
      </c>
      <c r="AD107" s="50">
        <f t="shared" ref="AD107:AD109" si="218">+AM107+BA107</f>
        <v>12</v>
      </c>
      <c r="AE107" s="101" t="s">
        <v>117</v>
      </c>
      <c r="AF107" s="50"/>
      <c r="AG107" s="50">
        <v>12</v>
      </c>
      <c r="AH107" s="50"/>
      <c r="AI107" s="54"/>
      <c r="AJ107" s="50"/>
      <c r="AK107" s="50"/>
      <c r="AL107" s="50"/>
      <c r="AM107" s="50">
        <f t="shared" ref="AM107:AM109" si="219">SUM(AF107:AL107)+AT107</f>
        <v>12</v>
      </c>
      <c r="AN107" s="125"/>
      <c r="AO107" s="50"/>
      <c r="AP107" s="50"/>
      <c r="AQ107" s="50"/>
      <c r="AR107" s="50">
        <f t="shared" ref="AR107:AR109" si="220">SUM(AN107:AQ107)</f>
        <v>0</v>
      </c>
      <c r="AS107" s="50"/>
      <c r="AT107" s="50"/>
      <c r="AU107" s="50"/>
      <c r="AV107" s="50"/>
      <c r="AW107" s="50"/>
      <c r="AX107" s="50"/>
      <c r="AY107" s="50"/>
      <c r="AZ107" s="50"/>
      <c r="BA107" s="50">
        <f t="shared" ref="BA107:BA109" si="221">+AR107+AS107+AU107+AV107+AX107</f>
        <v>0</v>
      </c>
      <c r="BB107" s="126"/>
      <c r="BC107" s="116">
        <v>9</v>
      </c>
      <c r="BD107" s="116"/>
      <c r="BE107" s="126"/>
      <c r="BF107" s="116"/>
    </row>
    <row r="108" spans="1:58" ht="12.95" customHeight="1" x14ac:dyDescent="0.2">
      <c r="A108" s="117"/>
      <c r="B108" s="118" t="s">
        <v>168</v>
      </c>
      <c r="C108" s="119">
        <f t="shared" si="210"/>
        <v>38.619147679999998</v>
      </c>
      <c r="D108" s="118" t="s">
        <v>196</v>
      </c>
      <c r="E108" s="37">
        <v>19</v>
      </c>
      <c r="F108" s="37">
        <v>1</v>
      </c>
      <c r="G108" s="120">
        <v>920</v>
      </c>
      <c r="H108" s="121">
        <f t="shared" si="211"/>
        <v>0.20000000000000007</v>
      </c>
      <c r="I108" s="45">
        <v>0.88</v>
      </c>
      <c r="J108" s="46">
        <f t="shared" si="212"/>
        <v>55.175270399999988</v>
      </c>
      <c r="K108" s="46">
        <f>(IF(G108&lt;L108,L108,G108)*(1-IF(H108&lt;N108,H108,N108))*E108*O108*Q108)/100000000</f>
        <v>38.619147679999998</v>
      </c>
      <c r="L108" s="122">
        <v>944.14904330312186</v>
      </c>
      <c r="M108" s="122">
        <v>755.31923464249746</v>
      </c>
      <c r="N108" s="47">
        <f t="shared" si="213"/>
        <v>0.20000000000000007</v>
      </c>
      <c r="O108" s="48">
        <f>+'[4]Trim Rwd'!H66</f>
        <v>271</v>
      </c>
      <c r="P108" s="49">
        <f t="shared" si="214"/>
        <v>262328</v>
      </c>
      <c r="Q108" s="48">
        <v>993</v>
      </c>
      <c r="R108" s="123">
        <v>0</v>
      </c>
      <c r="S108" s="123">
        <v>25</v>
      </c>
      <c r="T108" s="50">
        <f t="shared" si="215"/>
        <v>38.619147679999998</v>
      </c>
      <c r="U108" s="50">
        <f t="shared" si="216"/>
        <v>37.64686299520644</v>
      </c>
      <c r="V108" s="50">
        <f t="shared" si="217"/>
        <v>0.94741599999999981</v>
      </c>
      <c r="W108" s="50">
        <f>+'[4]20'!K18/1000</f>
        <v>33.564</v>
      </c>
      <c r="X108" s="55"/>
      <c r="Y108" s="52"/>
      <c r="Z108" s="50"/>
      <c r="AA108" s="50"/>
      <c r="AB108" s="50"/>
      <c r="AC108" s="50">
        <f>K108-T108</f>
        <v>0</v>
      </c>
      <c r="AD108" s="50">
        <f t="shared" si="218"/>
        <v>27</v>
      </c>
      <c r="AE108" s="101" t="s">
        <v>128</v>
      </c>
      <c r="AF108" s="124"/>
      <c r="AG108" s="124"/>
      <c r="AH108" s="124">
        <v>27</v>
      </c>
      <c r="AJ108" s="50"/>
      <c r="AK108" s="50"/>
      <c r="AL108" s="50"/>
      <c r="AM108" s="50">
        <f t="shared" si="219"/>
        <v>27</v>
      </c>
      <c r="AN108" s="50"/>
      <c r="AO108" s="50"/>
      <c r="AP108" s="50"/>
      <c r="AQ108" s="50"/>
      <c r="AR108" s="50">
        <f t="shared" si="220"/>
        <v>0</v>
      </c>
      <c r="AS108" s="50"/>
      <c r="AT108" s="50"/>
      <c r="AU108" s="50"/>
      <c r="AV108" s="50"/>
      <c r="AW108" s="50"/>
      <c r="AX108" s="50"/>
      <c r="AY108" s="50"/>
      <c r="AZ108" s="50"/>
      <c r="BA108" s="50">
        <f t="shared" si="221"/>
        <v>0</v>
      </c>
      <c r="BB108" s="124"/>
      <c r="BC108" s="146"/>
      <c r="BD108" s="146"/>
      <c r="BE108" s="124"/>
      <c r="BF108" s="146"/>
    </row>
    <row r="109" spans="1:58" ht="12.95" customHeight="1" x14ac:dyDescent="0.2">
      <c r="A109" s="117"/>
      <c r="B109" s="118"/>
      <c r="C109" s="119"/>
      <c r="D109" s="118"/>
      <c r="E109" s="37"/>
      <c r="F109" s="37"/>
      <c r="G109" s="127"/>
      <c r="H109" s="121"/>
      <c r="I109" s="45"/>
      <c r="J109" s="46"/>
      <c r="K109" s="46"/>
      <c r="L109" s="122"/>
      <c r="M109" s="122"/>
      <c r="N109" s="47"/>
      <c r="O109" s="48"/>
      <c r="P109" s="49"/>
      <c r="Q109" s="56"/>
      <c r="R109" s="123"/>
      <c r="S109" s="123"/>
      <c r="T109" s="50"/>
      <c r="U109" s="50"/>
      <c r="V109" s="50"/>
      <c r="W109" s="50"/>
      <c r="X109" s="55"/>
      <c r="Y109" s="52"/>
      <c r="Z109" s="50"/>
      <c r="AA109" s="50"/>
      <c r="AB109" s="50"/>
      <c r="AC109" s="50"/>
      <c r="AD109" s="50">
        <f t="shared" si="218"/>
        <v>8</v>
      </c>
      <c r="AE109" s="148" t="s">
        <v>162</v>
      </c>
      <c r="AF109" s="50"/>
      <c r="AG109" s="50"/>
      <c r="AH109" s="50"/>
      <c r="AI109" s="54">
        <v>8</v>
      </c>
      <c r="AJ109" s="50"/>
      <c r="AK109" s="50"/>
      <c r="AL109" s="50"/>
      <c r="AM109" s="50">
        <f t="shared" si="219"/>
        <v>8</v>
      </c>
      <c r="AN109" s="50"/>
      <c r="AO109" s="50"/>
      <c r="AP109" s="50"/>
      <c r="AQ109" s="50"/>
      <c r="AR109" s="50">
        <f t="shared" si="220"/>
        <v>0</v>
      </c>
      <c r="AS109" s="50"/>
      <c r="AT109" s="50"/>
      <c r="AU109" s="50"/>
      <c r="AV109" s="50"/>
      <c r="AW109" s="50"/>
      <c r="AX109" s="50"/>
      <c r="AY109" s="50"/>
      <c r="AZ109" s="50"/>
      <c r="BA109" s="50">
        <f t="shared" si="221"/>
        <v>0</v>
      </c>
      <c r="BB109" s="126"/>
      <c r="BC109" s="116"/>
      <c r="BD109" s="116"/>
      <c r="BE109" s="126"/>
      <c r="BF109" s="116"/>
    </row>
    <row r="110" spans="1:58" ht="12.95" customHeight="1" x14ac:dyDescent="0.2">
      <c r="A110" s="117"/>
      <c r="B110" s="118"/>
      <c r="C110" s="119"/>
      <c r="D110" s="118"/>
      <c r="E110" s="37"/>
      <c r="F110" s="37"/>
      <c r="G110" s="127"/>
      <c r="H110" s="127"/>
      <c r="I110" s="45"/>
      <c r="J110" s="46"/>
      <c r="K110" s="46"/>
      <c r="L110" s="122"/>
      <c r="M110" s="122"/>
      <c r="N110" s="47"/>
      <c r="O110" s="48"/>
      <c r="P110" s="49"/>
      <c r="Q110" s="48"/>
      <c r="R110" s="123"/>
      <c r="S110" s="123"/>
      <c r="T110" s="50"/>
      <c r="U110" s="50"/>
      <c r="V110" s="50"/>
      <c r="W110" s="50"/>
      <c r="X110" s="55"/>
      <c r="Y110" s="52"/>
      <c r="Z110" s="50"/>
      <c r="AA110" s="50"/>
      <c r="AB110" s="50"/>
      <c r="AC110" s="50"/>
      <c r="AD110" s="50"/>
      <c r="AE110" s="101"/>
      <c r="AF110" s="50"/>
      <c r="AG110" s="50"/>
      <c r="AH110" s="50"/>
      <c r="AI110" s="54"/>
      <c r="AJ110" s="50"/>
      <c r="AK110" s="50"/>
      <c r="AL110" s="50"/>
      <c r="AM110" s="50"/>
      <c r="AN110" s="125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126"/>
      <c r="BC110" s="116"/>
      <c r="BD110" s="116"/>
      <c r="BE110" s="116"/>
      <c r="BF110" s="116"/>
    </row>
    <row r="111" spans="1:58" ht="12.95" customHeight="1" x14ac:dyDescent="0.2">
      <c r="A111" s="117">
        <v>45982</v>
      </c>
      <c r="B111" s="118" t="s">
        <v>168</v>
      </c>
      <c r="C111" s="119">
        <f t="shared" ref="C111:C112" si="222">(M111*E111*O111*Q111)/100000000</f>
        <v>29.810650400000004</v>
      </c>
      <c r="D111" s="118" t="s">
        <v>196</v>
      </c>
      <c r="E111" s="37">
        <v>19</v>
      </c>
      <c r="F111" s="37">
        <v>1</v>
      </c>
      <c r="G111" s="120">
        <v>920</v>
      </c>
      <c r="H111" s="121">
        <f t="shared" ref="H111:H112" si="223">+N111</f>
        <v>0.19999999999999996</v>
      </c>
      <c r="I111" s="45">
        <v>0.88</v>
      </c>
      <c r="J111" s="46">
        <f t="shared" ref="J111:J112" si="224">E111*G111*(1-H111)*1440/1000000*2.74</f>
        <v>55.175270400000002</v>
      </c>
      <c r="K111" s="46">
        <f>(IF(G111&lt;L111,L111,G111)*(1-IF(H111&lt;N111,H111,N111))*E111*O111*Q111)/100000000</f>
        <v>29.938345600000002</v>
      </c>
      <c r="L111" s="122">
        <v>916.07594936708858</v>
      </c>
      <c r="M111" s="122">
        <v>732.86075949367091</v>
      </c>
      <c r="N111" s="47">
        <f t="shared" ref="N111:N112" si="225">1-(M111/L111)</f>
        <v>0.19999999999999996</v>
      </c>
      <c r="O111" s="48">
        <f>+'[4]Trim Rwd'!H68</f>
        <v>271</v>
      </c>
      <c r="P111" s="49">
        <f t="shared" ref="P111:P112" si="226">O111*(Q111-R111-S111)</f>
        <v>208128</v>
      </c>
      <c r="Q111" s="48">
        <v>790</v>
      </c>
      <c r="R111" s="123">
        <v>0</v>
      </c>
      <c r="S111" s="123">
        <v>22</v>
      </c>
      <c r="T111" s="50">
        <f t="shared" ref="T111:T112" si="227">E111*M111*O111*Q111/100000000</f>
        <v>29.810650400000004</v>
      </c>
      <c r="U111" s="50">
        <f t="shared" ref="U111:U112" si="228">E111*M111*O111*(Q111-R111-S111)/100000000</f>
        <v>28.980480388860759</v>
      </c>
      <c r="V111" s="50">
        <f t="shared" ref="V111:V112" si="229">E111*G111*(1-N111)*O111/100*(R111+S111)/1000000</f>
        <v>0.83372607999999993</v>
      </c>
      <c r="W111" s="50">
        <f>+'[4]21'!K18/1000</f>
        <v>33.189</v>
      </c>
      <c r="X111" s="51">
        <f>SUM(W111:W114)/SUM(K111:K114)</f>
        <v>0.97684577591390198</v>
      </c>
      <c r="Y111" s="52">
        <f>+SUM([4]RBP!AG102:AG103)</f>
        <v>0</v>
      </c>
      <c r="Z111" s="50">
        <v>0</v>
      </c>
      <c r="AA111" s="53">
        <f>SUM(U111:U114)-SUM(W111:W114)-SUM(Z111:Z114)-SUM(Y111:Y114)</f>
        <v>-0.93278201113923986</v>
      </c>
      <c r="AB111" s="53">
        <f>(SUM(K111:K114)-SUM(W111:W114)-SUM(Y111:Y114)-SUM(Z111:Z114)-SUM(AC111:AC114)-SUM(V111:V114))-AA111</f>
        <v>4.4386331139244062E-2</v>
      </c>
      <c r="AC111" s="50">
        <f>K111-T111</f>
        <v>0.12769519999999801</v>
      </c>
      <c r="AD111" s="50">
        <f>+AM111+BA111</f>
        <v>0</v>
      </c>
      <c r="AE111" s="101" t="s">
        <v>110</v>
      </c>
      <c r="AF111" s="50">
        <v>0</v>
      </c>
      <c r="AG111" s="50"/>
      <c r="AH111" s="50"/>
      <c r="AI111" s="54"/>
      <c r="AJ111" s="50"/>
      <c r="AK111" s="50"/>
      <c r="AL111" s="50"/>
      <c r="AM111" s="50">
        <f>SUM(AF111:AL111)+AT111</f>
        <v>0</v>
      </c>
      <c r="AN111" s="50"/>
      <c r="AO111" s="50"/>
      <c r="AP111" s="50"/>
      <c r="AQ111" s="50"/>
      <c r="AR111" s="50">
        <f>SUM(AN111:AQ111)</f>
        <v>0</v>
      </c>
      <c r="AS111" s="50"/>
      <c r="AT111" s="50"/>
      <c r="AU111" s="50"/>
      <c r="AV111" s="50"/>
      <c r="AW111" s="50"/>
      <c r="AX111" s="50"/>
      <c r="AY111" s="50"/>
      <c r="AZ111" s="50"/>
      <c r="BA111" s="50">
        <f>+AR111+AS111+AU111+AV111+AX111</f>
        <v>0</v>
      </c>
      <c r="BB111" s="124">
        <v>0</v>
      </c>
      <c r="BC111" s="116"/>
      <c r="BD111" s="116"/>
      <c r="BE111" s="124"/>
      <c r="BF111" s="116"/>
    </row>
    <row r="112" spans="1:58" ht="12.95" customHeight="1" x14ac:dyDescent="0.2">
      <c r="A112" s="117"/>
      <c r="B112" s="118" t="s">
        <v>168</v>
      </c>
      <c r="C112" s="119">
        <f t="shared" si="222"/>
        <v>25.07648</v>
      </c>
      <c r="D112" s="118" t="s">
        <v>196</v>
      </c>
      <c r="E112" s="37">
        <v>20</v>
      </c>
      <c r="F112" s="37">
        <v>1</v>
      </c>
      <c r="G112" s="120">
        <v>875</v>
      </c>
      <c r="H112" s="121">
        <f t="shared" si="223"/>
        <v>0.19999999999999996</v>
      </c>
      <c r="I112" s="45">
        <v>0.88</v>
      </c>
      <c r="J112" s="46">
        <f t="shared" si="224"/>
        <v>55.238400000000006</v>
      </c>
      <c r="K112" s="46">
        <f>(IF(G112&lt;L112,L112,G112)*(1-IF(H112&lt;N112,H112,N112))*E112*O112*Q112)/100000000</f>
        <v>25.07648</v>
      </c>
      <c r="L112" s="122">
        <v>927.38461538461536</v>
      </c>
      <c r="M112" s="122">
        <v>741.90769230769229</v>
      </c>
      <c r="N112" s="47">
        <f t="shared" si="225"/>
        <v>0.19999999999999996</v>
      </c>
      <c r="O112" s="48">
        <f>+'[4]Trim Rwd'!H69</f>
        <v>260</v>
      </c>
      <c r="P112" s="49">
        <f t="shared" si="226"/>
        <v>163280</v>
      </c>
      <c r="Q112" s="48">
        <v>650</v>
      </c>
      <c r="R112" s="123">
        <v>0</v>
      </c>
      <c r="S112" s="123">
        <v>22</v>
      </c>
      <c r="T112" s="50">
        <f t="shared" si="227"/>
        <v>25.07648</v>
      </c>
      <c r="U112" s="50">
        <f t="shared" si="228"/>
        <v>24.227737600000001</v>
      </c>
      <c r="V112" s="50">
        <f t="shared" si="229"/>
        <v>0.80079999999999996</v>
      </c>
      <c r="W112" s="50">
        <f>+'[4]21'!K19/1000</f>
        <v>20.552</v>
      </c>
      <c r="X112" s="55"/>
      <c r="Y112" s="52"/>
      <c r="Z112" s="50">
        <f>+'[4]21'!D17/1000</f>
        <v>0.4</v>
      </c>
      <c r="AA112" s="50"/>
      <c r="AB112" s="50"/>
      <c r="AC112" s="50">
        <f>K112-T112</f>
        <v>0</v>
      </c>
      <c r="AD112" s="50">
        <f t="shared" ref="AD112:AD114" si="230">+AM112+BA112</f>
        <v>8</v>
      </c>
      <c r="AE112" s="101" t="s">
        <v>132</v>
      </c>
      <c r="AF112" s="50"/>
      <c r="AG112" s="50">
        <v>8</v>
      </c>
      <c r="AH112" s="50"/>
      <c r="AI112" s="54"/>
      <c r="AJ112" s="50"/>
      <c r="AK112" s="50"/>
      <c r="AL112" s="50"/>
      <c r="AM112" s="50">
        <f t="shared" ref="AM112:AM114" si="231">SUM(AF112:AL112)+AT112</f>
        <v>8</v>
      </c>
      <c r="AN112" s="125"/>
      <c r="AO112" s="50"/>
      <c r="AP112" s="50"/>
      <c r="AQ112" s="50"/>
      <c r="AR112" s="50">
        <f t="shared" ref="AR112:AR114" si="232">SUM(AN112:AQ112)</f>
        <v>0</v>
      </c>
      <c r="AS112" s="50"/>
      <c r="AT112" s="50"/>
      <c r="AU112" s="50"/>
      <c r="AV112" s="50"/>
      <c r="AW112" s="50"/>
      <c r="AX112" s="50"/>
      <c r="AY112" s="50"/>
      <c r="AZ112" s="50"/>
      <c r="BA112" s="50">
        <f t="shared" ref="BA112:BA114" si="233">+AR112+AS112+AU112+AV112+AX112</f>
        <v>0</v>
      </c>
      <c r="BB112" s="126"/>
      <c r="BC112" s="116">
        <v>7</v>
      </c>
      <c r="BD112" s="116"/>
      <c r="BE112" s="126"/>
      <c r="BF112" s="116"/>
    </row>
    <row r="113" spans="1:58" ht="12.95" customHeight="1" x14ac:dyDescent="0.2">
      <c r="A113" s="117"/>
      <c r="B113" s="118"/>
      <c r="C113" s="119"/>
      <c r="D113" s="118"/>
      <c r="E113" s="37"/>
      <c r="F113" s="37"/>
      <c r="G113" s="127"/>
      <c r="H113" s="121"/>
      <c r="I113" s="45"/>
      <c r="J113" s="46"/>
      <c r="K113" s="46"/>
      <c r="L113" s="122"/>
      <c r="M113" s="122"/>
      <c r="N113" s="47"/>
      <c r="O113" s="48"/>
      <c r="P113" s="49"/>
      <c r="Q113" s="48"/>
      <c r="R113" s="123"/>
      <c r="S113" s="123"/>
      <c r="T113" s="50"/>
      <c r="U113" s="50"/>
      <c r="V113" s="50"/>
      <c r="W113" s="50"/>
      <c r="X113" s="55"/>
      <c r="Y113" s="52"/>
      <c r="Z113" s="50"/>
      <c r="AA113" s="50"/>
      <c r="AB113" s="50"/>
      <c r="AC113" s="50"/>
      <c r="AD113" s="50">
        <f t="shared" si="230"/>
        <v>18</v>
      </c>
      <c r="AE113" s="101" t="s">
        <v>126</v>
      </c>
      <c r="AF113" s="124"/>
      <c r="AG113" s="124"/>
      <c r="AH113" s="124">
        <v>18</v>
      </c>
      <c r="AJ113" s="50"/>
      <c r="AK113" s="50"/>
      <c r="AL113" s="50"/>
      <c r="AM113" s="50">
        <f t="shared" si="231"/>
        <v>18</v>
      </c>
      <c r="AN113" s="50"/>
      <c r="AO113" s="50"/>
      <c r="AP113" s="50"/>
      <c r="AQ113" s="50"/>
      <c r="AR113" s="50">
        <f t="shared" si="232"/>
        <v>0</v>
      </c>
      <c r="AS113" s="50"/>
      <c r="AT113" s="50"/>
      <c r="AU113" s="50"/>
      <c r="AV113" s="50"/>
      <c r="AW113" s="50"/>
      <c r="AX113" s="50"/>
      <c r="AY113" s="50"/>
      <c r="AZ113" s="50"/>
      <c r="BA113" s="50">
        <f t="shared" si="233"/>
        <v>0</v>
      </c>
      <c r="BB113" s="124"/>
      <c r="BC113" s="146"/>
      <c r="BD113" s="146"/>
      <c r="BE113" s="124"/>
      <c r="BF113" s="146"/>
    </row>
    <row r="114" spans="1:58" ht="12.95" customHeight="1" x14ac:dyDescent="0.2">
      <c r="A114" s="117"/>
      <c r="B114" s="118"/>
      <c r="C114" s="119"/>
      <c r="D114" s="118"/>
      <c r="E114" s="37"/>
      <c r="F114" s="37"/>
      <c r="G114" s="127"/>
      <c r="H114" s="121"/>
      <c r="I114" s="45"/>
      <c r="J114" s="46"/>
      <c r="K114" s="46"/>
      <c r="L114" s="122"/>
      <c r="M114" s="122"/>
      <c r="N114" s="47"/>
      <c r="O114" s="48"/>
      <c r="P114" s="49"/>
      <c r="Q114" s="56"/>
      <c r="R114" s="123"/>
      <c r="S114" s="123"/>
      <c r="T114" s="50"/>
      <c r="U114" s="50"/>
      <c r="V114" s="50"/>
      <c r="W114" s="50"/>
      <c r="X114" s="55"/>
      <c r="Y114" s="52"/>
      <c r="Z114" s="50"/>
      <c r="AA114" s="50"/>
      <c r="AB114" s="50"/>
      <c r="AC114" s="50"/>
      <c r="AD114" s="50">
        <f t="shared" si="230"/>
        <v>18</v>
      </c>
      <c r="AE114" s="148" t="s">
        <v>162</v>
      </c>
      <c r="AF114" s="50"/>
      <c r="AG114" s="50"/>
      <c r="AH114" s="50"/>
      <c r="AI114" s="54">
        <v>18</v>
      </c>
      <c r="AJ114" s="50"/>
      <c r="AK114" s="50"/>
      <c r="AL114" s="50"/>
      <c r="AM114" s="50">
        <f t="shared" si="231"/>
        <v>18</v>
      </c>
      <c r="AN114" s="50"/>
      <c r="AO114" s="50"/>
      <c r="AP114" s="50"/>
      <c r="AQ114" s="50"/>
      <c r="AR114" s="50">
        <f t="shared" si="232"/>
        <v>0</v>
      </c>
      <c r="AS114" s="50"/>
      <c r="AT114" s="50"/>
      <c r="AU114" s="50"/>
      <c r="AV114" s="50"/>
      <c r="AW114" s="50"/>
      <c r="AX114" s="50"/>
      <c r="AY114" s="50"/>
      <c r="AZ114" s="50"/>
      <c r="BA114" s="50">
        <f t="shared" si="233"/>
        <v>0</v>
      </c>
      <c r="BB114" s="126"/>
      <c r="BC114" s="116"/>
      <c r="BD114" s="116"/>
      <c r="BE114" s="126"/>
      <c r="BF114" s="116"/>
    </row>
    <row r="115" spans="1:58" ht="12.95" customHeight="1" x14ac:dyDescent="0.2">
      <c r="A115" s="117"/>
      <c r="B115" s="118"/>
      <c r="C115" s="119"/>
      <c r="D115" s="118"/>
      <c r="E115" s="37"/>
      <c r="F115" s="37"/>
      <c r="G115" s="127"/>
      <c r="H115" s="127"/>
      <c r="I115" s="45"/>
      <c r="J115" s="46"/>
      <c r="K115" s="46"/>
      <c r="L115" s="122"/>
      <c r="M115" s="122"/>
      <c r="N115" s="47"/>
      <c r="O115" s="48"/>
      <c r="P115" s="49"/>
      <c r="Q115" s="48"/>
      <c r="R115" s="123"/>
      <c r="S115" s="123"/>
      <c r="T115" s="50"/>
      <c r="U115" s="50"/>
      <c r="V115" s="50"/>
      <c r="W115" s="50"/>
      <c r="X115" s="55"/>
      <c r="Y115" s="52"/>
      <c r="Z115" s="50"/>
      <c r="AA115" s="50"/>
      <c r="AB115" s="50"/>
      <c r="AC115" s="50"/>
      <c r="AD115" s="50"/>
      <c r="AE115" s="101"/>
      <c r="AF115" s="50"/>
      <c r="AG115" s="50"/>
      <c r="AH115" s="50"/>
      <c r="AI115" s="54"/>
      <c r="AJ115" s="50"/>
      <c r="AK115" s="50"/>
      <c r="AL115" s="50"/>
      <c r="AM115" s="50"/>
      <c r="AN115" s="125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126"/>
      <c r="BC115" s="116"/>
      <c r="BD115" s="116"/>
      <c r="BE115" s="116"/>
      <c r="BF115" s="116"/>
    </row>
    <row r="116" spans="1:58" ht="12.95" customHeight="1" x14ac:dyDescent="0.2">
      <c r="A116" s="117">
        <v>45983</v>
      </c>
      <c r="B116" s="118" t="s">
        <v>168</v>
      </c>
      <c r="C116" s="119">
        <f t="shared" ref="C116:C117" si="234">(M116*E116*O116*Q116)/100000000</f>
        <v>8.3050239999999995</v>
      </c>
      <c r="D116" s="118" t="s">
        <v>196</v>
      </c>
      <c r="E116" s="37">
        <v>20</v>
      </c>
      <c r="F116" s="37">
        <v>1</v>
      </c>
      <c r="G116" s="120">
        <v>875</v>
      </c>
      <c r="H116" s="121">
        <f t="shared" ref="H116:H117" si="235">+N116</f>
        <v>0.19999999999999996</v>
      </c>
      <c r="I116" s="45">
        <v>0.88</v>
      </c>
      <c r="J116" s="46">
        <f t="shared" ref="J116:J117" si="236">E116*G116*(1-H116)*1440/1000000*2.74</f>
        <v>55.238400000000006</v>
      </c>
      <c r="K116" s="46">
        <f>(IF(G116&lt;L116,L116,G116)*(1-IF(H116&lt;N116,H116,N116))*E116*O116*Q116)/100000000</f>
        <v>8.3050239999999995</v>
      </c>
      <c r="L116" s="122">
        <v>920</v>
      </c>
      <c r="M116" s="122">
        <v>736</v>
      </c>
      <c r="N116" s="47">
        <f t="shared" ref="N116:N117" si="237">1-(M116/L116)</f>
        <v>0.19999999999999996</v>
      </c>
      <c r="O116" s="48">
        <f>+'[4]Trim Rwd'!H71</f>
        <v>260</v>
      </c>
      <c r="P116" s="49">
        <f t="shared" ref="P116:P117" si="238">O116*(Q116-R116-S116)</f>
        <v>50960</v>
      </c>
      <c r="Q116" s="48">
        <v>217</v>
      </c>
      <c r="R116" s="123">
        <v>0</v>
      </c>
      <c r="S116" s="123">
        <v>21</v>
      </c>
      <c r="T116" s="50">
        <f t="shared" ref="T116:T117" si="239">E116*M116*O116*Q116/100000000</f>
        <v>8.3050239999999995</v>
      </c>
      <c r="U116" s="50">
        <f t="shared" ref="U116:U117" si="240">E116*M116*O116*(Q116-R116-S116)/100000000</f>
        <v>7.5013120000000004</v>
      </c>
      <c r="V116" s="50">
        <f t="shared" ref="V116:V117" si="241">E116*G116*(1-N116)*O116/100*(R116+S116)/1000000</f>
        <v>0.76439999999999997</v>
      </c>
      <c r="W116" s="50">
        <f>+'[4]22'!K19/1000</f>
        <v>12.606</v>
      </c>
      <c r="X116" s="51">
        <f>SUM(W116:W119)/SUM(K116:K119)</f>
        <v>0.93131034253043377</v>
      </c>
      <c r="Y116" s="52">
        <v>0</v>
      </c>
      <c r="Z116" s="50">
        <f>+'[4]22'!D7/1000</f>
        <v>0.44500000000000001</v>
      </c>
      <c r="AA116" s="53">
        <f>SUM(U116:U119)-SUM(W116:W119)-SUM(Z116:Z119)-SUM(Y116:Y119)</f>
        <v>8.6063343754546218E-2</v>
      </c>
      <c r="AB116" s="53">
        <f>(SUM(K116:K119)-SUM(W116:W119)-SUM(Y116:Y119)-SUM(Z116:Z119)-SUM(AC116:AC119)-SUM(V116:V119))-AA116</f>
        <v>8.3528548658071133E-3</v>
      </c>
      <c r="AC116" s="50">
        <f>K116-T116</f>
        <v>0</v>
      </c>
      <c r="AD116" s="50">
        <f>+AM116+BA116</f>
        <v>0</v>
      </c>
      <c r="AE116" s="101" t="s">
        <v>110</v>
      </c>
      <c r="AF116" s="50">
        <v>0</v>
      </c>
      <c r="AG116" s="50"/>
      <c r="AH116" s="50"/>
      <c r="AI116" s="54"/>
      <c r="AJ116" s="50"/>
      <c r="AK116" s="50"/>
      <c r="AL116" s="50"/>
      <c r="AM116" s="50">
        <f>SUM(AF116:AL116)+AT116</f>
        <v>0</v>
      </c>
      <c r="AN116" s="50"/>
      <c r="AO116" s="50"/>
      <c r="AP116" s="50"/>
      <c r="AQ116" s="50"/>
      <c r="AR116" s="50">
        <f>SUM(AN116:AQ116)</f>
        <v>0</v>
      </c>
      <c r="AS116" s="50"/>
      <c r="AT116" s="50"/>
      <c r="AU116" s="50"/>
      <c r="AV116" s="50"/>
      <c r="AW116" s="50"/>
      <c r="AX116" s="50"/>
      <c r="AY116" s="50"/>
      <c r="AZ116" s="50"/>
      <c r="BA116" s="50">
        <f>+AR116+AS116+AU116+AV116+AX116</f>
        <v>0</v>
      </c>
      <c r="BB116" s="124">
        <v>0</v>
      </c>
      <c r="BC116" s="116"/>
      <c r="BD116" s="116"/>
      <c r="BE116" s="124"/>
      <c r="BF116" s="116"/>
    </row>
    <row r="117" spans="1:58" ht="12.95" customHeight="1" x14ac:dyDescent="0.2">
      <c r="A117" s="117"/>
      <c r="B117" s="118" t="s">
        <v>168</v>
      </c>
      <c r="C117" s="119">
        <f t="shared" si="234"/>
        <v>45.739736173636359</v>
      </c>
      <c r="D117" s="118" t="s">
        <v>196</v>
      </c>
      <c r="E117" s="37">
        <v>15</v>
      </c>
      <c r="F117" s="37">
        <v>1</v>
      </c>
      <c r="G117" s="120">
        <v>1180</v>
      </c>
      <c r="H117" s="121">
        <f t="shared" si="235"/>
        <v>0.21196791806942594</v>
      </c>
      <c r="I117" s="45">
        <v>0.88</v>
      </c>
      <c r="J117" s="46">
        <f t="shared" si="236"/>
        <v>55.033891069635338</v>
      </c>
      <c r="K117" s="46">
        <f>(IF(G117&lt;L117,L117,G117)*(1-IF(H117&lt;N117,H117,N117))*E117*O117*Q117)/100000000</f>
        <v>46.686312036114515</v>
      </c>
      <c r="L117" s="122">
        <v>1156.0752248569092</v>
      </c>
      <c r="M117" s="122">
        <v>911.02436631234673</v>
      </c>
      <c r="N117" s="47">
        <f t="shared" si="237"/>
        <v>0.21196791806942594</v>
      </c>
      <c r="O117" s="48">
        <f>+'[4]Trim Rwd'!H72</f>
        <v>273.68181818181819</v>
      </c>
      <c r="P117" s="49">
        <f t="shared" si="238"/>
        <v>323765.59090909094</v>
      </c>
      <c r="Q117" s="48">
        <v>1223</v>
      </c>
      <c r="R117" s="123">
        <v>0</v>
      </c>
      <c r="S117" s="123">
        <v>40</v>
      </c>
      <c r="T117" s="50">
        <f t="shared" si="239"/>
        <v>45.739736173636359</v>
      </c>
      <c r="U117" s="50">
        <f t="shared" si="240"/>
        <v>44.243751343754546</v>
      </c>
      <c r="V117" s="50">
        <f t="shared" si="241"/>
        <v>1.5269439750160103</v>
      </c>
      <c r="W117" s="50">
        <f>+'[4]22'!K9/1000</f>
        <v>38.607999999999997</v>
      </c>
      <c r="X117" s="55"/>
      <c r="Y117" s="52"/>
      <c r="Z117" s="50">
        <f>+'[4]21'!D22/1000</f>
        <v>0</v>
      </c>
      <c r="AA117" s="50"/>
      <c r="AB117" s="50"/>
      <c r="AC117" s="50">
        <f>K117-T117</f>
        <v>0.94657586247815573</v>
      </c>
      <c r="AD117" s="50">
        <f t="shared" ref="AD117:AD119" si="242">+AM117+BA117</f>
        <v>15</v>
      </c>
      <c r="AE117" s="101" t="s">
        <v>119</v>
      </c>
      <c r="AF117" s="50"/>
      <c r="AG117" s="50">
        <v>15</v>
      </c>
      <c r="AH117" s="50"/>
      <c r="AI117" s="54"/>
      <c r="AJ117" s="50"/>
      <c r="AK117" s="50"/>
      <c r="AL117" s="50"/>
      <c r="AM117" s="50">
        <f t="shared" ref="AM117:AM119" si="243">SUM(AF117:AL117)+AT117</f>
        <v>15</v>
      </c>
      <c r="AN117" s="125"/>
      <c r="AO117" s="50"/>
      <c r="AP117" s="50"/>
      <c r="AQ117" s="50"/>
      <c r="AR117" s="50">
        <f t="shared" ref="AR117:AR119" si="244">SUM(AN117:AQ117)</f>
        <v>0</v>
      </c>
      <c r="AS117" s="50"/>
      <c r="AT117" s="50"/>
      <c r="AU117" s="50"/>
      <c r="AV117" s="50"/>
      <c r="AW117" s="50"/>
      <c r="AX117" s="50"/>
      <c r="AY117" s="50"/>
      <c r="AZ117" s="50"/>
      <c r="BA117" s="50">
        <f t="shared" ref="BA117:BA119" si="245">+AR117+AS117+AU117+AV117+AX117</f>
        <v>0</v>
      </c>
      <c r="BB117" s="126"/>
      <c r="BC117" s="116">
        <v>11</v>
      </c>
      <c r="BD117" s="116"/>
      <c r="BE117" s="126"/>
      <c r="BF117" s="116"/>
    </row>
    <row r="118" spans="1:58" ht="12.95" customHeight="1" x14ac:dyDescent="0.2">
      <c r="A118" s="117"/>
      <c r="B118" s="118"/>
      <c r="C118" s="119"/>
      <c r="D118" s="118"/>
      <c r="E118" s="37"/>
      <c r="F118" s="37"/>
      <c r="G118" s="127"/>
      <c r="H118" s="121"/>
      <c r="I118" s="45"/>
      <c r="J118" s="46"/>
      <c r="K118" s="46"/>
      <c r="L118" s="122"/>
      <c r="M118" s="122"/>
      <c r="N118" s="47"/>
      <c r="O118" s="48"/>
      <c r="P118" s="49"/>
      <c r="Q118" s="48"/>
      <c r="R118" s="123"/>
      <c r="S118" s="123"/>
      <c r="T118" s="50"/>
      <c r="U118" s="50"/>
      <c r="V118" s="50"/>
      <c r="W118" s="50"/>
      <c r="X118" s="55"/>
      <c r="Y118" s="52"/>
      <c r="Z118" s="50"/>
      <c r="AA118" s="50"/>
      <c r="AB118" s="50"/>
      <c r="AC118" s="50"/>
      <c r="AD118" s="50">
        <f t="shared" si="242"/>
        <v>28</v>
      </c>
      <c r="AE118" s="101" t="s">
        <v>128</v>
      </c>
      <c r="AF118" s="124"/>
      <c r="AG118" s="124"/>
      <c r="AH118" s="124">
        <v>28</v>
      </c>
      <c r="AJ118" s="50"/>
      <c r="AK118" s="50"/>
      <c r="AL118" s="50"/>
      <c r="AM118" s="50">
        <f t="shared" si="243"/>
        <v>28</v>
      </c>
      <c r="AN118" s="50"/>
      <c r="AO118" s="50"/>
      <c r="AP118" s="50"/>
      <c r="AQ118" s="50"/>
      <c r="AR118" s="50">
        <f t="shared" si="244"/>
        <v>0</v>
      </c>
      <c r="AS118" s="50"/>
      <c r="AT118" s="50"/>
      <c r="AU118" s="50"/>
      <c r="AV118" s="50"/>
      <c r="AW118" s="50"/>
      <c r="AX118" s="50"/>
      <c r="AY118" s="50"/>
      <c r="AZ118" s="50"/>
      <c r="BA118" s="50">
        <f t="shared" si="245"/>
        <v>0</v>
      </c>
      <c r="BB118" s="124"/>
      <c r="BC118" s="146"/>
      <c r="BD118" s="146"/>
      <c r="BE118" s="124"/>
      <c r="BF118" s="146"/>
    </row>
    <row r="119" spans="1:58" ht="12.95" customHeight="1" x14ac:dyDescent="0.2">
      <c r="A119" s="117"/>
      <c r="B119" s="118"/>
      <c r="C119" s="119"/>
      <c r="D119" s="118"/>
      <c r="E119" s="37"/>
      <c r="F119" s="37"/>
      <c r="G119" s="127"/>
      <c r="H119" s="121"/>
      <c r="I119" s="45"/>
      <c r="J119" s="46"/>
      <c r="K119" s="46"/>
      <c r="L119" s="122"/>
      <c r="M119" s="122"/>
      <c r="N119" s="47"/>
      <c r="O119" s="48"/>
      <c r="P119" s="49"/>
      <c r="Q119" s="56"/>
      <c r="R119" s="123"/>
      <c r="S119" s="123"/>
      <c r="T119" s="50"/>
      <c r="U119" s="50"/>
      <c r="V119" s="50"/>
      <c r="W119" s="50"/>
      <c r="X119" s="55"/>
      <c r="Y119" s="52"/>
      <c r="Z119" s="50"/>
      <c r="AA119" s="50"/>
      <c r="AB119" s="50"/>
      <c r="AC119" s="50"/>
      <c r="AD119" s="50">
        <f t="shared" si="242"/>
        <v>18</v>
      </c>
      <c r="AE119" s="148" t="s">
        <v>162</v>
      </c>
      <c r="AF119" s="50"/>
      <c r="AG119" s="50"/>
      <c r="AH119" s="50"/>
      <c r="AI119" s="54">
        <v>18</v>
      </c>
      <c r="AJ119" s="50"/>
      <c r="AK119" s="50"/>
      <c r="AL119" s="50"/>
      <c r="AM119" s="50">
        <f t="shared" si="243"/>
        <v>18</v>
      </c>
      <c r="AN119" s="50"/>
      <c r="AO119" s="50"/>
      <c r="AP119" s="50"/>
      <c r="AQ119" s="50"/>
      <c r="AR119" s="50">
        <f t="shared" si="244"/>
        <v>0</v>
      </c>
      <c r="AS119" s="50"/>
      <c r="AT119" s="50"/>
      <c r="AU119" s="50"/>
      <c r="AV119" s="50"/>
      <c r="AW119" s="50"/>
      <c r="AX119" s="50"/>
      <c r="AY119" s="50"/>
      <c r="AZ119" s="50"/>
      <c r="BA119" s="50">
        <f t="shared" si="245"/>
        <v>0</v>
      </c>
      <c r="BB119" s="126"/>
      <c r="BC119" s="116"/>
      <c r="BD119" s="116"/>
      <c r="BE119" s="126"/>
      <c r="BF119" s="116"/>
    </row>
    <row r="120" spans="1:58" ht="12.95" customHeight="1" x14ac:dyDescent="0.2">
      <c r="A120" s="117"/>
      <c r="B120" s="118"/>
      <c r="C120" s="119"/>
      <c r="D120" s="118"/>
      <c r="E120" s="37"/>
      <c r="F120" s="37"/>
      <c r="G120" s="127"/>
      <c r="H120" s="127"/>
      <c r="I120" s="45"/>
      <c r="J120" s="46"/>
      <c r="K120" s="46"/>
      <c r="L120" s="122"/>
      <c r="M120" s="122"/>
      <c r="N120" s="47"/>
      <c r="O120" s="48"/>
      <c r="P120" s="49"/>
      <c r="Q120" s="48"/>
      <c r="R120" s="123"/>
      <c r="S120" s="123"/>
      <c r="T120" s="50"/>
      <c r="U120" s="50"/>
      <c r="V120" s="50"/>
      <c r="W120" s="50"/>
      <c r="X120" s="51"/>
      <c r="Y120" s="52"/>
      <c r="Z120" s="50"/>
      <c r="AA120" s="53"/>
      <c r="AB120" s="53"/>
      <c r="AC120" s="50"/>
      <c r="AD120" s="50"/>
      <c r="AE120" s="101"/>
      <c r="AF120" s="50"/>
      <c r="AG120" s="50"/>
      <c r="AH120" s="50"/>
      <c r="AI120" s="54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124"/>
      <c r="BC120" s="116"/>
      <c r="BD120" s="116"/>
      <c r="BE120" s="116"/>
      <c r="BF120" s="116"/>
    </row>
    <row r="121" spans="1:58" ht="12.95" customHeight="1" x14ac:dyDescent="0.2">
      <c r="A121" s="117">
        <v>45984</v>
      </c>
      <c r="B121" s="118" t="s">
        <v>168</v>
      </c>
      <c r="C121" s="119">
        <f t="shared" ref="C121" si="246">(M121*E121*O121*Q121)/100000000</f>
        <v>52.35753181935484</v>
      </c>
      <c r="D121" s="118" t="s">
        <v>196</v>
      </c>
      <c r="E121" s="37">
        <v>15</v>
      </c>
      <c r="F121" s="37">
        <v>1</v>
      </c>
      <c r="G121" s="120">
        <v>1190</v>
      </c>
      <c r="H121" s="121">
        <f t="shared" ref="H121" si="247">+N121</f>
        <v>0.21682080924855485</v>
      </c>
      <c r="I121" s="45">
        <v>0.88</v>
      </c>
      <c r="J121" s="46">
        <f t="shared" ref="J121" si="248">E121*G121*(1-H121)*1440/1000000*2.74</f>
        <v>55.158495898265912</v>
      </c>
      <c r="K121" s="46">
        <f>(IF(G121&lt;L121,L121,G121)*(1-IF(H121&lt;N121,H121,N121))*E121*O121*Q121)/100000000</f>
        <v>54.022077628640687</v>
      </c>
      <c r="L121" s="122">
        <v>1153.3333333333333</v>
      </c>
      <c r="M121" s="122">
        <v>903.26666666666665</v>
      </c>
      <c r="N121" s="47">
        <f t="shared" ref="N121" si="249">1-(M121/L121)</f>
        <v>0.21682080924855485</v>
      </c>
      <c r="O121" s="48">
        <f>+'[4]Trim Rwd'!H75</f>
        <v>268.35483870967744</v>
      </c>
      <c r="P121" s="49">
        <f t="shared" ref="P121" si="250">O121*(Q121-R121-S121)</f>
        <v>365767.64516129036</v>
      </c>
      <c r="Q121" s="48">
        <v>1440</v>
      </c>
      <c r="R121" s="123">
        <v>0</v>
      </c>
      <c r="S121" s="123">
        <v>77</v>
      </c>
      <c r="T121" s="50">
        <f t="shared" ref="T121" si="251">E121*M121*O121*Q121/100000000</f>
        <v>52.35753181935484</v>
      </c>
      <c r="U121" s="50">
        <f t="shared" ref="U121" si="252">E121*M121*O121*(Q121-R121-S121)/100000000</f>
        <v>49.557858242903229</v>
      </c>
      <c r="V121" s="50">
        <f t="shared" ref="V121" si="253">E121*G121*(1-N121)*O121/100*(R121+S121)/1000000</f>
        <v>2.8886805398648145</v>
      </c>
      <c r="W121" s="50">
        <f>+'[4]23'!K9/1000</f>
        <v>48.63</v>
      </c>
      <c r="X121" s="51">
        <f>SUM(W121:W124)/SUM(K121:K124)</f>
        <v>0.90018751841225031</v>
      </c>
      <c r="Y121" s="52">
        <f>+SUM([4]RBP!AG112:AG113)</f>
        <v>0</v>
      </c>
      <c r="Z121" s="50">
        <v>0</v>
      </c>
      <c r="AA121" s="53">
        <f>SUM(U121:U124)-SUM(W121:W124)-SUM(Z121:Z124)-SUM(Y121:Y124)</f>
        <v>0.92785824290322694</v>
      </c>
      <c r="AB121" s="53">
        <f>(SUM(K121:K124)-SUM(W121:W124)-SUM(Y121:Y124)-SUM(Z121:Z124)-SUM(AC121:AC124)-SUM(V121:V124))-AA121</f>
        <v>-8.9006963413204243E-2</v>
      </c>
      <c r="AC121" s="50">
        <f>K121-T121</f>
        <v>1.6645458092858476</v>
      </c>
      <c r="AD121" s="50">
        <f>+AM121+BA121</f>
        <v>0</v>
      </c>
      <c r="AE121" s="101" t="s">
        <v>110</v>
      </c>
      <c r="AF121" s="50">
        <v>0</v>
      </c>
      <c r="AG121" s="50"/>
      <c r="AH121" s="50"/>
      <c r="AI121" s="54"/>
      <c r="AJ121" s="50"/>
      <c r="AK121" s="50"/>
      <c r="AL121" s="50"/>
      <c r="AM121" s="50">
        <f>SUM(AF121:AL121)+AT121</f>
        <v>0</v>
      </c>
      <c r="AN121" s="50"/>
      <c r="AO121" s="50"/>
      <c r="AP121" s="50"/>
      <c r="AQ121" s="50"/>
      <c r="AR121" s="50">
        <f>SUM(AN121:AQ121)</f>
        <v>0</v>
      </c>
      <c r="AS121" s="50"/>
      <c r="AT121" s="50"/>
      <c r="AU121" s="50"/>
      <c r="AV121" s="50"/>
      <c r="AW121" s="50"/>
      <c r="AX121" s="50"/>
      <c r="AY121" s="50"/>
      <c r="AZ121" s="50"/>
      <c r="BA121" s="50">
        <f>+AR121+AS121+AU121+AV121+AX121</f>
        <v>0</v>
      </c>
      <c r="BB121" s="124">
        <v>0</v>
      </c>
      <c r="BC121" s="116"/>
      <c r="BD121" s="116"/>
      <c r="BE121" s="124"/>
      <c r="BF121" s="116"/>
    </row>
    <row r="122" spans="1:58" ht="12.95" customHeight="1" x14ac:dyDescent="0.2">
      <c r="A122" s="117"/>
      <c r="B122" s="118"/>
      <c r="C122" s="119"/>
      <c r="D122" s="118"/>
      <c r="E122" s="37"/>
      <c r="F122" s="37"/>
      <c r="G122" s="127"/>
      <c r="H122" s="121"/>
      <c r="I122" s="45"/>
      <c r="J122" s="46"/>
      <c r="K122" s="46"/>
      <c r="L122" s="122"/>
      <c r="M122" s="122"/>
      <c r="N122" s="47"/>
      <c r="O122" s="48"/>
      <c r="P122" s="49"/>
      <c r="Q122" s="48"/>
      <c r="R122" s="123"/>
      <c r="S122" s="123"/>
      <c r="T122" s="50"/>
      <c r="U122" s="50"/>
      <c r="V122" s="50"/>
      <c r="W122" s="50"/>
      <c r="X122" s="55"/>
      <c r="Y122" s="52"/>
      <c r="Z122" s="50">
        <f>+'[4]21'!D27/1000</f>
        <v>0</v>
      </c>
      <c r="AA122" s="50"/>
      <c r="AB122" s="50"/>
      <c r="AC122" s="50">
        <f>K122-T122</f>
        <v>0</v>
      </c>
      <c r="AD122" s="50">
        <f t="shared" ref="AD122:AD125" si="254">+AM122+BA122</f>
        <v>12</v>
      </c>
      <c r="AE122" s="101" t="s">
        <v>133</v>
      </c>
      <c r="AF122" s="50"/>
      <c r="AG122" s="50">
        <v>12</v>
      </c>
      <c r="AH122" s="50"/>
      <c r="AI122" s="54"/>
      <c r="AJ122" s="50"/>
      <c r="AK122" s="50"/>
      <c r="AL122" s="50"/>
      <c r="AM122" s="50">
        <f t="shared" ref="AM122:AM124" si="255">SUM(AF122:AL122)+AT122</f>
        <v>12</v>
      </c>
      <c r="AN122" s="125"/>
      <c r="AO122" s="50"/>
      <c r="AP122" s="50"/>
      <c r="AQ122" s="50"/>
      <c r="AR122" s="50">
        <f t="shared" ref="AR122:AR124" si="256">SUM(AN122:AQ122)</f>
        <v>0</v>
      </c>
      <c r="AS122" s="50"/>
      <c r="AT122" s="50"/>
      <c r="AU122" s="50"/>
      <c r="AV122" s="50"/>
      <c r="AW122" s="50"/>
      <c r="AX122" s="50"/>
      <c r="AY122" s="50"/>
      <c r="AZ122" s="50"/>
      <c r="BA122" s="50">
        <f t="shared" ref="BA122:BA125" si="257">+AR122+AS122+AU122+AV122+AX122</f>
        <v>0</v>
      </c>
      <c r="BB122" s="126"/>
      <c r="BC122" s="116">
        <v>10</v>
      </c>
      <c r="BD122" s="116"/>
      <c r="BE122" s="126"/>
      <c r="BF122" s="116"/>
    </row>
    <row r="123" spans="1:58" ht="12.95" customHeight="1" x14ac:dyDescent="0.2">
      <c r="A123" s="117"/>
      <c r="B123" s="118"/>
      <c r="C123" s="119"/>
      <c r="D123" s="118"/>
      <c r="E123" s="37"/>
      <c r="F123" s="37"/>
      <c r="G123" s="127"/>
      <c r="H123" s="121"/>
      <c r="I123" s="45"/>
      <c r="J123" s="46"/>
      <c r="K123" s="46"/>
      <c r="L123" s="122"/>
      <c r="M123" s="122"/>
      <c r="N123" s="47"/>
      <c r="O123" s="48"/>
      <c r="P123" s="49"/>
      <c r="Q123" s="48"/>
      <c r="R123" s="123"/>
      <c r="S123" s="123"/>
      <c r="T123" s="50"/>
      <c r="U123" s="50"/>
      <c r="V123" s="50"/>
      <c r="W123" s="50"/>
      <c r="X123" s="55"/>
      <c r="Y123" s="52"/>
      <c r="Z123" s="50"/>
      <c r="AA123" s="50"/>
      <c r="AB123" s="50"/>
      <c r="AC123" s="50"/>
      <c r="AD123" s="50">
        <f t="shared" si="254"/>
        <v>24</v>
      </c>
      <c r="AE123" s="101" t="s">
        <v>114</v>
      </c>
      <c r="AF123" s="124"/>
      <c r="AG123" s="124"/>
      <c r="AH123" s="124">
        <v>24</v>
      </c>
      <c r="AJ123" s="50"/>
      <c r="AK123" s="50"/>
      <c r="AL123" s="50"/>
      <c r="AM123" s="50">
        <f t="shared" si="255"/>
        <v>24</v>
      </c>
      <c r="AN123" s="50"/>
      <c r="AO123" s="50"/>
      <c r="AP123" s="50"/>
      <c r="AQ123" s="50"/>
      <c r="AR123" s="50">
        <f t="shared" si="256"/>
        <v>0</v>
      </c>
      <c r="AS123" s="50"/>
      <c r="AT123" s="50"/>
      <c r="AU123" s="50"/>
      <c r="AV123" s="50"/>
      <c r="AW123" s="50"/>
      <c r="AX123" s="50"/>
      <c r="AY123" s="50"/>
      <c r="AZ123" s="50"/>
      <c r="BA123" s="50">
        <f t="shared" si="257"/>
        <v>0</v>
      </c>
      <c r="BB123" s="124"/>
      <c r="BC123" s="146"/>
      <c r="BD123" s="146"/>
      <c r="BE123" s="124"/>
      <c r="BF123" s="146"/>
    </row>
    <row r="124" spans="1:58" ht="12.95" customHeight="1" x14ac:dyDescent="0.2">
      <c r="A124" s="117"/>
      <c r="B124" s="118"/>
      <c r="C124" s="119"/>
      <c r="D124" s="118"/>
      <c r="E124" s="37"/>
      <c r="F124" s="37"/>
      <c r="G124" s="127"/>
      <c r="H124" s="121"/>
      <c r="I124" s="45"/>
      <c r="J124" s="46"/>
      <c r="K124" s="46"/>
      <c r="L124" s="122"/>
      <c r="M124" s="122"/>
      <c r="N124" s="47"/>
      <c r="O124" s="48"/>
      <c r="P124" s="49"/>
      <c r="Q124" s="56"/>
      <c r="R124" s="123"/>
      <c r="S124" s="123"/>
      <c r="T124" s="50"/>
      <c r="U124" s="50"/>
      <c r="V124" s="50"/>
      <c r="W124" s="50"/>
      <c r="X124" s="55"/>
      <c r="Y124" s="52"/>
      <c r="Z124" s="50"/>
      <c r="AA124" s="50"/>
      <c r="AB124" s="50"/>
      <c r="AC124" s="50"/>
      <c r="AD124" s="50">
        <f t="shared" si="254"/>
        <v>8</v>
      </c>
      <c r="AE124" s="148" t="s">
        <v>162</v>
      </c>
      <c r="AF124" s="50"/>
      <c r="AG124" s="50"/>
      <c r="AH124" s="50"/>
      <c r="AI124" s="54">
        <v>8</v>
      </c>
      <c r="AJ124" s="50"/>
      <c r="AK124" s="50"/>
      <c r="AL124" s="50"/>
      <c r="AM124" s="50">
        <f t="shared" si="255"/>
        <v>8</v>
      </c>
      <c r="AN124" s="50"/>
      <c r="AO124" s="50"/>
      <c r="AP124" s="50"/>
      <c r="AQ124" s="50"/>
      <c r="AR124" s="50">
        <f t="shared" si="256"/>
        <v>0</v>
      </c>
      <c r="AS124" s="50"/>
      <c r="AT124" s="50"/>
      <c r="AU124" s="50"/>
      <c r="AV124" s="50"/>
      <c r="AW124" s="50"/>
      <c r="AX124" s="50"/>
      <c r="AY124" s="50"/>
      <c r="AZ124" s="50"/>
      <c r="BA124" s="50">
        <f t="shared" si="257"/>
        <v>0</v>
      </c>
      <c r="BB124" s="126"/>
      <c r="BC124" s="116"/>
      <c r="BD124" s="116"/>
      <c r="BE124" s="126"/>
      <c r="BF124" s="116"/>
    </row>
    <row r="125" spans="1:58" ht="12.95" customHeight="1" x14ac:dyDescent="0.2">
      <c r="A125" s="117"/>
      <c r="B125" s="118"/>
      <c r="C125" s="119"/>
      <c r="D125" s="118"/>
      <c r="E125" s="37"/>
      <c r="F125" s="37"/>
      <c r="G125" s="127"/>
      <c r="H125" s="121"/>
      <c r="I125" s="45"/>
      <c r="J125" s="46"/>
      <c r="K125" s="46"/>
      <c r="L125" s="122"/>
      <c r="M125" s="122"/>
      <c r="N125" s="47"/>
      <c r="O125" s="48"/>
      <c r="P125" s="49"/>
      <c r="Q125" s="56"/>
      <c r="R125" s="123"/>
      <c r="S125" s="123"/>
      <c r="T125" s="50"/>
      <c r="U125" s="50"/>
      <c r="V125" s="50"/>
      <c r="W125" s="50"/>
      <c r="X125" s="55"/>
      <c r="Y125" s="52"/>
      <c r="Z125" s="50"/>
      <c r="AA125" s="50"/>
      <c r="AB125" s="50"/>
      <c r="AC125" s="50"/>
      <c r="AD125" s="50">
        <f t="shared" si="254"/>
        <v>33</v>
      </c>
      <c r="AE125" s="148" t="s">
        <v>262</v>
      </c>
      <c r="AF125" s="50"/>
      <c r="AG125" s="50"/>
      <c r="AH125" s="50"/>
      <c r="AI125" s="54"/>
      <c r="AJ125" s="50"/>
      <c r="AK125" s="50">
        <v>33</v>
      </c>
      <c r="AL125" s="50"/>
      <c r="AM125" s="50">
        <f t="shared" ref="AM125" si="258">SUM(AF125:AL125)+AT125</f>
        <v>33</v>
      </c>
      <c r="AN125" s="50"/>
      <c r="AO125" s="50"/>
      <c r="AP125" s="50"/>
      <c r="AQ125" s="50"/>
      <c r="AR125" s="50">
        <f t="shared" ref="AR125" si="259">SUM(AN125:AQ125)</f>
        <v>0</v>
      </c>
      <c r="AS125" s="50"/>
      <c r="AT125" s="50"/>
      <c r="AU125" s="50"/>
      <c r="AV125" s="50"/>
      <c r="AW125" s="50"/>
      <c r="AX125" s="50"/>
      <c r="AY125" s="50"/>
      <c r="AZ125" s="50"/>
      <c r="BA125" s="50">
        <f t="shared" si="257"/>
        <v>0</v>
      </c>
      <c r="BB125" s="126"/>
      <c r="BC125" s="116"/>
      <c r="BD125" s="116"/>
      <c r="BE125" s="126"/>
      <c r="BF125" s="116"/>
    </row>
    <row r="126" spans="1:58" ht="12.95" customHeight="1" x14ac:dyDescent="0.2">
      <c r="A126" s="117"/>
      <c r="B126" s="118"/>
      <c r="C126" s="119"/>
      <c r="D126" s="118"/>
      <c r="E126" s="37"/>
      <c r="F126" s="37"/>
      <c r="G126" s="120"/>
      <c r="H126" s="121"/>
      <c r="I126" s="45"/>
      <c r="J126" s="46"/>
      <c r="K126" s="46"/>
      <c r="L126" s="122"/>
      <c r="M126" s="122"/>
      <c r="N126" s="47"/>
      <c r="O126" s="48"/>
      <c r="P126" s="49"/>
      <c r="Q126" s="48"/>
      <c r="R126" s="123"/>
      <c r="S126" s="123"/>
      <c r="T126" s="50"/>
      <c r="U126" s="50"/>
      <c r="V126" s="50"/>
      <c r="W126" s="50"/>
      <c r="X126" s="51"/>
      <c r="Y126" s="52"/>
      <c r="Z126" s="50"/>
      <c r="AA126" s="53"/>
      <c r="AB126" s="53"/>
      <c r="AC126" s="50"/>
      <c r="AD126" s="50"/>
      <c r="AE126" s="101"/>
      <c r="AF126" s="50"/>
      <c r="AG126" s="50"/>
      <c r="AH126" s="50"/>
      <c r="AI126" s="54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124"/>
      <c r="BC126" s="116"/>
      <c r="BD126" s="116"/>
      <c r="BE126" s="116"/>
      <c r="BF126" s="116"/>
    </row>
    <row r="127" spans="1:58" ht="12.95" customHeight="1" x14ac:dyDescent="0.2">
      <c r="A127" s="117">
        <v>45985</v>
      </c>
      <c r="B127" s="118" t="s">
        <v>168</v>
      </c>
      <c r="C127" s="119">
        <f t="shared" ref="C127" si="260">(M127*E127*O127*Q127)/100000000</f>
        <v>52.863148799999998</v>
      </c>
      <c r="D127" s="118" t="s">
        <v>196</v>
      </c>
      <c r="E127" s="37">
        <v>15</v>
      </c>
      <c r="F127" s="37">
        <v>1</v>
      </c>
      <c r="G127" s="120">
        <v>1210</v>
      </c>
      <c r="H127" s="121">
        <f t="shared" ref="H127" si="261">+N127</f>
        <v>0.22999999999999998</v>
      </c>
      <c r="I127" s="45">
        <v>0.88</v>
      </c>
      <c r="J127" s="46">
        <f t="shared" ref="J127" si="262">E127*G127*(1-H127)*1440/1000000*2.74</f>
        <v>55.141732800000007</v>
      </c>
      <c r="K127" s="46">
        <f>(IF(G127&lt;L127,L127,G127)*(1-IF(H127&lt;N127,H127,N127))*E127*O127*Q127)/100000000</f>
        <v>55.1417328</v>
      </c>
      <c r="L127" s="122">
        <v>1160</v>
      </c>
      <c r="M127" s="122">
        <v>893.2</v>
      </c>
      <c r="N127" s="47">
        <f t="shared" ref="N127" si="263">1-(M127/L127)</f>
        <v>0.22999999999999998</v>
      </c>
      <c r="O127" s="48">
        <f>+'[4]Trim Rwd'!H78</f>
        <v>274</v>
      </c>
      <c r="P127" s="49">
        <f t="shared" ref="P127" si="264">O127*(Q127-R127-S127)</f>
        <v>380586</v>
      </c>
      <c r="Q127" s="48">
        <v>1440</v>
      </c>
      <c r="R127" s="123">
        <v>0</v>
      </c>
      <c r="S127" s="123">
        <v>51</v>
      </c>
      <c r="T127" s="50">
        <f t="shared" ref="T127" si="265">E127*M127*O127*Q127/100000000</f>
        <v>52.863148799999998</v>
      </c>
      <c r="U127" s="50">
        <f t="shared" ref="U127" si="266">E127*M127*O127*(Q127-R127-S127)/100000000</f>
        <v>50.990912280000003</v>
      </c>
      <c r="V127" s="50">
        <f t="shared" ref="V127" si="267">E127*G127*(1-N127)*O127/100*(R127+S127)/1000000</f>
        <v>1.9529363700000002</v>
      </c>
      <c r="W127" s="50">
        <f>+'[4]24'!K9/1000</f>
        <v>51.286999999999999</v>
      </c>
      <c r="X127" s="51">
        <f>SUM(W127:W130)/SUM(K127:K130)</f>
        <v>0.93009409381491182</v>
      </c>
      <c r="Y127" s="52">
        <f>+SUM([4]RBP!AG118:AG119)</f>
        <v>0</v>
      </c>
      <c r="Z127" s="50">
        <v>0</v>
      </c>
      <c r="AA127" s="53">
        <f>SUM(U127:U130)-SUM(W127:W130)-SUM(Z127:Z130)-SUM(Y127:Y130)</f>
        <v>-0.29608771999999561</v>
      </c>
      <c r="AB127" s="53">
        <f>(SUM(K127:K130)-SUM(W127:W130)-SUM(Y127:Y130)-SUM(Z127:Z130)-SUM(AC127:AC130)-SUM(V127:V130))-AA127</f>
        <v>-8.0699850000006013E-2</v>
      </c>
      <c r="AC127" s="50">
        <f>K127-T127</f>
        <v>2.2785840000000022</v>
      </c>
      <c r="AD127" s="50">
        <f>+AM127+BA127</f>
        <v>0</v>
      </c>
      <c r="AE127" s="101" t="s">
        <v>110</v>
      </c>
      <c r="AF127" s="50">
        <v>0</v>
      </c>
      <c r="AG127" s="50"/>
      <c r="AH127" s="50"/>
      <c r="AI127" s="54"/>
      <c r="AJ127" s="50"/>
      <c r="AK127" s="50"/>
      <c r="AL127" s="50"/>
      <c r="AM127" s="50">
        <f>SUM(AF127:AL127)+AT127</f>
        <v>0</v>
      </c>
      <c r="AN127" s="50"/>
      <c r="AO127" s="50"/>
      <c r="AP127" s="50"/>
      <c r="AQ127" s="50"/>
      <c r="AR127" s="50">
        <f>SUM(AN127:AQ127)</f>
        <v>0</v>
      </c>
      <c r="AS127" s="50"/>
      <c r="AT127" s="50"/>
      <c r="AU127" s="50"/>
      <c r="AV127" s="50"/>
      <c r="AW127" s="50"/>
      <c r="AX127" s="50"/>
      <c r="AY127" s="50"/>
      <c r="AZ127" s="50"/>
      <c r="BA127" s="50">
        <f>+AR127+AS127+AU127+AV127+AX127</f>
        <v>0</v>
      </c>
      <c r="BB127" s="124">
        <v>0</v>
      </c>
      <c r="BC127" s="116"/>
      <c r="BD127" s="116"/>
      <c r="BE127" s="124"/>
      <c r="BF127" s="116"/>
    </row>
    <row r="128" spans="1:58" ht="12.95" customHeight="1" x14ac:dyDescent="0.2">
      <c r="A128" s="117"/>
      <c r="B128" s="118"/>
      <c r="C128" s="119"/>
      <c r="D128" s="118"/>
      <c r="E128" s="37"/>
      <c r="F128" s="37"/>
      <c r="G128" s="127"/>
      <c r="H128" s="121"/>
      <c r="I128" s="45"/>
      <c r="J128" s="46"/>
      <c r="K128" s="46"/>
      <c r="L128" s="122"/>
      <c r="M128" s="122"/>
      <c r="N128" s="47"/>
      <c r="O128" s="48"/>
      <c r="P128" s="49"/>
      <c r="Q128" s="48"/>
      <c r="R128" s="123"/>
      <c r="S128" s="123"/>
      <c r="T128" s="50"/>
      <c r="U128" s="50"/>
      <c r="V128" s="50"/>
      <c r="W128" s="50"/>
      <c r="X128" s="55"/>
      <c r="Y128" s="52"/>
      <c r="Z128" s="50">
        <f>+'[4]21'!D33/1000</f>
        <v>0</v>
      </c>
      <c r="AA128" s="50"/>
      <c r="AB128" s="50"/>
      <c r="AC128" s="50">
        <f>K128-T128</f>
        <v>0</v>
      </c>
      <c r="AD128" s="50">
        <f t="shared" ref="AD128:AD130" si="268">+AM128+BA128</f>
        <v>14</v>
      </c>
      <c r="AE128" s="101" t="s">
        <v>119</v>
      </c>
      <c r="AF128" s="50"/>
      <c r="AG128" s="50">
        <v>14</v>
      </c>
      <c r="AH128" s="50"/>
      <c r="AI128" s="54"/>
      <c r="AJ128" s="50"/>
      <c r="AK128" s="50"/>
      <c r="AL128" s="50"/>
      <c r="AM128" s="50">
        <f t="shared" ref="AM128:AM130" si="269">SUM(AF128:AL128)+AT128</f>
        <v>14</v>
      </c>
      <c r="AN128" s="125"/>
      <c r="AO128" s="50"/>
      <c r="AP128" s="50"/>
      <c r="AQ128" s="50"/>
      <c r="AR128" s="50">
        <f t="shared" ref="AR128:AR130" si="270">SUM(AN128:AQ128)</f>
        <v>0</v>
      </c>
      <c r="AS128" s="50"/>
      <c r="AT128" s="50"/>
      <c r="AU128" s="50"/>
      <c r="AV128" s="50"/>
      <c r="AW128" s="50"/>
      <c r="AX128" s="50"/>
      <c r="AY128" s="50"/>
      <c r="AZ128" s="50"/>
      <c r="BA128" s="50">
        <f t="shared" ref="BA128:BA130" si="271">+AR128+AS128+AU128+AV128+AX128</f>
        <v>0</v>
      </c>
      <c r="BB128" s="126"/>
      <c r="BC128" s="116">
        <v>11</v>
      </c>
      <c r="BD128" s="116"/>
      <c r="BE128" s="126"/>
      <c r="BF128" s="116"/>
    </row>
    <row r="129" spans="1:58" ht="12.95" customHeight="1" x14ac:dyDescent="0.2">
      <c r="A129" s="117"/>
      <c r="B129" s="118"/>
      <c r="C129" s="119"/>
      <c r="D129" s="118"/>
      <c r="E129" s="37"/>
      <c r="F129" s="37"/>
      <c r="G129" s="127"/>
      <c r="H129" s="121"/>
      <c r="I129" s="45"/>
      <c r="J129" s="46"/>
      <c r="K129" s="46"/>
      <c r="L129" s="122"/>
      <c r="M129" s="122"/>
      <c r="N129" s="47"/>
      <c r="O129" s="48"/>
      <c r="P129" s="49"/>
      <c r="Q129" s="48"/>
      <c r="R129" s="123"/>
      <c r="S129" s="123"/>
      <c r="T129" s="50"/>
      <c r="U129" s="50"/>
      <c r="V129" s="50"/>
      <c r="W129" s="50"/>
      <c r="X129" s="55"/>
      <c r="Y129" s="52"/>
      <c r="Z129" s="50"/>
      <c r="AA129" s="50"/>
      <c r="AB129" s="50"/>
      <c r="AC129" s="50"/>
      <c r="AD129" s="50">
        <f t="shared" si="268"/>
        <v>29</v>
      </c>
      <c r="AE129" s="101" t="s">
        <v>128</v>
      </c>
      <c r="AF129" s="124"/>
      <c r="AG129" s="124"/>
      <c r="AH129" s="124">
        <v>29</v>
      </c>
      <c r="AJ129" s="50"/>
      <c r="AK129" s="50"/>
      <c r="AL129" s="50"/>
      <c r="AM129" s="50">
        <f t="shared" si="269"/>
        <v>29</v>
      </c>
      <c r="AN129" s="50"/>
      <c r="AO129" s="50"/>
      <c r="AP129" s="50"/>
      <c r="AQ129" s="50"/>
      <c r="AR129" s="50">
        <f t="shared" si="270"/>
        <v>0</v>
      </c>
      <c r="AS129" s="50"/>
      <c r="AT129" s="50"/>
      <c r="AU129" s="50"/>
      <c r="AV129" s="50"/>
      <c r="AW129" s="50"/>
      <c r="AX129" s="50"/>
      <c r="AY129" s="50"/>
      <c r="AZ129" s="50"/>
      <c r="BA129" s="50">
        <f t="shared" si="271"/>
        <v>0</v>
      </c>
      <c r="BB129" s="124"/>
      <c r="BC129" s="146"/>
      <c r="BD129" s="146"/>
      <c r="BE129" s="124"/>
      <c r="BF129" s="146"/>
    </row>
    <row r="130" spans="1:58" ht="12.95" customHeight="1" x14ac:dyDescent="0.2">
      <c r="A130" s="117"/>
      <c r="B130" s="118"/>
      <c r="C130" s="119"/>
      <c r="D130" s="118"/>
      <c r="E130" s="37"/>
      <c r="F130" s="37"/>
      <c r="G130" s="127"/>
      <c r="H130" s="121"/>
      <c r="I130" s="45"/>
      <c r="J130" s="46"/>
      <c r="K130" s="46"/>
      <c r="L130" s="122"/>
      <c r="M130" s="122"/>
      <c r="N130" s="47"/>
      <c r="O130" s="48"/>
      <c r="P130" s="49"/>
      <c r="Q130" s="56"/>
      <c r="R130" s="123"/>
      <c r="S130" s="123"/>
      <c r="T130" s="50"/>
      <c r="U130" s="50"/>
      <c r="V130" s="50"/>
      <c r="W130" s="50"/>
      <c r="X130" s="55"/>
      <c r="Y130" s="52"/>
      <c r="Z130" s="50"/>
      <c r="AA130" s="50"/>
      <c r="AB130" s="50"/>
      <c r="AC130" s="50"/>
      <c r="AD130" s="50">
        <f t="shared" si="268"/>
        <v>8</v>
      </c>
      <c r="AE130" s="148" t="s">
        <v>162</v>
      </c>
      <c r="AF130" s="50"/>
      <c r="AG130" s="50"/>
      <c r="AH130" s="50"/>
      <c r="AI130" s="54">
        <v>8</v>
      </c>
      <c r="AJ130" s="50"/>
      <c r="AK130" s="50"/>
      <c r="AL130" s="50"/>
      <c r="AM130" s="50">
        <f t="shared" si="269"/>
        <v>8</v>
      </c>
      <c r="AN130" s="50"/>
      <c r="AO130" s="50"/>
      <c r="AP130" s="50"/>
      <c r="AQ130" s="50"/>
      <c r="AR130" s="50">
        <f t="shared" si="270"/>
        <v>0</v>
      </c>
      <c r="AS130" s="50"/>
      <c r="AT130" s="50"/>
      <c r="AU130" s="50"/>
      <c r="AV130" s="50"/>
      <c r="AW130" s="50"/>
      <c r="AX130" s="50"/>
      <c r="AY130" s="50"/>
      <c r="AZ130" s="50"/>
      <c r="BA130" s="50">
        <f t="shared" si="271"/>
        <v>0</v>
      </c>
      <c r="BB130" s="126"/>
      <c r="BC130" s="116"/>
      <c r="BD130" s="116"/>
      <c r="BE130" s="126"/>
      <c r="BF130" s="116"/>
    </row>
    <row r="131" spans="1:58" ht="12.95" customHeight="1" x14ac:dyDescent="0.2">
      <c r="A131" s="117"/>
      <c r="B131" s="118"/>
      <c r="C131" s="119"/>
      <c r="D131" s="118"/>
      <c r="E131" s="37"/>
      <c r="F131" s="37"/>
      <c r="G131" s="127"/>
      <c r="H131" s="121"/>
      <c r="I131" s="45"/>
      <c r="J131" s="46"/>
      <c r="K131" s="46"/>
      <c r="L131" s="122"/>
      <c r="M131" s="122"/>
      <c r="N131" s="47"/>
      <c r="O131" s="48"/>
      <c r="P131" s="49"/>
      <c r="Q131" s="56"/>
      <c r="R131" s="123"/>
      <c r="S131" s="123"/>
      <c r="T131" s="50"/>
      <c r="U131" s="50"/>
      <c r="V131" s="50"/>
      <c r="W131" s="50"/>
      <c r="X131" s="55"/>
      <c r="Y131" s="52"/>
      <c r="Z131" s="50"/>
      <c r="AA131" s="50"/>
      <c r="AB131" s="50"/>
      <c r="AC131" s="50"/>
      <c r="AD131" s="50"/>
      <c r="AE131" s="148"/>
      <c r="AF131" s="50"/>
      <c r="AG131" s="50"/>
      <c r="AH131" s="50"/>
      <c r="AI131" s="54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126"/>
      <c r="BC131" s="116"/>
      <c r="BD131" s="116"/>
      <c r="BE131" s="126"/>
      <c r="BF131" s="116"/>
    </row>
    <row r="132" spans="1:58" ht="12.95" customHeight="1" x14ac:dyDescent="0.2">
      <c r="A132" s="117">
        <v>45986</v>
      </c>
      <c r="B132" s="118" t="s">
        <v>168</v>
      </c>
      <c r="C132" s="119">
        <f t="shared" ref="C132:C133" si="272">(M132*E132*O132*Q132)/100000000</f>
        <v>6.3218376000000003</v>
      </c>
      <c r="D132" s="118" t="s">
        <v>196</v>
      </c>
      <c r="E132" s="37">
        <v>15</v>
      </c>
      <c r="F132" s="37">
        <v>1</v>
      </c>
      <c r="G132" s="120">
        <v>1195</v>
      </c>
      <c r="H132" s="121">
        <f t="shared" ref="H132:H133" si="273">+N132</f>
        <v>0.22000000000000008</v>
      </c>
      <c r="I132" s="45">
        <v>0.88</v>
      </c>
      <c r="J132" s="46">
        <f t="shared" ref="J132:J133" si="274">E132*G132*(1-H132)*1440/1000000*2.74</f>
        <v>55.165406399999995</v>
      </c>
      <c r="K132" s="46">
        <f>(IF(G132&lt;L132,L132,G132)*(1-IF(H132&lt;N132,H132,N132))*E132*O132*Q132)/100000000</f>
        <v>6.5125826999999985</v>
      </c>
      <c r="L132" s="122">
        <v>1160</v>
      </c>
      <c r="M132" s="122">
        <v>904.8</v>
      </c>
      <c r="N132" s="47">
        <f t="shared" ref="N132:N133" si="275">1-(M132/L132)</f>
        <v>0.22000000000000008</v>
      </c>
      <c r="O132" s="48">
        <f>+'[4]Trim Rwd'!H80</f>
        <v>274</v>
      </c>
      <c r="P132" s="49">
        <f t="shared" ref="P132:P133" si="276">O132*(Q132-R132-S132)</f>
        <v>43840</v>
      </c>
      <c r="Q132" s="48">
        <v>170</v>
      </c>
      <c r="R132" s="123">
        <v>0</v>
      </c>
      <c r="S132" s="123">
        <v>10</v>
      </c>
      <c r="T132" s="50">
        <f t="shared" ref="T132:T133" si="277">E132*M132*O132*Q132/100000000</f>
        <v>6.3218376000000003</v>
      </c>
      <c r="U132" s="50">
        <f t="shared" ref="U132:U133" si="278">E132*M132*O132*(Q132-R132-S132)/100000000</f>
        <v>5.9499648000000001</v>
      </c>
      <c r="V132" s="50">
        <f t="shared" ref="V132:V133" si="279">E132*G132*(1-N132)*O132/100*(R132+S132)/1000000</f>
        <v>0.38309309999999996</v>
      </c>
      <c r="W132" s="50">
        <f>+'[4]25'!K9/1000</f>
        <v>9.9550000000000001</v>
      </c>
      <c r="X132" s="51">
        <f>SUM(W132:W135)/SUM(K132:K135)</f>
        <v>0.9398039942086065</v>
      </c>
      <c r="Y132" s="52">
        <f>+SUM([4]RBP!AG123:AG124)</f>
        <v>0</v>
      </c>
      <c r="Z132" s="50">
        <v>0</v>
      </c>
      <c r="AA132" s="53">
        <f>SUM(U132:U135)-SUM(W132:W135)-SUM(Z132:Z135)-SUM(Y132:Y135)</f>
        <v>-1.1632074887795198</v>
      </c>
      <c r="AB132" s="53">
        <f>(SUM(K132:K135)-SUM(W132:W135)-SUM(Y132:Y135)-SUM(Z132:Z135)-SUM(AC132:AC135)-SUM(V132:V135))-AA132</f>
        <v>-8.1428237893702793E-2</v>
      </c>
      <c r="AC132" s="50">
        <f>K132-T132</f>
        <v>0.19074509999999822</v>
      </c>
      <c r="AD132" s="50">
        <f>+AM132+BA132</f>
        <v>0</v>
      </c>
      <c r="AE132" s="101" t="s">
        <v>110</v>
      </c>
      <c r="AF132" s="50">
        <v>0</v>
      </c>
      <c r="AG132" s="50"/>
      <c r="AH132" s="50"/>
      <c r="AI132" s="54"/>
      <c r="AJ132" s="50"/>
      <c r="AK132" s="50"/>
      <c r="AL132" s="50"/>
      <c r="AM132" s="50">
        <f>SUM(AF132:AL132)+AT132</f>
        <v>0</v>
      </c>
      <c r="AN132" s="50"/>
      <c r="AO132" s="50"/>
      <c r="AP132" s="50"/>
      <c r="AQ132" s="50"/>
      <c r="AR132" s="50">
        <f>SUM(AN132:AQ132)</f>
        <v>0</v>
      </c>
      <c r="AS132" s="50"/>
      <c r="AT132" s="50"/>
      <c r="AU132" s="50"/>
      <c r="AV132" s="50"/>
      <c r="AW132" s="50"/>
      <c r="AX132" s="50"/>
      <c r="AY132" s="50"/>
      <c r="AZ132" s="50"/>
      <c r="BA132" s="50">
        <f>+AR132+AS132+AU132+AV132+AX132</f>
        <v>0</v>
      </c>
      <c r="BB132" s="124">
        <v>0</v>
      </c>
      <c r="BC132" s="116"/>
      <c r="BD132" s="116"/>
      <c r="BE132" s="124"/>
      <c r="BF132" s="116"/>
    </row>
    <row r="133" spans="1:58" ht="12.95" customHeight="1" x14ac:dyDescent="0.2">
      <c r="A133" s="117"/>
      <c r="B133" s="118" t="s">
        <v>168</v>
      </c>
      <c r="C133" s="119">
        <f t="shared" si="272"/>
        <v>42.944332950000003</v>
      </c>
      <c r="D133" s="118" t="s">
        <v>196</v>
      </c>
      <c r="E133" s="37">
        <v>13.5</v>
      </c>
      <c r="F133" s="37">
        <v>1</v>
      </c>
      <c r="G133" s="120">
        <v>1250</v>
      </c>
      <c r="H133" s="121">
        <f t="shared" si="273"/>
        <v>0.17244094488188977</v>
      </c>
      <c r="I133" s="45">
        <v>0.88</v>
      </c>
      <c r="J133" s="46">
        <f t="shared" si="274"/>
        <v>55.100537007874017</v>
      </c>
      <c r="K133" s="46">
        <f>(IF(G133&lt;L133,L133,G133)*(1-IF(H133&lt;N133,H133,N133))*E133*O133*Q133)/100000000</f>
        <v>45.491878124999992</v>
      </c>
      <c r="L133" s="122">
        <v>1180</v>
      </c>
      <c r="M133" s="122">
        <v>976.51968503937007</v>
      </c>
      <c r="N133" s="47">
        <f t="shared" si="275"/>
        <v>0.17244094488188977</v>
      </c>
      <c r="O133" s="48">
        <f>+'[4]Trim Rwd'!H81</f>
        <v>256.5</v>
      </c>
      <c r="P133" s="49">
        <f t="shared" si="276"/>
        <v>316777.5</v>
      </c>
      <c r="Q133" s="48">
        <v>1270</v>
      </c>
      <c r="R133" s="123">
        <v>0</v>
      </c>
      <c r="S133" s="123">
        <v>35</v>
      </c>
      <c r="T133" s="50">
        <f t="shared" si="277"/>
        <v>42.944332950000003</v>
      </c>
      <c r="U133" s="50">
        <f t="shared" si="278"/>
        <v>41.760827711220472</v>
      </c>
      <c r="V133" s="50">
        <f t="shared" si="279"/>
        <v>1.2537131766732283</v>
      </c>
      <c r="W133" s="50">
        <f>+'[4]25'!K7/1000</f>
        <v>38.918999999999997</v>
      </c>
      <c r="X133" s="55"/>
      <c r="Y133" s="52"/>
      <c r="Z133" s="50">
        <v>0</v>
      </c>
      <c r="AA133" s="50"/>
      <c r="AB133" s="50"/>
      <c r="AC133" s="50">
        <f>K133-T133</f>
        <v>2.5475451749999891</v>
      </c>
      <c r="AD133" s="50">
        <f t="shared" ref="AD133:AD135" si="280">+AM133+BA133</f>
        <v>11</v>
      </c>
      <c r="AE133" s="101" t="s">
        <v>117</v>
      </c>
      <c r="AF133" s="50"/>
      <c r="AG133" s="50">
        <v>11</v>
      </c>
      <c r="AH133" s="50"/>
      <c r="AI133" s="54"/>
      <c r="AJ133" s="50"/>
      <c r="AK133" s="50"/>
      <c r="AL133" s="50"/>
      <c r="AM133" s="50">
        <f t="shared" ref="AM133:AM135" si="281">SUM(AF133:AL133)+AT133</f>
        <v>11</v>
      </c>
      <c r="AN133" s="125"/>
      <c r="AO133" s="50"/>
      <c r="AP133" s="50"/>
      <c r="AQ133" s="50"/>
      <c r="AR133" s="50">
        <f t="shared" ref="AR133:AR135" si="282">SUM(AN133:AQ133)</f>
        <v>0</v>
      </c>
      <c r="AS133" s="50"/>
      <c r="AT133" s="50"/>
      <c r="AU133" s="50"/>
      <c r="AV133" s="50"/>
      <c r="AW133" s="50"/>
      <c r="AX133" s="50"/>
      <c r="AY133" s="50"/>
      <c r="AZ133" s="50"/>
      <c r="BA133" s="50">
        <f t="shared" ref="BA133:BA135" si="283">+AR133+AS133+AU133+AV133+AX133</f>
        <v>0</v>
      </c>
      <c r="BB133" s="126"/>
      <c r="BC133" s="116">
        <v>9</v>
      </c>
      <c r="BD133" s="116"/>
      <c r="BE133" s="126"/>
      <c r="BF133" s="116"/>
    </row>
    <row r="134" spans="1:58" ht="12.95" customHeight="1" x14ac:dyDescent="0.2">
      <c r="A134" s="117"/>
      <c r="B134" s="118"/>
      <c r="C134" s="119"/>
      <c r="D134" s="118"/>
      <c r="E134" s="37"/>
      <c r="F134" s="37"/>
      <c r="G134" s="127"/>
      <c r="H134" s="121"/>
      <c r="I134" s="45"/>
      <c r="J134" s="46"/>
      <c r="K134" s="46"/>
      <c r="L134" s="122"/>
      <c r="M134" s="122"/>
      <c r="N134" s="47"/>
      <c r="O134" s="48"/>
      <c r="P134" s="49"/>
      <c r="Q134" s="48"/>
      <c r="R134" s="123"/>
      <c r="S134" s="123"/>
      <c r="T134" s="50"/>
      <c r="U134" s="50"/>
      <c r="V134" s="50"/>
      <c r="W134" s="50"/>
      <c r="X134" s="55"/>
      <c r="Y134" s="52"/>
      <c r="Z134" s="50"/>
      <c r="AA134" s="50"/>
      <c r="AB134" s="50"/>
      <c r="AC134" s="50"/>
      <c r="AD134" s="50">
        <f t="shared" si="280"/>
        <v>24</v>
      </c>
      <c r="AE134" s="101" t="s">
        <v>114</v>
      </c>
      <c r="AF134" s="124"/>
      <c r="AG134" s="124"/>
      <c r="AH134" s="124">
        <v>24</v>
      </c>
      <c r="AJ134" s="50"/>
      <c r="AK134" s="50"/>
      <c r="AL134" s="50"/>
      <c r="AM134" s="50">
        <f t="shared" si="281"/>
        <v>24</v>
      </c>
      <c r="AN134" s="50"/>
      <c r="AO134" s="50"/>
      <c r="AP134" s="50"/>
      <c r="AQ134" s="50"/>
      <c r="AR134" s="50">
        <f t="shared" si="282"/>
        <v>0</v>
      </c>
      <c r="AS134" s="50"/>
      <c r="AT134" s="50"/>
      <c r="AU134" s="50"/>
      <c r="AV134" s="50"/>
      <c r="AW134" s="50"/>
      <c r="AX134" s="50"/>
      <c r="AY134" s="50"/>
      <c r="AZ134" s="50"/>
      <c r="BA134" s="50">
        <f t="shared" si="283"/>
        <v>0</v>
      </c>
      <c r="BB134" s="124"/>
      <c r="BC134" s="146"/>
      <c r="BD134" s="146"/>
      <c r="BE134" s="124"/>
      <c r="BF134" s="146"/>
    </row>
    <row r="135" spans="1:58" ht="12.95" customHeight="1" x14ac:dyDescent="0.2">
      <c r="A135" s="117"/>
      <c r="B135" s="118"/>
      <c r="C135" s="119"/>
      <c r="D135" s="118"/>
      <c r="E135" s="37"/>
      <c r="F135" s="37"/>
      <c r="G135" s="127"/>
      <c r="H135" s="121"/>
      <c r="I135" s="45"/>
      <c r="J135" s="46"/>
      <c r="K135" s="46"/>
      <c r="L135" s="122"/>
      <c r="M135" s="122"/>
      <c r="N135" s="47"/>
      <c r="O135" s="48"/>
      <c r="P135" s="49"/>
      <c r="Q135" s="56"/>
      <c r="R135" s="123"/>
      <c r="S135" s="123"/>
      <c r="T135" s="50"/>
      <c r="U135" s="50"/>
      <c r="V135" s="50"/>
      <c r="W135" s="50"/>
      <c r="X135" s="55"/>
      <c r="Y135" s="52"/>
      <c r="Z135" s="50"/>
      <c r="AA135" s="50"/>
      <c r="AB135" s="50"/>
      <c r="AC135" s="50"/>
      <c r="AD135" s="50">
        <f t="shared" si="280"/>
        <v>10</v>
      </c>
      <c r="AE135" s="148" t="s">
        <v>162</v>
      </c>
      <c r="AF135" s="50"/>
      <c r="AG135" s="50"/>
      <c r="AH135" s="50"/>
      <c r="AI135" s="54">
        <v>10</v>
      </c>
      <c r="AJ135" s="50"/>
      <c r="AK135" s="50"/>
      <c r="AL135" s="50"/>
      <c r="AM135" s="50">
        <f t="shared" si="281"/>
        <v>10</v>
      </c>
      <c r="AN135" s="50"/>
      <c r="AO135" s="50"/>
      <c r="AP135" s="50"/>
      <c r="AQ135" s="50"/>
      <c r="AR135" s="50">
        <f t="shared" si="282"/>
        <v>0</v>
      </c>
      <c r="AS135" s="50"/>
      <c r="AT135" s="50"/>
      <c r="AU135" s="50"/>
      <c r="AV135" s="50"/>
      <c r="AW135" s="50"/>
      <c r="AX135" s="50"/>
      <c r="AY135" s="50"/>
      <c r="AZ135" s="50"/>
      <c r="BA135" s="50">
        <f t="shared" si="283"/>
        <v>0</v>
      </c>
      <c r="BB135" s="126"/>
      <c r="BC135" s="116"/>
      <c r="BD135" s="116"/>
      <c r="BE135" s="126"/>
      <c r="BF135" s="116"/>
    </row>
    <row r="136" spans="1:58" ht="12.95" customHeight="1" x14ac:dyDescent="0.2">
      <c r="A136" s="117"/>
      <c r="B136" s="118"/>
      <c r="C136" s="119"/>
      <c r="D136" s="118"/>
      <c r="E136" s="37"/>
      <c r="F136" s="37"/>
      <c r="G136" s="120"/>
      <c r="H136" s="121"/>
      <c r="I136" s="45"/>
      <c r="J136" s="46"/>
      <c r="K136" s="46"/>
      <c r="L136" s="122"/>
      <c r="M136" s="122"/>
      <c r="N136" s="47"/>
      <c r="O136" s="48"/>
      <c r="P136" s="49"/>
      <c r="Q136" s="48"/>
      <c r="R136" s="123"/>
      <c r="S136" s="123"/>
      <c r="T136" s="50"/>
      <c r="U136" s="50"/>
      <c r="V136" s="50"/>
      <c r="W136" s="50"/>
      <c r="X136" s="51"/>
      <c r="Y136" s="52"/>
      <c r="Z136" s="50"/>
      <c r="AA136" s="53"/>
      <c r="AB136" s="53"/>
      <c r="AC136" s="50"/>
      <c r="AD136" s="50"/>
      <c r="AE136" s="101"/>
      <c r="AF136" s="50"/>
      <c r="AG136" s="50"/>
      <c r="AH136" s="50"/>
      <c r="AI136" s="54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124"/>
      <c r="BC136" s="116"/>
      <c r="BD136" s="116"/>
      <c r="BE136" s="116"/>
      <c r="BF136" s="116"/>
    </row>
    <row r="137" spans="1:58" ht="12.95" customHeight="1" x14ac:dyDescent="0.2">
      <c r="A137" s="117">
        <v>45987</v>
      </c>
      <c r="B137" s="118" t="s">
        <v>168</v>
      </c>
      <c r="C137" s="119">
        <f t="shared" ref="C137" si="284">(M137*E137*O137*Q137)/100000000</f>
        <v>48.974365800000001</v>
      </c>
      <c r="D137" s="118" t="s">
        <v>196</v>
      </c>
      <c r="E137" s="37">
        <v>13.5</v>
      </c>
      <c r="F137" s="37">
        <v>1</v>
      </c>
      <c r="G137" s="120">
        <v>1245</v>
      </c>
      <c r="H137" s="121">
        <f t="shared" ref="H137" si="285">+N137</f>
        <v>0.16999999999999993</v>
      </c>
      <c r="I137" s="45">
        <v>0.88</v>
      </c>
      <c r="J137" s="46">
        <f t="shared" ref="J137" si="286">E137*G137*(1-H137)*1440/1000000*2.74</f>
        <v>55.042007760000004</v>
      </c>
      <c r="K137" s="46">
        <f>(IF(G137&lt;L137,L137,G137)*(1-IF(H137&lt;N137,H137,N137))*E137*O137*Q137)/100000000</f>
        <v>51.52655106000001</v>
      </c>
      <c r="L137" s="122">
        <v>1183.3333333333333</v>
      </c>
      <c r="M137" s="122">
        <v>982.16666666666663</v>
      </c>
      <c r="N137" s="47">
        <f t="shared" ref="N137" si="287">1-(M137/L137)</f>
        <v>0.16999999999999993</v>
      </c>
      <c r="O137" s="48">
        <f>+'[4]Trim Rwd'!H83</f>
        <v>256.5</v>
      </c>
      <c r="P137" s="49">
        <f t="shared" ref="P137" si="288">O137*(Q137-R137-S137)</f>
        <v>361152</v>
      </c>
      <c r="Q137" s="48">
        <v>1440</v>
      </c>
      <c r="R137" s="123">
        <v>0</v>
      </c>
      <c r="S137" s="123">
        <v>32</v>
      </c>
      <c r="T137" s="50">
        <f t="shared" ref="T137" si="289">E137*M137*O137*Q137/100000000</f>
        <v>48.974365800000001</v>
      </c>
      <c r="U137" s="50">
        <f t="shared" ref="U137" si="290">E137*M137*O137*(Q137-R137-S137)/100000000</f>
        <v>47.886046559999997</v>
      </c>
      <c r="V137" s="50">
        <f t="shared" ref="V137" si="291">E137*G137*(1-N137)*O137/100*(R137+S137)/1000000</f>
        <v>1.145034468</v>
      </c>
      <c r="W137" s="50">
        <f>+'[4]26'!K7/1000</f>
        <v>48.337000000000003</v>
      </c>
      <c r="X137" s="51">
        <f>SUM(W137:W140)/SUM(K137:K140)</f>
        <v>0.93809888311201073</v>
      </c>
      <c r="Y137" s="52">
        <v>0</v>
      </c>
      <c r="Z137" s="50">
        <v>0</v>
      </c>
      <c r="AA137" s="53">
        <f>SUM(U137:U140)-SUM(W137:W140)-SUM(Z137:Z140)-SUM(Y137:Y140)</f>
        <v>-0.45095344000000637</v>
      </c>
      <c r="AB137" s="53">
        <f>(SUM(K137:K140)-SUM(W137:W140)-SUM(Y137:Y140)-SUM(Z137:Z140)-SUM(AC137:AC140)-SUM(V137:V140))-AA137</f>
        <v>-5.6715227999995843E-2</v>
      </c>
      <c r="AC137" s="50">
        <f>K137-T137</f>
        <v>2.5521852600000088</v>
      </c>
      <c r="AD137" s="50">
        <f>+AM137+BA137</f>
        <v>0</v>
      </c>
      <c r="AE137" s="101" t="s">
        <v>110</v>
      </c>
      <c r="AF137" s="50">
        <v>0</v>
      </c>
      <c r="AG137" s="50"/>
      <c r="AH137" s="50"/>
      <c r="AI137" s="54"/>
      <c r="AJ137" s="50"/>
      <c r="AK137" s="50"/>
      <c r="AL137" s="50"/>
      <c r="AM137" s="50">
        <f>SUM(AF137:AL137)+AT137</f>
        <v>0</v>
      </c>
      <c r="AN137" s="50"/>
      <c r="AO137" s="50"/>
      <c r="AP137" s="50"/>
      <c r="AQ137" s="50"/>
      <c r="AR137" s="50">
        <f>SUM(AN137:AQ137)</f>
        <v>0</v>
      </c>
      <c r="AS137" s="50"/>
      <c r="AT137" s="50"/>
      <c r="AU137" s="50"/>
      <c r="AV137" s="50"/>
      <c r="AW137" s="50"/>
      <c r="AX137" s="50"/>
      <c r="AY137" s="50"/>
      <c r="AZ137" s="50"/>
      <c r="BA137" s="50">
        <f>+AR137+AS137+AU137+AV137+AX137</f>
        <v>0</v>
      </c>
      <c r="BB137" s="124">
        <v>0</v>
      </c>
      <c r="BC137" s="116"/>
      <c r="BD137" s="116"/>
      <c r="BE137" s="124"/>
      <c r="BF137" s="116"/>
    </row>
    <row r="138" spans="1:58" ht="12.95" customHeight="1" x14ac:dyDescent="0.2">
      <c r="A138" s="117"/>
      <c r="B138" s="118"/>
      <c r="C138" s="119"/>
      <c r="D138" s="118"/>
      <c r="E138" s="37"/>
      <c r="F138" s="37"/>
      <c r="G138" s="127"/>
      <c r="H138" s="121"/>
      <c r="I138" s="45"/>
      <c r="J138" s="46"/>
      <c r="K138" s="46"/>
      <c r="L138" s="122"/>
      <c r="M138" s="122"/>
      <c r="N138" s="47"/>
      <c r="O138" s="48"/>
      <c r="P138" s="49"/>
      <c r="Q138" s="48"/>
      <c r="R138" s="123"/>
      <c r="S138" s="123"/>
      <c r="T138" s="50"/>
      <c r="U138" s="50"/>
      <c r="V138" s="50"/>
      <c r="W138" s="50"/>
      <c r="X138" s="55"/>
      <c r="Y138" s="52"/>
      <c r="Z138" s="50">
        <f>+'[4]21'!D43/1000</f>
        <v>0</v>
      </c>
      <c r="AA138" s="50"/>
      <c r="AB138" s="50"/>
      <c r="AC138" s="50">
        <f>K138-T138</f>
        <v>0</v>
      </c>
      <c r="AD138" s="50">
        <f t="shared" ref="AD138:AD140" si="292">+AM138+BA138</f>
        <v>8</v>
      </c>
      <c r="AE138" s="101" t="s">
        <v>129</v>
      </c>
      <c r="AF138" s="50"/>
      <c r="AG138" s="50">
        <v>8</v>
      </c>
      <c r="AH138" s="50"/>
      <c r="AI138" s="54"/>
      <c r="AJ138" s="50"/>
      <c r="AK138" s="50"/>
      <c r="AL138" s="50"/>
      <c r="AM138" s="50">
        <f t="shared" ref="AM138:AM140" si="293">SUM(AF138:AL138)+AT138</f>
        <v>8</v>
      </c>
      <c r="AN138" s="125"/>
      <c r="AO138" s="50"/>
      <c r="AP138" s="50"/>
      <c r="AQ138" s="50"/>
      <c r="AR138" s="50">
        <f t="shared" ref="AR138:AR140" si="294">SUM(AN138:AQ138)</f>
        <v>0</v>
      </c>
      <c r="AS138" s="50"/>
      <c r="AT138" s="50"/>
      <c r="AU138" s="50"/>
      <c r="AV138" s="50"/>
      <c r="AW138" s="50"/>
      <c r="AX138" s="50"/>
      <c r="AY138" s="50"/>
      <c r="AZ138" s="50"/>
      <c r="BA138" s="50">
        <f t="shared" ref="BA138:BA140" si="295">+AR138+AS138+AU138+AV138+AX138</f>
        <v>0</v>
      </c>
      <c r="BB138" s="126"/>
      <c r="BC138" s="116">
        <v>8</v>
      </c>
      <c r="BD138" s="116"/>
      <c r="BE138" s="126"/>
      <c r="BF138" s="116"/>
    </row>
    <row r="139" spans="1:58" ht="12.95" customHeight="1" x14ac:dyDescent="0.2">
      <c r="A139" s="117"/>
      <c r="B139" s="118"/>
      <c r="C139" s="119"/>
      <c r="D139" s="118"/>
      <c r="E139" s="37"/>
      <c r="F139" s="37"/>
      <c r="G139" s="127"/>
      <c r="H139" s="121"/>
      <c r="I139" s="45"/>
      <c r="J139" s="46"/>
      <c r="K139" s="46"/>
      <c r="L139" s="122"/>
      <c r="M139" s="122"/>
      <c r="N139" s="47"/>
      <c r="O139" s="48"/>
      <c r="P139" s="49"/>
      <c r="Q139" s="48"/>
      <c r="R139" s="123"/>
      <c r="S139" s="123"/>
      <c r="T139" s="50"/>
      <c r="U139" s="50"/>
      <c r="V139" s="50"/>
      <c r="W139" s="50"/>
      <c r="X139" s="55"/>
      <c r="Y139" s="52"/>
      <c r="Z139" s="50"/>
      <c r="AA139" s="50"/>
      <c r="AB139" s="50"/>
      <c r="AC139" s="50"/>
      <c r="AD139" s="50">
        <f t="shared" si="292"/>
        <v>14</v>
      </c>
      <c r="AE139" s="101" t="s">
        <v>118</v>
      </c>
      <c r="AF139" s="124"/>
      <c r="AG139" s="124"/>
      <c r="AH139" s="124">
        <v>14</v>
      </c>
      <c r="AJ139" s="50"/>
      <c r="AK139" s="50"/>
      <c r="AL139" s="50"/>
      <c r="AM139" s="50">
        <f t="shared" si="293"/>
        <v>14</v>
      </c>
      <c r="AN139" s="50"/>
      <c r="AO139" s="50"/>
      <c r="AP139" s="50"/>
      <c r="AQ139" s="50"/>
      <c r="AR139" s="50">
        <f t="shared" si="294"/>
        <v>0</v>
      </c>
      <c r="AS139" s="50"/>
      <c r="AT139" s="50"/>
      <c r="AU139" s="50"/>
      <c r="AV139" s="50"/>
      <c r="AW139" s="50"/>
      <c r="AX139" s="50"/>
      <c r="AY139" s="50"/>
      <c r="AZ139" s="50"/>
      <c r="BA139" s="50">
        <f t="shared" si="295"/>
        <v>0</v>
      </c>
      <c r="BB139" s="124"/>
      <c r="BC139" s="146"/>
      <c r="BD139" s="146"/>
      <c r="BE139" s="124"/>
      <c r="BF139" s="146"/>
    </row>
    <row r="140" spans="1:58" ht="12.95" customHeight="1" x14ac:dyDescent="0.2">
      <c r="A140" s="117"/>
      <c r="B140" s="118"/>
      <c r="C140" s="119"/>
      <c r="D140" s="118"/>
      <c r="E140" s="37"/>
      <c r="F140" s="37"/>
      <c r="G140" s="127"/>
      <c r="H140" s="121"/>
      <c r="I140" s="45"/>
      <c r="J140" s="46"/>
      <c r="K140" s="46"/>
      <c r="L140" s="122"/>
      <c r="M140" s="122"/>
      <c r="N140" s="47"/>
      <c r="O140" s="48"/>
      <c r="P140" s="49"/>
      <c r="Q140" s="56"/>
      <c r="R140" s="123"/>
      <c r="S140" s="123"/>
      <c r="T140" s="50"/>
      <c r="U140" s="50"/>
      <c r="V140" s="50"/>
      <c r="W140" s="50"/>
      <c r="X140" s="55"/>
      <c r="Y140" s="52"/>
      <c r="Z140" s="50"/>
      <c r="AA140" s="50"/>
      <c r="AB140" s="50"/>
      <c r="AC140" s="50"/>
      <c r="AD140" s="50">
        <f t="shared" si="292"/>
        <v>10</v>
      </c>
      <c r="AE140" s="148" t="s">
        <v>162</v>
      </c>
      <c r="AF140" s="50"/>
      <c r="AG140" s="50"/>
      <c r="AH140" s="50"/>
      <c r="AI140" s="54">
        <v>10</v>
      </c>
      <c r="AJ140" s="50"/>
      <c r="AK140" s="50"/>
      <c r="AL140" s="50"/>
      <c r="AM140" s="50">
        <f t="shared" si="293"/>
        <v>10</v>
      </c>
      <c r="AN140" s="50"/>
      <c r="AO140" s="50"/>
      <c r="AP140" s="50"/>
      <c r="AQ140" s="50"/>
      <c r="AR140" s="50">
        <f t="shared" si="294"/>
        <v>0</v>
      </c>
      <c r="AS140" s="50"/>
      <c r="AT140" s="50"/>
      <c r="AU140" s="50"/>
      <c r="AV140" s="50"/>
      <c r="AW140" s="50"/>
      <c r="AX140" s="50"/>
      <c r="AY140" s="50"/>
      <c r="AZ140" s="50"/>
      <c r="BA140" s="50">
        <f t="shared" si="295"/>
        <v>0</v>
      </c>
      <c r="BB140" s="126"/>
      <c r="BC140" s="116"/>
      <c r="BD140" s="116"/>
      <c r="BE140" s="126"/>
      <c r="BF140" s="116"/>
    </row>
    <row r="141" spans="1:58" ht="12.95" customHeight="1" x14ac:dyDescent="0.2">
      <c r="A141" s="117"/>
      <c r="B141" s="118"/>
      <c r="C141" s="119"/>
      <c r="D141" s="118"/>
      <c r="E141" s="37"/>
      <c r="F141" s="37"/>
      <c r="G141" s="120"/>
      <c r="H141" s="121"/>
      <c r="I141" s="45"/>
      <c r="J141" s="46"/>
      <c r="K141" s="46"/>
      <c r="L141" s="122"/>
      <c r="M141" s="122"/>
      <c r="N141" s="47"/>
      <c r="O141" s="48"/>
      <c r="P141" s="49"/>
      <c r="Q141" s="48"/>
      <c r="R141" s="123"/>
      <c r="S141" s="123"/>
      <c r="T141" s="50"/>
      <c r="U141" s="50"/>
      <c r="V141" s="50"/>
      <c r="W141" s="50"/>
      <c r="X141" s="51"/>
      <c r="Y141" s="52"/>
      <c r="Z141" s="50"/>
      <c r="AA141" s="53"/>
      <c r="AB141" s="53"/>
      <c r="AC141" s="50"/>
      <c r="AD141" s="50"/>
      <c r="AE141" s="101"/>
      <c r="AF141" s="50"/>
      <c r="AG141" s="50"/>
      <c r="AH141" s="50"/>
      <c r="AI141" s="54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124"/>
      <c r="BC141" s="116"/>
      <c r="BD141" s="116"/>
      <c r="BE141" s="116"/>
      <c r="BF141" s="116"/>
    </row>
    <row r="142" spans="1:58" ht="12.95" customHeight="1" x14ac:dyDescent="0.2">
      <c r="A142" s="117">
        <v>45988</v>
      </c>
      <c r="B142" s="118" t="s">
        <v>168</v>
      </c>
      <c r="C142" s="119">
        <f t="shared" ref="C142" si="296">(M142*E142*O142*Q142)/100000000</f>
        <v>50.878602849767447</v>
      </c>
      <c r="D142" s="118" t="s">
        <v>196</v>
      </c>
      <c r="E142" s="37">
        <v>13.5</v>
      </c>
      <c r="F142" s="37">
        <v>1</v>
      </c>
      <c r="G142" s="120">
        <v>1305</v>
      </c>
      <c r="H142" s="121">
        <f t="shared" ref="H142" si="297">+N142</f>
        <v>0.20775603309945567</v>
      </c>
      <c r="I142" s="45">
        <v>0.88</v>
      </c>
      <c r="J142" s="46">
        <f t="shared" ref="J142" si="298">E142*G142*(1-H142)*1440/1000000*2.74</f>
        <v>55.070152067555611</v>
      </c>
      <c r="K142" s="46">
        <f>(IF(G142&lt;L142,L142,G142)*(1-IF(H142&lt;N142,H142,N142))*E142*O142*Q142)/100000000</f>
        <v>53.897733988258501</v>
      </c>
      <c r="L142" s="122">
        <v>1231.8992248062016</v>
      </c>
      <c r="M142" s="122">
        <v>975.96472868217052</v>
      </c>
      <c r="N142" s="47">
        <f t="shared" ref="N142" si="299">1-(M142/L142)</f>
        <v>0.20775603309945567</v>
      </c>
      <c r="O142" s="48">
        <f>+'[4]Trim Rwd'!H85</f>
        <v>268.16666666666669</v>
      </c>
      <c r="P142" s="49">
        <f t="shared" ref="P142" si="300">O142*(Q142-R142-S142)</f>
        <v>335744.66666666669</v>
      </c>
      <c r="Q142" s="48">
        <v>1440</v>
      </c>
      <c r="R142" s="123">
        <v>150</v>
      </c>
      <c r="S142" s="123">
        <v>38</v>
      </c>
      <c r="T142" s="50">
        <f t="shared" ref="T142" si="301">E142*M142*O142*Q142/100000000</f>
        <v>50.878602849767447</v>
      </c>
      <c r="U142" s="50">
        <f t="shared" ref="U142" si="302">E142*M142*O142*(Q142-R142-S142)/100000000</f>
        <v>44.23611858882559</v>
      </c>
      <c r="V142" s="50">
        <f t="shared" ref="V142" si="303">E142*G142*(1-N142)*O142/100*(R142+S142)/1000000</f>
        <v>7.0366486040226377</v>
      </c>
      <c r="W142" s="50">
        <f>+'[4]27'!K7/1000</f>
        <v>40.588000000000001</v>
      </c>
      <c r="X142" s="51">
        <f>SUM(W142:W145)/SUM(K142:K145)</f>
        <v>0.75305577798209489</v>
      </c>
      <c r="Y142" s="52">
        <f>+SUM([4]RBP!AG8:AG9)</f>
        <v>0</v>
      </c>
      <c r="Z142" s="50">
        <v>0</v>
      </c>
      <c r="AA142" s="53">
        <f>SUM(U142:U145)-SUM(W142:W145)-SUM(Z142:Z145)-SUM(Y142:Y145)</f>
        <v>3.6481185888255894</v>
      </c>
      <c r="AB142" s="53">
        <f>(SUM(K142:K145)-SUM(W142:W145)-SUM(Y142:Y145)-SUM(Z142:Z145)-SUM(AC142:AC145)-SUM(V142:V145))-AA142</f>
        <v>-0.39416434308078152</v>
      </c>
      <c r="AC142" s="50">
        <f>K142-T142</f>
        <v>3.0191311384910549</v>
      </c>
      <c r="AD142" s="50">
        <f>+AM142+BA142</f>
        <v>0</v>
      </c>
      <c r="AE142" s="101" t="s">
        <v>110</v>
      </c>
      <c r="AF142" s="50">
        <v>0</v>
      </c>
      <c r="AG142" s="50"/>
      <c r="AH142" s="50"/>
      <c r="AI142" s="54"/>
      <c r="AJ142" s="50"/>
      <c r="AK142" s="50"/>
      <c r="AL142" s="50"/>
      <c r="AM142" s="50">
        <f>SUM(AF142:AL142)+AT142</f>
        <v>0</v>
      </c>
      <c r="AN142" s="50"/>
      <c r="AO142" s="50"/>
      <c r="AP142" s="50"/>
      <c r="AQ142" s="50"/>
      <c r="AR142" s="50">
        <f>SUM(AN142:AQ142)</f>
        <v>0</v>
      </c>
      <c r="AS142" s="50"/>
      <c r="AT142" s="50"/>
      <c r="AU142" s="50"/>
      <c r="AV142" s="50"/>
      <c r="AW142" s="50"/>
      <c r="AX142" s="50"/>
      <c r="AY142" s="50"/>
      <c r="AZ142" s="50"/>
      <c r="BA142" s="50">
        <f>+AR142+AS142+AU142+AV142+AX142</f>
        <v>0</v>
      </c>
      <c r="BB142" s="124">
        <v>0</v>
      </c>
      <c r="BC142" s="116"/>
      <c r="BD142" s="116"/>
      <c r="BE142" s="124"/>
      <c r="BF142" s="116"/>
    </row>
    <row r="143" spans="1:58" ht="12.95" customHeight="1" x14ac:dyDescent="0.2">
      <c r="A143" s="117"/>
      <c r="B143" s="118"/>
      <c r="C143" s="119"/>
      <c r="D143" s="118"/>
      <c r="E143" s="37"/>
      <c r="F143" s="37"/>
      <c r="G143" s="127"/>
      <c r="H143" s="121"/>
      <c r="I143" s="45"/>
      <c r="J143" s="46"/>
      <c r="K143" s="46"/>
      <c r="L143" s="122"/>
      <c r="M143" s="122"/>
      <c r="N143" s="47"/>
      <c r="O143" s="48"/>
      <c r="P143" s="49"/>
      <c r="Q143" s="48"/>
      <c r="R143" s="123"/>
      <c r="S143" s="123"/>
      <c r="T143" s="50"/>
      <c r="U143" s="50"/>
      <c r="V143" s="50"/>
      <c r="W143" s="50"/>
      <c r="X143" s="55"/>
      <c r="Y143" s="52"/>
      <c r="Z143" s="50">
        <f>+'[4]21'!D48/1000</f>
        <v>0</v>
      </c>
      <c r="AA143" s="50"/>
      <c r="AB143" s="50"/>
      <c r="AC143" s="50">
        <f>K143-T143</f>
        <v>0</v>
      </c>
      <c r="AD143" s="50">
        <f t="shared" ref="AD143:AD146" si="304">+AM143+BA143</f>
        <v>10</v>
      </c>
      <c r="AE143" s="101" t="s">
        <v>129</v>
      </c>
      <c r="AF143" s="50"/>
      <c r="AG143" s="50">
        <v>10</v>
      </c>
      <c r="AH143" s="50"/>
      <c r="AI143" s="54"/>
      <c r="AJ143" s="50"/>
      <c r="AK143" s="50"/>
      <c r="AL143" s="50"/>
      <c r="AM143" s="50">
        <f t="shared" ref="AM143:AM145" si="305">SUM(AF143:AL143)+AT143</f>
        <v>10</v>
      </c>
      <c r="AN143" s="125"/>
      <c r="AO143" s="50"/>
      <c r="AP143" s="50"/>
      <c r="AQ143" s="50"/>
      <c r="AR143" s="50">
        <f t="shared" ref="AR143:AR145" si="306">SUM(AN143:AQ143)</f>
        <v>0</v>
      </c>
      <c r="AS143" s="50"/>
      <c r="AT143" s="50"/>
      <c r="AU143" s="50"/>
      <c r="AV143" s="50"/>
      <c r="AW143" s="50"/>
      <c r="AX143" s="50"/>
      <c r="AY143" s="50"/>
      <c r="AZ143" s="50"/>
      <c r="BA143" s="50">
        <f t="shared" ref="BA143:BA146" si="307">+AR143+AS143+AU143+AV143+AX143</f>
        <v>0</v>
      </c>
      <c r="BB143" s="126"/>
      <c r="BC143" s="116">
        <v>8</v>
      </c>
      <c r="BD143" s="116"/>
      <c r="BE143" s="126"/>
      <c r="BF143" s="116"/>
    </row>
    <row r="144" spans="1:58" ht="12.95" customHeight="1" x14ac:dyDescent="0.2">
      <c r="A144" s="117"/>
      <c r="B144" s="118"/>
      <c r="C144" s="119"/>
      <c r="D144" s="118"/>
      <c r="E144" s="37"/>
      <c r="F144" s="37"/>
      <c r="G144" s="127"/>
      <c r="H144" s="121"/>
      <c r="I144" s="45"/>
      <c r="J144" s="46"/>
      <c r="K144" s="46"/>
      <c r="L144" s="122"/>
      <c r="M144" s="122"/>
      <c r="N144" s="47"/>
      <c r="O144" s="48"/>
      <c r="P144" s="49"/>
      <c r="Q144" s="48"/>
      <c r="R144" s="123"/>
      <c r="S144" s="123"/>
      <c r="T144" s="50"/>
      <c r="U144" s="50"/>
      <c r="V144" s="50"/>
      <c r="W144" s="50"/>
      <c r="X144" s="55"/>
      <c r="Y144" s="52"/>
      <c r="Z144" s="50"/>
      <c r="AA144" s="50"/>
      <c r="AB144" s="50"/>
      <c r="AC144" s="50"/>
      <c r="AD144" s="50">
        <f t="shared" si="304"/>
        <v>20</v>
      </c>
      <c r="AE144" s="101" t="s">
        <v>112</v>
      </c>
      <c r="AF144" s="124"/>
      <c r="AG144" s="124"/>
      <c r="AH144" s="124">
        <v>20</v>
      </c>
      <c r="AJ144" s="50"/>
      <c r="AK144" s="50"/>
      <c r="AL144" s="50"/>
      <c r="AM144" s="50">
        <f t="shared" si="305"/>
        <v>20</v>
      </c>
      <c r="AN144" s="50"/>
      <c r="AO144" s="50"/>
      <c r="AP144" s="50"/>
      <c r="AQ144" s="50"/>
      <c r="AR144" s="50">
        <f t="shared" si="306"/>
        <v>0</v>
      </c>
      <c r="AS144" s="50"/>
      <c r="AT144" s="50"/>
      <c r="AU144" s="50"/>
      <c r="AV144" s="50"/>
      <c r="AW144" s="50"/>
      <c r="AX144" s="50"/>
      <c r="AY144" s="50"/>
      <c r="AZ144" s="50"/>
      <c r="BA144" s="50">
        <f t="shared" si="307"/>
        <v>0</v>
      </c>
      <c r="BB144" s="124"/>
      <c r="BC144" s="146"/>
      <c r="BD144" s="146"/>
      <c r="BE144" s="124"/>
      <c r="BF144" s="146"/>
    </row>
    <row r="145" spans="1:58" ht="12.95" customHeight="1" x14ac:dyDescent="0.2">
      <c r="A145" s="117"/>
      <c r="B145" s="118"/>
      <c r="C145" s="119"/>
      <c r="D145" s="118"/>
      <c r="E145" s="37"/>
      <c r="F145" s="37"/>
      <c r="G145" s="127"/>
      <c r="H145" s="121"/>
      <c r="I145" s="45"/>
      <c r="J145" s="46"/>
      <c r="K145" s="46"/>
      <c r="L145" s="122"/>
      <c r="M145" s="122"/>
      <c r="N145" s="47"/>
      <c r="O145" s="48"/>
      <c r="P145" s="49"/>
      <c r="Q145" s="56"/>
      <c r="R145" s="123"/>
      <c r="S145" s="123"/>
      <c r="T145" s="50"/>
      <c r="U145" s="50"/>
      <c r="V145" s="50"/>
      <c r="W145" s="50"/>
      <c r="X145" s="55"/>
      <c r="Y145" s="52"/>
      <c r="Z145" s="50"/>
      <c r="AA145" s="50"/>
      <c r="AB145" s="50"/>
      <c r="AC145" s="50"/>
      <c r="AD145" s="50">
        <f t="shared" si="304"/>
        <v>8</v>
      </c>
      <c r="AE145" s="148" t="s">
        <v>162</v>
      </c>
      <c r="AF145" s="50"/>
      <c r="AG145" s="50"/>
      <c r="AH145" s="50"/>
      <c r="AI145" s="54">
        <v>8</v>
      </c>
      <c r="AJ145" s="50"/>
      <c r="AK145" s="50"/>
      <c r="AL145" s="50"/>
      <c r="AM145" s="50">
        <f t="shared" si="305"/>
        <v>8</v>
      </c>
      <c r="AN145" s="50"/>
      <c r="AO145" s="50"/>
      <c r="AP145" s="50"/>
      <c r="AQ145" s="50"/>
      <c r="AR145" s="50">
        <f t="shared" si="306"/>
        <v>0</v>
      </c>
      <c r="AS145" s="50"/>
      <c r="AT145" s="50"/>
      <c r="AU145" s="50"/>
      <c r="AV145" s="50"/>
      <c r="AW145" s="50"/>
      <c r="AX145" s="50"/>
      <c r="AY145" s="50"/>
      <c r="AZ145" s="50"/>
      <c r="BA145" s="50">
        <f t="shared" si="307"/>
        <v>0</v>
      </c>
      <c r="BB145" s="126"/>
      <c r="BC145" s="116"/>
      <c r="BD145" s="116"/>
      <c r="BE145" s="126"/>
      <c r="BF145" s="116"/>
    </row>
    <row r="146" spans="1:58" ht="12.95" customHeight="1" x14ac:dyDescent="0.2">
      <c r="A146" s="117"/>
      <c r="B146" s="118"/>
      <c r="C146" s="119"/>
      <c r="D146" s="118"/>
      <c r="E146" s="37"/>
      <c r="F146" s="37"/>
      <c r="G146" s="127"/>
      <c r="H146" s="121"/>
      <c r="I146" s="45"/>
      <c r="J146" s="46"/>
      <c r="K146" s="46"/>
      <c r="L146" s="122"/>
      <c r="M146" s="122"/>
      <c r="N146" s="47"/>
      <c r="O146" s="48"/>
      <c r="P146" s="49"/>
      <c r="Q146" s="56"/>
      <c r="R146" s="123"/>
      <c r="S146" s="123"/>
      <c r="T146" s="50"/>
      <c r="U146" s="50"/>
      <c r="V146" s="50"/>
      <c r="W146" s="50"/>
      <c r="X146" s="55"/>
      <c r="Y146" s="52"/>
      <c r="Z146" s="50"/>
      <c r="AA146" s="50"/>
      <c r="AB146" s="50"/>
      <c r="AC146" s="50"/>
      <c r="AD146" s="50">
        <f t="shared" si="304"/>
        <v>150</v>
      </c>
      <c r="AE146" s="148" t="s">
        <v>263</v>
      </c>
      <c r="AF146" s="50"/>
      <c r="AG146" s="50"/>
      <c r="AH146" s="50"/>
      <c r="AI146" s="54"/>
      <c r="AJ146" s="50"/>
      <c r="AK146" s="50"/>
      <c r="AL146" s="50"/>
      <c r="AM146" s="50">
        <f t="shared" ref="AM146" si="308">SUM(AF146:AL146)+AT146</f>
        <v>0</v>
      </c>
      <c r="AN146" s="50">
        <v>150</v>
      </c>
      <c r="AO146" s="50"/>
      <c r="AP146" s="50"/>
      <c r="AQ146" s="50"/>
      <c r="AR146" s="50">
        <f t="shared" ref="AR146" si="309">SUM(AN146:AQ146)</f>
        <v>150</v>
      </c>
      <c r="AS146" s="50"/>
      <c r="AT146" s="50"/>
      <c r="AU146" s="50"/>
      <c r="AV146" s="50"/>
      <c r="AW146" s="50"/>
      <c r="AX146" s="50"/>
      <c r="AY146" s="50"/>
      <c r="AZ146" s="50"/>
      <c r="BA146" s="50">
        <f t="shared" si="307"/>
        <v>150</v>
      </c>
      <c r="BB146" s="126"/>
      <c r="BC146" s="116"/>
      <c r="BD146" s="116"/>
      <c r="BE146" s="126"/>
      <c r="BF146" s="116"/>
    </row>
    <row r="147" spans="1:58" ht="12" customHeight="1" x14ac:dyDescent="0.2">
      <c r="A147" s="117"/>
      <c r="B147" s="118"/>
      <c r="C147" s="119"/>
      <c r="D147" s="118"/>
      <c r="E147" s="37"/>
      <c r="F147" s="37"/>
      <c r="G147" s="120"/>
      <c r="H147" s="121"/>
      <c r="I147" s="45"/>
      <c r="J147" s="46"/>
      <c r="K147" s="46"/>
      <c r="L147" s="122"/>
      <c r="M147" s="122"/>
      <c r="N147" s="47"/>
      <c r="O147" s="48"/>
      <c r="P147" s="49"/>
      <c r="Q147" s="48"/>
      <c r="R147" s="123"/>
      <c r="S147" s="123"/>
      <c r="T147" s="50"/>
      <c r="U147" s="50"/>
      <c r="V147" s="50"/>
      <c r="W147" s="50"/>
      <c r="X147" s="55"/>
      <c r="Y147" s="52"/>
      <c r="Z147" s="50"/>
      <c r="AA147" s="50"/>
      <c r="AB147" s="50"/>
      <c r="AC147" s="50"/>
      <c r="AD147" s="50"/>
      <c r="AE147" s="101"/>
      <c r="AF147" s="50"/>
      <c r="AG147" s="50"/>
      <c r="AH147" s="50"/>
      <c r="AI147" s="54"/>
      <c r="AJ147" s="50"/>
      <c r="AK147" s="50"/>
      <c r="AL147" s="50"/>
      <c r="AM147" s="50"/>
      <c r="AN147" s="125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126"/>
      <c r="BC147" s="116"/>
      <c r="BD147" s="116"/>
      <c r="BE147" s="116"/>
      <c r="BF147" s="116"/>
    </row>
    <row r="148" spans="1:58" ht="12.95" customHeight="1" x14ac:dyDescent="0.2">
      <c r="A148" s="117">
        <v>45989</v>
      </c>
      <c r="B148" s="118" t="s">
        <v>168</v>
      </c>
      <c r="C148" s="119">
        <f t="shared" ref="C148" si="310">(M148*E148*O148*Q148)/100000000</f>
        <v>52.764903359999998</v>
      </c>
      <c r="D148" s="118" t="s">
        <v>196</v>
      </c>
      <c r="E148" s="37">
        <v>13.5</v>
      </c>
      <c r="F148" s="37">
        <v>1</v>
      </c>
      <c r="G148" s="120">
        <v>1325</v>
      </c>
      <c r="H148" s="121">
        <f t="shared" ref="H148" si="311">+N148</f>
        <v>0.21999999999999997</v>
      </c>
      <c r="I148" s="45">
        <v>0.88</v>
      </c>
      <c r="J148" s="46">
        <f t="shared" ref="J148" si="312">E148*G148*(1-H148)*1440/1000000*2.74</f>
        <v>55.049997600000005</v>
      </c>
      <c r="K148" s="46">
        <f>(IF(G148&lt;L148,L148,G148)*(1-IF(H148&lt;N148,H148,N148))*E148*O148*Q148)/100000000</f>
        <v>55.049997599999998</v>
      </c>
      <c r="L148" s="122">
        <v>1270</v>
      </c>
      <c r="M148" s="122">
        <v>990.6</v>
      </c>
      <c r="N148" s="47">
        <f t="shared" ref="N148" si="313">1-(M148/L148)</f>
        <v>0.21999999999999997</v>
      </c>
      <c r="O148" s="48">
        <f>+'[4]Trim Rwd'!H88</f>
        <v>274</v>
      </c>
      <c r="P148" s="49">
        <f t="shared" ref="P148" si="314">O148*(Q148-R148-S148)</f>
        <v>383052</v>
      </c>
      <c r="Q148" s="48">
        <v>1440</v>
      </c>
      <c r="R148" s="123">
        <v>0</v>
      </c>
      <c r="S148" s="123">
        <v>42</v>
      </c>
      <c r="T148" s="50">
        <f t="shared" ref="T148" si="315">E148*M148*O148*Q148/100000000</f>
        <v>52.764903359999998</v>
      </c>
      <c r="U148" s="50">
        <f t="shared" ref="U148" si="316">E148*M148*O148*(Q148-R148-S148)/100000000</f>
        <v>51.225927012</v>
      </c>
      <c r="V148" s="50">
        <f t="shared" ref="V148" si="317">E148*G148*(1-N148)*O148/100*(R148+S148)/1000000</f>
        <v>1.6056249299999998</v>
      </c>
      <c r="W148" s="50">
        <f>+'[4]28'!K7/1000</f>
        <v>55.177</v>
      </c>
      <c r="X148" s="51">
        <f>SUM(W148:W151)/SUM(K148:K151)</f>
        <v>1.0023070373394531</v>
      </c>
      <c r="Y148" s="52">
        <v>0</v>
      </c>
      <c r="Z148" s="50">
        <v>0</v>
      </c>
      <c r="AA148" s="53">
        <f>SUM(U148:U151)-SUM(W148:W151)-SUM(Z148:Z151)-SUM(Y148:Y151)</f>
        <v>-3.951072988</v>
      </c>
      <c r="AB148" s="53">
        <f>(SUM(K148:K151)-SUM(W148:W151)-SUM(Y148:Y151)-SUM(Z148:Z151)-SUM(AC148:AC151)-SUM(V148:V151))-AA148</f>
        <v>-6.66485820000009E-2</v>
      </c>
      <c r="AC148" s="50">
        <f>K148-T148</f>
        <v>2.2850942399999994</v>
      </c>
      <c r="AD148" s="50">
        <f>+AM148+BA148</f>
        <v>0</v>
      </c>
      <c r="AE148" s="101" t="s">
        <v>110</v>
      </c>
      <c r="AF148" s="50">
        <v>0</v>
      </c>
      <c r="AG148" s="50"/>
      <c r="AH148" s="50"/>
      <c r="AI148" s="54"/>
      <c r="AJ148" s="50"/>
      <c r="AK148" s="50"/>
      <c r="AL148" s="50"/>
      <c r="AM148" s="50">
        <f>SUM(AF148:AL148)+AT148</f>
        <v>0</v>
      </c>
      <c r="AN148" s="50"/>
      <c r="AO148" s="50"/>
      <c r="AP148" s="50"/>
      <c r="AQ148" s="50"/>
      <c r="AR148" s="50">
        <f>SUM(AN148:AQ148)</f>
        <v>0</v>
      </c>
      <c r="AS148" s="50"/>
      <c r="AT148" s="50"/>
      <c r="AU148" s="50"/>
      <c r="AV148" s="50"/>
      <c r="AW148" s="50"/>
      <c r="AX148" s="50"/>
      <c r="AY148" s="50"/>
      <c r="AZ148" s="50"/>
      <c r="BA148" s="50">
        <f>+AR148+AS148+AU148+AV148+AX148</f>
        <v>0</v>
      </c>
      <c r="BB148" s="124">
        <v>0</v>
      </c>
      <c r="BC148" s="116"/>
      <c r="BD148" s="116"/>
      <c r="BE148" s="124"/>
      <c r="BF148" s="116"/>
    </row>
    <row r="149" spans="1:58" ht="12.95" customHeight="1" x14ac:dyDescent="0.2">
      <c r="A149" s="117"/>
      <c r="B149" s="118"/>
      <c r="C149" s="119"/>
      <c r="D149" s="118"/>
      <c r="E149" s="37"/>
      <c r="F149" s="37"/>
      <c r="G149" s="127"/>
      <c r="H149" s="121"/>
      <c r="I149" s="45"/>
      <c r="J149" s="46"/>
      <c r="K149" s="46"/>
      <c r="L149" s="122"/>
      <c r="M149" s="122"/>
      <c r="N149" s="47"/>
      <c r="O149" s="48"/>
      <c r="P149" s="49"/>
      <c r="Q149" s="48"/>
      <c r="R149" s="123"/>
      <c r="S149" s="123"/>
      <c r="T149" s="50"/>
      <c r="U149" s="50"/>
      <c r="V149" s="50"/>
      <c r="W149" s="50"/>
      <c r="X149" s="55"/>
      <c r="Y149" s="52"/>
      <c r="Z149" s="50">
        <f>+'[4]21'!D54/1000</f>
        <v>0</v>
      </c>
      <c r="AA149" s="50"/>
      <c r="AB149" s="50"/>
      <c r="AC149" s="50">
        <f>K149-T149</f>
        <v>0</v>
      </c>
      <c r="AD149" s="50">
        <f t="shared" ref="AD149:AD151" si="318">+AM149+BA149</f>
        <v>9</v>
      </c>
      <c r="AE149" s="101" t="s">
        <v>129</v>
      </c>
      <c r="AF149" s="50"/>
      <c r="AG149" s="50">
        <v>9</v>
      </c>
      <c r="AH149" s="50"/>
      <c r="AI149" s="54"/>
      <c r="AJ149" s="50"/>
      <c r="AK149" s="50"/>
      <c r="AL149" s="50"/>
      <c r="AM149" s="50">
        <f t="shared" ref="AM149:AM151" si="319">SUM(AF149:AL149)+AT149</f>
        <v>9</v>
      </c>
      <c r="AN149" s="125"/>
      <c r="AO149" s="50"/>
      <c r="AP149" s="50"/>
      <c r="AQ149" s="50"/>
      <c r="AR149" s="50">
        <f t="shared" ref="AR149:AR151" si="320">SUM(AN149:AQ149)</f>
        <v>0</v>
      </c>
      <c r="AS149" s="50"/>
      <c r="AT149" s="50"/>
      <c r="AU149" s="50"/>
      <c r="AV149" s="50"/>
      <c r="AW149" s="50"/>
      <c r="AX149" s="50"/>
      <c r="AY149" s="50"/>
      <c r="AZ149" s="50"/>
      <c r="BA149" s="50">
        <f t="shared" ref="BA149:BA151" si="321">+AR149+AS149+AU149+AV149+AX149</f>
        <v>0</v>
      </c>
      <c r="BB149" s="126"/>
      <c r="BC149" s="116">
        <v>8</v>
      </c>
      <c r="BD149" s="116"/>
      <c r="BE149" s="126"/>
      <c r="BF149" s="116"/>
    </row>
    <row r="150" spans="1:58" ht="12.95" customHeight="1" x14ac:dyDescent="0.2">
      <c r="A150" s="117"/>
      <c r="B150" s="118"/>
      <c r="C150" s="119"/>
      <c r="D150" s="118"/>
      <c r="E150" s="37"/>
      <c r="F150" s="37"/>
      <c r="G150" s="127"/>
      <c r="H150" s="121"/>
      <c r="I150" s="45"/>
      <c r="J150" s="46"/>
      <c r="K150" s="46"/>
      <c r="L150" s="122"/>
      <c r="M150" s="122"/>
      <c r="N150" s="47"/>
      <c r="O150" s="48"/>
      <c r="P150" s="49"/>
      <c r="Q150" s="48"/>
      <c r="R150" s="123"/>
      <c r="S150" s="123"/>
      <c r="T150" s="50"/>
      <c r="U150" s="50"/>
      <c r="V150" s="50"/>
      <c r="W150" s="50"/>
      <c r="X150" s="55"/>
      <c r="Y150" s="52"/>
      <c r="Z150" s="50"/>
      <c r="AA150" s="50"/>
      <c r="AB150" s="50"/>
      <c r="AC150" s="50"/>
      <c r="AD150" s="50">
        <f t="shared" si="318"/>
        <v>25</v>
      </c>
      <c r="AE150" s="101" t="s">
        <v>118</v>
      </c>
      <c r="AF150" s="124"/>
      <c r="AG150" s="124"/>
      <c r="AH150" s="124">
        <v>25</v>
      </c>
      <c r="AJ150" s="50"/>
      <c r="AK150" s="50"/>
      <c r="AL150" s="50"/>
      <c r="AM150" s="50">
        <f t="shared" si="319"/>
        <v>25</v>
      </c>
      <c r="AN150" s="50"/>
      <c r="AO150" s="50"/>
      <c r="AP150" s="50"/>
      <c r="AQ150" s="50"/>
      <c r="AR150" s="50">
        <f t="shared" si="320"/>
        <v>0</v>
      </c>
      <c r="AS150" s="50"/>
      <c r="AT150" s="50"/>
      <c r="AU150" s="50"/>
      <c r="AV150" s="50"/>
      <c r="AW150" s="50"/>
      <c r="AX150" s="50"/>
      <c r="AY150" s="50"/>
      <c r="AZ150" s="50"/>
      <c r="BA150" s="50">
        <f t="shared" si="321"/>
        <v>0</v>
      </c>
      <c r="BB150" s="124"/>
      <c r="BC150" s="146"/>
      <c r="BD150" s="146"/>
      <c r="BE150" s="124"/>
      <c r="BF150" s="146"/>
    </row>
    <row r="151" spans="1:58" ht="12.95" customHeight="1" x14ac:dyDescent="0.2">
      <c r="A151" s="117"/>
      <c r="B151" s="118"/>
      <c r="C151" s="119"/>
      <c r="D151" s="118"/>
      <c r="E151" s="37"/>
      <c r="F151" s="37"/>
      <c r="G151" s="127"/>
      <c r="H151" s="121"/>
      <c r="I151" s="45"/>
      <c r="J151" s="46"/>
      <c r="K151" s="46"/>
      <c r="L151" s="122"/>
      <c r="M151" s="122"/>
      <c r="N151" s="47"/>
      <c r="O151" s="48"/>
      <c r="P151" s="49"/>
      <c r="Q151" s="56"/>
      <c r="R151" s="123"/>
      <c r="S151" s="123"/>
      <c r="T151" s="50"/>
      <c r="U151" s="50"/>
      <c r="V151" s="50"/>
      <c r="W151" s="50"/>
      <c r="X151" s="55"/>
      <c r="Y151" s="52"/>
      <c r="Z151" s="50"/>
      <c r="AA151" s="50"/>
      <c r="AB151" s="50"/>
      <c r="AC151" s="50"/>
      <c r="AD151" s="50">
        <f t="shared" si="318"/>
        <v>8</v>
      </c>
      <c r="AE151" s="148" t="s">
        <v>162</v>
      </c>
      <c r="AF151" s="50"/>
      <c r="AG151" s="50"/>
      <c r="AH151" s="50"/>
      <c r="AI151" s="54">
        <v>8</v>
      </c>
      <c r="AJ151" s="50"/>
      <c r="AK151" s="50"/>
      <c r="AL151" s="50"/>
      <c r="AM151" s="50">
        <f t="shared" si="319"/>
        <v>8</v>
      </c>
      <c r="AN151" s="50"/>
      <c r="AO151" s="50"/>
      <c r="AP151" s="50"/>
      <c r="AQ151" s="50"/>
      <c r="AR151" s="50">
        <f t="shared" si="320"/>
        <v>0</v>
      </c>
      <c r="AS151" s="50"/>
      <c r="AT151" s="50"/>
      <c r="AU151" s="50"/>
      <c r="AV151" s="50"/>
      <c r="AW151" s="50"/>
      <c r="AX151" s="50"/>
      <c r="AY151" s="50"/>
      <c r="AZ151" s="50"/>
      <c r="BA151" s="50">
        <f t="shared" si="321"/>
        <v>0</v>
      </c>
      <c r="BB151" s="126"/>
      <c r="BC151" s="116"/>
      <c r="BD151" s="116"/>
      <c r="BE151" s="126"/>
      <c r="BF151" s="116"/>
    </row>
    <row r="152" spans="1:58" ht="12.95" customHeight="1" x14ac:dyDescent="0.2">
      <c r="A152" s="117"/>
      <c r="B152" s="118"/>
      <c r="C152" s="119"/>
      <c r="D152" s="118"/>
      <c r="E152" s="37"/>
      <c r="F152" s="37"/>
      <c r="G152" s="120"/>
      <c r="H152" s="121"/>
      <c r="I152" s="45"/>
      <c r="J152" s="46"/>
      <c r="K152" s="46"/>
      <c r="L152" s="122"/>
      <c r="M152" s="122"/>
      <c r="N152" s="47"/>
      <c r="O152" s="48"/>
      <c r="P152" s="49"/>
      <c r="Q152" s="48"/>
      <c r="R152" s="123"/>
      <c r="S152" s="123"/>
      <c r="T152" s="50"/>
      <c r="U152" s="50"/>
      <c r="V152" s="50"/>
      <c r="W152" s="50"/>
      <c r="X152" s="55"/>
      <c r="Y152" s="52"/>
      <c r="Z152" s="50"/>
      <c r="AA152" s="50"/>
      <c r="AB152" s="50"/>
      <c r="AC152" s="50"/>
      <c r="AD152" s="50"/>
      <c r="AE152" s="101"/>
      <c r="AF152" s="124"/>
      <c r="AG152" s="124"/>
      <c r="AH152" s="124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124"/>
      <c r="BC152" s="146"/>
      <c r="BD152" s="146"/>
      <c r="BE152" s="124"/>
      <c r="BF152" s="146"/>
    </row>
    <row r="153" spans="1:58" ht="12" customHeight="1" x14ac:dyDescent="0.2">
      <c r="A153" s="117">
        <v>45990</v>
      </c>
      <c r="B153" s="118" t="s">
        <v>168</v>
      </c>
      <c r="C153" s="119">
        <f t="shared" ref="C153" si="322">(M153*E153*O153*Q153)/100000000</f>
        <v>53.180375040000001</v>
      </c>
      <c r="D153" s="118" t="s">
        <v>196</v>
      </c>
      <c r="E153" s="37">
        <v>13.5</v>
      </c>
      <c r="F153" s="37">
        <v>1</v>
      </c>
      <c r="G153" s="120">
        <v>1325</v>
      </c>
      <c r="H153" s="121">
        <f t="shared" ref="H153" si="323">+N153</f>
        <v>0.21999999999999997</v>
      </c>
      <c r="I153" s="45">
        <v>0.88</v>
      </c>
      <c r="J153" s="46">
        <f t="shared" ref="J153" si="324">E153*G153*(1-H153)*1440/1000000*2.74</f>
        <v>55.049997600000005</v>
      </c>
      <c r="K153" s="46">
        <f>(IF(G153&lt;L153,L153,G153)*(1-IF(H153&lt;N153,H153,N153))*E153*O153*Q153)/100000000</f>
        <v>55.049997599999998</v>
      </c>
      <c r="L153" s="122">
        <v>1280</v>
      </c>
      <c r="M153" s="122">
        <v>998.4</v>
      </c>
      <c r="N153" s="47">
        <f t="shared" ref="N153" si="325">1-(M153/L153)</f>
        <v>0.21999999999999997</v>
      </c>
      <c r="O153" s="48">
        <f>+'[4]Trim Rwd'!H90</f>
        <v>274</v>
      </c>
      <c r="P153" s="49">
        <f t="shared" ref="P153" si="326">O153*(Q153-R153-S153)</f>
        <v>378942</v>
      </c>
      <c r="Q153" s="48">
        <v>1440</v>
      </c>
      <c r="R153" s="123">
        <v>0</v>
      </c>
      <c r="S153" s="123">
        <v>57</v>
      </c>
      <c r="T153" s="50">
        <f t="shared" ref="T153" si="327">E153*M153*O153*Q153/100000000</f>
        <v>53.180375040000001</v>
      </c>
      <c r="U153" s="50">
        <f t="shared" ref="U153" si="328">E153*M153*O153*(Q153-R153-S153)/100000000</f>
        <v>51.075318528000004</v>
      </c>
      <c r="V153" s="50">
        <f t="shared" ref="V153" si="329">E153*G153*(1-N153)*O153/100*(R153+S153)/1000000</f>
        <v>2.1790624050000003</v>
      </c>
      <c r="W153" s="50">
        <f>+'[4]29'!K7/1000</f>
        <v>50.954999999999998</v>
      </c>
      <c r="X153" s="51">
        <f>SUM(W153:W156)/SUM(K153:K156)</f>
        <v>0.92561311937277901</v>
      </c>
      <c r="Y153" s="52">
        <f>+SUM([4]RBP!AG19:AG20)</f>
        <v>0</v>
      </c>
      <c r="Z153" s="50">
        <v>0</v>
      </c>
      <c r="AA153" s="53">
        <f>SUM(U153:U156)-SUM(W153:W156)-SUM(Z153:Z156)-SUM(Y153:Y156)</f>
        <v>0.12031852800000564</v>
      </c>
      <c r="AB153" s="53">
        <f>(SUM(K153:K156)-SUM(W153:W156)-SUM(Y153:Y156)-SUM(Z153:Z156)-SUM(AC153:AC156)-SUM(V153:V156))-AA153</f>
        <v>-7.4005893000002931E-2</v>
      </c>
      <c r="AC153" s="50">
        <f>K153-T153</f>
        <v>1.8696225599999963</v>
      </c>
      <c r="AD153" s="50">
        <f>+AM153+BA153</f>
        <v>0</v>
      </c>
      <c r="AE153" s="101" t="s">
        <v>110</v>
      </c>
      <c r="AF153" s="50">
        <v>0</v>
      </c>
      <c r="AG153" s="50"/>
      <c r="AH153" s="50"/>
      <c r="AI153" s="54"/>
      <c r="AJ153" s="50"/>
      <c r="AK153" s="50"/>
      <c r="AL153" s="50"/>
      <c r="AM153" s="50">
        <f>SUM(AF153:AL153)+AT153</f>
        <v>0</v>
      </c>
      <c r="AN153" s="50"/>
      <c r="AO153" s="50"/>
      <c r="AP153" s="50"/>
      <c r="AQ153" s="50"/>
      <c r="AR153" s="50">
        <f>SUM(AN153:AQ153)</f>
        <v>0</v>
      </c>
      <c r="AS153" s="50"/>
      <c r="AT153" s="50"/>
      <c r="AU153" s="50"/>
      <c r="AV153" s="50"/>
      <c r="AW153" s="50"/>
      <c r="AX153" s="50"/>
      <c r="AY153" s="50"/>
      <c r="AZ153" s="50"/>
      <c r="BA153" s="50">
        <f>+AR153+AS153+AU153+AV153+AX153</f>
        <v>0</v>
      </c>
      <c r="BB153" s="124">
        <v>0</v>
      </c>
      <c r="BC153" s="116"/>
      <c r="BD153" s="116"/>
      <c r="BE153" s="124"/>
      <c r="BF153" s="116"/>
    </row>
    <row r="154" spans="1:58" ht="12.95" customHeight="1" x14ac:dyDescent="0.2">
      <c r="A154" s="117"/>
      <c r="B154" s="118"/>
      <c r="C154" s="119"/>
      <c r="D154" s="118"/>
      <c r="E154" s="37"/>
      <c r="F154" s="37"/>
      <c r="G154" s="127"/>
      <c r="H154" s="121"/>
      <c r="I154" s="45"/>
      <c r="J154" s="46"/>
      <c r="K154" s="46"/>
      <c r="L154" s="122"/>
      <c r="M154" s="122"/>
      <c r="N154" s="47"/>
      <c r="O154" s="48"/>
      <c r="P154" s="49"/>
      <c r="Q154" s="48"/>
      <c r="R154" s="123"/>
      <c r="S154" s="123"/>
      <c r="T154" s="50"/>
      <c r="U154" s="50"/>
      <c r="V154" s="50"/>
      <c r="W154" s="50"/>
      <c r="X154" s="55"/>
      <c r="Y154" s="52"/>
      <c r="Z154" s="50">
        <f>+'[4]21'!D59/1000</f>
        <v>0</v>
      </c>
      <c r="AA154" s="50"/>
      <c r="AB154" s="50"/>
      <c r="AC154" s="50">
        <f>K154-T154</f>
        <v>0</v>
      </c>
      <c r="AD154" s="50">
        <f t="shared" ref="AD154:AD156" si="330">+AM154+BA154</f>
        <v>12</v>
      </c>
      <c r="AE154" s="101" t="s">
        <v>117</v>
      </c>
      <c r="AF154" s="50"/>
      <c r="AG154" s="50">
        <v>12</v>
      </c>
      <c r="AH154" s="50"/>
      <c r="AI154" s="54"/>
      <c r="AJ154" s="50"/>
      <c r="AK154" s="50"/>
      <c r="AL154" s="50"/>
      <c r="AM154" s="50">
        <f t="shared" ref="AM154:AM156" si="331">SUM(AF154:AL154)+AT154</f>
        <v>12</v>
      </c>
      <c r="AN154" s="125"/>
      <c r="AO154" s="50"/>
      <c r="AP154" s="50"/>
      <c r="AQ154" s="50"/>
      <c r="AR154" s="50">
        <f t="shared" ref="AR154:AR156" si="332">SUM(AN154:AQ154)</f>
        <v>0</v>
      </c>
      <c r="AS154" s="50"/>
      <c r="AT154" s="50"/>
      <c r="AU154" s="50"/>
      <c r="AV154" s="50"/>
      <c r="AW154" s="50"/>
      <c r="AX154" s="50"/>
      <c r="AY154" s="50"/>
      <c r="AZ154" s="50"/>
      <c r="BA154" s="50">
        <f t="shared" ref="BA154:BA156" si="333">+AR154+AS154+AU154+AV154+AX154</f>
        <v>0</v>
      </c>
      <c r="BB154" s="126"/>
      <c r="BC154" s="116">
        <v>9</v>
      </c>
      <c r="BD154" s="116"/>
      <c r="BE154" s="126"/>
      <c r="BF154" s="116"/>
    </row>
    <row r="155" spans="1:58" ht="12.95" customHeight="1" x14ac:dyDescent="0.2">
      <c r="A155" s="117"/>
      <c r="B155" s="118"/>
      <c r="C155" s="119"/>
      <c r="D155" s="118"/>
      <c r="E155" s="37"/>
      <c r="F155" s="37"/>
      <c r="G155" s="127"/>
      <c r="H155" s="121"/>
      <c r="I155" s="45"/>
      <c r="J155" s="46"/>
      <c r="K155" s="46"/>
      <c r="L155" s="122"/>
      <c r="M155" s="122"/>
      <c r="N155" s="47"/>
      <c r="O155" s="48"/>
      <c r="P155" s="49"/>
      <c r="Q155" s="48"/>
      <c r="R155" s="123"/>
      <c r="S155" s="123"/>
      <c r="T155" s="50"/>
      <c r="U155" s="50"/>
      <c r="V155" s="50"/>
      <c r="W155" s="50"/>
      <c r="X155" s="55"/>
      <c r="Y155" s="52"/>
      <c r="Z155" s="50"/>
      <c r="AA155" s="50"/>
      <c r="AB155" s="50"/>
      <c r="AC155" s="50"/>
      <c r="AD155" s="50">
        <f t="shared" si="330"/>
        <v>17</v>
      </c>
      <c r="AE155" s="101" t="s">
        <v>118</v>
      </c>
      <c r="AF155" s="124"/>
      <c r="AG155" s="124"/>
      <c r="AH155" s="124">
        <v>17</v>
      </c>
      <c r="AJ155" s="50"/>
      <c r="AK155" s="50"/>
      <c r="AL155" s="50"/>
      <c r="AM155" s="50">
        <f t="shared" si="331"/>
        <v>17</v>
      </c>
      <c r="AN155" s="50"/>
      <c r="AO155" s="50"/>
      <c r="AP155" s="50"/>
      <c r="AQ155" s="50"/>
      <c r="AR155" s="50">
        <f t="shared" si="332"/>
        <v>0</v>
      </c>
      <c r="AS155" s="50"/>
      <c r="AT155" s="50"/>
      <c r="AU155" s="50"/>
      <c r="AV155" s="50"/>
      <c r="AW155" s="50"/>
      <c r="AX155" s="50"/>
      <c r="AY155" s="50"/>
      <c r="AZ155" s="50"/>
      <c r="BA155" s="50">
        <f t="shared" si="333"/>
        <v>0</v>
      </c>
      <c r="BB155" s="124"/>
      <c r="BC155" s="146"/>
      <c r="BD155" s="146"/>
      <c r="BE155" s="124"/>
      <c r="BF155" s="146"/>
    </row>
    <row r="156" spans="1:58" ht="12.95" customHeight="1" x14ac:dyDescent="0.2">
      <c r="A156" s="117"/>
      <c r="B156" s="118"/>
      <c r="C156" s="119"/>
      <c r="D156" s="118"/>
      <c r="E156" s="37"/>
      <c r="F156" s="37"/>
      <c r="G156" s="127"/>
      <c r="H156" s="121"/>
      <c r="I156" s="45"/>
      <c r="J156" s="46"/>
      <c r="K156" s="46"/>
      <c r="L156" s="122"/>
      <c r="M156" s="122"/>
      <c r="N156" s="47"/>
      <c r="O156" s="48"/>
      <c r="P156" s="49"/>
      <c r="Q156" s="56"/>
      <c r="R156" s="123"/>
      <c r="S156" s="123"/>
      <c r="T156" s="50"/>
      <c r="U156" s="50"/>
      <c r="V156" s="50"/>
      <c r="W156" s="50"/>
      <c r="X156" s="55"/>
      <c r="Y156" s="52"/>
      <c r="Z156" s="50"/>
      <c r="AA156" s="50"/>
      <c r="AB156" s="50"/>
      <c r="AC156" s="50"/>
      <c r="AD156" s="50">
        <f t="shared" si="330"/>
        <v>28</v>
      </c>
      <c r="AE156" s="148" t="s">
        <v>162</v>
      </c>
      <c r="AF156" s="50"/>
      <c r="AG156" s="50"/>
      <c r="AH156" s="50"/>
      <c r="AI156" s="54">
        <v>28</v>
      </c>
      <c r="AJ156" s="50"/>
      <c r="AK156" s="50"/>
      <c r="AL156" s="50"/>
      <c r="AM156" s="50">
        <f t="shared" si="331"/>
        <v>28</v>
      </c>
      <c r="AN156" s="50"/>
      <c r="AO156" s="50"/>
      <c r="AP156" s="50"/>
      <c r="AQ156" s="50"/>
      <c r="AR156" s="50">
        <f t="shared" si="332"/>
        <v>0</v>
      </c>
      <c r="AS156" s="50"/>
      <c r="AT156" s="50"/>
      <c r="AU156" s="50"/>
      <c r="AV156" s="50"/>
      <c r="AW156" s="50"/>
      <c r="AX156" s="50"/>
      <c r="AY156" s="50"/>
      <c r="AZ156" s="50"/>
      <c r="BA156" s="50">
        <f t="shared" si="333"/>
        <v>0</v>
      </c>
      <c r="BB156" s="126"/>
      <c r="BC156" s="116"/>
      <c r="BD156" s="116"/>
      <c r="BE156" s="126"/>
      <c r="BF156" s="116"/>
    </row>
    <row r="157" spans="1:58" ht="12.95" customHeight="1" x14ac:dyDescent="0.2">
      <c r="A157" s="117"/>
      <c r="B157" s="118"/>
      <c r="C157" s="119"/>
      <c r="D157" s="118"/>
      <c r="E157" s="37"/>
      <c r="F157" s="37"/>
      <c r="G157" s="120"/>
      <c r="H157" s="121"/>
      <c r="I157" s="45"/>
      <c r="J157" s="46"/>
      <c r="K157" s="46"/>
      <c r="L157" s="122"/>
      <c r="M157" s="122"/>
      <c r="N157" s="47"/>
      <c r="O157" s="48"/>
      <c r="P157" s="49"/>
      <c r="Q157" s="48"/>
      <c r="R157" s="123"/>
      <c r="S157" s="123"/>
      <c r="T157" s="50"/>
      <c r="U157" s="50"/>
      <c r="V157" s="50"/>
      <c r="W157" s="50"/>
      <c r="X157" s="55"/>
      <c r="Y157" s="52"/>
      <c r="Z157" s="50"/>
      <c r="AA157" s="50"/>
      <c r="AB157" s="50"/>
      <c r="AC157" s="50"/>
      <c r="AD157" s="50"/>
      <c r="AE157" s="101"/>
      <c r="AF157" s="124"/>
      <c r="AG157" s="124"/>
      <c r="AH157" s="124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124"/>
      <c r="BC157" s="146"/>
      <c r="BD157" s="146"/>
      <c r="BE157" s="124"/>
      <c r="BF157" s="146"/>
    </row>
    <row r="158" spans="1:58" ht="12.95" customHeight="1" x14ac:dyDescent="0.2">
      <c r="A158" s="117">
        <v>45991</v>
      </c>
      <c r="B158" s="118" t="s">
        <v>168</v>
      </c>
      <c r="C158" s="119">
        <f t="shared" ref="C158:C159" si="334">(M158*E158*O158*Q158)/100000000</f>
        <v>50.895280800000002</v>
      </c>
      <c r="D158" s="118" t="s">
        <v>196</v>
      </c>
      <c r="E158" s="37">
        <v>13.5</v>
      </c>
      <c r="F158" s="37">
        <v>1</v>
      </c>
      <c r="G158" s="120">
        <v>1325</v>
      </c>
      <c r="H158" s="121">
        <f t="shared" ref="H158:H159" si="335">+N158</f>
        <v>0.21999999999999997</v>
      </c>
      <c r="I158" s="45">
        <v>0.88</v>
      </c>
      <c r="J158" s="46">
        <f t="shared" ref="J158:J159" si="336">E158*G158*(1-H158)*1440/1000000*2.74</f>
        <v>55.049997600000005</v>
      </c>
      <c r="K158" s="46">
        <f>(IF(G158&lt;L158,L158,G158)*(1-IF(H158&lt;N158,H158,N158))*E158*O158*Q158)/100000000</f>
        <v>52.947393525000003</v>
      </c>
      <c r="L158" s="122">
        <v>1273.6462093862815</v>
      </c>
      <c r="M158" s="122">
        <v>993.44404332129966</v>
      </c>
      <c r="N158" s="47">
        <f t="shared" ref="N158:N159" si="337">1-(M158/L158)</f>
        <v>0.21999999999999997</v>
      </c>
      <c r="O158" s="48">
        <f>+'[4]Trim Rwd'!H92</f>
        <v>274</v>
      </c>
      <c r="P158" s="49">
        <f t="shared" ref="P158:P159" si="338">O158*(Q158-R158-S158)</f>
        <v>367160</v>
      </c>
      <c r="Q158" s="48">
        <v>1385</v>
      </c>
      <c r="R158" s="123">
        <v>0</v>
      </c>
      <c r="S158" s="123">
        <v>45</v>
      </c>
      <c r="T158" s="50">
        <f t="shared" ref="T158:T159" si="339">E158*M158*O158*Q158/100000000</f>
        <v>50.895280800000002</v>
      </c>
      <c r="U158" s="50">
        <f t="shared" ref="U158:U159" si="340">E158*M158*O158*(Q158-R158-S158)/100000000</f>
        <v>49.241643517689525</v>
      </c>
      <c r="V158" s="50">
        <f t="shared" ref="V158:V159" si="341">E158*G158*(1-N158)*O158/100*(R158+S158)/1000000</f>
        <v>1.7203124250000001</v>
      </c>
      <c r="W158" s="50">
        <f>+'[4]30'!K7/1000</f>
        <v>38.478999999999999</v>
      </c>
      <c r="X158" s="51">
        <f>SUM(W158:W161)/SUM(K158:K161)</f>
        <v>0.90387639014321897</v>
      </c>
      <c r="Y158" s="52">
        <f>+SUM([4]RBP!AG3:AG4)</f>
        <v>3.2389999999999999</v>
      </c>
      <c r="Z158" s="50">
        <v>0</v>
      </c>
      <c r="AA158" s="53">
        <f>SUM(U158:U161)-SUM(W158:W161)-SUM(Z158:Z161)-SUM(Y158:Y161)</f>
        <v>-1.8739848823104763</v>
      </c>
      <c r="AB158" s="53">
        <f>(SUM(K158:K161)-SUM(W158:W161)-SUM(Y158:Y161)-SUM(Z158:Z161)-SUM(AC158:AC161)-SUM(V158:V161))-AA158</f>
        <v>-6.9634462689522891E-2</v>
      </c>
      <c r="AC158" s="50">
        <f>K158-T158</f>
        <v>2.0521127250000006</v>
      </c>
      <c r="AD158" s="50">
        <f>+AM158+BA158</f>
        <v>0</v>
      </c>
      <c r="AE158" s="101" t="s">
        <v>110</v>
      </c>
      <c r="AF158" s="50">
        <v>0</v>
      </c>
      <c r="AG158" s="50"/>
      <c r="AH158" s="50"/>
      <c r="AI158" s="54"/>
      <c r="AJ158" s="50"/>
      <c r="AK158" s="50"/>
      <c r="AL158" s="50"/>
      <c r="AM158" s="50">
        <f>SUM(AF158:AL158)+AT158</f>
        <v>0</v>
      </c>
      <c r="AN158" s="50"/>
      <c r="AO158" s="50"/>
      <c r="AP158" s="50"/>
      <c r="AQ158" s="50"/>
      <c r="AR158" s="50">
        <f>SUM(AN158:AQ158)</f>
        <v>0</v>
      </c>
      <c r="AS158" s="50"/>
      <c r="AT158" s="50"/>
      <c r="AU158" s="50"/>
      <c r="AV158" s="50"/>
      <c r="AW158" s="50"/>
      <c r="AX158" s="50"/>
      <c r="AY158" s="50"/>
      <c r="AZ158" s="50"/>
      <c r="BA158" s="50">
        <f>+AR158+AS158+AU158+AV158+AX158</f>
        <v>0</v>
      </c>
      <c r="BB158" s="124">
        <v>0</v>
      </c>
      <c r="BC158" s="116"/>
      <c r="BD158" s="116"/>
      <c r="BE158" s="124"/>
      <c r="BF158" s="116"/>
    </row>
    <row r="159" spans="1:58" ht="12" customHeight="1" x14ac:dyDescent="0.2">
      <c r="A159" s="117"/>
      <c r="B159" s="118" t="s">
        <v>168</v>
      </c>
      <c r="C159" s="119">
        <f t="shared" si="334"/>
        <v>2.0508087599999998</v>
      </c>
      <c r="D159" s="118" t="s">
        <v>196</v>
      </c>
      <c r="E159" s="37">
        <v>14</v>
      </c>
      <c r="F159" s="37">
        <v>1</v>
      </c>
      <c r="G159" s="120">
        <v>1280</v>
      </c>
      <c r="H159" s="121">
        <f t="shared" si="335"/>
        <v>0.22000000000000008</v>
      </c>
      <c r="I159" s="45">
        <v>0.88</v>
      </c>
      <c r="J159" s="46">
        <f t="shared" si="336"/>
        <v>55.150018559999992</v>
      </c>
      <c r="K159" s="46">
        <f>(IF(G159&lt;L159,L159,G159)*(1-IF(H159&lt;N159,H159,N159))*E159*O159*Q159)/100000000</f>
        <v>2.0833612799999996</v>
      </c>
      <c r="L159" s="122">
        <v>1260</v>
      </c>
      <c r="M159" s="122">
        <v>982.8</v>
      </c>
      <c r="N159" s="47">
        <f t="shared" si="337"/>
        <v>0.22000000000000008</v>
      </c>
      <c r="O159" s="48">
        <f>+'[4]Trim Rwd'!H93</f>
        <v>271</v>
      </c>
      <c r="P159" s="49">
        <f t="shared" si="338"/>
        <v>13550</v>
      </c>
      <c r="Q159" s="48">
        <v>55</v>
      </c>
      <c r="R159" s="123">
        <v>0</v>
      </c>
      <c r="S159" s="123">
        <v>5</v>
      </c>
      <c r="T159" s="50">
        <f t="shared" si="339"/>
        <v>2.0508087599999998</v>
      </c>
      <c r="U159" s="50">
        <f t="shared" si="340"/>
        <v>1.8643715999999999</v>
      </c>
      <c r="V159" s="50">
        <f t="shared" si="341"/>
        <v>0.18939647999999998</v>
      </c>
      <c r="W159" s="50">
        <f>+'[4]30'!K8/1000</f>
        <v>11.262</v>
      </c>
      <c r="X159" s="55"/>
      <c r="Y159" s="52"/>
      <c r="Z159" s="50">
        <f>+'[4]21'!D64/1000</f>
        <v>0</v>
      </c>
      <c r="AA159" s="50"/>
      <c r="AB159" s="50"/>
      <c r="AC159" s="50">
        <f>K159-T159</f>
        <v>3.2552519999999863E-2</v>
      </c>
      <c r="AD159" s="50">
        <f t="shared" ref="AD159:AD161" si="342">+AM159+BA159</f>
        <v>10</v>
      </c>
      <c r="AE159" s="101" t="s">
        <v>127</v>
      </c>
      <c r="AF159" s="50"/>
      <c r="AG159" s="50">
        <v>10</v>
      </c>
      <c r="AH159" s="50"/>
      <c r="AI159" s="54"/>
      <c r="AJ159" s="50"/>
      <c r="AK159" s="50"/>
      <c r="AL159" s="50"/>
      <c r="AM159" s="50">
        <f t="shared" ref="AM159:AM161" si="343">SUM(AF159:AL159)+AT159</f>
        <v>10</v>
      </c>
      <c r="AN159" s="125"/>
      <c r="AO159" s="50"/>
      <c r="AP159" s="50"/>
      <c r="AQ159" s="50"/>
      <c r="AR159" s="50">
        <f t="shared" ref="AR159:AR161" si="344">SUM(AN159:AQ159)</f>
        <v>0</v>
      </c>
      <c r="AS159" s="50"/>
      <c r="AT159" s="50"/>
      <c r="AU159" s="50"/>
      <c r="AV159" s="50"/>
      <c r="AW159" s="50"/>
      <c r="AX159" s="50"/>
      <c r="AY159" s="50"/>
      <c r="AZ159" s="50"/>
      <c r="BA159" s="50">
        <f t="shared" ref="BA159:BA161" si="345">+AR159+AS159+AU159+AV159+AX159</f>
        <v>0</v>
      </c>
      <c r="BB159" s="126"/>
      <c r="BC159" s="116">
        <v>12</v>
      </c>
      <c r="BD159" s="116"/>
      <c r="BE159" s="126"/>
      <c r="BF159" s="116"/>
    </row>
    <row r="160" spans="1:58" ht="12.95" customHeight="1" x14ac:dyDescent="0.2">
      <c r="A160" s="117"/>
      <c r="B160" s="118"/>
      <c r="C160" s="119"/>
      <c r="D160" s="118"/>
      <c r="E160" s="37"/>
      <c r="F160" s="37"/>
      <c r="G160" s="127"/>
      <c r="H160" s="121"/>
      <c r="I160" s="45"/>
      <c r="J160" s="46"/>
      <c r="K160" s="46"/>
      <c r="L160" s="122"/>
      <c r="M160" s="122"/>
      <c r="N160" s="47"/>
      <c r="O160" s="48"/>
      <c r="P160" s="49"/>
      <c r="Q160" s="48"/>
      <c r="R160" s="123"/>
      <c r="S160" s="123"/>
      <c r="T160" s="50"/>
      <c r="U160" s="50"/>
      <c r="V160" s="50"/>
      <c r="W160" s="50"/>
      <c r="X160" s="55"/>
      <c r="Y160" s="52"/>
      <c r="Z160" s="50"/>
      <c r="AA160" s="50"/>
      <c r="AB160" s="50"/>
      <c r="AC160" s="50"/>
      <c r="AD160" s="50">
        <f t="shared" si="342"/>
        <v>22</v>
      </c>
      <c r="AE160" s="101" t="s">
        <v>123</v>
      </c>
      <c r="AF160" s="124"/>
      <c r="AG160" s="124"/>
      <c r="AH160" s="124">
        <v>22</v>
      </c>
      <c r="AJ160" s="50"/>
      <c r="AK160" s="50"/>
      <c r="AL160" s="50"/>
      <c r="AM160" s="50">
        <f t="shared" si="343"/>
        <v>22</v>
      </c>
      <c r="AN160" s="50"/>
      <c r="AO160" s="50"/>
      <c r="AP160" s="50"/>
      <c r="AQ160" s="50"/>
      <c r="AR160" s="50">
        <f t="shared" si="344"/>
        <v>0</v>
      </c>
      <c r="AS160" s="50"/>
      <c r="AT160" s="50"/>
      <c r="AU160" s="50"/>
      <c r="AV160" s="50"/>
      <c r="AW160" s="50"/>
      <c r="AX160" s="50"/>
      <c r="AY160" s="50"/>
      <c r="AZ160" s="50"/>
      <c r="BA160" s="50">
        <f t="shared" si="345"/>
        <v>0</v>
      </c>
      <c r="BB160" s="124"/>
      <c r="BC160" s="146"/>
      <c r="BD160" s="146"/>
      <c r="BE160" s="124"/>
      <c r="BF160" s="146"/>
    </row>
    <row r="161" spans="1:97" ht="12.95" customHeight="1" x14ac:dyDescent="0.2">
      <c r="A161" s="117"/>
      <c r="B161" s="118"/>
      <c r="C161" s="119"/>
      <c r="D161" s="118"/>
      <c r="E161" s="37"/>
      <c r="F161" s="37"/>
      <c r="G161" s="127"/>
      <c r="H161" s="121"/>
      <c r="I161" s="45"/>
      <c r="J161" s="46"/>
      <c r="K161" s="46"/>
      <c r="L161" s="122"/>
      <c r="M161" s="122"/>
      <c r="N161" s="47"/>
      <c r="O161" s="48"/>
      <c r="P161" s="49"/>
      <c r="Q161" s="56"/>
      <c r="R161" s="123"/>
      <c r="S161" s="123"/>
      <c r="T161" s="50"/>
      <c r="U161" s="50"/>
      <c r="V161" s="50"/>
      <c r="W161" s="50"/>
      <c r="X161" s="55"/>
      <c r="Y161" s="52"/>
      <c r="Z161" s="50"/>
      <c r="AA161" s="50"/>
      <c r="AB161" s="50"/>
      <c r="AC161" s="50"/>
      <c r="AD161" s="50">
        <f t="shared" si="342"/>
        <v>18</v>
      </c>
      <c r="AE161" s="148" t="s">
        <v>162</v>
      </c>
      <c r="AF161" s="50"/>
      <c r="AG161" s="50"/>
      <c r="AH161" s="50"/>
      <c r="AI161" s="54">
        <v>18</v>
      </c>
      <c r="AJ161" s="50"/>
      <c r="AK161" s="50"/>
      <c r="AL161" s="50"/>
      <c r="AM161" s="50">
        <f t="shared" si="343"/>
        <v>18</v>
      </c>
      <c r="AN161" s="50"/>
      <c r="AO161" s="50"/>
      <c r="AP161" s="50"/>
      <c r="AQ161" s="50"/>
      <c r="AR161" s="50">
        <f t="shared" si="344"/>
        <v>0</v>
      </c>
      <c r="AS161" s="50"/>
      <c r="AT161" s="50"/>
      <c r="AU161" s="50"/>
      <c r="AV161" s="50"/>
      <c r="AW161" s="50"/>
      <c r="AX161" s="50"/>
      <c r="AY161" s="50"/>
      <c r="AZ161" s="50"/>
      <c r="BA161" s="50">
        <f t="shared" si="345"/>
        <v>0</v>
      </c>
      <c r="BB161" s="126"/>
      <c r="BC161" s="116"/>
      <c r="BD161" s="116"/>
      <c r="BE161" s="126"/>
      <c r="BF161" s="116"/>
    </row>
    <row r="162" spans="1:97" ht="12.95" customHeight="1" x14ac:dyDescent="0.25">
      <c r="A162" s="117"/>
      <c r="B162" s="102"/>
      <c r="C162" s="119"/>
      <c r="D162" s="118"/>
      <c r="E162" s="37"/>
      <c r="F162" s="37"/>
      <c r="G162" s="127"/>
      <c r="H162" s="121"/>
      <c r="I162" s="45"/>
      <c r="J162" s="46"/>
      <c r="K162" s="46"/>
      <c r="L162" s="122"/>
      <c r="M162" s="122"/>
      <c r="N162" s="47"/>
      <c r="O162" s="48"/>
      <c r="P162" s="49"/>
      <c r="Q162" s="56"/>
      <c r="R162" s="123"/>
      <c r="S162" s="123"/>
      <c r="T162" s="50"/>
      <c r="U162" s="50"/>
      <c r="V162" s="50"/>
      <c r="W162" s="50"/>
      <c r="X162" s="55"/>
      <c r="Y162" s="55"/>
      <c r="Z162" s="50"/>
      <c r="AA162" s="53"/>
      <c r="AB162" s="53"/>
      <c r="AC162" s="50"/>
      <c r="AD162" s="50"/>
      <c r="AE162" s="101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124"/>
      <c r="BC162" s="116"/>
      <c r="BD162" s="146"/>
      <c r="BE162" s="124"/>
      <c r="BF162" s="146"/>
    </row>
    <row r="163" spans="1:97" ht="12.75" customHeight="1" x14ac:dyDescent="0.2">
      <c r="R163" s="131"/>
      <c r="S163" s="131"/>
      <c r="AA163" s="59">
        <f>U163-W163-Z163</f>
        <v>0</v>
      </c>
      <c r="AB163" s="59"/>
      <c r="AC163" s="60">
        <f>K163-T163</f>
        <v>0</v>
      </c>
      <c r="AD163" s="50"/>
      <c r="AF163" s="61"/>
      <c r="AG163" s="61"/>
      <c r="AH163" s="61"/>
      <c r="AI163" s="61"/>
      <c r="AJ163" s="61"/>
      <c r="AK163" s="61"/>
      <c r="AL163" s="61"/>
      <c r="AM163" s="50">
        <f t="shared" ref="AM163" si="346">SUM(AF163:AL163)</f>
        <v>0</v>
      </c>
      <c r="AN163" s="61"/>
      <c r="AO163" s="61"/>
      <c r="AP163" s="61"/>
      <c r="AQ163" s="61"/>
      <c r="AR163" s="50">
        <f t="shared" ref="AR163" si="347">SUM(AN163:AQ163)</f>
        <v>0</v>
      </c>
      <c r="AS163" s="61"/>
      <c r="AT163" s="61"/>
      <c r="AU163" s="61"/>
      <c r="AV163" s="61"/>
      <c r="AW163" s="61"/>
      <c r="AX163" s="61"/>
      <c r="AY163" s="61"/>
      <c r="AZ163" s="61"/>
      <c r="BA163" s="50"/>
      <c r="BB163" s="149"/>
      <c r="BC163" s="149"/>
      <c r="BD163" s="146"/>
      <c r="BE163" s="124"/>
      <c r="BF163" s="146"/>
    </row>
    <row r="164" spans="1:97" ht="12.75" customHeight="1" x14ac:dyDescent="0.2">
      <c r="A164" s="132"/>
      <c r="B164" s="133"/>
      <c r="C164" s="62">
        <f>SUM(C6:C162)</f>
        <v>1584.3519694527799</v>
      </c>
      <c r="D164" s="133"/>
      <c r="E164" s="38"/>
      <c r="F164" s="38"/>
      <c r="G164" s="63"/>
      <c r="H164" s="63"/>
      <c r="I164" s="64">
        <v>0.85</v>
      </c>
      <c r="J164" s="46"/>
      <c r="K164" s="65">
        <f>SUM(K6:K162)</f>
        <v>1637.3880088063934</v>
      </c>
      <c r="L164" s="150"/>
      <c r="M164" s="150"/>
      <c r="N164" s="149"/>
      <c r="O164" s="66">
        <f>P164/(Q164-R164-S164)</f>
        <v>268.89839225849261</v>
      </c>
      <c r="P164" s="67">
        <f>SUM(P6:P162)</f>
        <v>10861612.758497292</v>
      </c>
      <c r="Q164" s="68">
        <f>SUM(Q6:Q163)</f>
        <v>43200</v>
      </c>
      <c r="R164" s="67">
        <f t="shared" ref="R164:W164" si="348">SUM(R6:R162)</f>
        <v>1376</v>
      </c>
      <c r="S164" s="67">
        <f t="shared" si="348"/>
        <v>1431</v>
      </c>
      <c r="T164" s="67">
        <f t="shared" si="348"/>
        <v>1584.3519694527799</v>
      </c>
      <c r="U164" s="67">
        <f t="shared" si="348"/>
        <v>1483.9851412016044</v>
      </c>
      <c r="V164" s="69">
        <f t="shared" si="348"/>
        <v>105.53951342152212</v>
      </c>
      <c r="W164" s="70">
        <f t="shared" si="348"/>
        <v>1468.2629999999999</v>
      </c>
      <c r="X164" s="71">
        <f>W164/K164</f>
        <v>0.89671048774219342</v>
      </c>
      <c r="Y164" s="72">
        <f>SUM(Y6:Y162)</f>
        <v>3.2389999999999999</v>
      </c>
      <c r="Z164" s="70">
        <f>SUM(Z6:Z162)</f>
        <v>3.992016282460769</v>
      </c>
      <c r="AA164" s="67">
        <f>SUM(AA6:AA162)</f>
        <v>8.4911249191432994</v>
      </c>
      <c r="AB164" s="67">
        <f>SUM(AB6:AB162)</f>
        <v>-5.1726851703462717</v>
      </c>
      <c r="AC164" s="67">
        <f>SUM(AC6:AC162)</f>
        <v>53.036039353612985</v>
      </c>
      <c r="AD164" s="50">
        <f>SUM(AD6:AD163)</f>
        <v>2807</v>
      </c>
      <c r="AE164" s="134"/>
      <c r="AF164" s="67">
        <f t="shared" ref="AF164:BF164" si="349">SUM(AF6:AF163)</f>
        <v>9</v>
      </c>
      <c r="AG164" s="67">
        <f t="shared" si="349"/>
        <v>326</v>
      </c>
      <c r="AH164" s="67">
        <f t="shared" si="349"/>
        <v>680</v>
      </c>
      <c r="AI164" s="67">
        <f t="shared" si="349"/>
        <v>383</v>
      </c>
      <c r="AJ164" s="67">
        <f t="shared" si="349"/>
        <v>0</v>
      </c>
      <c r="AK164" s="67">
        <f t="shared" si="349"/>
        <v>33</v>
      </c>
      <c r="AL164" s="67">
        <f t="shared" si="349"/>
        <v>0</v>
      </c>
      <c r="AM164" s="67">
        <f t="shared" si="349"/>
        <v>1431</v>
      </c>
      <c r="AN164" s="61">
        <f t="shared" si="349"/>
        <v>597</v>
      </c>
      <c r="AO164" s="61">
        <f t="shared" si="349"/>
        <v>0</v>
      </c>
      <c r="AP164" s="61">
        <f t="shared" si="349"/>
        <v>170</v>
      </c>
      <c r="AQ164" s="61">
        <f t="shared" si="349"/>
        <v>0</v>
      </c>
      <c r="AR164" s="67">
        <f t="shared" si="349"/>
        <v>767</v>
      </c>
      <c r="AS164" s="67">
        <f t="shared" si="349"/>
        <v>609</v>
      </c>
      <c r="AT164" s="67">
        <f t="shared" si="349"/>
        <v>0</v>
      </c>
      <c r="AU164" s="67">
        <f t="shared" si="349"/>
        <v>0</v>
      </c>
      <c r="AV164" s="67">
        <f t="shared" si="349"/>
        <v>0</v>
      </c>
      <c r="AW164" s="67">
        <f t="shared" si="349"/>
        <v>0</v>
      </c>
      <c r="AX164" s="67">
        <f t="shared" si="349"/>
        <v>0</v>
      </c>
      <c r="AY164" s="67">
        <f t="shared" si="349"/>
        <v>0</v>
      </c>
      <c r="AZ164" s="67">
        <f t="shared" si="349"/>
        <v>0</v>
      </c>
      <c r="BA164" s="67">
        <f t="shared" si="349"/>
        <v>1376</v>
      </c>
      <c r="BB164" s="61">
        <f t="shared" si="349"/>
        <v>3</v>
      </c>
      <c r="BC164" s="61">
        <f t="shared" si="349"/>
        <v>274</v>
      </c>
      <c r="BD164" s="61">
        <f t="shared" si="349"/>
        <v>0</v>
      </c>
      <c r="BE164" s="61">
        <f t="shared" si="349"/>
        <v>0</v>
      </c>
      <c r="BF164" s="61">
        <f t="shared" si="349"/>
        <v>0</v>
      </c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  <c r="CJ164" s="128"/>
      <c r="CK164" s="128"/>
      <c r="CL164" s="128"/>
      <c r="CM164" s="128"/>
      <c r="CN164" s="128"/>
      <c r="CO164" s="128"/>
      <c r="CP164" s="128"/>
      <c r="CQ164" s="128"/>
      <c r="CR164" s="128"/>
      <c r="CS164" s="128"/>
    </row>
    <row r="165" spans="1:97" ht="12.75" customHeight="1" x14ac:dyDescent="0.2">
      <c r="A165" s="132"/>
      <c r="B165" s="133"/>
      <c r="C165" s="133"/>
      <c r="D165" s="133"/>
      <c r="E165" s="38"/>
      <c r="F165" s="38"/>
      <c r="G165" s="63"/>
      <c r="H165" s="63"/>
      <c r="I165" s="63"/>
      <c r="J165" s="73"/>
      <c r="K165" s="73"/>
      <c r="L165" s="150"/>
      <c r="M165" s="150"/>
      <c r="N165" s="149"/>
      <c r="O165" s="321"/>
      <c r="P165" s="322"/>
      <c r="Q165" s="63">
        <f>30*1440-Q164</f>
        <v>0</v>
      </c>
      <c r="R165" s="74">
        <f>R164/Q164</f>
        <v>3.1851851851851853E-2</v>
      </c>
      <c r="S165" s="74">
        <f>S164/Q164</f>
        <v>3.3125000000000002E-2</v>
      </c>
      <c r="T165" s="75"/>
      <c r="U165" s="75"/>
      <c r="V165" s="76">
        <f>V164/K164</f>
        <v>6.4456019498064634E-2</v>
      </c>
      <c r="W165" s="77" t="s">
        <v>136</v>
      </c>
      <c r="X165" s="78">
        <v>0.85</v>
      </c>
      <c r="Y165" s="79">
        <f>Y164/K164</f>
        <v>1.9781505559950531E-3</v>
      </c>
      <c r="Z165" s="80">
        <f>Z164/K164</f>
        <v>2.4380392802380597E-3</v>
      </c>
      <c r="AA165" s="80">
        <f>AA164/K164</f>
        <v>5.1857744611999903E-3</v>
      </c>
      <c r="AB165" s="80">
        <f>AB164/K164</f>
        <v>-3.1591077634170557E-3</v>
      </c>
      <c r="AC165" s="81">
        <f>AC164/K164</f>
        <v>3.2390636225725543E-2</v>
      </c>
      <c r="AD165" s="82"/>
      <c r="AE165" s="151"/>
      <c r="AF165" s="80">
        <f>AF164/$AD$164*$V$165</f>
        <v>2.0666340416194574E-4</v>
      </c>
      <c r="AG165" s="80">
        <f>AG164/$AD$164*$V$165</f>
        <v>7.4858077507549232E-3</v>
      </c>
      <c r="AH165" s="80">
        <f>AH164/$AD$164*$V$165</f>
        <v>1.5614568314458122E-2</v>
      </c>
      <c r="AI165" s="80">
        <f>AI164/$AD$164*$V$165</f>
        <v>8.7946759771139124E-3</v>
      </c>
      <c r="AJ165" s="80">
        <f t="shared" ref="AJ165:BA165" si="350">AJ164/$AD$164*$V$165</f>
        <v>0</v>
      </c>
      <c r="AK165" s="80">
        <f t="shared" si="350"/>
        <v>7.5776581526046773E-4</v>
      </c>
      <c r="AL165" s="80">
        <f t="shared" si="350"/>
        <v>0</v>
      </c>
      <c r="AM165" s="80">
        <f t="shared" si="350"/>
        <v>3.2859481261749375E-2</v>
      </c>
      <c r="AN165" s="80">
        <f t="shared" si="350"/>
        <v>1.3708672476075734E-2</v>
      </c>
      <c r="AO165" s="80">
        <f t="shared" si="350"/>
        <v>0</v>
      </c>
      <c r="AP165" s="80">
        <f t="shared" si="350"/>
        <v>3.9036420786145304E-3</v>
      </c>
      <c r="AQ165" s="80">
        <f t="shared" si="350"/>
        <v>0</v>
      </c>
      <c r="AR165" s="80">
        <f t="shared" si="350"/>
        <v>1.7612314554690263E-2</v>
      </c>
      <c r="AS165" s="80">
        <f t="shared" si="350"/>
        <v>1.3984223681624997E-2</v>
      </c>
      <c r="AT165" s="80">
        <f t="shared" si="350"/>
        <v>0</v>
      </c>
      <c r="AU165" s="80">
        <f t="shared" si="350"/>
        <v>0</v>
      </c>
      <c r="AV165" s="80">
        <f>AV164/$AD$164*$V$165</f>
        <v>0</v>
      </c>
      <c r="AW165" s="80">
        <f t="shared" ref="AW165:AZ165" si="351">AW164/$AD$164*$V$165</f>
        <v>0</v>
      </c>
      <c r="AX165" s="80">
        <f t="shared" si="351"/>
        <v>0</v>
      </c>
      <c r="AY165" s="80">
        <f t="shared" si="351"/>
        <v>0</v>
      </c>
      <c r="AZ165" s="80">
        <f t="shared" si="351"/>
        <v>0</v>
      </c>
      <c r="BA165" s="80">
        <f t="shared" si="350"/>
        <v>3.1596538236315259E-2</v>
      </c>
      <c r="BB165" s="56" t="s">
        <v>137</v>
      </c>
      <c r="BC165" s="56" t="s">
        <v>137</v>
      </c>
      <c r="BD165" s="56" t="s">
        <v>203</v>
      </c>
      <c r="BE165" s="56" t="s">
        <v>203</v>
      </c>
      <c r="BF165" s="56" t="s">
        <v>203</v>
      </c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  <c r="CJ165" s="128"/>
      <c r="CK165" s="128"/>
      <c r="CL165" s="128"/>
      <c r="CM165" s="128"/>
      <c r="CN165" s="128"/>
      <c r="CO165" s="128"/>
      <c r="CP165" s="128"/>
      <c r="CQ165" s="128"/>
      <c r="CR165" s="128"/>
      <c r="CS165" s="128"/>
    </row>
    <row r="166" spans="1:97" ht="12.75" customHeight="1" x14ac:dyDescent="0.2">
      <c r="A166" s="132"/>
      <c r="B166" s="133"/>
      <c r="C166" s="133"/>
      <c r="D166" s="133"/>
      <c r="E166" s="38"/>
      <c r="F166" s="38"/>
      <c r="G166" s="56"/>
      <c r="H166" s="56"/>
      <c r="I166" s="56"/>
      <c r="J166" s="46"/>
      <c r="K166" s="46"/>
      <c r="L166" s="122"/>
      <c r="M166" s="122"/>
      <c r="N166" s="124"/>
      <c r="O166" s="83"/>
      <c r="P166" s="84"/>
      <c r="Q166" s="56"/>
      <c r="R166" s="50">
        <f>R164-(BA164)</f>
        <v>0</v>
      </c>
      <c r="S166" s="50">
        <f>+S164-AM164</f>
        <v>0</v>
      </c>
      <c r="T166" s="124"/>
      <c r="U166" s="124"/>
      <c r="V166" s="124"/>
      <c r="W166" s="135"/>
      <c r="X166" s="136"/>
      <c r="Y166" s="152">
        <f>+Y164-(SUM([4]RBP!AG3:AG4))</f>
        <v>0</v>
      </c>
      <c r="Z166" s="50">
        <f>+Z164-'[4]31'!J56/1000</f>
        <v>1.628246076901263E-5</v>
      </c>
      <c r="AA166" s="124"/>
      <c r="AB166" s="124"/>
      <c r="AC166" s="124"/>
      <c r="AD166" s="124"/>
      <c r="AE166" s="151"/>
      <c r="AF166" s="85"/>
      <c r="AG166" s="85"/>
      <c r="AH166" s="85"/>
      <c r="AI166" s="85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  <c r="AV166" s="86"/>
      <c r="AW166" s="86"/>
      <c r="AX166" s="147">
        <f>0.5%*1440*31</f>
        <v>223.20000000000002</v>
      </c>
      <c r="AY166" s="86"/>
      <c r="AZ166" s="86"/>
      <c r="BA166" s="86"/>
      <c r="BB166" s="87">
        <f>BB164/($Q$164/1440)/2</f>
        <v>0.05</v>
      </c>
      <c r="BC166" s="87">
        <f>BC164/($Q$164/1440)/2</f>
        <v>4.5666666666666664</v>
      </c>
      <c r="BD166" s="87">
        <f>BD164/($Q$164/1440)</f>
        <v>0</v>
      </c>
      <c r="BE166" s="87">
        <f t="shared" ref="BE166:BF166" si="352">BE164/($Q$164/1440)</f>
        <v>0</v>
      </c>
      <c r="BF166" s="87">
        <f t="shared" si="352"/>
        <v>0</v>
      </c>
    </row>
    <row r="167" spans="1:97" ht="12.75" customHeight="1" x14ac:dyDescent="0.2">
      <c r="A167" s="137"/>
      <c r="B167" s="138"/>
      <c r="C167" s="138"/>
      <c r="D167" s="138"/>
      <c r="E167" s="39"/>
      <c r="F167" s="39"/>
      <c r="G167" s="88"/>
      <c r="H167" s="88"/>
      <c r="I167" s="88"/>
      <c r="J167" s="89"/>
      <c r="K167" s="89"/>
      <c r="O167" s="90"/>
      <c r="P167" s="91"/>
      <c r="Q167" s="88"/>
      <c r="R167" s="92"/>
      <c r="S167" s="92"/>
      <c r="U167" s="139"/>
      <c r="V167" s="139"/>
      <c r="W167" s="93" t="s">
        <v>138</v>
      </c>
      <c r="X167" s="160">
        <f>W164/U164</f>
        <v>0.98940545914841571</v>
      </c>
      <c r="Y167" s="160"/>
      <c r="Z167" s="92"/>
      <c r="AD167" s="125"/>
      <c r="AE167" s="140"/>
      <c r="AF167" s="94"/>
      <c r="AG167" s="94"/>
      <c r="AH167" s="94"/>
      <c r="AI167" s="94"/>
      <c r="AJ167" s="94"/>
      <c r="AK167" s="94"/>
      <c r="AL167" s="94"/>
      <c r="AM167" s="94"/>
      <c r="AN167" s="86"/>
      <c r="AO167" s="86"/>
      <c r="AP167" s="86"/>
      <c r="AQ167" s="86"/>
      <c r="AR167" s="86"/>
      <c r="AS167" s="94"/>
      <c r="AT167" s="94"/>
      <c r="AU167" s="94"/>
      <c r="AV167" s="94"/>
      <c r="AW167" s="94"/>
      <c r="AX167" s="94"/>
      <c r="AY167" s="94"/>
      <c r="AZ167" s="94"/>
      <c r="BA167" s="86"/>
      <c r="BB167" s="128"/>
      <c r="BC167" s="86"/>
      <c r="BD167" s="86"/>
      <c r="BE167" s="128"/>
      <c r="BF167" s="86"/>
    </row>
    <row r="168" spans="1:97" ht="12.75" customHeight="1" x14ac:dyDescent="0.2">
      <c r="A168" s="137"/>
      <c r="B168" s="138"/>
      <c r="C168" s="138"/>
      <c r="D168" s="138"/>
      <c r="E168" s="39"/>
      <c r="F168" s="39"/>
      <c r="G168" s="88"/>
      <c r="H168" s="88"/>
      <c r="I168" s="88"/>
      <c r="J168" s="89"/>
      <c r="K168" s="89"/>
      <c r="O168" s="90"/>
      <c r="P168" s="91"/>
      <c r="Q168" s="88"/>
      <c r="R168" s="92"/>
      <c r="S168" s="92"/>
      <c r="U168" s="139"/>
      <c r="V168" s="139"/>
      <c r="W168" s="93"/>
      <c r="X168" s="86"/>
      <c r="Y168" s="86"/>
      <c r="Z168" s="92"/>
      <c r="AA168" s="141"/>
      <c r="AB168" s="141"/>
      <c r="AD168" s="125"/>
      <c r="AE168" s="140"/>
      <c r="AF168" s="94"/>
      <c r="AG168" s="94"/>
      <c r="AH168" s="94"/>
      <c r="AI168" s="94"/>
      <c r="AJ168" s="94"/>
      <c r="AK168" s="94"/>
      <c r="AL168" s="94"/>
      <c r="AM168" s="94"/>
      <c r="AN168" s="94"/>
      <c r="AO168" s="86"/>
      <c r="AP168" s="86"/>
      <c r="AQ168" s="86"/>
      <c r="AR168" s="94"/>
      <c r="AS168" s="86"/>
      <c r="AT168" s="86"/>
      <c r="AU168" s="86"/>
      <c r="AV168" s="86"/>
      <c r="AW168" s="86"/>
      <c r="AX168" s="86"/>
      <c r="AY168" s="86"/>
      <c r="AZ168" s="86"/>
      <c r="BA168" s="86"/>
      <c r="BB168" s="128"/>
      <c r="BC168" s="86"/>
      <c r="BD168" s="86"/>
      <c r="BE168" s="128"/>
      <c r="BF168" s="86"/>
    </row>
    <row r="169" spans="1:97" ht="12.75" customHeight="1" x14ac:dyDescent="0.2">
      <c r="A169" s="137"/>
      <c r="B169" s="138"/>
      <c r="C169" s="138"/>
      <c r="D169" s="138"/>
      <c r="E169" s="39"/>
      <c r="F169" s="39"/>
      <c r="G169" s="88"/>
      <c r="H169" s="88"/>
      <c r="I169" s="88"/>
      <c r="J169" s="89"/>
      <c r="K169" s="89"/>
      <c r="O169" s="90"/>
      <c r="P169" s="91"/>
      <c r="Q169" s="88"/>
      <c r="R169" s="95"/>
      <c r="S169" s="92"/>
      <c r="U169" s="139"/>
      <c r="V169" s="139"/>
      <c r="W169" s="93" t="s">
        <v>139</v>
      </c>
      <c r="X169" s="85">
        <f>+W164+Y164</f>
        <v>1471.502</v>
      </c>
      <c r="Y169" s="86"/>
      <c r="Z169" s="92"/>
      <c r="AD169" s="125"/>
      <c r="AE169" s="140"/>
      <c r="AF169" s="125"/>
      <c r="AG169" s="125"/>
      <c r="AH169" s="125"/>
      <c r="AI169" s="125"/>
      <c r="AJ169" s="86"/>
      <c r="AK169" s="86"/>
      <c r="AL169" s="86"/>
      <c r="AM169" s="94"/>
      <c r="AN169" s="86"/>
      <c r="AO169" s="86"/>
      <c r="AP169" s="86"/>
      <c r="AQ169" s="86"/>
      <c r="AR169" s="94"/>
      <c r="AS169" s="86"/>
      <c r="AT169" s="86"/>
      <c r="AU169" s="86"/>
      <c r="AV169" s="86"/>
      <c r="AW169" s="86"/>
      <c r="AX169" s="86"/>
      <c r="AY169" s="86"/>
      <c r="AZ169" s="86"/>
      <c r="BA169" s="86"/>
      <c r="BB169" s="128"/>
      <c r="BC169" s="86"/>
      <c r="BD169" s="86"/>
      <c r="BE169" s="128"/>
      <c r="BF169" s="86"/>
    </row>
    <row r="170" spans="1:97" ht="12.75" customHeight="1" x14ac:dyDescent="0.2">
      <c r="A170" s="137"/>
      <c r="C170" s="138" t="s">
        <v>140</v>
      </c>
      <c r="D170" s="138"/>
      <c r="E170" s="39"/>
      <c r="F170" s="39"/>
      <c r="G170" s="88"/>
      <c r="H170" s="88"/>
      <c r="I170" s="88"/>
      <c r="J170" s="89"/>
      <c r="K170" s="89"/>
      <c r="O170" s="90"/>
      <c r="P170" s="91"/>
      <c r="Q170" s="88"/>
      <c r="R170" s="95"/>
      <c r="S170" s="92"/>
      <c r="U170" s="139"/>
      <c r="V170" s="142"/>
      <c r="W170" s="96"/>
      <c r="X170" s="97"/>
      <c r="Y170" s="96"/>
      <c r="Z170" s="97"/>
      <c r="AD170" s="98"/>
      <c r="AE170" s="140"/>
      <c r="AF170" s="98"/>
      <c r="AG170" s="98"/>
      <c r="AH170" s="98"/>
      <c r="AI170" s="98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86"/>
      <c r="AW170" s="86"/>
      <c r="AX170" s="86"/>
      <c r="AY170" s="86"/>
      <c r="AZ170" s="86"/>
      <c r="BA170" s="86"/>
      <c r="BB170" s="128"/>
      <c r="BC170" s="86"/>
      <c r="BD170" s="86"/>
      <c r="BE170" s="128"/>
      <c r="BF170" s="86"/>
    </row>
    <row r="171" spans="1:97" ht="12.75" customHeight="1" x14ac:dyDescent="0.2">
      <c r="A171" s="137"/>
      <c r="B171" s="138"/>
      <c r="C171" s="138" t="s">
        <v>141</v>
      </c>
      <c r="D171" s="138"/>
      <c r="E171" s="39"/>
      <c r="F171" s="39"/>
      <c r="G171" s="88"/>
      <c r="H171" s="88"/>
      <c r="I171" s="88"/>
      <c r="J171" s="89"/>
      <c r="K171" s="89"/>
      <c r="O171" s="90"/>
      <c r="P171" s="91"/>
      <c r="Q171" s="88"/>
      <c r="R171" s="95"/>
      <c r="S171" s="92"/>
      <c r="V171" s="103"/>
      <c r="W171" s="143" t="s">
        <v>190</v>
      </c>
      <c r="X171" s="103"/>
      <c r="Y171" s="103"/>
      <c r="Z171" s="97"/>
      <c r="AE171" s="140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  <c r="AP171" s="92"/>
      <c r="AQ171" s="92"/>
      <c r="AS171" s="92"/>
      <c r="AT171" s="92"/>
      <c r="AU171" s="92"/>
      <c r="AV171" s="92"/>
      <c r="AW171" s="92"/>
      <c r="AX171" s="92"/>
      <c r="AY171" s="92"/>
      <c r="AZ171" s="92"/>
      <c r="BA171" s="92"/>
      <c r="BB171" s="128"/>
      <c r="BE171" s="128"/>
    </row>
    <row r="172" spans="1:97" ht="12.75" customHeight="1" x14ac:dyDescent="0.2">
      <c r="A172" s="137"/>
      <c r="B172" s="138"/>
      <c r="C172" s="138"/>
      <c r="D172" s="138"/>
      <c r="E172" s="39"/>
      <c r="F172" s="39"/>
      <c r="G172" s="88"/>
      <c r="H172" s="88"/>
      <c r="I172" s="88"/>
      <c r="J172" s="89"/>
      <c r="K172" s="89"/>
      <c r="O172" s="90"/>
      <c r="P172" s="91"/>
      <c r="Q172" s="88"/>
      <c r="R172" s="95"/>
      <c r="S172" s="92"/>
      <c r="V172" s="103"/>
      <c r="W172" s="104" t="s">
        <v>181</v>
      </c>
      <c r="X172" s="144">
        <f>Y165</f>
        <v>1.9781505559950531E-3</v>
      </c>
      <c r="Y172" s="145"/>
      <c r="Z172" s="97"/>
      <c r="AE172" s="140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  <c r="AP172" s="92"/>
      <c r="AQ172" s="92"/>
      <c r="AS172" s="92"/>
      <c r="AT172" s="92"/>
      <c r="AU172" s="92"/>
      <c r="AV172" s="92"/>
      <c r="AW172" s="92"/>
      <c r="AX172" s="92"/>
      <c r="AY172" s="92"/>
      <c r="AZ172" s="92"/>
      <c r="BA172" s="92"/>
      <c r="BB172" s="128"/>
      <c r="BE172" s="128"/>
    </row>
    <row r="173" spans="1:97" ht="12.75" customHeight="1" x14ac:dyDescent="0.2">
      <c r="R173" s="141"/>
      <c r="V173" s="103"/>
      <c r="W173" s="104" t="s">
        <v>143</v>
      </c>
      <c r="X173" s="105">
        <f>Z165</f>
        <v>2.4380392802380597E-3</v>
      </c>
      <c r="Y173" s="106"/>
      <c r="Z173" s="103"/>
    </row>
    <row r="174" spans="1:97" ht="12.75" customHeight="1" x14ac:dyDescent="0.2">
      <c r="R174" s="141"/>
      <c r="V174" s="103"/>
      <c r="W174" s="104" t="s">
        <v>144</v>
      </c>
      <c r="X174" s="105">
        <f>AC165</f>
        <v>3.2390636225725543E-2</v>
      </c>
      <c r="Y174" s="105"/>
      <c r="Z174" s="103"/>
    </row>
    <row r="175" spans="1:97" ht="12.75" customHeight="1" x14ac:dyDescent="0.2">
      <c r="R175" s="141"/>
      <c r="V175" s="103"/>
      <c r="W175" s="104" t="s">
        <v>145</v>
      </c>
      <c r="X175" s="105">
        <f>AA165</f>
        <v>5.1857744611999903E-3</v>
      </c>
      <c r="Y175" s="106"/>
      <c r="Z175" s="103"/>
    </row>
    <row r="176" spans="1:97" ht="12.75" customHeight="1" x14ac:dyDescent="0.2">
      <c r="V176" s="103"/>
      <c r="W176" s="104" t="s">
        <v>146</v>
      </c>
      <c r="X176" s="105">
        <f>AB165</f>
        <v>-3.1591077634170557E-3</v>
      </c>
      <c r="Y176" s="106" t="s">
        <v>147</v>
      </c>
      <c r="Z176" s="103"/>
    </row>
    <row r="177" spans="6:26" ht="12.75" customHeight="1" x14ac:dyDescent="0.2">
      <c r="F177" s="114"/>
      <c r="J177" s="114"/>
      <c r="K177" s="114"/>
      <c r="L177" s="114"/>
      <c r="M177" s="114"/>
      <c r="Q177" s="114"/>
      <c r="V177" s="103"/>
      <c r="W177" s="104" t="s">
        <v>148</v>
      </c>
      <c r="X177" s="105">
        <f>AF165</f>
        <v>2.0666340416194574E-4</v>
      </c>
      <c r="Y177" s="106"/>
      <c r="Z177" s="103"/>
    </row>
    <row r="178" spans="6:26" ht="12.75" customHeight="1" x14ac:dyDescent="0.2">
      <c r="F178" s="114"/>
      <c r="J178" s="114"/>
      <c r="K178" s="114"/>
      <c r="L178" s="114"/>
      <c r="M178" s="114"/>
      <c r="Q178" s="114"/>
      <c r="V178" s="103"/>
      <c r="W178" s="104" t="s">
        <v>149</v>
      </c>
      <c r="X178" s="105">
        <f>+AG165</f>
        <v>7.4858077507549232E-3</v>
      </c>
      <c r="Y178" s="106"/>
      <c r="Z178" s="103"/>
    </row>
    <row r="179" spans="6:26" ht="12.75" customHeight="1" x14ac:dyDescent="0.2">
      <c r="F179" s="114"/>
      <c r="J179" s="114"/>
      <c r="K179" s="114"/>
      <c r="L179" s="114"/>
      <c r="M179" s="114"/>
      <c r="Q179" s="114"/>
      <c r="V179" s="103"/>
      <c r="W179" s="104" t="s">
        <v>150</v>
      </c>
      <c r="X179" s="105">
        <f>+AH165</f>
        <v>1.5614568314458122E-2</v>
      </c>
      <c r="Y179" s="106"/>
      <c r="Z179" s="103"/>
    </row>
    <row r="180" spans="6:26" ht="12.75" customHeight="1" x14ac:dyDescent="0.2">
      <c r="F180" s="114"/>
      <c r="J180" s="114"/>
      <c r="K180" s="114"/>
      <c r="L180" s="114"/>
      <c r="M180" s="114"/>
      <c r="Q180" s="114"/>
      <c r="V180" s="103"/>
      <c r="W180" s="104" t="s">
        <v>151</v>
      </c>
      <c r="X180" s="105">
        <f>+AI165</f>
        <v>8.7946759771139124E-3</v>
      </c>
      <c r="Y180" s="106"/>
      <c r="Z180" s="103"/>
    </row>
    <row r="181" spans="6:26" ht="12.75" customHeight="1" x14ac:dyDescent="0.2">
      <c r="F181" s="114"/>
      <c r="J181" s="114"/>
      <c r="K181" s="114"/>
      <c r="L181" s="114"/>
      <c r="M181" s="114"/>
      <c r="Q181" s="114"/>
      <c r="V181" s="103"/>
      <c r="W181" s="104" t="s">
        <v>152</v>
      </c>
      <c r="X181" s="105">
        <f>+AJ165</f>
        <v>0</v>
      </c>
      <c r="Y181" s="106"/>
      <c r="Z181" s="103"/>
    </row>
    <row r="182" spans="6:26" ht="12.75" customHeight="1" x14ac:dyDescent="0.2">
      <c r="F182" s="114"/>
      <c r="J182" s="114"/>
      <c r="K182" s="114"/>
      <c r="L182" s="114"/>
      <c r="M182" s="114"/>
      <c r="Q182" s="114"/>
      <c r="V182" s="103"/>
      <c r="W182" s="104" t="s">
        <v>154</v>
      </c>
      <c r="X182" s="105">
        <f>+AK165</f>
        <v>7.5776581526046773E-4</v>
      </c>
      <c r="Y182" s="106"/>
      <c r="Z182" s="103"/>
    </row>
    <row r="183" spans="6:26" ht="12.75" customHeight="1" x14ac:dyDescent="0.2">
      <c r="F183" s="114"/>
      <c r="J183" s="114"/>
      <c r="K183" s="114"/>
      <c r="L183" s="114"/>
      <c r="M183" s="114"/>
      <c r="Q183" s="114"/>
      <c r="V183" s="103"/>
      <c r="W183" s="104" t="s">
        <v>153</v>
      </c>
      <c r="X183" s="105">
        <f>+AL165</f>
        <v>0</v>
      </c>
      <c r="Y183" s="106"/>
      <c r="Z183" s="103"/>
    </row>
    <row r="184" spans="6:26" ht="12.75" customHeight="1" x14ac:dyDescent="0.2">
      <c r="F184" s="114"/>
      <c r="J184" s="114"/>
      <c r="K184" s="114"/>
      <c r="L184" s="114"/>
      <c r="M184" s="114"/>
      <c r="Q184" s="114"/>
      <c r="V184" s="103"/>
      <c r="W184" s="104" t="s">
        <v>155</v>
      </c>
      <c r="X184" s="105">
        <f>+AN165</f>
        <v>1.3708672476075734E-2</v>
      </c>
      <c r="Y184" s="106"/>
      <c r="Z184" s="103"/>
    </row>
    <row r="185" spans="6:26" ht="12.75" customHeight="1" x14ac:dyDescent="0.2">
      <c r="F185" s="114"/>
      <c r="J185" s="114"/>
      <c r="K185" s="114"/>
      <c r="L185" s="114"/>
      <c r="M185" s="114"/>
      <c r="Q185" s="114"/>
      <c r="V185" s="103"/>
      <c r="W185" s="104" t="s">
        <v>158</v>
      </c>
      <c r="X185" s="105">
        <f>+AO165</f>
        <v>0</v>
      </c>
      <c r="Y185" s="106"/>
      <c r="Z185" s="103"/>
    </row>
    <row r="186" spans="6:26" ht="12.75" customHeight="1" x14ac:dyDescent="0.2">
      <c r="F186" s="114"/>
      <c r="J186" s="114"/>
      <c r="K186" s="114"/>
      <c r="L186" s="114"/>
      <c r="M186" s="114"/>
      <c r="Q186" s="114"/>
      <c r="V186" s="103"/>
      <c r="W186" s="104" t="s">
        <v>157</v>
      </c>
      <c r="X186" s="105">
        <f>+AP165</f>
        <v>3.9036420786145304E-3</v>
      </c>
      <c r="Y186" s="106"/>
      <c r="Z186" s="103"/>
    </row>
    <row r="187" spans="6:26" ht="12.75" customHeight="1" x14ac:dyDescent="0.2">
      <c r="F187" s="114"/>
      <c r="J187" s="114"/>
      <c r="K187" s="114"/>
      <c r="L187" s="114"/>
      <c r="M187" s="114"/>
      <c r="Q187" s="114"/>
      <c r="V187" s="103"/>
      <c r="W187" s="104" t="s">
        <v>156</v>
      </c>
      <c r="X187" s="105">
        <f>+AQ165</f>
        <v>0</v>
      </c>
      <c r="Y187" s="106"/>
      <c r="Z187" s="103"/>
    </row>
    <row r="188" spans="6:26" ht="12.75" customHeight="1" x14ac:dyDescent="0.2">
      <c r="F188" s="114"/>
      <c r="J188" s="114"/>
      <c r="K188" s="114"/>
      <c r="L188" s="114"/>
      <c r="M188" s="114"/>
      <c r="Q188" s="114"/>
      <c r="V188" s="103"/>
      <c r="W188" s="104" t="s">
        <v>159</v>
      </c>
      <c r="X188" s="105">
        <f>+AS165</f>
        <v>1.3984223681624997E-2</v>
      </c>
      <c r="Y188" s="106"/>
      <c r="Z188" s="103"/>
    </row>
    <row r="189" spans="6:26" ht="12.75" customHeight="1" x14ac:dyDescent="0.2">
      <c r="F189" s="114"/>
      <c r="J189" s="114"/>
      <c r="K189" s="114"/>
      <c r="L189" s="114"/>
      <c r="M189" s="114"/>
      <c r="Q189" s="114"/>
      <c r="V189" s="103"/>
      <c r="W189" s="104" t="s">
        <v>185</v>
      </c>
      <c r="X189" s="105">
        <f>+AT165</f>
        <v>0</v>
      </c>
      <c r="Y189" s="106"/>
      <c r="Z189" s="103"/>
    </row>
    <row r="190" spans="6:26" ht="12.75" customHeight="1" x14ac:dyDescent="0.2">
      <c r="F190" s="114"/>
      <c r="J190" s="114"/>
      <c r="K190" s="114"/>
      <c r="L190" s="114"/>
      <c r="M190" s="114"/>
      <c r="Q190" s="114"/>
      <c r="V190" s="103"/>
      <c r="W190" s="104" t="s">
        <v>186</v>
      </c>
      <c r="X190" s="105">
        <f>+AU165</f>
        <v>0</v>
      </c>
      <c r="Y190" s="106"/>
      <c r="Z190" s="103"/>
    </row>
    <row r="191" spans="6:26" ht="12.75" customHeight="1" x14ac:dyDescent="0.2">
      <c r="F191" s="114"/>
      <c r="J191" s="114"/>
      <c r="K191" s="114"/>
      <c r="L191" s="114"/>
      <c r="M191" s="114"/>
      <c r="Q191" s="114"/>
      <c r="V191" s="103"/>
      <c r="W191" s="104" t="s">
        <v>40</v>
      </c>
      <c r="X191" s="105">
        <f>+AW165</f>
        <v>0</v>
      </c>
      <c r="Y191" s="106"/>
      <c r="Z191" s="103"/>
    </row>
    <row r="192" spans="6:26" ht="12.75" customHeight="1" x14ac:dyDescent="0.2">
      <c r="F192" s="114"/>
      <c r="J192" s="114"/>
      <c r="K192" s="114"/>
      <c r="L192" s="114"/>
      <c r="M192" s="114"/>
      <c r="Q192" s="114"/>
      <c r="V192" s="103"/>
      <c r="W192" s="104" t="s">
        <v>193</v>
      </c>
      <c r="X192" s="105">
        <f>+AV165</f>
        <v>0</v>
      </c>
      <c r="Y192" s="106"/>
      <c r="Z192" s="103"/>
    </row>
    <row r="193" spans="6:26" ht="12.75" customHeight="1" x14ac:dyDescent="0.2">
      <c r="F193" s="114"/>
      <c r="J193" s="114"/>
      <c r="K193" s="114"/>
      <c r="L193" s="114"/>
      <c r="M193" s="114"/>
      <c r="Q193" s="114"/>
      <c r="V193" s="103"/>
      <c r="W193" s="103" t="s">
        <v>171</v>
      </c>
      <c r="X193" s="105">
        <f>+AX165+AY165</f>
        <v>0</v>
      </c>
      <c r="Y193" s="105"/>
      <c r="Z193" s="103"/>
    </row>
    <row r="194" spans="6:26" ht="12.75" customHeight="1" x14ac:dyDescent="0.2">
      <c r="F194" s="114"/>
      <c r="J194" s="114"/>
      <c r="K194" s="114"/>
      <c r="L194" s="114"/>
      <c r="M194" s="114"/>
      <c r="Q194" s="114"/>
      <c r="V194" s="103"/>
      <c r="W194" s="103" t="s">
        <v>194</v>
      </c>
      <c r="X194" s="105">
        <f>+AZ166</f>
        <v>0</v>
      </c>
      <c r="Y194" s="103"/>
      <c r="Z194" s="103"/>
    </row>
    <row r="195" spans="6:26" ht="12.75" customHeight="1" x14ac:dyDescent="0.2">
      <c r="F195" s="114"/>
      <c r="J195" s="114"/>
      <c r="K195" s="114"/>
      <c r="L195" s="114"/>
      <c r="M195" s="114"/>
      <c r="Q195" s="114"/>
      <c r="V195" s="103"/>
      <c r="W195" s="103"/>
      <c r="X195" s="107">
        <f>SUM(X172:X194)</f>
        <v>0.10328951225780622</v>
      </c>
      <c r="Y195" s="103"/>
      <c r="Z195" s="103"/>
    </row>
    <row r="196" spans="6:26" ht="12.75" customHeight="1" x14ac:dyDescent="0.2">
      <c r="F196" s="114"/>
      <c r="J196" s="114"/>
      <c r="K196" s="114"/>
      <c r="L196" s="114"/>
      <c r="M196" s="114"/>
      <c r="Q196" s="114"/>
    </row>
    <row r="197" spans="6:26" ht="12.75" customHeight="1" x14ac:dyDescent="0.2">
      <c r="F197" s="114"/>
      <c r="J197" s="114"/>
      <c r="K197" s="114"/>
      <c r="L197" s="114"/>
      <c r="M197" s="114"/>
      <c r="Q197" s="114"/>
      <c r="X197" s="141">
        <f>+X195+X164</f>
        <v>0.99999999999999967</v>
      </c>
    </row>
    <row r="198" spans="6:26" ht="12.75" customHeight="1" x14ac:dyDescent="0.2">
      <c r="F198" s="114"/>
      <c r="J198" s="114"/>
      <c r="K198" s="114"/>
      <c r="L198" s="114"/>
      <c r="M198" s="114"/>
      <c r="Q198" s="114"/>
    </row>
    <row r="199" spans="6:26" ht="12.75" customHeight="1" x14ac:dyDescent="0.2">
      <c r="F199" s="114"/>
      <c r="J199" s="114"/>
      <c r="K199" s="114"/>
      <c r="L199" s="114"/>
      <c r="M199" s="114"/>
      <c r="Q199" s="114"/>
    </row>
    <row r="200" spans="6:26" ht="12.75" customHeight="1" x14ac:dyDescent="0.2">
      <c r="F200" s="114"/>
      <c r="J200" s="114"/>
      <c r="K200" s="114"/>
      <c r="L200" s="114"/>
      <c r="M200" s="114"/>
      <c r="Q200" s="114"/>
    </row>
    <row r="201" spans="6:26" ht="12.75" customHeight="1" x14ac:dyDescent="0.2">
      <c r="F201" s="114"/>
      <c r="J201" s="114"/>
      <c r="K201" s="114"/>
      <c r="L201" s="114"/>
      <c r="M201" s="114"/>
      <c r="Q201" s="114"/>
    </row>
    <row r="202" spans="6:26" ht="12.75" customHeight="1" x14ac:dyDescent="0.2">
      <c r="F202" s="114"/>
      <c r="J202" s="114"/>
      <c r="K202" s="114"/>
      <c r="L202" s="114"/>
      <c r="M202" s="114"/>
      <c r="Q202" s="114"/>
    </row>
    <row r="203" spans="6:26" ht="12.75" customHeight="1" x14ac:dyDescent="0.2">
      <c r="F203" s="114"/>
      <c r="J203" s="114"/>
      <c r="K203" s="114"/>
      <c r="L203" s="114"/>
      <c r="M203" s="114"/>
      <c r="Q203" s="114"/>
    </row>
    <row r="204" spans="6:26" ht="12.75" customHeight="1" x14ac:dyDescent="0.2">
      <c r="F204" s="114"/>
      <c r="J204" s="114"/>
      <c r="K204" s="114"/>
      <c r="L204" s="114"/>
      <c r="M204" s="114"/>
      <c r="Q204" s="114"/>
    </row>
    <row r="205" spans="6:26" ht="12.75" customHeight="1" x14ac:dyDescent="0.2">
      <c r="F205" s="114"/>
      <c r="J205" s="114"/>
      <c r="K205" s="114"/>
      <c r="L205" s="114"/>
      <c r="M205" s="114"/>
      <c r="Q205" s="114"/>
    </row>
    <row r="206" spans="6:26" ht="12.75" customHeight="1" x14ac:dyDescent="0.2">
      <c r="F206" s="114"/>
      <c r="J206" s="114"/>
      <c r="K206" s="114"/>
      <c r="L206" s="114"/>
      <c r="M206" s="114"/>
      <c r="Q206" s="114"/>
    </row>
    <row r="207" spans="6:26" ht="12.75" customHeight="1" x14ac:dyDescent="0.2">
      <c r="F207" s="114"/>
      <c r="J207" s="114"/>
      <c r="K207" s="114"/>
      <c r="L207" s="114"/>
      <c r="M207" s="114"/>
      <c r="Q207" s="114"/>
    </row>
    <row r="208" spans="6:26" ht="12.75" customHeight="1" x14ac:dyDescent="0.2">
      <c r="F208" s="114"/>
      <c r="J208" s="114"/>
      <c r="K208" s="114"/>
      <c r="L208" s="114"/>
      <c r="M208" s="114"/>
      <c r="Q208" s="114"/>
    </row>
    <row r="209" s="114" customFormat="1" ht="12.75" customHeight="1" x14ac:dyDescent="0.2"/>
    <row r="210" s="114" customFormat="1" ht="12.75" customHeight="1" x14ac:dyDescent="0.2"/>
    <row r="211" s="114" customFormat="1" ht="12.75" customHeight="1" x14ac:dyDescent="0.2"/>
    <row r="212" s="114" customFormat="1" ht="12.75" customHeight="1" x14ac:dyDescent="0.2"/>
    <row r="213" s="114" customFormat="1" ht="12.75" customHeight="1" x14ac:dyDescent="0.2"/>
    <row r="214" s="114" customFormat="1" ht="12.75" customHeight="1" x14ac:dyDescent="0.2"/>
    <row r="215" s="114" customFormat="1" ht="12.75" customHeight="1" x14ac:dyDescent="0.2"/>
    <row r="216" s="114" customFormat="1" ht="12.75" customHeight="1" x14ac:dyDescent="0.2"/>
    <row r="217" s="114" customFormat="1" ht="12.75" customHeight="1" x14ac:dyDescent="0.2"/>
    <row r="218" s="114" customFormat="1" ht="12.75" customHeight="1" x14ac:dyDescent="0.2"/>
    <row r="219" s="114" customFormat="1" ht="12.75" customHeight="1" x14ac:dyDescent="0.2"/>
    <row r="220" s="114" customFormat="1" ht="12.75" customHeight="1" x14ac:dyDescent="0.2"/>
    <row r="221" s="114" customFormat="1" ht="12.75" customHeight="1" x14ac:dyDescent="0.2"/>
    <row r="222" s="114" customFormat="1" ht="12.75" customHeight="1" x14ac:dyDescent="0.2"/>
    <row r="223" s="114" customFormat="1" ht="12.75" customHeight="1" x14ac:dyDescent="0.2"/>
    <row r="224" s="114" customFormat="1" ht="12.75" customHeight="1" x14ac:dyDescent="0.2"/>
    <row r="225" s="114" customFormat="1" ht="12.75" customHeight="1" x14ac:dyDescent="0.2"/>
    <row r="226" s="114" customFormat="1" ht="12.75" customHeight="1" x14ac:dyDescent="0.2"/>
    <row r="227" s="114" customFormat="1" ht="12.75" customHeight="1" x14ac:dyDescent="0.2"/>
    <row r="228" s="114" customFormat="1" ht="12.75" customHeight="1" x14ac:dyDescent="0.2"/>
    <row r="229" s="114" customFormat="1" ht="12.75" customHeight="1" x14ac:dyDescent="0.2"/>
    <row r="230" s="114" customFormat="1" ht="12.75" customHeight="1" x14ac:dyDescent="0.2"/>
    <row r="231" s="114" customFormat="1" ht="12.75" customHeight="1" x14ac:dyDescent="0.2"/>
    <row r="232" s="114" customFormat="1" ht="12.75" customHeight="1" x14ac:dyDescent="0.2"/>
    <row r="233" s="114" customFormat="1" ht="12.75" customHeight="1" x14ac:dyDescent="0.2"/>
    <row r="234" s="114" customFormat="1" ht="12.75" customHeight="1" x14ac:dyDescent="0.2"/>
    <row r="235" s="114" customFormat="1" ht="12.75" customHeight="1" x14ac:dyDescent="0.2"/>
    <row r="236" s="114" customFormat="1" ht="12.75" customHeight="1" x14ac:dyDescent="0.2"/>
    <row r="237" s="114" customFormat="1" ht="12.75" customHeight="1" x14ac:dyDescent="0.2"/>
    <row r="238" s="114" customFormat="1" ht="12.75" customHeight="1" x14ac:dyDescent="0.2"/>
    <row r="239" s="114" customFormat="1" ht="12.75" customHeight="1" x14ac:dyDescent="0.2"/>
    <row r="240" s="114" customFormat="1" ht="12.75" customHeight="1" x14ac:dyDescent="0.2"/>
    <row r="241" spans="6:17" ht="12.75" customHeight="1" x14ac:dyDescent="0.2">
      <c r="F241" s="114"/>
      <c r="J241" s="114"/>
      <c r="K241" s="114"/>
      <c r="L241" s="114"/>
      <c r="M241" s="114"/>
      <c r="Q241" s="114"/>
    </row>
    <row r="242" spans="6:17" ht="12.75" customHeight="1" x14ac:dyDescent="0.2">
      <c r="F242" s="114"/>
      <c r="J242" s="114"/>
      <c r="K242" s="114"/>
      <c r="L242" s="114"/>
      <c r="M242" s="114"/>
      <c r="Q242" s="114"/>
    </row>
    <row r="243" spans="6:17" ht="12.75" customHeight="1" x14ac:dyDescent="0.2">
      <c r="F243" s="114"/>
      <c r="J243" s="114"/>
      <c r="K243" s="114"/>
      <c r="L243" s="114"/>
      <c r="M243" s="114"/>
      <c r="Q243" s="114"/>
    </row>
    <row r="244" spans="6:17" ht="12.75" customHeight="1" x14ac:dyDescent="0.2">
      <c r="F244" s="114"/>
      <c r="J244" s="114"/>
      <c r="K244" s="114"/>
      <c r="L244" s="114"/>
      <c r="M244" s="114"/>
      <c r="Q244" s="114"/>
    </row>
    <row r="245" spans="6:17" x14ac:dyDescent="0.2">
      <c r="F245" s="114"/>
      <c r="J245" s="114"/>
      <c r="K245" s="114"/>
      <c r="L245" s="114"/>
      <c r="M245" s="114"/>
      <c r="Q245" s="114"/>
    </row>
    <row r="246" spans="6:17" x14ac:dyDescent="0.2">
      <c r="F246" s="114"/>
      <c r="J246" s="114"/>
      <c r="K246" s="114"/>
      <c r="L246" s="114"/>
      <c r="M246" s="114"/>
      <c r="Q246" s="114"/>
    </row>
    <row r="247" spans="6:17" x14ac:dyDescent="0.2">
      <c r="F247" s="114"/>
      <c r="J247" s="114"/>
      <c r="K247" s="114"/>
      <c r="L247" s="114"/>
      <c r="M247" s="114"/>
      <c r="Q247" s="114"/>
    </row>
    <row r="248" spans="6:17" x14ac:dyDescent="0.2">
      <c r="F248" s="114"/>
      <c r="J248" s="114"/>
      <c r="K248" s="114"/>
      <c r="L248" s="114"/>
      <c r="M248" s="114"/>
      <c r="Q248" s="114"/>
    </row>
    <row r="249" spans="6:17" x14ac:dyDescent="0.2">
      <c r="F249" s="114"/>
      <c r="J249" s="114"/>
      <c r="K249" s="114"/>
      <c r="L249" s="114"/>
      <c r="M249" s="114"/>
      <c r="Q249" s="114"/>
    </row>
    <row r="250" spans="6:17" x14ac:dyDescent="0.2">
      <c r="F250" s="114"/>
      <c r="J250" s="114"/>
      <c r="K250" s="114"/>
      <c r="L250" s="114"/>
      <c r="M250" s="114"/>
      <c r="Q250" s="114"/>
    </row>
    <row r="251" spans="6:17" x14ac:dyDescent="0.2">
      <c r="F251" s="114"/>
      <c r="J251" s="114"/>
      <c r="K251" s="114"/>
      <c r="L251" s="114"/>
      <c r="M251" s="114"/>
      <c r="Q251" s="114"/>
    </row>
    <row r="252" spans="6:17" x14ac:dyDescent="0.2">
      <c r="F252" s="114"/>
      <c r="J252" s="114"/>
      <c r="K252" s="114"/>
      <c r="L252" s="114"/>
      <c r="M252" s="114"/>
      <c r="Q252" s="114"/>
    </row>
    <row r="253" spans="6:17" x14ac:dyDescent="0.2">
      <c r="F253" s="114"/>
      <c r="J253" s="114"/>
      <c r="K253" s="114"/>
      <c r="L253" s="114"/>
      <c r="M253" s="114"/>
      <c r="Q253" s="114"/>
    </row>
    <row r="254" spans="6:17" x14ac:dyDescent="0.2">
      <c r="F254" s="114"/>
      <c r="J254" s="114"/>
      <c r="K254" s="114"/>
      <c r="L254" s="114"/>
      <c r="M254" s="114"/>
      <c r="Q254" s="114"/>
    </row>
    <row r="255" spans="6:17" x14ac:dyDescent="0.2">
      <c r="F255" s="114"/>
      <c r="J255" s="114"/>
      <c r="K255" s="114"/>
      <c r="L255" s="114"/>
      <c r="M255" s="114"/>
      <c r="Q255" s="114"/>
    </row>
    <row r="256" spans="6:17" x14ac:dyDescent="0.2">
      <c r="F256" s="114"/>
      <c r="J256" s="114"/>
      <c r="K256" s="114"/>
      <c r="L256" s="114"/>
      <c r="M256" s="114"/>
      <c r="Q256" s="114"/>
    </row>
    <row r="257" s="114" customFormat="1" x14ac:dyDescent="0.2"/>
    <row r="258" s="114" customFormat="1" x14ac:dyDescent="0.2"/>
    <row r="259" s="114" customFormat="1" x14ac:dyDescent="0.2"/>
    <row r="260" s="114" customFormat="1" x14ac:dyDescent="0.2"/>
    <row r="261" s="114" customFormat="1" x14ac:dyDescent="0.2"/>
    <row r="262" s="114" customFormat="1" x14ac:dyDescent="0.2"/>
    <row r="263" s="114" customFormat="1" x14ac:dyDescent="0.2"/>
    <row r="264" s="114" customFormat="1" x14ac:dyDescent="0.2"/>
    <row r="265" s="114" customFormat="1" x14ac:dyDescent="0.2"/>
    <row r="266" s="114" customFormat="1" x14ac:dyDescent="0.2"/>
    <row r="267" s="114" customFormat="1" x14ac:dyDescent="0.2"/>
    <row r="268" s="114" customFormat="1" x14ac:dyDescent="0.2"/>
    <row r="269" s="114" customFormat="1" x14ac:dyDescent="0.2"/>
    <row r="270" s="114" customFormat="1" x14ac:dyDescent="0.2"/>
    <row r="271" s="114" customFormat="1" x14ac:dyDescent="0.2"/>
    <row r="272" s="114" customFormat="1" x14ac:dyDescent="0.2"/>
  </sheetData>
  <mergeCells count="50">
    <mergeCell ref="W3:W5"/>
    <mergeCell ref="V3:V5"/>
    <mergeCell ref="Q3:Q5"/>
    <mergeCell ref="AP4:AP5"/>
    <mergeCell ref="AQ4:AQ5"/>
    <mergeCell ref="X3:X5"/>
    <mergeCell ref="R3:R5"/>
    <mergeCell ref="S3:S5"/>
    <mergeCell ref="T3:T5"/>
    <mergeCell ref="U3:U5"/>
    <mergeCell ref="AB3:AB5"/>
    <mergeCell ref="AC3:AC5"/>
    <mergeCell ref="AD3:AD5"/>
    <mergeCell ref="AM3:AM5"/>
    <mergeCell ref="AN3:AR3"/>
    <mergeCell ref="AF4:AH4"/>
    <mergeCell ref="F3:F5"/>
    <mergeCell ref="G3:K4"/>
    <mergeCell ref="L3:N4"/>
    <mergeCell ref="O3:O5"/>
    <mergeCell ref="P3:P5"/>
    <mergeCell ref="A3:A5"/>
    <mergeCell ref="B3:B5"/>
    <mergeCell ref="C3:C5"/>
    <mergeCell ref="D3:D5"/>
    <mergeCell ref="E3:E5"/>
    <mergeCell ref="AO4:AO5"/>
    <mergeCell ref="AF3:AL3"/>
    <mergeCell ref="AR4:AR5"/>
    <mergeCell ref="AE3:AE5"/>
    <mergeCell ref="Y3:Y5"/>
    <mergeCell ref="Z3:Z5"/>
    <mergeCell ref="AA3:AA5"/>
    <mergeCell ref="AI4:AI5"/>
    <mergeCell ref="O165:P165"/>
    <mergeCell ref="BF3:BF5"/>
    <mergeCell ref="AV3:AW3"/>
    <mergeCell ref="AX3:AY3"/>
    <mergeCell ref="BA3:BA5"/>
    <mergeCell ref="BB3:BB5"/>
    <mergeCell ref="BC3:BC5"/>
    <mergeCell ref="AZ3:AZ5"/>
    <mergeCell ref="AT3:AU4"/>
    <mergeCell ref="AS3:AS5"/>
    <mergeCell ref="BD3:BD5"/>
    <mergeCell ref="BE3:BE5"/>
    <mergeCell ref="AJ4:AJ5"/>
    <mergeCell ref="AK4:AK5"/>
    <mergeCell ref="AL4:AL5"/>
    <mergeCell ref="AN4:AN5"/>
  </mergeCells>
  <conditionalFormatting sqref="C165 B163:B165 C163">
    <cfRule type="cellIs" dxfId="12721" priority="1749" stopIfTrue="1" operator="equal">
      <formula>"Towel"</formula>
    </cfRule>
    <cfRule type="cellIs" dxfId="12720" priority="1750" stopIfTrue="1" operator="equal">
      <formula>"Napkin Hs"</formula>
    </cfRule>
  </conditionalFormatting>
  <conditionalFormatting sqref="C11">
    <cfRule type="cellIs" dxfId="12719" priority="1737" stopIfTrue="1" operator="equal">
      <formula>"Towel"</formula>
    </cfRule>
    <cfRule type="cellIs" dxfId="12718" priority="1738" stopIfTrue="1" operator="equal">
      <formula>"Napkin Hs"</formula>
    </cfRule>
  </conditionalFormatting>
  <conditionalFormatting sqref="B57:C57">
    <cfRule type="cellIs" dxfId="12717" priority="1747" stopIfTrue="1" operator="equal">
      <formula>"Towel"</formula>
    </cfRule>
    <cfRule type="cellIs" dxfId="12716" priority="1748" stopIfTrue="1" operator="equal">
      <formula>"Napkin Hs"</formula>
    </cfRule>
  </conditionalFormatting>
  <conditionalFormatting sqref="C11">
    <cfRule type="cellIs" dxfId="12715" priority="1741" stopIfTrue="1" operator="equal">
      <formula>"Towel"</formula>
    </cfRule>
    <cfRule type="cellIs" dxfId="12714" priority="1742" stopIfTrue="1" operator="equal">
      <formula>"Napkin Hs"</formula>
    </cfRule>
  </conditionalFormatting>
  <conditionalFormatting sqref="B11">
    <cfRule type="cellIs" dxfId="12713" priority="1715" stopIfTrue="1" operator="equal">
      <formula>"Towel"</formula>
    </cfRule>
    <cfRule type="cellIs" dxfId="12712" priority="1716" stopIfTrue="1" operator="equal">
      <formula>"Napkin Hs"</formula>
    </cfRule>
  </conditionalFormatting>
  <conditionalFormatting sqref="C11">
    <cfRule type="cellIs" dxfId="12711" priority="1739" stopIfTrue="1" operator="equal">
      <formula>"Towel"</formula>
    </cfRule>
    <cfRule type="cellIs" dxfId="12710" priority="1740" stopIfTrue="1" operator="equal">
      <formula>"Napkin Hs"</formula>
    </cfRule>
  </conditionalFormatting>
  <conditionalFormatting sqref="C57">
    <cfRule type="cellIs" dxfId="12709" priority="1745" stopIfTrue="1" operator="equal">
      <formula>"Towel"</formula>
    </cfRule>
    <cfRule type="cellIs" dxfId="12708" priority="1746" stopIfTrue="1" operator="equal">
      <formula>"Napkin Hs"</formula>
    </cfRule>
  </conditionalFormatting>
  <conditionalFormatting sqref="C57">
    <cfRule type="cellIs" dxfId="12707" priority="1743" stopIfTrue="1" operator="equal">
      <formula>"Towel"</formula>
    </cfRule>
    <cfRule type="cellIs" dxfId="12706" priority="1744" stopIfTrue="1" operator="equal">
      <formula>"Napkin Hs"</formula>
    </cfRule>
  </conditionalFormatting>
  <conditionalFormatting sqref="C10">
    <cfRule type="cellIs" dxfId="12705" priority="1727" stopIfTrue="1" operator="equal">
      <formula>"Towel"</formula>
    </cfRule>
    <cfRule type="cellIs" dxfId="12704" priority="1728" stopIfTrue="1" operator="equal">
      <formula>"Napkin Hs"</formula>
    </cfRule>
  </conditionalFormatting>
  <conditionalFormatting sqref="C10">
    <cfRule type="cellIs" dxfId="12703" priority="1729" stopIfTrue="1" operator="equal">
      <formula>"Towel"</formula>
    </cfRule>
    <cfRule type="cellIs" dxfId="12702" priority="1730" stopIfTrue="1" operator="equal">
      <formula>"Napkin Hs"</formula>
    </cfRule>
  </conditionalFormatting>
  <conditionalFormatting sqref="C11">
    <cfRule type="cellIs" dxfId="12701" priority="1731" stopIfTrue="1" operator="equal">
      <formula>"Towel"</formula>
    </cfRule>
    <cfRule type="cellIs" dxfId="12700" priority="1732" stopIfTrue="1" operator="equal">
      <formula>"Napkin Hs"</formula>
    </cfRule>
  </conditionalFormatting>
  <conditionalFormatting sqref="C11">
    <cfRule type="cellIs" dxfId="12699" priority="1733" stopIfTrue="1" operator="equal">
      <formula>"Towel"</formula>
    </cfRule>
    <cfRule type="cellIs" dxfId="12698" priority="1734" stopIfTrue="1" operator="equal">
      <formula>"Napkin Hs"</formula>
    </cfRule>
  </conditionalFormatting>
  <conditionalFormatting sqref="C11">
    <cfRule type="cellIs" dxfId="12697" priority="1735" stopIfTrue="1" operator="equal">
      <formula>"Towel"</formula>
    </cfRule>
    <cfRule type="cellIs" dxfId="12696" priority="1736" stopIfTrue="1" operator="equal">
      <formula>"Napkin Hs"</formula>
    </cfRule>
  </conditionalFormatting>
  <conditionalFormatting sqref="B10:C10">
    <cfRule type="cellIs" dxfId="12695" priority="1725" stopIfTrue="1" operator="equal">
      <formula>"Towel"</formula>
    </cfRule>
    <cfRule type="cellIs" dxfId="12694" priority="1726" stopIfTrue="1" operator="equal">
      <formula>"Napkin Hs"</formula>
    </cfRule>
  </conditionalFormatting>
  <conditionalFormatting sqref="B10:C10">
    <cfRule type="cellIs" dxfId="12693" priority="1719" stopIfTrue="1" operator="equal">
      <formula>"Towel"</formula>
    </cfRule>
    <cfRule type="cellIs" dxfId="12692" priority="1720" stopIfTrue="1" operator="equal">
      <formula>"Napkin Hs"</formula>
    </cfRule>
  </conditionalFormatting>
  <conditionalFormatting sqref="C10">
    <cfRule type="cellIs" dxfId="12691" priority="1721" stopIfTrue="1" operator="equal">
      <formula>"Towel"</formula>
    </cfRule>
    <cfRule type="cellIs" dxfId="12690" priority="1722" stopIfTrue="1" operator="equal">
      <formula>"Napkin Hs"</formula>
    </cfRule>
  </conditionalFormatting>
  <conditionalFormatting sqref="C10">
    <cfRule type="cellIs" dxfId="12689" priority="1723" stopIfTrue="1" operator="equal">
      <formula>"Towel"</formula>
    </cfRule>
    <cfRule type="cellIs" dxfId="12688" priority="1724" stopIfTrue="1" operator="equal">
      <formula>"Napkin Hs"</formula>
    </cfRule>
  </conditionalFormatting>
  <conditionalFormatting sqref="B11">
    <cfRule type="cellIs" dxfId="12687" priority="1717" stopIfTrue="1" operator="equal">
      <formula>"Towel"</formula>
    </cfRule>
    <cfRule type="cellIs" dxfId="12686" priority="1718" stopIfTrue="1" operator="equal">
      <formula>"Napkin Hs"</formula>
    </cfRule>
  </conditionalFormatting>
  <conditionalFormatting sqref="B45:C45">
    <cfRule type="cellIs" dxfId="12685" priority="1713" stopIfTrue="1" operator="equal">
      <formula>"Towel"</formula>
    </cfRule>
    <cfRule type="cellIs" dxfId="12684" priority="1714" stopIfTrue="1" operator="equal">
      <formula>"Napkin Hs"</formula>
    </cfRule>
  </conditionalFormatting>
  <conditionalFormatting sqref="C45">
    <cfRule type="cellIs" dxfId="12683" priority="1709" stopIfTrue="1" operator="equal">
      <formula>"Towel"</formula>
    </cfRule>
    <cfRule type="cellIs" dxfId="12682" priority="1710" stopIfTrue="1" operator="equal">
      <formula>"Napkin Hs"</formula>
    </cfRule>
  </conditionalFormatting>
  <conditionalFormatting sqref="C45">
    <cfRule type="cellIs" dxfId="12681" priority="1711" stopIfTrue="1" operator="equal">
      <formula>"Towel"</formula>
    </cfRule>
    <cfRule type="cellIs" dxfId="12680" priority="1712" stopIfTrue="1" operator="equal">
      <formula>"Napkin Hs"</formula>
    </cfRule>
  </conditionalFormatting>
  <conditionalFormatting sqref="C43">
    <cfRule type="cellIs" dxfId="12679" priority="1701" stopIfTrue="1" operator="equal">
      <formula>"Towel"</formula>
    </cfRule>
    <cfRule type="cellIs" dxfId="12678" priority="1702" stopIfTrue="1" operator="equal">
      <formula>"Napkin Hs"</formula>
    </cfRule>
  </conditionalFormatting>
  <conditionalFormatting sqref="B43:C43">
    <cfRule type="cellIs" dxfId="12677" priority="1703" stopIfTrue="1" operator="equal">
      <formula>"Towel"</formula>
    </cfRule>
    <cfRule type="cellIs" dxfId="12676" priority="1704" stopIfTrue="1" operator="equal">
      <formula>"Napkin Hs"</formula>
    </cfRule>
  </conditionalFormatting>
  <conditionalFormatting sqref="C43">
    <cfRule type="cellIs" dxfId="12675" priority="1699" stopIfTrue="1" operator="equal">
      <formula>"Towel"</formula>
    </cfRule>
    <cfRule type="cellIs" dxfId="12674" priority="1700" stopIfTrue="1" operator="equal">
      <formula>"Napkin Hs"</formula>
    </cfRule>
  </conditionalFormatting>
  <conditionalFormatting sqref="B43:C43">
    <cfRule type="cellIs" dxfId="12673" priority="1697" stopIfTrue="1" operator="equal">
      <formula>"Towel"</formula>
    </cfRule>
    <cfRule type="cellIs" dxfId="12672" priority="1698" stopIfTrue="1" operator="equal">
      <formula>"Napkin Hs"</formula>
    </cfRule>
  </conditionalFormatting>
  <conditionalFormatting sqref="C43">
    <cfRule type="cellIs" dxfId="12671" priority="1705" stopIfTrue="1" operator="equal">
      <formula>"Towel"</formula>
    </cfRule>
    <cfRule type="cellIs" dxfId="12670" priority="1706" stopIfTrue="1" operator="equal">
      <formula>"Napkin Hs"</formula>
    </cfRule>
  </conditionalFormatting>
  <conditionalFormatting sqref="C43">
    <cfRule type="cellIs" dxfId="12669" priority="1707" stopIfTrue="1" operator="equal">
      <formula>"Towel"</formula>
    </cfRule>
    <cfRule type="cellIs" dxfId="12668" priority="1708" stopIfTrue="1" operator="equal">
      <formula>"Napkin Hs"</formula>
    </cfRule>
  </conditionalFormatting>
  <conditionalFormatting sqref="C46">
    <cfRule type="cellIs" dxfId="12667" priority="1689" stopIfTrue="1" operator="equal">
      <formula>"Towel"</formula>
    </cfRule>
    <cfRule type="cellIs" dxfId="12666" priority="1690" stopIfTrue="1" operator="equal">
      <formula>"Napkin Hs"</formula>
    </cfRule>
  </conditionalFormatting>
  <conditionalFormatting sqref="B46:C46">
    <cfRule type="cellIs" dxfId="12665" priority="1691" stopIfTrue="1" operator="equal">
      <formula>"Towel"</formula>
    </cfRule>
    <cfRule type="cellIs" dxfId="12664" priority="1692" stopIfTrue="1" operator="equal">
      <formula>"Napkin Hs"</formula>
    </cfRule>
  </conditionalFormatting>
  <conditionalFormatting sqref="C46">
    <cfRule type="cellIs" dxfId="12663" priority="1687" stopIfTrue="1" operator="equal">
      <formula>"Towel"</formula>
    </cfRule>
    <cfRule type="cellIs" dxfId="12662" priority="1688" stopIfTrue="1" operator="equal">
      <formula>"Napkin Hs"</formula>
    </cfRule>
  </conditionalFormatting>
  <conditionalFormatting sqref="B46:C46">
    <cfRule type="cellIs" dxfId="12661" priority="1685" stopIfTrue="1" operator="equal">
      <formula>"Towel"</formula>
    </cfRule>
    <cfRule type="cellIs" dxfId="12660" priority="1686" stopIfTrue="1" operator="equal">
      <formula>"Napkin Hs"</formula>
    </cfRule>
  </conditionalFormatting>
  <conditionalFormatting sqref="C46">
    <cfRule type="cellIs" dxfId="12659" priority="1693" stopIfTrue="1" operator="equal">
      <formula>"Towel"</formula>
    </cfRule>
    <cfRule type="cellIs" dxfId="12658" priority="1694" stopIfTrue="1" operator="equal">
      <formula>"Napkin Hs"</formula>
    </cfRule>
  </conditionalFormatting>
  <conditionalFormatting sqref="C46">
    <cfRule type="cellIs" dxfId="12657" priority="1695" stopIfTrue="1" operator="equal">
      <formula>"Towel"</formula>
    </cfRule>
    <cfRule type="cellIs" dxfId="12656" priority="1696" stopIfTrue="1" operator="equal">
      <formula>"Napkin Hs"</formula>
    </cfRule>
  </conditionalFormatting>
  <conditionalFormatting sqref="C47">
    <cfRule type="cellIs" dxfId="12655" priority="1677" stopIfTrue="1" operator="equal">
      <formula>"Towel"</formula>
    </cfRule>
    <cfRule type="cellIs" dxfId="12654" priority="1678" stopIfTrue="1" operator="equal">
      <formula>"Napkin Hs"</formula>
    </cfRule>
  </conditionalFormatting>
  <conditionalFormatting sqref="B47:C47">
    <cfRule type="cellIs" dxfId="12653" priority="1679" stopIfTrue="1" operator="equal">
      <formula>"Towel"</formula>
    </cfRule>
    <cfRule type="cellIs" dxfId="12652" priority="1680" stopIfTrue="1" operator="equal">
      <formula>"Napkin Hs"</formula>
    </cfRule>
  </conditionalFormatting>
  <conditionalFormatting sqref="C47">
    <cfRule type="cellIs" dxfId="12651" priority="1675" stopIfTrue="1" operator="equal">
      <formula>"Towel"</formula>
    </cfRule>
    <cfRule type="cellIs" dxfId="12650" priority="1676" stopIfTrue="1" operator="equal">
      <formula>"Napkin Hs"</formula>
    </cfRule>
  </conditionalFormatting>
  <conditionalFormatting sqref="B47:C47">
    <cfRule type="cellIs" dxfId="12649" priority="1673" stopIfTrue="1" operator="equal">
      <formula>"Towel"</formula>
    </cfRule>
    <cfRule type="cellIs" dxfId="12648" priority="1674" stopIfTrue="1" operator="equal">
      <formula>"Napkin Hs"</formula>
    </cfRule>
  </conditionalFormatting>
  <conditionalFormatting sqref="C47">
    <cfRule type="cellIs" dxfId="12647" priority="1681" stopIfTrue="1" operator="equal">
      <formula>"Towel"</formula>
    </cfRule>
    <cfRule type="cellIs" dxfId="12646" priority="1682" stopIfTrue="1" operator="equal">
      <formula>"Napkin Hs"</formula>
    </cfRule>
  </conditionalFormatting>
  <conditionalFormatting sqref="C47">
    <cfRule type="cellIs" dxfId="12645" priority="1683" stopIfTrue="1" operator="equal">
      <formula>"Towel"</formula>
    </cfRule>
    <cfRule type="cellIs" dxfId="12644" priority="1684" stopIfTrue="1" operator="equal">
      <formula>"Napkin Hs"</formula>
    </cfRule>
  </conditionalFormatting>
  <conditionalFormatting sqref="C44">
    <cfRule type="cellIs" dxfId="12643" priority="1665" stopIfTrue="1" operator="equal">
      <formula>"Towel"</formula>
    </cfRule>
    <cfRule type="cellIs" dxfId="12642" priority="1666" stopIfTrue="1" operator="equal">
      <formula>"Napkin Hs"</formula>
    </cfRule>
  </conditionalFormatting>
  <conditionalFormatting sqref="B44:C44">
    <cfRule type="cellIs" dxfId="12641" priority="1667" stopIfTrue="1" operator="equal">
      <formula>"Towel"</formula>
    </cfRule>
    <cfRule type="cellIs" dxfId="12640" priority="1668" stopIfTrue="1" operator="equal">
      <formula>"Napkin Hs"</formula>
    </cfRule>
  </conditionalFormatting>
  <conditionalFormatting sqref="C44">
    <cfRule type="cellIs" dxfId="12639" priority="1663" stopIfTrue="1" operator="equal">
      <formula>"Towel"</formula>
    </cfRule>
    <cfRule type="cellIs" dxfId="12638" priority="1664" stopIfTrue="1" operator="equal">
      <formula>"Napkin Hs"</formula>
    </cfRule>
  </conditionalFormatting>
  <conditionalFormatting sqref="B44:C44">
    <cfRule type="cellIs" dxfId="12637" priority="1661" stopIfTrue="1" operator="equal">
      <formula>"Towel"</formula>
    </cfRule>
    <cfRule type="cellIs" dxfId="12636" priority="1662" stopIfTrue="1" operator="equal">
      <formula>"Napkin Hs"</formula>
    </cfRule>
  </conditionalFormatting>
  <conditionalFormatting sqref="C44">
    <cfRule type="cellIs" dxfId="12635" priority="1669" stopIfTrue="1" operator="equal">
      <formula>"Towel"</formula>
    </cfRule>
    <cfRule type="cellIs" dxfId="12634" priority="1670" stopIfTrue="1" operator="equal">
      <formula>"Napkin Hs"</formula>
    </cfRule>
  </conditionalFormatting>
  <conditionalFormatting sqref="C44">
    <cfRule type="cellIs" dxfId="12633" priority="1671" stopIfTrue="1" operator="equal">
      <formula>"Towel"</formula>
    </cfRule>
    <cfRule type="cellIs" dxfId="12632" priority="1672" stopIfTrue="1" operator="equal">
      <formula>"Napkin Hs"</formula>
    </cfRule>
  </conditionalFormatting>
  <conditionalFormatting sqref="C43">
    <cfRule type="cellIs" dxfId="12631" priority="1653" stopIfTrue="1" operator="equal">
      <formula>"Towel"</formula>
    </cfRule>
    <cfRule type="cellIs" dxfId="12630" priority="1654" stopIfTrue="1" operator="equal">
      <formula>"Napkin Hs"</formula>
    </cfRule>
  </conditionalFormatting>
  <conditionalFormatting sqref="B43:C43">
    <cfRule type="cellIs" dxfId="12629" priority="1655" stopIfTrue="1" operator="equal">
      <formula>"Towel"</formula>
    </cfRule>
    <cfRule type="cellIs" dxfId="12628" priority="1656" stopIfTrue="1" operator="equal">
      <formula>"Napkin Hs"</formula>
    </cfRule>
  </conditionalFormatting>
  <conditionalFormatting sqref="C43">
    <cfRule type="cellIs" dxfId="12627" priority="1651" stopIfTrue="1" operator="equal">
      <formula>"Towel"</formula>
    </cfRule>
    <cfRule type="cellIs" dxfId="12626" priority="1652" stopIfTrue="1" operator="equal">
      <formula>"Napkin Hs"</formula>
    </cfRule>
  </conditionalFormatting>
  <conditionalFormatting sqref="B43:C43">
    <cfRule type="cellIs" dxfId="12625" priority="1649" stopIfTrue="1" operator="equal">
      <formula>"Towel"</formula>
    </cfRule>
    <cfRule type="cellIs" dxfId="12624" priority="1650" stopIfTrue="1" operator="equal">
      <formula>"Napkin Hs"</formula>
    </cfRule>
  </conditionalFormatting>
  <conditionalFormatting sqref="C43">
    <cfRule type="cellIs" dxfId="12623" priority="1657" stopIfTrue="1" operator="equal">
      <formula>"Towel"</formula>
    </cfRule>
    <cfRule type="cellIs" dxfId="12622" priority="1658" stopIfTrue="1" operator="equal">
      <formula>"Napkin Hs"</formula>
    </cfRule>
  </conditionalFormatting>
  <conditionalFormatting sqref="C43">
    <cfRule type="cellIs" dxfId="12621" priority="1659" stopIfTrue="1" operator="equal">
      <formula>"Towel"</formula>
    </cfRule>
    <cfRule type="cellIs" dxfId="12620" priority="1660" stopIfTrue="1" operator="equal">
      <formula>"Napkin Hs"</formula>
    </cfRule>
  </conditionalFormatting>
  <conditionalFormatting sqref="C52">
    <cfRule type="cellIs" dxfId="12619" priority="1641" stopIfTrue="1" operator="equal">
      <formula>"Towel"</formula>
    </cfRule>
    <cfRule type="cellIs" dxfId="12618" priority="1642" stopIfTrue="1" operator="equal">
      <formula>"Napkin Hs"</formula>
    </cfRule>
  </conditionalFormatting>
  <conditionalFormatting sqref="B52:C52">
    <cfRule type="cellIs" dxfId="12617" priority="1643" stopIfTrue="1" operator="equal">
      <formula>"Towel"</formula>
    </cfRule>
    <cfRule type="cellIs" dxfId="12616" priority="1644" stopIfTrue="1" operator="equal">
      <formula>"Napkin Hs"</formula>
    </cfRule>
  </conditionalFormatting>
  <conditionalFormatting sqref="C52">
    <cfRule type="cellIs" dxfId="12615" priority="1639" stopIfTrue="1" operator="equal">
      <formula>"Towel"</formula>
    </cfRule>
    <cfRule type="cellIs" dxfId="12614" priority="1640" stopIfTrue="1" operator="equal">
      <formula>"Napkin Hs"</formula>
    </cfRule>
  </conditionalFormatting>
  <conditionalFormatting sqref="B52:C52">
    <cfRule type="cellIs" dxfId="12613" priority="1637" stopIfTrue="1" operator="equal">
      <formula>"Towel"</formula>
    </cfRule>
    <cfRule type="cellIs" dxfId="12612" priority="1638" stopIfTrue="1" operator="equal">
      <formula>"Napkin Hs"</formula>
    </cfRule>
  </conditionalFormatting>
  <conditionalFormatting sqref="C52">
    <cfRule type="cellIs" dxfId="12611" priority="1645" stopIfTrue="1" operator="equal">
      <formula>"Towel"</formula>
    </cfRule>
    <cfRule type="cellIs" dxfId="12610" priority="1646" stopIfTrue="1" operator="equal">
      <formula>"Napkin Hs"</formula>
    </cfRule>
  </conditionalFormatting>
  <conditionalFormatting sqref="C52">
    <cfRule type="cellIs" dxfId="12609" priority="1647" stopIfTrue="1" operator="equal">
      <formula>"Towel"</formula>
    </cfRule>
    <cfRule type="cellIs" dxfId="12608" priority="1648" stopIfTrue="1" operator="equal">
      <formula>"Napkin Hs"</formula>
    </cfRule>
  </conditionalFormatting>
  <conditionalFormatting sqref="C52">
    <cfRule type="cellIs" dxfId="12607" priority="1629" stopIfTrue="1" operator="equal">
      <formula>"Towel"</formula>
    </cfRule>
    <cfRule type="cellIs" dxfId="12606" priority="1630" stopIfTrue="1" operator="equal">
      <formula>"Napkin Hs"</formula>
    </cfRule>
  </conditionalFormatting>
  <conditionalFormatting sqref="B52:C52">
    <cfRule type="cellIs" dxfId="12605" priority="1631" stopIfTrue="1" operator="equal">
      <formula>"Towel"</formula>
    </cfRule>
    <cfRule type="cellIs" dxfId="12604" priority="1632" stopIfTrue="1" operator="equal">
      <formula>"Napkin Hs"</formula>
    </cfRule>
  </conditionalFormatting>
  <conditionalFormatting sqref="C52">
    <cfRule type="cellIs" dxfId="12603" priority="1627" stopIfTrue="1" operator="equal">
      <formula>"Towel"</formula>
    </cfRule>
    <cfRule type="cellIs" dxfId="12602" priority="1628" stopIfTrue="1" operator="equal">
      <formula>"Napkin Hs"</formula>
    </cfRule>
  </conditionalFormatting>
  <conditionalFormatting sqref="B52:C52">
    <cfRule type="cellIs" dxfId="12601" priority="1625" stopIfTrue="1" operator="equal">
      <formula>"Towel"</formula>
    </cfRule>
    <cfRule type="cellIs" dxfId="12600" priority="1626" stopIfTrue="1" operator="equal">
      <formula>"Napkin Hs"</formula>
    </cfRule>
  </conditionalFormatting>
  <conditionalFormatting sqref="C52">
    <cfRule type="cellIs" dxfId="12599" priority="1633" stopIfTrue="1" operator="equal">
      <formula>"Towel"</formula>
    </cfRule>
    <cfRule type="cellIs" dxfId="12598" priority="1634" stopIfTrue="1" operator="equal">
      <formula>"Napkin Hs"</formula>
    </cfRule>
  </conditionalFormatting>
  <conditionalFormatting sqref="C52">
    <cfRule type="cellIs" dxfId="12597" priority="1635" stopIfTrue="1" operator="equal">
      <formula>"Towel"</formula>
    </cfRule>
    <cfRule type="cellIs" dxfId="12596" priority="1636" stopIfTrue="1" operator="equal">
      <formula>"Napkin Hs"</formula>
    </cfRule>
  </conditionalFormatting>
  <conditionalFormatting sqref="C74">
    <cfRule type="cellIs" dxfId="12595" priority="1617" stopIfTrue="1" operator="equal">
      <formula>"Towel"</formula>
    </cfRule>
    <cfRule type="cellIs" dxfId="12594" priority="1618" stopIfTrue="1" operator="equal">
      <formula>"Napkin Hs"</formula>
    </cfRule>
  </conditionalFormatting>
  <conditionalFormatting sqref="B74:C74">
    <cfRule type="cellIs" dxfId="12593" priority="1619" stopIfTrue="1" operator="equal">
      <formula>"Towel"</formula>
    </cfRule>
    <cfRule type="cellIs" dxfId="12592" priority="1620" stopIfTrue="1" operator="equal">
      <formula>"Napkin Hs"</formula>
    </cfRule>
  </conditionalFormatting>
  <conditionalFormatting sqref="C74">
    <cfRule type="cellIs" dxfId="12591" priority="1615" stopIfTrue="1" operator="equal">
      <formula>"Towel"</formula>
    </cfRule>
    <cfRule type="cellIs" dxfId="12590" priority="1616" stopIfTrue="1" operator="equal">
      <formula>"Napkin Hs"</formula>
    </cfRule>
  </conditionalFormatting>
  <conditionalFormatting sqref="B74:C74">
    <cfRule type="cellIs" dxfId="12589" priority="1613" stopIfTrue="1" operator="equal">
      <formula>"Towel"</formula>
    </cfRule>
    <cfRule type="cellIs" dxfId="12588" priority="1614" stopIfTrue="1" operator="equal">
      <formula>"Napkin Hs"</formula>
    </cfRule>
  </conditionalFormatting>
  <conditionalFormatting sqref="C74">
    <cfRule type="cellIs" dxfId="12587" priority="1621" stopIfTrue="1" operator="equal">
      <formula>"Towel"</formula>
    </cfRule>
    <cfRule type="cellIs" dxfId="12586" priority="1622" stopIfTrue="1" operator="equal">
      <formula>"Napkin Hs"</formula>
    </cfRule>
  </conditionalFormatting>
  <conditionalFormatting sqref="C74">
    <cfRule type="cellIs" dxfId="12585" priority="1623" stopIfTrue="1" operator="equal">
      <formula>"Towel"</formula>
    </cfRule>
    <cfRule type="cellIs" dxfId="12584" priority="1624" stopIfTrue="1" operator="equal">
      <formula>"Napkin Hs"</formula>
    </cfRule>
  </conditionalFormatting>
  <conditionalFormatting sqref="C79">
    <cfRule type="cellIs" dxfId="12583" priority="1605" stopIfTrue="1" operator="equal">
      <formula>"Towel"</formula>
    </cfRule>
    <cfRule type="cellIs" dxfId="12582" priority="1606" stopIfTrue="1" operator="equal">
      <formula>"Napkin Hs"</formula>
    </cfRule>
  </conditionalFormatting>
  <conditionalFormatting sqref="B79:C79">
    <cfRule type="cellIs" dxfId="12581" priority="1607" stopIfTrue="1" operator="equal">
      <formula>"Towel"</formula>
    </cfRule>
    <cfRule type="cellIs" dxfId="12580" priority="1608" stopIfTrue="1" operator="equal">
      <formula>"Napkin Hs"</formula>
    </cfRule>
  </conditionalFormatting>
  <conditionalFormatting sqref="C79">
    <cfRule type="cellIs" dxfId="12579" priority="1603" stopIfTrue="1" operator="equal">
      <formula>"Towel"</formula>
    </cfRule>
    <cfRule type="cellIs" dxfId="12578" priority="1604" stopIfTrue="1" operator="equal">
      <formula>"Napkin Hs"</formula>
    </cfRule>
  </conditionalFormatting>
  <conditionalFormatting sqref="B79:C79">
    <cfRule type="cellIs" dxfId="12577" priority="1601" stopIfTrue="1" operator="equal">
      <formula>"Towel"</formula>
    </cfRule>
    <cfRule type="cellIs" dxfId="12576" priority="1602" stopIfTrue="1" operator="equal">
      <formula>"Napkin Hs"</formula>
    </cfRule>
  </conditionalFormatting>
  <conditionalFormatting sqref="C79">
    <cfRule type="cellIs" dxfId="12575" priority="1609" stopIfTrue="1" operator="equal">
      <formula>"Towel"</formula>
    </cfRule>
    <cfRule type="cellIs" dxfId="12574" priority="1610" stopIfTrue="1" operator="equal">
      <formula>"Napkin Hs"</formula>
    </cfRule>
  </conditionalFormatting>
  <conditionalFormatting sqref="C79">
    <cfRule type="cellIs" dxfId="12573" priority="1611" stopIfTrue="1" operator="equal">
      <formula>"Towel"</formula>
    </cfRule>
    <cfRule type="cellIs" dxfId="12572" priority="1612" stopIfTrue="1" operator="equal">
      <formula>"Napkin Hs"</formula>
    </cfRule>
  </conditionalFormatting>
  <conditionalFormatting sqref="C84">
    <cfRule type="cellIs" dxfId="12571" priority="1593" stopIfTrue="1" operator="equal">
      <formula>"Towel"</formula>
    </cfRule>
    <cfRule type="cellIs" dxfId="12570" priority="1594" stopIfTrue="1" operator="equal">
      <formula>"Napkin Hs"</formula>
    </cfRule>
  </conditionalFormatting>
  <conditionalFormatting sqref="B84:C84">
    <cfRule type="cellIs" dxfId="12569" priority="1595" stopIfTrue="1" operator="equal">
      <formula>"Towel"</formula>
    </cfRule>
    <cfRule type="cellIs" dxfId="12568" priority="1596" stopIfTrue="1" operator="equal">
      <formula>"Napkin Hs"</formula>
    </cfRule>
  </conditionalFormatting>
  <conditionalFormatting sqref="C84">
    <cfRule type="cellIs" dxfId="12567" priority="1591" stopIfTrue="1" operator="equal">
      <formula>"Towel"</formula>
    </cfRule>
    <cfRule type="cellIs" dxfId="12566" priority="1592" stopIfTrue="1" operator="equal">
      <formula>"Napkin Hs"</formula>
    </cfRule>
  </conditionalFormatting>
  <conditionalFormatting sqref="B84:C84">
    <cfRule type="cellIs" dxfId="12565" priority="1589" stopIfTrue="1" operator="equal">
      <formula>"Towel"</formula>
    </cfRule>
    <cfRule type="cellIs" dxfId="12564" priority="1590" stopIfTrue="1" operator="equal">
      <formula>"Napkin Hs"</formula>
    </cfRule>
  </conditionalFormatting>
  <conditionalFormatting sqref="C84">
    <cfRule type="cellIs" dxfId="12563" priority="1597" stopIfTrue="1" operator="equal">
      <formula>"Towel"</formula>
    </cfRule>
    <cfRule type="cellIs" dxfId="12562" priority="1598" stopIfTrue="1" operator="equal">
      <formula>"Napkin Hs"</formula>
    </cfRule>
  </conditionalFormatting>
  <conditionalFormatting sqref="C84">
    <cfRule type="cellIs" dxfId="12561" priority="1599" stopIfTrue="1" operator="equal">
      <formula>"Towel"</formula>
    </cfRule>
    <cfRule type="cellIs" dxfId="12560" priority="1600" stopIfTrue="1" operator="equal">
      <formula>"Napkin Hs"</formula>
    </cfRule>
  </conditionalFormatting>
  <conditionalFormatting sqref="B89:C89">
    <cfRule type="cellIs" dxfId="12559" priority="1587" stopIfTrue="1" operator="equal">
      <formula>"Towel"</formula>
    </cfRule>
    <cfRule type="cellIs" dxfId="12558" priority="1588" stopIfTrue="1" operator="equal">
      <formula>"Napkin Hs"</formula>
    </cfRule>
  </conditionalFormatting>
  <conditionalFormatting sqref="C89">
    <cfRule type="cellIs" dxfId="12557" priority="1585" stopIfTrue="1" operator="equal">
      <formula>"Towel"</formula>
    </cfRule>
    <cfRule type="cellIs" dxfId="12556" priority="1586" stopIfTrue="1" operator="equal">
      <formula>"Napkin Hs"</formula>
    </cfRule>
  </conditionalFormatting>
  <conditionalFormatting sqref="C89">
    <cfRule type="cellIs" dxfId="12555" priority="1583" stopIfTrue="1" operator="equal">
      <formula>"Towel"</formula>
    </cfRule>
    <cfRule type="cellIs" dxfId="12554" priority="1584" stopIfTrue="1" operator="equal">
      <formula>"Napkin Hs"</formula>
    </cfRule>
  </conditionalFormatting>
  <conditionalFormatting sqref="C89">
    <cfRule type="cellIs" dxfId="12553" priority="1575" stopIfTrue="1" operator="equal">
      <formula>"Towel"</formula>
    </cfRule>
    <cfRule type="cellIs" dxfId="12552" priority="1576" stopIfTrue="1" operator="equal">
      <formula>"Napkin Hs"</formula>
    </cfRule>
  </conditionalFormatting>
  <conditionalFormatting sqref="B89:C89">
    <cfRule type="cellIs" dxfId="12551" priority="1577" stopIfTrue="1" operator="equal">
      <formula>"Towel"</formula>
    </cfRule>
    <cfRule type="cellIs" dxfId="12550" priority="1578" stopIfTrue="1" operator="equal">
      <formula>"Napkin Hs"</formula>
    </cfRule>
  </conditionalFormatting>
  <conditionalFormatting sqref="C89">
    <cfRule type="cellIs" dxfId="12549" priority="1573" stopIfTrue="1" operator="equal">
      <formula>"Towel"</formula>
    </cfRule>
    <cfRule type="cellIs" dxfId="12548" priority="1574" stopIfTrue="1" operator="equal">
      <formula>"Napkin Hs"</formula>
    </cfRule>
  </conditionalFormatting>
  <conditionalFormatting sqref="B89:C89">
    <cfRule type="cellIs" dxfId="12547" priority="1571" stopIfTrue="1" operator="equal">
      <formula>"Towel"</formula>
    </cfRule>
    <cfRule type="cellIs" dxfId="12546" priority="1572" stopIfTrue="1" operator="equal">
      <formula>"Napkin Hs"</formula>
    </cfRule>
  </conditionalFormatting>
  <conditionalFormatting sqref="C89">
    <cfRule type="cellIs" dxfId="12545" priority="1579" stopIfTrue="1" operator="equal">
      <formula>"Towel"</formula>
    </cfRule>
    <cfRule type="cellIs" dxfId="12544" priority="1580" stopIfTrue="1" operator="equal">
      <formula>"Napkin Hs"</formula>
    </cfRule>
  </conditionalFormatting>
  <conditionalFormatting sqref="C89">
    <cfRule type="cellIs" dxfId="12543" priority="1581" stopIfTrue="1" operator="equal">
      <formula>"Towel"</formula>
    </cfRule>
    <cfRule type="cellIs" dxfId="12542" priority="1582" stopIfTrue="1" operator="equal">
      <formula>"Napkin Hs"</formula>
    </cfRule>
  </conditionalFormatting>
  <conditionalFormatting sqref="B100:C100">
    <cfRule type="cellIs" dxfId="12541" priority="1569" stopIfTrue="1" operator="equal">
      <formula>"Towel"</formula>
    </cfRule>
    <cfRule type="cellIs" dxfId="12540" priority="1570" stopIfTrue="1" operator="equal">
      <formula>"Napkin Hs"</formula>
    </cfRule>
  </conditionalFormatting>
  <conditionalFormatting sqref="C100">
    <cfRule type="cellIs" dxfId="12539" priority="1567" stopIfTrue="1" operator="equal">
      <formula>"Towel"</formula>
    </cfRule>
    <cfRule type="cellIs" dxfId="12538" priority="1568" stopIfTrue="1" operator="equal">
      <formula>"Napkin Hs"</formula>
    </cfRule>
  </conditionalFormatting>
  <conditionalFormatting sqref="C100">
    <cfRule type="cellIs" dxfId="12537" priority="1565" stopIfTrue="1" operator="equal">
      <formula>"Towel"</formula>
    </cfRule>
    <cfRule type="cellIs" dxfId="12536" priority="1566" stopIfTrue="1" operator="equal">
      <formula>"Napkin Hs"</formula>
    </cfRule>
  </conditionalFormatting>
  <conditionalFormatting sqref="C100">
    <cfRule type="cellIs" dxfId="12535" priority="1557" stopIfTrue="1" operator="equal">
      <formula>"Towel"</formula>
    </cfRule>
    <cfRule type="cellIs" dxfId="12534" priority="1558" stopIfTrue="1" operator="equal">
      <formula>"Napkin Hs"</formula>
    </cfRule>
  </conditionalFormatting>
  <conditionalFormatting sqref="B100:C100">
    <cfRule type="cellIs" dxfId="12533" priority="1559" stopIfTrue="1" operator="equal">
      <formula>"Towel"</formula>
    </cfRule>
    <cfRule type="cellIs" dxfId="12532" priority="1560" stopIfTrue="1" operator="equal">
      <formula>"Napkin Hs"</formula>
    </cfRule>
  </conditionalFormatting>
  <conditionalFormatting sqref="C100">
    <cfRule type="cellIs" dxfId="12531" priority="1555" stopIfTrue="1" operator="equal">
      <formula>"Towel"</formula>
    </cfRule>
    <cfRule type="cellIs" dxfId="12530" priority="1556" stopIfTrue="1" operator="equal">
      <formula>"Napkin Hs"</formula>
    </cfRule>
  </conditionalFormatting>
  <conditionalFormatting sqref="B100:C100">
    <cfRule type="cellIs" dxfId="12529" priority="1553" stopIfTrue="1" operator="equal">
      <formula>"Towel"</formula>
    </cfRule>
    <cfRule type="cellIs" dxfId="12528" priority="1554" stopIfTrue="1" operator="equal">
      <formula>"Napkin Hs"</formula>
    </cfRule>
  </conditionalFormatting>
  <conditionalFormatting sqref="C100">
    <cfRule type="cellIs" dxfId="12527" priority="1561" stopIfTrue="1" operator="equal">
      <formula>"Towel"</formula>
    </cfRule>
    <cfRule type="cellIs" dxfId="12526" priority="1562" stopIfTrue="1" operator="equal">
      <formula>"Napkin Hs"</formula>
    </cfRule>
  </conditionalFormatting>
  <conditionalFormatting sqref="C100">
    <cfRule type="cellIs" dxfId="12525" priority="1563" stopIfTrue="1" operator="equal">
      <formula>"Towel"</formula>
    </cfRule>
    <cfRule type="cellIs" dxfId="12524" priority="1564" stopIfTrue="1" operator="equal">
      <formula>"Napkin Hs"</formula>
    </cfRule>
  </conditionalFormatting>
  <conditionalFormatting sqref="B105:C105">
    <cfRule type="cellIs" dxfId="12523" priority="1551" stopIfTrue="1" operator="equal">
      <formula>"Towel"</formula>
    </cfRule>
    <cfRule type="cellIs" dxfId="12522" priority="1552" stopIfTrue="1" operator="equal">
      <formula>"Napkin Hs"</formula>
    </cfRule>
  </conditionalFormatting>
  <conditionalFormatting sqref="C105">
    <cfRule type="cellIs" dxfId="12521" priority="1549" stopIfTrue="1" operator="equal">
      <formula>"Towel"</formula>
    </cfRule>
    <cfRule type="cellIs" dxfId="12520" priority="1550" stopIfTrue="1" operator="equal">
      <formula>"Napkin Hs"</formula>
    </cfRule>
  </conditionalFormatting>
  <conditionalFormatting sqref="C105">
    <cfRule type="cellIs" dxfId="12519" priority="1547" stopIfTrue="1" operator="equal">
      <formula>"Towel"</formula>
    </cfRule>
    <cfRule type="cellIs" dxfId="12518" priority="1548" stopIfTrue="1" operator="equal">
      <formula>"Napkin Hs"</formula>
    </cfRule>
  </conditionalFormatting>
  <conditionalFormatting sqref="C105">
    <cfRule type="cellIs" dxfId="12517" priority="1539" stopIfTrue="1" operator="equal">
      <formula>"Towel"</formula>
    </cfRule>
    <cfRule type="cellIs" dxfId="12516" priority="1540" stopIfTrue="1" operator="equal">
      <formula>"Napkin Hs"</formula>
    </cfRule>
  </conditionalFormatting>
  <conditionalFormatting sqref="B105:C105">
    <cfRule type="cellIs" dxfId="12515" priority="1541" stopIfTrue="1" operator="equal">
      <formula>"Towel"</formula>
    </cfRule>
    <cfRule type="cellIs" dxfId="12514" priority="1542" stopIfTrue="1" operator="equal">
      <formula>"Napkin Hs"</formula>
    </cfRule>
  </conditionalFormatting>
  <conditionalFormatting sqref="C105">
    <cfRule type="cellIs" dxfId="12513" priority="1537" stopIfTrue="1" operator="equal">
      <formula>"Towel"</formula>
    </cfRule>
    <cfRule type="cellIs" dxfId="12512" priority="1538" stopIfTrue="1" operator="equal">
      <formula>"Napkin Hs"</formula>
    </cfRule>
  </conditionalFormatting>
  <conditionalFormatting sqref="B105:C105">
    <cfRule type="cellIs" dxfId="12511" priority="1535" stopIfTrue="1" operator="equal">
      <formula>"Towel"</formula>
    </cfRule>
    <cfRule type="cellIs" dxfId="12510" priority="1536" stopIfTrue="1" operator="equal">
      <formula>"Napkin Hs"</formula>
    </cfRule>
  </conditionalFormatting>
  <conditionalFormatting sqref="C105">
    <cfRule type="cellIs" dxfId="12509" priority="1543" stopIfTrue="1" operator="equal">
      <formula>"Towel"</formula>
    </cfRule>
    <cfRule type="cellIs" dxfId="12508" priority="1544" stopIfTrue="1" operator="equal">
      <formula>"Napkin Hs"</formula>
    </cfRule>
  </conditionalFormatting>
  <conditionalFormatting sqref="C105">
    <cfRule type="cellIs" dxfId="12507" priority="1545" stopIfTrue="1" operator="equal">
      <formula>"Towel"</formula>
    </cfRule>
    <cfRule type="cellIs" dxfId="12506" priority="1546" stopIfTrue="1" operator="equal">
      <formula>"Napkin Hs"</formula>
    </cfRule>
  </conditionalFormatting>
  <conditionalFormatting sqref="C105">
    <cfRule type="cellIs" dxfId="12505" priority="1527" stopIfTrue="1" operator="equal">
      <formula>"Towel"</formula>
    </cfRule>
    <cfRule type="cellIs" dxfId="12504" priority="1528" stopIfTrue="1" operator="equal">
      <formula>"Napkin Hs"</formula>
    </cfRule>
  </conditionalFormatting>
  <conditionalFormatting sqref="C105">
    <cfRule type="cellIs" dxfId="12503" priority="1525" stopIfTrue="1" operator="equal">
      <formula>"Towel"</formula>
    </cfRule>
    <cfRule type="cellIs" dxfId="12502" priority="1526" stopIfTrue="1" operator="equal">
      <formula>"Napkin Hs"</formula>
    </cfRule>
  </conditionalFormatting>
  <conditionalFormatting sqref="B105:C105">
    <cfRule type="cellIs" dxfId="12501" priority="1523" stopIfTrue="1" operator="equal">
      <formula>"Towel"</formula>
    </cfRule>
    <cfRule type="cellIs" dxfId="12500" priority="1524" stopIfTrue="1" operator="equal">
      <formula>"Napkin Hs"</formula>
    </cfRule>
  </conditionalFormatting>
  <conditionalFormatting sqref="B105:C105">
    <cfRule type="cellIs" dxfId="12499" priority="1533" stopIfTrue="1" operator="equal">
      <formula>"Towel"</formula>
    </cfRule>
    <cfRule type="cellIs" dxfId="12498" priority="1534" stopIfTrue="1" operator="equal">
      <formula>"Napkin Hs"</formula>
    </cfRule>
  </conditionalFormatting>
  <conditionalFormatting sqref="C105">
    <cfRule type="cellIs" dxfId="12497" priority="1531" stopIfTrue="1" operator="equal">
      <formula>"Towel"</formula>
    </cfRule>
    <cfRule type="cellIs" dxfId="12496" priority="1532" stopIfTrue="1" operator="equal">
      <formula>"Napkin Hs"</formula>
    </cfRule>
  </conditionalFormatting>
  <conditionalFormatting sqref="C105">
    <cfRule type="cellIs" dxfId="12495" priority="1529" stopIfTrue="1" operator="equal">
      <formula>"Towel"</formula>
    </cfRule>
    <cfRule type="cellIs" dxfId="12494" priority="1530" stopIfTrue="1" operator="equal">
      <formula>"Napkin Hs"</formula>
    </cfRule>
  </conditionalFormatting>
  <conditionalFormatting sqref="C105">
    <cfRule type="cellIs" dxfId="12493" priority="1521" stopIfTrue="1" operator="equal">
      <formula>"Towel"</formula>
    </cfRule>
    <cfRule type="cellIs" dxfId="12492" priority="1522" stopIfTrue="1" operator="equal">
      <formula>"Napkin Hs"</formula>
    </cfRule>
  </conditionalFormatting>
  <conditionalFormatting sqref="C105">
    <cfRule type="cellIs" dxfId="12491" priority="1519" stopIfTrue="1" operator="equal">
      <formula>"Towel"</formula>
    </cfRule>
    <cfRule type="cellIs" dxfId="12490" priority="1520" stopIfTrue="1" operator="equal">
      <formula>"Napkin Hs"</formula>
    </cfRule>
  </conditionalFormatting>
  <conditionalFormatting sqref="B105:C105">
    <cfRule type="cellIs" dxfId="12489" priority="1517" stopIfTrue="1" operator="equal">
      <formula>"Towel"</formula>
    </cfRule>
    <cfRule type="cellIs" dxfId="12488" priority="1518" stopIfTrue="1" operator="equal">
      <formula>"Napkin Hs"</formula>
    </cfRule>
  </conditionalFormatting>
  <conditionalFormatting sqref="C110">
    <cfRule type="cellIs" dxfId="12487" priority="1509" stopIfTrue="1" operator="equal">
      <formula>"Towel"</formula>
    </cfRule>
    <cfRule type="cellIs" dxfId="12486" priority="1510" stopIfTrue="1" operator="equal">
      <formula>"Napkin Hs"</formula>
    </cfRule>
  </conditionalFormatting>
  <conditionalFormatting sqref="C110">
    <cfRule type="cellIs" dxfId="12485" priority="1507" stopIfTrue="1" operator="equal">
      <formula>"Towel"</formula>
    </cfRule>
    <cfRule type="cellIs" dxfId="12484" priority="1508" stopIfTrue="1" operator="equal">
      <formula>"Napkin Hs"</formula>
    </cfRule>
  </conditionalFormatting>
  <conditionalFormatting sqref="B110:C110">
    <cfRule type="cellIs" dxfId="12483" priority="1505" stopIfTrue="1" operator="equal">
      <formula>"Towel"</formula>
    </cfRule>
    <cfRule type="cellIs" dxfId="12482" priority="1506" stopIfTrue="1" operator="equal">
      <formula>"Napkin Hs"</formula>
    </cfRule>
  </conditionalFormatting>
  <conditionalFormatting sqref="B110:C110">
    <cfRule type="cellIs" dxfId="12481" priority="1499" stopIfTrue="1" operator="equal">
      <formula>"Towel"</formula>
    </cfRule>
    <cfRule type="cellIs" dxfId="12480" priority="1500" stopIfTrue="1" operator="equal">
      <formula>"Napkin Hs"</formula>
    </cfRule>
  </conditionalFormatting>
  <conditionalFormatting sqref="C110">
    <cfRule type="cellIs" dxfId="12479" priority="1501" stopIfTrue="1" operator="equal">
      <formula>"Towel"</formula>
    </cfRule>
    <cfRule type="cellIs" dxfId="12478" priority="1502" stopIfTrue="1" operator="equal">
      <formula>"Napkin Hs"</formula>
    </cfRule>
  </conditionalFormatting>
  <conditionalFormatting sqref="C110">
    <cfRule type="cellIs" dxfId="12477" priority="1503" stopIfTrue="1" operator="equal">
      <formula>"Towel"</formula>
    </cfRule>
    <cfRule type="cellIs" dxfId="12476" priority="1504" stopIfTrue="1" operator="equal">
      <formula>"Napkin Hs"</formula>
    </cfRule>
  </conditionalFormatting>
  <conditionalFormatting sqref="B110:C110">
    <cfRule type="cellIs" dxfId="12475" priority="1515" stopIfTrue="1" operator="equal">
      <formula>"Towel"</formula>
    </cfRule>
    <cfRule type="cellIs" dxfId="12474" priority="1516" stopIfTrue="1" operator="equal">
      <formula>"Napkin Hs"</formula>
    </cfRule>
  </conditionalFormatting>
  <conditionalFormatting sqref="C110">
    <cfRule type="cellIs" dxfId="12473" priority="1513" stopIfTrue="1" operator="equal">
      <formula>"Towel"</formula>
    </cfRule>
    <cfRule type="cellIs" dxfId="12472" priority="1514" stopIfTrue="1" operator="equal">
      <formula>"Napkin Hs"</formula>
    </cfRule>
  </conditionalFormatting>
  <conditionalFormatting sqref="C110">
    <cfRule type="cellIs" dxfId="12471" priority="1511" stopIfTrue="1" operator="equal">
      <formula>"Towel"</formula>
    </cfRule>
    <cfRule type="cellIs" dxfId="12470" priority="1512" stopIfTrue="1" operator="equal">
      <formula>"Napkin Hs"</formula>
    </cfRule>
  </conditionalFormatting>
  <conditionalFormatting sqref="C110">
    <cfRule type="cellIs" dxfId="12469" priority="1485" stopIfTrue="1" operator="equal">
      <formula>"Towel"</formula>
    </cfRule>
    <cfRule type="cellIs" dxfId="12468" priority="1486" stopIfTrue="1" operator="equal">
      <formula>"Napkin Hs"</formula>
    </cfRule>
  </conditionalFormatting>
  <conditionalFormatting sqref="C110">
    <cfRule type="cellIs" dxfId="12467" priority="1483" stopIfTrue="1" operator="equal">
      <formula>"Towel"</formula>
    </cfRule>
    <cfRule type="cellIs" dxfId="12466" priority="1484" stopIfTrue="1" operator="equal">
      <formula>"Napkin Hs"</formula>
    </cfRule>
  </conditionalFormatting>
  <conditionalFormatting sqref="B110:C110">
    <cfRule type="cellIs" dxfId="12465" priority="1481" stopIfTrue="1" operator="equal">
      <formula>"Towel"</formula>
    </cfRule>
    <cfRule type="cellIs" dxfId="12464" priority="1482" stopIfTrue="1" operator="equal">
      <formula>"Napkin Hs"</formula>
    </cfRule>
  </conditionalFormatting>
  <conditionalFormatting sqref="C110">
    <cfRule type="cellIs" dxfId="12463" priority="1491" stopIfTrue="1" operator="equal">
      <formula>"Towel"</formula>
    </cfRule>
    <cfRule type="cellIs" dxfId="12462" priority="1492" stopIfTrue="1" operator="equal">
      <formula>"Napkin Hs"</formula>
    </cfRule>
  </conditionalFormatting>
  <conditionalFormatting sqref="C110">
    <cfRule type="cellIs" dxfId="12461" priority="1489" stopIfTrue="1" operator="equal">
      <formula>"Towel"</formula>
    </cfRule>
    <cfRule type="cellIs" dxfId="12460" priority="1490" stopIfTrue="1" operator="equal">
      <formula>"Napkin Hs"</formula>
    </cfRule>
  </conditionalFormatting>
  <conditionalFormatting sqref="B110:C110">
    <cfRule type="cellIs" dxfId="12459" priority="1487" stopIfTrue="1" operator="equal">
      <formula>"Towel"</formula>
    </cfRule>
    <cfRule type="cellIs" dxfId="12458" priority="1488" stopIfTrue="1" operator="equal">
      <formula>"Napkin Hs"</formula>
    </cfRule>
  </conditionalFormatting>
  <conditionalFormatting sqref="B110:C110">
    <cfRule type="cellIs" dxfId="12457" priority="1497" stopIfTrue="1" operator="equal">
      <formula>"Towel"</formula>
    </cfRule>
    <cfRule type="cellIs" dxfId="12456" priority="1498" stopIfTrue="1" operator="equal">
      <formula>"Napkin Hs"</formula>
    </cfRule>
  </conditionalFormatting>
  <conditionalFormatting sqref="C110">
    <cfRule type="cellIs" dxfId="12455" priority="1495" stopIfTrue="1" operator="equal">
      <formula>"Towel"</formula>
    </cfRule>
    <cfRule type="cellIs" dxfId="12454" priority="1496" stopIfTrue="1" operator="equal">
      <formula>"Napkin Hs"</formula>
    </cfRule>
  </conditionalFormatting>
  <conditionalFormatting sqref="C110">
    <cfRule type="cellIs" dxfId="12453" priority="1493" stopIfTrue="1" operator="equal">
      <formula>"Towel"</formula>
    </cfRule>
    <cfRule type="cellIs" dxfId="12452" priority="1494" stopIfTrue="1" operator="equal">
      <formula>"Napkin Hs"</formula>
    </cfRule>
  </conditionalFormatting>
  <conditionalFormatting sqref="C115">
    <cfRule type="cellIs" dxfId="12451" priority="1473" stopIfTrue="1" operator="equal">
      <formula>"Towel"</formula>
    </cfRule>
    <cfRule type="cellIs" dxfId="12450" priority="1474" stopIfTrue="1" operator="equal">
      <formula>"Napkin Hs"</formula>
    </cfRule>
  </conditionalFormatting>
  <conditionalFormatting sqref="C115">
    <cfRule type="cellIs" dxfId="12449" priority="1471" stopIfTrue="1" operator="equal">
      <formula>"Towel"</formula>
    </cfRule>
    <cfRule type="cellIs" dxfId="12448" priority="1472" stopIfTrue="1" operator="equal">
      <formula>"Napkin Hs"</formula>
    </cfRule>
  </conditionalFormatting>
  <conditionalFormatting sqref="B115:C115">
    <cfRule type="cellIs" dxfId="12447" priority="1469" stopIfTrue="1" operator="equal">
      <formula>"Towel"</formula>
    </cfRule>
    <cfRule type="cellIs" dxfId="12446" priority="1470" stopIfTrue="1" operator="equal">
      <formula>"Napkin Hs"</formula>
    </cfRule>
  </conditionalFormatting>
  <conditionalFormatting sqref="B115:C115">
    <cfRule type="cellIs" dxfId="12445" priority="1463" stopIfTrue="1" operator="equal">
      <formula>"Towel"</formula>
    </cfRule>
    <cfRule type="cellIs" dxfId="12444" priority="1464" stopIfTrue="1" operator="equal">
      <formula>"Napkin Hs"</formula>
    </cfRule>
  </conditionalFormatting>
  <conditionalFormatting sqref="C115">
    <cfRule type="cellIs" dxfId="12443" priority="1465" stopIfTrue="1" operator="equal">
      <formula>"Towel"</formula>
    </cfRule>
    <cfRule type="cellIs" dxfId="12442" priority="1466" stopIfTrue="1" operator="equal">
      <formula>"Napkin Hs"</formula>
    </cfRule>
  </conditionalFormatting>
  <conditionalFormatting sqref="C115">
    <cfRule type="cellIs" dxfId="12441" priority="1467" stopIfTrue="1" operator="equal">
      <formula>"Towel"</formula>
    </cfRule>
    <cfRule type="cellIs" dxfId="12440" priority="1468" stopIfTrue="1" operator="equal">
      <formula>"Napkin Hs"</formula>
    </cfRule>
  </conditionalFormatting>
  <conditionalFormatting sqref="B115:C115">
    <cfRule type="cellIs" dxfId="12439" priority="1479" stopIfTrue="1" operator="equal">
      <formula>"Towel"</formula>
    </cfRule>
    <cfRule type="cellIs" dxfId="12438" priority="1480" stopIfTrue="1" operator="equal">
      <formula>"Napkin Hs"</formula>
    </cfRule>
  </conditionalFormatting>
  <conditionalFormatting sqref="C115">
    <cfRule type="cellIs" dxfId="12437" priority="1477" stopIfTrue="1" operator="equal">
      <formula>"Towel"</formula>
    </cfRule>
    <cfRule type="cellIs" dxfId="12436" priority="1478" stopIfTrue="1" operator="equal">
      <formula>"Napkin Hs"</formula>
    </cfRule>
  </conditionalFormatting>
  <conditionalFormatting sqref="C115">
    <cfRule type="cellIs" dxfId="12435" priority="1475" stopIfTrue="1" operator="equal">
      <formula>"Towel"</formula>
    </cfRule>
    <cfRule type="cellIs" dxfId="12434" priority="1476" stopIfTrue="1" operator="equal">
      <formula>"Napkin Hs"</formula>
    </cfRule>
  </conditionalFormatting>
  <conditionalFormatting sqref="C115">
    <cfRule type="cellIs" dxfId="12433" priority="1449" stopIfTrue="1" operator="equal">
      <formula>"Towel"</formula>
    </cfRule>
    <cfRule type="cellIs" dxfId="12432" priority="1450" stopIfTrue="1" operator="equal">
      <formula>"Napkin Hs"</formula>
    </cfRule>
  </conditionalFormatting>
  <conditionalFormatting sqref="C115">
    <cfRule type="cellIs" dxfId="12431" priority="1447" stopIfTrue="1" operator="equal">
      <formula>"Towel"</formula>
    </cfRule>
    <cfRule type="cellIs" dxfId="12430" priority="1448" stopIfTrue="1" operator="equal">
      <formula>"Napkin Hs"</formula>
    </cfRule>
  </conditionalFormatting>
  <conditionalFormatting sqref="B115:C115">
    <cfRule type="cellIs" dxfId="12429" priority="1445" stopIfTrue="1" operator="equal">
      <formula>"Towel"</formula>
    </cfRule>
    <cfRule type="cellIs" dxfId="12428" priority="1446" stopIfTrue="1" operator="equal">
      <formula>"Napkin Hs"</formula>
    </cfRule>
  </conditionalFormatting>
  <conditionalFormatting sqref="C115">
    <cfRule type="cellIs" dxfId="12427" priority="1455" stopIfTrue="1" operator="equal">
      <formula>"Towel"</formula>
    </cfRule>
    <cfRule type="cellIs" dxfId="12426" priority="1456" stopIfTrue="1" operator="equal">
      <formula>"Napkin Hs"</formula>
    </cfRule>
  </conditionalFormatting>
  <conditionalFormatting sqref="C115">
    <cfRule type="cellIs" dxfId="12425" priority="1453" stopIfTrue="1" operator="equal">
      <formula>"Towel"</formula>
    </cfRule>
    <cfRule type="cellIs" dxfId="12424" priority="1454" stopIfTrue="1" operator="equal">
      <formula>"Napkin Hs"</formula>
    </cfRule>
  </conditionalFormatting>
  <conditionalFormatting sqref="B115:C115">
    <cfRule type="cellIs" dxfId="12423" priority="1451" stopIfTrue="1" operator="equal">
      <formula>"Towel"</formula>
    </cfRule>
    <cfRule type="cellIs" dxfId="12422" priority="1452" stopIfTrue="1" operator="equal">
      <formula>"Napkin Hs"</formula>
    </cfRule>
  </conditionalFormatting>
  <conditionalFormatting sqref="B115:C115">
    <cfRule type="cellIs" dxfId="12421" priority="1461" stopIfTrue="1" operator="equal">
      <formula>"Towel"</formula>
    </cfRule>
    <cfRule type="cellIs" dxfId="12420" priority="1462" stopIfTrue="1" operator="equal">
      <formula>"Napkin Hs"</formula>
    </cfRule>
  </conditionalFormatting>
  <conditionalFormatting sqref="C115">
    <cfRule type="cellIs" dxfId="12419" priority="1459" stopIfTrue="1" operator="equal">
      <formula>"Towel"</formula>
    </cfRule>
    <cfRule type="cellIs" dxfId="12418" priority="1460" stopIfTrue="1" operator="equal">
      <formula>"Napkin Hs"</formula>
    </cfRule>
  </conditionalFormatting>
  <conditionalFormatting sqref="C115">
    <cfRule type="cellIs" dxfId="12417" priority="1457" stopIfTrue="1" operator="equal">
      <formula>"Towel"</formula>
    </cfRule>
    <cfRule type="cellIs" dxfId="12416" priority="1458" stopIfTrue="1" operator="equal">
      <formula>"Napkin Hs"</formula>
    </cfRule>
  </conditionalFormatting>
  <conditionalFormatting sqref="B115:C115">
    <cfRule type="cellIs" dxfId="12415" priority="1443" stopIfTrue="1" operator="equal">
      <formula>"Towel"</formula>
    </cfRule>
    <cfRule type="cellIs" dxfId="12414" priority="1444" stopIfTrue="1" operator="equal">
      <formula>"Napkin Hs"</formula>
    </cfRule>
  </conditionalFormatting>
  <conditionalFormatting sqref="C115">
    <cfRule type="cellIs" dxfId="12413" priority="1439" stopIfTrue="1" operator="equal">
      <formula>"Towel"</formula>
    </cfRule>
    <cfRule type="cellIs" dxfId="12412" priority="1440" stopIfTrue="1" operator="equal">
      <formula>"Napkin Hs"</formula>
    </cfRule>
  </conditionalFormatting>
  <conditionalFormatting sqref="C115">
    <cfRule type="cellIs" dxfId="12411" priority="1441" stopIfTrue="1" operator="equal">
      <formula>"Towel"</formula>
    </cfRule>
    <cfRule type="cellIs" dxfId="12410" priority="1442" stopIfTrue="1" operator="equal">
      <formula>"Napkin Hs"</formula>
    </cfRule>
  </conditionalFormatting>
  <conditionalFormatting sqref="B115:C115">
    <cfRule type="cellIs" dxfId="12409" priority="1437" stopIfTrue="1" operator="equal">
      <formula>"Towel"</formula>
    </cfRule>
    <cfRule type="cellIs" dxfId="12408" priority="1438" stopIfTrue="1" operator="equal">
      <formula>"Napkin Hs"</formula>
    </cfRule>
  </conditionalFormatting>
  <conditionalFormatting sqref="C115">
    <cfRule type="cellIs" dxfId="12407" priority="1435" stopIfTrue="1" operator="equal">
      <formula>"Towel"</formula>
    </cfRule>
    <cfRule type="cellIs" dxfId="12406" priority="1436" stopIfTrue="1" operator="equal">
      <formula>"Napkin Hs"</formula>
    </cfRule>
  </conditionalFormatting>
  <conditionalFormatting sqref="C115">
    <cfRule type="cellIs" dxfId="12405" priority="1433" stopIfTrue="1" operator="equal">
      <formula>"Towel"</formula>
    </cfRule>
    <cfRule type="cellIs" dxfId="12404" priority="1434" stopIfTrue="1" operator="equal">
      <formula>"Napkin Hs"</formula>
    </cfRule>
  </conditionalFormatting>
  <conditionalFormatting sqref="C115">
    <cfRule type="cellIs" dxfId="12403" priority="1425" stopIfTrue="1" operator="equal">
      <formula>"Towel"</formula>
    </cfRule>
    <cfRule type="cellIs" dxfId="12402" priority="1426" stopIfTrue="1" operator="equal">
      <formula>"Napkin Hs"</formula>
    </cfRule>
  </conditionalFormatting>
  <conditionalFormatting sqref="B115:C115">
    <cfRule type="cellIs" dxfId="12401" priority="1427" stopIfTrue="1" operator="equal">
      <formula>"Towel"</formula>
    </cfRule>
    <cfRule type="cellIs" dxfId="12400" priority="1428" stopIfTrue="1" operator="equal">
      <formula>"Napkin Hs"</formula>
    </cfRule>
  </conditionalFormatting>
  <conditionalFormatting sqref="C115">
    <cfRule type="cellIs" dxfId="12399" priority="1423" stopIfTrue="1" operator="equal">
      <formula>"Towel"</formula>
    </cfRule>
    <cfRule type="cellIs" dxfId="12398" priority="1424" stopIfTrue="1" operator="equal">
      <formula>"Napkin Hs"</formula>
    </cfRule>
  </conditionalFormatting>
  <conditionalFormatting sqref="B115:C115">
    <cfRule type="cellIs" dxfId="12397" priority="1421" stopIfTrue="1" operator="equal">
      <formula>"Towel"</formula>
    </cfRule>
    <cfRule type="cellIs" dxfId="12396" priority="1422" stopIfTrue="1" operator="equal">
      <formula>"Napkin Hs"</formula>
    </cfRule>
  </conditionalFormatting>
  <conditionalFormatting sqref="C115">
    <cfRule type="cellIs" dxfId="12395" priority="1429" stopIfTrue="1" operator="equal">
      <formula>"Towel"</formula>
    </cfRule>
    <cfRule type="cellIs" dxfId="12394" priority="1430" stopIfTrue="1" operator="equal">
      <formula>"Napkin Hs"</formula>
    </cfRule>
  </conditionalFormatting>
  <conditionalFormatting sqref="C115">
    <cfRule type="cellIs" dxfId="12393" priority="1431" stopIfTrue="1" operator="equal">
      <formula>"Towel"</formula>
    </cfRule>
    <cfRule type="cellIs" dxfId="12392" priority="1432" stopIfTrue="1" operator="equal">
      <formula>"Napkin Hs"</formula>
    </cfRule>
  </conditionalFormatting>
  <conditionalFormatting sqref="B120:C120">
    <cfRule type="cellIs" dxfId="12391" priority="1419" stopIfTrue="1" operator="equal">
      <formula>"Towel"</formula>
    </cfRule>
    <cfRule type="cellIs" dxfId="12390" priority="1420" stopIfTrue="1" operator="equal">
      <formula>"Napkin Hs"</formula>
    </cfRule>
  </conditionalFormatting>
  <conditionalFormatting sqref="C120">
    <cfRule type="cellIs" dxfId="12389" priority="1399" stopIfTrue="1" operator="equal">
      <formula>"Towel"</formula>
    </cfRule>
    <cfRule type="cellIs" dxfId="12388" priority="1400" stopIfTrue="1" operator="equal">
      <formula>"Napkin Hs"</formula>
    </cfRule>
  </conditionalFormatting>
  <conditionalFormatting sqref="B120:C120">
    <cfRule type="cellIs" dxfId="12387" priority="1397" stopIfTrue="1" operator="equal">
      <formula>"Towel"</formula>
    </cfRule>
    <cfRule type="cellIs" dxfId="12386" priority="1398" stopIfTrue="1" operator="equal">
      <formula>"Napkin Hs"</formula>
    </cfRule>
  </conditionalFormatting>
  <conditionalFormatting sqref="C120">
    <cfRule type="cellIs" dxfId="12385" priority="1405" stopIfTrue="1" operator="equal">
      <formula>"Towel"</formula>
    </cfRule>
    <cfRule type="cellIs" dxfId="12384" priority="1406" stopIfTrue="1" operator="equal">
      <formula>"Napkin Hs"</formula>
    </cfRule>
  </conditionalFormatting>
  <conditionalFormatting sqref="B120:C120">
    <cfRule type="cellIs" dxfId="12383" priority="1403" stopIfTrue="1" operator="equal">
      <formula>"Towel"</formula>
    </cfRule>
    <cfRule type="cellIs" dxfId="12382" priority="1404" stopIfTrue="1" operator="equal">
      <formula>"Napkin Hs"</formula>
    </cfRule>
  </conditionalFormatting>
  <conditionalFormatting sqref="C120">
    <cfRule type="cellIs" dxfId="12381" priority="1401" stopIfTrue="1" operator="equal">
      <formula>"Towel"</formula>
    </cfRule>
    <cfRule type="cellIs" dxfId="12380" priority="1402" stopIfTrue="1" operator="equal">
      <formula>"Napkin Hs"</formula>
    </cfRule>
  </conditionalFormatting>
  <conditionalFormatting sqref="C120">
    <cfRule type="cellIs" dxfId="12379" priority="1411" stopIfTrue="1" operator="equal">
      <formula>"Towel"</formula>
    </cfRule>
    <cfRule type="cellIs" dxfId="12378" priority="1412" stopIfTrue="1" operator="equal">
      <formula>"Napkin Hs"</formula>
    </cfRule>
  </conditionalFormatting>
  <conditionalFormatting sqref="C120">
    <cfRule type="cellIs" dxfId="12377" priority="1409" stopIfTrue="1" operator="equal">
      <formula>"Towel"</formula>
    </cfRule>
    <cfRule type="cellIs" dxfId="12376" priority="1410" stopIfTrue="1" operator="equal">
      <formula>"Napkin Hs"</formula>
    </cfRule>
  </conditionalFormatting>
  <conditionalFormatting sqref="C120">
    <cfRule type="cellIs" dxfId="12375" priority="1407" stopIfTrue="1" operator="equal">
      <formula>"Towel"</formula>
    </cfRule>
    <cfRule type="cellIs" dxfId="12374" priority="1408" stopIfTrue="1" operator="equal">
      <formula>"Napkin Hs"</formula>
    </cfRule>
  </conditionalFormatting>
  <conditionalFormatting sqref="C127">
    <cfRule type="cellIs" dxfId="12373" priority="1395" stopIfTrue="1" operator="equal">
      <formula>"Towel"</formula>
    </cfRule>
    <cfRule type="cellIs" dxfId="12372" priority="1396" stopIfTrue="1" operator="equal">
      <formula>"Napkin Hs"</formula>
    </cfRule>
  </conditionalFormatting>
  <conditionalFormatting sqref="C127">
    <cfRule type="cellIs" dxfId="12371" priority="1387" stopIfTrue="1" operator="equal">
      <formula>"Towel"</formula>
    </cfRule>
    <cfRule type="cellIs" dxfId="12370" priority="1388" stopIfTrue="1" operator="equal">
      <formula>"Napkin Hs"</formula>
    </cfRule>
  </conditionalFormatting>
  <conditionalFormatting sqref="C127">
    <cfRule type="cellIs" dxfId="12369" priority="1385" stopIfTrue="1" operator="equal">
      <formula>"Towel"</formula>
    </cfRule>
    <cfRule type="cellIs" dxfId="12368" priority="1386" stopIfTrue="1" operator="equal">
      <formula>"Napkin Hs"</formula>
    </cfRule>
  </conditionalFormatting>
  <conditionalFormatting sqref="C127">
    <cfRule type="cellIs" dxfId="12367" priority="1383" stopIfTrue="1" operator="equal">
      <formula>"Towel"</formula>
    </cfRule>
    <cfRule type="cellIs" dxfId="12366" priority="1384" stopIfTrue="1" operator="equal">
      <formula>"Napkin Hs"</formula>
    </cfRule>
  </conditionalFormatting>
  <conditionalFormatting sqref="C127">
    <cfRule type="cellIs" dxfId="12365" priority="1377" stopIfTrue="1" operator="equal">
      <formula>"Towel"</formula>
    </cfRule>
    <cfRule type="cellIs" dxfId="12364" priority="1378" stopIfTrue="1" operator="equal">
      <formula>"Napkin Hs"</formula>
    </cfRule>
  </conditionalFormatting>
  <conditionalFormatting sqref="C127">
    <cfRule type="cellIs" dxfId="12363" priority="1379" stopIfTrue="1" operator="equal">
      <formula>"Towel"</formula>
    </cfRule>
    <cfRule type="cellIs" dxfId="12362" priority="1380" stopIfTrue="1" operator="equal">
      <formula>"Napkin Hs"</formula>
    </cfRule>
  </conditionalFormatting>
  <conditionalFormatting sqref="C127">
    <cfRule type="cellIs" dxfId="12361" priority="1381" stopIfTrue="1" operator="equal">
      <formula>"Towel"</formula>
    </cfRule>
    <cfRule type="cellIs" dxfId="12360" priority="1382" stopIfTrue="1" operator="equal">
      <formula>"Napkin Hs"</formula>
    </cfRule>
  </conditionalFormatting>
  <conditionalFormatting sqref="C127">
    <cfRule type="cellIs" dxfId="12359" priority="1393" stopIfTrue="1" operator="equal">
      <formula>"Towel"</formula>
    </cfRule>
    <cfRule type="cellIs" dxfId="12358" priority="1394" stopIfTrue="1" operator="equal">
      <formula>"Napkin Hs"</formula>
    </cfRule>
  </conditionalFormatting>
  <conditionalFormatting sqref="C127">
    <cfRule type="cellIs" dxfId="12357" priority="1391" stopIfTrue="1" operator="equal">
      <formula>"Towel"</formula>
    </cfRule>
    <cfRule type="cellIs" dxfId="12356" priority="1392" stopIfTrue="1" operator="equal">
      <formula>"Napkin Hs"</formula>
    </cfRule>
  </conditionalFormatting>
  <conditionalFormatting sqref="C127">
    <cfRule type="cellIs" dxfId="12355" priority="1389" stopIfTrue="1" operator="equal">
      <formula>"Towel"</formula>
    </cfRule>
    <cfRule type="cellIs" dxfId="12354" priority="1390" stopIfTrue="1" operator="equal">
      <formula>"Napkin Hs"</formula>
    </cfRule>
  </conditionalFormatting>
  <conditionalFormatting sqref="B126:C126">
    <cfRule type="cellIs" dxfId="12353" priority="1363" stopIfTrue="1" operator="equal">
      <formula>"Towel"</formula>
    </cfRule>
    <cfRule type="cellIs" dxfId="12352" priority="1364" stopIfTrue="1" operator="equal">
      <formula>"Napkin Hs"</formula>
    </cfRule>
  </conditionalFormatting>
  <conditionalFormatting sqref="C126">
    <cfRule type="cellIs" dxfId="12351" priority="1361" stopIfTrue="1" operator="equal">
      <formula>"Towel"</formula>
    </cfRule>
    <cfRule type="cellIs" dxfId="12350" priority="1362" stopIfTrue="1" operator="equal">
      <formula>"Napkin Hs"</formula>
    </cfRule>
  </conditionalFormatting>
  <conditionalFormatting sqref="C126">
    <cfRule type="cellIs" dxfId="12349" priority="1359" stopIfTrue="1" operator="equal">
      <formula>"Towel"</formula>
    </cfRule>
    <cfRule type="cellIs" dxfId="12348" priority="1360" stopIfTrue="1" operator="equal">
      <formula>"Napkin Hs"</formula>
    </cfRule>
  </conditionalFormatting>
  <conditionalFormatting sqref="B127">
    <cfRule type="cellIs" dxfId="12347" priority="1369" stopIfTrue="1" operator="equal">
      <formula>"Towel"</formula>
    </cfRule>
    <cfRule type="cellIs" dxfId="12346" priority="1370" stopIfTrue="1" operator="equal">
      <formula>"Napkin Hs"</formula>
    </cfRule>
  </conditionalFormatting>
  <conditionalFormatting sqref="B127">
    <cfRule type="cellIs" dxfId="12345" priority="1367" stopIfTrue="1" operator="equal">
      <formula>"Towel"</formula>
    </cfRule>
    <cfRule type="cellIs" dxfId="12344" priority="1368" stopIfTrue="1" operator="equal">
      <formula>"Napkin Hs"</formula>
    </cfRule>
  </conditionalFormatting>
  <conditionalFormatting sqref="B127">
    <cfRule type="cellIs" dxfId="12343" priority="1365" stopIfTrue="1" operator="equal">
      <formula>"Towel"</formula>
    </cfRule>
    <cfRule type="cellIs" dxfId="12342" priority="1366" stopIfTrue="1" operator="equal">
      <formula>"Napkin Hs"</formula>
    </cfRule>
  </conditionalFormatting>
  <conditionalFormatting sqref="B126:C126">
    <cfRule type="cellIs" dxfId="12341" priority="1357" stopIfTrue="1" operator="equal">
      <formula>"Towel"</formula>
    </cfRule>
    <cfRule type="cellIs" dxfId="12340" priority="1358" stopIfTrue="1" operator="equal">
      <formula>"Napkin Hs"</formula>
    </cfRule>
  </conditionalFormatting>
  <conditionalFormatting sqref="C126">
    <cfRule type="cellIs" dxfId="12339" priority="1355" stopIfTrue="1" operator="equal">
      <formula>"Towel"</formula>
    </cfRule>
    <cfRule type="cellIs" dxfId="12338" priority="1356" stopIfTrue="1" operator="equal">
      <formula>"Napkin Hs"</formula>
    </cfRule>
  </conditionalFormatting>
  <conditionalFormatting sqref="C126">
    <cfRule type="cellIs" dxfId="12337" priority="1353" stopIfTrue="1" operator="equal">
      <formula>"Towel"</formula>
    </cfRule>
    <cfRule type="cellIs" dxfId="12336" priority="1354" stopIfTrue="1" operator="equal">
      <formula>"Napkin Hs"</formula>
    </cfRule>
  </conditionalFormatting>
  <conditionalFormatting sqref="C127">
    <cfRule type="cellIs" dxfId="12335" priority="1375" stopIfTrue="1" operator="equal">
      <formula>"Towel"</formula>
    </cfRule>
    <cfRule type="cellIs" dxfId="12334" priority="1376" stopIfTrue="1" operator="equal">
      <formula>"Napkin Hs"</formula>
    </cfRule>
  </conditionalFormatting>
  <conditionalFormatting sqref="C127">
    <cfRule type="cellIs" dxfId="12333" priority="1373" stopIfTrue="1" operator="equal">
      <formula>"Towel"</formula>
    </cfRule>
    <cfRule type="cellIs" dxfId="12332" priority="1374" stopIfTrue="1" operator="equal">
      <formula>"Napkin Hs"</formula>
    </cfRule>
  </conditionalFormatting>
  <conditionalFormatting sqref="B127">
    <cfRule type="cellIs" dxfId="12331" priority="1371" stopIfTrue="1" operator="equal">
      <formula>"Towel"</formula>
    </cfRule>
    <cfRule type="cellIs" dxfId="12330" priority="1372" stopIfTrue="1" operator="equal">
      <formula>"Napkin Hs"</formula>
    </cfRule>
  </conditionalFormatting>
  <conditionalFormatting sqref="C126">
    <cfRule type="cellIs" dxfId="12329" priority="1345" stopIfTrue="1" operator="equal">
      <formula>"Towel"</formula>
    </cfRule>
    <cfRule type="cellIs" dxfId="12328" priority="1346" stopIfTrue="1" operator="equal">
      <formula>"Napkin Hs"</formula>
    </cfRule>
  </conditionalFormatting>
  <conditionalFormatting sqref="B126:C126">
    <cfRule type="cellIs" dxfId="12327" priority="1347" stopIfTrue="1" operator="equal">
      <formula>"Towel"</formula>
    </cfRule>
    <cfRule type="cellIs" dxfId="12326" priority="1348" stopIfTrue="1" operator="equal">
      <formula>"Napkin Hs"</formula>
    </cfRule>
  </conditionalFormatting>
  <conditionalFormatting sqref="C126">
    <cfRule type="cellIs" dxfId="12325" priority="1343" stopIfTrue="1" operator="equal">
      <formula>"Towel"</formula>
    </cfRule>
    <cfRule type="cellIs" dxfId="12324" priority="1344" stopIfTrue="1" operator="equal">
      <formula>"Napkin Hs"</formula>
    </cfRule>
  </conditionalFormatting>
  <conditionalFormatting sqref="B126:C126">
    <cfRule type="cellIs" dxfId="12323" priority="1341" stopIfTrue="1" operator="equal">
      <formula>"Towel"</formula>
    </cfRule>
    <cfRule type="cellIs" dxfId="12322" priority="1342" stopIfTrue="1" operator="equal">
      <formula>"Napkin Hs"</formula>
    </cfRule>
  </conditionalFormatting>
  <conditionalFormatting sqref="C126">
    <cfRule type="cellIs" dxfId="12321" priority="1349" stopIfTrue="1" operator="equal">
      <formula>"Towel"</formula>
    </cfRule>
    <cfRule type="cellIs" dxfId="12320" priority="1350" stopIfTrue="1" operator="equal">
      <formula>"Napkin Hs"</formula>
    </cfRule>
  </conditionalFormatting>
  <conditionalFormatting sqref="C126">
    <cfRule type="cellIs" dxfId="12319" priority="1351" stopIfTrue="1" operator="equal">
      <formula>"Towel"</formula>
    </cfRule>
    <cfRule type="cellIs" dxfId="12318" priority="1352" stopIfTrue="1" operator="equal">
      <formula>"Napkin Hs"</formula>
    </cfRule>
  </conditionalFormatting>
  <conditionalFormatting sqref="C120">
    <cfRule type="cellIs" dxfId="12317" priority="1415" stopIfTrue="1" operator="equal">
      <formula>"Towel"</formula>
    </cfRule>
    <cfRule type="cellIs" dxfId="12316" priority="1416" stopIfTrue="1" operator="equal">
      <formula>"Napkin Hs"</formula>
    </cfRule>
  </conditionalFormatting>
  <conditionalFormatting sqref="C120">
    <cfRule type="cellIs" dxfId="12315" priority="1417" stopIfTrue="1" operator="equal">
      <formula>"Towel"</formula>
    </cfRule>
    <cfRule type="cellIs" dxfId="12314" priority="1418" stopIfTrue="1" operator="equal">
      <formula>"Napkin Hs"</formula>
    </cfRule>
  </conditionalFormatting>
  <conditionalFormatting sqref="B120:C120">
    <cfRule type="cellIs" dxfId="12313" priority="1413" stopIfTrue="1" operator="equal">
      <formula>"Towel"</formula>
    </cfRule>
    <cfRule type="cellIs" dxfId="12312" priority="1414" stopIfTrue="1" operator="equal">
      <formula>"Napkin Hs"</formula>
    </cfRule>
  </conditionalFormatting>
  <conditionalFormatting sqref="B136:C136">
    <cfRule type="cellIs" dxfId="12311" priority="1339" stopIfTrue="1" operator="equal">
      <formula>"Towel"</formula>
    </cfRule>
    <cfRule type="cellIs" dxfId="12310" priority="1340" stopIfTrue="1" operator="equal">
      <formula>"Napkin Hs"</formula>
    </cfRule>
  </conditionalFormatting>
  <conditionalFormatting sqref="C136">
    <cfRule type="cellIs" dxfId="12309" priority="1337" stopIfTrue="1" operator="equal">
      <formula>"Towel"</formula>
    </cfRule>
    <cfRule type="cellIs" dxfId="12308" priority="1338" stopIfTrue="1" operator="equal">
      <formula>"Napkin Hs"</formula>
    </cfRule>
  </conditionalFormatting>
  <conditionalFormatting sqref="C136">
    <cfRule type="cellIs" dxfId="12307" priority="1335" stopIfTrue="1" operator="equal">
      <formula>"Towel"</formula>
    </cfRule>
    <cfRule type="cellIs" dxfId="12306" priority="1336" stopIfTrue="1" operator="equal">
      <formula>"Napkin Hs"</formula>
    </cfRule>
  </conditionalFormatting>
  <conditionalFormatting sqref="B136:C136">
    <cfRule type="cellIs" dxfId="12305" priority="1333" stopIfTrue="1" operator="equal">
      <formula>"Towel"</formula>
    </cfRule>
    <cfRule type="cellIs" dxfId="12304" priority="1334" stopIfTrue="1" operator="equal">
      <formula>"Napkin Hs"</formula>
    </cfRule>
  </conditionalFormatting>
  <conditionalFormatting sqref="C136">
    <cfRule type="cellIs" dxfId="12303" priority="1331" stopIfTrue="1" operator="equal">
      <formula>"Towel"</formula>
    </cfRule>
    <cfRule type="cellIs" dxfId="12302" priority="1332" stopIfTrue="1" operator="equal">
      <formula>"Napkin Hs"</formula>
    </cfRule>
  </conditionalFormatting>
  <conditionalFormatting sqref="C136">
    <cfRule type="cellIs" dxfId="12301" priority="1329" stopIfTrue="1" operator="equal">
      <formula>"Towel"</formula>
    </cfRule>
    <cfRule type="cellIs" dxfId="12300" priority="1330" stopIfTrue="1" operator="equal">
      <formula>"Napkin Hs"</formula>
    </cfRule>
  </conditionalFormatting>
  <conditionalFormatting sqref="C136">
    <cfRule type="cellIs" dxfId="12299" priority="1321" stopIfTrue="1" operator="equal">
      <formula>"Towel"</formula>
    </cfRule>
    <cfRule type="cellIs" dxfId="12298" priority="1322" stopIfTrue="1" operator="equal">
      <formula>"Napkin Hs"</formula>
    </cfRule>
  </conditionalFormatting>
  <conditionalFormatting sqref="B136:C136">
    <cfRule type="cellIs" dxfId="12297" priority="1323" stopIfTrue="1" operator="equal">
      <formula>"Towel"</formula>
    </cfRule>
    <cfRule type="cellIs" dxfId="12296" priority="1324" stopIfTrue="1" operator="equal">
      <formula>"Napkin Hs"</formula>
    </cfRule>
  </conditionalFormatting>
  <conditionalFormatting sqref="C136">
    <cfRule type="cellIs" dxfId="12295" priority="1319" stopIfTrue="1" operator="equal">
      <formula>"Towel"</formula>
    </cfRule>
    <cfRule type="cellIs" dxfId="12294" priority="1320" stopIfTrue="1" operator="equal">
      <formula>"Napkin Hs"</formula>
    </cfRule>
  </conditionalFormatting>
  <conditionalFormatting sqref="B136:C136">
    <cfRule type="cellIs" dxfId="12293" priority="1317" stopIfTrue="1" operator="equal">
      <formula>"Towel"</formula>
    </cfRule>
    <cfRule type="cellIs" dxfId="12292" priority="1318" stopIfTrue="1" operator="equal">
      <formula>"Napkin Hs"</formula>
    </cfRule>
  </conditionalFormatting>
  <conditionalFormatting sqref="C136">
    <cfRule type="cellIs" dxfId="12291" priority="1325" stopIfTrue="1" operator="equal">
      <formula>"Towel"</formula>
    </cfRule>
    <cfRule type="cellIs" dxfId="12290" priority="1326" stopIfTrue="1" operator="equal">
      <formula>"Napkin Hs"</formula>
    </cfRule>
  </conditionalFormatting>
  <conditionalFormatting sqref="C136">
    <cfRule type="cellIs" dxfId="12289" priority="1327" stopIfTrue="1" operator="equal">
      <formula>"Towel"</formula>
    </cfRule>
    <cfRule type="cellIs" dxfId="12288" priority="1328" stopIfTrue="1" operator="equal">
      <formula>"Napkin Hs"</formula>
    </cfRule>
  </conditionalFormatting>
  <conditionalFormatting sqref="B141:C141">
    <cfRule type="cellIs" dxfId="12287" priority="1315" stopIfTrue="1" operator="equal">
      <formula>"Towel"</formula>
    </cfRule>
    <cfRule type="cellIs" dxfId="12286" priority="1316" stopIfTrue="1" operator="equal">
      <formula>"Napkin Hs"</formula>
    </cfRule>
  </conditionalFormatting>
  <conditionalFormatting sqref="C141">
    <cfRule type="cellIs" dxfId="12285" priority="1311" stopIfTrue="1" operator="equal">
      <formula>"Towel"</formula>
    </cfRule>
    <cfRule type="cellIs" dxfId="12284" priority="1312" stopIfTrue="1" operator="equal">
      <formula>"Napkin Hs"</formula>
    </cfRule>
  </conditionalFormatting>
  <conditionalFormatting sqref="C141">
    <cfRule type="cellIs" dxfId="12283" priority="1313" stopIfTrue="1" operator="equal">
      <formula>"Towel"</formula>
    </cfRule>
    <cfRule type="cellIs" dxfId="12282" priority="1314" stopIfTrue="1" operator="equal">
      <formula>"Napkin Hs"</formula>
    </cfRule>
  </conditionalFormatting>
  <conditionalFormatting sqref="B141:C141">
    <cfRule type="cellIs" dxfId="12281" priority="1309" stopIfTrue="1" operator="equal">
      <formula>"Towel"</formula>
    </cfRule>
    <cfRule type="cellIs" dxfId="12280" priority="1310" stopIfTrue="1" operator="equal">
      <formula>"Napkin Hs"</formula>
    </cfRule>
  </conditionalFormatting>
  <conditionalFormatting sqref="C141">
    <cfRule type="cellIs" dxfId="12279" priority="1307" stopIfTrue="1" operator="equal">
      <formula>"Towel"</formula>
    </cfRule>
    <cfRule type="cellIs" dxfId="12278" priority="1308" stopIfTrue="1" operator="equal">
      <formula>"Napkin Hs"</formula>
    </cfRule>
  </conditionalFormatting>
  <conditionalFormatting sqref="C141">
    <cfRule type="cellIs" dxfId="12277" priority="1305" stopIfTrue="1" operator="equal">
      <formula>"Towel"</formula>
    </cfRule>
    <cfRule type="cellIs" dxfId="12276" priority="1306" stopIfTrue="1" operator="equal">
      <formula>"Napkin Hs"</formula>
    </cfRule>
  </conditionalFormatting>
  <conditionalFormatting sqref="C141">
    <cfRule type="cellIs" dxfId="12275" priority="1297" stopIfTrue="1" operator="equal">
      <formula>"Towel"</formula>
    </cfRule>
    <cfRule type="cellIs" dxfId="12274" priority="1298" stopIfTrue="1" operator="equal">
      <formula>"Napkin Hs"</formula>
    </cfRule>
  </conditionalFormatting>
  <conditionalFormatting sqref="B141:C141">
    <cfRule type="cellIs" dxfId="12273" priority="1299" stopIfTrue="1" operator="equal">
      <formula>"Towel"</formula>
    </cfRule>
    <cfRule type="cellIs" dxfId="12272" priority="1300" stopIfTrue="1" operator="equal">
      <formula>"Napkin Hs"</formula>
    </cfRule>
  </conditionalFormatting>
  <conditionalFormatting sqref="C141">
    <cfRule type="cellIs" dxfId="12271" priority="1295" stopIfTrue="1" operator="equal">
      <formula>"Towel"</formula>
    </cfRule>
    <cfRule type="cellIs" dxfId="12270" priority="1296" stopIfTrue="1" operator="equal">
      <formula>"Napkin Hs"</formula>
    </cfRule>
  </conditionalFormatting>
  <conditionalFormatting sqref="B141:C141">
    <cfRule type="cellIs" dxfId="12269" priority="1293" stopIfTrue="1" operator="equal">
      <formula>"Towel"</formula>
    </cfRule>
    <cfRule type="cellIs" dxfId="12268" priority="1294" stopIfTrue="1" operator="equal">
      <formula>"Napkin Hs"</formula>
    </cfRule>
  </conditionalFormatting>
  <conditionalFormatting sqref="C141">
    <cfRule type="cellIs" dxfId="12267" priority="1301" stopIfTrue="1" operator="equal">
      <formula>"Towel"</formula>
    </cfRule>
    <cfRule type="cellIs" dxfId="12266" priority="1302" stopIfTrue="1" operator="equal">
      <formula>"Napkin Hs"</formula>
    </cfRule>
  </conditionalFormatting>
  <conditionalFormatting sqref="C141">
    <cfRule type="cellIs" dxfId="12265" priority="1303" stopIfTrue="1" operator="equal">
      <formula>"Towel"</formula>
    </cfRule>
    <cfRule type="cellIs" dxfId="12264" priority="1304" stopIfTrue="1" operator="equal">
      <formula>"Napkin Hs"</formula>
    </cfRule>
  </conditionalFormatting>
  <conditionalFormatting sqref="B162:C162">
    <cfRule type="cellIs" dxfId="12263" priority="1291" stopIfTrue="1" operator="equal">
      <formula>"Towel"</formula>
    </cfRule>
    <cfRule type="cellIs" dxfId="12262" priority="1292" stopIfTrue="1" operator="equal">
      <formula>"Napkin Hs"</formula>
    </cfRule>
  </conditionalFormatting>
  <conditionalFormatting sqref="C162">
    <cfRule type="cellIs" dxfId="12261" priority="1290" stopIfTrue="1" operator="equal">
      <formula>"Napkin Hs"</formula>
    </cfRule>
  </conditionalFormatting>
  <conditionalFormatting sqref="C162">
    <cfRule type="cellIs" dxfId="12260" priority="1289" stopIfTrue="1" operator="equal">
      <formula>"Towel"</formula>
    </cfRule>
  </conditionalFormatting>
  <conditionalFormatting sqref="C162">
    <cfRule type="cellIs" dxfId="12259" priority="1287" stopIfTrue="1" operator="equal">
      <formula>"Towel"</formula>
    </cfRule>
    <cfRule type="cellIs" dxfId="12258" priority="1288" stopIfTrue="1" operator="equal">
      <formula>"Napkin Hs"</formula>
    </cfRule>
  </conditionalFormatting>
  <conditionalFormatting sqref="B147:C147">
    <cfRule type="cellIs" dxfId="12257" priority="1285" stopIfTrue="1" operator="equal">
      <formula>"Towel"</formula>
    </cfRule>
    <cfRule type="cellIs" dxfId="12256" priority="1286" stopIfTrue="1" operator="equal">
      <formula>"Napkin Hs"</formula>
    </cfRule>
  </conditionalFormatting>
  <conditionalFormatting sqref="C147">
    <cfRule type="cellIs" dxfId="12255" priority="1281" stopIfTrue="1" operator="equal">
      <formula>"Towel"</formula>
    </cfRule>
    <cfRule type="cellIs" dxfId="12254" priority="1282" stopIfTrue="1" operator="equal">
      <formula>"Napkin Hs"</formula>
    </cfRule>
  </conditionalFormatting>
  <conditionalFormatting sqref="C147">
    <cfRule type="cellIs" dxfId="12253" priority="1283" stopIfTrue="1" operator="equal">
      <formula>"Towel"</formula>
    </cfRule>
    <cfRule type="cellIs" dxfId="12252" priority="1284" stopIfTrue="1" operator="equal">
      <formula>"Napkin Hs"</formula>
    </cfRule>
  </conditionalFormatting>
  <conditionalFormatting sqref="B147:C147">
    <cfRule type="cellIs" dxfId="12251" priority="1279" stopIfTrue="1" operator="equal">
      <formula>"Towel"</formula>
    </cfRule>
    <cfRule type="cellIs" dxfId="12250" priority="1280" stopIfTrue="1" operator="equal">
      <formula>"Napkin Hs"</formula>
    </cfRule>
  </conditionalFormatting>
  <conditionalFormatting sqref="C147">
    <cfRule type="cellIs" dxfId="12249" priority="1277" stopIfTrue="1" operator="equal">
      <formula>"Towel"</formula>
    </cfRule>
    <cfRule type="cellIs" dxfId="12248" priority="1278" stopIfTrue="1" operator="equal">
      <formula>"Napkin Hs"</formula>
    </cfRule>
  </conditionalFormatting>
  <conditionalFormatting sqref="C147">
    <cfRule type="cellIs" dxfId="12247" priority="1275" stopIfTrue="1" operator="equal">
      <formula>"Towel"</formula>
    </cfRule>
    <cfRule type="cellIs" dxfId="12246" priority="1276" stopIfTrue="1" operator="equal">
      <formula>"Napkin Hs"</formula>
    </cfRule>
  </conditionalFormatting>
  <conditionalFormatting sqref="C147">
    <cfRule type="cellIs" dxfId="12245" priority="1267" stopIfTrue="1" operator="equal">
      <formula>"Towel"</formula>
    </cfRule>
    <cfRule type="cellIs" dxfId="12244" priority="1268" stopIfTrue="1" operator="equal">
      <formula>"Napkin Hs"</formula>
    </cfRule>
  </conditionalFormatting>
  <conditionalFormatting sqref="B147:C147">
    <cfRule type="cellIs" dxfId="12243" priority="1269" stopIfTrue="1" operator="equal">
      <formula>"Towel"</formula>
    </cfRule>
    <cfRule type="cellIs" dxfId="12242" priority="1270" stopIfTrue="1" operator="equal">
      <formula>"Napkin Hs"</formula>
    </cfRule>
  </conditionalFormatting>
  <conditionalFormatting sqref="C147">
    <cfRule type="cellIs" dxfId="12241" priority="1265" stopIfTrue="1" operator="equal">
      <formula>"Towel"</formula>
    </cfRule>
    <cfRule type="cellIs" dxfId="12240" priority="1266" stopIfTrue="1" operator="equal">
      <formula>"Napkin Hs"</formula>
    </cfRule>
  </conditionalFormatting>
  <conditionalFormatting sqref="B147:C147">
    <cfRule type="cellIs" dxfId="12239" priority="1263" stopIfTrue="1" operator="equal">
      <formula>"Towel"</formula>
    </cfRule>
    <cfRule type="cellIs" dxfId="12238" priority="1264" stopIfTrue="1" operator="equal">
      <formula>"Napkin Hs"</formula>
    </cfRule>
  </conditionalFormatting>
  <conditionalFormatting sqref="C147">
    <cfRule type="cellIs" dxfId="12237" priority="1271" stopIfTrue="1" operator="equal">
      <formula>"Towel"</formula>
    </cfRule>
    <cfRule type="cellIs" dxfId="12236" priority="1272" stopIfTrue="1" operator="equal">
      <formula>"Napkin Hs"</formula>
    </cfRule>
  </conditionalFormatting>
  <conditionalFormatting sqref="C147">
    <cfRule type="cellIs" dxfId="12235" priority="1273" stopIfTrue="1" operator="equal">
      <formula>"Towel"</formula>
    </cfRule>
    <cfRule type="cellIs" dxfId="12234" priority="1274" stopIfTrue="1" operator="equal">
      <formula>"Napkin Hs"</formula>
    </cfRule>
  </conditionalFormatting>
  <conditionalFormatting sqref="B152:C152">
    <cfRule type="cellIs" dxfId="12233" priority="1261" stopIfTrue="1" operator="equal">
      <formula>"Towel"</formula>
    </cfRule>
    <cfRule type="cellIs" dxfId="12232" priority="1262" stopIfTrue="1" operator="equal">
      <formula>"Napkin Hs"</formula>
    </cfRule>
  </conditionalFormatting>
  <conditionalFormatting sqref="C152">
    <cfRule type="cellIs" dxfId="12231" priority="1257" stopIfTrue="1" operator="equal">
      <formula>"Towel"</formula>
    </cfRule>
    <cfRule type="cellIs" dxfId="12230" priority="1258" stopIfTrue="1" operator="equal">
      <formula>"Napkin Hs"</formula>
    </cfRule>
  </conditionalFormatting>
  <conditionalFormatting sqref="C152">
    <cfRule type="cellIs" dxfId="12229" priority="1259" stopIfTrue="1" operator="equal">
      <formula>"Towel"</formula>
    </cfRule>
    <cfRule type="cellIs" dxfId="12228" priority="1260" stopIfTrue="1" operator="equal">
      <formula>"Napkin Hs"</formula>
    </cfRule>
  </conditionalFormatting>
  <conditionalFormatting sqref="B152:C152">
    <cfRule type="cellIs" dxfId="12227" priority="1255" stopIfTrue="1" operator="equal">
      <formula>"Towel"</formula>
    </cfRule>
    <cfRule type="cellIs" dxfId="12226" priority="1256" stopIfTrue="1" operator="equal">
      <formula>"Napkin Hs"</formula>
    </cfRule>
  </conditionalFormatting>
  <conditionalFormatting sqref="C152">
    <cfRule type="cellIs" dxfId="12225" priority="1253" stopIfTrue="1" operator="equal">
      <formula>"Towel"</formula>
    </cfRule>
    <cfRule type="cellIs" dxfId="12224" priority="1254" stopIfTrue="1" operator="equal">
      <formula>"Napkin Hs"</formula>
    </cfRule>
  </conditionalFormatting>
  <conditionalFormatting sqref="C152">
    <cfRule type="cellIs" dxfId="12223" priority="1251" stopIfTrue="1" operator="equal">
      <formula>"Towel"</formula>
    </cfRule>
    <cfRule type="cellIs" dxfId="12222" priority="1252" stopIfTrue="1" operator="equal">
      <formula>"Napkin Hs"</formula>
    </cfRule>
  </conditionalFormatting>
  <conditionalFormatting sqref="C152">
    <cfRule type="cellIs" dxfId="12221" priority="1243" stopIfTrue="1" operator="equal">
      <formula>"Towel"</formula>
    </cfRule>
    <cfRule type="cellIs" dxfId="12220" priority="1244" stopIfTrue="1" operator="equal">
      <formula>"Napkin Hs"</formula>
    </cfRule>
  </conditionalFormatting>
  <conditionalFormatting sqref="B152:C152">
    <cfRule type="cellIs" dxfId="12219" priority="1245" stopIfTrue="1" operator="equal">
      <formula>"Towel"</formula>
    </cfRule>
    <cfRule type="cellIs" dxfId="12218" priority="1246" stopIfTrue="1" operator="equal">
      <formula>"Napkin Hs"</formula>
    </cfRule>
  </conditionalFormatting>
  <conditionalFormatting sqref="C152">
    <cfRule type="cellIs" dxfId="12217" priority="1241" stopIfTrue="1" operator="equal">
      <formula>"Towel"</formula>
    </cfRule>
    <cfRule type="cellIs" dxfId="12216" priority="1242" stopIfTrue="1" operator="equal">
      <formula>"Napkin Hs"</formula>
    </cfRule>
  </conditionalFormatting>
  <conditionalFormatting sqref="B152:C152">
    <cfRule type="cellIs" dxfId="12215" priority="1239" stopIfTrue="1" operator="equal">
      <formula>"Towel"</formula>
    </cfRule>
    <cfRule type="cellIs" dxfId="12214" priority="1240" stopIfTrue="1" operator="equal">
      <formula>"Napkin Hs"</formula>
    </cfRule>
  </conditionalFormatting>
  <conditionalFormatting sqref="C152">
    <cfRule type="cellIs" dxfId="12213" priority="1247" stopIfTrue="1" operator="equal">
      <formula>"Towel"</formula>
    </cfRule>
    <cfRule type="cellIs" dxfId="12212" priority="1248" stopIfTrue="1" operator="equal">
      <formula>"Napkin Hs"</formula>
    </cfRule>
  </conditionalFormatting>
  <conditionalFormatting sqref="C152">
    <cfRule type="cellIs" dxfId="12211" priority="1249" stopIfTrue="1" operator="equal">
      <formula>"Towel"</formula>
    </cfRule>
    <cfRule type="cellIs" dxfId="12210" priority="1250" stopIfTrue="1" operator="equal">
      <formula>"Napkin Hs"</formula>
    </cfRule>
  </conditionalFormatting>
  <conditionalFormatting sqref="B157:C157">
    <cfRule type="cellIs" dxfId="12209" priority="1237" stopIfTrue="1" operator="equal">
      <formula>"Towel"</formula>
    </cfRule>
    <cfRule type="cellIs" dxfId="12208" priority="1238" stopIfTrue="1" operator="equal">
      <formula>"Napkin Hs"</formula>
    </cfRule>
  </conditionalFormatting>
  <conditionalFormatting sqref="C157">
    <cfRule type="cellIs" dxfId="12207" priority="1233" stopIfTrue="1" operator="equal">
      <formula>"Towel"</formula>
    </cfRule>
    <cfRule type="cellIs" dxfId="12206" priority="1234" stopIfTrue="1" operator="equal">
      <formula>"Napkin Hs"</formula>
    </cfRule>
  </conditionalFormatting>
  <conditionalFormatting sqref="C157">
    <cfRule type="cellIs" dxfId="12205" priority="1235" stopIfTrue="1" operator="equal">
      <formula>"Towel"</formula>
    </cfRule>
    <cfRule type="cellIs" dxfId="12204" priority="1236" stopIfTrue="1" operator="equal">
      <formula>"Napkin Hs"</formula>
    </cfRule>
  </conditionalFormatting>
  <conditionalFormatting sqref="B157:C157">
    <cfRule type="cellIs" dxfId="12203" priority="1231" stopIfTrue="1" operator="equal">
      <formula>"Towel"</formula>
    </cfRule>
    <cfRule type="cellIs" dxfId="12202" priority="1232" stopIfTrue="1" operator="equal">
      <formula>"Napkin Hs"</formula>
    </cfRule>
  </conditionalFormatting>
  <conditionalFormatting sqref="C157">
    <cfRule type="cellIs" dxfId="12201" priority="1229" stopIfTrue="1" operator="equal">
      <formula>"Towel"</formula>
    </cfRule>
    <cfRule type="cellIs" dxfId="12200" priority="1230" stopIfTrue="1" operator="equal">
      <formula>"Napkin Hs"</formula>
    </cfRule>
  </conditionalFormatting>
  <conditionalFormatting sqref="C157">
    <cfRule type="cellIs" dxfId="12199" priority="1227" stopIfTrue="1" operator="equal">
      <formula>"Towel"</formula>
    </cfRule>
    <cfRule type="cellIs" dxfId="12198" priority="1228" stopIfTrue="1" operator="equal">
      <formula>"Napkin Hs"</formula>
    </cfRule>
  </conditionalFormatting>
  <conditionalFormatting sqref="C157">
    <cfRule type="cellIs" dxfId="12197" priority="1219" stopIfTrue="1" operator="equal">
      <formula>"Towel"</formula>
    </cfRule>
    <cfRule type="cellIs" dxfId="12196" priority="1220" stopIfTrue="1" operator="equal">
      <formula>"Napkin Hs"</formula>
    </cfRule>
  </conditionalFormatting>
  <conditionalFormatting sqref="B157:C157">
    <cfRule type="cellIs" dxfId="12195" priority="1221" stopIfTrue="1" operator="equal">
      <formula>"Towel"</formula>
    </cfRule>
    <cfRule type="cellIs" dxfId="12194" priority="1222" stopIfTrue="1" operator="equal">
      <formula>"Napkin Hs"</formula>
    </cfRule>
  </conditionalFormatting>
  <conditionalFormatting sqref="C157">
    <cfRule type="cellIs" dxfId="12193" priority="1217" stopIfTrue="1" operator="equal">
      <formula>"Towel"</formula>
    </cfRule>
    <cfRule type="cellIs" dxfId="12192" priority="1218" stopIfTrue="1" operator="equal">
      <formula>"Napkin Hs"</formula>
    </cfRule>
  </conditionalFormatting>
  <conditionalFormatting sqref="B157:C157">
    <cfRule type="cellIs" dxfId="12191" priority="1215" stopIfTrue="1" operator="equal">
      <formula>"Towel"</formula>
    </cfRule>
    <cfRule type="cellIs" dxfId="12190" priority="1216" stopIfTrue="1" operator="equal">
      <formula>"Napkin Hs"</formula>
    </cfRule>
  </conditionalFormatting>
  <conditionalFormatting sqref="C157">
    <cfRule type="cellIs" dxfId="12189" priority="1223" stopIfTrue="1" operator="equal">
      <formula>"Towel"</formula>
    </cfRule>
    <cfRule type="cellIs" dxfId="12188" priority="1224" stopIfTrue="1" operator="equal">
      <formula>"Napkin Hs"</formula>
    </cfRule>
  </conditionalFormatting>
  <conditionalFormatting sqref="C157">
    <cfRule type="cellIs" dxfId="12187" priority="1225" stopIfTrue="1" operator="equal">
      <formula>"Towel"</formula>
    </cfRule>
    <cfRule type="cellIs" dxfId="12186" priority="1226" stopIfTrue="1" operator="equal">
      <formula>"Napkin Hs"</formula>
    </cfRule>
  </conditionalFormatting>
  <conditionalFormatting sqref="B6:C9">
    <cfRule type="cellIs" dxfId="12185" priority="1213" stopIfTrue="1" operator="equal">
      <formula>"Towel"</formula>
    </cfRule>
    <cfRule type="cellIs" dxfId="12184" priority="1214" stopIfTrue="1" operator="equal">
      <formula>"Napkin Hs"</formula>
    </cfRule>
  </conditionalFormatting>
  <conditionalFormatting sqref="C6:C9">
    <cfRule type="cellIs" dxfId="12183" priority="1212" stopIfTrue="1" operator="equal">
      <formula>"Napkin Hs"</formula>
    </cfRule>
  </conditionalFormatting>
  <conditionalFormatting sqref="C6:C9">
    <cfRule type="cellIs" dxfId="12182" priority="1209" stopIfTrue="1" operator="equal">
      <formula>"Towel"</formula>
    </cfRule>
    <cfRule type="cellIs" dxfId="12181" priority="1210" stopIfTrue="1" operator="equal">
      <formula>"Napkin Hs"</formula>
    </cfRule>
  </conditionalFormatting>
  <conditionalFormatting sqref="C6:C9">
    <cfRule type="cellIs" dxfId="12180" priority="1211" stopIfTrue="1" operator="equal">
      <formula>"Towel"</formula>
    </cfRule>
  </conditionalFormatting>
  <conditionalFormatting sqref="B21:C21">
    <cfRule type="cellIs" dxfId="12179" priority="1207" stopIfTrue="1" operator="equal">
      <formula>"Towel"</formula>
    </cfRule>
    <cfRule type="cellIs" dxfId="12178" priority="1208" stopIfTrue="1" operator="equal">
      <formula>"Napkin Hs"</formula>
    </cfRule>
  </conditionalFormatting>
  <conditionalFormatting sqref="C21">
    <cfRule type="cellIs" dxfId="12177" priority="1206" stopIfTrue="1" operator="equal">
      <formula>"Napkin Hs"</formula>
    </cfRule>
  </conditionalFormatting>
  <conditionalFormatting sqref="C21">
    <cfRule type="cellIs" dxfId="12176" priority="1203" stopIfTrue="1" operator="equal">
      <formula>"Towel"</formula>
    </cfRule>
    <cfRule type="cellIs" dxfId="12175" priority="1204" stopIfTrue="1" operator="equal">
      <formula>"Napkin Hs"</formula>
    </cfRule>
  </conditionalFormatting>
  <conditionalFormatting sqref="C21">
    <cfRule type="cellIs" dxfId="12174" priority="1205" stopIfTrue="1" operator="equal">
      <formula>"Towel"</formula>
    </cfRule>
  </conditionalFormatting>
  <conditionalFormatting sqref="B26:C26">
    <cfRule type="cellIs" dxfId="12173" priority="1201" stopIfTrue="1" operator="equal">
      <formula>"Towel"</formula>
    </cfRule>
    <cfRule type="cellIs" dxfId="12172" priority="1202" stopIfTrue="1" operator="equal">
      <formula>"Napkin Hs"</formula>
    </cfRule>
  </conditionalFormatting>
  <conditionalFormatting sqref="C26">
    <cfRule type="cellIs" dxfId="12171" priority="1200" stopIfTrue="1" operator="equal">
      <formula>"Napkin Hs"</formula>
    </cfRule>
  </conditionalFormatting>
  <conditionalFormatting sqref="C26">
    <cfRule type="cellIs" dxfId="12170" priority="1197" stopIfTrue="1" operator="equal">
      <formula>"Towel"</formula>
    </cfRule>
    <cfRule type="cellIs" dxfId="12169" priority="1198" stopIfTrue="1" operator="equal">
      <formula>"Napkin Hs"</formula>
    </cfRule>
  </conditionalFormatting>
  <conditionalFormatting sqref="C26">
    <cfRule type="cellIs" dxfId="12168" priority="1199" stopIfTrue="1" operator="equal">
      <formula>"Towel"</formula>
    </cfRule>
  </conditionalFormatting>
  <conditionalFormatting sqref="B32:C32">
    <cfRule type="cellIs" dxfId="12167" priority="1195" stopIfTrue="1" operator="equal">
      <formula>"Towel"</formula>
    </cfRule>
    <cfRule type="cellIs" dxfId="12166" priority="1196" stopIfTrue="1" operator="equal">
      <formula>"Napkin Hs"</formula>
    </cfRule>
  </conditionalFormatting>
  <conditionalFormatting sqref="C32">
    <cfRule type="cellIs" dxfId="12165" priority="1194" stopIfTrue="1" operator="equal">
      <formula>"Napkin Hs"</formula>
    </cfRule>
  </conditionalFormatting>
  <conditionalFormatting sqref="C32">
    <cfRule type="cellIs" dxfId="12164" priority="1191" stopIfTrue="1" operator="equal">
      <formula>"Towel"</formula>
    </cfRule>
    <cfRule type="cellIs" dxfId="12163" priority="1192" stopIfTrue="1" operator="equal">
      <formula>"Napkin Hs"</formula>
    </cfRule>
  </conditionalFormatting>
  <conditionalFormatting sqref="C32">
    <cfRule type="cellIs" dxfId="12162" priority="1193" stopIfTrue="1" operator="equal">
      <formula>"Towel"</formula>
    </cfRule>
  </conditionalFormatting>
  <conditionalFormatting sqref="B37:C37">
    <cfRule type="cellIs" dxfId="12161" priority="1189" stopIfTrue="1" operator="equal">
      <formula>"Towel"</formula>
    </cfRule>
    <cfRule type="cellIs" dxfId="12160" priority="1190" stopIfTrue="1" operator="equal">
      <formula>"Napkin Hs"</formula>
    </cfRule>
  </conditionalFormatting>
  <conditionalFormatting sqref="C37">
    <cfRule type="cellIs" dxfId="12159" priority="1188" stopIfTrue="1" operator="equal">
      <formula>"Napkin Hs"</formula>
    </cfRule>
  </conditionalFormatting>
  <conditionalFormatting sqref="C37">
    <cfRule type="cellIs" dxfId="12158" priority="1185" stopIfTrue="1" operator="equal">
      <formula>"Towel"</formula>
    </cfRule>
    <cfRule type="cellIs" dxfId="12157" priority="1186" stopIfTrue="1" operator="equal">
      <formula>"Napkin Hs"</formula>
    </cfRule>
  </conditionalFormatting>
  <conditionalFormatting sqref="C37">
    <cfRule type="cellIs" dxfId="12156" priority="1187" stopIfTrue="1" operator="equal">
      <formula>"Towel"</formula>
    </cfRule>
  </conditionalFormatting>
  <conditionalFormatting sqref="C16">
    <cfRule type="cellIs" dxfId="12155" priority="1181" stopIfTrue="1" operator="equal">
      <formula>"Towel"</formula>
    </cfRule>
    <cfRule type="cellIs" dxfId="12154" priority="1182" stopIfTrue="1" operator="equal">
      <formula>"Napkin Hs"</formula>
    </cfRule>
  </conditionalFormatting>
  <conditionalFormatting sqref="C16">
    <cfRule type="cellIs" dxfId="12153" priority="1183" stopIfTrue="1" operator="equal">
      <formula>"Towel"</formula>
    </cfRule>
    <cfRule type="cellIs" dxfId="12152" priority="1184" stopIfTrue="1" operator="equal">
      <formula>"Napkin Hs"</formula>
    </cfRule>
  </conditionalFormatting>
  <conditionalFormatting sqref="B16:C16">
    <cfRule type="cellIs" dxfId="12151" priority="1179" stopIfTrue="1" operator="equal">
      <formula>"Towel"</formula>
    </cfRule>
    <cfRule type="cellIs" dxfId="12150" priority="1180" stopIfTrue="1" operator="equal">
      <formula>"Napkin Hs"</formula>
    </cfRule>
  </conditionalFormatting>
  <conditionalFormatting sqref="B16:C16">
    <cfRule type="cellIs" dxfId="12149" priority="1173" stopIfTrue="1" operator="equal">
      <formula>"Towel"</formula>
    </cfRule>
    <cfRule type="cellIs" dxfId="12148" priority="1174" stopIfTrue="1" operator="equal">
      <formula>"Napkin Hs"</formula>
    </cfRule>
  </conditionalFormatting>
  <conditionalFormatting sqref="C16">
    <cfRule type="cellIs" dxfId="12147" priority="1175" stopIfTrue="1" operator="equal">
      <formula>"Towel"</formula>
    </cfRule>
    <cfRule type="cellIs" dxfId="12146" priority="1176" stopIfTrue="1" operator="equal">
      <formula>"Napkin Hs"</formula>
    </cfRule>
  </conditionalFormatting>
  <conditionalFormatting sqref="C16">
    <cfRule type="cellIs" dxfId="12145" priority="1177" stopIfTrue="1" operator="equal">
      <formula>"Towel"</formula>
    </cfRule>
    <cfRule type="cellIs" dxfId="12144" priority="1178" stopIfTrue="1" operator="equal">
      <formula>"Napkin Hs"</formula>
    </cfRule>
  </conditionalFormatting>
  <conditionalFormatting sqref="B12:C15">
    <cfRule type="cellIs" dxfId="12143" priority="1171" stopIfTrue="1" operator="equal">
      <formula>"Towel"</formula>
    </cfRule>
    <cfRule type="cellIs" dxfId="12142" priority="1172" stopIfTrue="1" operator="equal">
      <formula>"Napkin Hs"</formula>
    </cfRule>
  </conditionalFormatting>
  <conditionalFormatting sqref="C12:C15">
    <cfRule type="cellIs" dxfId="12141" priority="1170" stopIfTrue="1" operator="equal">
      <formula>"Napkin Hs"</formula>
    </cfRule>
  </conditionalFormatting>
  <conditionalFormatting sqref="C12:C15">
    <cfRule type="cellIs" dxfId="12140" priority="1167" stopIfTrue="1" operator="equal">
      <formula>"Towel"</formula>
    </cfRule>
    <cfRule type="cellIs" dxfId="12139" priority="1168" stopIfTrue="1" operator="equal">
      <formula>"Napkin Hs"</formula>
    </cfRule>
  </conditionalFormatting>
  <conditionalFormatting sqref="C12:C15">
    <cfRule type="cellIs" dxfId="12138" priority="1169" stopIfTrue="1" operator="equal">
      <formula>"Towel"</formula>
    </cfRule>
  </conditionalFormatting>
  <conditionalFormatting sqref="B18:C20">
    <cfRule type="cellIs" dxfId="12137" priority="1165" stopIfTrue="1" operator="equal">
      <formula>"Towel"</formula>
    </cfRule>
    <cfRule type="cellIs" dxfId="12136" priority="1166" stopIfTrue="1" operator="equal">
      <formula>"Napkin Hs"</formula>
    </cfRule>
  </conditionalFormatting>
  <conditionalFormatting sqref="C18:C20">
    <cfRule type="cellIs" dxfId="12135" priority="1164" stopIfTrue="1" operator="equal">
      <formula>"Napkin Hs"</formula>
    </cfRule>
  </conditionalFormatting>
  <conditionalFormatting sqref="C18:C20">
    <cfRule type="cellIs" dxfId="12134" priority="1161" stopIfTrue="1" operator="equal">
      <formula>"Towel"</formula>
    </cfRule>
    <cfRule type="cellIs" dxfId="12133" priority="1162" stopIfTrue="1" operator="equal">
      <formula>"Napkin Hs"</formula>
    </cfRule>
  </conditionalFormatting>
  <conditionalFormatting sqref="C18:C20">
    <cfRule type="cellIs" dxfId="12132" priority="1163" stopIfTrue="1" operator="equal">
      <formula>"Towel"</formula>
    </cfRule>
  </conditionalFormatting>
  <conditionalFormatting sqref="B17:C17">
    <cfRule type="cellIs" dxfId="12131" priority="1159" stopIfTrue="1" operator="equal">
      <formula>"Towel"</formula>
    </cfRule>
    <cfRule type="cellIs" dxfId="12130" priority="1160" stopIfTrue="1" operator="equal">
      <formula>"Napkin Hs"</formula>
    </cfRule>
  </conditionalFormatting>
  <conditionalFormatting sqref="C17">
    <cfRule type="cellIs" dxfId="12129" priority="1158" stopIfTrue="1" operator="equal">
      <formula>"Napkin Hs"</formula>
    </cfRule>
  </conditionalFormatting>
  <conditionalFormatting sqref="C17">
    <cfRule type="cellIs" dxfId="12128" priority="1155" stopIfTrue="1" operator="equal">
      <formula>"Towel"</formula>
    </cfRule>
    <cfRule type="cellIs" dxfId="12127" priority="1156" stopIfTrue="1" operator="equal">
      <formula>"Napkin Hs"</formula>
    </cfRule>
  </conditionalFormatting>
  <conditionalFormatting sqref="C17">
    <cfRule type="cellIs" dxfId="12126" priority="1157" stopIfTrue="1" operator="equal">
      <formula>"Towel"</formula>
    </cfRule>
  </conditionalFormatting>
  <conditionalFormatting sqref="B24:C25">
    <cfRule type="cellIs" dxfId="12125" priority="1153" stopIfTrue="1" operator="equal">
      <formula>"Towel"</formula>
    </cfRule>
    <cfRule type="cellIs" dxfId="12124" priority="1154" stopIfTrue="1" operator="equal">
      <formula>"Napkin Hs"</formula>
    </cfRule>
  </conditionalFormatting>
  <conditionalFormatting sqref="C24:C25">
    <cfRule type="cellIs" dxfId="12123" priority="1152" stopIfTrue="1" operator="equal">
      <formula>"Napkin Hs"</formula>
    </cfRule>
  </conditionalFormatting>
  <conditionalFormatting sqref="C24:C25">
    <cfRule type="cellIs" dxfId="12122" priority="1149" stopIfTrue="1" operator="equal">
      <formula>"Towel"</formula>
    </cfRule>
    <cfRule type="cellIs" dxfId="12121" priority="1150" stopIfTrue="1" operator="equal">
      <formula>"Napkin Hs"</formula>
    </cfRule>
  </conditionalFormatting>
  <conditionalFormatting sqref="C24:C25">
    <cfRule type="cellIs" dxfId="12120" priority="1151" stopIfTrue="1" operator="equal">
      <formula>"Towel"</formula>
    </cfRule>
  </conditionalFormatting>
  <conditionalFormatting sqref="B22:C23">
    <cfRule type="cellIs" dxfId="12119" priority="1147" stopIfTrue="1" operator="equal">
      <formula>"Towel"</formula>
    </cfRule>
    <cfRule type="cellIs" dxfId="12118" priority="1148" stopIfTrue="1" operator="equal">
      <formula>"Napkin Hs"</formula>
    </cfRule>
  </conditionalFormatting>
  <conditionalFormatting sqref="C22:C23">
    <cfRule type="cellIs" dxfId="12117" priority="1146" stopIfTrue="1" operator="equal">
      <formula>"Napkin Hs"</formula>
    </cfRule>
  </conditionalFormatting>
  <conditionalFormatting sqref="C22:C23">
    <cfRule type="cellIs" dxfId="12116" priority="1143" stopIfTrue="1" operator="equal">
      <formula>"Towel"</formula>
    </cfRule>
    <cfRule type="cellIs" dxfId="12115" priority="1144" stopIfTrue="1" operator="equal">
      <formula>"Napkin Hs"</formula>
    </cfRule>
  </conditionalFormatting>
  <conditionalFormatting sqref="C22:C23">
    <cfRule type="cellIs" dxfId="12114" priority="1145" stopIfTrue="1" operator="equal">
      <formula>"Towel"</formula>
    </cfRule>
  </conditionalFormatting>
  <conditionalFormatting sqref="B28:C30">
    <cfRule type="cellIs" dxfId="12113" priority="1141" stopIfTrue="1" operator="equal">
      <formula>"Towel"</formula>
    </cfRule>
    <cfRule type="cellIs" dxfId="12112" priority="1142" stopIfTrue="1" operator="equal">
      <formula>"Napkin Hs"</formula>
    </cfRule>
  </conditionalFormatting>
  <conditionalFormatting sqref="C28:C30">
    <cfRule type="cellIs" dxfId="12111" priority="1140" stopIfTrue="1" operator="equal">
      <formula>"Napkin Hs"</formula>
    </cfRule>
  </conditionalFormatting>
  <conditionalFormatting sqref="C28:C30">
    <cfRule type="cellIs" dxfId="12110" priority="1137" stopIfTrue="1" operator="equal">
      <formula>"Towel"</formula>
    </cfRule>
    <cfRule type="cellIs" dxfId="12109" priority="1138" stopIfTrue="1" operator="equal">
      <formula>"Napkin Hs"</formula>
    </cfRule>
  </conditionalFormatting>
  <conditionalFormatting sqref="C28:C30">
    <cfRule type="cellIs" dxfId="12108" priority="1139" stopIfTrue="1" operator="equal">
      <formula>"Towel"</formula>
    </cfRule>
  </conditionalFormatting>
  <conditionalFormatting sqref="B27:C27">
    <cfRule type="cellIs" dxfId="12107" priority="1135" stopIfTrue="1" operator="equal">
      <formula>"Towel"</formula>
    </cfRule>
    <cfRule type="cellIs" dxfId="12106" priority="1136" stopIfTrue="1" operator="equal">
      <formula>"Napkin Hs"</formula>
    </cfRule>
  </conditionalFormatting>
  <conditionalFormatting sqref="C27">
    <cfRule type="cellIs" dxfId="12105" priority="1134" stopIfTrue="1" operator="equal">
      <formula>"Napkin Hs"</formula>
    </cfRule>
  </conditionalFormatting>
  <conditionalFormatting sqref="C27">
    <cfRule type="cellIs" dxfId="12104" priority="1131" stopIfTrue="1" operator="equal">
      <formula>"Towel"</formula>
    </cfRule>
    <cfRule type="cellIs" dxfId="12103" priority="1132" stopIfTrue="1" operator="equal">
      <formula>"Napkin Hs"</formula>
    </cfRule>
  </conditionalFormatting>
  <conditionalFormatting sqref="C27">
    <cfRule type="cellIs" dxfId="12102" priority="1133" stopIfTrue="1" operator="equal">
      <formula>"Towel"</formula>
    </cfRule>
  </conditionalFormatting>
  <conditionalFormatting sqref="C31">
    <cfRule type="cellIs" dxfId="12101" priority="1127" stopIfTrue="1" operator="equal">
      <formula>"Towel"</formula>
    </cfRule>
    <cfRule type="cellIs" dxfId="12100" priority="1128" stopIfTrue="1" operator="equal">
      <formula>"Napkin Hs"</formula>
    </cfRule>
  </conditionalFormatting>
  <conditionalFormatting sqref="C31">
    <cfRule type="cellIs" dxfId="12099" priority="1129" stopIfTrue="1" operator="equal">
      <formula>"Towel"</formula>
    </cfRule>
    <cfRule type="cellIs" dxfId="12098" priority="1130" stopIfTrue="1" operator="equal">
      <formula>"Napkin Hs"</formula>
    </cfRule>
  </conditionalFormatting>
  <conditionalFormatting sqref="B31:C31">
    <cfRule type="cellIs" dxfId="12097" priority="1125" stopIfTrue="1" operator="equal">
      <formula>"Towel"</formula>
    </cfRule>
    <cfRule type="cellIs" dxfId="12096" priority="1126" stopIfTrue="1" operator="equal">
      <formula>"Napkin Hs"</formula>
    </cfRule>
  </conditionalFormatting>
  <conditionalFormatting sqref="B31:C31">
    <cfRule type="cellIs" dxfId="12095" priority="1119" stopIfTrue="1" operator="equal">
      <formula>"Towel"</formula>
    </cfRule>
    <cfRule type="cellIs" dxfId="12094" priority="1120" stopIfTrue="1" operator="equal">
      <formula>"Napkin Hs"</formula>
    </cfRule>
  </conditionalFormatting>
  <conditionalFormatting sqref="C31">
    <cfRule type="cellIs" dxfId="12093" priority="1121" stopIfTrue="1" operator="equal">
      <formula>"Towel"</formula>
    </cfRule>
    <cfRule type="cellIs" dxfId="12092" priority="1122" stopIfTrue="1" operator="equal">
      <formula>"Napkin Hs"</formula>
    </cfRule>
  </conditionalFormatting>
  <conditionalFormatting sqref="C31">
    <cfRule type="cellIs" dxfId="12091" priority="1123" stopIfTrue="1" operator="equal">
      <formula>"Towel"</formula>
    </cfRule>
    <cfRule type="cellIs" dxfId="12090" priority="1124" stopIfTrue="1" operator="equal">
      <formula>"Napkin Hs"</formula>
    </cfRule>
  </conditionalFormatting>
  <conditionalFormatting sqref="B35:C36 C34">
    <cfRule type="cellIs" dxfId="12089" priority="1117" stopIfTrue="1" operator="equal">
      <formula>"Towel"</formula>
    </cfRule>
    <cfRule type="cellIs" dxfId="12088" priority="1118" stopIfTrue="1" operator="equal">
      <formula>"Napkin Hs"</formula>
    </cfRule>
  </conditionalFormatting>
  <conditionalFormatting sqref="C34:C36">
    <cfRule type="cellIs" dxfId="12087" priority="1116" stopIfTrue="1" operator="equal">
      <formula>"Napkin Hs"</formula>
    </cfRule>
  </conditionalFormatting>
  <conditionalFormatting sqref="C34:C36">
    <cfRule type="cellIs" dxfId="12086" priority="1113" stopIfTrue="1" operator="equal">
      <formula>"Towel"</formula>
    </cfRule>
    <cfRule type="cellIs" dxfId="12085" priority="1114" stopIfTrue="1" operator="equal">
      <formula>"Napkin Hs"</formula>
    </cfRule>
  </conditionalFormatting>
  <conditionalFormatting sqref="C34:C36">
    <cfRule type="cellIs" dxfId="12084" priority="1115" stopIfTrue="1" operator="equal">
      <formula>"Towel"</formula>
    </cfRule>
  </conditionalFormatting>
  <conditionalFormatting sqref="B33:C33 B34">
    <cfRule type="cellIs" dxfId="12083" priority="1111" stopIfTrue="1" operator="equal">
      <formula>"Towel"</formula>
    </cfRule>
    <cfRule type="cellIs" dxfId="12082" priority="1112" stopIfTrue="1" operator="equal">
      <formula>"Napkin Hs"</formula>
    </cfRule>
  </conditionalFormatting>
  <conditionalFormatting sqref="C33">
    <cfRule type="cellIs" dxfId="12081" priority="1110" stopIfTrue="1" operator="equal">
      <formula>"Napkin Hs"</formula>
    </cfRule>
  </conditionalFormatting>
  <conditionalFormatting sqref="C33">
    <cfRule type="cellIs" dxfId="12080" priority="1107" stopIfTrue="1" operator="equal">
      <formula>"Towel"</formula>
    </cfRule>
    <cfRule type="cellIs" dxfId="12079" priority="1108" stopIfTrue="1" operator="equal">
      <formula>"Napkin Hs"</formula>
    </cfRule>
  </conditionalFormatting>
  <conditionalFormatting sqref="C33">
    <cfRule type="cellIs" dxfId="12078" priority="1109" stopIfTrue="1" operator="equal">
      <formula>"Towel"</formula>
    </cfRule>
  </conditionalFormatting>
  <conditionalFormatting sqref="B40:C42">
    <cfRule type="cellIs" dxfId="12077" priority="1105" stopIfTrue="1" operator="equal">
      <formula>"Towel"</formula>
    </cfRule>
    <cfRule type="cellIs" dxfId="12076" priority="1106" stopIfTrue="1" operator="equal">
      <formula>"Napkin Hs"</formula>
    </cfRule>
  </conditionalFormatting>
  <conditionalFormatting sqref="C40:C42">
    <cfRule type="cellIs" dxfId="12075" priority="1104" stopIfTrue="1" operator="equal">
      <formula>"Napkin Hs"</formula>
    </cfRule>
  </conditionalFormatting>
  <conditionalFormatting sqref="C40:C42">
    <cfRule type="cellIs" dxfId="12074" priority="1101" stopIfTrue="1" operator="equal">
      <formula>"Towel"</formula>
    </cfRule>
    <cfRule type="cellIs" dxfId="12073" priority="1102" stopIfTrue="1" operator="equal">
      <formula>"Napkin Hs"</formula>
    </cfRule>
  </conditionalFormatting>
  <conditionalFormatting sqref="C40:C42">
    <cfRule type="cellIs" dxfId="12072" priority="1103" stopIfTrue="1" operator="equal">
      <formula>"Towel"</formula>
    </cfRule>
  </conditionalFormatting>
  <conditionalFormatting sqref="B38:C39">
    <cfRule type="cellIs" dxfId="12071" priority="1099" stopIfTrue="1" operator="equal">
      <formula>"Towel"</formula>
    </cfRule>
    <cfRule type="cellIs" dxfId="12070" priority="1100" stopIfTrue="1" operator="equal">
      <formula>"Napkin Hs"</formula>
    </cfRule>
  </conditionalFormatting>
  <conditionalFormatting sqref="C38:C39">
    <cfRule type="cellIs" dxfId="12069" priority="1098" stopIfTrue="1" operator="equal">
      <formula>"Napkin Hs"</formula>
    </cfRule>
  </conditionalFormatting>
  <conditionalFormatting sqref="C38:C39">
    <cfRule type="cellIs" dxfId="12068" priority="1095" stopIfTrue="1" operator="equal">
      <formula>"Towel"</formula>
    </cfRule>
    <cfRule type="cellIs" dxfId="12067" priority="1096" stopIfTrue="1" operator="equal">
      <formula>"Napkin Hs"</formula>
    </cfRule>
  </conditionalFormatting>
  <conditionalFormatting sqref="C38:C39">
    <cfRule type="cellIs" dxfId="12066" priority="1097" stopIfTrue="1" operator="equal">
      <formula>"Towel"</formula>
    </cfRule>
  </conditionalFormatting>
  <conditionalFormatting sqref="C47">
    <cfRule type="cellIs" dxfId="12065" priority="1087" stopIfTrue="1" operator="equal">
      <formula>"Towel"</formula>
    </cfRule>
    <cfRule type="cellIs" dxfId="12064" priority="1088" stopIfTrue="1" operator="equal">
      <formula>"Napkin Hs"</formula>
    </cfRule>
  </conditionalFormatting>
  <conditionalFormatting sqref="B47:C47">
    <cfRule type="cellIs" dxfId="12063" priority="1089" stopIfTrue="1" operator="equal">
      <formula>"Towel"</formula>
    </cfRule>
    <cfRule type="cellIs" dxfId="12062" priority="1090" stopIfTrue="1" operator="equal">
      <formula>"Napkin Hs"</formula>
    </cfRule>
  </conditionalFormatting>
  <conditionalFormatting sqref="C47">
    <cfRule type="cellIs" dxfId="12061" priority="1085" stopIfTrue="1" operator="equal">
      <formula>"Towel"</formula>
    </cfRule>
    <cfRule type="cellIs" dxfId="12060" priority="1086" stopIfTrue="1" operator="equal">
      <formula>"Napkin Hs"</formula>
    </cfRule>
  </conditionalFormatting>
  <conditionalFormatting sqref="B47:C47">
    <cfRule type="cellIs" dxfId="12059" priority="1083" stopIfTrue="1" operator="equal">
      <formula>"Towel"</formula>
    </cfRule>
    <cfRule type="cellIs" dxfId="12058" priority="1084" stopIfTrue="1" operator="equal">
      <formula>"Napkin Hs"</formula>
    </cfRule>
  </conditionalFormatting>
  <conditionalFormatting sqref="C47">
    <cfRule type="cellIs" dxfId="12057" priority="1091" stopIfTrue="1" operator="equal">
      <formula>"Towel"</formula>
    </cfRule>
    <cfRule type="cellIs" dxfId="12056" priority="1092" stopIfTrue="1" operator="equal">
      <formula>"Napkin Hs"</formula>
    </cfRule>
  </conditionalFormatting>
  <conditionalFormatting sqref="C47">
    <cfRule type="cellIs" dxfId="12055" priority="1093" stopIfTrue="1" operator="equal">
      <formula>"Towel"</formula>
    </cfRule>
    <cfRule type="cellIs" dxfId="12054" priority="1094" stopIfTrue="1" operator="equal">
      <formula>"Napkin Hs"</formula>
    </cfRule>
  </conditionalFormatting>
  <conditionalFormatting sqref="C47">
    <cfRule type="cellIs" dxfId="12053" priority="1075" stopIfTrue="1" operator="equal">
      <formula>"Towel"</formula>
    </cfRule>
    <cfRule type="cellIs" dxfId="12052" priority="1076" stopIfTrue="1" operator="equal">
      <formula>"Napkin Hs"</formula>
    </cfRule>
  </conditionalFormatting>
  <conditionalFormatting sqref="B47:C47">
    <cfRule type="cellIs" dxfId="12051" priority="1077" stopIfTrue="1" operator="equal">
      <formula>"Towel"</formula>
    </cfRule>
    <cfRule type="cellIs" dxfId="12050" priority="1078" stopIfTrue="1" operator="equal">
      <formula>"Napkin Hs"</formula>
    </cfRule>
  </conditionalFormatting>
  <conditionalFormatting sqref="C47">
    <cfRule type="cellIs" dxfId="12049" priority="1073" stopIfTrue="1" operator="equal">
      <formula>"Towel"</formula>
    </cfRule>
    <cfRule type="cellIs" dxfId="12048" priority="1074" stopIfTrue="1" operator="equal">
      <formula>"Napkin Hs"</formula>
    </cfRule>
  </conditionalFormatting>
  <conditionalFormatting sqref="B47:C47">
    <cfRule type="cellIs" dxfId="12047" priority="1071" stopIfTrue="1" operator="equal">
      <formula>"Towel"</formula>
    </cfRule>
    <cfRule type="cellIs" dxfId="12046" priority="1072" stopIfTrue="1" operator="equal">
      <formula>"Napkin Hs"</formula>
    </cfRule>
  </conditionalFormatting>
  <conditionalFormatting sqref="C47">
    <cfRule type="cellIs" dxfId="12045" priority="1079" stopIfTrue="1" operator="equal">
      <formula>"Towel"</formula>
    </cfRule>
    <cfRule type="cellIs" dxfId="12044" priority="1080" stopIfTrue="1" operator="equal">
      <formula>"Napkin Hs"</formula>
    </cfRule>
  </conditionalFormatting>
  <conditionalFormatting sqref="C47">
    <cfRule type="cellIs" dxfId="12043" priority="1081" stopIfTrue="1" operator="equal">
      <formula>"Towel"</formula>
    </cfRule>
    <cfRule type="cellIs" dxfId="12042" priority="1082" stopIfTrue="1" operator="equal">
      <formula>"Napkin Hs"</formula>
    </cfRule>
  </conditionalFormatting>
  <conditionalFormatting sqref="B45:C46">
    <cfRule type="cellIs" dxfId="12041" priority="1069" stopIfTrue="1" operator="equal">
      <formula>"Towel"</formula>
    </cfRule>
    <cfRule type="cellIs" dxfId="12040" priority="1070" stopIfTrue="1" operator="equal">
      <formula>"Napkin Hs"</formula>
    </cfRule>
  </conditionalFormatting>
  <conditionalFormatting sqref="C45:C46">
    <cfRule type="cellIs" dxfId="12039" priority="1068" stopIfTrue="1" operator="equal">
      <formula>"Napkin Hs"</formula>
    </cfRule>
  </conditionalFormatting>
  <conditionalFormatting sqref="C45:C46">
    <cfRule type="cellIs" dxfId="12038" priority="1065" stopIfTrue="1" operator="equal">
      <formula>"Towel"</formula>
    </cfRule>
    <cfRule type="cellIs" dxfId="12037" priority="1066" stopIfTrue="1" operator="equal">
      <formula>"Napkin Hs"</formula>
    </cfRule>
  </conditionalFormatting>
  <conditionalFormatting sqref="C45:C46">
    <cfRule type="cellIs" dxfId="12036" priority="1067" stopIfTrue="1" operator="equal">
      <formula>"Towel"</formula>
    </cfRule>
  </conditionalFormatting>
  <conditionalFormatting sqref="B43:C44">
    <cfRule type="cellIs" dxfId="12035" priority="1063" stopIfTrue="1" operator="equal">
      <formula>"Towel"</formula>
    </cfRule>
    <cfRule type="cellIs" dxfId="12034" priority="1064" stopIfTrue="1" operator="equal">
      <formula>"Napkin Hs"</formula>
    </cfRule>
  </conditionalFormatting>
  <conditionalFormatting sqref="C43:C44">
    <cfRule type="cellIs" dxfId="12033" priority="1062" stopIfTrue="1" operator="equal">
      <formula>"Napkin Hs"</formula>
    </cfRule>
  </conditionalFormatting>
  <conditionalFormatting sqref="C43:C44">
    <cfRule type="cellIs" dxfId="12032" priority="1059" stopIfTrue="1" operator="equal">
      <formula>"Towel"</formula>
    </cfRule>
    <cfRule type="cellIs" dxfId="12031" priority="1060" stopIfTrue="1" operator="equal">
      <formula>"Napkin Hs"</formula>
    </cfRule>
  </conditionalFormatting>
  <conditionalFormatting sqref="C43:C44">
    <cfRule type="cellIs" dxfId="12030" priority="1061" stopIfTrue="1" operator="equal">
      <formula>"Towel"</formula>
    </cfRule>
  </conditionalFormatting>
  <conditionalFormatting sqref="C48:C51">
    <cfRule type="cellIs" dxfId="12029" priority="1051" stopIfTrue="1" operator="equal">
      <formula>"Towel"</formula>
    </cfRule>
    <cfRule type="cellIs" dxfId="12028" priority="1052" stopIfTrue="1" operator="equal">
      <formula>"Napkin Hs"</formula>
    </cfRule>
  </conditionalFormatting>
  <conditionalFormatting sqref="B48:C51">
    <cfRule type="cellIs" dxfId="12027" priority="1053" stopIfTrue="1" operator="equal">
      <formula>"Towel"</formula>
    </cfRule>
    <cfRule type="cellIs" dxfId="12026" priority="1054" stopIfTrue="1" operator="equal">
      <formula>"Napkin Hs"</formula>
    </cfRule>
  </conditionalFormatting>
  <conditionalFormatting sqref="C48:C51">
    <cfRule type="cellIs" dxfId="12025" priority="1049" stopIfTrue="1" operator="equal">
      <formula>"Towel"</formula>
    </cfRule>
    <cfRule type="cellIs" dxfId="12024" priority="1050" stopIfTrue="1" operator="equal">
      <formula>"Napkin Hs"</formula>
    </cfRule>
  </conditionalFormatting>
  <conditionalFormatting sqref="B48:C51">
    <cfRule type="cellIs" dxfId="12023" priority="1047" stopIfTrue="1" operator="equal">
      <formula>"Towel"</formula>
    </cfRule>
    <cfRule type="cellIs" dxfId="12022" priority="1048" stopIfTrue="1" operator="equal">
      <formula>"Napkin Hs"</formula>
    </cfRule>
  </conditionalFormatting>
  <conditionalFormatting sqref="C48:C51">
    <cfRule type="cellIs" dxfId="12021" priority="1055" stopIfTrue="1" operator="equal">
      <formula>"Towel"</formula>
    </cfRule>
    <cfRule type="cellIs" dxfId="12020" priority="1056" stopIfTrue="1" operator="equal">
      <formula>"Napkin Hs"</formula>
    </cfRule>
  </conditionalFormatting>
  <conditionalFormatting sqref="C48:C51">
    <cfRule type="cellIs" dxfId="12019" priority="1057" stopIfTrue="1" operator="equal">
      <formula>"Towel"</formula>
    </cfRule>
    <cfRule type="cellIs" dxfId="12018" priority="1058" stopIfTrue="1" operator="equal">
      <formula>"Napkin Hs"</formula>
    </cfRule>
  </conditionalFormatting>
  <conditionalFormatting sqref="B48:C51">
    <cfRule type="cellIs" dxfId="12017" priority="1045" stopIfTrue="1" operator="equal">
      <formula>"Towel"</formula>
    </cfRule>
    <cfRule type="cellIs" dxfId="12016" priority="1046" stopIfTrue="1" operator="equal">
      <formula>"Napkin Hs"</formula>
    </cfRule>
  </conditionalFormatting>
  <conditionalFormatting sqref="C48:C51">
    <cfRule type="cellIs" dxfId="12015" priority="1044" stopIfTrue="1" operator="equal">
      <formula>"Napkin Hs"</formula>
    </cfRule>
  </conditionalFormatting>
  <conditionalFormatting sqref="C48:C51">
    <cfRule type="cellIs" dxfId="12014" priority="1041" stopIfTrue="1" operator="equal">
      <formula>"Towel"</formula>
    </cfRule>
    <cfRule type="cellIs" dxfId="12013" priority="1042" stopIfTrue="1" operator="equal">
      <formula>"Napkin Hs"</formula>
    </cfRule>
  </conditionalFormatting>
  <conditionalFormatting sqref="C48:C51">
    <cfRule type="cellIs" dxfId="12012" priority="1043" stopIfTrue="1" operator="equal">
      <formula>"Towel"</formula>
    </cfRule>
  </conditionalFormatting>
  <conditionalFormatting sqref="B55:C56 C54">
    <cfRule type="cellIs" dxfId="12011" priority="1039" stopIfTrue="1" operator="equal">
      <formula>"Towel"</formula>
    </cfRule>
    <cfRule type="cellIs" dxfId="12010" priority="1040" stopIfTrue="1" operator="equal">
      <formula>"Napkin Hs"</formula>
    </cfRule>
  </conditionalFormatting>
  <conditionalFormatting sqref="C54:C56">
    <cfRule type="cellIs" dxfId="12009" priority="1038" stopIfTrue="1" operator="equal">
      <formula>"Napkin Hs"</formula>
    </cfRule>
  </conditionalFormatting>
  <conditionalFormatting sqref="C54:C56">
    <cfRule type="cellIs" dxfId="12008" priority="1035" stopIfTrue="1" operator="equal">
      <formula>"Towel"</formula>
    </cfRule>
    <cfRule type="cellIs" dxfId="12007" priority="1036" stopIfTrue="1" operator="equal">
      <formula>"Napkin Hs"</formula>
    </cfRule>
  </conditionalFormatting>
  <conditionalFormatting sqref="C54:C56">
    <cfRule type="cellIs" dxfId="12006" priority="1037" stopIfTrue="1" operator="equal">
      <formula>"Towel"</formula>
    </cfRule>
  </conditionalFormatting>
  <conditionalFormatting sqref="B54">
    <cfRule type="cellIs" dxfId="12005" priority="1033" stopIfTrue="1" operator="equal">
      <formula>"Towel"</formula>
    </cfRule>
    <cfRule type="cellIs" dxfId="12004" priority="1034" stopIfTrue="1" operator="equal">
      <formula>"Napkin Hs"</formula>
    </cfRule>
  </conditionalFormatting>
  <conditionalFormatting sqref="C53">
    <cfRule type="cellIs" dxfId="12003" priority="1025" stopIfTrue="1" operator="equal">
      <formula>"Towel"</formula>
    </cfRule>
    <cfRule type="cellIs" dxfId="12002" priority="1026" stopIfTrue="1" operator="equal">
      <formula>"Napkin Hs"</formula>
    </cfRule>
  </conditionalFormatting>
  <conditionalFormatting sqref="B53:C53">
    <cfRule type="cellIs" dxfId="12001" priority="1027" stopIfTrue="1" operator="equal">
      <formula>"Towel"</formula>
    </cfRule>
    <cfRule type="cellIs" dxfId="12000" priority="1028" stopIfTrue="1" operator="equal">
      <formula>"Napkin Hs"</formula>
    </cfRule>
  </conditionalFormatting>
  <conditionalFormatting sqref="C53">
    <cfRule type="cellIs" dxfId="11999" priority="1023" stopIfTrue="1" operator="equal">
      <formula>"Towel"</formula>
    </cfRule>
    <cfRule type="cellIs" dxfId="11998" priority="1024" stopIfTrue="1" operator="equal">
      <formula>"Napkin Hs"</formula>
    </cfRule>
  </conditionalFormatting>
  <conditionalFormatting sqref="B53:C53">
    <cfRule type="cellIs" dxfId="11997" priority="1021" stopIfTrue="1" operator="equal">
      <formula>"Towel"</formula>
    </cfRule>
    <cfRule type="cellIs" dxfId="11996" priority="1022" stopIfTrue="1" operator="equal">
      <formula>"Napkin Hs"</formula>
    </cfRule>
  </conditionalFormatting>
  <conditionalFormatting sqref="C53">
    <cfRule type="cellIs" dxfId="11995" priority="1029" stopIfTrue="1" operator="equal">
      <formula>"Towel"</formula>
    </cfRule>
    <cfRule type="cellIs" dxfId="11994" priority="1030" stopIfTrue="1" operator="equal">
      <formula>"Napkin Hs"</formula>
    </cfRule>
  </conditionalFormatting>
  <conditionalFormatting sqref="C53">
    <cfRule type="cellIs" dxfId="11993" priority="1031" stopIfTrue="1" operator="equal">
      <formula>"Towel"</formula>
    </cfRule>
    <cfRule type="cellIs" dxfId="11992" priority="1032" stopIfTrue="1" operator="equal">
      <formula>"Napkin Hs"</formula>
    </cfRule>
  </conditionalFormatting>
  <conditionalFormatting sqref="B53:C53">
    <cfRule type="cellIs" dxfId="11991" priority="1019" stopIfTrue="1" operator="equal">
      <formula>"Towel"</formula>
    </cfRule>
    <cfRule type="cellIs" dxfId="11990" priority="1020" stopIfTrue="1" operator="equal">
      <formula>"Napkin Hs"</formula>
    </cfRule>
  </conditionalFormatting>
  <conditionalFormatting sqref="C53">
    <cfRule type="cellIs" dxfId="11989" priority="1018" stopIfTrue="1" operator="equal">
      <formula>"Napkin Hs"</formula>
    </cfRule>
  </conditionalFormatting>
  <conditionalFormatting sqref="C53">
    <cfRule type="cellIs" dxfId="11988" priority="1015" stopIfTrue="1" operator="equal">
      <formula>"Towel"</formula>
    </cfRule>
    <cfRule type="cellIs" dxfId="11987" priority="1016" stopIfTrue="1" operator="equal">
      <formula>"Napkin Hs"</formula>
    </cfRule>
  </conditionalFormatting>
  <conditionalFormatting sqref="C53">
    <cfRule type="cellIs" dxfId="11986" priority="1017" stopIfTrue="1" operator="equal">
      <formula>"Towel"</formula>
    </cfRule>
  </conditionalFormatting>
  <conditionalFormatting sqref="B62:C62">
    <cfRule type="cellIs" dxfId="11985" priority="1013" stopIfTrue="1" operator="equal">
      <formula>"Towel"</formula>
    </cfRule>
    <cfRule type="cellIs" dxfId="11984" priority="1014" stopIfTrue="1" operator="equal">
      <formula>"Napkin Hs"</formula>
    </cfRule>
  </conditionalFormatting>
  <conditionalFormatting sqref="C62">
    <cfRule type="cellIs" dxfId="11983" priority="1011" stopIfTrue="1" operator="equal">
      <formula>"Towel"</formula>
    </cfRule>
    <cfRule type="cellIs" dxfId="11982" priority="1012" stopIfTrue="1" operator="equal">
      <formula>"Napkin Hs"</formula>
    </cfRule>
  </conditionalFormatting>
  <conditionalFormatting sqref="C62">
    <cfRule type="cellIs" dxfId="11981" priority="1009" stopIfTrue="1" operator="equal">
      <formula>"Towel"</formula>
    </cfRule>
    <cfRule type="cellIs" dxfId="11980" priority="1010" stopIfTrue="1" operator="equal">
      <formula>"Napkin Hs"</formula>
    </cfRule>
  </conditionalFormatting>
  <conditionalFormatting sqref="B60:C61 C59">
    <cfRule type="cellIs" dxfId="11979" priority="1007" stopIfTrue="1" operator="equal">
      <formula>"Towel"</formula>
    </cfRule>
    <cfRule type="cellIs" dxfId="11978" priority="1008" stopIfTrue="1" operator="equal">
      <formula>"Napkin Hs"</formula>
    </cfRule>
  </conditionalFormatting>
  <conditionalFormatting sqref="C59:C61">
    <cfRule type="cellIs" dxfId="11977" priority="1006" stopIfTrue="1" operator="equal">
      <formula>"Napkin Hs"</formula>
    </cfRule>
  </conditionalFormatting>
  <conditionalFormatting sqref="C59:C61">
    <cfRule type="cellIs" dxfId="11976" priority="1003" stopIfTrue="1" operator="equal">
      <formula>"Towel"</formula>
    </cfRule>
    <cfRule type="cellIs" dxfId="11975" priority="1004" stopIfTrue="1" operator="equal">
      <formula>"Napkin Hs"</formula>
    </cfRule>
  </conditionalFormatting>
  <conditionalFormatting sqref="C59:C61">
    <cfRule type="cellIs" dxfId="11974" priority="1005" stopIfTrue="1" operator="equal">
      <formula>"Towel"</formula>
    </cfRule>
  </conditionalFormatting>
  <conditionalFormatting sqref="B59">
    <cfRule type="cellIs" dxfId="11973" priority="1001" stopIfTrue="1" operator="equal">
      <formula>"Towel"</formula>
    </cfRule>
    <cfRule type="cellIs" dxfId="11972" priority="1002" stopIfTrue="1" operator="equal">
      <formula>"Napkin Hs"</formula>
    </cfRule>
  </conditionalFormatting>
  <conditionalFormatting sqref="C58">
    <cfRule type="cellIs" dxfId="11971" priority="993" stopIfTrue="1" operator="equal">
      <formula>"Towel"</formula>
    </cfRule>
    <cfRule type="cellIs" dxfId="11970" priority="994" stopIfTrue="1" operator="equal">
      <formula>"Napkin Hs"</formula>
    </cfRule>
  </conditionalFormatting>
  <conditionalFormatting sqref="B58:C58">
    <cfRule type="cellIs" dxfId="11969" priority="995" stopIfTrue="1" operator="equal">
      <formula>"Towel"</formula>
    </cfRule>
    <cfRule type="cellIs" dxfId="11968" priority="996" stopIfTrue="1" operator="equal">
      <formula>"Napkin Hs"</formula>
    </cfRule>
  </conditionalFormatting>
  <conditionalFormatting sqref="C58">
    <cfRule type="cellIs" dxfId="11967" priority="991" stopIfTrue="1" operator="equal">
      <formula>"Towel"</formula>
    </cfRule>
    <cfRule type="cellIs" dxfId="11966" priority="992" stopIfTrue="1" operator="equal">
      <formula>"Napkin Hs"</formula>
    </cfRule>
  </conditionalFormatting>
  <conditionalFormatting sqref="B58:C58">
    <cfRule type="cellIs" dxfId="11965" priority="989" stopIfTrue="1" operator="equal">
      <formula>"Towel"</formula>
    </cfRule>
    <cfRule type="cellIs" dxfId="11964" priority="990" stopIfTrue="1" operator="equal">
      <formula>"Napkin Hs"</formula>
    </cfRule>
  </conditionalFormatting>
  <conditionalFormatting sqref="C58">
    <cfRule type="cellIs" dxfId="11963" priority="997" stopIfTrue="1" operator="equal">
      <formula>"Towel"</formula>
    </cfRule>
    <cfRule type="cellIs" dxfId="11962" priority="998" stopIfTrue="1" operator="equal">
      <formula>"Napkin Hs"</formula>
    </cfRule>
  </conditionalFormatting>
  <conditionalFormatting sqref="C58">
    <cfRule type="cellIs" dxfId="11961" priority="999" stopIfTrue="1" operator="equal">
      <formula>"Towel"</formula>
    </cfRule>
    <cfRule type="cellIs" dxfId="11960" priority="1000" stopIfTrue="1" operator="equal">
      <formula>"Napkin Hs"</formula>
    </cfRule>
  </conditionalFormatting>
  <conditionalFormatting sqref="B58:C58">
    <cfRule type="cellIs" dxfId="11959" priority="987" stopIfTrue="1" operator="equal">
      <formula>"Towel"</formula>
    </cfRule>
    <cfRule type="cellIs" dxfId="11958" priority="988" stopIfTrue="1" operator="equal">
      <formula>"Napkin Hs"</formula>
    </cfRule>
  </conditionalFormatting>
  <conditionalFormatting sqref="C58">
    <cfRule type="cellIs" dxfId="11957" priority="986" stopIfTrue="1" operator="equal">
      <formula>"Napkin Hs"</formula>
    </cfRule>
  </conditionalFormatting>
  <conditionalFormatting sqref="C58">
    <cfRule type="cellIs" dxfId="11956" priority="983" stopIfTrue="1" operator="equal">
      <formula>"Towel"</formula>
    </cfRule>
    <cfRule type="cellIs" dxfId="11955" priority="984" stopIfTrue="1" operator="equal">
      <formula>"Napkin Hs"</formula>
    </cfRule>
  </conditionalFormatting>
  <conditionalFormatting sqref="C58">
    <cfRule type="cellIs" dxfId="11954" priority="985" stopIfTrue="1" operator="equal">
      <formula>"Towel"</formula>
    </cfRule>
  </conditionalFormatting>
  <conditionalFormatting sqref="B67:C67">
    <cfRule type="cellIs" dxfId="11953" priority="981" stopIfTrue="1" operator="equal">
      <formula>"Towel"</formula>
    </cfRule>
    <cfRule type="cellIs" dxfId="11952" priority="982" stopIfTrue="1" operator="equal">
      <formula>"Napkin Hs"</formula>
    </cfRule>
  </conditionalFormatting>
  <conditionalFormatting sqref="C67">
    <cfRule type="cellIs" dxfId="11951" priority="979" stopIfTrue="1" operator="equal">
      <formula>"Towel"</formula>
    </cfRule>
    <cfRule type="cellIs" dxfId="11950" priority="980" stopIfTrue="1" operator="equal">
      <formula>"Napkin Hs"</formula>
    </cfRule>
  </conditionalFormatting>
  <conditionalFormatting sqref="C67">
    <cfRule type="cellIs" dxfId="11949" priority="977" stopIfTrue="1" operator="equal">
      <formula>"Towel"</formula>
    </cfRule>
    <cfRule type="cellIs" dxfId="11948" priority="978" stopIfTrue="1" operator="equal">
      <formula>"Napkin Hs"</formula>
    </cfRule>
  </conditionalFormatting>
  <conditionalFormatting sqref="B65:C66 C64">
    <cfRule type="cellIs" dxfId="11947" priority="975" stopIfTrue="1" operator="equal">
      <formula>"Towel"</formula>
    </cfRule>
    <cfRule type="cellIs" dxfId="11946" priority="976" stopIfTrue="1" operator="equal">
      <formula>"Napkin Hs"</formula>
    </cfRule>
  </conditionalFormatting>
  <conditionalFormatting sqref="C64:C66">
    <cfRule type="cellIs" dxfId="11945" priority="974" stopIfTrue="1" operator="equal">
      <formula>"Napkin Hs"</formula>
    </cfRule>
  </conditionalFormatting>
  <conditionalFormatting sqref="C64:C66">
    <cfRule type="cellIs" dxfId="11944" priority="971" stopIfTrue="1" operator="equal">
      <formula>"Towel"</formula>
    </cfRule>
    <cfRule type="cellIs" dxfId="11943" priority="972" stopIfTrue="1" operator="equal">
      <formula>"Napkin Hs"</formula>
    </cfRule>
  </conditionalFormatting>
  <conditionalFormatting sqref="C64:C66">
    <cfRule type="cellIs" dxfId="11942" priority="973" stopIfTrue="1" operator="equal">
      <formula>"Towel"</formula>
    </cfRule>
  </conditionalFormatting>
  <conditionalFormatting sqref="B64">
    <cfRule type="cellIs" dxfId="11941" priority="969" stopIfTrue="1" operator="equal">
      <formula>"Towel"</formula>
    </cfRule>
    <cfRule type="cellIs" dxfId="11940" priority="970" stopIfTrue="1" operator="equal">
      <formula>"Napkin Hs"</formula>
    </cfRule>
  </conditionalFormatting>
  <conditionalFormatting sqref="C63">
    <cfRule type="cellIs" dxfId="11939" priority="961" stopIfTrue="1" operator="equal">
      <formula>"Towel"</formula>
    </cfRule>
    <cfRule type="cellIs" dxfId="11938" priority="962" stopIfTrue="1" operator="equal">
      <formula>"Napkin Hs"</formula>
    </cfRule>
  </conditionalFormatting>
  <conditionalFormatting sqref="B63:C63">
    <cfRule type="cellIs" dxfId="11937" priority="963" stopIfTrue="1" operator="equal">
      <formula>"Towel"</formula>
    </cfRule>
    <cfRule type="cellIs" dxfId="11936" priority="964" stopIfTrue="1" operator="equal">
      <formula>"Napkin Hs"</formula>
    </cfRule>
  </conditionalFormatting>
  <conditionalFormatting sqref="C63">
    <cfRule type="cellIs" dxfId="11935" priority="959" stopIfTrue="1" operator="equal">
      <formula>"Towel"</formula>
    </cfRule>
    <cfRule type="cellIs" dxfId="11934" priority="960" stopIfTrue="1" operator="equal">
      <formula>"Napkin Hs"</formula>
    </cfRule>
  </conditionalFormatting>
  <conditionalFormatting sqref="B63:C63">
    <cfRule type="cellIs" dxfId="11933" priority="957" stopIfTrue="1" operator="equal">
      <formula>"Towel"</formula>
    </cfRule>
    <cfRule type="cellIs" dxfId="11932" priority="958" stopIfTrue="1" operator="equal">
      <formula>"Napkin Hs"</formula>
    </cfRule>
  </conditionalFormatting>
  <conditionalFormatting sqref="C63">
    <cfRule type="cellIs" dxfId="11931" priority="965" stopIfTrue="1" operator="equal">
      <formula>"Towel"</formula>
    </cfRule>
    <cfRule type="cellIs" dxfId="11930" priority="966" stopIfTrue="1" operator="equal">
      <formula>"Napkin Hs"</formula>
    </cfRule>
  </conditionalFormatting>
  <conditionalFormatting sqref="C63">
    <cfRule type="cellIs" dxfId="11929" priority="967" stopIfTrue="1" operator="equal">
      <formula>"Towel"</formula>
    </cfRule>
    <cfRule type="cellIs" dxfId="11928" priority="968" stopIfTrue="1" operator="equal">
      <formula>"Napkin Hs"</formula>
    </cfRule>
  </conditionalFormatting>
  <conditionalFormatting sqref="B63:C63">
    <cfRule type="cellIs" dxfId="11927" priority="955" stopIfTrue="1" operator="equal">
      <formula>"Towel"</formula>
    </cfRule>
    <cfRule type="cellIs" dxfId="11926" priority="956" stopIfTrue="1" operator="equal">
      <formula>"Napkin Hs"</formula>
    </cfRule>
  </conditionalFormatting>
  <conditionalFormatting sqref="C63">
    <cfRule type="cellIs" dxfId="11925" priority="954" stopIfTrue="1" operator="equal">
      <formula>"Napkin Hs"</formula>
    </cfRule>
  </conditionalFormatting>
  <conditionalFormatting sqref="C63">
    <cfRule type="cellIs" dxfId="11924" priority="951" stopIfTrue="1" operator="equal">
      <formula>"Towel"</formula>
    </cfRule>
    <cfRule type="cellIs" dxfId="11923" priority="952" stopIfTrue="1" operator="equal">
      <formula>"Napkin Hs"</formula>
    </cfRule>
  </conditionalFormatting>
  <conditionalFormatting sqref="C63">
    <cfRule type="cellIs" dxfId="11922" priority="953" stopIfTrue="1" operator="equal">
      <formula>"Towel"</formula>
    </cfRule>
  </conditionalFormatting>
  <conditionalFormatting sqref="C69 B70:C73">
    <cfRule type="cellIs" dxfId="11921" priority="949" stopIfTrue="1" operator="equal">
      <formula>"Towel"</formula>
    </cfRule>
    <cfRule type="cellIs" dxfId="11920" priority="950" stopIfTrue="1" operator="equal">
      <formula>"Napkin Hs"</formula>
    </cfRule>
  </conditionalFormatting>
  <conditionalFormatting sqref="C69:C73">
    <cfRule type="cellIs" dxfId="11919" priority="948" stopIfTrue="1" operator="equal">
      <formula>"Napkin Hs"</formula>
    </cfRule>
  </conditionalFormatting>
  <conditionalFormatting sqref="C69:C73">
    <cfRule type="cellIs" dxfId="11918" priority="945" stopIfTrue="1" operator="equal">
      <formula>"Towel"</formula>
    </cfRule>
    <cfRule type="cellIs" dxfId="11917" priority="946" stopIfTrue="1" operator="equal">
      <formula>"Napkin Hs"</formula>
    </cfRule>
  </conditionalFormatting>
  <conditionalFormatting sqref="C69:C73">
    <cfRule type="cellIs" dxfId="11916" priority="947" stopIfTrue="1" operator="equal">
      <formula>"Towel"</formula>
    </cfRule>
  </conditionalFormatting>
  <conditionalFormatting sqref="B69">
    <cfRule type="cellIs" dxfId="11915" priority="943" stopIfTrue="1" operator="equal">
      <formula>"Towel"</formula>
    </cfRule>
    <cfRule type="cellIs" dxfId="11914" priority="944" stopIfTrue="1" operator="equal">
      <formula>"Napkin Hs"</formula>
    </cfRule>
  </conditionalFormatting>
  <conditionalFormatting sqref="C68">
    <cfRule type="cellIs" dxfId="11913" priority="935" stopIfTrue="1" operator="equal">
      <formula>"Towel"</formula>
    </cfRule>
    <cfRule type="cellIs" dxfId="11912" priority="936" stopIfTrue="1" operator="equal">
      <formula>"Napkin Hs"</formula>
    </cfRule>
  </conditionalFormatting>
  <conditionalFormatting sqref="B68:C68">
    <cfRule type="cellIs" dxfId="11911" priority="937" stopIfTrue="1" operator="equal">
      <formula>"Towel"</formula>
    </cfRule>
    <cfRule type="cellIs" dxfId="11910" priority="938" stopIfTrue="1" operator="equal">
      <formula>"Napkin Hs"</formula>
    </cfRule>
  </conditionalFormatting>
  <conditionalFormatting sqref="C68">
    <cfRule type="cellIs" dxfId="11909" priority="933" stopIfTrue="1" operator="equal">
      <formula>"Towel"</formula>
    </cfRule>
    <cfRule type="cellIs" dxfId="11908" priority="934" stopIfTrue="1" operator="equal">
      <formula>"Napkin Hs"</formula>
    </cfRule>
  </conditionalFormatting>
  <conditionalFormatting sqref="B68:C68">
    <cfRule type="cellIs" dxfId="11907" priority="931" stopIfTrue="1" operator="equal">
      <formula>"Towel"</formula>
    </cfRule>
    <cfRule type="cellIs" dxfId="11906" priority="932" stopIfTrue="1" operator="equal">
      <formula>"Napkin Hs"</formula>
    </cfRule>
  </conditionalFormatting>
  <conditionalFormatting sqref="C68">
    <cfRule type="cellIs" dxfId="11905" priority="939" stopIfTrue="1" operator="equal">
      <formula>"Towel"</formula>
    </cfRule>
    <cfRule type="cellIs" dxfId="11904" priority="940" stopIfTrue="1" operator="equal">
      <formula>"Napkin Hs"</formula>
    </cfRule>
  </conditionalFormatting>
  <conditionalFormatting sqref="C68">
    <cfRule type="cellIs" dxfId="11903" priority="941" stopIfTrue="1" operator="equal">
      <formula>"Towel"</formula>
    </cfRule>
    <cfRule type="cellIs" dxfId="11902" priority="942" stopIfTrue="1" operator="equal">
      <formula>"Napkin Hs"</formula>
    </cfRule>
  </conditionalFormatting>
  <conditionalFormatting sqref="B68:C68">
    <cfRule type="cellIs" dxfId="11901" priority="929" stopIfTrue="1" operator="equal">
      <formula>"Towel"</formula>
    </cfRule>
    <cfRule type="cellIs" dxfId="11900" priority="930" stopIfTrue="1" operator="equal">
      <formula>"Napkin Hs"</formula>
    </cfRule>
  </conditionalFormatting>
  <conditionalFormatting sqref="C68">
    <cfRule type="cellIs" dxfId="11899" priority="928" stopIfTrue="1" operator="equal">
      <formula>"Napkin Hs"</formula>
    </cfRule>
  </conditionalFormatting>
  <conditionalFormatting sqref="C68">
    <cfRule type="cellIs" dxfId="11898" priority="925" stopIfTrue="1" operator="equal">
      <formula>"Towel"</formula>
    </cfRule>
    <cfRule type="cellIs" dxfId="11897" priority="926" stopIfTrue="1" operator="equal">
      <formula>"Napkin Hs"</formula>
    </cfRule>
  </conditionalFormatting>
  <conditionalFormatting sqref="C68">
    <cfRule type="cellIs" dxfId="11896" priority="927" stopIfTrue="1" operator="equal">
      <formula>"Towel"</formula>
    </cfRule>
  </conditionalFormatting>
  <conditionalFormatting sqref="B77:C78">
    <cfRule type="cellIs" dxfId="11895" priority="923" stopIfTrue="1" operator="equal">
      <formula>"Towel"</formula>
    </cfRule>
    <cfRule type="cellIs" dxfId="11894" priority="924" stopIfTrue="1" operator="equal">
      <formula>"Napkin Hs"</formula>
    </cfRule>
  </conditionalFormatting>
  <conditionalFormatting sqref="C77:C78">
    <cfRule type="cellIs" dxfId="11893" priority="922" stopIfTrue="1" operator="equal">
      <formula>"Napkin Hs"</formula>
    </cfRule>
  </conditionalFormatting>
  <conditionalFormatting sqref="C77:C78">
    <cfRule type="cellIs" dxfId="11892" priority="919" stopIfTrue="1" operator="equal">
      <formula>"Towel"</formula>
    </cfRule>
    <cfRule type="cellIs" dxfId="11891" priority="920" stopIfTrue="1" operator="equal">
      <formula>"Napkin Hs"</formula>
    </cfRule>
  </conditionalFormatting>
  <conditionalFormatting sqref="C77:C78">
    <cfRule type="cellIs" dxfId="11890" priority="921" stopIfTrue="1" operator="equal">
      <formula>"Towel"</formula>
    </cfRule>
  </conditionalFormatting>
  <conditionalFormatting sqref="C75:C76">
    <cfRule type="cellIs" dxfId="11889" priority="911" stopIfTrue="1" operator="equal">
      <formula>"Towel"</formula>
    </cfRule>
    <cfRule type="cellIs" dxfId="11888" priority="912" stopIfTrue="1" operator="equal">
      <formula>"Napkin Hs"</formula>
    </cfRule>
  </conditionalFormatting>
  <conditionalFormatting sqref="B75:C76">
    <cfRule type="cellIs" dxfId="11887" priority="913" stopIfTrue="1" operator="equal">
      <formula>"Towel"</formula>
    </cfRule>
    <cfRule type="cellIs" dxfId="11886" priority="914" stopIfTrue="1" operator="equal">
      <formula>"Napkin Hs"</formula>
    </cfRule>
  </conditionalFormatting>
  <conditionalFormatting sqref="C75:C76">
    <cfRule type="cellIs" dxfId="11885" priority="909" stopIfTrue="1" operator="equal">
      <formula>"Towel"</formula>
    </cfRule>
    <cfRule type="cellIs" dxfId="11884" priority="910" stopIfTrue="1" operator="equal">
      <formula>"Napkin Hs"</formula>
    </cfRule>
  </conditionalFormatting>
  <conditionalFormatting sqref="B75:C76">
    <cfRule type="cellIs" dxfId="11883" priority="907" stopIfTrue="1" operator="equal">
      <formula>"Towel"</formula>
    </cfRule>
    <cfRule type="cellIs" dxfId="11882" priority="908" stopIfTrue="1" operator="equal">
      <formula>"Napkin Hs"</formula>
    </cfRule>
  </conditionalFormatting>
  <conditionalFormatting sqref="C75:C76">
    <cfRule type="cellIs" dxfId="11881" priority="915" stopIfTrue="1" operator="equal">
      <formula>"Towel"</formula>
    </cfRule>
    <cfRule type="cellIs" dxfId="11880" priority="916" stopIfTrue="1" operator="equal">
      <formula>"Napkin Hs"</formula>
    </cfRule>
  </conditionalFormatting>
  <conditionalFormatting sqref="C75:C76">
    <cfRule type="cellIs" dxfId="11879" priority="917" stopIfTrue="1" operator="equal">
      <formula>"Towel"</formula>
    </cfRule>
    <cfRule type="cellIs" dxfId="11878" priority="918" stopIfTrue="1" operator="equal">
      <formula>"Napkin Hs"</formula>
    </cfRule>
  </conditionalFormatting>
  <conditionalFormatting sqref="B75:C76">
    <cfRule type="cellIs" dxfId="11877" priority="905" stopIfTrue="1" operator="equal">
      <formula>"Towel"</formula>
    </cfRule>
    <cfRule type="cellIs" dxfId="11876" priority="906" stopIfTrue="1" operator="equal">
      <formula>"Napkin Hs"</formula>
    </cfRule>
  </conditionalFormatting>
  <conditionalFormatting sqref="C75:C76">
    <cfRule type="cellIs" dxfId="11875" priority="904" stopIfTrue="1" operator="equal">
      <formula>"Napkin Hs"</formula>
    </cfRule>
  </conditionalFormatting>
  <conditionalFormatting sqref="C75:C76">
    <cfRule type="cellIs" dxfId="11874" priority="901" stopIfTrue="1" operator="equal">
      <formula>"Towel"</formula>
    </cfRule>
    <cfRule type="cellIs" dxfId="11873" priority="902" stopIfTrue="1" operator="equal">
      <formula>"Napkin Hs"</formula>
    </cfRule>
  </conditionalFormatting>
  <conditionalFormatting sqref="C75:C76">
    <cfRule type="cellIs" dxfId="11872" priority="903" stopIfTrue="1" operator="equal">
      <formula>"Towel"</formula>
    </cfRule>
  </conditionalFormatting>
  <conditionalFormatting sqref="B82:C83">
    <cfRule type="cellIs" dxfId="11871" priority="899" stopIfTrue="1" operator="equal">
      <formula>"Towel"</formula>
    </cfRule>
    <cfRule type="cellIs" dxfId="11870" priority="900" stopIfTrue="1" operator="equal">
      <formula>"Napkin Hs"</formula>
    </cfRule>
  </conditionalFormatting>
  <conditionalFormatting sqref="C82:C83">
    <cfRule type="cellIs" dxfId="11869" priority="898" stopIfTrue="1" operator="equal">
      <formula>"Napkin Hs"</formula>
    </cfRule>
  </conditionalFormatting>
  <conditionalFormatting sqref="C82:C83">
    <cfRule type="cellIs" dxfId="11868" priority="895" stopIfTrue="1" operator="equal">
      <formula>"Towel"</formula>
    </cfRule>
    <cfRule type="cellIs" dxfId="11867" priority="896" stopIfTrue="1" operator="equal">
      <formula>"Napkin Hs"</formula>
    </cfRule>
  </conditionalFormatting>
  <conditionalFormatting sqref="C82:C83">
    <cfRule type="cellIs" dxfId="11866" priority="897" stopIfTrue="1" operator="equal">
      <formula>"Towel"</formula>
    </cfRule>
  </conditionalFormatting>
  <conditionalFormatting sqref="C81">
    <cfRule type="cellIs" dxfId="11865" priority="887" stopIfTrue="1" operator="equal">
      <formula>"Towel"</formula>
    </cfRule>
    <cfRule type="cellIs" dxfId="11864" priority="888" stopIfTrue="1" operator="equal">
      <formula>"Napkin Hs"</formula>
    </cfRule>
  </conditionalFormatting>
  <conditionalFormatting sqref="B81:C81">
    <cfRule type="cellIs" dxfId="11863" priority="889" stopIfTrue="1" operator="equal">
      <formula>"Towel"</formula>
    </cfRule>
    <cfRule type="cellIs" dxfId="11862" priority="890" stopIfTrue="1" operator="equal">
      <formula>"Napkin Hs"</formula>
    </cfRule>
  </conditionalFormatting>
  <conditionalFormatting sqref="C81">
    <cfRule type="cellIs" dxfId="11861" priority="885" stopIfTrue="1" operator="equal">
      <formula>"Towel"</formula>
    </cfRule>
    <cfRule type="cellIs" dxfId="11860" priority="886" stopIfTrue="1" operator="equal">
      <formula>"Napkin Hs"</formula>
    </cfRule>
  </conditionalFormatting>
  <conditionalFormatting sqref="B81:C81">
    <cfRule type="cellIs" dxfId="11859" priority="883" stopIfTrue="1" operator="equal">
      <formula>"Towel"</formula>
    </cfRule>
    <cfRule type="cellIs" dxfId="11858" priority="884" stopIfTrue="1" operator="equal">
      <formula>"Napkin Hs"</formula>
    </cfRule>
  </conditionalFormatting>
  <conditionalFormatting sqref="C81">
    <cfRule type="cellIs" dxfId="11857" priority="891" stopIfTrue="1" operator="equal">
      <formula>"Towel"</formula>
    </cfRule>
    <cfRule type="cellIs" dxfId="11856" priority="892" stopIfTrue="1" operator="equal">
      <formula>"Napkin Hs"</formula>
    </cfRule>
  </conditionalFormatting>
  <conditionalFormatting sqref="C81">
    <cfRule type="cellIs" dxfId="11855" priority="893" stopIfTrue="1" operator="equal">
      <formula>"Towel"</formula>
    </cfRule>
    <cfRule type="cellIs" dxfId="11854" priority="894" stopIfTrue="1" operator="equal">
      <formula>"Napkin Hs"</formula>
    </cfRule>
  </conditionalFormatting>
  <conditionalFormatting sqref="B81:C81">
    <cfRule type="cellIs" dxfId="11853" priority="881" stopIfTrue="1" operator="equal">
      <formula>"Towel"</formula>
    </cfRule>
    <cfRule type="cellIs" dxfId="11852" priority="882" stopIfTrue="1" operator="equal">
      <formula>"Napkin Hs"</formula>
    </cfRule>
  </conditionalFormatting>
  <conditionalFormatting sqref="C81">
    <cfRule type="cellIs" dxfId="11851" priority="880" stopIfTrue="1" operator="equal">
      <formula>"Napkin Hs"</formula>
    </cfRule>
  </conditionalFormatting>
  <conditionalFormatting sqref="C81">
    <cfRule type="cellIs" dxfId="11850" priority="877" stopIfTrue="1" operator="equal">
      <formula>"Towel"</formula>
    </cfRule>
    <cfRule type="cellIs" dxfId="11849" priority="878" stopIfTrue="1" operator="equal">
      <formula>"Napkin Hs"</formula>
    </cfRule>
  </conditionalFormatting>
  <conditionalFormatting sqref="C81">
    <cfRule type="cellIs" dxfId="11848" priority="879" stopIfTrue="1" operator="equal">
      <formula>"Towel"</formula>
    </cfRule>
  </conditionalFormatting>
  <conditionalFormatting sqref="B87:C88">
    <cfRule type="cellIs" dxfId="11847" priority="875" stopIfTrue="1" operator="equal">
      <formula>"Towel"</formula>
    </cfRule>
    <cfRule type="cellIs" dxfId="11846" priority="876" stopIfTrue="1" operator="equal">
      <formula>"Napkin Hs"</formula>
    </cfRule>
  </conditionalFormatting>
  <conditionalFormatting sqref="C87:C88">
    <cfRule type="cellIs" dxfId="11845" priority="874" stopIfTrue="1" operator="equal">
      <formula>"Napkin Hs"</formula>
    </cfRule>
  </conditionalFormatting>
  <conditionalFormatting sqref="C87:C88">
    <cfRule type="cellIs" dxfId="11844" priority="871" stopIfTrue="1" operator="equal">
      <formula>"Towel"</formula>
    </cfRule>
    <cfRule type="cellIs" dxfId="11843" priority="872" stopIfTrue="1" operator="equal">
      <formula>"Napkin Hs"</formula>
    </cfRule>
  </conditionalFormatting>
  <conditionalFormatting sqref="C87:C88">
    <cfRule type="cellIs" dxfId="11842" priority="873" stopIfTrue="1" operator="equal">
      <formula>"Towel"</formula>
    </cfRule>
  </conditionalFormatting>
  <conditionalFormatting sqref="C86">
    <cfRule type="cellIs" dxfId="11841" priority="863" stopIfTrue="1" operator="equal">
      <formula>"Towel"</formula>
    </cfRule>
    <cfRule type="cellIs" dxfId="11840" priority="864" stopIfTrue="1" operator="equal">
      <formula>"Napkin Hs"</formula>
    </cfRule>
  </conditionalFormatting>
  <conditionalFormatting sqref="B86:C86">
    <cfRule type="cellIs" dxfId="11839" priority="865" stopIfTrue="1" operator="equal">
      <formula>"Towel"</formula>
    </cfRule>
    <cfRule type="cellIs" dxfId="11838" priority="866" stopIfTrue="1" operator="equal">
      <formula>"Napkin Hs"</formula>
    </cfRule>
  </conditionalFormatting>
  <conditionalFormatting sqref="C86">
    <cfRule type="cellIs" dxfId="11837" priority="861" stopIfTrue="1" operator="equal">
      <formula>"Towel"</formula>
    </cfRule>
    <cfRule type="cellIs" dxfId="11836" priority="862" stopIfTrue="1" operator="equal">
      <formula>"Napkin Hs"</formula>
    </cfRule>
  </conditionalFormatting>
  <conditionalFormatting sqref="B86:C86">
    <cfRule type="cellIs" dxfId="11835" priority="859" stopIfTrue="1" operator="equal">
      <formula>"Towel"</formula>
    </cfRule>
    <cfRule type="cellIs" dxfId="11834" priority="860" stopIfTrue="1" operator="equal">
      <formula>"Napkin Hs"</formula>
    </cfRule>
  </conditionalFormatting>
  <conditionalFormatting sqref="C86">
    <cfRule type="cellIs" dxfId="11833" priority="867" stopIfTrue="1" operator="equal">
      <formula>"Towel"</formula>
    </cfRule>
    <cfRule type="cellIs" dxfId="11832" priority="868" stopIfTrue="1" operator="equal">
      <formula>"Napkin Hs"</formula>
    </cfRule>
  </conditionalFormatting>
  <conditionalFormatting sqref="C86">
    <cfRule type="cellIs" dxfId="11831" priority="869" stopIfTrue="1" operator="equal">
      <formula>"Towel"</formula>
    </cfRule>
    <cfRule type="cellIs" dxfId="11830" priority="870" stopIfTrue="1" operator="equal">
      <formula>"Napkin Hs"</formula>
    </cfRule>
  </conditionalFormatting>
  <conditionalFormatting sqref="B86:C86">
    <cfRule type="cellIs" dxfId="11829" priority="857" stopIfTrue="1" operator="equal">
      <formula>"Towel"</formula>
    </cfRule>
    <cfRule type="cellIs" dxfId="11828" priority="858" stopIfTrue="1" operator="equal">
      <formula>"Napkin Hs"</formula>
    </cfRule>
  </conditionalFormatting>
  <conditionalFormatting sqref="C86">
    <cfRule type="cellIs" dxfId="11827" priority="856" stopIfTrue="1" operator="equal">
      <formula>"Napkin Hs"</formula>
    </cfRule>
  </conditionalFormatting>
  <conditionalFormatting sqref="C86">
    <cfRule type="cellIs" dxfId="11826" priority="853" stopIfTrue="1" operator="equal">
      <formula>"Towel"</formula>
    </cfRule>
    <cfRule type="cellIs" dxfId="11825" priority="854" stopIfTrue="1" operator="equal">
      <formula>"Napkin Hs"</formula>
    </cfRule>
  </conditionalFormatting>
  <conditionalFormatting sqref="C86">
    <cfRule type="cellIs" dxfId="11824" priority="855" stopIfTrue="1" operator="equal">
      <formula>"Towel"</formula>
    </cfRule>
  </conditionalFormatting>
  <conditionalFormatting sqref="C80">
    <cfRule type="cellIs" dxfId="11823" priority="845" stopIfTrue="1" operator="equal">
      <formula>"Towel"</formula>
    </cfRule>
    <cfRule type="cellIs" dxfId="11822" priority="846" stopIfTrue="1" operator="equal">
      <formula>"Napkin Hs"</formula>
    </cfRule>
  </conditionalFormatting>
  <conditionalFormatting sqref="B80:C80">
    <cfRule type="cellIs" dxfId="11821" priority="847" stopIfTrue="1" operator="equal">
      <formula>"Towel"</formula>
    </cfRule>
    <cfRule type="cellIs" dxfId="11820" priority="848" stopIfTrue="1" operator="equal">
      <formula>"Napkin Hs"</formula>
    </cfRule>
  </conditionalFormatting>
  <conditionalFormatting sqref="C80">
    <cfRule type="cellIs" dxfId="11819" priority="843" stopIfTrue="1" operator="equal">
      <formula>"Towel"</formula>
    </cfRule>
    <cfRule type="cellIs" dxfId="11818" priority="844" stopIfTrue="1" operator="equal">
      <formula>"Napkin Hs"</formula>
    </cfRule>
  </conditionalFormatting>
  <conditionalFormatting sqref="B80:C80">
    <cfRule type="cellIs" dxfId="11817" priority="841" stopIfTrue="1" operator="equal">
      <formula>"Towel"</formula>
    </cfRule>
    <cfRule type="cellIs" dxfId="11816" priority="842" stopIfTrue="1" operator="equal">
      <formula>"Napkin Hs"</formula>
    </cfRule>
  </conditionalFormatting>
  <conditionalFormatting sqref="C80">
    <cfRule type="cellIs" dxfId="11815" priority="849" stopIfTrue="1" operator="equal">
      <formula>"Towel"</formula>
    </cfRule>
    <cfRule type="cellIs" dxfId="11814" priority="850" stopIfTrue="1" operator="equal">
      <formula>"Napkin Hs"</formula>
    </cfRule>
  </conditionalFormatting>
  <conditionalFormatting sqref="C80">
    <cfRule type="cellIs" dxfId="11813" priority="851" stopIfTrue="1" operator="equal">
      <formula>"Towel"</formula>
    </cfRule>
    <cfRule type="cellIs" dxfId="11812" priority="852" stopIfTrue="1" operator="equal">
      <formula>"Napkin Hs"</formula>
    </cfRule>
  </conditionalFormatting>
  <conditionalFormatting sqref="B80:C80">
    <cfRule type="cellIs" dxfId="11811" priority="839" stopIfTrue="1" operator="equal">
      <formula>"Towel"</formula>
    </cfRule>
    <cfRule type="cellIs" dxfId="11810" priority="840" stopIfTrue="1" operator="equal">
      <formula>"Napkin Hs"</formula>
    </cfRule>
  </conditionalFormatting>
  <conditionalFormatting sqref="C80">
    <cfRule type="cellIs" dxfId="11809" priority="838" stopIfTrue="1" operator="equal">
      <formula>"Napkin Hs"</formula>
    </cfRule>
  </conditionalFormatting>
  <conditionalFormatting sqref="C80">
    <cfRule type="cellIs" dxfId="11808" priority="835" stopIfTrue="1" operator="equal">
      <formula>"Towel"</formula>
    </cfRule>
    <cfRule type="cellIs" dxfId="11807" priority="836" stopIfTrue="1" operator="equal">
      <formula>"Napkin Hs"</formula>
    </cfRule>
  </conditionalFormatting>
  <conditionalFormatting sqref="C80">
    <cfRule type="cellIs" dxfId="11806" priority="837" stopIfTrue="1" operator="equal">
      <formula>"Towel"</formula>
    </cfRule>
  </conditionalFormatting>
  <conditionalFormatting sqref="C85">
    <cfRule type="cellIs" dxfId="11805" priority="827" stopIfTrue="1" operator="equal">
      <formula>"Towel"</formula>
    </cfRule>
    <cfRule type="cellIs" dxfId="11804" priority="828" stopIfTrue="1" operator="equal">
      <formula>"Napkin Hs"</formula>
    </cfRule>
  </conditionalFormatting>
  <conditionalFormatting sqref="B85:C85">
    <cfRule type="cellIs" dxfId="11803" priority="829" stopIfTrue="1" operator="equal">
      <formula>"Towel"</formula>
    </cfRule>
    <cfRule type="cellIs" dxfId="11802" priority="830" stopIfTrue="1" operator="equal">
      <formula>"Napkin Hs"</formula>
    </cfRule>
  </conditionalFormatting>
  <conditionalFormatting sqref="C85">
    <cfRule type="cellIs" dxfId="11801" priority="825" stopIfTrue="1" operator="equal">
      <formula>"Towel"</formula>
    </cfRule>
    <cfRule type="cellIs" dxfId="11800" priority="826" stopIfTrue="1" operator="equal">
      <formula>"Napkin Hs"</formula>
    </cfRule>
  </conditionalFormatting>
  <conditionalFormatting sqref="B85:C85">
    <cfRule type="cellIs" dxfId="11799" priority="823" stopIfTrue="1" operator="equal">
      <formula>"Towel"</formula>
    </cfRule>
    <cfRule type="cellIs" dxfId="11798" priority="824" stopIfTrue="1" operator="equal">
      <formula>"Napkin Hs"</formula>
    </cfRule>
  </conditionalFormatting>
  <conditionalFormatting sqref="C85">
    <cfRule type="cellIs" dxfId="11797" priority="831" stopIfTrue="1" operator="equal">
      <formula>"Towel"</formula>
    </cfRule>
    <cfRule type="cellIs" dxfId="11796" priority="832" stopIfTrue="1" operator="equal">
      <formula>"Napkin Hs"</formula>
    </cfRule>
  </conditionalFormatting>
  <conditionalFormatting sqref="C85">
    <cfRule type="cellIs" dxfId="11795" priority="833" stopIfTrue="1" operator="equal">
      <formula>"Towel"</formula>
    </cfRule>
    <cfRule type="cellIs" dxfId="11794" priority="834" stopIfTrue="1" operator="equal">
      <formula>"Napkin Hs"</formula>
    </cfRule>
  </conditionalFormatting>
  <conditionalFormatting sqref="B85:C85">
    <cfRule type="cellIs" dxfId="11793" priority="821" stopIfTrue="1" operator="equal">
      <formula>"Towel"</formula>
    </cfRule>
    <cfRule type="cellIs" dxfId="11792" priority="822" stopIfTrue="1" operator="equal">
      <formula>"Napkin Hs"</formula>
    </cfRule>
  </conditionalFormatting>
  <conditionalFormatting sqref="C85">
    <cfRule type="cellIs" dxfId="11791" priority="820" stopIfTrue="1" operator="equal">
      <formula>"Napkin Hs"</formula>
    </cfRule>
  </conditionalFormatting>
  <conditionalFormatting sqref="C85">
    <cfRule type="cellIs" dxfId="11790" priority="817" stopIfTrue="1" operator="equal">
      <formula>"Towel"</formula>
    </cfRule>
    <cfRule type="cellIs" dxfId="11789" priority="818" stopIfTrue="1" operator="equal">
      <formula>"Napkin Hs"</formula>
    </cfRule>
  </conditionalFormatting>
  <conditionalFormatting sqref="C85">
    <cfRule type="cellIs" dxfId="11788" priority="819" stopIfTrue="1" operator="equal">
      <formula>"Towel"</formula>
    </cfRule>
  </conditionalFormatting>
  <conditionalFormatting sqref="B94:C94">
    <cfRule type="cellIs" dxfId="11787" priority="815" stopIfTrue="1" operator="equal">
      <formula>"Towel"</formula>
    </cfRule>
    <cfRule type="cellIs" dxfId="11786" priority="816" stopIfTrue="1" operator="equal">
      <formula>"Napkin Hs"</formula>
    </cfRule>
  </conditionalFormatting>
  <conditionalFormatting sqref="C94">
    <cfRule type="cellIs" dxfId="11785" priority="813" stopIfTrue="1" operator="equal">
      <formula>"Towel"</formula>
    </cfRule>
    <cfRule type="cellIs" dxfId="11784" priority="814" stopIfTrue="1" operator="equal">
      <formula>"Napkin Hs"</formula>
    </cfRule>
  </conditionalFormatting>
  <conditionalFormatting sqref="C94">
    <cfRule type="cellIs" dxfId="11783" priority="811" stopIfTrue="1" operator="equal">
      <formula>"Towel"</formula>
    </cfRule>
    <cfRule type="cellIs" dxfId="11782" priority="812" stopIfTrue="1" operator="equal">
      <formula>"Napkin Hs"</formula>
    </cfRule>
  </conditionalFormatting>
  <conditionalFormatting sqref="C94">
    <cfRule type="cellIs" dxfId="11781" priority="803" stopIfTrue="1" operator="equal">
      <formula>"Towel"</formula>
    </cfRule>
    <cfRule type="cellIs" dxfId="11780" priority="804" stopIfTrue="1" operator="equal">
      <formula>"Napkin Hs"</formula>
    </cfRule>
  </conditionalFormatting>
  <conditionalFormatting sqref="B94:C94">
    <cfRule type="cellIs" dxfId="11779" priority="805" stopIfTrue="1" operator="equal">
      <formula>"Towel"</formula>
    </cfRule>
    <cfRule type="cellIs" dxfId="11778" priority="806" stopIfTrue="1" operator="equal">
      <formula>"Napkin Hs"</formula>
    </cfRule>
  </conditionalFormatting>
  <conditionalFormatting sqref="C94">
    <cfRule type="cellIs" dxfId="11777" priority="801" stopIfTrue="1" operator="equal">
      <formula>"Towel"</formula>
    </cfRule>
    <cfRule type="cellIs" dxfId="11776" priority="802" stopIfTrue="1" operator="equal">
      <formula>"Napkin Hs"</formula>
    </cfRule>
  </conditionalFormatting>
  <conditionalFormatting sqref="B94:C94">
    <cfRule type="cellIs" dxfId="11775" priority="799" stopIfTrue="1" operator="equal">
      <formula>"Towel"</formula>
    </cfRule>
    <cfRule type="cellIs" dxfId="11774" priority="800" stopIfTrue="1" operator="equal">
      <formula>"Napkin Hs"</formula>
    </cfRule>
  </conditionalFormatting>
  <conditionalFormatting sqref="C94">
    <cfRule type="cellIs" dxfId="11773" priority="807" stopIfTrue="1" operator="equal">
      <formula>"Towel"</formula>
    </cfRule>
    <cfRule type="cellIs" dxfId="11772" priority="808" stopIfTrue="1" operator="equal">
      <formula>"Napkin Hs"</formula>
    </cfRule>
  </conditionalFormatting>
  <conditionalFormatting sqref="C94">
    <cfRule type="cellIs" dxfId="11771" priority="809" stopIfTrue="1" operator="equal">
      <formula>"Towel"</formula>
    </cfRule>
    <cfRule type="cellIs" dxfId="11770" priority="810" stopIfTrue="1" operator="equal">
      <formula>"Napkin Hs"</formula>
    </cfRule>
  </conditionalFormatting>
  <conditionalFormatting sqref="B92:C93">
    <cfRule type="cellIs" dxfId="11769" priority="797" stopIfTrue="1" operator="equal">
      <formula>"Towel"</formula>
    </cfRule>
    <cfRule type="cellIs" dxfId="11768" priority="798" stopIfTrue="1" operator="equal">
      <formula>"Napkin Hs"</formula>
    </cfRule>
  </conditionalFormatting>
  <conditionalFormatting sqref="C92:C93">
    <cfRule type="cellIs" dxfId="11767" priority="796" stopIfTrue="1" operator="equal">
      <formula>"Napkin Hs"</formula>
    </cfRule>
  </conditionalFormatting>
  <conditionalFormatting sqref="C92:C93">
    <cfRule type="cellIs" dxfId="11766" priority="793" stopIfTrue="1" operator="equal">
      <formula>"Towel"</formula>
    </cfRule>
    <cfRule type="cellIs" dxfId="11765" priority="794" stopIfTrue="1" operator="equal">
      <formula>"Napkin Hs"</formula>
    </cfRule>
  </conditionalFormatting>
  <conditionalFormatting sqref="C92:C93">
    <cfRule type="cellIs" dxfId="11764" priority="795" stopIfTrue="1" operator="equal">
      <formula>"Towel"</formula>
    </cfRule>
  </conditionalFormatting>
  <conditionalFormatting sqref="C90">
    <cfRule type="cellIs" dxfId="11763" priority="785" stopIfTrue="1" operator="equal">
      <formula>"Towel"</formula>
    </cfRule>
    <cfRule type="cellIs" dxfId="11762" priority="786" stopIfTrue="1" operator="equal">
      <formula>"Napkin Hs"</formula>
    </cfRule>
  </conditionalFormatting>
  <conditionalFormatting sqref="B90:C90">
    <cfRule type="cellIs" dxfId="11761" priority="787" stopIfTrue="1" operator="equal">
      <formula>"Towel"</formula>
    </cfRule>
    <cfRule type="cellIs" dxfId="11760" priority="788" stopIfTrue="1" operator="equal">
      <formula>"Napkin Hs"</formula>
    </cfRule>
  </conditionalFormatting>
  <conditionalFormatting sqref="C90">
    <cfRule type="cellIs" dxfId="11759" priority="783" stopIfTrue="1" operator="equal">
      <formula>"Towel"</formula>
    </cfRule>
    <cfRule type="cellIs" dxfId="11758" priority="784" stopIfTrue="1" operator="equal">
      <formula>"Napkin Hs"</formula>
    </cfRule>
  </conditionalFormatting>
  <conditionalFormatting sqref="B90:C90">
    <cfRule type="cellIs" dxfId="11757" priority="781" stopIfTrue="1" operator="equal">
      <formula>"Towel"</formula>
    </cfRule>
    <cfRule type="cellIs" dxfId="11756" priority="782" stopIfTrue="1" operator="equal">
      <formula>"Napkin Hs"</formula>
    </cfRule>
  </conditionalFormatting>
  <conditionalFormatting sqref="C90">
    <cfRule type="cellIs" dxfId="11755" priority="789" stopIfTrue="1" operator="equal">
      <formula>"Towel"</formula>
    </cfRule>
    <cfRule type="cellIs" dxfId="11754" priority="790" stopIfTrue="1" operator="equal">
      <formula>"Napkin Hs"</formula>
    </cfRule>
  </conditionalFormatting>
  <conditionalFormatting sqref="C90">
    <cfRule type="cellIs" dxfId="11753" priority="791" stopIfTrue="1" operator="equal">
      <formula>"Towel"</formula>
    </cfRule>
    <cfRule type="cellIs" dxfId="11752" priority="792" stopIfTrue="1" operator="equal">
      <formula>"Napkin Hs"</formula>
    </cfRule>
  </conditionalFormatting>
  <conditionalFormatting sqref="B90:C90">
    <cfRule type="cellIs" dxfId="11751" priority="779" stopIfTrue="1" operator="equal">
      <formula>"Towel"</formula>
    </cfRule>
    <cfRule type="cellIs" dxfId="11750" priority="780" stopIfTrue="1" operator="equal">
      <formula>"Napkin Hs"</formula>
    </cfRule>
  </conditionalFormatting>
  <conditionalFormatting sqref="C90">
    <cfRule type="cellIs" dxfId="11749" priority="778" stopIfTrue="1" operator="equal">
      <formula>"Napkin Hs"</formula>
    </cfRule>
  </conditionalFormatting>
  <conditionalFormatting sqref="C90">
    <cfRule type="cellIs" dxfId="11748" priority="775" stopIfTrue="1" operator="equal">
      <formula>"Towel"</formula>
    </cfRule>
    <cfRule type="cellIs" dxfId="11747" priority="776" stopIfTrue="1" operator="equal">
      <formula>"Napkin Hs"</formula>
    </cfRule>
  </conditionalFormatting>
  <conditionalFormatting sqref="C90">
    <cfRule type="cellIs" dxfId="11746" priority="777" stopIfTrue="1" operator="equal">
      <formula>"Towel"</formula>
    </cfRule>
  </conditionalFormatting>
  <conditionalFormatting sqref="C91">
    <cfRule type="cellIs" dxfId="11745" priority="767" stopIfTrue="1" operator="equal">
      <formula>"Towel"</formula>
    </cfRule>
    <cfRule type="cellIs" dxfId="11744" priority="768" stopIfTrue="1" operator="equal">
      <formula>"Napkin Hs"</formula>
    </cfRule>
  </conditionalFormatting>
  <conditionalFormatting sqref="B91:C91">
    <cfRule type="cellIs" dxfId="11743" priority="769" stopIfTrue="1" operator="equal">
      <formula>"Towel"</formula>
    </cfRule>
    <cfRule type="cellIs" dxfId="11742" priority="770" stopIfTrue="1" operator="equal">
      <formula>"Napkin Hs"</formula>
    </cfRule>
  </conditionalFormatting>
  <conditionalFormatting sqref="C91">
    <cfRule type="cellIs" dxfId="11741" priority="765" stopIfTrue="1" operator="equal">
      <formula>"Towel"</formula>
    </cfRule>
    <cfRule type="cellIs" dxfId="11740" priority="766" stopIfTrue="1" operator="equal">
      <formula>"Napkin Hs"</formula>
    </cfRule>
  </conditionalFormatting>
  <conditionalFormatting sqref="B91:C91">
    <cfRule type="cellIs" dxfId="11739" priority="763" stopIfTrue="1" operator="equal">
      <formula>"Towel"</formula>
    </cfRule>
    <cfRule type="cellIs" dxfId="11738" priority="764" stopIfTrue="1" operator="equal">
      <formula>"Napkin Hs"</formula>
    </cfRule>
  </conditionalFormatting>
  <conditionalFormatting sqref="C91">
    <cfRule type="cellIs" dxfId="11737" priority="771" stopIfTrue="1" operator="equal">
      <formula>"Towel"</formula>
    </cfRule>
    <cfRule type="cellIs" dxfId="11736" priority="772" stopIfTrue="1" operator="equal">
      <formula>"Napkin Hs"</formula>
    </cfRule>
  </conditionalFormatting>
  <conditionalFormatting sqref="C91">
    <cfRule type="cellIs" dxfId="11735" priority="773" stopIfTrue="1" operator="equal">
      <formula>"Towel"</formula>
    </cfRule>
    <cfRule type="cellIs" dxfId="11734" priority="774" stopIfTrue="1" operator="equal">
      <formula>"Napkin Hs"</formula>
    </cfRule>
  </conditionalFormatting>
  <conditionalFormatting sqref="B91:C91">
    <cfRule type="cellIs" dxfId="11733" priority="761" stopIfTrue="1" operator="equal">
      <formula>"Towel"</formula>
    </cfRule>
    <cfRule type="cellIs" dxfId="11732" priority="762" stopIfTrue="1" operator="equal">
      <formula>"Napkin Hs"</formula>
    </cfRule>
  </conditionalFormatting>
  <conditionalFormatting sqref="C91">
    <cfRule type="cellIs" dxfId="11731" priority="760" stopIfTrue="1" operator="equal">
      <formula>"Napkin Hs"</formula>
    </cfRule>
  </conditionalFormatting>
  <conditionalFormatting sqref="C91">
    <cfRule type="cellIs" dxfId="11730" priority="757" stopIfTrue="1" operator="equal">
      <formula>"Towel"</formula>
    </cfRule>
    <cfRule type="cellIs" dxfId="11729" priority="758" stopIfTrue="1" operator="equal">
      <formula>"Napkin Hs"</formula>
    </cfRule>
  </conditionalFormatting>
  <conditionalFormatting sqref="C91">
    <cfRule type="cellIs" dxfId="11728" priority="759" stopIfTrue="1" operator="equal">
      <formula>"Towel"</formula>
    </cfRule>
  </conditionalFormatting>
  <conditionalFormatting sqref="B97:C98">
    <cfRule type="cellIs" dxfId="11727" priority="755" stopIfTrue="1" operator="equal">
      <formula>"Towel"</formula>
    </cfRule>
    <cfRule type="cellIs" dxfId="11726" priority="756" stopIfTrue="1" operator="equal">
      <formula>"Napkin Hs"</formula>
    </cfRule>
  </conditionalFormatting>
  <conditionalFormatting sqref="C97:C98">
    <cfRule type="cellIs" dxfId="11725" priority="754" stopIfTrue="1" operator="equal">
      <formula>"Napkin Hs"</formula>
    </cfRule>
  </conditionalFormatting>
  <conditionalFormatting sqref="C97:C98">
    <cfRule type="cellIs" dxfId="11724" priority="751" stopIfTrue="1" operator="equal">
      <formula>"Towel"</formula>
    </cfRule>
    <cfRule type="cellIs" dxfId="11723" priority="752" stopIfTrue="1" operator="equal">
      <formula>"Napkin Hs"</formula>
    </cfRule>
  </conditionalFormatting>
  <conditionalFormatting sqref="C97:C98">
    <cfRule type="cellIs" dxfId="11722" priority="753" stopIfTrue="1" operator="equal">
      <formula>"Towel"</formula>
    </cfRule>
  </conditionalFormatting>
  <conditionalFormatting sqref="C95">
    <cfRule type="cellIs" dxfId="11721" priority="743" stopIfTrue="1" operator="equal">
      <formula>"Towel"</formula>
    </cfRule>
    <cfRule type="cellIs" dxfId="11720" priority="744" stopIfTrue="1" operator="equal">
      <formula>"Napkin Hs"</formula>
    </cfRule>
  </conditionalFormatting>
  <conditionalFormatting sqref="B95:C95">
    <cfRule type="cellIs" dxfId="11719" priority="745" stopIfTrue="1" operator="equal">
      <formula>"Towel"</formula>
    </cfRule>
    <cfRule type="cellIs" dxfId="11718" priority="746" stopIfTrue="1" operator="equal">
      <formula>"Napkin Hs"</formula>
    </cfRule>
  </conditionalFormatting>
  <conditionalFormatting sqref="C95">
    <cfRule type="cellIs" dxfId="11717" priority="741" stopIfTrue="1" operator="equal">
      <formula>"Towel"</formula>
    </cfRule>
    <cfRule type="cellIs" dxfId="11716" priority="742" stopIfTrue="1" operator="equal">
      <formula>"Napkin Hs"</formula>
    </cfRule>
  </conditionalFormatting>
  <conditionalFormatting sqref="B95:C95">
    <cfRule type="cellIs" dxfId="11715" priority="739" stopIfTrue="1" operator="equal">
      <formula>"Towel"</formula>
    </cfRule>
    <cfRule type="cellIs" dxfId="11714" priority="740" stopIfTrue="1" operator="equal">
      <formula>"Napkin Hs"</formula>
    </cfRule>
  </conditionalFormatting>
  <conditionalFormatting sqref="C95">
    <cfRule type="cellIs" dxfId="11713" priority="747" stopIfTrue="1" operator="equal">
      <formula>"Towel"</formula>
    </cfRule>
    <cfRule type="cellIs" dxfId="11712" priority="748" stopIfTrue="1" operator="equal">
      <formula>"Napkin Hs"</formula>
    </cfRule>
  </conditionalFormatting>
  <conditionalFormatting sqref="C95">
    <cfRule type="cellIs" dxfId="11711" priority="749" stopIfTrue="1" operator="equal">
      <formula>"Towel"</formula>
    </cfRule>
    <cfRule type="cellIs" dxfId="11710" priority="750" stopIfTrue="1" operator="equal">
      <formula>"Napkin Hs"</formula>
    </cfRule>
  </conditionalFormatting>
  <conditionalFormatting sqref="B95:C95">
    <cfRule type="cellIs" dxfId="11709" priority="737" stopIfTrue="1" operator="equal">
      <formula>"Towel"</formula>
    </cfRule>
    <cfRule type="cellIs" dxfId="11708" priority="738" stopIfTrue="1" operator="equal">
      <formula>"Napkin Hs"</formula>
    </cfRule>
  </conditionalFormatting>
  <conditionalFormatting sqref="C95">
    <cfRule type="cellIs" dxfId="11707" priority="736" stopIfTrue="1" operator="equal">
      <formula>"Napkin Hs"</formula>
    </cfRule>
  </conditionalFormatting>
  <conditionalFormatting sqref="C95">
    <cfRule type="cellIs" dxfId="11706" priority="733" stopIfTrue="1" operator="equal">
      <formula>"Towel"</formula>
    </cfRule>
    <cfRule type="cellIs" dxfId="11705" priority="734" stopIfTrue="1" operator="equal">
      <formula>"Napkin Hs"</formula>
    </cfRule>
  </conditionalFormatting>
  <conditionalFormatting sqref="C95">
    <cfRule type="cellIs" dxfId="11704" priority="735" stopIfTrue="1" operator="equal">
      <formula>"Towel"</formula>
    </cfRule>
  </conditionalFormatting>
  <conditionalFormatting sqref="C96">
    <cfRule type="cellIs" dxfId="11703" priority="725" stopIfTrue="1" operator="equal">
      <formula>"Towel"</formula>
    </cfRule>
    <cfRule type="cellIs" dxfId="11702" priority="726" stopIfTrue="1" operator="equal">
      <formula>"Napkin Hs"</formula>
    </cfRule>
  </conditionalFormatting>
  <conditionalFormatting sqref="B96:C96">
    <cfRule type="cellIs" dxfId="11701" priority="727" stopIfTrue="1" operator="equal">
      <formula>"Towel"</formula>
    </cfRule>
    <cfRule type="cellIs" dxfId="11700" priority="728" stopIfTrue="1" operator="equal">
      <formula>"Napkin Hs"</formula>
    </cfRule>
  </conditionalFormatting>
  <conditionalFormatting sqref="C96">
    <cfRule type="cellIs" dxfId="11699" priority="723" stopIfTrue="1" operator="equal">
      <formula>"Towel"</formula>
    </cfRule>
    <cfRule type="cellIs" dxfId="11698" priority="724" stopIfTrue="1" operator="equal">
      <formula>"Napkin Hs"</formula>
    </cfRule>
  </conditionalFormatting>
  <conditionalFormatting sqref="B96:C96">
    <cfRule type="cellIs" dxfId="11697" priority="721" stopIfTrue="1" operator="equal">
      <formula>"Towel"</formula>
    </cfRule>
    <cfRule type="cellIs" dxfId="11696" priority="722" stopIfTrue="1" operator="equal">
      <formula>"Napkin Hs"</formula>
    </cfRule>
  </conditionalFormatting>
  <conditionalFormatting sqref="C96">
    <cfRule type="cellIs" dxfId="11695" priority="729" stopIfTrue="1" operator="equal">
      <formula>"Towel"</formula>
    </cfRule>
    <cfRule type="cellIs" dxfId="11694" priority="730" stopIfTrue="1" operator="equal">
      <formula>"Napkin Hs"</formula>
    </cfRule>
  </conditionalFormatting>
  <conditionalFormatting sqref="C96">
    <cfRule type="cellIs" dxfId="11693" priority="731" stopIfTrue="1" operator="equal">
      <formula>"Towel"</formula>
    </cfRule>
    <cfRule type="cellIs" dxfId="11692" priority="732" stopIfTrue="1" operator="equal">
      <formula>"Napkin Hs"</formula>
    </cfRule>
  </conditionalFormatting>
  <conditionalFormatting sqref="B96:C96">
    <cfRule type="cellIs" dxfId="11691" priority="719" stopIfTrue="1" operator="equal">
      <formula>"Towel"</formula>
    </cfRule>
    <cfRule type="cellIs" dxfId="11690" priority="720" stopIfTrue="1" operator="equal">
      <formula>"Napkin Hs"</formula>
    </cfRule>
  </conditionalFormatting>
  <conditionalFormatting sqref="C96">
    <cfRule type="cellIs" dxfId="11689" priority="718" stopIfTrue="1" operator="equal">
      <formula>"Napkin Hs"</formula>
    </cfRule>
  </conditionalFormatting>
  <conditionalFormatting sqref="C96">
    <cfRule type="cellIs" dxfId="11688" priority="715" stopIfTrue="1" operator="equal">
      <formula>"Towel"</formula>
    </cfRule>
    <cfRule type="cellIs" dxfId="11687" priority="716" stopIfTrue="1" operator="equal">
      <formula>"Napkin Hs"</formula>
    </cfRule>
  </conditionalFormatting>
  <conditionalFormatting sqref="C96">
    <cfRule type="cellIs" dxfId="11686" priority="717" stopIfTrue="1" operator="equal">
      <formula>"Towel"</formula>
    </cfRule>
  </conditionalFormatting>
  <conditionalFormatting sqref="B99:C99">
    <cfRule type="cellIs" dxfId="11685" priority="713" stopIfTrue="1" operator="equal">
      <formula>"Towel"</formula>
    </cfRule>
    <cfRule type="cellIs" dxfId="11684" priority="714" stopIfTrue="1" operator="equal">
      <formula>"Napkin Hs"</formula>
    </cfRule>
  </conditionalFormatting>
  <conditionalFormatting sqref="C99">
    <cfRule type="cellIs" dxfId="11683" priority="712" stopIfTrue="1" operator="equal">
      <formula>"Napkin Hs"</formula>
    </cfRule>
  </conditionalFormatting>
  <conditionalFormatting sqref="C99">
    <cfRule type="cellIs" dxfId="11682" priority="709" stopIfTrue="1" operator="equal">
      <formula>"Towel"</formula>
    </cfRule>
    <cfRule type="cellIs" dxfId="11681" priority="710" stopIfTrue="1" operator="equal">
      <formula>"Napkin Hs"</formula>
    </cfRule>
  </conditionalFormatting>
  <conditionalFormatting sqref="C99">
    <cfRule type="cellIs" dxfId="11680" priority="711" stopIfTrue="1" operator="equal">
      <formula>"Towel"</formula>
    </cfRule>
  </conditionalFormatting>
  <conditionalFormatting sqref="B103:C104">
    <cfRule type="cellIs" dxfId="11679" priority="707" stopIfTrue="1" operator="equal">
      <formula>"Towel"</formula>
    </cfRule>
    <cfRule type="cellIs" dxfId="11678" priority="708" stopIfTrue="1" operator="equal">
      <formula>"Napkin Hs"</formula>
    </cfRule>
  </conditionalFormatting>
  <conditionalFormatting sqref="C103:C104">
    <cfRule type="cellIs" dxfId="11677" priority="706" stopIfTrue="1" operator="equal">
      <formula>"Napkin Hs"</formula>
    </cfRule>
  </conditionalFormatting>
  <conditionalFormatting sqref="C103:C104">
    <cfRule type="cellIs" dxfId="11676" priority="703" stopIfTrue="1" operator="equal">
      <formula>"Towel"</formula>
    </cfRule>
    <cfRule type="cellIs" dxfId="11675" priority="704" stopIfTrue="1" operator="equal">
      <formula>"Napkin Hs"</formula>
    </cfRule>
  </conditionalFormatting>
  <conditionalFormatting sqref="C103:C104">
    <cfRule type="cellIs" dxfId="11674" priority="705" stopIfTrue="1" operator="equal">
      <formula>"Towel"</formula>
    </cfRule>
  </conditionalFormatting>
  <conditionalFormatting sqref="C101">
    <cfRule type="cellIs" dxfId="11673" priority="695" stopIfTrue="1" operator="equal">
      <formula>"Towel"</formula>
    </cfRule>
    <cfRule type="cellIs" dxfId="11672" priority="696" stopIfTrue="1" operator="equal">
      <formula>"Napkin Hs"</formula>
    </cfRule>
  </conditionalFormatting>
  <conditionalFormatting sqref="B101:C101">
    <cfRule type="cellIs" dxfId="11671" priority="697" stopIfTrue="1" operator="equal">
      <formula>"Towel"</formula>
    </cfRule>
    <cfRule type="cellIs" dxfId="11670" priority="698" stopIfTrue="1" operator="equal">
      <formula>"Napkin Hs"</formula>
    </cfRule>
  </conditionalFormatting>
  <conditionalFormatting sqref="C101">
    <cfRule type="cellIs" dxfId="11669" priority="693" stopIfTrue="1" operator="equal">
      <formula>"Towel"</formula>
    </cfRule>
    <cfRule type="cellIs" dxfId="11668" priority="694" stopIfTrue="1" operator="equal">
      <formula>"Napkin Hs"</formula>
    </cfRule>
  </conditionalFormatting>
  <conditionalFormatting sqref="B101:C101">
    <cfRule type="cellIs" dxfId="11667" priority="691" stopIfTrue="1" operator="equal">
      <formula>"Towel"</formula>
    </cfRule>
    <cfRule type="cellIs" dxfId="11666" priority="692" stopIfTrue="1" operator="equal">
      <formula>"Napkin Hs"</formula>
    </cfRule>
  </conditionalFormatting>
  <conditionalFormatting sqref="C101">
    <cfRule type="cellIs" dxfId="11665" priority="699" stopIfTrue="1" operator="equal">
      <formula>"Towel"</formula>
    </cfRule>
    <cfRule type="cellIs" dxfId="11664" priority="700" stopIfTrue="1" operator="equal">
      <formula>"Napkin Hs"</formula>
    </cfRule>
  </conditionalFormatting>
  <conditionalFormatting sqref="C101">
    <cfRule type="cellIs" dxfId="11663" priority="701" stopIfTrue="1" operator="equal">
      <formula>"Towel"</formula>
    </cfRule>
    <cfRule type="cellIs" dxfId="11662" priority="702" stopIfTrue="1" operator="equal">
      <formula>"Napkin Hs"</formula>
    </cfRule>
  </conditionalFormatting>
  <conditionalFormatting sqref="B101:C101">
    <cfRule type="cellIs" dxfId="11661" priority="689" stopIfTrue="1" operator="equal">
      <formula>"Towel"</formula>
    </cfRule>
    <cfRule type="cellIs" dxfId="11660" priority="690" stopIfTrue="1" operator="equal">
      <formula>"Napkin Hs"</formula>
    </cfRule>
  </conditionalFormatting>
  <conditionalFormatting sqref="C101">
    <cfRule type="cellIs" dxfId="11659" priority="688" stopIfTrue="1" operator="equal">
      <formula>"Napkin Hs"</formula>
    </cfRule>
  </conditionalFormatting>
  <conditionalFormatting sqref="C101">
    <cfRule type="cellIs" dxfId="11658" priority="685" stopIfTrue="1" operator="equal">
      <formula>"Towel"</formula>
    </cfRule>
    <cfRule type="cellIs" dxfId="11657" priority="686" stopIfTrue="1" operator="equal">
      <formula>"Napkin Hs"</formula>
    </cfRule>
  </conditionalFormatting>
  <conditionalFormatting sqref="C101">
    <cfRule type="cellIs" dxfId="11656" priority="687" stopIfTrue="1" operator="equal">
      <formula>"Towel"</formula>
    </cfRule>
  </conditionalFormatting>
  <conditionalFormatting sqref="C102">
    <cfRule type="cellIs" dxfId="11655" priority="677" stopIfTrue="1" operator="equal">
      <formula>"Towel"</formula>
    </cfRule>
    <cfRule type="cellIs" dxfId="11654" priority="678" stopIfTrue="1" operator="equal">
      <formula>"Napkin Hs"</formula>
    </cfRule>
  </conditionalFormatting>
  <conditionalFormatting sqref="B102:C102">
    <cfRule type="cellIs" dxfId="11653" priority="679" stopIfTrue="1" operator="equal">
      <formula>"Towel"</formula>
    </cfRule>
    <cfRule type="cellIs" dxfId="11652" priority="680" stopIfTrue="1" operator="equal">
      <formula>"Napkin Hs"</formula>
    </cfRule>
  </conditionalFormatting>
  <conditionalFormatting sqref="C102">
    <cfRule type="cellIs" dxfId="11651" priority="675" stopIfTrue="1" operator="equal">
      <formula>"Towel"</formula>
    </cfRule>
    <cfRule type="cellIs" dxfId="11650" priority="676" stopIfTrue="1" operator="equal">
      <formula>"Napkin Hs"</formula>
    </cfRule>
  </conditionalFormatting>
  <conditionalFormatting sqref="B102:C102">
    <cfRule type="cellIs" dxfId="11649" priority="673" stopIfTrue="1" operator="equal">
      <formula>"Towel"</formula>
    </cfRule>
    <cfRule type="cellIs" dxfId="11648" priority="674" stopIfTrue="1" operator="equal">
      <formula>"Napkin Hs"</formula>
    </cfRule>
  </conditionalFormatting>
  <conditionalFormatting sqref="C102">
    <cfRule type="cellIs" dxfId="11647" priority="681" stopIfTrue="1" operator="equal">
      <formula>"Towel"</formula>
    </cfRule>
    <cfRule type="cellIs" dxfId="11646" priority="682" stopIfTrue="1" operator="equal">
      <formula>"Napkin Hs"</formula>
    </cfRule>
  </conditionalFormatting>
  <conditionalFormatting sqref="C102">
    <cfRule type="cellIs" dxfId="11645" priority="683" stopIfTrue="1" operator="equal">
      <formula>"Towel"</formula>
    </cfRule>
    <cfRule type="cellIs" dxfId="11644" priority="684" stopIfTrue="1" operator="equal">
      <formula>"Napkin Hs"</formula>
    </cfRule>
  </conditionalFormatting>
  <conditionalFormatting sqref="B102:C102">
    <cfRule type="cellIs" dxfId="11643" priority="671" stopIfTrue="1" operator="equal">
      <formula>"Towel"</formula>
    </cfRule>
    <cfRule type="cellIs" dxfId="11642" priority="672" stopIfTrue="1" operator="equal">
      <formula>"Napkin Hs"</formula>
    </cfRule>
  </conditionalFormatting>
  <conditionalFormatting sqref="C102">
    <cfRule type="cellIs" dxfId="11641" priority="670" stopIfTrue="1" operator="equal">
      <formula>"Napkin Hs"</formula>
    </cfRule>
  </conditionalFormatting>
  <conditionalFormatting sqref="C102">
    <cfRule type="cellIs" dxfId="11640" priority="667" stopIfTrue="1" operator="equal">
      <formula>"Towel"</formula>
    </cfRule>
    <cfRule type="cellIs" dxfId="11639" priority="668" stopIfTrue="1" operator="equal">
      <formula>"Napkin Hs"</formula>
    </cfRule>
  </conditionalFormatting>
  <conditionalFormatting sqref="C102">
    <cfRule type="cellIs" dxfId="11638" priority="669" stopIfTrue="1" operator="equal">
      <formula>"Towel"</formula>
    </cfRule>
  </conditionalFormatting>
  <conditionalFormatting sqref="B109:C109">
    <cfRule type="cellIs" dxfId="11637" priority="665" stopIfTrue="1" operator="equal">
      <formula>"Towel"</formula>
    </cfRule>
    <cfRule type="cellIs" dxfId="11636" priority="666" stopIfTrue="1" operator="equal">
      <formula>"Napkin Hs"</formula>
    </cfRule>
  </conditionalFormatting>
  <conditionalFormatting sqref="C109">
    <cfRule type="cellIs" dxfId="11635" priority="664" stopIfTrue="1" operator="equal">
      <formula>"Napkin Hs"</formula>
    </cfRule>
  </conditionalFormatting>
  <conditionalFormatting sqref="C109">
    <cfRule type="cellIs" dxfId="11634" priority="661" stopIfTrue="1" operator="equal">
      <formula>"Towel"</formula>
    </cfRule>
    <cfRule type="cellIs" dxfId="11633" priority="662" stopIfTrue="1" operator="equal">
      <formula>"Napkin Hs"</formula>
    </cfRule>
  </conditionalFormatting>
  <conditionalFormatting sqref="C109">
    <cfRule type="cellIs" dxfId="11632" priority="663" stopIfTrue="1" operator="equal">
      <formula>"Towel"</formula>
    </cfRule>
  </conditionalFormatting>
  <conditionalFormatting sqref="C106">
    <cfRule type="cellIs" dxfId="11631" priority="653" stopIfTrue="1" operator="equal">
      <formula>"Towel"</formula>
    </cfRule>
    <cfRule type="cellIs" dxfId="11630" priority="654" stopIfTrue="1" operator="equal">
      <formula>"Napkin Hs"</formula>
    </cfRule>
  </conditionalFormatting>
  <conditionalFormatting sqref="B106:C106">
    <cfRule type="cellIs" dxfId="11629" priority="655" stopIfTrue="1" operator="equal">
      <formula>"Towel"</formula>
    </cfRule>
    <cfRule type="cellIs" dxfId="11628" priority="656" stopIfTrue="1" operator="equal">
      <formula>"Napkin Hs"</formula>
    </cfRule>
  </conditionalFormatting>
  <conditionalFormatting sqref="C106">
    <cfRule type="cellIs" dxfId="11627" priority="651" stopIfTrue="1" operator="equal">
      <formula>"Towel"</formula>
    </cfRule>
    <cfRule type="cellIs" dxfId="11626" priority="652" stopIfTrue="1" operator="equal">
      <formula>"Napkin Hs"</formula>
    </cfRule>
  </conditionalFormatting>
  <conditionalFormatting sqref="B106:C106">
    <cfRule type="cellIs" dxfId="11625" priority="649" stopIfTrue="1" operator="equal">
      <formula>"Towel"</formula>
    </cfRule>
    <cfRule type="cellIs" dxfId="11624" priority="650" stopIfTrue="1" operator="equal">
      <formula>"Napkin Hs"</formula>
    </cfRule>
  </conditionalFormatting>
  <conditionalFormatting sqref="C106">
    <cfRule type="cellIs" dxfId="11623" priority="657" stopIfTrue="1" operator="equal">
      <formula>"Towel"</formula>
    </cfRule>
    <cfRule type="cellIs" dxfId="11622" priority="658" stopIfTrue="1" operator="equal">
      <formula>"Napkin Hs"</formula>
    </cfRule>
  </conditionalFormatting>
  <conditionalFormatting sqref="C106">
    <cfRule type="cellIs" dxfId="11621" priority="659" stopIfTrue="1" operator="equal">
      <formula>"Towel"</formula>
    </cfRule>
    <cfRule type="cellIs" dxfId="11620" priority="660" stopIfTrue="1" operator="equal">
      <formula>"Napkin Hs"</formula>
    </cfRule>
  </conditionalFormatting>
  <conditionalFormatting sqref="B106:C106">
    <cfRule type="cellIs" dxfId="11619" priority="647" stopIfTrue="1" operator="equal">
      <formula>"Towel"</formula>
    </cfRule>
    <cfRule type="cellIs" dxfId="11618" priority="648" stopIfTrue="1" operator="equal">
      <formula>"Napkin Hs"</formula>
    </cfRule>
  </conditionalFormatting>
  <conditionalFormatting sqref="C106">
    <cfRule type="cellIs" dxfId="11617" priority="646" stopIfTrue="1" operator="equal">
      <formula>"Napkin Hs"</formula>
    </cfRule>
  </conditionalFormatting>
  <conditionalFormatting sqref="C106">
    <cfRule type="cellIs" dxfId="11616" priority="643" stopIfTrue="1" operator="equal">
      <formula>"Towel"</formula>
    </cfRule>
    <cfRule type="cellIs" dxfId="11615" priority="644" stopIfTrue="1" operator="equal">
      <formula>"Napkin Hs"</formula>
    </cfRule>
  </conditionalFormatting>
  <conditionalFormatting sqref="C106">
    <cfRule type="cellIs" dxfId="11614" priority="645" stopIfTrue="1" operator="equal">
      <formula>"Towel"</formula>
    </cfRule>
  </conditionalFormatting>
  <conditionalFormatting sqref="C107:C108">
    <cfRule type="cellIs" dxfId="11613" priority="635" stopIfTrue="1" operator="equal">
      <formula>"Towel"</formula>
    </cfRule>
    <cfRule type="cellIs" dxfId="11612" priority="636" stopIfTrue="1" operator="equal">
      <formula>"Napkin Hs"</formula>
    </cfRule>
  </conditionalFormatting>
  <conditionalFormatting sqref="B107:C108">
    <cfRule type="cellIs" dxfId="11611" priority="637" stopIfTrue="1" operator="equal">
      <formula>"Towel"</formula>
    </cfRule>
    <cfRule type="cellIs" dxfId="11610" priority="638" stopIfTrue="1" operator="equal">
      <formula>"Napkin Hs"</formula>
    </cfRule>
  </conditionalFormatting>
  <conditionalFormatting sqref="C107:C108">
    <cfRule type="cellIs" dxfId="11609" priority="633" stopIfTrue="1" operator="equal">
      <formula>"Towel"</formula>
    </cfRule>
    <cfRule type="cellIs" dxfId="11608" priority="634" stopIfTrue="1" operator="equal">
      <formula>"Napkin Hs"</formula>
    </cfRule>
  </conditionalFormatting>
  <conditionalFormatting sqref="B107:C108">
    <cfRule type="cellIs" dxfId="11607" priority="631" stopIfTrue="1" operator="equal">
      <formula>"Towel"</formula>
    </cfRule>
    <cfRule type="cellIs" dxfId="11606" priority="632" stopIfTrue="1" operator="equal">
      <formula>"Napkin Hs"</formula>
    </cfRule>
  </conditionalFormatting>
  <conditionalFormatting sqref="C107:C108">
    <cfRule type="cellIs" dxfId="11605" priority="639" stopIfTrue="1" operator="equal">
      <formula>"Towel"</formula>
    </cfRule>
    <cfRule type="cellIs" dxfId="11604" priority="640" stopIfTrue="1" operator="equal">
      <formula>"Napkin Hs"</formula>
    </cfRule>
  </conditionalFormatting>
  <conditionalFormatting sqref="C107:C108">
    <cfRule type="cellIs" dxfId="11603" priority="641" stopIfTrue="1" operator="equal">
      <formula>"Towel"</formula>
    </cfRule>
    <cfRule type="cellIs" dxfId="11602" priority="642" stopIfTrue="1" operator="equal">
      <formula>"Napkin Hs"</formula>
    </cfRule>
  </conditionalFormatting>
  <conditionalFormatting sqref="B107:C108">
    <cfRule type="cellIs" dxfId="11601" priority="629" stopIfTrue="1" operator="equal">
      <formula>"Towel"</formula>
    </cfRule>
    <cfRule type="cellIs" dxfId="11600" priority="630" stopIfTrue="1" operator="equal">
      <formula>"Napkin Hs"</formula>
    </cfRule>
  </conditionalFormatting>
  <conditionalFormatting sqref="C107:C108">
    <cfRule type="cellIs" dxfId="11599" priority="628" stopIfTrue="1" operator="equal">
      <formula>"Napkin Hs"</formula>
    </cfRule>
  </conditionalFormatting>
  <conditionalFormatting sqref="C107:C108">
    <cfRule type="cellIs" dxfId="11598" priority="625" stopIfTrue="1" operator="equal">
      <formula>"Towel"</formula>
    </cfRule>
    <cfRule type="cellIs" dxfId="11597" priority="626" stopIfTrue="1" operator="equal">
      <formula>"Napkin Hs"</formula>
    </cfRule>
  </conditionalFormatting>
  <conditionalFormatting sqref="C107:C108">
    <cfRule type="cellIs" dxfId="11596" priority="627" stopIfTrue="1" operator="equal">
      <formula>"Towel"</formula>
    </cfRule>
  </conditionalFormatting>
  <conditionalFormatting sqref="B113:C114">
    <cfRule type="cellIs" dxfId="11595" priority="623" stopIfTrue="1" operator="equal">
      <formula>"Towel"</formula>
    </cfRule>
    <cfRule type="cellIs" dxfId="11594" priority="624" stopIfTrue="1" operator="equal">
      <formula>"Napkin Hs"</formula>
    </cfRule>
  </conditionalFormatting>
  <conditionalFormatting sqref="C113:C114">
    <cfRule type="cellIs" dxfId="11593" priority="622" stopIfTrue="1" operator="equal">
      <formula>"Napkin Hs"</formula>
    </cfRule>
  </conditionalFormatting>
  <conditionalFormatting sqref="C113:C114">
    <cfRule type="cellIs" dxfId="11592" priority="619" stopIfTrue="1" operator="equal">
      <formula>"Towel"</formula>
    </cfRule>
    <cfRule type="cellIs" dxfId="11591" priority="620" stopIfTrue="1" operator="equal">
      <formula>"Napkin Hs"</formula>
    </cfRule>
  </conditionalFormatting>
  <conditionalFormatting sqref="C113:C114">
    <cfRule type="cellIs" dxfId="11590" priority="621" stopIfTrue="1" operator="equal">
      <formula>"Towel"</formula>
    </cfRule>
  </conditionalFormatting>
  <conditionalFormatting sqref="C111:C112">
    <cfRule type="cellIs" dxfId="11589" priority="611" stopIfTrue="1" operator="equal">
      <formula>"Towel"</formula>
    </cfRule>
    <cfRule type="cellIs" dxfId="11588" priority="612" stopIfTrue="1" operator="equal">
      <formula>"Napkin Hs"</formula>
    </cfRule>
  </conditionalFormatting>
  <conditionalFormatting sqref="B111:C112">
    <cfRule type="cellIs" dxfId="11587" priority="613" stopIfTrue="1" operator="equal">
      <formula>"Towel"</formula>
    </cfRule>
    <cfRule type="cellIs" dxfId="11586" priority="614" stopIfTrue="1" operator="equal">
      <formula>"Napkin Hs"</formula>
    </cfRule>
  </conditionalFormatting>
  <conditionalFormatting sqref="C111:C112">
    <cfRule type="cellIs" dxfId="11585" priority="609" stopIfTrue="1" operator="equal">
      <formula>"Towel"</formula>
    </cfRule>
    <cfRule type="cellIs" dxfId="11584" priority="610" stopIfTrue="1" operator="equal">
      <formula>"Napkin Hs"</formula>
    </cfRule>
  </conditionalFormatting>
  <conditionalFormatting sqref="B111:C112">
    <cfRule type="cellIs" dxfId="11583" priority="607" stopIfTrue="1" operator="equal">
      <formula>"Towel"</formula>
    </cfRule>
    <cfRule type="cellIs" dxfId="11582" priority="608" stopIfTrue="1" operator="equal">
      <formula>"Napkin Hs"</formula>
    </cfRule>
  </conditionalFormatting>
  <conditionalFormatting sqref="C111:C112">
    <cfRule type="cellIs" dxfId="11581" priority="615" stopIfTrue="1" operator="equal">
      <formula>"Towel"</formula>
    </cfRule>
    <cfRule type="cellIs" dxfId="11580" priority="616" stopIfTrue="1" operator="equal">
      <formula>"Napkin Hs"</formula>
    </cfRule>
  </conditionalFormatting>
  <conditionalFormatting sqref="C111:C112">
    <cfRule type="cellIs" dxfId="11579" priority="617" stopIfTrue="1" operator="equal">
      <formula>"Towel"</formula>
    </cfRule>
    <cfRule type="cellIs" dxfId="11578" priority="618" stopIfTrue="1" operator="equal">
      <formula>"Napkin Hs"</formula>
    </cfRule>
  </conditionalFormatting>
  <conditionalFormatting sqref="B111:C112">
    <cfRule type="cellIs" dxfId="11577" priority="605" stopIfTrue="1" operator="equal">
      <formula>"Towel"</formula>
    </cfRule>
    <cfRule type="cellIs" dxfId="11576" priority="606" stopIfTrue="1" operator="equal">
      <formula>"Napkin Hs"</formula>
    </cfRule>
  </conditionalFormatting>
  <conditionalFormatting sqref="C111:C112">
    <cfRule type="cellIs" dxfId="11575" priority="604" stopIfTrue="1" operator="equal">
      <formula>"Napkin Hs"</formula>
    </cfRule>
  </conditionalFormatting>
  <conditionalFormatting sqref="C111:C112">
    <cfRule type="cellIs" dxfId="11574" priority="601" stopIfTrue="1" operator="equal">
      <formula>"Towel"</formula>
    </cfRule>
    <cfRule type="cellIs" dxfId="11573" priority="602" stopIfTrue="1" operator="equal">
      <formula>"Napkin Hs"</formula>
    </cfRule>
  </conditionalFormatting>
  <conditionalFormatting sqref="C111:C112">
    <cfRule type="cellIs" dxfId="11572" priority="603" stopIfTrue="1" operator="equal">
      <formula>"Towel"</formula>
    </cfRule>
  </conditionalFormatting>
  <conditionalFormatting sqref="B118:C119">
    <cfRule type="cellIs" dxfId="11571" priority="599" stopIfTrue="1" operator="equal">
      <formula>"Towel"</formula>
    </cfRule>
    <cfRule type="cellIs" dxfId="11570" priority="600" stopIfTrue="1" operator="equal">
      <formula>"Napkin Hs"</formula>
    </cfRule>
  </conditionalFormatting>
  <conditionalFormatting sqref="C118:C119">
    <cfRule type="cellIs" dxfId="11569" priority="598" stopIfTrue="1" operator="equal">
      <formula>"Napkin Hs"</formula>
    </cfRule>
  </conditionalFormatting>
  <conditionalFormatting sqref="C118:C119">
    <cfRule type="cellIs" dxfId="11568" priority="595" stopIfTrue="1" operator="equal">
      <formula>"Towel"</formula>
    </cfRule>
    <cfRule type="cellIs" dxfId="11567" priority="596" stopIfTrue="1" operator="equal">
      <formula>"Napkin Hs"</formula>
    </cfRule>
  </conditionalFormatting>
  <conditionalFormatting sqref="C118:C119">
    <cfRule type="cellIs" dxfId="11566" priority="597" stopIfTrue="1" operator="equal">
      <formula>"Towel"</formula>
    </cfRule>
  </conditionalFormatting>
  <conditionalFormatting sqref="C117">
    <cfRule type="cellIs" dxfId="11565" priority="587" stopIfTrue="1" operator="equal">
      <formula>"Towel"</formula>
    </cfRule>
    <cfRule type="cellIs" dxfId="11564" priority="588" stopIfTrue="1" operator="equal">
      <formula>"Napkin Hs"</formula>
    </cfRule>
  </conditionalFormatting>
  <conditionalFormatting sqref="B117:C117">
    <cfRule type="cellIs" dxfId="11563" priority="589" stopIfTrue="1" operator="equal">
      <formula>"Towel"</formula>
    </cfRule>
    <cfRule type="cellIs" dxfId="11562" priority="590" stopIfTrue="1" operator="equal">
      <formula>"Napkin Hs"</formula>
    </cfRule>
  </conditionalFormatting>
  <conditionalFormatting sqref="C117">
    <cfRule type="cellIs" dxfId="11561" priority="585" stopIfTrue="1" operator="equal">
      <formula>"Towel"</formula>
    </cfRule>
    <cfRule type="cellIs" dxfId="11560" priority="586" stopIfTrue="1" operator="equal">
      <formula>"Napkin Hs"</formula>
    </cfRule>
  </conditionalFormatting>
  <conditionalFormatting sqref="B117:C117">
    <cfRule type="cellIs" dxfId="11559" priority="583" stopIfTrue="1" operator="equal">
      <formula>"Towel"</formula>
    </cfRule>
    <cfRule type="cellIs" dxfId="11558" priority="584" stopIfTrue="1" operator="equal">
      <formula>"Napkin Hs"</formula>
    </cfRule>
  </conditionalFormatting>
  <conditionalFormatting sqref="C117">
    <cfRule type="cellIs" dxfId="11557" priority="591" stopIfTrue="1" operator="equal">
      <formula>"Towel"</formula>
    </cfRule>
    <cfRule type="cellIs" dxfId="11556" priority="592" stopIfTrue="1" operator="equal">
      <formula>"Napkin Hs"</formula>
    </cfRule>
  </conditionalFormatting>
  <conditionalFormatting sqref="C117">
    <cfRule type="cellIs" dxfId="11555" priority="593" stopIfTrue="1" operator="equal">
      <formula>"Towel"</formula>
    </cfRule>
    <cfRule type="cellIs" dxfId="11554" priority="594" stopIfTrue="1" operator="equal">
      <formula>"Napkin Hs"</formula>
    </cfRule>
  </conditionalFormatting>
  <conditionalFormatting sqref="B117:C117">
    <cfRule type="cellIs" dxfId="11553" priority="581" stopIfTrue="1" operator="equal">
      <formula>"Towel"</formula>
    </cfRule>
    <cfRule type="cellIs" dxfId="11552" priority="582" stopIfTrue="1" operator="equal">
      <formula>"Napkin Hs"</formula>
    </cfRule>
  </conditionalFormatting>
  <conditionalFormatting sqref="C117">
    <cfRule type="cellIs" dxfId="11551" priority="580" stopIfTrue="1" operator="equal">
      <formula>"Napkin Hs"</formula>
    </cfRule>
  </conditionalFormatting>
  <conditionalFormatting sqref="C117">
    <cfRule type="cellIs" dxfId="11550" priority="577" stopIfTrue="1" operator="equal">
      <formula>"Towel"</formula>
    </cfRule>
    <cfRule type="cellIs" dxfId="11549" priority="578" stopIfTrue="1" operator="equal">
      <formula>"Napkin Hs"</formula>
    </cfRule>
  </conditionalFormatting>
  <conditionalFormatting sqref="C117">
    <cfRule type="cellIs" dxfId="11548" priority="579" stopIfTrue="1" operator="equal">
      <formula>"Towel"</formula>
    </cfRule>
  </conditionalFormatting>
  <conditionalFormatting sqref="C116">
    <cfRule type="cellIs" dxfId="11547" priority="569" stopIfTrue="1" operator="equal">
      <formula>"Towel"</formula>
    </cfRule>
    <cfRule type="cellIs" dxfId="11546" priority="570" stopIfTrue="1" operator="equal">
      <formula>"Napkin Hs"</formula>
    </cfRule>
  </conditionalFormatting>
  <conditionalFormatting sqref="B116:C116">
    <cfRule type="cellIs" dxfId="11545" priority="571" stopIfTrue="1" operator="equal">
      <formula>"Towel"</formula>
    </cfRule>
    <cfRule type="cellIs" dxfId="11544" priority="572" stopIfTrue="1" operator="equal">
      <formula>"Napkin Hs"</formula>
    </cfRule>
  </conditionalFormatting>
  <conditionalFormatting sqref="C116">
    <cfRule type="cellIs" dxfId="11543" priority="567" stopIfTrue="1" operator="equal">
      <formula>"Towel"</formula>
    </cfRule>
    <cfRule type="cellIs" dxfId="11542" priority="568" stopIfTrue="1" operator="equal">
      <formula>"Napkin Hs"</formula>
    </cfRule>
  </conditionalFormatting>
  <conditionalFormatting sqref="B116:C116">
    <cfRule type="cellIs" dxfId="11541" priority="565" stopIfTrue="1" operator="equal">
      <formula>"Towel"</formula>
    </cfRule>
    <cfRule type="cellIs" dxfId="11540" priority="566" stopIfTrue="1" operator="equal">
      <formula>"Napkin Hs"</formula>
    </cfRule>
  </conditionalFormatting>
  <conditionalFormatting sqref="C116">
    <cfRule type="cellIs" dxfId="11539" priority="573" stopIfTrue="1" operator="equal">
      <formula>"Towel"</formula>
    </cfRule>
    <cfRule type="cellIs" dxfId="11538" priority="574" stopIfTrue="1" operator="equal">
      <formula>"Napkin Hs"</formula>
    </cfRule>
  </conditionalFormatting>
  <conditionalFormatting sqref="C116">
    <cfRule type="cellIs" dxfId="11537" priority="575" stopIfTrue="1" operator="equal">
      <formula>"Towel"</formula>
    </cfRule>
    <cfRule type="cellIs" dxfId="11536" priority="576" stopIfTrue="1" operator="equal">
      <formula>"Napkin Hs"</formula>
    </cfRule>
  </conditionalFormatting>
  <conditionalFormatting sqref="B116:C116">
    <cfRule type="cellIs" dxfId="11535" priority="563" stopIfTrue="1" operator="equal">
      <formula>"Towel"</formula>
    </cfRule>
    <cfRule type="cellIs" dxfId="11534" priority="564" stopIfTrue="1" operator="equal">
      <formula>"Napkin Hs"</formula>
    </cfRule>
  </conditionalFormatting>
  <conditionalFormatting sqref="C116">
    <cfRule type="cellIs" dxfId="11533" priority="562" stopIfTrue="1" operator="equal">
      <formula>"Napkin Hs"</formula>
    </cfRule>
  </conditionalFormatting>
  <conditionalFormatting sqref="C116">
    <cfRule type="cellIs" dxfId="11532" priority="559" stopIfTrue="1" operator="equal">
      <formula>"Towel"</formula>
    </cfRule>
    <cfRule type="cellIs" dxfId="11531" priority="560" stopIfTrue="1" operator="equal">
      <formula>"Napkin Hs"</formula>
    </cfRule>
  </conditionalFormatting>
  <conditionalFormatting sqref="C116">
    <cfRule type="cellIs" dxfId="11530" priority="561" stopIfTrue="1" operator="equal">
      <formula>"Towel"</formula>
    </cfRule>
  </conditionalFormatting>
  <conditionalFormatting sqref="B123:C125">
    <cfRule type="cellIs" dxfId="11529" priority="557" stopIfTrue="1" operator="equal">
      <formula>"Towel"</formula>
    </cfRule>
    <cfRule type="cellIs" dxfId="11528" priority="558" stopIfTrue="1" operator="equal">
      <formula>"Napkin Hs"</formula>
    </cfRule>
  </conditionalFormatting>
  <conditionalFormatting sqref="C123:C125">
    <cfRule type="cellIs" dxfId="11527" priority="556" stopIfTrue="1" operator="equal">
      <formula>"Napkin Hs"</formula>
    </cfRule>
  </conditionalFormatting>
  <conditionalFormatting sqref="C123:C125">
    <cfRule type="cellIs" dxfId="11526" priority="553" stopIfTrue="1" operator="equal">
      <formula>"Towel"</formula>
    </cfRule>
    <cfRule type="cellIs" dxfId="11525" priority="554" stopIfTrue="1" operator="equal">
      <formula>"Napkin Hs"</formula>
    </cfRule>
  </conditionalFormatting>
  <conditionalFormatting sqref="C123:C125">
    <cfRule type="cellIs" dxfId="11524" priority="555" stopIfTrue="1" operator="equal">
      <formula>"Towel"</formula>
    </cfRule>
  </conditionalFormatting>
  <conditionalFormatting sqref="B122:C122">
    <cfRule type="cellIs" dxfId="11523" priority="551" stopIfTrue="1" operator="equal">
      <formula>"Towel"</formula>
    </cfRule>
    <cfRule type="cellIs" dxfId="11522" priority="552" stopIfTrue="1" operator="equal">
      <formula>"Napkin Hs"</formula>
    </cfRule>
  </conditionalFormatting>
  <conditionalFormatting sqref="C122">
    <cfRule type="cellIs" dxfId="11521" priority="550" stopIfTrue="1" operator="equal">
      <formula>"Napkin Hs"</formula>
    </cfRule>
  </conditionalFormatting>
  <conditionalFormatting sqref="C122">
    <cfRule type="cellIs" dxfId="11520" priority="547" stopIfTrue="1" operator="equal">
      <formula>"Towel"</formula>
    </cfRule>
    <cfRule type="cellIs" dxfId="11519" priority="548" stopIfTrue="1" operator="equal">
      <formula>"Napkin Hs"</formula>
    </cfRule>
  </conditionalFormatting>
  <conditionalFormatting sqref="C122">
    <cfRule type="cellIs" dxfId="11518" priority="549" stopIfTrue="1" operator="equal">
      <formula>"Towel"</formula>
    </cfRule>
  </conditionalFormatting>
  <conditionalFormatting sqref="C121">
    <cfRule type="cellIs" dxfId="11517" priority="539" stopIfTrue="1" operator="equal">
      <formula>"Towel"</formula>
    </cfRule>
    <cfRule type="cellIs" dxfId="11516" priority="540" stopIfTrue="1" operator="equal">
      <formula>"Napkin Hs"</formula>
    </cfRule>
  </conditionalFormatting>
  <conditionalFormatting sqref="B121:C121">
    <cfRule type="cellIs" dxfId="11515" priority="541" stopIfTrue="1" operator="equal">
      <formula>"Towel"</formula>
    </cfRule>
    <cfRule type="cellIs" dxfId="11514" priority="542" stopIfTrue="1" operator="equal">
      <formula>"Napkin Hs"</formula>
    </cfRule>
  </conditionalFormatting>
  <conditionalFormatting sqref="C121">
    <cfRule type="cellIs" dxfId="11513" priority="537" stopIfTrue="1" operator="equal">
      <formula>"Towel"</formula>
    </cfRule>
    <cfRule type="cellIs" dxfId="11512" priority="538" stopIfTrue="1" operator="equal">
      <formula>"Napkin Hs"</formula>
    </cfRule>
  </conditionalFormatting>
  <conditionalFormatting sqref="B121:C121">
    <cfRule type="cellIs" dxfId="11511" priority="535" stopIfTrue="1" operator="equal">
      <formula>"Towel"</formula>
    </cfRule>
    <cfRule type="cellIs" dxfId="11510" priority="536" stopIfTrue="1" operator="equal">
      <formula>"Napkin Hs"</formula>
    </cfRule>
  </conditionalFormatting>
  <conditionalFormatting sqref="C121">
    <cfRule type="cellIs" dxfId="11509" priority="543" stopIfTrue="1" operator="equal">
      <formula>"Towel"</formula>
    </cfRule>
    <cfRule type="cellIs" dxfId="11508" priority="544" stopIfTrue="1" operator="equal">
      <formula>"Napkin Hs"</formula>
    </cfRule>
  </conditionalFormatting>
  <conditionalFormatting sqref="C121">
    <cfRule type="cellIs" dxfId="11507" priority="545" stopIfTrue="1" operator="equal">
      <formula>"Towel"</formula>
    </cfRule>
    <cfRule type="cellIs" dxfId="11506" priority="546" stopIfTrue="1" operator="equal">
      <formula>"Napkin Hs"</formula>
    </cfRule>
  </conditionalFormatting>
  <conditionalFormatting sqref="B121:C121">
    <cfRule type="cellIs" dxfId="11505" priority="533" stopIfTrue="1" operator="equal">
      <formula>"Towel"</formula>
    </cfRule>
    <cfRule type="cellIs" dxfId="11504" priority="534" stopIfTrue="1" operator="equal">
      <formula>"Napkin Hs"</formula>
    </cfRule>
  </conditionalFormatting>
  <conditionalFormatting sqref="C121">
    <cfRule type="cellIs" dxfId="11503" priority="532" stopIfTrue="1" operator="equal">
      <formula>"Napkin Hs"</formula>
    </cfRule>
  </conditionalFormatting>
  <conditionalFormatting sqref="C121">
    <cfRule type="cellIs" dxfId="11502" priority="529" stopIfTrue="1" operator="equal">
      <formula>"Towel"</formula>
    </cfRule>
    <cfRule type="cellIs" dxfId="11501" priority="530" stopIfTrue="1" operator="equal">
      <formula>"Napkin Hs"</formula>
    </cfRule>
  </conditionalFormatting>
  <conditionalFormatting sqref="C121">
    <cfRule type="cellIs" dxfId="11500" priority="531" stopIfTrue="1" operator="equal">
      <formula>"Towel"</formula>
    </cfRule>
  </conditionalFormatting>
  <conditionalFormatting sqref="B129:C131">
    <cfRule type="cellIs" dxfId="11499" priority="527" stopIfTrue="1" operator="equal">
      <formula>"Towel"</formula>
    </cfRule>
    <cfRule type="cellIs" dxfId="11498" priority="528" stopIfTrue="1" operator="equal">
      <formula>"Napkin Hs"</formula>
    </cfRule>
  </conditionalFormatting>
  <conditionalFormatting sqref="C129:C131">
    <cfRule type="cellIs" dxfId="11497" priority="526" stopIfTrue="1" operator="equal">
      <formula>"Napkin Hs"</formula>
    </cfRule>
  </conditionalFormatting>
  <conditionalFormatting sqref="C129:C131">
    <cfRule type="cellIs" dxfId="11496" priority="523" stopIfTrue="1" operator="equal">
      <formula>"Towel"</formula>
    </cfRule>
    <cfRule type="cellIs" dxfId="11495" priority="524" stopIfTrue="1" operator="equal">
      <formula>"Napkin Hs"</formula>
    </cfRule>
  </conditionalFormatting>
  <conditionalFormatting sqref="C129:C131">
    <cfRule type="cellIs" dxfId="11494" priority="525" stopIfTrue="1" operator="equal">
      <formula>"Towel"</formula>
    </cfRule>
  </conditionalFormatting>
  <conditionalFormatting sqref="B129:C129">
    <cfRule type="cellIs" dxfId="11493" priority="521" stopIfTrue="1" operator="equal">
      <formula>"Towel"</formula>
    </cfRule>
    <cfRule type="cellIs" dxfId="11492" priority="522" stopIfTrue="1" operator="equal">
      <formula>"Napkin Hs"</formula>
    </cfRule>
  </conditionalFormatting>
  <conditionalFormatting sqref="C129">
    <cfRule type="cellIs" dxfId="11491" priority="520" stopIfTrue="1" operator="equal">
      <formula>"Napkin Hs"</formula>
    </cfRule>
  </conditionalFormatting>
  <conditionalFormatting sqref="C129">
    <cfRule type="cellIs" dxfId="11490" priority="517" stopIfTrue="1" operator="equal">
      <formula>"Towel"</formula>
    </cfRule>
    <cfRule type="cellIs" dxfId="11489" priority="518" stopIfTrue="1" operator="equal">
      <formula>"Napkin Hs"</formula>
    </cfRule>
  </conditionalFormatting>
  <conditionalFormatting sqref="C129">
    <cfRule type="cellIs" dxfId="11488" priority="519" stopIfTrue="1" operator="equal">
      <formula>"Towel"</formula>
    </cfRule>
  </conditionalFormatting>
  <conditionalFormatting sqref="C128">
    <cfRule type="cellIs" dxfId="11487" priority="509" stopIfTrue="1" operator="equal">
      <formula>"Towel"</formula>
    </cfRule>
    <cfRule type="cellIs" dxfId="11486" priority="510" stopIfTrue="1" operator="equal">
      <formula>"Napkin Hs"</formula>
    </cfRule>
  </conditionalFormatting>
  <conditionalFormatting sqref="B128:C128">
    <cfRule type="cellIs" dxfId="11485" priority="511" stopIfTrue="1" operator="equal">
      <formula>"Towel"</formula>
    </cfRule>
    <cfRule type="cellIs" dxfId="11484" priority="512" stopIfTrue="1" operator="equal">
      <formula>"Napkin Hs"</formula>
    </cfRule>
  </conditionalFormatting>
  <conditionalFormatting sqref="C128">
    <cfRule type="cellIs" dxfId="11483" priority="507" stopIfTrue="1" operator="equal">
      <formula>"Towel"</formula>
    </cfRule>
    <cfRule type="cellIs" dxfId="11482" priority="508" stopIfTrue="1" operator="equal">
      <formula>"Napkin Hs"</formula>
    </cfRule>
  </conditionalFormatting>
  <conditionalFormatting sqref="B128:C128">
    <cfRule type="cellIs" dxfId="11481" priority="505" stopIfTrue="1" operator="equal">
      <formula>"Towel"</formula>
    </cfRule>
    <cfRule type="cellIs" dxfId="11480" priority="506" stopIfTrue="1" operator="equal">
      <formula>"Napkin Hs"</formula>
    </cfRule>
  </conditionalFormatting>
  <conditionalFormatting sqref="C128">
    <cfRule type="cellIs" dxfId="11479" priority="513" stopIfTrue="1" operator="equal">
      <formula>"Towel"</formula>
    </cfRule>
    <cfRule type="cellIs" dxfId="11478" priority="514" stopIfTrue="1" operator="equal">
      <formula>"Napkin Hs"</formula>
    </cfRule>
  </conditionalFormatting>
  <conditionalFormatting sqref="C128">
    <cfRule type="cellIs" dxfId="11477" priority="515" stopIfTrue="1" operator="equal">
      <formula>"Towel"</formula>
    </cfRule>
    <cfRule type="cellIs" dxfId="11476" priority="516" stopIfTrue="1" operator="equal">
      <formula>"Napkin Hs"</formula>
    </cfRule>
  </conditionalFormatting>
  <conditionalFormatting sqref="B128:C128">
    <cfRule type="cellIs" dxfId="11475" priority="503" stopIfTrue="1" operator="equal">
      <formula>"Towel"</formula>
    </cfRule>
    <cfRule type="cellIs" dxfId="11474" priority="504" stopIfTrue="1" operator="equal">
      <formula>"Napkin Hs"</formula>
    </cfRule>
  </conditionalFormatting>
  <conditionalFormatting sqref="C128">
    <cfRule type="cellIs" dxfId="11473" priority="502" stopIfTrue="1" operator="equal">
      <formula>"Napkin Hs"</formula>
    </cfRule>
  </conditionalFormatting>
  <conditionalFormatting sqref="C128">
    <cfRule type="cellIs" dxfId="11472" priority="499" stopIfTrue="1" operator="equal">
      <formula>"Towel"</formula>
    </cfRule>
    <cfRule type="cellIs" dxfId="11471" priority="500" stopIfTrue="1" operator="equal">
      <formula>"Napkin Hs"</formula>
    </cfRule>
  </conditionalFormatting>
  <conditionalFormatting sqref="C128">
    <cfRule type="cellIs" dxfId="11470" priority="501" stopIfTrue="1" operator="equal">
      <formula>"Towel"</formula>
    </cfRule>
  </conditionalFormatting>
  <conditionalFormatting sqref="B128:C128">
    <cfRule type="cellIs" dxfId="11469" priority="497" stopIfTrue="1" operator="equal">
      <formula>"Towel"</formula>
    </cfRule>
    <cfRule type="cellIs" dxfId="11468" priority="498" stopIfTrue="1" operator="equal">
      <formula>"Napkin Hs"</formula>
    </cfRule>
  </conditionalFormatting>
  <conditionalFormatting sqref="C128">
    <cfRule type="cellIs" dxfId="11467" priority="496" stopIfTrue="1" operator="equal">
      <formula>"Napkin Hs"</formula>
    </cfRule>
  </conditionalFormatting>
  <conditionalFormatting sqref="C128">
    <cfRule type="cellIs" dxfId="11466" priority="493" stopIfTrue="1" operator="equal">
      <formula>"Towel"</formula>
    </cfRule>
    <cfRule type="cellIs" dxfId="11465" priority="494" stopIfTrue="1" operator="equal">
      <formula>"Napkin Hs"</formula>
    </cfRule>
  </conditionalFormatting>
  <conditionalFormatting sqref="C128">
    <cfRule type="cellIs" dxfId="11464" priority="495" stopIfTrue="1" operator="equal">
      <formula>"Towel"</formula>
    </cfRule>
  </conditionalFormatting>
  <conditionalFormatting sqref="C127">
    <cfRule type="cellIs" dxfId="11463" priority="485" stopIfTrue="1" operator="equal">
      <formula>"Towel"</formula>
    </cfRule>
    <cfRule type="cellIs" dxfId="11462" priority="486" stopIfTrue="1" operator="equal">
      <formula>"Napkin Hs"</formula>
    </cfRule>
  </conditionalFormatting>
  <conditionalFormatting sqref="B127:C127">
    <cfRule type="cellIs" dxfId="11461" priority="487" stopIfTrue="1" operator="equal">
      <formula>"Towel"</formula>
    </cfRule>
    <cfRule type="cellIs" dxfId="11460" priority="488" stopIfTrue="1" operator="equal">
      <formula>"Napkin Hs"</formula>
    </cfRule>
  </conditionalFormatting>
  <conditionalFormatting sqref="C127">
    <cfRule type="cellIs" dxfId="11459" priority="483" stopIfTrue="1" operator="equal">
      <formula>"Towel"</formula>
    </cfRule>
    <cfRule type="cellIs" dxfId="11458" priority="484" stopIfTrue="1" operator="equal">
      <formula>"Napkin Hs"</formula>
    </cfRule>
  </conditionalFormatting>
  <conditionalFormatting sqref="B127:C127">
    <cfRule type="cellIs" dxfId="11457" priority="481" stopIfTrue="1" operator="equal">
      <formula>"Towel"</formula>
    </cfRule>
    <cfRule type="cellIs" dxfId="11456" priority="482" stopIfTrue="1" operator="equal">
      <formula>"Napkin Hs"</formula>
    </cfRule>
  </conditionalFormatting>
  <conditionalFormatting sqref="C127">
    <cfRule type="cellIs" dxfId="11455" priority="489" stopIfTrue="1" operator="equal">
      <formula>"Towel"</formula>
    </cfRule>
    <cfRule type="cellIs" dxfId="11454" priority="490" stopIfTrue="1" operator="equal">
      <formula>"Napkin Hs"</formula>
    </cfRule>
  </conditionalFormatting>
  <conditionalFormatting sqref="C127">
    <cfRule type="cellIs" dxfId="11453" priority="491" stopIfTrue="1" operator="equal">
      <formula>"Towel"</formula>
    </cfRule>
    <cfRule type="cellIs" dxfId="11452" priority="492" stopIfTrue="1" operator="equal">
      <formula>"Napkin Hs"</formula>
    </cfRule>
  </conditionalFormatting>
  <conditionalFormatting sqref="B127:C127">
    <cfRule type="cellIs" dxfId="11451" priority="479" stopIfTrue="1" operator="equal">
      <formula>"Towel"</formula>
    </cfRule>
    <cfRule type="cellIs" dxfId="11450" priority="480" stopIfTrue="1" operator="equal">
      <formula>"Napkin Hs"</formula>
    </cfRule>
  </conditionalFormatting>
  <conditionalFormatting sqref="C127">
    <cfRule type="cellIs" dxfId="11449" priority="478" stopIfTrue="1" operator="equal">
      <formula>"Napkin Hs"</formula>
    </cfRule>
  </conditionalFormatting>
  <conditionalFormatting sqref="C127">
    <cfRule type="cellIs" dxfId="11448" priority="475" stopIfTrue="1" operator="equal">
      <formula>"Towel"</formula>
    </cfRule>
    <cfRule type="cellIs" dxfId="11447" priority="476" stopIfTrue="1" operator="equal">
      <formula>"Napkin Hs"</formula>
    </cfRule>
  </conditionalFormatting>
  <conditionalFormatting sqref="C127">
    <cfRule type="cellIs" dxfId="11446" priority="477" stopIfTrue="1" operator="equal">
      <formula>"Towel"</formula>
    </cfRule>
  </conditionalFormatting>
  <conditionalFormatting sqref="C132:C133">
    <cfRule type="cellIs" dxfId="11445" priority="473" stopIfTrue="1" operator="equal">
      <formula>"Towel"</formula>
    </cfRule>
    <cfRule type="cellIs" dxfId="11444" priority="474" stopIfTrue="1" operator="equal">
      <formula>"Napkin Hs"</formula>
    </cfRule>
  </conditionalFormatting>
  <conditionalFormatting sqref="C132:C133">
    <cfRule type="cellIs" dxfId="11443" priority="465" stopIfTrue="1" operator="equal">
      <formula>"Towel"</formula>
    </cfRule>
    <cfRule type="cellIs" dxfId="11442" priority="466" stopIfTrue="1" operator="equal">
      <formula>"Napkin Hs"</formula>
    </cfRule>
  </conditionalFormatting>
  <conditionalFormatting sqref="C132:C133">
    <cfRule type="cellIs" dxfId="11441" priority="463" stopIfTrue="1" operator="equal">
      <formula>"Towel"</formula>
    </cfRule>
    <cfRule type="cellIs" dxfId="11440" priority="464" stopIfTrue="1" operator="equal">
      <formula>"Napkin Hs"</formula>
    </cfRule>
  </conditionalFormatting>
  <conditionalFormatting sqref="C132:C133">
    <cfRule type="cellIs" dxfId="11439" priority="461" stopIfTrue="1" operator="equal">
      <formula>"Towel"</formula>
    </cfRule>
    <cfRule type="cellIs" dxfId="11438" priority="462" stopIfTrue="1" operator="equal">
      <formula>"Napkin Hs"</formula>
    </cfRule>
  </conditionalFormatting>
  <conditionalFormatting sqref="C132:C133">
    <cfRule type="cellIs" dxfId="11437" priority="455" stopIfTrue="1" operator="equal">
      <formula>"Towel"</formula>
    </cfRule>
    <cfRule type="cellIs" dxfId="11436" priority="456" stopIfTrue="1" operator="equal">
      <formula>"Napkin Hs"</formula>
    </cfRule>
  </conditionalFormatting>
  <conditionalFormatting sqref="C132:C133">
    <cfRule type="cellIs" dxfId="11435" priority="457" stopIfTrue="1" operator="equal">
      <formula>"Towel"</formula>
    </cfRule>
    <cfRule type="cellIs" dxfId="11434" priority="458" stopIfTrue="1" operator="equal">
      <formula>"Napkin Hs"</formula>
    </cfRule>
  </conditionalFormatting>
  <conditionalFormatting sqref="C132:C133">
    <cfRule type="cellIs" dxfId="11433" priority="459" stopIfTrue="1" operator="equal">
      <formula>"Towel"</formula>
    </cfRule>
    <cfRule type="cellIs" dxfId="11432" priority="460" stopIfTrue="1" operator="equal">
      <formula>"Napkin Hs"</formula>
    </cfRule>
  </conditionalFormatting>
  <conditionalFormatting sqref="C132:C133">
    <cfRule type="cellIs" dxfId="11431" priority="471" stopIfTrue="1" operator="equal">
      <formula>"Towel"</formula>
    </cfRule>
    <cfRule type="cellIs" dxfId="11430" priority="472" stopIfTrue="1" operator="equal">
      <formula>"Napkin Hs"</formula>
    </cfRule>
  </conditionalFormatting>
  <conditionalFormatting sqref="C132:C133">
    <cfRule type="cellIs" dxfId="11429" priority="469" stopIfTrue="1" operator="equal">
      <formula>"Towel"</formula>
    </cfRule>
    <cfRule type="cellIs" dxfId="11428" priority="470" stopIfTrue="1" operator="equal">
      <formula>"Napkin Hs"</formula>
    </cfRule>
  </conditionalFormatting>
  <conditionalFormatting sqref="C132:C133">
    <cfRule type="cellIs" dxfId="11427" priority="467" stopIfTrue="1" operator="equal">
      <formula>"Towel"</formula>
    </cfRule>
    <cfRule type="cellIs" dxfId="11426" priority="468" stopIfTrue="1" operator="equal">
      <formula>"Napkin Hs"</formula>
    </cfRule>
  </conditionalFormatting>
  <conditionalFormatting sqref="B132:B133">
    <cfRule type="cellIs" dxfId="11425" priority="447" stopIfTrue="1" operator="equal">
      <formula>"Towel"</formula>
    </cfRule>
    <cfRule type="cellIs" dxfId="11424" priority="448" stopIfTrue="1" operator="equal">
      <formula>"Napkin Hs"</formula>
    </cfRule>
  </conditionalFormatting>
  <conditionalFormatting sqref="B132:B133">
    <cfRule type="cellIs" dxfId="11423" priority="445" stopIfTrue="1" operator="equal">
      <formula>"Towel"</formula>
    </cfRule>
    <cfRule type="cellIs" dxfId="11422" priority="446" stopIfTrue="1" operator="equal">
      <formula>"Napkin Hs"</formula>
    </cfRule>
  </conditionalFormatting>
  <conditionalFormatting sqref="B132:B133">
    <cfRule type="cellIs" dxfId="11421" priority="443" stopIfTrue="1" operator="equal">
      <formula>"Towel"</formula>
    </cfRule>
    <cfRule type="cellIs" dxfId="11420" priority="444" stopIfTrue="1" operator="equal">
      <formula>"Napkin Hs"</formula>
    </cfRule>
  </conditionalFormatting>
  <conditionalFormatting sqref="C132:C133">
    <cfRule type="cellIs" dxfId="11419" priority="453" stopIfTrue="1" operator="equal">
      <formula>"Towel"</formula>
    </cfRule>
    <cfRule type="cellIs" dxfId="11418" priority="454" stopIfTrue="1" operator="equal">
      <formula>"Napkin Hs"</formula>
    </cfRule>
  </conditionalFormatting>
  <conditionalFormatting sqref="C132:C133">
    <cfRule type="cellIs" dxfId="11417" priority="451" stopIfTrue="1" operator="equal">
      <formula>"Towel"</formula>
    </cfRule>
    <cfRule type="cellIs" dxfId="11416" priority="452" stopIfTrue="1" operator="equal">
      <formula>"Napkin Hs"</formula>
    </cfRule>
  </conditionalFormatting>
  <conditionalFormatting sqref="B132:B133">
    <cfRule type="cellIs" dxfId="11415" priority="449" stopIfTrue="1" operator="equal">
      <formula>"Towel"</formula>
    </cfRule>
    <cfRule type="cellIs" dxfId="11414" priority="450" stopIfTrue="1" operator="equal">
      <formula>"Napkin Hs"</formula>
    </cfRule>
  </conditionalFormatting>
  <conditionalFormatting sqref="B134:C135">
    <cfRule type="cellIs" dxfId="11413" priority="441" stopIfTrue="1" operator="equal">
      <formula>"Towel"</formula>
    </cfRule>
    <cfRule type="cellIs" dxfId="11412" priority="442" stopIfTrue="1" operator="equal">
      <formula>"Napkin Hs"</formula>
    </cfRule>
  </conditionalFormatting>
  <conditionalFormatting sqref="C134:C135">
    <cfRule type="cellIs" dxfId="11411" priority="440" stopIfTrue="1" operator="equal">
      <formula>"Napkin Hs"</formula>
    </cfRule>
  </conditionalFormatting>
  <conditionalFormatting sqref="C134:C135">
    <cfRule type="cellIs" dxfId="11410" priority="437" stopIfTrue="1" operator="equal">
      <formula>"Towel"</formula>
    </cfRule>
    <cfRule type="cellIs" dxfId="11409" priority="438" stopIfTrue="1" operator="equal">
      <formula>"Napkin Hs"</formula>
    </cfRule>
  </conditionalFormatting>
  <conditionalFormatting sqref="C134:C135">
    <cfRule type="cellIs" dxfId="11408" priority="439" stopIfTrue="1" operator="equal">
      <formula>"Towel"</formula>
    </cfRule>
  </conditionalFormatting>
  <conditionalFormatting sqref="B134:C134">
    <cfRule type="cellIs" dxfId="11407" priority="435" stopIfTrue="1" operator="equal">
      <formula>"Towel"</formula>
    </cfRule>
    <cfRule type="cellIs" dxfId="11406" priority="436" stopIfTrue="1" operator="equal">
      <formula>"Napkin Hs"</formula>
    </cfRule>
  </conditionalFormatting>
  <conditionalFormatting sqref="C134">
    <cfRule type="cellIs" dxfId="11405" priority="434" stopIfTrue="1" operator="equal">
      <formula>"Napkin Hs"</formula>
    </cfRule>
  </conditionalFormatting>
  <conditionalFormatting sqref="C134">
    <cfRule type="cellIs" dxfId="11404" priority="431" stopIfTrue="1" operator="equal">
      <formula>"Towel"</formula>
    </cfRule>
    <cfRule type="cellIs" dxfId="11403" priority="432" stopIfTrue="1" operator="equal">
      <formula>"Napkin Hs"</formula>
    </cfRule>
  </conditionalFormatting>
  <conditionalFormatting sqref="C134">
    <cfRule type="cellIs" dxfId="11402" priority="433" stopIfTrue="1" operator="equal">
      <formula>"Towel"</formula>
    </cfRule>
  </conditionalFormatting>
  <conditionalFormatting sqref="C132:C133">
    <cfRule type="cellIs" dxfId="11401" priority="423" stopIfTrue="1" operator="equal">
      <formula>"Towel"</formula>
    </cfRule>
    <cfRule type="cellIs" dxfId="11400" priority="424" stopIfTrue="1" operator="equal">
      <formula>"Napkin Hs"</formula>
    </cfRule>
  </conditionalFormatting>
  <conditionalFormatting sqref="B132:C133">
    <cfRule type="cellIs" dxfId="11399" priority="425" stopIfTrue="1" operator="equal">
      <formula>"Towel"</formula>
    </cfRule>
    <cfRule type="cellIs" dxfId="11398" priority="426" stopIfTrue="1" operator="equal">
      <formula>"Napkin Hs"</formula>
    </cfRule>
  </conditionalFormatting>
  <conditionalFormatting sqref="C132:C133">
    <cfRule type="cellIs" dxfId="11397" priority="421" stopIfTrue="1" operator="equal">
      <formula>"Towel"</formula>
    </cfRule>
    <cfRule type="cellIs" dxfId="11396" priority="422" stopIfTrue="1" operator="equal">
      <formula>"Napkin Hs"</formula>
    </cfRule>
  </conditionalFormatting>
  <conditionalFormatting sqref="B132:C133">
    <cfRule type="cellIs" dxfId="11395" priority="419" stopIfTrue="1" operator="equal">
      <formula>"Towel"</formula>
    </cfRule>
    <cfRule type="cellIs" dxfId="11394" priority="420" stopIfTrue="1" operator="equal">
      <formula>"Napkin Hs"</formula>
    </cfRule>
  </conditionalFormatting>
  <conditionalFormatting sqref="C132:C133">
    <cfRule type="cellIs" dxfId="11393" priority="427" stopIfTrue="1" operator="equal">
      <formula>"Towel"</formula>
    </cfRule>
    <cfRule type="cellIs" dxfId="11392" priority="428" stopIfTrue="1" operator="equal">
      <formula>"Napkin Hs"</formula>
    </cfRule>
  </conditionalFormatting>
  <conditionalFormatting sqref="C132:C133">
    <cfRule type="cellIs" dxfId="11391" priority="429" stopIfTrue="1" operator="equal">
      <formula>"Towel"</formula>
    </cfRule>
    <cfRule type="cellIs" dxfId="11390" priority="430" stopIfTrue="1" operator="equal">
      <formula>"Napkin Hs"</formula>
    </cfRule>
  </conditionalFormatting>
  <conditionalFormatting sqref="B132:C133">
    <cfRule type="cellIs" dxfId="11389" priority="417" stopIfTrue="1" operator="equal">
      <formula>"Towel"</formula>
    </cfRule>
    <cfRule type="cellIs" dxfId="11388" priority="418" stopIfTrue="1" operator="equal">
      <formula>"Napkin Hs"</formula>
    </cfRule>
  </conditionalFormatting>
  <conditionalFormatting sqref="C132:C133">
    <cfRule type="cellIs" dxfId="11387" priority="416" stopIfTrue="1" operator="equal">
      <formula>"Napkin Hs"</formula>
    </cfRule>
  </conditionalFormatting>
  <conditionalFormatting sqref="C132:C133">
    <cfRule type="cellIs" dxfId="11386" priority="413" stopIfTrue="1" operator="equal">
      <formula>"Towel"</formula>
    </cfRule>
    <cfRule type="cellIs" dxfId="11385" priority="414" stopIfTrue="1" operator="equal">
      <formula>"Napkin Hs"</formula>
    </cfRule>
  </conditionalFormatting>
  <conditionalFormatting sqref="C132:C133">
    <cfRule type="cellIs" dxfId="11384" priority="415" stopIfTrue="1" operator="equal">
      <formula>"Towel"</formula>
    </cfRule>
  </conditionalFormatting>
  <conditionalFormatting sqref="B139:C140">
    <cfRule type="cellIs" dxfId="11383" priority="411" stopIfTrue="1" operator="equal">
      <formula>"Towel"</formula>
    </cfRule>
    <cfRule type="cellIs" dxfId="11382" priority="412" stopIfTrue="1" operator="equal">
      <formula>"Napkin Hs"</formula>
    </cfRule>
  </conditionalFormatting>
  <conditionalFormatting sqref="C139:C140">
    <cfRule type="cellIs" dxfId="11381" priority="410" stopIfTrue="1" operator="equal">
      <formula>"Napkin Hs"</formula>
    </cfRule>
  </conditionalFormatting>
  <conditionalFormatting sqref="C139:C140">
    <cfRule type="cellIs" dxfId="11380" priority="407" stopIfTrue="1" operator="equal">
      <formula>"Towel"</formula>
    </cfRule>
    <cfRule type="cellIs" dxfId="11379" priority="408" stopIfTrue="1" operator="equal">
      <formula>"Napkin Hs"</formula>
    </cfRule>
  </conditionalFormatting>
  <conditionalFormatting sqref="C139:C140">
    <cfRule type="cellIs" dxfId="11378" priority="409" stopIfTrue="1" operator="equal">
      <formula>"Towel"</formula>
    </cfRule>
  </conditionalFormatting>
  <conditionalFormatting sqref="B139:C139">
    <cfRule type="cellIs" dxfId="11377" priority="405" stopIfTrue="1" operator="equal">
      <formula>"Towel"</formula>
    </cfRule>
    <cfRule type="cellIs" dxfId="11376" priority="406" stopIfTrue="1" operator="equal">
      <formula>"Napkin Hs"</formula>
    </cfRule>
  </conditionalFormatting>
  <conditionalFormatting sqref="C139">
    <cfRule type="cellIs" dxfId="11375" priority="404" stopIfTrue="1" operator="equal">
      <formula>"Napkin Hs"</formula>
    </cfRule>
  </conditionalFormatting>
  <conditionalFormatting sqref="C139">
    <cfRule type="cellIs" dxfId="11374" priority="401" stopIfTrue="1" operator="equal">
      <formula>"Towel"</formula>
    </cfRule>
    <cfRule type="cellIs" dxfId="11373" priority="402" stopIfTrue="1" operator="equal">
      <formula>"Napkin Hs"</formula>
    </cfRule>
  </conditionalFormatting>
  <conditionalFormatting sqref="C139">
    <cfRule type="cellIs" dxfId="11372" priority="403" stopIfTrue="1" operator="equal">
      <formula>"Towel"</formula>
    </cfRule>
  </conditionalFormatting>
  <conditionalFormatting sqref="C138">
    <cfRule type="cellIs" dxfId="11371" priority="393" stopIfTrue="1" operator="equal">
      <formula>"Towel"</formula>
    </cfRule>
    <cfRule type="cellIs" dxfId="11370" priority="394" stopIfTrue="1" operator="equal">
      <formula>"Napkin Hs"</formula>
    </cfRule>
  </conditionalFormatting>
  <conditionalFormatting sqref="B138:C138">
    <cfRule type="cellIs" dxfId="11369" priority="395" stopIfTrue="1" operator="equal">
      <formula>"Towel"</formula>
    </cfRule>
    <cfRule type="cellIs" dxfId="11368" priority="396" stopIfTrue="1" operator="equal">
      <formula>"Napkin Hs"</formula>
    </cfRule>
  </conditionalFormatting>
  <conditionalFormatting sqref="C138">
    <cfRule type="cellIs" dxfId="11367" priority="391" stopIfTrue="1" operator="equal">
      <formula>"Towel"</formula>
    </cfRule>
    <cfRule type="cellIs" dxfId="11366" priority="392" stopIfTrue="1" operator="equal">
      <formula>"Napkin Hs"</formula>
    </cfRule>
  </conditionalFormatting>
  <conditionalFormatting sqref="B138:C138">
    <cfRule type="cellIs" dxfId="11365" priority="389" stopIfTrue="1" operator="equal">
      <formula>"Towel"</formula>
    </cfRule>
    <cfRule type="cellIs" dxfId="11364" priority="390" stopIfTrue="1" operator="equal">
      <formula>"Napkin Hs"</formula>
    </cfRule>
  </conditionalFormatting>
  <conditionalFormatting sqref="C138">
    <cfRule type="cellIs" dxfId="11363" priority="397" stopIfTrue="1" operator="equal">
      <formula>"Towel"</formula>
    </cfRule>
    <cfRule type="cellIs" dxfId="11362" priority="398" stopIfTrue="1" operator="equal">
      <formula>"Napkin Hs"</formula>
    </cfRule>
  </conditionalFormatting>
  <conditionalFormatting sqref="C138">
    <cfRule type="cellIs" dxfId="11361" priority="399" stopIfTrue="1" operator="equal">
      <formula>"Towel"</formula>
    </cfRule>
    <cfRule type="cellIs" dxfId="11360" priority="400" stopIfTrue="1" operator="equal">
      <formula>"Napkin Hs"</formula>
    </cfRule>
  </conditionalFormatting>
  <conditionalFormatting sqref="B138:C138">
    <cfRule type="cellIs" dxfId="11359" priority="387" stopIfTrue="1" operator="equal">
      <formula>"Towel"</formula>
    </cfRule>
    <cfRule type="cellIs" dxfId="11358" priority="388" stopIfTrue="1" operator="equal">
      <formula>"Napkin Hs"</formula>
    </cfRule>
  </conditionalFormatting>
  <conditionalFormatting sqref="C138">
    <cfRule type="cellIs" dxfId="11357" priority="386" stopIfTrue="1" operator="equal">
      <formula>"Napkin Hs"</formula>
    </cfRule>
  </conditionalFormatting>
  <conditionalFormatting sqref="C138">
    <cfRule type="cellIs" dxfId="11356" priority="383" stopIfTrue="1" operator="equal">
      <formula>"Towel"</formula>
    </cfRule>
    <cfRule type="cellIs" dxfId="11355" priority="384" stopIfTrue="1" operator="equal">
      <formula>"Napkin Hs"</formula>
    </cfRule>
  </conditionalFormatting>
  <conditionalFormatting sqref="C138">
    <cfRule type="cellIs" dxfId="11354" priority="385" stopIfTrue="1" operator="equal">
      <formula>"Towel"</formula>
    </cfRule>
  </conditionalFormatting>
  <conditionalFormatting sqref="B138:C138">
    <cfRule type="cellIs" dxfId="11353" priority="381" stopIfTrue="1" operator="equal">
      <formula>"Towel"</formula>
    </cfRule>
    <cfRule type="cellIs" dxfId="11352" priority="382" stopIfTrue="1" operator="equal">
      <formula>"Napkin Hs"</formula>
    </cfRule>
  </conditionalFormatting>
  <conditionalFormatting sqref="C138">
    <cfRule type="cellIs" dxfId="11351" priority="380" stopIfTrue="1" operator="equal">
      <formula>"Napkin Hs"</formula>
    </cfRule>
  </conditionalFormatting>
  <conditionalFormatting sqref="C138">
    <cfRule type="cellIs" dxfId="11350" priority="377" stopIfTrue="1" operator="equal">
      <formula>"Towel"</formula>
    </cfRule>
    <cfRule type="cellIs" dxfId="11349" priority="378" stopIfTrue="1" operator="equal">
      <formula>"Napkin Hs"</formula>
    </cfRule>
  </conditionalFormatting>
  <conditionalFormatting sqref="C138">
    <cfRule type="cellIs" dxfId="11348" priority="379" stopIfTrue="1" operator="equal">
      <formula>"Towel"</formula>
    </cfRule>
  </conditionalFormatting>
  <conditionalFormatting sqref="C137">
    <cfRule type="cellIs" dxfId="11347" priority="375" stopIfTrue="1" operator="equal">
      <formula>"Towel"</formula>
    </cfRule>
    <cfRule type="cellIs" dxfId="11346" priority="376" stopIfTrue="1" operator="equal">
      <formula>"Napkin Hs"</formula>
    </cfRule>
  </conditionalFormatting>
  <conditionalFormatting sqref="C137">
    <cfRule type="cellIs" dxfId="11345" priority="367" stopIfTrue="1" operator="equal">
      <formula>"Towel"</formula>
    </cfRule>
    <cfRule type="cellIs" dxfId="11344" priority="368" stopIfTrue="1" operator="equal">
      <formula>"Napkin Hs"</formula>
    </cfRule>
  </conditionalFormatting>
  <conditionalFormatting sqref="C137">
    <cfRule type="cellIs" dxfId="11343" priority="365" stopIfTrue="1" operator="equal">
      <formula>"Towel"</formula>
    </cfRule>
    <cfRule type="cellIs" dxfId="11342" priority="366" stopIfTrue="1" operator="equal">
      <formula>"Napkin Hs"</formula>
    </cfRule>
  </conditionalFormatting>
  <conditionalFormatting sqref="C137">
    <cfRule type="cellIs" dxfId="11341" priority="363" stopIfTrue="1" operator="equal">
      <formula>"Towel"</formula>
    </cfRule>
    <cfRule type="cellIs" dxfId="11340" priority="364" stopIfTrue="1" operator="equal">
      <formula>"Napkin Hs"</formula>
    </cfRule>
  </conditionalFormatting>
  <conditionalFormatting sqref="C137">
    <cfRule type="cellIs" dxfId="11339" priority="357" stopIfTrue="1" operator="equal">
      <formula>"Towel"</formula>
    </cfRule>
    <cfRule type="cellIs" dxfId="11338" priority="358" stopIfTrue="1" operator="equal">
      <formula>"Napkin Hs"</formula>
    </cfRule>
  </conditionalFormatting>
  <conditionalFormatting sqref="C137">
    <cfRule type="cellIs" dxfId="11337" priority="359" stopIfTrue="1" operator="equal">
      <formula>"Towel"</formula>
    </cfRule>
    <cfRule type="cellIs" dxfId="11336" priority="360" stopIfTrue="1" operator="equal">
      <formula>"Napkin Hs"</formula>
    </cfRule>
  </conditionalFormatting>
  <conditionalFormatting sqref="C137">
    <cfRule type="cellIs" dxfId="11335" priority="361" stopIfTrue="1" operator="equal">
      <formula>"Towel"</formula>
    </cfRule>
    <cfRule type="cellIs" dxfId="11334" priority="362" stopIfTrue="1" operator="equal">
      <formula>"Napkin Hs"</formula>
    </cfRule>
  </conditionalFormatting>
  <conditionalFormatting sqref="C137">
    <cfRule type="cellIs" dxfId="11333" priority="373" stopIfTrue="1" operator="equal">
      <formula>"Towel"</formula>
    </cfRule>
    <cfRule type="cellIs" dxfId="11332" priority="374" stopIfTrue="1" operator="equal">
      <formula>"Napkin Hs"</formula>
    </cfRule>
  </conditionalFormatting>
  <conditionalFormatting sqref="C137">
    <cfRule type="cellIs" dxfId="11331" priority="371" stopIfTrue="1" operator="equal">
      <formula>"Towel"</formula>
    </cfRule>
    <cfRule type="cellIs" dxfId="11330" priority="372" stopIfTrue="1" operator="equal">
      <formula>"Napkin Hs"</formula>
    </cfRule>
  </conditionalFormatting>
  <conditionalFormatting sqref="C137">
    <cfRule type="cellIs" dxfId="11329" priority="369" stopIfTrue="1" operator="equal">
      <formula>"Towel"</formula>
    </cfRule>
    <cfRule type="cellIs" dxfId="11328" priority="370" stopIfTrue="1" operator="equal">
      <formula>"Napkin Hs"</formula>
    </cfRule>
  </conditionalFormatting>
  <conditionalFormatting sqref="B137">
    <cfRule type="cellIs" dxfId="11327" priority="349" stopIfTrue="1" operator="equal">
      <formula>"Towel"</formula>
    </cfRule>
    <cfRule type="cellIs" dxfId="11326" priority="350" stopIfTrue="1" operator="equal">
      <formula>"Napkin Hs"</formula>
    </cfRule>
  </conditionalFormatting>
  <conditionalFormatting sqref="B137">
    <cfRule type="cellIs" dxfId="11325" priority="347" stopIfTrue="1" operator="equal">
      <formula>"Towel"</formula>
    </cfRule>
    <cfRule type="cellIs" dxfId="11324" priority="348" stopIfTrue="1" operator="equal">
      <formula>"Napkin Hs"</formula>
    </cfRule>
  </conditionalFormatting>
  <conditionalFormatting sqref="B137">
    <cfRule type="cellIs" dxfId="11323" priority="345" stopIfTrue="1" operator="equal">
      <formula>"Towel"</formula>
    </cfRule>
    <cfRule type="cellIs" dxfId="11322" priority="346" stopIfTrue="1" operator="equal">
      <formula>"Napkin Hs"</formula>
    </cfRule>
  </conditionalFormatting>
  <conditionalFormatting sqref="C137">
    <cfRule type="cellIs" dxfId="11321" priority="355" stopIfTrue="1" operator="equal">
      <formula>"Towel"</formula>
    </cfRule>
    <cfRule type="cellIs" dxfId="11320" priority="356" stopIfTrue="1" operator="equal">
      <formula>"Napkin Hs"</formula>
    </cfRule>
  </conditionalFormatting>
  <conditionalFormatting sqref="C137">
    <cfRule type="cellIs" dxfId="11319" priority="353" stopIfTrue="1" operator="equal">
      <formula>"Towel"</formula>
    </cfRule>
    <cfRule type="cellIs" dxfId="11318" priority="354" stopIfTrue="1" operator="equal">
      <formula>"Napkin Hs"</formula>
    </cfRule>
  </conditionalFormatting>
  <conditionalFormatting sqref="B137">
    <cfRule type="cellIs" dxfId="11317" priority="351" stopIfTrue="1" operator="equal">
      <formula>"Towel"</formula>
    </cfRule>
    <cfRule type="cellIs" dxfId="11316" priority="352" stopIfTrue="1" operator="equal">
      <formula>"Napkin Hs"</formula>
    </cfRule>
  </conditionalFormatting>
  <conditionalFormatting sqref="C137">
    <cfRule type="cellIs" dxfId="11315" priority="337" stopIfTrue="1" operator="equal">
      <formula>"Towel"</formula>
    </cfRule>
    <cfRule type="cellIs" dxfId="11314" priority="338" stopIfTrue="1" operator="equal">
      <formula>"Napkin Hs"</formula>
    </cfRule>
  </conditionalFormatting>
  <conditionalFormatting sqref="B137:C137">
    <cfRule type="cellIs" dxfId="11313" priority="339" stopIfTrue="1" operator="equal">
      <formula>"Towel"</formula>
    </cfRule>
    <cfRule type="cellIs" dxfId="11312" priority="340" stopIfTrue="1" operator="equal">
      <formula>"Napkin Hs"</formula>
    </cfRule>
  </conditionalFormatting>
  <conditionalFormatting sqref="C137">
    <cfRule type="cellIs" dxfId="11311" priority="335" stopIfTrue="1" operator="equal">
      <formula>"Towel"</formula>
    </cfRule>
    <cfRule type="cellIs" dxfId="11310" priority="336" stopIfTrue="1" operator="equal">
      <formula>"Napkin Hs"</formula>
    </cfRule>
  </conditionalFormatting>
  <conditionalFormatting sqref="B137:C137">
    <cfRule type="cellIs" dxfId="11309" priority="333" stopIfTrue="1" operator="equal">
      <formula>"Towel"</formula>
    </cfRule>
    <cfRule type="cellIs" dxfId="11308" priority="334" stopIfTrue="1" operator="equal">
      <formula>"Napkin Hs"</formula>
    </cfRule>
  </conditionalFormatting>
  <conditionalFormatting sqref="C137">
    <cfRule type="cellIs" dxfId="11307" priority="341" stopIfTrue="1" operator="equal">
      <formula>"Towel"</formula>
    </cfRule>
    <cfRule type="cellIs" dxfId="11306" priority="342" stopIfTrue="1" operator="equal">
      <formula>"Napkin Hs"</formula>
    </cfRule>
  </conditionalFormatting>
  <conditionalFormatting sqref="C137">
    <cfRule type="cellIs" dxfId="11305" priority="343" stopIfTrue="1" operator="equal">
      <formula>"Towel"</formula>
    </cfRule>
    <cfRule type="cellIs" dxfId="11304" priority="344" stopIfTrue="1" operator="equal">
      <formula>"Napkin Hs"</formula>
    </cfRule>
  </conditionalFormatting>
  <conditionalFormatting sqref="B137:C137">
    <cfRule type="cellIs" dxfId="11303" priority="331" stopIfTrue="1" operator="equal">
      <formula>"Towel"</formula>
    </cfRule>
    <cfRule type="cellIs" dxfId="11302" priority="332" stopIfTrue="1" operator="equal">
      <formula>"Napkin Hs"</formula>
    </cfRule>
  </conditionalFormatting>
  <conditionalFormatting sqref="C137">
    <cfRule type="cellIs" dxfId="11301" priority="330" stopIfTrue="1" operator="equal">
      <formula>"Napkin Hs"</formula>
    </cfRule>
  </conditionalFormatting>
  <conditionalFormatting sqref="C137">
    <cfRule type="cellIs" dxfId="11300" priority="327" stopIfTrue="1" operator="equal">
      <formula>"Towel"</formula>
    </cfRule>
    <cfRule type="cellIs" dxfId="11299" priority="328" stopIfTrue="1" operator="equal">
      <formula>"Napkin Hs"</formula>
    </cfRule>
  </conditionalFormatting>
  <conditionalFormatting sqref="C137">
    <cfRule type="cellIs" dxfId="11298" priority="329" stopIfTrue="1" operator="equal">
      <formula>"Towel"</formula>
    </cfRule>
  </conditionalFormatting>
  <conditionalFormatting sqref="B144:C145">
    <cfRule type="cellIs" dxfId="11297" priority="325" stopIfTrue="1" operator="equal">
      <formula>"Towel"</formula>
    </cfRule>
    <cfRule type="cellIs" dxfId="11296" priority="326" stopIfTrue="1" operator="equal">
      <formula>"Napkin Hs"</formula>
    </cfRule>
  </conditionalFormatting>
  <conditionalFormatting sqref="C144:C145">
    <cfRule type="cellIs" dxfId="11295" priority="324" stopIfTrue="1" operator="equal">
      <formula>"Napkin Hs"</formula>
    </cfRule>
  </conditionalFormatting>
  <conditionalFormatting sqref="C144:C145">
    <cfRule type="cellIs" dxfId="11294" priority="321" stopIfTrue="1" operator="equal">
      <formula>"Towel"</formula>
    </cfRule>
    <cfRule type="cellIs" dxfId="11293" priority="322" stopIfTrue="1" operator="equal">
      <formula>"Napkin Hs"</formula>
    </cfRule>
  </conditionalFormatting>
  <conditionalFormatting sqref="C144:C145">
    <cfRule type="cellIs" dxfId="11292" priority="323" stopIfTrue="1" operator="equal">
      <formula>"Towel"</formula>
    </cfRule>
  </conditionalFormatting>
  <conditionalFormatting sqref="B144:C144">
    <cfRule type="cellIs" dxfId="11291" priority="319" stopIfTrue="1" operator="equal">
      <formula>"Towel"</formula>
    </cfRule>
    <cfRule type="cellIs" dxfId="11290" priority="320" stopIfTrue="1" operator="equal">
      <formula>"Napkin Hs"</formula>
    </cfRule>
  </conditionalFormatting>
  <conditionalFormatting sqref="C144">
    <cfRule type="cellIs" dxfId="11289" priority="318" stopIfTrue="1" operator="equal">
      <formula>"Napkin Hs"</formula>
    </cfRule>
  </conditionalFormatting>
  <conditionalFormatting sqref="C144">
    <cfRule type="cellIs" dxfId="11288" priority="315" stopIfTrue="1" operator="equal">
      <formula>"Towel"</formula>
    </cfRule>
    <cfRule type="cellIs" dxfId="11287" priority="316" stopIfTrue="1" operator="equal">
      <formula>"Napkin Hs"</formula>
    </cfRule>
  </conditionalFormatting>
  <conditionalFormatting sqref="C144">
    <cfRule type="cellIs" dxfId="11286" priority="317" stopIfTrue="1" operator="equal">
      <formula>"Towel"</formula>
    </cfRule>
  </conditionalFormatting>
  <conditionalFormatting sqref="C143">
    <cfRule type="cellIs" dxfId="11285" priority="307" stopIfTrue="1" operator="equal">
      <formula>"Towel"</formula>
    </cfRule>
    <cfRule type="cellIs" dxfId="11284" priority="308" stopIfTrue="1" operator="equal">
      <formula>"Napkin Hs"</formula>
    </cfRule>
  </conditionalFormatting>
  <conditionalFormatting sqref="B143:C143">
    <cfRule type="cellIs" dxfId="11283" priority="309" stopIfTrue="1" operator="equal">
      <formula>"Towel"</formula>
    </cfRule>
    <cfRule type="cellIs" dxfId="11282" priority="310" stopIfTrue="1" operator="equal">
      <formula>"Napkin Hs"</formula>
    </cfRule>
  </conditionalFormatting>
  <conditionalFormatting sqref="C143">
    <cfRule type="cellIs" dxfId="11281" priority="305" stopIfTrue="1" operator="equal">
      <formula>"Towel"</formula>
    </cfRule>
    <cfRule type="cellIs" dxfId="11280" priority="306" stopIfTrue="1" operator="equal">
      <formula>"Napkin Hs"</formula>
    </cfRule>
  </conditionalFormatting>
  <conditionalFormatting sqref="B143:C143">
    <cfRule type="cellIs" dxfId="11279" priority="303" stopIfTrue="1" operator="equal">
      <formula>"Towel"</formula>
    </cfRule>
    <cfRule type="cellIs" dxfId="11278" priority="304" stopIfTrue="1" operator="equal">
      <formula>"Napkin Hs"</formula>
    </cfRule>
  </conditionalFormatting>
  <conditionalFormatting sqref="C143">
    <cfRule type="cellIs" dxfId="11277" priority="311" stopIfTrue="1" operator="equal">
      <formula>"Towel"</formula>
    </cfRule>
    <cfRule type="cellIs" dxfId="11276" priority="312" stopIfTrue="1" operator="equal">
      <formula>"Napkin Hs"</formula>
    </cfRule>
  </conditionalFormatting>
  <conditionalFormatting sqref="C143">
    <cfRule type="cellIs" dxfId="11275" priority="313" stopIfTrue="1" operator="equal">
      <formula>"Towel"</formula>
    </cfRule>
    <cfRule type="cellIs" dxfId="11274" priority="314" stopIfTrue="1" operator="equal">
      <formula>"Napkin Hs"</formula>
    </cfRule>
  </conditionalFormatting>
  <conditionalFormatting sqref="B143:C143">
    <cfRule type="cellIs" dxfId="11273" priority="301" stopIfTrue="1" operator="equal">
      <formula>"Towel"</formula>
    </cfRule>
    <cfRule type="cellIs" dxfId="11272" priority="302" stopIfTrue="1" operator="equal">
      <formula>"Napkin Hs"</formula>
    </cfRule>
  </conditionalFormatting>
  <conditionalFormatting sqref="C143">
    <cfRule type="cellIs" dxfId="11271" priority="300" stopIfTrue="1" operator="equal">
      <formula>"Napkin Hs"</formula>
    </cfRule>
  </conditionalFormatting>
  <conditionalFormatting sqref="C143">
    <cfRule type="cellIs" dxfId="11270" priority="297" stopIfTrue="1" operator="equal">
      <formula>"Towel"</formula>
    </cfRule>
    <cfRule type="cellIs" dxfId="11269" priority="298" stopIfTrue="1" operator="equal">
      <formula>"Napkin Hs"</formula>
    </cfRule>
  </conditionalFormatting>
  <conditionalFormatting sqref="C143">
    <cfRule type="cellIs" dxfId="11268" priority="299" stopIfTrue="1" operator="equal">
      <formula>"Towel"</formula>
    </cfRule>
  </conditionalFormatting>
  <conditionalFormatting sqref="B143:C143">
    <cfRule type="cellIs" dxfId="11267" priority="295" stopIfTrue="1" operator="equal">
      <formula>"Towel"</formula>
    </cfRule>
    <cfRule type="cellIs" dxfId="11266" priority="296" stopIfTrue="1" operator="equal">
      <formula>"Napkin Hs"</formula>
    </cfRule>
  </conditionalFormatting>
  <conditionalFormatting sqref="C143">
    <cfRule type="cellIs" dxfId="11265" priority="294" stopIfTrue="1" operator="equal">
      <formula>"Napkin Hs"</formula>
    </cfRule>
  </conditionalFormatting>
  <conditionalFormatting sqref="C143">
    <cfRule type="cellIs" dxfId="11264" priority="291" stopIfTrue="1" operator="equal">
      <formula>"Towel"</formula>
    </cfRule>
    <cfRule type="cellIs" dxfId="11263" priority="292" stopIfTrue="1" operator="equal">
      <formula>"Napkin Hs"</formula>
    </cfRule>
  </conditionalFormatting>
  <conditionalFormatting sqref="C143">
    <cfRule type="cellIs" dxfId="11262" priority="293" stopIfTrue="1" operator="equal">
      <formula>"Towel"</formula>
    </cfRule>
  </conditionalFormatting>
  <conditionalFormatting sqref="C142">
    <cfRule type="cellIs" dxfId="11261" priority="289" stopIfTrue="1" operator="equal">
      <formula>"Towel"</formula>
    </cfRule>
    <cfRule type="cellIs" dxfId="11260" priority="290" stopIfTrue="1" operator="equal">
      <formula>"Napkin Hs"</formula>
    </cfRule>
  </conditionalFormatting>
  <conditionalFormatting sqref="C142">
    <cfRule type="cellIs" dxfId="11259" priority="281" stopIfTrue="1" operator="equal">
      <formula>"Towel"</formula>
    </cfRule>
    <cfRule type="cellIs" dxfId="11258" priority="282" stopIfTrue="1" operator="equal">
      <formula>"Napkin Hs"</formula>
    </cfRule>
  </conditionalFormatting>
  <conditionalFormatting sqref="C142">
    <cfRule type="cellIs" dxfId="11257" priority="279" stopIfTrue="1" operator="equal">
      <formula>"Towel"</formula>
    </cfRule>
    <cfRule type="cellIs" dxfId="11256" priority="280" stopIfTrue="1" operator="equal">
      <formula>"Napkin Hs"</formula>
    </cfRule>
  </conditionalFormatting>
  <conditionalFormatting sqref="C142">
    <cfRule type="cellIs" dxfId="11255" priority="277" stopIfTrue="1" operator="equal">
      <formula>"Towel"</formula>
    </cfRule>
    <cfRule type="cellIs" dxfId="11254" priority="278" stopIfTrue="1" operator="equal">
      <formula>"Napkin Hs"</formula>
    </cfRule>
  </conditionalFormatting>
  <conditionalFormatting sqref="C142">
    <cfRule type="cellIs" dxfId="11253" priority="271" stopIfTrue="1" operator="equal">
      <formula>"Towel"</formula>
    </cfRule>
    <cfRule type="cellIs" dxfId="11252" priority="272" stopIfTrue="1" operator="equal">
      <formula>"Napkin Hs"</formula>
    </cfRule>
  </conditionalFormatting>
  <conditionalFormatting sqref="C142">
    <cfRule type="cellIs" dxfId="11251" priority="273" stopIfTrue="1" operator="equal">
      <formula>"Towel"</formula>
    </cfRule>
    <cfRule type="cellIs" dxfId="11250" priority="274" stopIfTrue="1" operator="equal">
      <formula>"Napkin Hs"</formula>
    </cfRule>
  </conditionalFormatting>
  <conditionalFormatting sqref="C142">
    <cfRule type="cellIs" dxfId="11249" priority="275" stopIfTrue="1" operator="equal">
      <formula>"Towel"</formula>
    </cfRule>
    <cfRule type="cellIs" dxfId="11248" priority="276" stopIfTrue="1" operator="equal">
      <formula>"Napkin Hs"</formula>
    </cfRule>
  </conditionalFormatting>
  <conditionalFormatting sqref="C142">
    <cfRule type="cellIs" dxfId="11247" priority="287" stopIfTrue="1" operator="equal">
      <formula>"Towel"</formula>
    </cfRule>
    <cfRule type="cellIs" dxfId="11246" priority="288" stopIfTrue="1" operator="equal">
      <formula>"Napkin Hs"</formula>
    </cfRule>
  </conditionalFormatting>
  <conditionalFormatting sqref="C142">
    <cfRule type="cellIs" dxfId="11245" priority="285" stopIfTrue="1" operator="equal">
      <formula>"Towel"</formula>
    </cfRule>
    <cfRule type="cellIs" dxfId="11244" priority="286" stopIfTrue="1" operator="equal">
      <formula>"Napkin Hs"</formula>
    </cfRule>
  </conditionalFormatting>
  <conditionalFormatting sqref="C142">
    <cfRule type="cellIs" dxfId="11243" priority="283" stopIfTrue="1" operator="equal">
      <formula>"Towel"</formula>
    </cfRule>
    <cfRule type="cellIs" dxfId="11242" priority="284" stopIfTrue="1" operator="equal">
      <formula>"Napkin Hs"</formula>
    </cfRule>
  </conditionalFormatting>
  <conditionalFormatting sqref="B142">
    <cfRule type="cellIs" dxfId="11241" priority="263" stopIfTrue="1" operator="equal">
      <formula>"Towel"</formula>
    </cfRule>
    <cfRule type="cellIs" dxfId="11240" priority="264" stopIfTrue="1" operator="equal">
      <formula>"Napkin Hs"</formula>
    </cfRule>
  </conditionalFormatting>
  <conditionalFormatting sqref="B142">
    <cfRule type="cellIs" dxfId="11239" priority="261" stopIfTrue="1" operator="equal">
      <formula>"Towel"</formula>
    </cfRule>
    <cfRule type="cellIs" dxfId="11238" priority="262" stopIfTrue="1" operator="equal">
      <formula>"Napkin Hs"</formula>
    </cfRule>
  </conditionalFormatting>
  <conditionalFormatting sqref="B142">
    <cfRule type="cellIs" dxfId="11237" priority="259" stopIfTrue="1" operator="equal">
      <formula>"Towel"</formula>
    </cfRule>
    <cfRule type="cellIs" dxfId="11236" priority="260" stopIfTrue="1" operator="equal">
      <formula>"Napkin Hs"</formula>
    </cfRule>
  </conditionalFormatting>
  <conditionalFormatting sqref="C142">
    <cfRule type="cellIs" dxfId="11235" priority="269" stopIfTrue="1" operator="equal">
      <formula>"Towel"</formula>
    </cfRule>
    <cfRule type="cellIs" dxfId="11234" priority="270" stopIfTrue="1" operator="equal">
      <formula>"Napkin Hs"</formula>
    </cfRule>
  </conditionalFormatting>
  <conditionalFormatting sqref="C142">
    <cfRule type="cellIs" dxfId="11233" priority="267" stopIfTrue="1" operator="equal">
      <formula>"Towel"</formula>
    </cfRule>
    <cfRule type="cellIs" dxfId="11232" priority="268" stopIfTrue="1" operator="equal">
      <formula>"Napkin Hs"</formula>
    </cfRule>
  </conditionalFormatting>
  <conditionalFormatting sqref="B142">
    <cfRule type="cellIs" dxfId="11231" priority="265" stopIfTrue="1" operator="equal">
      <formula>"Towel"</formula>
    </cfRule>
    <cfRule type="cellIs" dxfId="11230" priority="266" stopIfTrue="1" operator="equal">
      <formula>"Napkin Hs"</formula>
    </cfRule>
  </conditionalFormatting>
  <conditionalFormatting sqref="C142">
    <cfRule type="cellIs" dxfId="11229" priority="251" stopIfTrue="1" operator="equal">
      <formula>"Towel"</formula>
    </cfRule>
    <cfRule type="cellIs" dxfId="11228" priority="252" stopIfTrue="1" operator="equal">
      <formula>"Napkin Hs"</formula>
    </cfRule>
  </conditionalFormatting>
  <conditionalFormatting sqref="B142:C142">
    <cfRule type="cellIs" dxfId="11227" priority="253" stopIfTrue="1" operator="equal">
      <formula>"Towel"</formula>
    </cfRule>
    <cfRule type="cellIs" dxfId="11226" priority="254" stopIfTrue="1" operator="equal">
      <formula>"Napkin Hs"</formula>
    </cfRule>
  </conditionalFormatting>
  <conditionalFormatting sqref="C142">
    <cfRule type="cellIs" dxfId="11225" priority="249" stopIfTrue="1" operator="equal">
      <formula>"Towel"</formula>
    </cfRule>
    <cfRule type="cellIs" dxfId="11224" priority="250" stopIfTrue="1" operator="equal">
      <formula>"Napkin Hs"</formula>
    </cfRule>
  </conditionalFormatting>
  <conditionalFormatting sqref="B142:C142">
    <cfRule type="cellIs" dxfId="11223" priority="247" stopIfTrue="1" operator="equal">
      <formula>"Towel"</formula>
    </cfRule>
    <cfRule type="cellIs" dxfId="11222" priority="248" stopIfTrue="1" operator="equal">
      <formula>"Napkin Hs"</formula>
    </cfRule>
  </conditionalFormatting>
  <conditionalFormatting sqref="C142">
    <cfRule type="cellIs" dxfId="11221" priority="255" stopIfTrue="1" operator="equal">
      <formula>"Towel"</formula>
    </cfRule>
    <cfRule type="cellIs" dxfId="11220" priority="256" stopIfTrue="1" operator="equal">
      <formula>"Napkin Hs"</formula>
    </cfRule>
  </conditionalFormatting>
  <conditionalFormatting sqref="C142">
    <cfRule type="cellIs" dxfId="11219" priority="257" stopIfTrue="1" operator="equal">
      <formula>"Towel"</formula>
    </cfRule>
    <cfRule type="cellIs" dxfId="11218" priority="258" stopIfTrue="1" operator="equal">
      <formula>"Napkin Hs"</formula>
    </cfRule>
  </conditionalFormatting>
  <conditionalFormatting sqref="B142:C142">
    <cfRule type="cellIs" dxfId="11217" priority="245" stopIfTrue="1" operator="equal">
      <formula>"Towel"</formula>
    </cfRule>
    <cfRule type="cellIs" dxfId="11216" priority="246" stopIfTrue="1" operator="equal">
      <formula>"Napkin Hs"</formula>
    </cfRule>
  </conditionalFormatting>
  <conditionalFormatting sqref="C142">
    <cfRule type="cellIs" dxfId="11215" priority="244" stopIfTrue="1" operator="equal">
      <formula>"Napkin Hs"</formula>
    </cfRule>
  </conditionalFormatting>
  <conditionalFormatting sqref="C142">
    <cfRule type="cellIs" dxfId="11214" priority="241" stopIfTrue="1" operator="equal">
      <formula>"Towel"</formula>
    </cfRule>
    <cfRule type="cellIs" dxfId="11213" priority="242" stopIfTrue="1" operator="equal">
      <formula>"Napkin Hs"</formula>
    </cfRule>
  </conditionalFormatting>
  <conditionalFormatting sqref="C142">
    <cfRule type="cellIs" dxfId="11212" priority="243" stopIfTrue="1" operator="equal">
      <formula>"Towel"</formula>
    </cfRule>
  </conditionalFormatting>
  <conditionalFormatting sqref="B146:C146">
    <cfRule type="cellIs" dxfId="11211" priority="239" stopIfTrue="1" operator="equal">
      <formula>"Towel"</formula>
    </cfRule>
    <cfRule type="cellIs" dxfId="11210" priority="240" stopIfTrue="1" operator="equal">
      <formula>"Napkin Hs"</formula>
    </cfRule>
  </conditionalFormatting>
  <conditionalFormatting sqref="C146">
    <cfRule type="cellIs" dxfId="11209" priority="238" stopIfTrue="1" operator="equal">
      <formula>"Napkin Hs"</formula>
    </cfRule>
  </conditionalFormatting>
  <conditionalFormatting sqref="C146">
    <cfRule type="cellIs" dxfId="11208" priority="235" stopIfTrue="1" operator="equal">
      <formula>"Towel"</formula>
    </cfRule>
    <cfRule type="cellIs" dxfId="11207" priority="236" stopIfTrue="1" operator="equal">
      <formula>"Napkin Hs"</formula>
    </cfRule>
  </conditionalFormatting>
  <conditionalFormatting sqref="C146">
    <cfRule type="cellIs" dxfId="11206" priority="237" stopIfTrue="1" operator="equal">
      <formula>"Towel"</formula>
    </cfRule>
  </conditionalFormatting>
  <conditionalFormatting sqref="B150:C151">
    <cfRule type="cellIs" dxfId="11205" priority="233" stopIfTrue="1" operator="equal">
      <formula>"Towel"</formula>
    </cfRule>
    <cfRule type="cellIs" dxfId="11204" priority="234" stopIfTrue="1" operator="equal">
      <formula>"Napkin Hs"</formula>
    </cfRule>
  </conditionalFormatting>
  <conditionalFormatting sqref="C150:C151">
    <cfRule type="cellIs" dxfId="11203" priority="232" stopIfTrue="1" operator="equal">
      <formula>"Napkin Hs"</formula>
    </cfRule>
  </conditionalFormatting>
  <conditionalFormatting sqref="C150:C151">
    <cfRule type="cellIs" dxfId="11202" priority="229" stopIfTrue="1" operator="equal">
      <formula>"Towel"</formula>
    </cfRule>
    <cfRule type="cellIs" dxfId="11201" priority="230" stopIfTrue="1" operator="equal">
      <formula>"Napkin Hs"</formula>
    </cfRule>
  </conditionalFormatting>
  <conditionalFormatting sqref="C150:C151">
    <cfRule type="cellIs" dxfId="11200" priority="231" stopIfTrue="1" operator="equal">
      <formula>"Towel"</formula>
    </cfRule>
  </conditionalFormatting>
  <conditionalFormatting sqref="B150:C150">
    <cfRule type="cellIs" dxfId="11199" priority="227" stopIfTrue="1" operator="equal">
      <formula>"Towel"</formula>
    </cfRule>
    <cfRule type="cellIs" dxfId="11198" priority="228" stopIfTrue="1" operator="equal">
      <formula>"Napkin Hs"</formula>
    </cfRule>
  </conditionalFormatting>
  <conditionalFormatting sqref="C150">
    <cfRule type="cellIs" dxfId="11197" priority="226" stopIfTrue="1" operator="equal">
      <formula>"Napkin Hs"</formula>
    </cfRule>
  </conditionalFormatting>
  <conditionalFormatting sqref="C150">
    <cfRule type="cellIs" dxfId="11196" priority="223" stopIfTrue="1" operator="equal">
      <formula>"Towel"</formula>
    </cfRule>
    <cfRule type="cellIs" dxfId="11195" priority="224" stopIfTrue="1" operator="equal">
      <formula>"Napkin Hs"</formula>
    </cfRule>
  </conditionalFormatting>
  <conditionalFormatting sqref="C150">
    <cfRule type="cellIs" dxfId="11194" priority="225" stopIfTrue="1" operator="equal">
      <formula>"Towel"</formula>
    </cfRule>
  </conditionalFormatting>
  <conditionalFormatting sqref="C149">
    <cfRule type="cellIs" dxfId="11193" priority="215" stopIfTrue="1" operator="equal">
      <formula>"Towel"</formula>
    </cfRule>
    <cfRule type="cellIs" dxfId="11192" priority="216" stopIfTrue="1" operator="equal">
      <formula>"Napkin Hs"</formula>
    </cfRule>
  </conditionalFormatting>
  <conditionalFormatting sqref="B149:C149">
    <cfRule type="cellIs" dxfId="11191" priority="217" stopIfTrue="1" operator="equal">
      <formula>"Towel"</formula>
    </cfRule>
    <cfRule type="cellIs" dxfId="11190" priority="218" stopIfTrue="1" operator="equal">
      <formula>"Napkin Hs"</formula>
    </cfRule>
  </conditionalFormatting>
  <conditionalFormatting sqref="C149">
    <cfRule type="cellIs" dxfId="11189" priority="213" stopIfTrue="1" operator="equal">
      <formula>"Towel"</formula>
    </cfRule>
    <cfRule type="cellIs" dxfId="11188" priority="214" stopIfTrue="1" operator="equal">
      <formula>"Napkin Hs"</formula>
    </cfRule>
  </conditionalFormatting>
  <conditionalFormatting sqref="B149:C149">
    <cfRule type="cellIs" dxfId="11187" priority="211" stopIfTrue="1" operator="equal">
      <formula>"Towel"</formula>
    </cfRule>
    <cfRule type="cellIs" dxfId="11186" priority="212" stopIfTrue="1" operator="equal">
      <formula>"Napkin Hs"</formula>
    </cfRule>
  </conditionalFormatting>
  <conditionalFormatting sqref="C149">
    <cfRule type="cellIs" dxfId="11185" priority="219" stopIfTrue="1" operator="equal">
      <formula>"Towel"</formula>
    </cfRule>
    <cfRule type="cellIs" dxfId="11184" priority="220" stopIfTrue="1" operator="equal">
      <formula>"Napkin Hs"</formula>
    </cfRule>
  </conditionalFormatting>
  <conditionalFormatting sqref="C149">
    <cfRule type="cellIs" dxfId="11183" priority="221" stopIfTrue="1" operator="equal">
      <formula>"Towel"</formula>
    </cfRule>
    <cfRule type="cellIs" dxfId="11182" priority="222" stopIfTrue="1" operator="equal">
      <formula>"Napkin Hs"</formula>
    </cfRule>
  </conditionalFormatting>
  <conditionalFormatting sqref="B149:C149">
    <cfRule type="cellIs" dxfId="11181" priority="209" stopIfTrue="1" operator="equal">
      <formula>"Towel"</formula>
    </cfRule>
    <cfRule type="cellIs" dxfId="11180" priority="210" stopIfTrue="1" operator="equal">
      <formula>"Napkin Hs"</formula>
    </cfRule>
  </conditionalFormatting>
  <conditionalFormatting sqref="C149">
    <cfRule type="cellIs" dxfId="11179" priority="208" stopIfTrue="1" operator="equal">
      <formula>"Napkin Hs"</formula>
    </cfRule>
  </conditionalFormatting>
  <conditionalFormatting sqref="C149">
    <cfRule type="cellIs" dxfId="11178" priority="205" stopIfTrue="1" operator="equal">
      <formula>"Towel"</formula>
    </cfRule>
    <cfRule type="cellIs" dxfId="11177" priority="206" stopIfTrue="1" operator="equal">
      <formula>"Napkin Hs"</formula>
    </cfRule>
  </conditionalFormatting>
  <conditionalFormatting sqref="C149">
    <cfRule type="cellIs" dxfId="11176" priority="207" stopIfTrue="1" operator="equal">
      <formula>"Towel"</formula>
    </cfRule>
  </conditionalFormatting>
  <conditionalFormatting sqref="B149:C149">
    <cfRule type="cellIs" dxfId="11175" priority="203" stopIfTrue="1" operator="equal">
      <formula>"Towel"</formula>
    </cfRule>
    <cfRule type="cellIs" dxfId="11174" priority="204" stopIfTrue="1" operator="equal">
      <formula>"Napkin Hs"</formula>
    </cfRule>
  </conditionalFormatting>
  <conditionalFormatting sqref="C149">
    <cfRule type="cellIs" dxfId="11173" priority="202" stopIfTrue="1" operator="equal">
      <formula>"Napkin Hs"</formula>
    </cfRule>
  </conditionalFormatting>
  <conditionalFormatting sqref="C149">
    <cfRule type="cellIs" dxfId="11172" priority="199" stopIfTrue="1" operator="equal">
      <formula>"Towel"</formula>
    </cfRule>
    <cfRule type="cellIs" dxfId="11171" priority="200" stopIfTrue="1" operator="equal">
      <formula>"Napkin Hs"</formula>
    </cfRule>
  </conditionalFormatting>
  <conditionalFormatting sqref="C149">
    <cfRule type="cellIs" dxfId="11170" priority="201" stopIfTrue="1" operator="equal">
      <formula>"Towel"</formula>
    </cfRule>
  </conditionalFormatting>
  <conditionalFormatting sqref="C148">
    <cfRule type="cellIs" dxfId="11169" priority="197" stopIfTrue="1" operator="equal">
      <formula>"Towel"</formula>
    </cfRule>
    <cfRule type="cellIs" dxfId="11168" priority="198" stopIfTrue="1" operator="equal">
      <formula>"Napkin Hs"</formula>
    </cfRule>
  </conditionalFormatting>
  <conditionalFormatting sqref="C148">
    <cfRule type="cellIs" dxfId="11167" priority="189" stopIfTrue="1" operator="equal">
      <formula>"Towel"</formula>
    </cfRule>
    <cfRule type="cellIs" dxfId="11166" priority="190" stopIfTrue="1" operator="equal">
      <formula>"Napkin Hs"</formula>
    </cfRule>
  </conditionalFormatting>
  <conditionalFormatting sqref="C148">
    <cfRule type="cellIs" dxfId="11165" priority="187" stopIfTrue="1" operator="equal">
      <formula>"Towel"</formula>
    </cfRule>
    <cfRule type="cellIs" dxfId="11164" priority="188" stopIfTrue="1" operator="equal">
      <formula>"Napkin Hs"</formula>
    </cfRule>
  </conditionalFormatting>
  <conditionalFormatting sqref="C148">
    <cfRule type="cellIs" dxfId="11163" priority="185" stopIfTrue="1" operator="equal">
      <formula>"Towel"</formula>
    </cfRule>
    <cfRule type="cellIs" dxfId="11162" priority="186" stopIfTrue="1" operator="equal">
      <formula>"Napkin Hs"</formula>
    </cfRule>
  </conditionalFormatting>
  <conditionalFormatting sqref="C148">
    <cfRule type="cellIs" dxfId="11161" priority="179" stopIfTrue="1" operator="equal">
      <formula>"Towel"</formula>
    </cfRule>
    <cfRule type="cellIs" dxfId="11160" priority="180" stopIfTrue="1" operator="equal">
      <formula>"Napkin Hs"</formula>
    </cfRule>
  </conditionalFormatting>
  <conditionalFormatting sqref="C148">
    <cfRule type="cellIs" dxfId="11159" priority="181" stopIfTrue="1" operator="equal">
      <formula>"Towel"</formula>
    </cfRule>
    <cfRule type="cellIs" dxfId="11158" priority="182" stopIfTrue="1" operator="equal">
      <formula>"Napkin Hs"</formula>
    </cfRule>
  </conditionalFormatting>
  <conditionalFormatting sqref="C148">
    <cfRule type="cellIs" dxfId="11157" priority="183" stopIfTrue="1" operator="equal">
      <formula>"Towel"</formula>
    </cfRule>
    <cfRule type="cellIs" dxfId="11156" priority="184" stopIfTrue="1" operator="equal">
      <formula>"Napkin Hs"</formula>
    </cfRule>
  </conditionalFormatting>
  <conditionalFormatting sqref="C148">
    <cfRule type="cellIs" dxfId="11155" priority="195" stopIfTrue="1" operator="equal">
      <formula>"Towel"</formula>
    </cfRule>
    <cfRule type="cellIs" dxfId="11154" priority="196" stopIfTrue="1" operator="equal">
      <formula>"Napkin Hs"</formula>
    </cfRule>
  </conditionalFormatting>
  <conditionalFormatting sqref="C148">
    <cfRule type="cellIs" dxfId="11153" priority="193" stopIfTrue="1" operator="equal">
      <formula>"Towel"</formula>
    </cfRule>
    <cfRule type="cellIs" dxfId="11152" priority="194" stopIfTrue="1" operator="equal">
      <formula>"Napkin Hs"</formula>
    </cfRule>
  </conditionalFormatting>
  <conditionalFormatting sqref="C148">
    <cfRule type="cellIs" dxfId="11151" priority="191" stopIfTrue="1" operator="equal">
      <formula>"Towel"</formula>
    </cfRule>
    <cfRule type="cellIs" dxfId="11150" priority="192" stopIfTrue="1" operator="equal">
      <formula>"Napkin Hs"</formula>
    </cfRule>
  </conditionalFormatting>
  <conditionalFormatting sqref="B148">
    <cfRule type="cellIs" dxfId="11149" priority="171" stopIfTrue="1" operator="equal">
      <formula>"Towel"</formula>
    </cfRule>
    <cfRule type="cellIs" dxfId="11148" priority="172" stopIfTrue="1" operator="equal">
      <formula>"Napkin Hs"</formula>
    </cfRule>
  </conditionalFormatting>
  <conditionalFormatting sqref="B148">
    <cfRule type="cellIs" dxfId="11147" priority="169" stopIfTrue="1" operator="equal">
      <formula>"Towel"</formula>
    </cfRule>
    <cfRule type="cellIs" dxfId="11146" priority="170" stopIfTrue="1" operator="equal">
      <formula>"Napkin Hs"</formula>
    </cfRule>
  </conditionalFormatting>
  <conditionalFormatting sqref="B148">
    <cfRule type="cellIs" dxfId="11145" priority="167" stopIfTrue="1" operator="equal">
      <formula>"Towel"</formula>
    </cfRule>
    <cfRule type="cellIs" dxfId="11144" priority="168" stopIfTrue="1" operator="equal">
      <formula>"Napkin Hs"</formula>
    </cfRule>
  </conditionalFormatting>
  <conditionalFormatting sqref="C148">
    <cfRule type="cellIs" dxfId="11143" priority="177" stopIfTrue="1" operator="equal">
      <formula>"Towel"</formula>
    </cfRule>
    <cfRule type="cellIs" dxfId="11142" priority="178" stopIfTrue="1" operator="equal">
      <formula>"Napkin Hs"</formula>
    </cfRule>
  </conditionalFormatting>
  <conditionalFormatting sqref="C148">
    <cfRule type="cellIs" dxfId="11141" priority="175" stopIfTrue="1" operator="equal">
      <formula>"Towel"</formula>
    </cfRule>
    <cfRule type="cellIs" dxfId="11140" priority="176" stopIfTrue="1" operator="equal">
      <formula>"Napkin Hs"</formula>
    </cfRule>
  </conditionalFormatting>
  <conditionalFormatting sqref="B148">
    <cfRule type="cellIs" dxfId="11139" priority="173" stopIfTrue="1" operator="equal">
      <formula>"Towel"</formula>
    </cfRule>
    <cfRule type="cellIs" dxfId="11138" priority="174" stopIfTrue="1" operator="equal">
      <formula>"Napkin Hs"</formula>
    </cfRule>
  </conditionalFormatting>
  <conditionalFormatting sqref="C148">
    <cfRule type="cellIs" dxfId="11137" priority="159" stopIfTrue="1" operator="equal">
      <formula>"Towel"</formula>
    </cfRule>
    <cfRule type="cellIs" dxfId="11136" priority="160" stopIfTrue="1" operator="equal">
      <formula>"Napkin Hs"</formula>
    </cfRule>
  </conditionalFormatting>
  <conditionalFormatting sqref="B148:C148">
    <cfRule type="cellIs" dxfId="11135" priority="161" stopIfTrue="1" operator="equal">
      <formula>"Towel"</formula>
    </cfRule>
    <cfRule type="cellIs" dxfId="11134" priority="162" stopIfTrue="1" operator="equal">
      <formula>"Napkin Hs"</formula>
    </cfRule>
  </conditionalFormatting>
  <conditionalFormatting sqref="C148">
    <cfRule type="cellIs" dxfId="11133" priority="157" stopIfTrue="1" operator="equal">
      <formula>"Towel"</formula>
    </cfRule>
    <cfRule type="cellIs" dxfId="11132" priority="158" stopIfTrue="1" operator="equal">
      <formula>"Napkin Hs"</formula>
    </cfRule>
  </conditionalFormatting>
  <conditionalFormatting sqref="B148:C148">
    <cfRule type="cellIs" dxfId="11131" priority="155" stopIfTrue="1" operator="equal">
      <formula>"Towel"</formula>
    </cfRule>
    <cfRule type="cellIs" dxfId="11130" priority="156" stopIfTrue="1" operator="equal">
      <formula>"Napkin Hs"</formula>
    </cfRule>
  </conditionalFormatting>
  <conditionalFormatting sqref="C148">
    <cfRule type="cellIs" dxfId="11129" priority="163" stopIfTrue="1" operator="equal">
      <formula>"Towel"</formula>
    </cfRule>
    <cfRule type="cellIs" dxfId="11128" priority="164" stopIfTrue="1" operator="equal">
      <formula>"Napkin Hs"</formula>
    </cfRule>
  </conditionalFormatting>
  <conditionalFormatting sqref="C148">
    <cfRule type="cellIs" dxfId="11127" priority="165" stopIfTrue="1" operator="equal">
      <formula>"Towel"</formula>
    </cfRule>
    <cfRule type="cellIs" dxfId="11126" priority="166" stopIfTrue="1" operator="equal">
      <formula>"Napkin Hs"</formula>
    </cfRule>
  </conditionalFormatting>
  <conditionalFormatting sqref="B148:C148">
    <cfRule type="cellIs" dxfId="11125" priority="153" stopIfTrue="1" operator="equal">
      <formula>"Towel"</formula>
    </cfRule>
    <cfRule type="cellIs" dxfId="11124" priority="154" stopIfTrue="1" operator="equal">
      <formula>"Napkin Hs"</formula>
    </cfRule>
  </conditionalFormatting>
  <conditionalFormatting sqref="C148">
    <cfRule type="cellIs" dxfId="11123" priority="152" stopIfTrue="1" operator="equal">
      <formula>"Napkin Hs"</formula>
    </cfRule>
  </conditionalFormatting>
  <conditionalFormatting sqref="C148">
    <cfRule type="cellIs" dxfId="11122" priority="149" stopIfTrue="1" operator="equal">
      <formula>"Towel"</formula>
    </cfRule>
    <cfRule type="cellIs" dxfId="11121" priority="150" stopIfTrue="1" operator="equal">
      <formula>"Napkin Hs"</formula>
    </cfRule>
  </conditionalFormatting>
  <conditionalFormatting sqref="C148">
    <cfRule type="cellIs" dxfId="11120" priority="151" stopIfTrue="1" operator="equal">
      <formula>"Towel"</formula>
    </cfRule>
  </conditionalFormatting>
  <conditionalFormatting sqref="B155:C156">
    <cfRule type="cellIs" dxfId="11119" priority="147" stopIfTrue="1" operator="equal">
      <formula>"Towel"</formula>
    </cfRule>
    <cfRule type="cellIs" dxfId="11118" priority="148" stopIfTrue="1" operator="equal">
      <formula>"Napkin Hs"</formula>
    </cfRule>
  </conditionalFormatting>
  <conditionalFormatting sqref="C155:C156">
    <cfRule type="cellIs" dxfId="11117" priority="146" stopIfTrue="1" operator="equal">
      <formula>"Napkin Hs"</formula>
    </cfRule>
  </conditionalFormatting>
  <conditionalFormatting sqref="C155:C156">
    <cfRule type="cellIs" dxfId="11116" priority="143" stopIfTrue="1" operator="equal">
      <formula>"Towel"</formula>
    </cfRule>
    <cfRule type="cellIs" dxfId="11115" priority="144" stopIfTrue="1" operator="equal">
      <formula>"Napkin Hs"</formula>
    </cfRule>
  </conditionalFormatting>
  <conditionalFormatting sqref="C155:C156">
    <cfRule type="cellIs" dxfId="11114" priority="145" stopIfTrue="1" operator="equal">
      <formula>"Towel"</formula>
    </cfRule>
  </conditionalFormatting>
  <conditionalFormatting sqref="B155:C155">
    <cfRule type="cellIs" dxfId="11113" priority="141" stopIfTrue="1" operator="equal">
      <formula>"Towel"</formula>
    </cfRule>
    <cfRule type="cellIs" dxfId="11112" priority="142" stopIfTrue="1" operator="equal">
      <formula>"Napkin Hs"</formula>
    </cfRule>
  </conditionalFormatting>
  <conditionalFormatting sqref="C155">
    <cfRule type="cellIs" dxfId="11111" priority="140" stopIfTrue="1" operator="equal">
      <formula>"Napkin Hs"</formula>
    </cfRule>
  </conditionalFormatting>
  <conditionalFormatting sqref="C155">
    <cfRule type="cellIs" dxfId="11110" priority="137" stopIfTrue="1" operator="equal">
      <formula>"Towel"</formula>
    </cfRule>
    <cfRule type="cellIs" dxfId="11109" priority="138" stopIfTrue="1" operator="equal">
      <formula>"Napkin Hs"</formula>
    </cfRule>
  </conditionalFormatting>
  <conditionalFormatting sqref="C155">
    <cfRule type="cellIs" dxfId="11108" priority="139" stopIfTrue="1" operator="equal">
      <formula>"Towel"</formula>
    </cfRule>
  </conditionalFormatting>
  <conditionalFormatting sqref="C154">
    <cfRule type="cellIs" dxfId="11107" priority="129" stopIfTrue="1" operator="equal">
      <formula>"Towel"</formula>
    </cfRule>
    <cfRule type="cellIs" dxfId="11106" priority="130" stopIfTrue="1" operator="equal">
      <formula>"Napkin Hs"</formula>
    </cfRule>
  </conditionalFormatting>
  <conditionalFormatting sqref="B154:C154">
    <cfRule type="cellIs" dxfId="11105" priority="131" stopIfTrue="1" operator="equal">
      <formula>"Towel"</formula>
    </cfRule>
    <cfRule type="cellIs" dxfId="11104" priority="132" stopIfTrue="1" operator="equal">
      <formula>"Napkin Hs"</formula>
    </cfRule>
  </conditionalFormatting>
  <conditionalFormatting sqref="C154">
    <cfRule type="cellIs" dxfId="11103" priority="127" stopIfTrue="1" operator="equal">
      <formula>"Towel"</formula>
    </cfRule>
    <cfRule type="cellIs" dxfId="11102" priority="128" stopIfTrue="1" operator="equal">
      <formula>"Napkin Hs"</formula>
    </cfRule>
  </conditionalFormatting>
  <conditionalFormatting sqref="B154:C154">
    <cfRule type="cellIs" dxfId="11101" priority="125" stopIfTrue="1" operator="equal">
      <formula>"Towel"</formula>
    </cfRule>
    <cfRule type="cellIs" dxfId="11100" priority="126" stopIfTrue="1" operator="equal">
      <formula>"Napkin Hs"</formula>
    </cfRule>
  </conditionalFormatting>
  <conditionalFormatting sqref="C154">
    <cfRule type="cellIs" dxfId="11099" priority="133" stopIfTrue="1" operator="equal">
      <formula>"Towel"</formula>
    </cfRule>
    <cfRule type="cellIs" dxfId="11098" priority="134" stopIfTrue="1" operator="equal">
      <formula>"Napkin Hs"</formula>
    </cfRule>
  </conditionalFormatting>
  <conditionalFormatting sqref="C154">
    <cfRule type="cellIs" dxfId="11097" priority="135" stopIfTrue="1" operator="equal">
      <formula>"Towel"</formula>
    </cfRule>
    <cfRule type="cellIs" dxfId="11096" priority="136" stopIfTrue="1" operator="equal">
      <formula>"Napkin Hs"</formula>
    </cfRule>
  </conditionalFormatting>
  <conditionalFormatting sqref="B154:C154">
    <cfRule type="cellIs" dxfId="11095" priority="123" stopIfTrue="1" operator="equal">
      <formula>"Towel"</formula>
    </cfRule>
    <cfRule type="cellIs" dxfId="11094" priority="124" stopIfTrue="1" operator="equal">
      <formula>"Napkin Hs"</formula>
    </cfRule>
  </conditionalFormatting>
  <conditionalFormatting sqref="C154">
    <cfRule type="cellIs" dxfId="11093" priority="122" stopIfTrue="1" operator="equal">
      <formula>"Napkin Hs"</formula>
    </cfRule>
  </conditionalFormatting>
  <conditionalFormatting sqref="C154">
    <cfRule type="cellIs" dxfId="11092" priority="119" stopIfTrue="1" operator="equal">
      <formula>"Towel"</formula>
    </cfRule>
    <cfRule type="cellIs" dxfId="11091" priority="120" stopIfTrue="1" operator="equal">
      <formula>"Napkin Hs"</formula>
    </cfRule>
  </conditionalFormatting>
  <conditionalFormatting sqref="C154">
    <cfRule type="cellIs" dxfId="11090" priority="121" stopIfTrue="1" operator="equal">
      <formula>"Towel"</formula>
    </cfRule>
  </conditionalFormatting>
  <conditionalFormatting sqref="B154:C154">
    <cfRule type="cellIs" dxfId="11089" priority="117" stopIfTrue="1" operator="equal">
      <formula>"Towel"</formula>
    </cfRule>
    <cfRule type="cellIs" dxfId="11088" priority="118" stopIfTrue="1" operator="equal">
      <formula>"Napkin Hs"</formula>
    </cfRule>
  </conditionalFormatting>
  <conditionalFormatting sqref="C154">
    <cfRule type="cellIs" dxfId="11087" priority="116" stopIfTrue="1" operator="equal">
      <formula>"Napkin Hs"</formula>
    </cfRule>
  </conditionalFormatting>
  <conditionalFormatting sqref="C154">
    <cfRule type="cellIs" dxfId="11086" priority="113" stopIfTrue="1" operator="equal">
      <formula>"Towel"</formula>
    </cfRule>
    <cfRule type="cellIs" dxfId="11085" priority="114" stopIfTrue="1" operator="equal">
      <formula>"Napkin Hs"</formula>
    </cfRule>
  </conditionalFormatting>
  <conditionalFormatting sqref="C154">
    <cfRule type="cellIs" dxfId="11084" priority="115" stopIfTrue="1" operator="equal">
      <formula>"Towel"</formula>
    </cfRule>
  </conditionalFormatting>
  <conditionalFormatting sqref="C153">
    <cfRule type="cellIs" dxfId="11083" priority="111" stopIfTrue="1" operator="equal">
      <formula>"Towel"</formula>
    </cfRule>
    <cfRule type="cellIs" dxfId="11082" priority="112" stopIfTrue="1" operator="equal">
      <formula>"Napkin Hs"</formula>
    </cfRule>
  </conditionalFormatting>
  <conditionalFormatting sqref="C153">
    <cfRule type="cellIs" dxfId="11081" priority="103" stopIfTrue="1" operator="equal">
      <formula>"Towel"</formula>
    </cfRule>
    <cfRule type="cellIs" dxfId="11080" priority="104" stopIfTrue="1" operator="equal">
      <formula>"Napkin Hs"</formula>
    </cfRule>
  </conditionalFormatting>
  <conditionalFormatting sqref="C153">
    <cfRule type="cellIs" dxfId="11079" priority="101" stopIfTrue="1" operator="equal">
      <formula>"Towel"</formula>
    </cfRule>
    <cfRule type="cellIs" dxfId="11078" priority="102" stopIfTrue="1" operator="equal">
      <formula>"Napkin Hs"</formula>
    </cfRule>
  </conditionalFormatting>
  <conditionalFormatting sqref="C153">
    <cfRule type="cellIs" dxfId="11077" priority="99" stopIfTrue="1" operator="equal">
      <formula>"Towel"</formula>
    </cfRule>
    <cfRule type="cellIs" dxfId="11076" priority="100" stopIfTrue="1" operator="equal">
      <formula>"Napkin Hs"</formula>
    </cfRule>
  </conditionalFormatting>
  <conditionalFormatting sqref="C153">
    <cfRule type="cellIs" dxfId="11075" priority="93" stopIfTrue="1" operator="equal">
      <formula>"Towel"</formula>
    </cfRule>
    <cfRule type="cellIs" dxfId="11074" priority="94" stopIfTrue="1" operator="equal">
      <formula>"Napkin Hs"</formula>
    </cfRule>
  </conditionalFormatting>
  <conditionalFormatting sqref="C153">
    <cfRule type="cellIs" dxfId="11073" priority="95" stopIfTrue="1" operator="equal">
      <formula>"Towel"</formula>
    </cfRule>
    <cfRule type="cellIs" dxfId="11072" priority="96" stopIfTrue="1" operator="equal">
      <formula>"Napkin Hs"</formula>
    </cfRule>
  </conditionalFormatting>
  <conditionalFormatting sqref="C153">
    <cfRule type="cellIs" dxfId="11071" priority="97" stopIfTrue="1" operator="equal">
      <formula>"Towel"</formula>
    </cfRule>
    <cfRule type="cellIs" dxfId="11070" priority="98" stopIfTrue="1" operator="equal">
      <formula>"Napkin Hs"</formula>
    </cfRule>
  </conditionalFormatting>
  <conditionalFormatting sqref="C153">
    <cfRule type="cellIs" dxfId="11069" priority="109" stopIfTrue="1" operator="equal">
      <formula>"Towel"</formula>
    </cfRule>
    <cfRule type="cellIs" dxfId="11068" priority="110" stopIfTrue="1" operator="equal">
      <formula>"Napkin Hs"</formula>
    </cfRule>
  </conditionalFormatting>
  <conditionalFormatting sqref="C153">
    <cfRule type="cellIs" dxfId="11067" priority="107" stopIfTrue="1" operator="equal">
      <formula>"Towel"</formula>
    </cfRule>
    <cfRule type="cellIs" dxfId="11066" priority="108" stopIfTrue="1" operator="equal">
      <formula>"Napkin Hs"</formula>
    </cfRule>
  </conditionalFormatting>
  <conditionalFormatting sqref="C153">
    <cfRule type="cellIs" dxfId="11065" priority="105" stopIfTrue="1" operator="equal">
      <formula>"Towel"</formula>
    </cfRule>
    <cfRule type="cellIs" dxfId="11064" priority="106" stopIfTrue="1" operator="equal">
      <formula>"Napkin Hs"</formula>
    </cfRule>
  </conditionalFormatting>
  <conditionalFormatting sqref="B153">
    <cfRule type="cellIs" dxfId="11063" priority="85" stopIfTrue="1" operator="equal">
      <formula>"Towel"</formula>
    </cfRule>
    <cfRule type="cellIs" dxfId="11062" priority="86" stopIfTrue="1" operator="equal">
      <formula>"Napkin Hs"</formula>
    </cfRule>
  </conditionalFormatting>
  <conditionalFormatting sqref="B153">
    <cfRule type="cellIs" dxfId="11061" priority="83" stopIfTrue="1" operator="equal">
      <formula>"Towel"</formula>
    </cfRule>
    <cfRule type="cellIs" dxfId="11060" priority="84" stopIfTrue="1" operator="equal">
      <formula>"Napkin Hs"</formula>
    </cfRule>
  </conditionalFormatting>
  <conditionalFormatting sqref="B153">
    <cfRule type="cellIs" dxfId="11059" priority="81" stopIfTrue="1" operator="equal">
      <formula>"Towel"</formula>
    </cfRule>
    <cfRule type="cellIs" dxfId="11058" priority="82" stopIfTrue="1" operator="equal">
      <formula>"Napkin Hs"</formula>
    </cfRule>
  </conditionalFormatting>
  <conditionalFormatting sqref="C153">
    <cfRule type="cellIs" dxfId="11057" priority="91" stopIfTrue="1" operator="equal">
      <formula>"Towel"</formula>
    </cfRule>
    <cfRule type="cellIs" dxfId="11056" priority="92" stopIfTrue="1" operator="equal">
      <formula>"Napkin Hs"</formula>
    </cfRule>
  </conditionalFormatting>
  <conditionalFormatting sqref="C153">
    <cfRule type="cellIs" dxfId="11055" priority="89" stopIfTrue="1" operator="equal">
      <formula>"Towel"</formula>
    </cfRule>
    <cfRule type="cellIs" dxfId="11054" priority="90" stopIfTrue="1" operator="equal">
      <formula>"Napkin Hs"</formula>
    </cfRule>
  </conditionalFormatting>
  <conditionalFormatting sqref="B153">
    <cfRule type="cellIs" dxfId="11053" priority="87" stopIfTrue="1" operator="equal">
      <formula>"Towel"</formula>
    </cfRule>
    <cfRule type="cellIs" dxfId="11052" priority="88" stopIfTrue="1" operator="equal">
      <formula>"Napkin Hs"</formula>
    </cfRule>
  </conditionalFormatting>
  <conditionalFormatting sqref="C153">
    <cfRule type="cellIs" dxfId="11051" priority="73" stopIfTrue="1" operator="equal">
      <formula>"Towel"</formula>
    </cfRule>
    <cfRule type="cellIs" dxfId="11050" priority="74" stopIfTrue="1" operator="equal">
      <formula>"Napkin Hs"</formula>
    </cfRule>
  </conditionalFormatting>
  <conditionalFormatting sqref="B153:C153">
    <cfRule type="cellIs" dxfId="11049" priority="75" stopIfTrue="1" operator="equal">
      <formula>"Towel"</formula>
    </cfRule>
    <cfRule type="cellIs" dxfId="11048" priority="76" stopIfTrue="1" operator="equal">
      <formula>"Napkin Hs"</formula>
    </cfRule>
  </conditionalFormatting>
  <conditionalFormatting sqref="C153">
    <cfRule type="cellIs" dxfId="11047" priority="71" stopIfTrue="1" operator="equal">
      <formula>"Towel"</formula>
    </cfRule>
    <cfRule type="cellIs" dxfId="11046" priority="72" stopIfTrue="1" operator="equal">
      <formula>"Napkin Hs"</formula>
    </cfRule>
  </conditionalFormatting>
  <conditionalFormatting sqref="B153:C153">
    <cfRule type="cellIs" dxfId="11045" priority="69" stopIfTrue="1" operator="equal">
      <formula>"Towel"</formula>
    </cfRule>
    <cfRule type="cellIs" dxfId="11044" priority="70" stopIfTrue="1" operator="equal">
      <formula>"Napkin Hs"</formula>
    </cfRule>
  </conditionalFormatting>
  <conditionalFormatting sqref="C153">
    <cfRule type="cellIs" dxfId="11043" priority="77" stopIfTrue="1" operator="equal">
      <formula>"Towel"</formula>
    </cfRule>
    <cfRule type="cellIs" dxfId="11042" priority="78" stopIfTrue="1" operator="equal">
      <formula>"Napkin Hs"</formula>
    </cfRule>
  </conditionalFormatting>
  <conditionalFormatting sqref="C153">
    <cfRule type="cellIs" dxfId="11041" priority="79" stopIfTrue="1" operator="equal">
      <formula>"Towel"</formula>
    </cfRule>
    <cfRule type="cellIs" dxfId="11040" priority="80" stopIfTrue="1" operator="equal">
      <formula>"Napkin Hs"</formula>
    </cfRule>
  </conditionalFormatting>
  <conditionalFormatting sqref="B153:C153">
    <cfRule type="cellIs" dxfId="11039" priority="67" stopIfTrue="1" operator="equal">
      <formula>"Towel"</formula>
    </cfRule>
    <cfRule type="cellIs" dxfId="11038" priority="68" stopIfTrue="1" operator="equal">
      <formula>"Napkin Hs"</formula>
    </cfRule>
  </conditionalFormatting>
  <conditionalFormatting sqref="C153">
    <cfRule type="cellIs" dxfId="11037" priority="66" stopIfTrue="1" operator="equal">
      <formula>"Napkin Hs"</formula>
    </cfRule>
  </conditionalFormatting>
  <conditionalFormatting sqref="C153">
    <cfRule type="cellIs" dxfId="11036" priority="63" stopIfTrue="1" operator="equal">
      <formula>"Towel"</formula>
    </cfRule>
    <cfRule type="cellIs" dxfId="11035" priority="64" stopIfTrue="1" operator="equal">
      <formula>"Napkin Hs"</formula>
    </cfRule>
  </conditionalFormatting>
  <conditionalFormatting sqref="C153">
    <cfRule type="cellIs" dxfId="11034" priority="65" stopIfTrue="1" operator="equal">
      <formula>"Towel"</formula>
    </cfRule>
  </conditionalFormatting>
  <conditionalFormatting sqref="B160:C161">
    <cfRule type="cellIs" dxfId="11033" priority="61" stopIfTrue="1" operator="equal">
      <formula>"Towel"</formula>
    </cfRule>
    <cfRule type="cellIs" dxfId="11032" priority="62" stopIfTrue="1" operator="equal">
      <formula>"Napkin Hs"</formula>
    </cfRule>
  </conditionalFormatting>
  <conditionalFormatting sqref="C160:C161">
    <cfRule type="cellIs" dxfId="11031" priority="60" stopIfTrue="1" operator="equal">
      <formula>"Napkin Hs"</formula>
    </cfRule>
  </conditionalFormatting>
  <conditionalFormatting sqref="C160:C161">
    <cfRule type="cellIs" dxfId="11030" priority="57" stopIfTrue="1" operator="equal">
      <formula>"Towel"</formula>
    </cfRule>
    <cfRule type="cellIs" dxfId="11029" priority="58" stopIfTrue="1" operator="equal">
      <formula>"Napkin Hs"</formula>
    </cfRule>
  </conditionalFormatting>
  <conditionalFormatting sqref="C160:C161">
    <cfRule type="cellIs" dxfId="11028" priority="59" stopIfTrue="1" operator="equal">
      <formula>"Towel"</formula>
    </cfRule>
  </conditionalFormatting>
  <conditionalFormatting sqref="B160:C160">
    <cfRule type="cellIs" dxfId="11027" priority="55" stopIfTrue="1" operator="equal">
      <formula>"Towel"</formula>
    </cfRule>
    <cfRule type="cellIs" dxfId="11026" priority="56" stopIfTrue="1" operator="equal">
      <formula>"Napkin Hs"</formula>
    </cfRule>
  </conditionalFormatting>
  <conditionalFormatting sqref="C160">
    <cfRule type="cellIs" dxfId="11025" priority="54" stopIfTrue="1" operator="equal">
      <formula>"Napkin Hs"</formula>
    </cfRule>
  </conditionalFormatting>
  <conditionalFormatting sqref="C160">
    <cfRule type="cellIs" dxfId="11024" priority="51" stopIfTrue="1" operator="equal">
      <formula>"Towel"</formula>
    </cfRule>
    <cfRule type="cellIs" dxfId="11023" priority="52" stopIfTrue="1" operator="equal">
      <formula>"Napkin Hs"</formula>
    </cfRule>
  </conditionalFormatting>
  <conditionalFormatting sqref="C160">
    <cfRule type="cellIs" dxfId="11022" priority="53" stopIfTrue="1" operator="equal">
      <formula>"Towel"</formula>
    </cfRule>
  </conditionalFormatting>
  <conditionalFormatting sqref="C158:C159">
    <cfRule type="cellIs" dxfId="11021" priority="49" stopIfTrue="1" operator="equal">
      <formula>"Towel"</formula>
    </cfRule>
    <cfRule type="cellIs" dxfId="11020" priority="50" stopIfTrue="1" operator="equal">
      <formula>"Napkin Hs"</formula>
    </cfRule>
  </conditionalFormatting>
  <conditionalFormatting sqref="C158:C159">
    <cfRule type="cellIs" dxfId="11019" priority="41" stopIfTrue="1" operator="equal">
      <formula>"Towel"</formula>
    </cfRule>
    <cfRule type="cellIs" dxfId="11018" priority="42" stopIfTrue="1" operator="equal">
      <formula>"Napkin Hs"</formula>
    </cfRule>
  </conditionalFormatting>
  <conditionalFormatting sqref="C158:C159">
    <cfRule type="cellIs" dxfId="11017" priority="39" stopIfTrue="1" operator="equal">
      <formula>"Towel"</formula>
    </cfRule>
    <cfRule type="cellIs" dxfId="11016" priority="40" stopIfTrue="1" operator="equal">
      <formula>"Napkin Hs"</formula>
    </cfRule>
  </conditionalFormatting>
  <conditionalFormatting sqref="C158:C159">
    <cfRule type="cellIs" dxfId="11015" priority="37" stopIfTrue="1" operator="equal">
      <formula>"Towel"</formula>
    </cfRule>
    <cfRule type="cellIs" dxfId="11014" priority="38" stopIfTrue="1" operator="equal">
      <formula>"Napkin Hs"</formula>
    </cfRule>
  </conditionalFormatting>
  <conditionalFormatting sqref="C158:C159">
    <cfRule type="cellIs" dxfId="11013" priority="31" stopIfTrue="1" operator="equal">
      <formula>"Towel"</formula>
    </cfRule>
    <cfRule type="cellIs" dxfId="11012" priority="32" stopIfTrue="1" operator="equal">
      <formula>"Napkin Hs"</formula>
    </cfRule>
  </conditionalFormatting>
  <conditionalFormatting sqref="C158:C159">
    <cfRule type="cellIs" dxfId="11011" priority="33" stopIfTrue="1" operator="equal">
      <formula>"Towel"</formula>
    </cfRule>
    <cfRule type="cellIs" dxfId="11010" priority="34" stopIfTrue="1" operator="equal">
      <formula>"Napkin Hs"</formula>
    </cfRule>
  </conditionalFormatting>
  <conditionalFormatting sqref="C158:C159">
    <cfRule type="cellIs" dxfId="11009" priority="35" stopIfTrue="1" operator="equal">
      <formula>"Towel"</formula>
    </cfRule>
    <cfRule type="cellIs" dxfId="11008" priority="36" stopIfTrue="1" operator="equal">
      <formula>"Napkin Hs"</formula>
    </cfRule>
  </conditionalFormatting>
  <conditionalFormatting sqref="C158:C159">
    <cfRule type="cellIs" dxfId="11007" priority="47" stopIfTrue="1" operator="equal">
      <formula>"Towel"</formula>
    </cfRule>
    <cfRule type="cellIs" dxfId="11006" priority="48" stopIfTrue="1" operator="equal">
      <formula>"Napkin Hs"</formula>
    </cfRule>
  </conditionalFormatting>
  <conditionalFormatting sqref="C158:C159">
    <cfRule type="cellIs" dxfId="11005" priority="45" stopIfTrue="1" operator="equal">
      <formula>"Towel"</formula>
    </cfRule>
    <cfRule type="cellIs" dxfId="11004" priority="46" stopIfTrue="1" operator="equal">
      <formula>"Napkin Hs"</formula>
    </cfRule>
  </conditionalFormatting>
  <conditionalFormatting sqref="C158:C159">
    <cfRule type="cellIs" dxfId="11003" priority="43" stopIfTrue="1" operator="equal">
      <formula>"Towel"</formula>
    </cfRule>
    <cfRule type="cellIs" dxfId="11002" priority="44" stopIfTrue="1" operator="equal">
      <formula>"Napkin Hs"</formula>
    </cfRule>
  </conditionalFormatting>
  <conditionalFormatting sqref="B158:B159">
    <cfRule type="cellIs" dxfId="11001" priority="23" stopIfTrue="1" operator="equal">
      <formula>"Towel"</formula>
    </cfRule>
    <cfRule type="cellIs" dxfId="11000" priority="24" stopIfTrue="1" operator="equal">
      <formula>"Napkin Hs"</formula>
    </cfRule>
  </conditionalFormatting>
  <conditionalFormatting sqref="B158:B159">
    <cfRule type="cellIs" dxfId="10999" priority="21" stopIfTrue="1" operator="equal">
      <formula>"Towel"</formula>
    </cfRule>
    <cfRule type="cellIs" dxfId="10998" priority="22" stopIfTrue="1" operator="equal">
      <formula>"Napkin Hs"</formula>
    </cfRule>
  </conditionalFormatting>
  <conditionalFormatting sqref="B158:B159">
    <cfRule type="cellIs" dxfId="10997" priority="19" stopIfTrue="1" operator="equal">
      <formula>"Towel"</formula>
    </cfRule>
    <cfRule type="cellIs" dxfId="10996" priority="20" stopIfTrue="1" operator="equal">
      <formula>"Napkin Hs"</formula>
    </cfRule>
  </conditionalFormatting>
  <conditionalFormatting sqref="C158:C159">
    <cfRule type="cellIs" dxfId="10995" priority="29" stopIfTrue="1" operator="equal">
      <formula>"Towel"</formula>
    </cfRule>
    <cfRule type="cellIs" dxfId="10994" priority="30" stopIfTrue="1" operator="equal">
      <formula>"Napkin Hs"</formula>
    </cfRule>
  </conditionalFormatting>
  <conditionalFormatting sqref="C158:C159">
    <cfRule type="cellIs" dxfId="10993" priority="27" stopIfTrue="1" operator="equal">
      <formula>"Towel"</formula>
    </cfRule>
    <cfRule type="cellIs" dxfId="10992" priority="28" stopIfTrue="1" operator="equal">
      <formula>"Napkin Hs"</formula>
    </cfRule>
  </conditionalFormatting>
  <conditionalFormatting sqref="B158:B159">
    <cfRule type="cellIs" dxfId="10991" priority="25" stopIfTrue="1" operator="equal">
      <formula>"Towel"</formula>
    </cfRule>
    <cfRule type="cellIs" dxfId="10990" priority="26" stopIfTrue="1" operator="equal">
      <formula>"Napkin Hs"</formula>
    </cfRule>
  </conditionalFormatting>
  <conditionalFormatting sqref="C158:C159">
    <cfRule type="cellIs" dxfId="10989" priority="11" stopIfTrue="1" operator="equal">
      <formula>"Towel"</formula>
    </cfRule>
    <cfRule type="cellIs" dxfId="10988" priority="12" stopIfTrue="1" operator="equal">
      <formula>"Napkin Hs"</formula>
    </cfRule>
  </conditionalFormatting>
  <conditionalFormatting sqref="B158:C159">
    <cfRule type="cellIs" dxfId="10987" priority="13" stopIfTrue="1" operator="equal">
      <formula>"Towel"</formula>
    </cfRule>
    <cfRule type="cellIs" dxfId="10986" priority="14" stopIfTrue="1" operator="equal">
      <formula>"Napkin Hs"</formula>
    </cfRule>
  </conditionalFormatting>
  <conditionalFormatting sqref="C158:C159">
    <cfRule type="cellIs" dxfId="10985" priority="9" stopIfTrue="1" operator="equal">
      <formula>"Towel"</formula>
    </cfRule>
    <cfRule type="cellIs" dxfId="10984" priority="10" stopIfTrue="1" operator="equal">
      <formula>"Napkin Hs"</formula>
    </cfRule>
  </conditionalFormatting>
  <conditionalFormatting sqref="B158:C159">
    <cfRule type="cellIs" dxfId="10983" priority="7" stopIfTrue="1" operator="equal">
      <formula>"Towel"</formula>
    </cfRule>
    <cfRule type="cellIs" dxfId="10982" priority="8" stopIfTrue="1" operator="equal">
      <formula>"Napkin Hs"</formula>
    </cfRule>
  </conditionalFormatting>
  <conditionalFormatting sqref="C158:C159">
    <cfRule type="cellIs" dxfId="10981" priority="15" stopIfTrue="1" operator="equal">
      <formula>"Towel"</formula>
    </cfRule>
    <cfRule type="cellIs" dxfId="10980" priority="16" stopIfTrue="1" operator="equal">
      <formula>"Napkin Hs"</formula>
    </cfRule>
  </conditionalFormatting>
  <conditionalFormatting sqref="C158:C159">
    <cfRule type="cellIs" dxfId="10979" priority="17" stopIfTrue="1" operator="equal">
      <formula>"Towel"</formula>
    </cfRule>
    <cfRule type="cellIs" dxfId="10978" priority="18" stopIfTrue="1" operator="equal">
      <formula>"Napkin Hs"</formula>
    </cfRule>
  </conditionalFormatting>
  <conditionalFormatting sqref="B158:C159">
    <cfRule type="cellIs" dxfId="10977" priority="5" stopIfTrue="1" operator="equal">
      <formula>"Towel"</formula>
    </cfRule>
    <cfRule type="cellIs" dxfId="10976" priority="6" stopIfTrue="1" operator="equal">
      <formula>"Napkin Hs"</formula>
    </cfRule>
  </conditionalFormatting>
  <conditionalFormatting sqref="C158:C159">
    <cfRule type="cellIs" dxfId="10975" priority="4" stopIfTrue="1" operator="equal">
      <formula>"Napkin Hs"</formula>
    </cfRule>
  </conditionalFormatting>
  <conditionalFormatting sqref="C158:C159">
    <cfRule type="cellIs" dxfId="10974" priority="1" stopIfTrue="1" operator="equal">
      <formula>"Towel"</formula>
    </cfRule>
    <cfRule type="cellIs" dxfId="10973" priority="2" stopIfTrue="1" operator="equal">
      <formula>"Napkin Hs"</formula>
    </cfRule>
  </conditionalFormatting>
  <conditionalFormatting sqref="C158:C159">
    <cfRule type="cellIs" dxfId="10972" priority="3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69"/>
  <sheetViews>
    <sheetView zoomScale="90" zoomScaleNormal="90" workbookViewId="0">
      <pane xSplit="6" ySplit="6" topLeftCell="AN108" activePane="bottomRight" state="frozen"/>
      <selection pane="topRight" activeCell="F1" sqref="F1"/>
      <selection pane="bottomLeft" activeCell="A7" sqref="A7"/>
      <selection pane="bottomRight" activeCell="AP110" sqref="AP110"/>
    </sheetView>
  </sheetViews>
  <sheetFormatPr defaultColWidth="10.28515625" defaultRowHeight="12" x14ac:dyDescent="0.2"/>
  <cols>
    <col min="1" max="1" width="12.28515625" style="156" customWidth="1"/>
    <col min="2" max="3" width="14.140625" style="156" customWidth="1"/>
    <col min="4" max="4" width="10.28515625" style="156" customWidth="1"/>
    <col min="5" max="5" width="7.5703125" style="156" bestFit="1" customWidth="1"/>
    <col min="6" max="6" width="7" style="158" customWidth="1"/>
    <col min="7" max="9" width="10.28515625" style="156" customWidth="1"/>
    <col min="10" max="11" width="10.28515625" style="157" customWidth="1"/>
    <col min="12" max="13" width="12.7109375" style="159" customWidth="1"/>
    <col min="14" max="15" width="10.28515625" style="156" customWidth="1"/>
    <col min="16" max="16" width="16.85546875" style="156" bestFit="1" customWidth="1"/>
    <col min="17" max="17" width="12.7109375" style="58" customWidth="1"/>
    <col min="18" max="19" width="10.28515625" style="156" customWidth="1"/>
    <col min="20" max="20" width="10.7109375" style="156" customWidth="1"/>
    <col min="21" max="21" width="10.28515625" style="156" customWidth="1"/>
    <col min="22" max="22" width="12.28515625" style="156" customWidth="1"/>
    <col min="23" max="23" width="13" style="156" customWidth="1"/>
    <col min="24" max="24" width="10.28515625" style="156" customWidth="1"/>
    <col min="25" max="25" width="10.140625" style="156" customWidth="1"/>
    <col min="26" max="28" width="10.28515625" style="156" customWidth="1"/>
    <col min="29" max="29" width="12" style="156" customWidth="1"/>
    <col min="30" max="30" width="11.42578125" style="156" bestFit="1" customWidth="1"/>
    <col min="31" max="31" width="47.140625" style="156" customWidth="1"/>
    <col min="32" max="37" width="10.28515625" style="156" customWidth="1"/>
    <col min="38" max="39" width="11.7109375" style="156" customWidth="1"/>
    <col min="40" max="41" width="10.28515625" style="156" customWidth="1"/>
    <col min="42" max="42" width="12.42578125" style="156" customWidth="1"/>
    <col min="43" max="43" width="12.5703125" style="156" customWidth="1"/>
    <col min="44" max="44" width="29.7109375" style="156" bestFit="1" customWidth="1"/>
    <col min="45" max="51" width="10.28515625" style="156"/>
    <col min="52" max="52" width="13.42578125" style="156" customWidth="1"/>
    <col min="53" max="16384" width="10.28515625" style="156"/>
  </cols>
  <sheetData>
    <row r="1" spans="1:58" s="197" customFormat="1" ht="15.75" x14ac:dyDescent="0.25">
      <c r="A1" s="200" t="s">
        <v>209</v>
      </c>
      <c r="G1" s="40"/>
      <c r="H1" s="40"/>
      <c r="I1" s="40"/>
      <c r="J1" s="41"/>
      <c r="K1" s="41"/>
      <c r="L1" s="198"/>
      <c r="M1" s="198"/>
      <c r="O1" s="40"/>
      <c r="P1" s="42"/>
      <c r="Q1" s="40"/>
      <c r="R1" s="42"/>
      <c r="S1" s="42"/>
      <c r="W1" s="42"/>
      <c r="X1" s="43"/>
      <c r="Y1" s="43"/>
      <c r="Z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</row>
    <row r="2" spans="1:58" s="197" customFormat="1" x14ac:dyDescent="0.2">
      <c r="A2" s="199"/>
      <c r="G2" s="40"/>
      <c r="H2" s="40"/>
      <c r="I2" s="40"/>
      <c r="J2" s="41"/>
      <c r="K2" s="41"/>
      <c r="L2" s="198"/>
      <c r="M2" s="198"/>
      <c r="O2" s="40"/>
      <c r="P2" s="42"/>
      <c r="Q2" s="40"/>
      <c r="R2" s="42"/>
      <c r="S2" s="42"/>
      <c r="W2" s="42"/>
      <c r="X2" s="43"/>
      <c r="Y2" s="43"/>
      <c r="Z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</row>
    <row r="3" spans="1:58" ht="24" customHeight="1" x14ac:dyDescent="0.35">
      <c r="A3" s="327" t="s">
        <v>58</v>
      </c>
      <c r="B3" s="327" t="s">
        <v>59</v>
      </c>
      <c r="C3" s="327" t="s">
        <v>60</v>
      </c>
      <c r="D3" s="327" t="s">
        <v>61</v>
      </c>
      <c r="E3" s="327" t="s">
        <v>62</v>
      </c>
      <c r="F3" s="327" t="s">
        <v>63</v>
      </c>
      <c r="G3" s="272" t="s">
        <v>64</v>
      </c>
      <c r="H3" s="273"/>
      <c r="I3" s="273"/>
      <c r="J3" s="273"/>
      <c r="K3" s="274"/>
      <c r="L3" s="335" t="s">
        <v>65</v>
      </c>
      <c r="M3" s="336"/>
      <c r="N3" s="337"/>
      <c r="O3" s="284" t="s">
        <v>66</v>
      </c>
      <c r="P3" s="286" t="s">
        <v>67</v>
      </c>
      <c r="Q3" s="284" t="s">
        <v>68</v>
      </c>
      <c r="R3" s="269" t="s">
        <v>69</v>
      </c>
      <c r="S3" s="269" t="s">
        <v>70</v>
      </c>
      <c r="T3" s="327" t="s">
        <v>71</v>
      </c>
      <c r="U3" s="327" t="s">
        <v>72</v>
      </c>
      <c r="V3" s="327" t="s">
        <v>73</v>
      </c>
      <c r="W3" s="269" t="s">
        <v>74</v>
      </c>
      <c r="X3" s="289" t="s">
        <v>75</v>
      </c>
      <c r="Y3" s="289" t="s">
        <v>181</v>
      </c>
      <c r="Z3" s="269" t="s">
        <v>76</v>
      </c>
      <c r="AA3" s="327" t="s">
        <v>77</v>
      </c>
      <c r="AB3" s="327" t="s">
        <v>78</v>
      </c>
      <c r="AC3" s="327" t="s">
        <v>79</v>
      </c>
      <c r="AD3" s="327" t="s">
        <v>80</v>
      </c>
      <c r="AE3" s="327" t="s">
        <v>81</v>
      </c>
      <c r="AF3" s="333" t="s">
        <v>82</v>
      </c>
      <c r="AG3" s="333"/>
      <c r="AH3" s="333"/>
      <c r="AI3" s="333"/>
      <c r="AJ3" s="333"/>
      <c r="AK3" s="333"/>
      <c r="AL3" s="333"/>
      <c r="AM3" s="299" t="s">
        <v>83</v>
      </c>
      <c r="AN3" s="302" t="s">
        <v>84</v>
      </c>
      <c r="AO3" s="302"/>
      <c r="AP3" s="302"/>
      <c r="AQ3" s="302"/>
      <c r="AR3" s="302"/>
      <c r="AS3" s="303" t="s">
        <v>11</v>
      </c>
      <c r="AT3" s="292" t="s">
        <v>160</v>
      </c>
      <c r="AU3" s="293"/>
      <c r="AV3" s="328" t="s">
        <v>86</v>
      </c>
      <c r="AW3" s="329"/>
      <c r="AX3" s="330" t="s">
        <v>86</v>
      </c>
      <c r="AY3" s="331"/>
      <c r="AZ3" s="318" t="s">
        <v>194</v>
      </c>
      <c r="BA3" s="297" t="s">
        <v>85</v>
      </c>
      <c r="BB3" s="326" t="s">
        <v>87</v>
      </c>
      <c r="BC3" s="326" t="s">
        <v>88</v>
      </c>
      <c r="BD3" s="323" t="s">
        <v>199</v>
      </c>
      <c r="BE3" s="318" t="s">
        <v>200</v>
      </c>
      <c r="BF3" s="326" t="s">
        <v>201</v>
      </c>
    </row>
    <row r="4" spans="1:58" ht="12" customHeight="1" x14ac:dyDescent="0.2">
      <c r="A4" s="332"/>
      <c r="B4" s="332"/>
      <c r="C4" s="332"/>
      <c r="D4" s="332"/>
      <c r="E4" s="332"/>
      <c r="F4" s="332"/>
      <c r="G4" s="275"/>
      <c r="H4" s="276"/>
      <c r="I4" s="276"/>
      <c r="J4" s="276"/>
      <c r="K4" s="277"/>
      <c r="L4" s="338"/>
      <c r="M4" s="339"/>
      <c r="N4" s="340"/>
      <c r="O4" s="285"/>
      <c r="P4" s="287"/>
      <c r="Q4" s="285"/>
      <c r="R4" s="270"/>
      <c r="S4" s="270"/>
      <c r="T4" s="332"/>
      <c r="U4" s="332"/>
      <c r="V4" s="332"/>
      <c r="W4" s="270"/>
      <c r="X4" s="290"/>
      <c r="Y4" s="290"/>
      <c r="Z4" s="270"/>
      <c r="AA4" s="332"/>
      <c r="AB4" s="332"/>
      <c r="AC4" s="332"/>
      <c r="AD4" s="332"/>
      <c r="AE4" s="332"/>
      <c r="AF4" s="311" t="s">
        <v>89</v>
      </c>
      <c r="AG4" s="312"/>
      <c r="AH4" s="313"/>
      <c r="AI4" s="287" t="s">
        <v>90</v>
      </c>
      <c r="AJ4" s="287" t="s">
        <v>91</v>
      </c>
      <c r="AK4" s="287" t="s">
        <v>93</v>
      </c>
      <c r="AL4" s="287" t="s">
        <v>92</v>
      </c>
      <c r="AM4" s="300"/>
      <c r="AN4" s="296" t="s">
        <v>94</v>
      </c>
      <c r="AO4" s="296" t="s">
        <v>91</v>
      </c>
      <c r="AP4" s="296" t="s">
        <v>95</v>
      </c>
      <c r="AQ4" s="296" t="s">
        <v>92</v>
      </c>
      <c r="AR4" s="297" t="s">
        <v>96</v>
      </c>
      <c r="AS4" s="303"/>
      <c r="AT4" s="294"/>
      <c r="AU4" s="295"/>
      <c r="AV4" s="164" t="s">
        <v>192</v>
      </c>
      <c r="AW4" s="164" t="s">
        <v>97</v>
      </c>
      <c r="AX4" s="237" t="s">
        <v>192</v>
      </c>
      <c r="AY4" s="165" t="s">
        <v>97</v>
      </c>
      <c r="AZ4" s="319"/>
      <c r="BA4" s="297"/>
      <c r="BB4" s="326"/>
      <c r="BC4" s="326"/>
      <c r="BD4" s="324"/>
      <c r="BE4" s="319"/>
      <c r="BF4" s="326"/>
    </row>
    <row r="5" spans="1:58" s="193" customFormat="1" ht="48" x14ac:dyDescent="0.25">
      <c r="A5" s="332"/>
      <c r="B5" s="332"/>
      <c r="C5" s="334"/>
      <c r="D5" s="332"/>
      <c r="E5" s="332"/>
      <c r="F5" s="332"/>
      <c r="G5" s="239" t="s">
        <v>98</v>
      </c>
      <c r="H5" s="241" t="s">
        <v>99</v>
      </c>
      <c r="I5" s="196" t="s">
        <v>100</v>
      </c>
      <c r="J5" s="195" t="s">
        <v>101</v>
      </c>
      <c r="K5" s="195" t="s">
        <v>102</v>
      </c>
      <c r="L5" s="194" t="s">
        <v>103</v>
      </c>
      <c r="M5" s="194" t="s">
        <v>104</v>
      </c>
      <c r="N5" s="241" t="s">
        <v>105</v>
      </c>
      <c r="O5" s="285"/>
      <c r="P5" s="288"/>
      <c r="Q5" s="285"/>
      <c r="R5" s="270"/>
      <c r="S5" s="270"/>
      <c r="T5" s="332"/>
      <c r="U5" s="332"/>
      <c r="V5" s="332"/>
      <c r="W5" s="270"/>
      <c r="X5" s="290"/>
      <c r="Y5" s="291"/>
      <c r="Z5" s="270"/>
      <c r="AA5" s="332"/>
      <c r="AB5" s="334"/>
      <c r="AC5" s="332"/>
      <c r="AD5" s="334"/>
      <c r="AE5" s="332"/>
      <c r="AF5" s="44" t="s">
        <v>106</v>
      </c>
      <c r="AG5" s="236" t="s">
        <v>107</v>
      </c>
      <c r="AH5" s="236" t="s">
        <v>108</v>
      </c>
      <c r="AI5" s="288"/>
      <c r="AJ5" s="288"/>
      <c r="AK5" s="288"/>
      <c r="AL5" s="288"/>
      <c r="AM5" s="301"/>
      <c r="AN5" s="286"/>
      <c r="AO5" s="286"/>
      <c r="AP5" s="286"/>
      <c r="AQ5" s="286"/>
      <c r="AR5" s="269"/>
      <c r="AS5" s="304"/>
      <c r="AT5" s="238" t="s">
        <v>182</v>
      </c>
      <c r="AU5" s="238" t="s">
        <v>183</v>
      </c>
      <c r="AV5" s="240" t="s">
        <v>184</v>
      </c>
      <c r="AW5" s="240" t="s">
        <v>184</v>
      </c>
      <c r="AX5" s="237" t="s">
        <v>173</v>
      </c>
      <c r="AY5" s="237" t="s">
        <v>173</v>
      </c>
      <c r="AZ5" s="320"/>
      <c r="BA5" s="269"/>
      <c r="BB5" s="327"/>
      <c r="BC5" s="327"/>
      <c r="BD5" s="325"/>
      <c r="BE5" s="320"/>
      <c r="BF5" s="327"/>
    </row>
    <row r="6" spans="1:58" ht="12.95" customHeight="1" x14ac:dyDescent="0.2">
      <c r="A6" s="117">
        <f>+[5]Report1!A9</f>
        <v>45962</v>
      </c>
      <c r="B6" s="118" t="s">
        <v>168</v>
      </c>
      <c r="C6" s="119">
        <f>(M6*E6*O6*Q6)/100000000</f>
        <v>8.1330907621052635</v>
      </c>
      <c r="D6" s="118" t="s">
        <v>177</v>
      </c>
      <c r="E6" s="37">
        <v>13</v>
      </c>
      <c r="F6" s="37">
        <v>1</v>
      </c>
      <c r="G6" s="242">
        <v>1330</v>
      </c>
      <c r="H6" s="243">
        <f>+N6</f>
        <v>0.23037037037037034</v>
      </c>
      <c r="I6" s="45">
        <v>0.88</v>
      </c>
      <c r="J6" s="46">
        <f>E6*G6*(1-H6)*1440/1000000*2.87</f>
        <v>54.994741013333332</v>
      </c>
      <c r="K6" s="46">
        <f>(IF(G6&lt;L6,L6,G6)*(1-IF(H6&lt;N6,H6,N6))*E6*O6*Q6)/100000000</f>
        <v>8.1330907621052635</v>
      </c>
      <c r="L6" s="184">
        <v>1350</v>
      </c>
      <c r="M6" s="184">
        <v>1039</v>
      </c>
      <c r="N6" s="47">
        <f>1-(M6/L6)</f>
        <v>0.23037037037037034</v>
      </c>
      <c r="O6" s="48">
        <f>+'[5]Trim Rwd'!H4</f>
        <v>276.21052631578948</v>
      </c>
      <c r="P6" s="49">
        <f>O6*(Q6-R6-S6)</f>
        <v>54689.68421052632</v>
      </c>
      <c r="Q6" s="48">
        <v>218</v>
      </c>
      <c r="R6" s="123">
        <v>0</v>
      </c>
      <c r="S6" s="123">
        <v>20</v>
      </c>
      <c r="T6" s="50">
        <f>E6*M6*O6*Q6/100000000</f>
        <v>8.1330907621052635</v>
      </c>
      <c r="U6" s="50">
        <f>E6*M6*O6*(Q6-R6-S6)/100000000</f>
        <v>7.3869356463157896</v>
      </c>
      <c r="V6" s="50">
        <f>E6*G6*(1-N6)*O6/100*(R6+S6)/1000000</f>
        <v>0.735100965925926</v>
      </c>
      <c r="W6" s="50">
        <f>+'[5]1'!K7/1000</f>
        <v>10.303000000000001</v>
      </c>
      <c r="X6" s="51">
        <f>SUM(W6:W9)/SUM(K6:K9)</f>
        <v>0.94810263607529854</v>
      </c>
      <c r="Y6" s="50">
        <v>0</v>
      </c>
      <c r="Z6" s="50">
        <v>0</v>
      </c>
      <c r="AA6" s="53">
        <f>SUM(U6:U9)-SUM(W6:W9)-SUM(Z6:Z9)-SUM(Y6:Y9)</f>
        <v>1.0220478206578534</v>
      </c>
      <c r="AB6" s="53">
        <f>(SUM(K6:K9)-SUM(W6:W9)-SUM(Y6:Y9)-SUM(Z6:Z9)-SUM(AC6:AC9)-SUM(V6:V9))-AA6</f>
        <v>3.846090252147949E-2</v>
      </c>
      <c r="AC6" s="50">
        <f>K6-T6</f>
        <v>0</v>
      </c>
      <c r="AD6" s="50">
        <f>+AM6+BA6</f>
        <v>20</v>
      </c>
      <c r="AE6" s="187" t="s">
        <v>134</v>
      </c>
      <c r="AF6" s="50">
        <v>20</v>
      </c>
      <c r="AG6" s="50"/>
      <c r="AH6" s="50"/>
      <c r="AI6" s="54"/>
      <c r="AJ6" s="50"/>
      <c r="AK6" s="50"/>
      <c r="AL6" s="50"/>
      <c r="AM6" s="50">
        <f>SUM(AF6:AL6)+AT6+AV6+AX6</f>
        <v>20</v>
      </c>
      <c r="AN6" s="50"/>
      <c r="AO6" s="50"/>
      <c r="AP6" s="50"/>
      <c r="AQ6" s="50"/>
      <c r="AR6" s="50">
        <f>SUM(AN6:AQ6)</f>
        <v>0</v>
      </c>
      <c r="AS6" s="50"/>
      <c r="AT6" s="50"/>
      <c r="AU6" s="50"/>
      <c r="AV6" s="50"/>
      <c r="AW6" s="50"/>
      <c r="AX6" s="50"/>
      <c r="AY6" s="50"/>
      <c r="AZ6" s="50"/>
      <c r="BA6" s="50">
        <f>+AR6+AS6+AU6+AW6+AY6+AZ6</f>
        <v>0</v>
      </c>
      <c r="BB6" s="180">
        <v>4</v>
      </c>
      <c r="BC6" s="116"/>
      <c r="BD6" s="116"/>
      <c r="BE6" s="180"/>
      <c r="BF6" s="116"/>
    </row>
    <row r="7" spans="1:58" ht="12.95" customHeight="1" x14ac:dyDescent="0.2">
      <c r="A7" s="117"/>
      <c r="B7" s="118" t="s">
        <v>168</v>
      </c>
      <c r="C7" s="119">
        <f>(M7*E7*O7*Q7)/100000000</f>
        <v>46.443278958999997</v>
      </c>
      <c r="D7" s="118" t="s">
        <v>177</v>
      </c>
      <c r="E7" s="37">
        <v>15.5</v>
      </c>
      <c r="F7" s="37">
        <v>1</v>
      </c>
      <c r="G7" s="242">
        <v>1120</v>
      </c>
      <c r="H7" s="243">
        <f>+N7</f>
        <v>0.22999999999999998</v>
      </c>
      <c r="I7" s="45">
        <v>0.88</v>
      </c>
      <c r="J7" s="46">
        <f>E7*G7*(1-H7)*1440/1000000*2.87</f>
        <v>55.243964159999997</v>
      </c>
      <c r="K7" s="46">
        <f>(IF(G7&lt;L7,L7,G7)*(1-IF(H7&lt;N7,H7,N7))*E7*O7*Q7)/100000000</f>
        <v>46.443278958999997</v>
      </c>
      <c r="L7" s="184">
        <v>1149.607201309329</v>
      </c>
      <c r="M7" s="184">
        <v>885.19754500818328</v>
      </c>
      <c r="N7" s="47">
        <f>1-(M7/L7)</f>
        <v>0.22999999999999998</v>
      </c>
      <c r="O7" s="48">
        <f>+'[5]Trim Rwd'!H6</f>
        <v>277</v>
      </c>
      <c r="P7" s="49">
        <f>O7*(Q7-R7-S7)</f>
        <v>330738</v>
      </c>
      <c r="Q7" s="48">
        <v>1222</v>
      </c>
      <c r="R7" s="123">
        <v>0</v>
      </c>
      <c r="S7" s="123">
        <v>28</v>
      </c>
      <c r="T7" s="50">
        <f>E7*M7*O7*Q7/100000000</f>
        <v>46.443278958999997</v>
      </c>
      <c r="U7" s="50">
        <f>E7*M7*O7*(Q7-R7-S7)/100000000</f>
        <v>45.379112174342062</v>
      </c>
      <c r="V7" s="50">
        <f>E7*G7*(1-N7)*O7/100*(R7+S7)/1000000</f>
        <v>1.0367600320000001</v>
      </c>
      <c r="W7" s="50">
        <f>+'[5]1'!K8/1000</f>
        <v>41.441000000000003</v>
      </c>
      <c r="X7" s="55"/>
      <c r="Y7" s="52"/>
      <c r="Z7" s="50"/>
      <c r="AA7" s="50"/>
      <c r="AB7" s="50"/>
      <c r="AC7" s="50">
        <f>K7-T7</f>
        <v>0</v>
      </c>
      <c r="AD7" s="50">
        <f t="shared" ref="AD7:AD8" si="0">+AM7+BA7</f>
        <v>0</v>
      </c>
      <c r="AE7" s="187" t="s">
        <v>111</v>
      </c>
      <c r="AF7" s="50"/>
      <c r="AG7" s="50">
        <v>0</v>
      </c>
      <c r="AH7" s="50"/>
      <c r="AI7" s="54"/>
      <c r="AJ7" s="50"/>
      <c r="AK7" s="50"/>
      <c r="AL7" s="50"/>
      <c r="AM7" s="50">
        <f t="shared" ref="AM7:AM8" si="1">SUM(AF7:AL7)+AT7+AV7+AX7</f>
        <v>0</v>
      </c>
      <c r="AN7" s="157"/>
      <c r="AO7" s="50"/>
      <c r="AP7" s="50"/>
      <c r="AQ7" s="50"/>
      <c r="AR7" s="50">
        <f t="shared" ref="AR7:AR8" si="2">SUM(AN7:AQ7)</f>
        <v>0</v>
      </c>
      <c r="AS7" s="50"/>
      <c r="AT7" s="50"/>
      <c r="AU7" s="50"/>
      <c r="AV7" s="50"/>
      <c r="AW7" s="50"/>
      <c r="AX7" s="50"/>
      <c r="AY7" s="50"/>
      <c r="AZ7" s="50"/>
      <c r="BA7" s="50">
        <f t="shared" ref="BA7:BA8" si="3">+AR7+AS7+AU7+AW7+AY7+AZ7</f>
        <v>0</v>
      </c>
      <c r="BB7" s="189"/>
      <c r="BC7" s="116">
        <v>0</v>
      </c>
      <c r="BD7" s="116"/>
      <c r="BE7" s="189"/>
      <c r="BF7" s="116"/>
    </row>
    <row r="8" spans="1:58" ht="12.95" customHeight="1" x14ac:dyDescent="0.2">
      <c r="A8" s="117"/>
      <c r="B8" s="118"/>
      <c r="C8" s="119"/>
      <c r="D8" s="118"/>
      <c r="E8" s="37"/>
      <c r="F8" s="37"/>
      <c r="G8" s="190"/>
      <c r="H8" s="192"/>
      <c r="I8" s="45"/>
      <c r="J8" s="46"/>
      <c r="K8" s="46"/>
      <c r="L8" s="184"/>
      <c r="M8" s="184"/>
      <c r="N8" s="47"/>
      <c r="O8" s="48"/>
      <c r="P8" s="49"/>
      <c r="Q8" s="48"/>
      <c r="R8" s="123"/>
      <c r="S8" s="123"/>
      <c r="T8" s="50"/>
      <c r="U8" s="50"/>
      <c r="V8" s="50"/>
      <c r="W8" s="50"/>
      <c r="X8" s="55"/>
      <c r="Y8" s="52"/>
      <c r="Z8" s="50"/>
      <c r="AA8" s="50"/>
      <c r="AB8" s="50"/>
      <c r="AC8" s="50"/>
      <c r="AD8" s="50">
        <f t="shared" si="0"/>
        <v>28</v>
      </c>
      <c r="AE8" s="187" t="s">
        <v>118</v>
      </c>
      <c r="AF8" s="180"/>
      <c r="AG8" s="180"/>
      <c r="AH8" s="180">
        <v>28</v>
      </c>
      <c r="AJ8" s="50"/>
      <c r="AK8" s="50"/>
      <c r="AL8" s="50"/>
      <c r="AM8" s="50">
        <f t="shared" si="1"/>
        <v>28</v>
      </c>
      <c r="AN8" s="50"/>
      <c r="AO8" s="50"/>
      <c r="AP8" s="50"/>
      <c r="AQ8" s="50"/>
      <c r="AR8" s="50">
        <f t="shared" si="2"/>
        <v>0</v>
      </c>
      <c r="AS8" s="50"/>
      <c r="AT8" s="50"/>
      <c r="AU8" s="50"/>
      <c r="AV8" s="50"/>
      <c r="AW8" s="50"/>
      <c r="AX8" s="50"/>
      <c r="AY8" s="50"/>
      <c r="AZ8" s="50"/>
      <c r="BA8" s="50">
        <f t="shared" si="3"/>
        <v>0</v>
      </c>
      <c r="BB8" s="180"/>
      <c r="BC8" s="146"/>
      <c r="BD8" s="146"/>
      <c r="BE8" s="180"/>
      <c r="BF8" s="146"/>
    </row>
    <row r="9" spans="1:58" ht="12.95" customHeight="1" x14ac:dyDescent="0.2">
      <c r="A9" s="117"/>
      <c r="B9" s="118"/>
      <c r="C9" s="119"/>
      <c r="D9" s="118"/>
      <c r="E9" s="37"/>
      <c r="F9" s="37"/>
      <c r="G9" s="190"/>
      <c r="H9" s="192"/>
      <c r="I9" s="45"/>
      <c r="J9" s="46"/>
      <c r="K9" s="46"/>
      <c r="L9" s="184"/>
      <c r="M9" s="184"/>
      <c r="N9" s="47"/>
      <c r="O9" s="48"/>
      <c r="P9" s="49"/>
      <c r="Q9" s="56"/>
      <c r="R9" s="123"/>
      <c r="S9" s="123"/>
      <c r="T9" s="50"/>
      <c r="U9" s="50"/>
      <c r="V9" s="50"/>
      <c r="W9" s="50"/>
      <c r="X9" s="55"/>
      <c r="Y9" s="52"/>
      <c r="Z9" s="50"/>
      <c r="AA9" s="50"/>
      <c r="AB9" s="50"/>
      <c r="AC9" s="50"/>
      <c r="AD9" s="50"/>
      <c r="AE9" s="191"/>
      <c r="AF9" s="50"/>
      <c r="AG9" s="50"/>
      <c r="AH9" s="50"/>
      <c r="AI9" s="54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189"/>
      <c r="BC9" s="116"/>
      <c r="BD9" s="116"/>
      <c r="BE9" s="189"/>
      <c r="BF9" s="116"/>
    </row>
    <row r="10" spans="1:58" ht="12.95" customHeight="1" x14ac:dyDescent="0.2">
      <c r="A10" s="117">
        <v>45963</v>
      </c>
      <c r="B10" s="118" t="s">
        <v>168</v>
      </c>
      <c r="C10" s="119">
        <f>(M10*E10*O10*Q10)/100000000</f>
        <v>4.9016742750000004</v>
      </c>
      <c r="D10" s="118" t="s">
        <v>177</v>
      </c>
      <c r="E10" s="37">
        <v>15.5</v>
      </c>
      <c r="F10" s="37">
        <v>1</v>
      </c>
      <c r="G10" s="242">
        <v>1120</v>
      </c>
      <c r="H10" s="243">
        <f>+N10</f>
        <v>0.23043478260869565</v>
      </c>
      <c r="I10" s="45">
        <v>0.88</v>
      </c>
      <c r="J10" s="46">
        <f>E10*G10*(1-H10)*1440/1000000*2.87</f>
        <v>55.21277050434783</v>
      </c>
      <c r="K10" s="46">
        <f>(IF(G10&lt;L10,L10,G10)*(1-IF(H10&lt;N10,H10,N10))*E10*O10*Q10)/100000000</f>
        <v>4.9016742750000004</v>
      </c>
      <c r="L10" s="184">
        <v>1150</v>
      </c>
      <c r="M10" s="184">
        <v>885</v>
      </c>
      <c r="N10" s="47">
        <f>1-(M10/L10)</f>
        <v>0.23043478260869565</v>
      </c>
      <c r="O10" s="48">
        <f>+'[5]Trim Rwd'!H8</f>
        <v>277</v>
      </c>
      <c r="P10" s="49">
        <f>O10*(Q10-R10-S10)</f>
        <v>34348</v>
      </c>
      <c r="Q10" s="48">
        <v>129</v>
      </c>
      <c r="R10" s="123">
        <v>0</v>
      </c>
      <c r="S10" s="123">
        <v>5</v>
      </c>
      <c r="T10" s="50">
        <f>E10*M10*O10*Q10/100000000</f>
        <v>4.9016742750000004</v>
      </c>
      <c r="U10" s="50">
        <f>E10*M10*O10*(Q10-R10-S10)/100000000</f>
        <v>4.7116869000000001</v>
      </c>
      <c r="V10" s="50">
        <f>E10*G10*(1-N10)*O10/100*(R10+S10)/1000000</f>
        <v>0.18503118260869567</v>
      </c>
      <c r="W10" s="50">
        <f>+'[5]2'!K8/1000</f>
        <v>5.891</v>
      </c>
      <c r="X10" s="51">
        <f>SUM(W10:W13)/SUM(K10:K13)</f>
        <v>1.0570737664457603</v>
      </c>
      <c r="Y10" s="50">
        <v>0</v>
      </c>
      <c r="Z10" s="50">
        <v>0</v>
      </c>
      <c r="AA10" s="53">
        <f>SUM(U10:U13)-SUM(W10:W13)-SUM(Z10:Z13)-SUM(Y10:Y13)</f>
        <v>-5.9170318125000065</v>
      </c>
      <c r="AB10" s="53">
        <f>(SUM(K10:K13)-SUM(W10:W13)-SUM(Y10:Y13)-SUM(Z10:Z13)-SUM(AC10:AC13)-SUM(V10:V13))-AA10</f>
        <v>0.14983539945652247</v>
      </c>
      <c r="AC10" s="50">
        <f>K10-T10</f>
        <v>0</v>
      </c>
      <c r="AD10" s="50">
        <f>+AM10+BA10</f>
        <v>0</v>
      </c>
      <c r="AE10" s="187" t="s">
        <v>110</v>
      </c>
      <c r="AF10" s="50">
        <v>0</v>
      </c>
      <c r="AG10" s="50"/>
      <c r="AH10" s="50"/>
      <c r="AI10" s="54"/>
      <c r="AJ10" s="50"/>
      <c r="AK10" s="50"/>
      <c r="AL10" s="50"/>
      <c r="AM10" s="50">
        <f>SUM(AF10:AL10)+AT10+AV10+AX10</f>
        <v>0</v>
      </c>
      <c r="AN10" s="50"/>
      <c r="AO10" s="50"/>
      <c r="AP10" s="50"/>
      <c r="AQ10" s="50"/>
      <c r="AR10" s="50">
        <f>SUM(AN10:AQ10)</f>
        <v>0</v>
      </c>
      <c r="AS10" s="50"/>
      <c r="AT10" s="50"/>
      <c r="AU10" s="50"/>
      <c r="AV10" s="50"/>
      <c r="AW10" s="50"/>
      <c r="AX10" s="50"/>
      <c r="AY10" s="50"/>
      <c r="AZ10" s="50"/>
      <c r="BA10" s="50">
        <f>+AR10+AS10+AU10+AW10+AY10+AZ10</f>
        <v>0</v>
      </c>
      <c r="BB10" s="180">
        <v>0</v>
      </c>
      <c r="BC10" s="116"/>
      <c r="BD10" s="116"/>
      <c r="BE10" s="180"/>
      <c r="BF10" s="116"/>
    </row>
    <row r="11" spans="1:58" ht="12.95" customHeight="1" x14ac:dyDescent="0.25">
      <c r="A11" s="117"/>
      <c r="B11" s="118" t="s">
        <v>168</v>
      </c>
      <c r="C11" s="119">
        <f t="shared" ref="C11:C12" si="4">(M11*E11*O11*Q11)/100000000</f>
        <v>2.0078371124999999</v>
      </c>
      <c r="D11" s="118" t="s">
        <v>177</v>
      </c>
      <c r="E11" s="37">
        <v>14.5</v>
      </c>
      <c r="F11" s="37">
        <v>1</v>
      </c>
      <c r="G11" s="242">
        <v>1200</v>
      </c>
      <c r="H11" s="243">
        <f t="shared" ref="H11:H12" si="5">+N11</f>
        <v>0.23043478260869565</v>
      </c>
      <c r="I11" s="45">
        <v>0.88</v>
      </c>
      <c r="J11" s="46">
        <f t="shared" ref="J11:J12" si="6">E11*G11*(1-H11)*1440/1000000*2.87</f>
        <v>55.339988869565225</v>
      </c>
      <c r="K11" s="46">
        <f t="shared" ref="K11:K12" si="7">(IF(G11&lt;L11,L11,G11)*(1-IF(H11&lt;N11,H11,N11))*E11*O11*Q11)/100000000</f>
        <v>2.0951343782608696</v>
      </c>
      <c r="L11" s="184">
        <v>1150</v>
      </c>
      <c r="M11" s="184">
        <v>885</v>
      </c>
      <c r="N11" s="47">
        <f t="shared" ref="N11:N12" si="8">1-(M11/L11)</f>
        <v>0.23043478260869565</v>
      </c>
      <c r="O11" s="48">
        <f>+'[5]Trim Rwd'!H9</f>
        <v>256.5</v>
      </c>
      <c r="P11" s="49">
        <f t="shared" ref="P11:P12" si="9">O11*(Q11-R11-S11)</f>
        <v>15133.5</v>
      </c>
      <c r="Q11" s="48">
        <v>61</v>
      </c>
      <c r="R11" s="123">
        <v>0</v>
      </c>
      <c r="S11" s="123">
        <v>2</v>
      </c>
      <c r="T11" s="50">
        <f t="shared" ref="T11:T12" si="10">E11*M11*O11*Q11/100000000</f>
        <v>2.0078371124999999</v>
      </c>
      <c r="U11" s="50">
        <f t="shared" ref="U11:U12" si="11">E11*M11*O11*(Q11-R11-S11)/100000000</f>
        <v>1.9420063875</v>
      </c>
      <c r="V11" s="50">
        <f t="shared" ref="V11:V12" si="12">E11*G11*(1-N11)*O11/100*(R11+S11)/1000000</f>
        <v>6.8692930434782612E-2</v>
      </c>
      <c r="W11" s="50">
        <f>+'[5]2'!K9/1000</f>
        <v>1.254</v>
      </c>
      <c r="X11" s="55"/>
      <c r="Y11" s="52"/>
      <c r="Z11" s="50"/>
      <c r="AA11" s="50"/>
      <c r="AB11" s="50"/>
      <c r="AC11" s="50">
        <f>K11-T11</f>
        <v>8.7297265760869713E-2</v>
      </c>
      <c r="AD11" s="50">
        <f t="shared" ref="AD11:AD13" si="13">+AM11+BA11</f>
        <v>0</v>
      </c>
      <c r="AE11" s="187" t="s">
        <v>111</v>
      </c>
      <c r="AF11" s="50"/>
      <c r="AG11" s="50">
        <v>0</v>
      </c>
      <c r="AH11" s="50"/>
      <c r="AI11" s="54"/>
      <c r="AJ11" s="50"/>
      <c r="AK11" s="50"/>
      <c r="AL11" s="50"/>
      <c r="AM11" s="50">
        <f t="shared" ref="AM11:AM12" si="14">SUM(AF11:AL11)+AT11+AV11+AX11</f>
        <v>0</v>
      </c>
      <c r="AN11" s="157"/>
      <c r="AO11" s="50"/>
      <c r="AP11" s="50"/>
      <c r="AQ11" s="50"/>
      <c r="AR11" s="50">
        <f t="shared" ref="AR11:AR13" si="15">SUM(AN11:AQ11)</f>
        <v>0</v>
      </c>
      <c r="AS11" s="50"/>
      <c r="AT11" s="50"/>
      <c r="AU11" s="50"/>
      <c r="AV11" s="50"/>
      <c r="AW11" s="50"/>
      <c r="AX11" s="50"/>
      <c r="AY11" s="50"/>
      <c r="AZ11" s="50"/>
      <c r="BA11" s="50">
        <f t="shared" ref="BA11:BA13" si="16">+AR11+AS11+AU11+AW11+AY11+AZ11</f>
        <v>0</v>
      </c>
      <c r="BB11" s="189"/>
      <c r="BC11" s="116">
        <v>0</v>
      </c>
      <c r="BD11" s="116"/>
      <c r="BE11" s="189"/>
      <c r="BF11" s="116"/>
    </row>
    <row r="12" spans="1:58" ht="12.95" customHeight="1" x14ac:dyDescent="0.25">
      <c r="A12" s="117"/>
      <c r="B12" s="118" t="s">
        <v>168</v>
      </c>
      <c r="C12" s="119">
        <f t="shared" si="4"/>
        <v>49.247137500000001</v>
      </c>
      <c r="D12" s="118" t="s">
        <v>177</v>
      </c>
      <c r="E12" s="37">
        <v>16.5</v>
      </c>
      <c r="F12" s="37">
        <v>1</v>
      </c>
      <c r="G12" s="242">
        <v>1050</v>
      </c>
      <c r="H12" s="243">
        <f t="shared" si="5"/>
        <v>0.23035714285714282</v>
      </c>
      <c r="I12" s="45">
        <v>0.88</v>
      </c>
      <c r="J12" s="46">
        <f t="shared" si="6"/>
        <v>55.107013500000001</v>
      </c>
      <c r="K12" s="46">
        <f t="shared" si="7"/>
        <v>49.247137500000001</v>
      </c>
      <c r="L12" s="184">
        <v>1120</v>
      </c>
      <c r="M12" s="184">
        <v>862</v>
      </c>
      <c r="N12" s="47">
        <f t="shared" si="8"/>
        <v>0.23035714285714282</v>
      </c>
      <c r="O12" s="48">
        <f>+'[5]Trim Rwd'!H10</f>
        <v>277</v>
      </c>
      <c r="P12" s="49">
        <f t="shared" si="9"/>
        <v>329630</v>
      </c>
      <c r="Q12" s="48">
        <f>1205+45</f>
        <v>1250</v>
      </c>
      <c r="R12" s="123">
        <v>45</v>
      </c>
      <c r="S12" s="123">
        <v>15</v>
      </c>
      <c r="T12" s="50">
        <f t="shared" si="10"/>
        <v>49.247137500000001</v>
      </c>
      <c r="U12" s="50">
        <f t="shared" si="11"/>
        <v>46.883274900000004</v>
      </c>
      <c r="V12" s="50">
        <f t="shared" si="12"/>
        <v>2.2161211875000002</v>
      </c>
      <c r="W12" s="50">
        <f>+'[5]2'!K10/1000</f>
        <v>48.767000000000003</v>
      </c>
      <c r="X12" s="55"/>
      <c r="Y12" s="52"/>
      <c r="Z12" s="50"/>
      <c r="AA12" s="50"/>
      <c r="AB12" s="50"/>
      <c r="AC12" s="50">
        <f>K12-T12</f>
        <v>0</v>
      </c>
      <c r="AD12" s="50">
        <f t="shared" si="13"/>
        <v>22</v>
      </c>
      <c r="AE12" s="187" t="s">
        <v>120</v>
      </c>
      <c r="AF12" s="180"/>
      <c r="AG12" s="180"/>
      <c r="AH12" s="180">
        <v>22</v>
      </c>
      <c r="AJ12" s="50"/>
      <c r="AK12" s="50"/>
      <c r="AL12" s="50"/>
      <c r="AM12" s="50">
        <f t="shared" si="14"/>
        <v>22</v>
      </c>
      <c r="AN12" s="50"/>
      <c r="AO12" s="50"/>
      <c r="AP12" s="50"/>
      <c r="AQ12" s="50"/>
      <c r="AR12" s="50">
        <f t="shared" si="15"/>
        <v>0</v>
      </c>
      <c r="AS12" s="50"/>
      <c r="AT12" s="50"/>
      <c r="AU12" s="50"/>
      <c r="AV12" s="50"/>
      <c r="AW12" s="50"/>
      <c r="AX12" s="50"/>
      <c r="AY12" s="50"/>
      <c r="AZ12" s="50"/>
      <c r="BA12" s="50">
        <f t="shared" si="16"/>
        <v>0</v>
      </c>
      <c r="BB12" s="180"/>
      <c r="BC12" s="146"/>
      <c r="BD12" s="146"/>
      <c r="BE12" s="180"/>
      <c r="BF12" s="146"/>
    </row>
    <row r="13" spans="1:58" ht="12.95" customHeight="1" x14ac:dyDescent="0.25">
      <c r="A13" s="117"/>
      <c r="B13" s="118" t="s">
        <v>168</v>
      </c>
      <c r="C13" s="119"/>
      <c r="D13" s="118"/>
      <c r="E13" s="37">
        <v>13</v>
      </c>
      <c r="F13" s="37"/>
      <c r="G13" s="190"/>
      <c r="H13" s="192"/>
      <c r="I13" s="45"/>
      <c r="J13" s="46"/>
      <c r="K13" s="46"/>
      <c r="L13" s="184"/>
      <c r="M13" s="184"/>
      <c r="N13" s="47"/>
      <c r="O13" s="48"/>
      <c r="P13" s="49"/>
      <c r="Q13" s="48"/>
      <c r="R13" s="123"/>
      <c r="S13" s="123"/>
      <c r="T13" s="50"/>
      <c r="U13" s="50"/>
      <c r="V13" s="50"/>
      <c r="W13" s="50">
        <f>+'[5]2'!K7/1000</f>
        <v>3.5419999999999998</v>
      </c>
      <c r="X13" s="55"/>
      <c r="Y13" s="52"/>
      <c r="Z13" s="50"/>
      <c r="AA13" s="50"/>
      <c r="AB13" s="50"/>
      <c r="AC13" s="50"/>
      <c r="AD13" s="50">
        <f t="shared" si="13"/>
        <v>45</v>
      </c>
      <c r="AE13" s="187" t="s">
        <v>264</v>
      </c>
      <c r="AF13" s="50"/>
      <c r="AG13" s="50"/>
      <c r="AH13" s="50"/>
      <c r="AI13" s="54"/>
      <c r="AJ13" s="50"/>
      <c r="AK13" s="50"/>
      <c r="AL13" s="50"/>
      <c r="AM13" s="50">
        <f t="shared" ref="AM13" si="17">SUM(AF13:AL13)+AT13+AV13+AX13</f>
        <v>0</v>
      </c>
      <c r="AN13" s="50"/>
      <c r="AO13" s="50"/>
      <c r="AP13" s="50"/>
      <c r="AQ13" s="50"/>
      <c r="AR13" s="50">
        <f t="shared" si="15"/>
        <v>0</v>
      </c>
      <c r="AS13" s="50">
        <v>45</v>
      </c>
      <c r="AT13" s="50"/>
      <c r="AU13" s="50"/>
      <c r="AV13" s="50"/>
      <c r="AW13" s="50"/>
      <c r="AX13" s="50"/>
      <c r="AY13" s="50"/>
      <c r="AZ13" s="50"/>
      <c r="BA13" s="50">
        <f t="shared" si="16"/>
        <v>45</v>
      </c>
      <c r="BB13" s="180"/>
      <c r="BC13" s="146"/>
      <c r="BD13" s="146"/>
      <c r="BE13" s="180"/>
      <c r="BF13" s="146"/>
    </row>
    <row r="14" spans="1:58" ht="12.95" customHeight="1" x14ac:dyDescent="0.25">
      <c r="A14" s="117"/>
      <c r="B14" s="118"/>
      <c r="C14" s="119"/>
      <c r="D14" s="118"/>
      <c r="E14" s="37"/>
      <c r="F14" s="37"/>
      <c r="G14" s="188"/>
      <c r="H14" s="192"/>
      <c r="I14" s="45"/>
      <c r="J14" s="46"/>
      <c r="K14" s="46"/>
      <c r="L14" s="184"/>
      <c r="M14" s="184"/>
      <c r="N14" s="47"/>
      <c r="O14" s="48"/>
      <c r="P14" s="49"/>
      <c r="Q14" s="48"/>
      <c r="R14" s="123"/>
      <c r="S14" s="123"/>
      <c r="T14" s="50"/>
      <c r="U14" s="50"/>
      <c r="V14" s="50"/>
      <c r="W14" s="50"/>
      <c r="X14" s="51"/>
      <c r="Y14" s="50"/>
      <c r="Z14" s="50"/>
      <c r="AA14" s="53"/>
      <c r="AB14" s="53"/>
      <c r="AC14" s="50"/>
      <c r="AD14" s="50"/>
      <c r="AE14" s="187"/>
      <c r="AF14" s="50"/>
      <c r="AG14" s="50"/>
      <c r="AH14" s="50"/>
      <c r="AI14" s="54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180"/>
      <c r="BC14" s="116"/>
      <c r="BD14" s="116"/>
      <c r="BE14" s="180"/>
      <c r="BF14" s="116"/>
    </row>
    <row r="15" spans="1:58" ht="12.95" customHeight="1" x14ac:dyDescent="0.25">
      <c r="A15" s="117">
        <v>45964</v>
      </c>
      <c r="B15" s="118" t="s">
        <v>115</v>
      </c>
      <c r="C15" s="119">
        <f>(M15*E15*O15*Q15)/100000000</f>
        <v>34.060634999999998</v>
      </c>
      <c r="D15" s="118" t="s">
        <v>177</v>
      </c>
      <c r="E15" s="37">
        <v>14</v>
      </c>
      <c r="F15" s="37">
        <v>1</v>
      </c>
      <c r="G15" s="242">
        <v>1270</v>
      </c>
      <c r="H15" s="243">
        <v>0.25</v>
      </c>
      <c r="I15" s="45">
        <v>0.88</v>
      </c>
      <c r="J15" s="46">
        <f>E15*G15*(1-H15)*1440/1000000*2.87</f>
        <v>55.110888000000003</v>
      </c>
      <c r="K15" s="46">
        <f>(IF(G15&lt;L15,L15,G15)*(1-IF(H15&lt;N15,H15,N15))*E15*O15*Q15)/100000000</f>
        <v>48.063340500000002</v>
      </c>
      <c r="L15" s="184">
        <v>900</v>
      </c>
      <c r="M15" s="184">
        <v>675</v>
      </c>
      <c r="N15" s="47">
        <f>1-(M15/L15)</f>
        <v>0.25</v>
      </c>
      <c r="O15" s="48">
        <f>+'[5]Trim Rwd'!H14</f>
        <v>266</v>
      </c>
      <c r="P15" s="49">
        <f>O15*(Q15-R15-S15)</f>
        <v>122892</v>
      </c>
      <c r="Q15" s="48">
        <v>1355</v>
      </c>
      <c r="R15" s="123">
        <v>890</v>
      </c>
      <c r="S15" s="123">
        <v>3</v>
      </c>
      <c r="T15" s="50">
        <f>E15*M15*O15*Q15/100000000</f>
        <v>34.060634999999998</v>
      </c>
      <c r="U15" s="50">
        <f>E15*M15*O15*(Q15-R15-S15)/100000000</f>
        <v>11.613294</v>
      </c>
      <c r="V15" s="50">
        <f>E15*G15*(1-N15)*O15/100*(R15+S15)/1000000</f>
        <v>31.675692299999998</v>
      </c>
      <c r="W15" s="50">
        <f>+'[5]3'!K12/1000</f>
        <v>7.4649999999999999</v>
      </c>
      <c r="X15" s="51">
        <f>SUM(W15:W18)/SUM(K15:K18)</f>
        <v>0.14596480492321981</v>
      </c>
      <c r="Y15" s="50">
        <v>0</v>
      </c>
      <c r="Z15" s="50">
        <v>0</v>
      </c>
      <c r="AA15" s="53">
        <f>SUM(U15:U18)-SUM(W15:W18)-SUM(Z15:Z18)-SUM(Y15:Y18)</f>
        <v>5.6614667941176462</v>
      </c>
      <c r="AB15" s="53">
        <f>(SUM(K15:K18)-SUM(W15:W18)-SUM(Y15:Y18)-SUM(Z15:Z18)-SUM(AC15:AC18)-SUM(V15:V18))-AA15</f>
        <v>-9.2928865941176539</v>
      </c>
      <c r="AC15" s="50">
        <f>K15-T15</f>
        <v>14.002705500000005</v>
      </c>
      <c r="AD15" s="50">
        <f>+AM15+BA15</f>
        <v>0</v>
      </c>
      <c r="AE15" s="187" t="s">
        <v>110</v>
      </c>
      <c r="AF15" s="50">
        <v>0</v>
      </c>
      <c r="AG15" s="50"/>
      <c r="AH15" s="50"/>
      <c r="AI15" s="54"/>
      <c r="AJ15" s="50"/>
      <c r="AK15" s="50"/>
      <c r="AL15" s="50"/>
      <c r="AM15" s="50">
        <f>SUM(AF15:AL15)+AT15+AV15+AX15</f>
        <v>0</v>
      </c>
      <c r="AN15" s="50"/>
      <c r="AO15" s="50"/>
      <c r="AP15" s="50"/>
      <c r="AQ15" s="50"/>
      <c r="AR15" s="50">
        <f>SUM(AN15:AQ15)</f>
        <v>0</v>
      </c>
      <c r="AS15" s="50"/>
      <c r="AT15" s="50"/>
      <c r="AU15" s="50"/>
      <c r="AV15" s="50"/>
      <c r="AW15" s="50"/>
      <c r="AX15" s="50"/>
      <c r="AY15" s="50"/>
      <c r="AZ15" s="50"/>
      <c r="BA15" s="50">
        <f>+AR15+AS15+AU15+AW15+AY15+AZ15</f>
        <v>0</v>
      </c>
      <c r="BB15" s="180">
        <v>0</v>
      </c>
      <c r="BC15" s="116"/>
      <c r="BD15" s="116"/>
      <c r="BE15" s="180"/>
      <c r="BF15" s="116"/>
    </row>
    <row r="16" spans="1:58" ht="12.95" customHeight="1" x14ac:dyDescent="0.25">
      <c r="A16" s="117"/>
      <c r="B16" s="118" t="s">
        <v>168</v>
      </c>
      <c r="C16" s="119">
        <f t="shared" ref="C16" si="18">(M16*E16*O16*Q16)/100000000</f>
        <v>2.3934374999999997</v>
      </c>
      <c r="D16" s="118" t="s">
        <v>177</v>
      </c>
      <c r="E16" s="37">
        <v>12.5</v>
      </c>
      <c r="F16" s="37">
        <v>1</v>
      </c>
      <c r="G16" s="242">
        <v>1400</v>
      </c>
      <c r="H16" s="243">
        <f t="shared" ref="H16" si="19">+N16</f>
        <v>0.25</v>
      </c>
      <c r="I16" s="45">
        <v>0.88</v>
      </c>
      <c r="J16" s="46">
        <f t="shared" ref="J16" si="20">E16*G16*(1-H16)*1440/1000000*2.87</f>
        <v>54.242999999999995</v>
      </c>
      <c r="K16" s="46">
        <f t="shared" ref="K16" si="21">(IF(G16&lt;L16,L16,G16)*(1-IF(H16&lt;N16,H16,N16))*E16*O16*Q16)/100000000</f>
        <v>3.0791249999999999</v>
      </c>
      <c r="L16" s="184">
        <v>1088.2352941176471</v>
      </c>
      <c r="M16" s="184">
        <v>816.17647058823525</v>
      </c>
      <c r="N16" s="47">
        <f t="shared" ref="N16" si="22">1-(M16/L16)</f>
        <v>0.25</v>
      </c>
      <c r="O16" s="48">
        <f>+'[5]Trim Rwd'!H15</f>
        <v>276</v>
      </c>
      <c r="P16" s="49">
        <f t="shared" ref="P16" si="23">O16*(Q16-R16-S16)</f>
        <v>21252</v>
      </c>
      <c r="Q16" s="48">
        <v>85</v>
      </c>
      <c r="R16" s="123">
        <v>0</v>
      </c>
      <c r="S16" s="123">
        <v>8</v>
      </c>
      <c r="T16" s="50">
        <f t="shared" ref="T16" si="24">E16*M16*O16*Q16/100000000</f>
        <v>2.3934374999999997</v>
      </c>
      <c r="U16" s="50">
        <f t="shared" ref="U16" si="25">E16*M16*O16*(Q16-R16-S16)/100000000</f>
        <v>2.168172794117647</v>
      </c>
      <c r="V16" s="50">
        <f t="shared" ref="V16" si="26">E16*G16*(1-N16)*O16/100*(R16+S16)/1000000</f>
        <v>0.2898</v>
      </c>
      <c r="W16" s="50">
        <f>+'[5]3'!K13/1000</f>
        <v>0</v>
      </c>
      <c r="X16" s="55"/>
      <c r="Y16" s="52"/>
      <c r="Z16" s="50">
        <f>+'[5]3'!D34/1000</f>
        <v>0.65500000000000003</v>
      </c>
      <c r="AA16" s="50"/>
      <c r="AB16" s="50"/>
      <c r="AC16" s="50">
        <f>K16-T16</f>
        <v>0.68568750000000023</v>
      </c>
      <c r="AD16" s="50">
        <f t="shared" ref="AD16:AD18" si="27">+AM16+BA16</f>
        <v>3</v>
      </c>
      <c r="AE16" s="187" t="s">
        <v>174</v>
      </c>
      <c r="AF16" s="50"/>
      <c r="AG16" s="50">
        <v>3</v>
      </c>
      <c r="AH16" s="50"/>
      <c r="AI16" s="54"/>
      <c r="AJ16" s="50"/>
      <c r="AK16" s="50"/>
      <c r="AL16" s="50"/>
      <c r="AM16" s="50">
        <f t="shared" ref="AM16:AM17" si="28">SUM(AF16:AL16)+AT16+AV16+AX16</f>
        <v>3</v>
      </c>
      <c r="AN16" s="157"/>
      <c r="AO16" s="50"/>
      <c r="AP16" s="50"/>
      <c r="AQ16" s="50"/>
      <c r="AR16" s="50">
        <f t="shared" ref="AR16:AR18" si="29">SUM(AN16:AQ16)</f>
        <v>0</v>
      </c>
      <c r="AS16" s="50"/>
      <c r="AT16" s="50"/>
      <c r="AU16" s="50"/>
      <c r="AV16" s="50"/>
      <c r="AW16" s="50"/>
      <c r="AX16" s="50"/>
      <c r="AY16" s="50"/>
      <c r="AZ16" s="50"/>
      <c r="BA16" s="50">
        <f t="shared" ref="BA16:BA18" si="30">+AR16+AS16+AU16+AW16+AY16+AZ16</f>
        <v>0</v>
      </c>
      <c r="BB16" s="189"/>
      <c r="BC16" s="116">
        <v>1</v>
      </c>
      <c r="BD16" s="116"/>
      <c r="BE16" s="189"/>
      <c r="BF16" s="116"/>
    </row>
    <row r="17" spans="1:58" ht="12.95" customHeight="1" x14ac:dyDescent="0.25">
      <c r="A17" s="117"/>
      <c r="B17" s="118"/>
      <c r="C17" s="119"/>
      <c r="D17" s="118"/>
      <c r="E17" s="37"/>
      <c r="F17" s="37"/>
      <c r="G17" s="188"/>
      <c r="H17" s="192"/>
      <c r="I17" s="45"/>
      <c r="J17" s="46"/>
      <c r="K17" s="46"/>
      <c r="L17" s="184"/>
      <c r="M17" s="184"/>
      <c r="N17" s="47"/>
      <c r="O17" s="48"/>
      <c r="P17" s="49"/>
      <c r="Q17" s="48"/>
      <c r="R17" s="123"/>
      <c r="S17" s="123"/>
      <c r="T17" s="50"/>
      <c r="U17" s="50"/>
      <c r="V17" s="50"/>
      <c r="W17" s="50"/>
      <c r="X17" s="55"/>
      <c r="Y17" s="52"/>
      <c r="Z17" s="50"/>
      <c r="AA17" s="50"/>
      <c r="AB17" s="50"/>
      <c r="AC17" s="50"/>
      <c r="AD17" s="50">
        <f t="shared" si="27"/>
        <v>8</v>
      </c>
      <c r="AE17" s="187" t="s">
        <v>265</v>
      </c>
      <c r="AF17" s="180"/>
      <c r="AG17" s="180"/>
      <c r="AH17" s="180">
        <v>8</v>
      </c>
      <c r="AJ17" s="50"/>
      <c r="AK17" s="50"/>
      <c r="AL17" s="50"/>
      <c r="AM17" s="50">
        <f t="shared" si="28"/>
        <v>8</v>
      </c>
      <c r="AN17" s="50"/>
      <c r="AO17" s="50"/>
      <c r="AP17" s="50"/>
      <c r="AQ17" s="50"/>
      <c r="AR17" s="50">
        <f t="shared" si="29"/>
        <v>0</v>
      </c>
      <c r="AS17" s="50"/>
      <c r="AT17" s="50"/>
      <c r="AU17" s="50"/>
      <c r="AV17" s="50"/>
      <c r="AW17" s="50"/>
      <c r="AX17" s="50"/>
      <c r="AY17" s="50"/>
      <c r="AZ17" s="50"/>
      <c r="BA17" s="50">
        <f t="shared" si="30"/>
        <v>0</v>
      </c>
      <c r="BB17" s="180"/>
      <c r="BC17" s="146"/>
      <c r="BD17" s="146"/>
      <c r="BE17" s="180"/>
      <c r="BF17" s="146"/>
    </row>
    <row r="18" spans="1:58" ht="12.95" customHeight="1" x14ac:dyDescent="0.25">
      <c r="A18" s="117"/>
      <c r="B18" s="118"/>
      <c r="C18" s="119"/>
      <c r="D18" s="118"/>
      <c r="E18" s="37"/>
      <c r="F18" s="37"/>
      <c r="G18" s="190"/>
      <c r="H18" s="192"/>
      <c r="I18" s="45"/>
      <c r="J18" s="46"/>
      <c r="K18" s="46"/>
      <c r="L18" s="184"/>
      <c r="M18" s="184"/>
      <c r="N18" s="47"/>
      <c r="O18" s="48"/>
      <c r="P18" s="49"/>
      <c r="Q18" s="48"/>
      <c r="R18" s="123"/>
      <c r="S18" s="123"/>
      <c r="T18" s="50"/>
      <c r="U18" s="50"/>
      <c r="V18" s="50"/>
      <c r="W18" s="50"/>
      <c r="X18" s="55"/>
      <c r="Y18" s="52"/>
      <c r="Z18" s="50"/>
      <c r="AA18" s="50"/>
      <c r="AB18" s="50"/>
      <c r="AC18" s="50"/>
      <c r="AD18" s="50">
        <f t="shared" si="27"/>
        <v>890</v>
      </c>
      <c r="AE18" s="187" t="s">
        <v>266</v>
      </c>
      <c r="AF18" s="50"/>
      <c r="AG18" s="50"/>
      <c r="AH18" s="50"/>
      <c r="AI18" s="54"/>
      <c r="AJ18" s="50"/>
      <c r="AK18" s="50"/>
      <c r="AL18" s="50"/>
      <c r="AM18" s="50">
        <f t="shared" ref="AM18" si="31">SUM(AF18:AL18)+AT18+AV18+AX18</f>
        <v>0</v>
      </c>
      <c r="AN18" s="50"/>
      <c r="AO18" s="50"/>
      <c r="AP18" s="50"/>
      <c r="AQ18" s="50"/>
      <c r="AR18" s="50">
        <f t="shared" si="29"/>
        <v>0</v>
      </c>
      <c r="AS18" s="50">
        <v>890</v>
      </c>
      <c r="AT18" s="50"/>
      <c r="AU18" s="50"/>
      <c r="AV18" s="50"/>
      <c r="AW18" s="50"/>
      <c r="AX18" s="50"/>
      <c r="AY18" s="50"/>
      <c r="AZ18" s="50"/>
      <c r="BA18" s="50">
        <f t="shared" si="30"/>
        <v>890</v>
      </c>
      <c r="BB18" s="180"/>
      <c r="BC18" s="146"/>
      <c r="BD18" s="146"/>
      <c r="BE18" s="180"/>
      <c r="BF18" s="146"/>
    </row>
    <row r="19" spans="1:58" ht="12.95" customHeight="1" x14ac:dyDescent="0.25">
      <c r="A19" s="117"/>
      <c r="B19" s="118"/>
      <c r="C19" s="119"/>
      <c r="D19" s="118"/>
      <c r="E19" s="37"/>
      <c r="F19" s="37"/>
      <c r="G19" s="188"/>
      <c r="H19" s="192"/>
      <c r="I19" s="45"/>
      <c r="J19" s="46"/>
      <c r="K19" s="46"/>
      <c r="L19" s="184"/>
      <c r="M19" s="184"/>
      <c r="N19" s="47"/>
      <c r="O19" s="48"/>
      <c r="P19" s="49"/>
      <c r="Q19" s="48"/>
      <c r="R19" s="123"/>
      <c r="S19" s="123"/>
      <c r="T19" s="50"/>
      <c r="U19" s="50"/>
      <c r="V19" s="50"/>
      <c r="W19" s="50"/>
      <c r="X19" s="55"/>
      <c r="Y19" s="52"/>
      <c r="Z19" s="50"/>
      <c r="AA19" s="50"/>
      <c r="AB19" s="50"/>
      <c r="AC19" s="50"/>
      <c r="AD19" s="50"/>
      <c r="AE19" s="187"/>
      <c r="AF19" s="50"/>
      <c r="AG19" s="50"/>
      <c r="AH19" s="50"/>
      <c r="AI19" s="54"/>
      <c r="AJ19" s="50"/>
      <c r="AK19" s="50"/>
      <c r="AL19" s="50"/>
      <c r="AM19" s="50"/>
      <c r="AN19" s="157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189"/>
      <c r="BC19" s="116"/>
      <c r="BD19" s="146"/>
      <c r="BE19" s="180"/>
      <c r="BF19" s="146"/>
    </row>
    <row r="20" spans="1:58" ht="12.95" customHeight="1" x14ac:dyDescent="0.25">
      <c r="A20" s="117">
        <v>45965</v>
      </c>
      <c r="B20" s="118" t="s">
        <v>168</v>
      </c>
      <c r="C20" s="119">
        <f t="shared" ref="C20:C21" si="32">(M20*E20*O20*Q20)/100000000</f>
        <v>8.4939862500000007</v>
      </c>
      <c r="D20" s="118" t="s">
        <v>177</v>
      </c>
      <c r="E20" s="37">
        <v>12.5</v>
      </c>
      <c r="F20" s="37">
        <v>1</v>
      </c>
      <c r="G20" s="242">
        <v>1400</v>
      </c>
      <c r="H20" s="243">
        <f t="shared" ref="H20:H21" si="33">+N20</f>
        <v>0.25</v>
      </c>
      <c r="I20" s="45">
        <v>0.88</v>
      </c>
      <c r="J20" s="46">
        <f t="shared" ref="J20:J21" si="34">E20*G20*(1-H20)*1440/1000000*2.87</f>
        <v>54.242999999999995</v>
      </c>
      <c r="K20" s="46">
        <f t="shared" ref="K20:K21" si="35">(IF(G20&lt;L20,L20,G20)*(1-IF(H20&lt;N20,H20,N20))*E20*O20*Q20)/100000000</f>
        <v>10.50525</v>
      </c>
      <c r="L20" s="184">
        <v>1131.9655172413793</v>
      </c>
      <c r="M20" s="184">
        <v>848.97413793103453</v>
      </c>
      <c r="N20" s="47">
        <f t="shared" ref="N20:N21" si="36">1-(M20/L20)</f>
        <v>0.25</v>
      </c>
      <c r="O20" s="48">
        <f>+'[5]Trim Rwd'!H17</f>
        <v>276</v>
      </c>
      <c r="P20" s="49">
        <f t="shared" ref="P20:P21" si="37">O20*(Q20-R20-S20)</f>
        <v>65136</v>
      </c>
      <c r="Q20" s="48">
        <v>290</v>
      </c>
      <c r="R20" s="123">
        <v>0</v>
      </c>
      <c r="S20" s="123">
        <v>54</v>
      </c>
      <c r="T20" s="50">
        <f t="shared" ref="T20:T21" si="38">E20*M20*O20*Q20/100000000</f>
        <v>8.4939862500000007</v>
      </c>
      <c r="U20" s="50">
        <f t="shared" ref="U20:U21" si="39">E20*M20*O20*(Q20-R20-S20)/100000000</f>
        <v>6.9123474310344823</v>
      </c>
      <c r="V20" s="50">
        <f t="shared" ref="V20:V21" si="40">E20*G20*(1-N20)*O20/100*(R20+S20)/1000000</f>
        <v>1.9561500000000001</v>
      </c>
      <c r="W20" s="50">
        <f>+'[5]4'!K11/1000</f>
        <v>10.260999999999999</v>
      </c>
      <c r="X20" s="51">
        <f>SUM(W20:W23)/SUM(K20:K23)</f>
        <v>0.84422829095726637</v>
      </c>
      <c r="Y20" s="50">
        <v>0</v>
      </c>
      <c r="Z20" s="50">
        <v>0</v>
      </c>
      <c r="AA20" s="53">
        <f>SUM(U20:U23)-SUM(W20:W23)-SUM(Z20:Z23)-SUM(Y20:Y23)</f>
        <v>2.858064555007489</v>
      </c>
      <c r="AB20" s="53">
        <f>(SUM(K20:K23)-SUM(W20:W23)-SUM(Y20:Y23)-SUM(Z20:Z23)-SUM(AC20:AC23)-SUM(V20:V23))-AA20</f>
        <v>-0.38193475155921908</v>
      </c>
      <c r="AC20" s="50">
        <f>K20-T20</f>
        <v>2.0112637499999995</v>
      </c>
      <c r="AD20" s="50">
        <f>+AM20+BA20</f>
        <v>50</v>
      </c>
      <c r="AE20" s="187" t="s">
        <v>208</v>
      </c>
      <c r="AF20" s="50">
        <v>50</v>
      </c>
      <c r="AG20" s="50"/>
      <c r="AH20" s="50"/>
      <c r="AI20" s="54"/>
      <c r="AJ20" s="50"/>
      <c r="AK20" s="50"/>
      <c r="AL20" s="50"/>
      <c r="AM20" s="50">
        <f>SUM(AF20:AL20)+AT20+AV20+AX20</f>
        <v>50</v>
      </c>
      <c r="AN20" s="50"/>
      <c r="AO20" s="50"/>
      <c r="AP20" s="50"/>
      <c r="AQ20" s="50"/>
      <c r="AR20" s="50">
        <f>SUM(AN20:AQ20)</f>
        <v>0</v>
      </c>
      <c r="AS20" s="50"/>
      <c r="AT20" s="50"/>
      <c r="AU20" s="50"/>
      <c r="AV20" s="50"/>
      <c r="AW20" s="50"/>
      <c r="AX20" s="50"/>
      <c r="AY20" s="50"/>
      <c r="AZ20" s="50"/>
      <c r="BA20" s="50">
        <f>+AR20+AS20+AU20+AW20+AY20+AZ20</f>
        <v>0</v>
      </c>
      <c r="BB20" s="180">
        <v>10</v>
      </c>
      <c r="BC20" s="116"/>
      <c r="BD20" s="116"/>
      <c r="BE20" s="180"/>
      <c r="BF20" s="116"/>
    </row>
    <row r="21" spans="1:58" ht="12.95" customHeight="1" x14ac:dyDescent="0.25">
      <c r="A21" s="117"/>
      <c r="B21" s="118" t="s">
        <v>168</v>
      </c>
      <c r="C21" s="119">
        <f t="shared" si="32"/>
        <v>41.405823465517237</v>
      </c>
      <c r="D21" s="118" t="s">
        <v>177</v>
      </c>
      <c r="E21" s="37">
        <v>14</v>
      </c>
      <c r="F21" s="37">
        <v>1</v>
      </c>
      <c r="G21" s="188">
        <v>1270</v>
      </c>
      <c r="H21" s="243">
        <f t="shared" si="33"/>
        <v>0.25</v>
      </c>
      <c r="I21" s="45">
        <v>0.88</v>
      </c>
      <c r="J21" s="46">
        <f t="shared" si="34"/>
        <v>55.110888000000003</v>
      </c>
      <c r="K21" s="46">
        <f t="shared" si="35"/>
        <v>41.812352327586204</v>
      </c>
      <c r="L21" s="184">
        <v>1257.6521739130435</v>
      </c>
      <c r="M21" s="184">
        <v>943.23913043478262</v>
      </c>
      <c r="N21" s="47">
        <f t="shared" si="36"/>
        <v>0.25</v>
      </c>
      <c r="O21" s="48">
        <f>+'[5]Trim Rwd'!H18</f>
        <v>272.65517241379308</v>
      </c>
      <c r="P21" s="49">
        <f t="shared" si="37"/>
        <v>307827.68965517241</v>
      </c>
      <c r="Q21" s="48">
        <v>1150</v>
      </c>
      <c r="R21" s="123">
        <v>0</v>
      </c>
      <c r="S21" s="123">
        <v>21</v>
      </c>
      <c r="T21" s="50">
        <f t="shared" si="38"/>
        <v>41.405823465517237</v>
      </c>
      <c r="U21" s="50">
        <f t="shared" si="39"/>
        <v>40.649717123973005</v>
      </c>
      <c r="V21" s="50">
        <f t="shared" si="40"/>
        <v>0.76352991206896548</v>
      </c>
      <c r="W21" s="50">
        <f>+'[5]4'!K13/1000</f>
        <v>30.637</v>
      </c>
      <c r="X21" s="55"/>
      <c r="Y21" s="52"/>
      <c r="Z21" s="50">
        <f>+'[5]4'!D25/1000</f>
        <v>0.53600000000000003</v>
      </c>
      <c r="AA21" s="50"/>
      <c r="AB21" s="50"/>
      <c r="AC21" s="50">
        <f>K21-T21</f>
        <v>0.4065288620689671</v>
      </c>
      <c r="AD21" s="50">
        <f t="shared" ref="AD21:AD22" si="41">+AM21+BA21</f>
        <v>4</v>
      </c>
      <c r="AE21" s="187" t="s">
        <v>125</v>
      </c>
      <c r="AF21" s="50"/>
      <c r="AG21" s="50">
        <v>4</v>
      </c>
      <c r="AH21" s="50"/>
      <c r="AI21" s="54"/>
      <c r="AJ21" s="50"/>
      <c r="AK21" s="50"/>
      <c r="AL21" s="50"/>
      <c r="AM21" s="50">
        <f t="shared" ref="AM21:AM22" si="42">SUM(AF21:AL21)+AT21+AV21+AX21</f>
        <v>4</v>
      </c>
      <c r="AN21" s="157"/>
      <c r="AO21" s="50"/>
      <c r="AP21" s="50"/>
      <c r="AQ21" s="50"/>
      <c r="AR21" s="50">
        <f t="shared" ref="AR21:AR22" si="43">SUM(AN21:AQ21)</f>
        <v>0</v>
      </c>
      <c r="AS21" s="50"/>
      <c r="AT21" s="50"/>
      <c r="AU21" s="50"/>
      <c r="AV21" s="50"/>
      <c r="AW21" s="50"/>
      <c r="AX21" s="50"/>
      <c r="AY21" s="50"/>
      <c r="AZ21" s="50"/>
      <c r="BA21" s="50">
        <f t="shared" ref="BA21:BA22" si="44">+AR21+AS21+AU21+AW21+AY21+AZ21</f>
        <v>0</v>
      </c>
      <c r="BB21" s="189"/>
      <c r="BC21" s="116">
        <v>3</v>
      </c>
      <c r="BD21" s="116"/>
      <c r="BE21" s="189"/>
      <c r="BF21" s="116"/>
    </row>
    <row r="22" spans="1:58" ht="12.95" customHeight="1" x14ac:dyDescent="0.25">
      <c r="A22" s="117"/>
      <c r="B22" s="118" t="s">
        <v>115</v>
      </c>
      <c r="C22" s="119"/>
      <c r="D22" s="118"/>
      <c r="E22" s="37">
        <v>14</v>
      </c>
      <c r="F22" s="37"/>
      <c r="G22" s="188"/>
      <c r="H22" s="192"/>
      <c r="I22" s="45"/>
      <c r="J22" s="46"/>
      <c r="K22" s="46"/>
      <c r="L22" s="184"/>
      <c r="M22" s="184"/>
      <c r="N22" s="47"/>
      <c r="O22" s="48"/>
      <c r="P22" s="49"/>
      <c r="Q22" s="48"/>
      <c r="R22" s="123"/>
      <c r="S22" s="123"/>
      <c r="T22" s="50"/>
      <c r="U22" s="50"/>
      <c r="V22" s="50"/>
      <c r="W22" s="50">
        <f>+'[5]4'!K12/1000</f>
        <v>3.27</v>
      </c>
      <c r="X22" s="55"/>
      <c r="Y22" s="52"/>
      <c r="Z22" s="50"/>
      <c r="AA22" s="50"/>
      <c r="AB22" s="50"/>
      <c r="AC22" s="50"/>
      <c r="AD22" s="50">
        <f t="shared" si="41"/>
        <v>21</v>
      </c>
      <c r="AE22" s="187" t="s">
        <v>118</v>
      </c>
      <c r="AF22" s="180"/>
      <c r="AG22" s="180"/>
      <c r="AH22" s="180">
        <v>21</v>
      </c>
      <c r="AJ22" s="50"/>
      <c r="AK22" s="50"/>
      <c r="AL22" s="50"/>
      <c r="AM22" s="50">
        <f t="shared" si="42"/>
        <v>21</v>
      </c>
      <c r="AN22" s="50"/>
      <c r="AO22" s="50"/>
      <c r="AP22" s="50"/>
      <c r="AQ22" s="50"/>
      <c r="AR22" s="50">
        <f t="shared" si="43"/>
        <v>0</v>
      </c>
      <c r="AS22" s="50"/>
      <c r="AT22" s="50"/>
      <c r="AU22" s="50"/>
      <c r="AV22" s="50"/>
      <c r="AW22" s="50"/>
      <c r="AX22" s="50"/>
      <c r="AY22" s="50"/>
      <c r="AZ22" s="50"/>
      <c r="BA22" s="50">
        <f t="shared" si="44"/>
        <v>0</v>
      </c>
      <c r="BB22" s="180"/>
      <c r="BC22" s="146"/>
      <c r="BD22" s="146"/>
      <c r="BE22" s="180"/>
      <c r="BF22" s="146"/>
    </row>
    <row r="23" spans="1:58" ht="12.95" customHeight="1" x14ac:dyDescent="0.25">
      <c r="A23" s="117"/>
      <c r="B23" s="118"/>
      <c r="C23" s="119"/>
      <c r="D23" s="118"/>
      <c r="E23" s="37"/>
      <c r="F23" s="37"/>
      <c r="G23" s="190"/>
      <c r="H23" s="192"/>
      <c r="I23" s="45"/>
      <c r="J23" s="46"/>
      <c r="K23" s="46"/>
      <c r="L23" s="184"/>
      <c r="M23" s="184"/>
      <c r="N23" s="47"/>
      <c r="O23" s="48"/>
      <c r="P23" s="49"/>
      <c r="Q23" s="48"/>
      <c r="R23" s="123"/>
      <c r="S23" s="123"/>
      <c r="T23" s="50"/>
      <c r="U23" s="50"/>
      <c r="V23" s="50"/>
      <c r="W23" s="50"/>
      <c r="X23" s="55"/>
      <c r="Y23" s="52"/>
      <c r="Z23" s="50"/>
      <c r="AA23" s="50"/>
      <c r="AB23" s="50"/>
      <c r="AC23" s="50"/>
      <c r="AD23" s="50"/>
      <c r="AE23" s="187"/>
      <c r="AF23" s="50"/>
      <c r="AG23" s="50"/>
      <c r="AH23" s="50"/>
      <c r="AI23" s="54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180"/>
      <c r="BC23" s="146"/>
      <c r="BD23" s="146"/>
      <c r="BE23" s="180"/>
      <c r="BF23" s="146"/>
    </row>
    <row r="24" spans="1:58" ht="12.95" customHeight="1" x14ac:dyDescent="0.25">
      <c r="A24" s="117">
        <v>45966</v>
      </c>
      <c r="B24" s="118" t="s">
        <v>168</v>
      </c>
      <c r="C24" s="119">
        <f t="shared" ref="C24" si="45">(M24*E24*O24*Q24)/100000000</f>
        <v>50.885279760000003</v>
      </c>
      <c r="D24" s="118" t="s">
        <v>177</v>
      </c>
      <c r="E24" s="37">
        <v>14</v>
      </c>
      <c r="F24" s="37">
        <v>1</v>
      </c>
      <c r="G24" s="188">
        <v>1270</v>
      </c>
      <c r="H24" s="243">
        <f t="shared" ref="H24" si="46">+N24</f>
        <v>0.24328368314150306</v>
      </c>
      <c r="I24" s="45">
        <v>0.88</v>
      </c>
      <c r="J24" s="46">
        <f t="shared" ref="J24" si="47">E24*G24*(1-H24)*1440/1000000*2.87</f>
        <v>55.604410914881527</v>
      </c>
      <c r="K24" s="46">
        <f t="shared" ref="K24" si="48">(IF(G24&lt;L24,L24,G24)*(1-IF(H24&lt;N24,H24,N24))*E24*O24*Q24)/100000000</f>
        <v>52.504513442274884</v>
      </c>
      <c r="L24" s="184">
        <v>1230.8333333333333</v>
      </c>
      <c r="M24" s="184">
        <v>931.39166666666665</v>
      </c>
      <c r="N24" s="47">
        <f t="shared" ref="N24" si="49">1-(M24/L24)</f>
        <v>0.24328368314150306</v>
      </c>
      <c r="O24" s="48">
        <f>+'[5]Trim Rwd'!H22</f>
        <v>271</v>
      </c>
      <c r="P24" s="49">
        <f t="shared" ref="P24" si="50">O24*(Q24-R24-S24)</f>
        <v>384820</v>
      </c>
      <c r="Q24" s="48">
        <v>1440</v>
      </c>
      <c r="R24" s="123">
        <v>0</v>
      </c>
      <c r="S24" s="123">
        <v>20</v>
      </c>
      <c r="T24" s="50">
        <f t="shared" ref="T24" si="51">E24*M24*O24*Q24/100000000</f>
        <v>50.885279760000003</v>
      </c>
      <c r="U24" s="50">
        <f t="shared" ref="U24" si="52">E24*M24*O24*(Q24-R24-S24)/100000000</f>
        <v>50.178539763333333</v>
      </c>
      <c r="V24" s="50">
        <f t="shared" ref="V24" si="53">E24*G24*(1-N24)*O24/100*(R24+S24)/1000000</f>
        <v>0.729229353364929</v>
      </c>
      <c r="W24" s="50">
        <f>+'[5]5'!K34/1000</f>
        <v>47.753999999999998</v>
      </c>
      <c r="X24" s="51">
        <f>SUM(W24:W27)/SUM(K24:K27)</f>
        <v>0.90952180811088268</v>
      </c>
      <c r="Y24" s="50">
        <v>0</v>
      </c>
      <c r="Z24" s="50">
        <f>+'[5]5'!D34/1000</f>
        <v>0</v>
      </c>
      <c r="AA24" s="53">
        <f>SUM(U24:U27)-SUM(W24:W27)-SUM(Z24:Z27)-SUM(Y24:Y27)</f>
        <v>2.4245397633333354</v>
      </c>
      <c r="AB24" s="53">
        <f>(SUM(K24:K27)-SUM(W24:W27)-SUM(Y24:Y27)-SUM(Z24:Z27)-SUM(AC24:AC27)-SUM(V24:V27))-AA24</f>
        <v>-2.2489356698259133E-2</v>
      </c>
      <c r="AC24" s="50">
        <f>K24-T24</f>
        <v>1.6192336822748814</v>
      </c>
      <c r="AD24" s="50">
        <f>+AM24+BA24</f>
        <v>0</v>
      </c>
      <c r="AE24" s="187" t="s">
        <v>110</v>
      </c>
      <c r="AF24" s="50">
        <v>0</v>
      </c>
      <c r="AG24" s="50"/>
      <c r="AH24" s="50"/>
      <c r="AI24" s="54"/>
      <c r="AJ24" s="50"/>
      <c r="AK24" s="50"/>
      <c r="AL24" s="50"/>
      <c r="AM24" s="50">
        <f>SUM(AF24:AL24)+AT24+AV24+AX24</f>
        <v>0</v>
      </c>
      <c r="AN24" s="50"/>
      <c r="AO24" s="50"/>
      <c r="AP24" s="50"/>
      <c r="AQ24" s="50"/>
      <c r="AR24" s="50">
        <f>SUM(AN24:AQ24)</f>
        <v>0</v>
      </c>
      <c r="AS24" s="50"/>
      <c r="AT24" s="50"/>
      <c r="AU24" s="50"/>
      <c r="AV24" s="50"/>
      <c r="AW24" s="50"/>
      <c r="AX24" s="50"/>
      <c r="AY24" s="50"/>
      <c r="AZ24" s="50"/>
      <c r="BA24" s="50">
        <f>+AR24+AS24+AU24+AW24+AY24+AZ24</f>
        <v>0</v>
      </c>
      <c r="BB24" s="180">
        <v>0</v>
      </c>
      <c r="BC24" s="116"/>
      <c r="BD24" s="116"/>
      <c r="BE24" s="180"/>
      <c r="BF24" s="116"/>
    </row>
    <row r="25" spans="1:58" ht="12.95" customHeight="1" x14ac:dyDescent="0.25">
      <c r="A25" s="117"/>
      <c r="B25" s="118"/>
      <c r="C25" s="119"/>
      <c r="D25" s="118"/>
      <c r="E25" s="37"/>
      <c r="F25" s="37"/>
      <c r="G25" s="188"/>
      <c r="H25" s="192"/>
      <c r="I25" s="45"/>
      <c r="J25" s="46"/>
      <c r="K25" s="46"/>
      <c r="L25" s="184"/>
      <c r="M25" s="184"/>
      <c r="N25" s="47"/>
      <c r="O25" s="48"/>
      <c r="P25" s="49"/>
      <c r="Q25" s="48"/>
      <c r="R25" s="123"/>
      <c r="S25" s="123"/>
      <c r="T25" s="50"/>
      <c r="U25" s="50"/>
      <c r="V25" s="50"/>
      <c r="W25" s="50"/>
      <c r="X25" s="55"/>
      <c r="Y25" s="52"/>
      <c r="Z25" s="50"/>
      <c r="AA25" s="50"/>
      <c r="AB25" s="50"/>
      <c r="AC25" s="50"/>
      <c r="AD25" s="50">
        <f t="shared" ref="AD25:AD26" si="54">+AM25+BA25</f>
        <v>0</v>
      </c>
      <c r="AE25" s="187" t="s">
        <v>111</v>
      </c>
      <c r="AF25" s="50"/>
      <c r="AG25" s="50">
        <v>0</v>
      </c>
      <c r="AH25" s="50"/>
      <c r="AI25" s="54"/>
      <c r="AJ25" s="50"/>
      <c r="AK25" s="50"/>
      <c r="AL25" s="50"/>
      <c r="AM25" s="50">
        <f t="shared" ref="AM25:AM26" si="55">SUM(AF25:AL25)+AT25+AV25+AX25</f>
        <v>0</v>
      </c>
      <c r="AN25" s="157"/>
      <c r="AO25" s="50"/>
      <c r="AP25" s="50"/>
      <c r="AQ25" s="50"/>
      <c r="AR25" s="50">
        <f t="shared" ref="AR25:AR26" si="56">SUM(AN25:AQ25)</f>
        <v>0</v>
      </c>
      <c r="AS25" s="50"/>
      <c r="AT25" s="50"/>
      <c r="AU25" s="50"/>
      <c r="AV25" s="50"/>
      <c r="AW25" s="50"/>
      <c r="AX25" s="50"/>
      <c r="AY25" s="50"/>
      <c r="AZ25" s="50"/>
      <c r="BA25" s="50">
        <f t="shared" ref="BA25:BA26" si="57">+AR25+AS25+AU25+AW25+AY25+AZ25</f>
        <v>0</v>
      </c>
      <c r="BB25" s="189"/>
      <c r="BC25" s="116">
        <v>0</v>
      </c>
      <c r="BD25" s="116"/>
      <c r="BE25" s="189"/>
      <c r="BF25" s="116"/>
    </row>
    <row r="26" spans="1:58" ht="12.95" customHeight="1" x14ac:dyDescent="0.25">
      <c r="A26" s="117"/>
      <c r="B26" s="118"/>
      <c r="C26" s="119"/>
      <c r="D26" s="118"/>
      <c r="E26" s="37"/>
      <c r="F26" s="37"/>
      <c r="G26" s="188"/>
      <c r="H26" s="192"/>
      <c r="I26" s="45"/>
      <c r="J26" s="46"/>
      <c r="K26" s="46"/>
      <c r="L26" s="184"/>
      <c r="M26" s="184"/>
      <c r="N26" s="47"/>
      <c r="O26" s="48"/>
      <c r="P26" s="49"/>
      <c r="Q26" s="48"/>
      <c r="R26" s="123"/>
      <c r="S26" s="123"/>
      <c r="T26" s="50"/>
      <c r="U26" s="50"/>
      <c r="V26" s="50"/>
      <c r="W26" s="50"/>
      <c r="X26" s="55"/>
      <c r="Y26" s="52"/>
      <c r="Z26" s="50"/>
      <c r="AA26" s="50"/>
      <c r="AB26" s="50"/>
      <c r="AC26" s="50"/>
      <c r="AD26" s="50">
        <f t="shared" si="54"/>
        <v>20</v>
      </c>
      <c r="AE26" s="187" t="s">
        <v>118</v>
      </c>
      <c r="AF26" s="180"/>
      <c r="AG26" s="180"/>
      <c r="AH26" s="180">
        <v>20</v>
      </c>
      <c r="AJ26" s="50"/>
      <c r="AK26" s="50"/>
      <c r="AL26" s="50"/>
      <c r="AM26" s="50">
        <f t="shared" si="55"/>
        <v>20</v>
      </c>
      <c r="AN26" s="50"/>
      <c r="AO26" s="50"/>
      <c r="AP26" s="50"/>
      <c r="AQ26" s="50"/>
      <c r="AR26" s="50">
        <f t="shared" si="56"/>
        <v>0</v>
      </c>
      <c r="AS26" s="50"/>
      <c r="AT26" s="50"/>
      <c r="AU26" s="50"/>
      <c r="AV26" s="50"/>
      <c r="AW26" s="50"/>
      <c r="AX26" s="50"/>
      <c r="AY26" s="50"/>
      <c r="AZ26" s="50"/>
      <c r="BA26" s="50">
        <f t="shared" si="57"/>
        <v>0</v>
      </c>
      <c r="BB26" s="180"/>
      <c r="BC26" s="146"/>
      <c r="BD26" s="146"/>
      <c r="BE26" s="180"/>
      <c r="BF26" s="146"/>
    </row>
    <row r="27" spans="1:58" ht="12.95" customHeight="1" x14ac:dyDescent="0.25">
      <c r="A27" s="117"/>
      <c r="B27" s="118"/>
      <c r="C27" s="119"/>
      <c r="D27" s="118"/>
      <c r="E27" s="37"/>
      <c r="F27" s="37"/>
      <c r="G27" s="190"/>
      <c r="H27" s="192"/>
      <c r="I27" s="45"/>
      <c r="J27" s="46"/>
      <c r="K27" s="46"/>
      <c r="L27" s="184"/>
      <c r="M27" s="184"/>
      <c r="N27" s="47"/>
      <c r="O27" s="48"/>
      <c r="P27" s="49"/>
      <c r="Q27" s="48"/>
      <c r="R27" s="123"/>
      <c r="S27" s="123"/>
      <c r="T27" s="50"/>
      <c r="U27" s="50"/>
      <c r="V27" s="50"/>
      <c r="W27" s="50"/>
      <c r="X27" s="55"/>
      <c r="Y27" s="52"/>
      <c r="Z27" s="50"/>
      <c r="AA27" s="50"/>
      <c r="AB27" s="50"/>
      <c r="AC27" s="50"/>
      <c r="AD27" s="50"/>
      <c r="AE27" s="187"/>
      <c r="AF27" s="50"/>
      <c r="AG27" s="50"/>
      <c r="AH27" s="50"/>
      <c r="AI27" s="54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180"/>
      <c r="BC27" s="146"/>
      <c r="BD27" s="146"/>
      <c r="BE27" s="180"/>
      <c r="BF27" s="146"/>
    </row>
    <row r="28" spans="1:58" ht="12.95" customHeight="1" x14ac:dyDescent="0.25">
      <c r="A28" s="117">
        <v>45967</v>
      </c>
      <c r="B28" s="118" t="s">
        <v>168</v>
      </c>
      <c r="C28" s="119">
        <f t="shared" ref="C28" si="58">(M28*E28*O28*Q28)/100000000</f>
        <v>51.628751999999999</v>
      </c>
      <c r="D28" s="118" t="s">
        <v>177</v>
      </c>
      <c r="E28" s="37">
        <v>14</v>
      </c>
      <c r="F28" s="37">
        <v>1</v>
      </c>
      <c r="G28" s="188">
        <v>1270</v>
      </c>
      <c r="H28" s="243">
        <f t="shared" ref="H28" si="59">+N28</f>
        <v>0.25</v>
      </c>
      <c r="I28" s="45">
        <v>0.88</v>
      </c>
      <c r="J28" s="46">
        <f t="shared" ref="J28" si="60">E28*G28*(1-H28)*1440/1000000*2.87</f>
        <v>55.110888000000003</v>
      </c>
      <c r="K28" s="46">
        <f t="shared" ref="K28" si="61">(IF(G28&lt;L28,L28,G28)*(1-IF(H28&lt;N28,H28,N28))*E28*O28*Q28)/100000000</f>
        <v>52.038504000000003</v>
      </c>
      <c r="L28" s="184">
        <v>1260</v>
      </c>
      <c r="M28" s="184">
        <v>945</v>
      </c>
      <c r="N28" s="47">
        <f t="shared" ref="N28" si="62">1-(M28/L28)</f>
        <v>0.25</v>
      </c>
      <c r="O28" s="48">
        <f>+'[5]Trim Rwd'!H24</f>
        <v>271</v>
      </c>
      <c r="P28" s="49">
        <f t="shared" ref="P28" si="63">O28*(Q28-R28-S28)</f>
        <v>383194</v>
      </c>
      <c r="Q28" s="48">
        <v>1440</v>
      </c>
      <c r="R28" s="123">
        <v>0</v>
      </c>
      <c r="S28" s="123">
        <v>26</v>
      </c>
      <c r="T28" s="50">
        <f t="shared" ref="T28" si="64">E28*M28*O28*Q28/100000000</f>
        <v>51.628751999999999</v>
      </c>
      <c r="U28" s="50">
        <f t="shared" ref="U28" si="65">E28*M28*O28*(Q28-R28-S28)/100000000</f>
        <v>50.696566199999999</v>
      </c>
      <c r="V28" s="50">
        <f t="shared" ref="V28" si="66">E28*G28*(1-N28)*O28/100*(R28+S28)/1000000</f>
        <v>0.93958409999999992</v>
      </c>
      <c r="W28" s="50">
        <f>+'[5]6'!K34/1000</f>
        <v>43.793999999999997</v>
      </c>
      <c r="X28" s="51">
        <f>SUM(W28:W31)/SUM(K28:K31)</f>
        <v>0.84156915809877997</v>
      </c>
      <c r="Y28" s="50">
        <v>0</v>
      </c>
      <c r="Z28" s="50">
        <v>0</v>
      </c>
      <c r="AA28" s="53">
        <f>SUM(U28:U31)-SUM(W28:W31)-SUM(Z28:Z31)-SUM(Y28:Y31)</f>
        <v>6.9025662000000025</v>
      </c>
      <c r="AB28" s="53">
        <f>(SUM(K28:K31)-SUM(W28:W31)-SUM(Y28:Y31)-SUM(Z28:Z31)-SUM(AC28:AC31)-SUM(V28:V31))-AA28</f>
        <v>-7.398300000001079E-3</v>
      </c>
      <c r="AC28" s="50">
        <f>K28-T28</f>
        <v>0.40975200000000456</v>
      </c>
      <c r="AD28" s="50">
        <f>+AM28+BA28</f>
        <v>0</v>
      </c>
      <c r="AE28" s="187" t="s">
        <v>110</v>
      </c>
      <c r="AF28" s="50">
        <v>0</v>
      </c>
      <c r="AG28" s="50"/>
      <c r="AH28" s="50"/>
      <c r="AI28" s="54"/>
      <c r="AJ28" s="50"/>
      <c r="AK28" s="50"/>
      <c r="AL28" s="50"/>
      <c r="AM28" s="50">
        <f>SUM(AF28:AL28)+AT28+AV28+AX28</f>
        <v>0</v>
      </c>
      <c r="AN28" s="50"/>
      <c r="AO28" s="50"/>
      <c r="AP28" s="50"/>
      <c r="AQ28" s="50"/>
      <c r="AR28" s="50">
        <f>SUM(AN28:AQ28)</f>
        <v>0</v>
      </c>
      <c r="AS28" s="50"/>
      <c r="AT28" s="50"/>
      <c r="AU28" s="50"/>
      <c r="AV28" s="50"/>
      <c r="AW28" s="50"/>
      <c r="AX28" s="50"/>
      <c r="AY28" s="50"/>
      <c r="AZ28" s="50"/>
      <c r="BA28" s="50">
        <f>+AR28+AS28+AU28+AW28+AY28+AZ28</f>
        <v>0</v>
      </c>
      <c r="BB28" s="180">
        <v>0</v>
      </c>
      <c r="BC28" s="116"/>
      <c r="BD28" s="116"/>
      <c r="BE28" s="180"/>
      <c r="BF28" s="116"/>
    </row>
    <row r="29" spans="1:58" ht="12.95" customHeight="1" x14ac:dyDescent="0.25">
      <c r="A29" s="117"/>
      <c r="B29" s="118"/>
      <c r="C29" s="119"/>
      <c r="D29" s="118"/>
      <c r="E29" s="37"/>
      <c r="F29" s="37"/>
      <c r="G29" s="188"/>
      <c r="H29" s="192"/>
      <c r="I29" s="45"/>
      <c r="J29" s="46"/>
      <c r="K29" s="46"/>
      <c r="L29" s="184"/>
      <c r="M29" s="184"/>
      <c r="N29" s="47"/>
      <c r="O29" s="48"/>
      <c r="P29" s="49"/>
      <c r="Q29" s="48"/>
      <c r="R29" s="123"/>
      <c r="S29" s="123"/>
      <c r="T29" s="50"/>
      <c r="U29" s="50"/>
      <c r="V29" s="50"/>
      <c r="W29" s="50"/>
      <c r="X29" s="55"/>
      <c r="Y29" s="52"/>
      <c r="Z29" s="50"/>
      <c r="AA29" s="50"/>
      <c r="AB29" s="50"/>
      <c r="AC29" s="50"/>
      <c r="AD29" s="50">
        <f t="shared" ref="AD29:AD30" si="67">+AM29+BA29</f>
        <v>0</v>
      </c>
      <c r="AE29" s="187" t="s">
        <v>111</v>
      </c>
      <c r="AF29" s="50"/>
      <c r="AG29" s="50">
        <v>0</v>
      </c>
      <c r="AH29" s="50"/>
      <c r="AI29" s="54"/>
      <c r="AJ29" s="50"/>
      <c r="AK29" s="50"/>
      <c r="AL29" s="50"/>
      <c r="AM29" s="50">
        <f t="shared" ref="AM29:AM30" si="68">SUM(AF29:AL29)+AT29+AV29+AX29</f>
        <v>0</v>
      </c>
      <c r="AN29" s="157"/>
      <c r="AO29" s="50"/>
      <c r="AP29" s="50"/>
      <c r="AQ29" s="50"/>
      <c r="AR29" s="50">
        <f t="shared" ref="AR29:AR30" si="69">SUM(AN29:AQ29)</f>
        <v>0</v>
      </c>
      <c r="AS29" s="50"/>
      <c r="AT29" s="50"/>
      <c r="AU29" s="50"/>
      <c r="AV29" s="50"/>
      <c r="AW29" s="50"/>
      <c r="AX29" s="50"/>
      <c r="AY29" s="50"/>
      <c r="AZ29" s="50"/>
      <c r="BA29" s="50">
        <f t="shared" ref="BA29:BA30" si="70">+AR29+AS29+AU29+AW29+AY29+AZ29</f>
        <v>0</v>
      </c>
      <c r="BB29" s="189"/>
      <c r="BC29" s="116">
        <v>0</v>
      </c>
      <c r="BD29" s="116"/>
      <c r="BE29" s="189"/>
      <c r="BF29" s="116"/>
    </row>
    <row r="30" spans="1:58" ht="12.95" customHeight="1" x14ac:dyDescent="0.25">
      <c r="A30" s="117"/>
      <c r="B30" s="118"/>
      <c r="C30" s="119"/>
      <c r="D30" s="118"/>
      <c r="E30" s="37"/>
      <c r="F30" s="37"/>
      <c r="G30" s="188"/>
      <c r="H30" s="192"/>
      <c r="I30" s="45"/>
      <c r="J30" s="46"/>
      <c r="K30" s="46"/>
      <c r="L30" s="184"/>
      <c r="M30" s="184"/>
      <c r="N30" s="47"/>
      <c r="O30" s="48"/>
      <c r="P30" s="49"/>
      <c r="Q30" s="48"/>
      <c r="R30" s="123"/>
      <c r="S30" s="123"/>
      <c r="T30" s="50"/>
      <c r="U30" s="50"/>
      <c r="V30" s="50"/>
      <c r="W30" s="50"/>
      <c r="X30" s="55"/>
      <c r="Y30" s="52"/>
      <c r="Z30" s="50"/>
      <c r="AA30" s="50"/>
      <c r="AB30" s="50"/>
      <c r="AC30" s="50"/>
      <c r="AD30" s="50">
        <f t="shared" si="67"/>
        <v>26</v>
      </c>
      <c r="AE30" s="187" t="s">
        <v>187</v>
      </c>
      <c r="AF30" s="180"/>
      <c r="AG30" s="180"/>
      <c r="AH30" s="180">
        <v>26</v>
      </c>
      <c r="AJ30" s="50"/>
      <c r="AK30" s="50"/>
      <c r="AL30" s="50"/>
      <c r="AM30" s="50">
        <f t="shared" si="68"/>
        <v>26</v>
      </c>
      <c r="AN30" s="50"/>
      <c r="AO30" s="50"/>
      <c r="AP30" s="50"/>
      <c r="AQ30" s="50"/>
      <c r="AR30" s="50">
        <f t="shared" si="69"/>
        <v>0</v>
      </c>
      <c r="AS30" s="50"/>
      <c r="AT30" s="50"/>
      <c r="AU30" s="50"/>
      <c r="AV30" s="50"/>
      <c r="AW30" s="50"/>
      <c r="AX30" s="50"/>
      <c r="AY30" s="50"/>
      <c r="AZ30" s="50"/>
      <c r="BA30" s="50">
        <f t="shared" si="70"/>
        <v>0</v>
      </c>
      <c r="BB30" s="180"/>
      <c r="BC30" s="146"/>
      <c r="BD30" s="146"/>
      <c r="BE30" s="180"/>
      <c r="BF30" s="146"/>
    </row>
    <row r="31" spans="1:58" ht="12.95" customHeight="1" x14ac:dyDescent="0.25">
      <c r="A31" s="117"/>
      <c r="B31" s="118"/>
      <c r="C31" s="119"/>
      <c r="D31" s="118"/>
      <c r="E31" s="37"/>
      <c r="F31" s="37"/>
      <c r="G31" s="190"/>
      <c r="H31" s="192"/>
      <c r="I31" s="45"/>
      <c r="J31" s="46"/>
      <c r="K31" s="46"/>
      <c r="L31" s="184"/>
      <c r="M31" s="184"/>
      <c r="N31" s="47"/>
      <c r="O31" s="48"/>
      <c r="P31" s="49"/>
      <c r="Q31" s="48"/>
      <c r="R31" s="123"/>
      <c r="S31" s="123"/>
      <c r="T31" s="50"/>
      <c r="U31" s="50"/>
      <c r="V31" s="50"/>
      <c r="W31" s="50"/>
      <c r="X31" s="55"/>
      <c r="Y31" s="52"/>
      <c r="Z31" s="50"/>
      <c r="AA31" s="50"/>
      <c r="AB31" s="50"/>
      <c r="AC31" s="50"/>
      <c r="AD31" s="50"/>
      <c r="AE31" s="187"/>
      <c r="AF31" s="50"/>
      <c r="AG31" s="50"/>
      <c r="AH31" s="50"/>
      <c r="AI31" s="54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180"/>
      <c r="BC31" s="146"/>
      <c r="BD31" s="146"/>
      <c r="BE31" s="180"/>
      <c r="BF31" s="146"/>
    </row>
    <row r="32" spans="1:58" ht="12.75" customHeight="1" x14ac:dyDescent="0.25">
      <c r="A32" s="117">
        <v>45968</v>
      </c>
      <c r="B32" s="118" t="s">
        <v>168</v>
      </c>
      <c r="C32" s="119">
        <f t="shared" ref="C32" si="71">(M32*E32*O32*Q32)/100000000</f>
        <v>51.628751999999999</v>
      </c>
      <c r="D32" s="118" t="s">
        <v>177</v>
      </c>
      <c r="E32" s="37">
        <v>14</v>
      </c>
      <c r="F32" s="37">
        <v>1</v>
      </c>
      <c r="G32" s="188">
        <v>1270</v>
      </c>
      <c r="H32" s="243">
        <f t="shared" ref="H32" si="72">+N32</f>
        <v>0.25</v>
      </c>
      <c r="I32" s="45">
        <v>0.88</v>
      </c>
      <c r="J32" s="46">
        <f t="shared" ref="J32" si="73">E32*G32*(1-H32)*1440/1000000*2.87</f>
        <v>55.110888000000003</v>
      </c>
      <c r="K32" s="46">
        <f t="shared" ref="K32" si="74">(IF(G32&lt;L32,L32,G32)*(1-IF(H32&lt;N32,H32,N32))*E32*O32*Q32)/100000000</f>
        <v>52.038504000000003</v>
      </c>
      <c r="L32" s="184">
        <v>1260</v>
      </c>
      <c r="M32" s="184">
        <v>945</v>
      </c>
      <c r="N32" s="47">
        <f t="shared" ref="N32" si="75">1-(M32/L32)</f>
        <v>0.25</v>
      </c>
      <c r="O32" s="48">
        <f>+'[5]Trim Rwd'!H26</f>
        <v>271</v>
      </c>
      <c r="P32" s="49">
        <f t="shared" ref="P32" si="76">O32*(Q32-R32-S32)</f>
        <v>381297</v>
      </c>
      <c r="Q32" s="48">
        <v>1440</v>
      </c>
      <c r="R32" s="123">
        <v>0</v>
      </c>
      <c r="S32" s="123">
        <v>33</v>
      </c>
      <c r="T32" s="50">
        <f t="shared" ref="T32" si="77">E32*M32*O32*Q32/100000000</f>
        <v>51.628751999999999</v>
      </c>
      <c r="U32" s="50">
        <f t="shared" ref="U32" si="78">E32*M32*O32*(Q32-R32-S32)/100000000</f>
        <v>50.445593100000004</v>
      </c>
      <c r="V32" s="50">
        <f t="shared" ref="V32" si="79">E32*G32*(1-N32)*O32/100*(R32+S32)/1000000</f>
        <v>1.19254905</v>
      </c>
      <c r="W32" s="50">
        <f>+'[5]7'!K34/1000</f>
        <v>46.576999999999998</v>
      </c>
      <c r="X32" s="51">
        <f>SUM(W32:W35)/SUM(K32:K35)</f>
        <v>0.89504878925804621</v>
      </c>
      <c r="Y32" s="50">
        <v>0</v>
      </c>
      <c r="Z32" s="50">
        <v>0</v>
      </c>
      <c r="AA32" s="53">
        <f>SUM(U32:U35)-SUM(W32:W35)-SUM(Z32:Z35)-SUM(Y32:Y35)</f>
        <v>3.8685931000000053</v>
      </c>
      <c r="AB32" s="53">
        <f>(SUM(K32:K35)-SUM(W32:W35)-SUM(Y32:Y35)-SUM(Z32:Z35)-SUM(AC32:AC35)-SUM(V32:V35))-AA32</f>
        <v>-9.390150000005093E-3</v>
      </c>
      <c r="AC32" s="50">
        <f>K32-T32</f>
        <v>0.40975200000000456</v>
      </c>
      <c r="AD32" s="50">
        <f>+AM32+BA32</f>
        <v>10</v>
      </c>
      <c r="AE32" s="187" t="s">
        <v>113</v>
      </c>
      <c r="AF32" s="50">
        <v>10</v>
      </c>
      <c r="AG32" s="50"/>
      <c r="AH32" s="50"/>
      <c r="AI32" s="54"/>
      <c r="AJ32" s="50"/>
      <c r="AK32" s="50"/>
      <c r="AL32" s="50"/>
      <c r="AM32" s="50">
        <f>SUM(AF32:AL32)+AT32+AV32+AX32</f>
        <v>10</v>
      </c>
      <c r="AN32" s="50"/>
      <c r="AO32" s="50"/>
      <c r="AP32" s="50"/>
      <c r="AQ32" s="50"/>
      <c r="AR32" s="50">
        <f>SUM(AN32:AQ32)</f>
        <v>0</v>
      </c>
      <c r="AS32" s="50"/>
      <c r="AT32" s="50"/>
      <c r="AU32" s="50"/>
      <c r="AV32" s="50"/>
      <c r="AW32" s="50"/>
      <c r="AX32" s="50"/>
      <c r="AY32" s="50"/>
      <c r="AZ32" s="50"/>
      <c r="BA32" s="50">
        <f>+AR32+AS32+AU32+AW32+AY32+AZ32</f>
        <v>0</v>
      </c>
      <c r="BB32" s="180">
        <v>2</v>
      </c>
      <c r="BC32" s="116"/>
      <c r="BD32" s="116"/>
      <c r="BE32" s="180"/>
      <c r="BF32" s="116"/>
    </row>
    <row r="33" spans="1:58" ht="12.95" customHeight="1" x14ac:dyDescent="0.25">
      <c r="A33" s="117"/>
      <c r="B33" s="118"/>
      <c r="C33" s="119"/>
      <c r="D33" s="118"/>
      <c r="E33" s="37"/>
      <c r="F33" s="37"/>
      <c r="G33" s="188"/>
      <c r="H33" s="192"/>
      <c r="I33" s="45"/>
      <c r="J33" s="46"/>
      <c r="K33" s="46"/>
      <c r="L33" s="184"/>
      <c r="M33" s="184"/>
      <c r="N33" s="47"/>
      <c r="O33" s="48"/>
      <c r="P33" s="49"/>
      <c r="Q33" s="48"/>
      <c r="R33" s="123"/>
      <c r="S33" s="123"/>
      <c r="T33" s="50"/>
      <c r="U33" s="50"/>
      <c r="V33" s="50"/>
      <c r="W33" s="50"/>
      <c r="X33" s="55"/>
      <c r="Y33" s="52"/>
      <c r="Z33" s="50"/>
      <c r="AA33" s="50"/>
      <c r="AB33" s="50"/>
      <c r="AC33" s="50"/>
      <c r="AD33" s="50">
        <f t="shared" ref="AD33:AD34" si="80">+AM33+BA33</f>
        <v>1</v>
      </c>
      <c r="AE33" s="187" t="s">
        <v>174</v>
      </c>
      <c r="AF33" s="50"/>
      <c r="AG33" s="50">
        <v>1</v>
      </c>
      <c r="AH33" s="50"/>
      <c r="AI33" s="54"/>
      <c r="AJ33" s="50"/>
      <c r="AK33" s="50"/>
      <c r="AL33" s="50"/>
      <c r="AM33" s="50">
        <f t="shared" ref="AM33:AM34" si="81">SUM(AF33:AL33)+AT33+AV33+AX33</f>
        <v>1</v>
      </c>
      <c r="AN33" s="157"/>
      <c r="AO33" s="50"/>
      <c r="AP33" s="50"/>
      <c r="AQ33" s="50"/>
      <c r="AR33" s="50">
        <f t="shared" ref="AR33:AR34" si="82">SUM(AN33:AQ33)</f>
        <v>0</v>
      </c>
      <c r="AS33" s="50"/>
      <c r="AT33" s="50"/>
      <c r="AU33" s="50"/>
      <c r="AV33" s="50"/>
      <c r="AW33" s="50"/>
      <c r="AX33" s="50"/>
      <c r="AY33" s="50"/>
      <c r="AZ33" s="50"/>
      <c r="BA33" s="50">
        <f t="shared" ref="BA33:BA34" si="83">+AR33+AS33+AU33+AW33+AY33+AZ33</f>
        <v>0</v>
      </c>
      <c r="BB33" s="189"/>
      <c r="BC33" s="116">
        <v>1</v>
      </c>
      <c r="BD33" s="116"/>
      <c r="BE33" s="189"/>
      <c r="BF33" s="116"/>
    </row>
    <row r="34" spans="1:58" ht="12.95" customHeight="1" x14ac:dyDescent="0.25">
      <c r="A34" s="117"/>
      <c r="B34" s="118"/>
      <c r="C34" s="119"/>
      <c r="D34" s="118"/>
      <c r="E34" s="37"/>
      <c r="F34" s="37"/>
      <c r="G34" s="188"/>
      <c r="H34" s="192"/>
      <c r="I34" s="45"/>
      <c r="J34" s="46"/>
      <c r="K34" s="46"/>
      <c r="L34" s="184"/>
      <c r="M34" s="184"/>
      <c r="N34" s="47"/>
      <c r="O34" s="48"/>
      <c r="P34" s="49"/>
      <c r="Q34" s="48"/>
      <c r="R34" s="123"/>
      <c r="S34" s="123"/>
      <c r="T34" s="50"/>
      <c r="U34" s="50"/>
      <c r="V34" s="50"/>
      <c r="W34" s="50"/>
      <c r="X34" s="55"/>
      <c r="Y34" s="52"/>
      <c r="Z34" s="50"/>
      <c r="AA34" s="50"/>
      <c r="AB34" s="50"/>
      <c r="AC34" s="50"/>
      <c r="AD34" s="50">
        <f t="shared" si="80"/>
        <v>22</v>
      </c>
      <c r="AE34" s="187" t="s">
        <v>180</v>
      </c>
      <c r="AF34" s="180"/>
      <c r="AG34" s="180"/>
      <c r="AH34" s="180">
        <v>22</v>
      </c>
      <c r="AJ34" s="50"/>
      <c r="AK34" s="50"/>
      <c r="AL34" s="50"/>
      <c r="AM34" s="50">
        <f t="shared" si="81"/>
        <v>22</v>
      </c>
      <c r="AN34" s="50"/>
      <c r="AO34" s="50"/>
      <c r="AP34" s="50"/>
      <c r="AQ34" s="50"/>
      <c r="AR34" s="50">
        <f t="shared" si="82"/>
        <v>0</v>
      </c>
      <c r="AS34" s="50"/>
      <c r="AT34" s="50"/>
      <c r="AU34" s="50"/>
      <c r="AV34" s="50"/>
      <c r="AW34" s="50"/>
      <c r="AX34" s="50"/>
      <c r="AY34" s="50"/>
      <c r="AZ34" s="50"/>
      <c r="BA34" s="50">
        <f t="shared" si="83"/>
        <v>0</v>
      </c>
      <c r="BB34" s="180"/>
      <c r="BC34" s="146"/>
      <c r="BD34" s="146"/>
      <c r="BE34" s="180"/>
      <c r="BF34" s="146"/>
    </row>
    <row r="35" spans="1:58" ht="12.95" customHeight="1" x14ac:dyDescent="0.25">
      <c r="A35" s="117"/>
      <c r="B35" s="118"/>
      <c r="C35" s="119"/>
      <c r="D35" s="118"/>
      <c r="E35" s="37"/>
      <c r="F35" s="37"/>
      <c r="G35" s="190"/>
      <c r="H35" s="192"/>
      <c r="I35" s="45"/>
      <c r="J35" s="46"/>
      <c r="K35" s="46"/>
      <c r="L35" s="184"/>
      <c r="M35" s="184"/>
      <c r="N35" s="47"/>
      <c r="O35" s="48"/>
      <c r="P35" s="49"/>
      <c r="Q35" s="48"/>
      <c r="R35" s="123"/>
      <c r="S35" s="123"/>
      <c r="T35" s="50"/>
      <c r="U35" s="50"/>
      <c r="V35" s="50"/>
      <c r="W35" s="50"/>
      <c r="X35" s="55"/>
      <c r="Y35" s="52"/>
      <c r="Z35" s="50"/>
      <c r="AA35" s="50"/>
      <c r="AB35" s="50"/>
      <c r="AC35" s="50"/>
      <c r="AD35" s="50"/>
      <c r="AE35" s="187"/>
      <c r="AF35" s="50"/>
      <c r="AG35" s="50"/>
      <c r="AH35" s="50"/>
      <c r="AI35" s="54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180"/>
      <c r="BC35" s="146"/>
      <c r="BD35" s="146"/>
      <c r="BE35" s="180"/>
      <c r="BF35" s="146"/>
    </row>
    <row r="36" spans="1:58" ht="12.75" customHeight="1" x14ac:dyDescent="0.25">
      <c r="A36" s="117">
        <v>45969</v>
      </c>
      <c r="B36" s="118" t="s">
        <v>168</v>
      </c>
      <c r="C36" s="119">
        <f t="shared" ref="C36:C38" si="84">(M36*E36*O36*Q36)/100000000</f>
        <v>19.012215599999998</v>
      </c>
      <c r="D36" s="118" t="s">
        <v>177</v>
      </c>
      <c r="E36" s="37">
        <v>14</v>
      </c>
      <c r="F36" s="37">
        <v>1</v>
      </c>
      <c r="G36" s="188">
        <v>1270</v>
      </c>
      <c r="H36" s="243">
        <f t="shared" ref="H36:H38" si="85">+N36</f>
        <v>0.24</v>
      </c>
      <c r="I36" s="45">
        <v>0.88</v>
      </c>
      <c r="J36" s="46">
        <f t="shared" ref="J36:J38" si="86">E36*G36*(1-H36)*1440/1000000*2.87</f>
        <v>55.845699839999995</v>
      </c>
      <c r="K36" s="46">
        <f t="shared" ref="K36:K38" si="87">(IF(G36&lt;L36,L36,G36)*(1-IF(H36&lt;N36,H36,N36))*E36*O36*Q36)/100000000</f>
        <v>19.163106200000001</v>
      </c>
      <c r="L36" s="184">
        <v>1260</v>
      </c>
      <c r="M36" s="184">
        <f>+L36-L36*0.24</f>
        <v>957.6</v>
      </c>
      <c r="N36" s="47">
        <f t="shared" ref="N36:N38" si="88">1-(M36/L36)</f>
        <v>0.24</v>
      </c>
      <c r="O36" s="48">
        <f>+'[5]Trim Rwd'!H28</f>
        <v>270.12280701754383</v>
      </c>
      <c r="P36" s="49">
        <f t="shared" ref="P36:P38" si="89">O36*(Q36-R36-S36)</f>
        <v>139113.24561403508</v>
      </c>
      <c r="Q36" s="48">
        <v>525</v>
      </c>
      <c r="R36" s="123">
        <v>0</v>
      </c>
      <c r="S36" s="123">
        <v>10</v>
      </c>
      <c r="T36" s="50">
        <f t="shared" ref="T36:T38" si="90">E36*M36*O36*Q36/100000000</f>
        <v>19.012215599999998</v>
      </c>
      <c r="U36" s="50">
        <f t="shared" ref="U36:U38" si="91">E36*M36*O36*(Q36-R36-S36)/100000000</f>
        <v>18.650078159999996</v>
      </c>
      <c r="V36" s="50">
        <f t="shared" ref="V36:V38" si="92">E36*G36*(1-N36)*O36/100*(R36+S36)/1000000</f>
        <v>0.36501154666666663</v>
      </c>
      <c r="W36" s="50">
        <f>+'[5]8'!K13/1000</f>
        <v>35.261000000000003</v>
      </c>
      <c r="X36" s="51">
        <f>SUM(W36:W39)/SUM(K36:K39)</f>
        <v>1.0624654620762874</v>
      </c>
      <c r="Y36" s="50">
        <v>0</v>
      </c>
      <c r="Z36" s="50">
        <v>0</v>
      </c>
      <c r="AA36" s="53">
        <f>SUM(U36:U39)-SUM(W36:W39)-SUM(Z36:Z39)-SUM(Y36:Y39)</f>
        <v>-4.5759835600000045</v>
      </c>
      <c r="AB36" s="53">
        <f>(SUM(K36:K39)-SUM(W36:W39)-SUM(Y36:Y39)-SUM(Z36:Z39)-SUM(AC36:AC39)-SUM(V36:V39))-AA36</f>
        <v>3.1940353333336446E-2</v>
      </c>
      <c r="AC36" s="50">
        <f>K36-T36</f>
        <v>0.15089060000000387</v>
      </c>
      <c r="AD36" s="50">
        <f>+AM36+BA36</f>
        <v>0</v>
      </c>
      <c r="AE36" s="187" t="s">
        <v>110</v>
      </c>
      <c r="AF36" s="50">
        <v>0</v>
      </c>
      <c r="AG36" s="50"/>
      <c r="AH36" s="50"/>
      <c r="AI36" s="54"/>
      <c r="AJ36" s="50"/>
      <c r="AK36" s="50"/>
      <c r="AL36" s="50"/>
      <c r="AM36" s="50">
        <f>SUM(AF36:AL36)+AT36+AV36+AX36</f>
        <v>0</v>
      </c>
      <c r="AN36" s="50"/>
      <c r="AO36" s="50"/>
      <c r="AP36" s="50"/>
      <c r="AQ36" s="50"/>
      <c r="AR36" s="50">
        <f>SUM(AN36:AQ36)</f>
        <v>0</v>
      </c>
      <c r="AS36" s="50"/>
      <c r="AT36" s="50"/>
      <c r="AU36" s="50"/>
      <c r="AV36" s="50"/>
      <c r="AW36" s="50"/>
      <c r="AX36" s="50"/>
      <c r="AY36" s="50"/>
      <c r="AZ36" s="50"/>
      <c r="BA36" s="50">
        <f>+AR36+AS36+AU36+AW36+AY36+AZ36</f>
        <v>0</v>
      </c>
      <c r="BB36" s="180">
        <v>0</v>
      </c>
      <c r="BC36" s="116"/>
      <c r="BD36" s="116"/>
      <c r="BE36" s="180"/>
      <c r="BF36" s="116"/>
    </row>
    <row r="37" spans="1:58" ht="12.95" customHeight="1" x14ac:dyDescent="0.25">
      <c r="A37" s="117"/>
      <c r="B37" s="118" t="s">
        <v>168</v>
      </c>
      <c r="C37" s="119">
        <f t="shared" si="84"/>
        <v>22.802275439999999</v>
      </c>
      <c r="D37" s="118" t="s">
        <v>177</v>
      </c>
      <c r="E37" s="37">
        <v>14.5</v>
      </c>
      <c r="F37" s="37">
        <v>1</v>
      </c>
      <c r="G37" s="188">
        <v>1210</v>
      </c>
      <c r="H37" s="243">
        <f t="shared" si="85"/>
        <v>0.24</v>
      </c>
      <c r="I37" s="45">
        <v>0.88</v>
      </c>
      <c r="J37" s="46">
        <f t="shared" si="86"/>
        <v>55.107581760000002</v>
      </c>
      <c r="K37" s="46">
        <f t="shared" si="87"/>
        <v>22.802275439999999</v>
      </c>
      <c r="L37" s="184">
        <v>1260</v>
      </c>
      <c r="M37" s="184">
        <f>+L37-L37*0.24</f>
        <v>957.6</v>
      </c>
      <c r="N37" s="47">
        <f t="shared" si="88"/>
        <v>0.24</v>
      </c>
      <c r="O37" s="48">
        <f>+'[5]Trim Rwd'!H30</f>
        <v>276</v>
      </c>
      <c r="P37" s="49">
        <f t="shared" si="89"/>
        <v>161460</v>
      </c>
      <c r="Q37" s="48">
        <v>595</v>
      </c>
      <c r="R37" s="123">
        <v>0</v>
      </c>
      <c r="S37" s="123">
        <v>10</v>
      </c>
      <c r="T37" s="50">
        <f t="shared" si="90"/>
        <v>22.802275439999999</v>
      </c>
      <c r="U37" s="50">
        <f t="shared" si="91"/>
        <v>22.41904392</v>
      </c>
      <c r="V37" s="50">
        <f t="shared" si="92"/>
        <v>0.36802392</v>
      </c>
      <c r="W37" s="50">
        <f>+'[5]8'!K14/1000</f>
        <v>16.847999999999999</v>
      </c>
      <c r="X37" s="55"/>
      <c r="Y37" s="52"/>
      <c r="Z37" s="50"/>
      <c r="AA37" s="50"/>
      <c r="AB37" s="50"/>
      <c r="AC37" s="50">
        <f t="shared" ref="AC37:AC38" si="93">K37-T37</f>
        <v>0</v>
      </c>
      <c r="AD37" s="50">
        <f t="shared" ref="AD37:AD38" si="94">+AM37+BA37</f>
        <v>1</v>
      </c>
      <c r="AE37" s="187" t="s">
        <v>174</v>
      </c>
      <c r="AF37" s="50"/>
      <c r="AG37" s="50">
        <v>1</v>
      </c>
      <c r="AH37" s="50"/>
      <c r="AI37" s="54"/>
      <c r="AJ37" s="50"/>
      <c r="AK37" s="50"/>
      <c r="AL37" s="50"/>
      <c r="AM37" s="50">
        <f t="shared" ref="AM37:AM38" si="95">SUM(AF37:AL37)+AT37+AV37+AX37</f>
        <v>1</v>
      </c>
      <c r="AN37" s="157"/>
      <c r="AO37" s="50"/>
      <c r="AP37" s="50"/>
      <c r="AQ37" s="50"/>
      <c r="AR37" s="50">
        <f t="shared" ref="AR37:AR38" si="96">SUM(AN37:AQ37)</f>
        <v>0</v>
      </c>
      <c r="AS37" s="50"/>
      <c r="AT37" s="50"/>
      <c r="AU37" s="50"/>
      <c r="AV37" s="50"/>
      <c r="AW37" s="50"/>
      <c r="AX37" s="50"/>
      <c r="AY37" s="50"/>
      <c r="AZ37" s="50"/>
      <c r="BA37" s="50">
        <f t="shared" ref="BA37:BA38" si="97">+AR37+AS37+AU37+AW37+AY37+AZ37</f>
        <v>0</v>
      </c>
      <c r="BB37" s="189"/>
      <c r="BC37" s="116">
        <v>1</v>
      </c>
      <c r="BD37" s="116"/>
      <c r="BE37" s="189"/>
      <c r="BF37" s="116"/>
    </row>
    <row r="38" spans="1:58" ht="12.95" customHeight="1" x14ac:dyDescent="0.25">
      <c r="A38" s="117"/>
      <c r="B38" s="118" t="s">
        <v>168</v>
      </c>
      <c r="C38" s="119">
        <f t="shared" si="84"/>
        <v>12.548390400000001</v>
      </c>
      <c r="D38" s="118" t="s">
        <v>177</v>
      </c>
      <c r="E38" s="37">
        <v>15</v>
      </c>
      <c r="F38" s="37">
        <v>1</v>
      </c>
      <c r="G38" s="188">
        <v>1170</v>
      </c>
      <c r="H38" s="243">
        <f t="shared" si="85"/>
        <v>0.24</v>
      </c>
      <c r="I38" s="45">
        <v>0.88</v>
      </c>
      <c r="J38" s="46">
        <f t="shared" si="86"/>
        <v>55.123286400000005</v>
      </c>
      <c r="K38" s="46">
        <f t="shared" si="87"/>
        <v>12.548390400000001</v>
      </c>
      <c r="L38" s="184">
        <v>1260</v>
      </c>
      <c r="M38" s="184">
        <f>+L38-L38*0.24</f>
        <v>957.6</v>
      </c>
      <c r="N38" s="47">
        <f t="shared" si="88"/>
        <v>0.24</v>
      </c>
      <c r="O38" s="48">
        <f>+'[5]Trim Rwd'!H31</f>
        <v>273</v>
      </c>
      <c r="P38" s="49">
        <f t="shared" si="89"/>
        <v>85449</v>
      </c>
      <c r="Q38" s="48">
        <v>320</v>
      </c>
      <c r="R38" s="123">
        <v>0</v>
      </c>
      <c r="S38" s="123">
        <v>7</v>
      </c>
      <c r="T38" s="50">
        <f t="shared" si="90"/>
        <v>12.548390400000001</v>
      </c>
      <c r="U38" s="50">
        <f t="shared" si="91"/>
        <v>12.27389436</v>
      </c>
      <c r="V38" s="50">
        <f t="shared" si="92"/>
        <v>0.25488917999999999</v>
      </c>
      <c r="W38" s="50">
        <f>+'[5]8'!K15/1000</f>
        <v>5.81</v>
      </c>
      <c r="X38" s="55"/>
      <c r="Y38" s="52"/>
      <c r="Z38" s="50"/>
      <c r="AA38" s="50"/>
      <c r="AB38" s="50"/>
      <c r="AC38" s="50">
        <f t="shared" si="93"/>
        <v>0</v>
      </c>
      <c r="AD38" s="50">
        <f t="shared" si="94"/>
        <v>26</v>
      </c>
      <c r="AE38" s="187" t="s">
        <v>180</v>
      </c>
      <c r="AF38" s="180"/>
      <c r="AG38" s="180"/>
      <c r="AH38" s="180">
        <v>26</v>
      </c>
      <c r="AJ38" s="50"/>
      <c r="AK38" s="50"/>
      <c r="AL38" s="50"/>
      <c r="AM38" s="50">
        <f t="shared" si="95"/>
        <v>26</v>
      </c>
      <c r="AN38" s="50"/>
      <c r="AO38" s="50"/>
      <c r="AP38" s="50"/>
      <c r="AQ38" s="50"/>
      <c r="AR38" s="50">
        <f t="shared" si="96"/>
        <v>0</v>
      </c>
      <c r="AS38" s="50"/>
      <c r="AT38" s="50"/>
      <c r="AU38" s="50"/>
      <c r="AV38" s="50"/>
      <c r="AW38" s="50"/>
      <c r="AX38" s="50"/>
      <c r="AY38" s="50"/>
      <c r="AZ38" s="50"/>
      <c r="BA38" s="50">
        <f t="shared" si="97"/>
        <v>0</v>
      </c>
      <c r="BB38" s="180"/>
      <c r="BC38" s="146"/>
      <c r="BD38" s="146"/>
      <c r="BE38" s="180"/>
      <c r="BF38" s="146"/>
    </row>
    <row r="39" spans="1:58" ht="12.95" customHeight="1" x14ac:dyDescent="0.25">
      <c r="A39" s="117"/>
      <c r="B39" s="118"/>
      <c r="C39" s="119"/>
      <c r="D39" s="118"/>
      <c r="E39" s="37"/>
      <c r="F39" s="37"/>
      <c r="G39" s="190"/>
      <c r="H39" s="192"/>
      <c r="I39" s="45"/>
      <c r="J39" s="46"/>
      <c r="K39" s="46"/>
      <c r="L39" s="184"/>
      <c r="M39" s="184"/>
      <c r="N39" s="47"/>
      <c r="O39" s="48"/>
      <c r="P39" s="49"/>
      <c r="Q39" s="48"/>
      <c r="R39" s="123"/>
      <c r="S39" s="123"/>
      <c r="T39" s="50"/>
      <c r="U39" s="50"/>
      <c r="V39" s="50"/>
      <c r="W39" s="50"/>
      <c r="X39" s="55"/>
      <c r="Y39" s="52"/>
      <c r="Z39" s="50"/>
      <c r="AA39" s="50"/>
      <c r="AB39" s="50"/>
      <c r="AC39" s="50"/>
      <c r="AD39" s="50"/>
      <c r="AE39" s="187"/>
      <c r="AF39" s="50"/>
      <c r="AG39" s="50"/>
      <c r="AH39" s="50"/>
      <c r="AI39" s="54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180"/>
      <c r="BC39" s="146"/>
      <c r="BD39" s="146"/>
      <c r="BE39" s="180"/>
      <c r="BF39" s="146"/>
    </row>
    <row r="40" spans="1:58" ht="12.75" customHeight="1" x14ac:dyDescent="0.25">
      <c r="A40" s="117">
        <v>45970</v>
      </c>
      <c r="B40" s="118" t="s">
        <v>168</v>
      </c>
      <c r="C40" s="119">
        <f t="shared" ref="C40:C41" si="98">(M40*E40*O40*Q40)/100000000</f>
        <v>48.036807000000003</v>
      </c>
      <c r="D40" s="118" t="s">
        <v>177</v>
      </c>
      <c r="E40" s="37">
        <v>15</v>
      </c>
      <c r="F40" s="37">
        <v>1</v>
      </c>
      <c r="G40" s="188">
        <v>1170</v>
      </c>
      <c r="H40" s="243">
        <f t="shared" ref="H40:H41" si="99">+N40</f>
        <v>0.24</v>
      </c>
      <c r="I40" s="45">
        <v>0.88</v>
      </c>
      <c r="J40" s="46">
        <f t="shared" ref="J40:J41" si="100">E40*G40*(1-H40)*1440/1000000*2.87</f>
        <v>55.123286400000005</v>
      </c>
      <c r="K40" s="46">
        <f t="shared" ref="K40:K41" si="101">(IF(G40&lt;L40,L40,G40)*(1-IF(H40&lt;N40,H40,N40))*E40*O40*Q40)/100000000</f>
        <v>48.036807000000003</v>
      </c>
      <c r="L40" s="184">
        <v>1260</v>
      </c>
      <c r="M40" s="184">
        <f t="shared" ref="M40:M41" si="102">+L40-L40*0.24</f>
        <v>957.6</v>
      </c>
      <c r="N40" s="47">
        <f t="shared" ref="N40:N41" si="103">1-(M40/L40)</f>
        <v>0.24</v>
      </c>
      <c r="O40" s="48">
        <f>+'[5]Trim Rwd'!H33</f>
        <v>273</v>
      </c>
      <c r="P40" s="49">
        <f t="shared" ref="P40:P41" si="104">O40*(Q40-R40-S40)</f>
        <v>328965</v>
      </c>
      <c r="Q40" s="48">
        <v>1225</v>
      </c>
      <c r="R40" s="123">
        <v>0</v>
      </c>
      <c r="S40" s="123">
        <v>20</v>
      </c>
      <c r="T40" s="50">
        <f t="shared" ref="T40:T41" si="105">E40*M40*O40*Q40/100000000</f>
        <v>48.036807000000003</v>
      </c>
      <c r="U40" s="50">
        <f t="shared" ref="U40:U41" si="106">E40*M40*O40*(Q40-R40-S40)/100000000</f>
        <v>47.252532600000002</v>
      </c>
      <c r="V40" s="50">
        <f t="shared" ref="V40:V41" si="107">E40*G40*(1-N40)*O40/100*(R40+S40)/1000000</f>
        <v>0.72825479999999998</v>
      </c>
      <c r="W40" s="50">
        <f>+'[5]9'!K15/1000</f>
        <v>51.215000000000003</v>
      </c>
      <c r="X40" s="51">
        <f>SUM(W40:W43)/SUM(K40:K43)</f>
        <v>0.96859019132047042</v>
      </c>
      <c r="Y40" s="50">
        <v>0</v>
      </c>
      <c r="Z40" s="50">
        <v>0</v>
      </c>
      <c r="AA40" s="53">
        <f>SUM(U40:U43)-SUM(W40:W43)-SUM(Z40:Z43)-SUM(Y40:Y43)</f>
        <v>0.90377010520000312</v>
      </c>
      <c r="AB40" s="53">
        <f>(SUM(K40:K43)-SUM(W40:W43)-SUM(Y40:Y43)-SUM(Z40:Z43)-SUM(AC40:AC43)-SUM(V40:V43))-AA40</f>
        <v>5.8770784799998532E-2</v>
      </c>
      <c r="AC40" s="50">
        <f>K40-T40</f>
        <v>0</v>
      </c>
      <c r="AD40" s="50">
        <f>+AM40+BA40</f>
        <v>0</v>
      </c>
      <c r="AE40" s="187" t="s">
        <v>110</v>
      </c>
      <c r="AF40" s="50">
        <v>0</v>
      </c>
      <c r="AG40" s="50"/>
      <c r="AH40" s="50"/>
      <c r="AI40" s="54"/>
      <c r="AJ40" s="50"/>
      <c r="AK40" s="50"/>
      <c r="AL40" s="50"/>
      <c r="AM40" s="50">
        <f>SUM(AF40:AL40)+AT40+AV40+AX40</f>
        <v>0</v>
      </c>
      <c r="AN40" s="50"/>
      <c r="AO40" s="50"/>
      <c r="AP40" s="50"/>
      <c r="AQ40" s="50"/>
      <c r="AR40" s="50">
        <f>SUM(AN40:AQ40)</f>
        <v>0</v>
      </c>
      <c r="AS40" s="50"/>
      <c r="AT40" s="50"/>
      <c r="AU40" s="50"/>
      <c r="AV40" s="50"/>
      <c r="AW40" s="50"/>
      <c r="AX40" s="50"/>
      <c r="AY40" s="50"/>
      <c r="AZ40" s="50"/>
      <c r="BA40" s="50">
        <f>+AR40+AS40+AU40+AW40+AY40+AZ40</f>
        <v>0</v>
      </c>
      <c r="BB40" s="180">
        <v>0</v>
      </c>
      <c r="BC40" s="116"/>
      <c r="BD40" s="116"/>
      <c r="BE40" s="180"/>
      <c r="BF40" s="116"/>
    </row>
    <row r="41" spans="1:58" ht="12.95" customHeight="1" x14ac:dyDescent="0.25">
      <c r="A41" s="117"/>
      <c r="B41" s="118" t="s">
        <v>168</v>
      </c>
      <c r="C41" s="119">
        <f t="shared" si="98"/>
        <v>8.106648186000001</v>
      </c>
      <c r="D41" s="118" t="s">
        <v>177</v>
      </c>
      <c r="E41" s="37">
        <v>17</v>
      </c>
      <c r="F41" s="37">
        <v>1</v>
      </c>
      <c r="G41" s="188">
        <v>1030</v>
      </c>
      <c r="H41" s="243">
        <f t="shared" si="99"/>
        <v>0.24</v>
      </c>
      <c r="I41" s="45">
        <v>0.88</v>
      </c>
      <c r="J41" s="46">
        <f t="shared" si="100"/>
        <v>54.997649279999997</v>
      </c>
      <c r="K41" s="46">
        <f t="shared" si="101"/>
        <v>8.106648186000001</v>
      </c>
      <c r="L41" s="184">
        <v>1069</v>
      </c>
      <c r="M41" s="184">
        <f t="shared" si="102"/>
        <v>812.44</v>
      </c>
      <c r="N41" s="47">
        <f t="shared" si="103"/>
        <v>0.24</v>
      </c>
      <c r="O41" s="48">
        <f>+'[5]Trim Rwd'!H34</f>
        <v>273</v>
      </c>
      <c r="P41" s="49">
        <f t="shared" si="104"/>
        <v>58149</v>
      </c>
      <c r="Q41" s="48">
        <v>215</v>
      </c>
      <c r="R41" s="123">
        <v>0</v>
      </c>
      <c r="S41" s="123">
        <v>2</v>
      </c>
      <c r="T41" s="50">
        <f t="shared" si="105"/>
        <v>8.106648186000001</v>
      </c>
      <c r="U41" s="50">
        <f t="shared" si="106"/>
        <v>8.0312375052000018</v>
      </c>
      <c r="V41" s="50">
        <f t="shared" si="107"/>
        <v>7.2659496000000004E-2</v>
      </c>
      <c r="W41" s="50">
        <f>+'[5]9'!K16/1000</f>
        <v>1.371</v>
      </c>
      <c r="X41" s="55"/>
      <c r="Y41" s="52"/>
      <c r="Z41" s="50"/>
      <c r="AA41" s="50"/>
      <c r="AB41" s="50"/>
      <c r="AC41" s="50">
        <f>K41-T41</f>
        <v>0</v>
      </c>
      <c r="AD41" s="50">
        <f t="shared" ref="AD41:AD42" si="108">+AM41+BA41</f>
        <v>1</v>
      </c>
      <c r="AE41" s="187" t="s">
        <v>174</v>
      </c>
      <c r="AF41" s="50"/>
      <c r="AG41" s="50">
        <v>1</v>
      </c>
      <c r="AH41" s="50"/>
      <c r="AI41" s="54"/>
      <c r="AJ41" s="50"/>
      <c r="AK41" s="50"/>
      <c r="AL41" s="50"/>
      <c r="AM41" s="50">
        <f t="shared" ref="AM41:AM42" si="109">SUM(AF41:AL41)+AT41+AV41+AX41</f>
        <v>1</v>
      </c>
      <c r="AN41" s="157"/>
      <c r="AO41" s="50"/>
      <c r="AP41" s="50"/>
      <c r="AQ41" s="50"/>
      <c r="AR41" s="50">
        <f t="shared" ref="AR41:AR42" si="110">SUM(AN41:AQ41)</f>
        <v>0</v>
      </c>
      <c r="AS41" s="50"/>
      <c r="AT41" s="50"/>
      <c r="AU41" s="50"/>
      <c r="AV41" s="50"/>
      <c r="AW41" s="50"/>
      <c r="AX41" s="50"/>
      <c r="AY41" s="50"/>
      <c r="AZ41" s="50"/>
      <c r="BA41" s="50">
        <f t="shared" ref="BA41:BA42" si="111">+AR41+AS41+AU41+AW41+AY41+AZ41</f>
        <v>0</v>
      </c>
      <c r="BB41" s="189"/>
      <c r="BC41" s="116">
        <v>1</v>
      </c>
      <c r="BD41" s="116"/>
      <c r="BE41" s="189"/>
      <c r="BF41" s="116"/>
    </row>
    <row r="42" spans="1:58" ht="12.95" customHeight="1" x14ac:dyDescent="0.25">
      <c r="A42" s="117"/>
      <c r="B42" s="118" t="s">
        <v>168</v>
      </c>
      <c r="C42" s="119"/>
      <c r="D42" s="118"/>
      <c r="E42" s="37">
        <v>14.5</v>
      </c>
      <c r="F42" s="37"/>
      <c r="G42" s="188"/>
      <c r="H42" s="192"/>
      <c r="I42" s="45"/>
      <c r="J42" s="46"/>
      <c r="K42" s="46"/>
      <c r="L42" s="184"/>
      <c r="M42" s="184"/>
      <c r="N42" s="47"/>
      <c r="O42" s="48"/>
      <c r="P42" s="49"/>
      <c r="Q42" s="48"/>
      <c r="R42" s="123"/>
      <c r="S42" s="123"/>
      <c r="T42" s="50"/>
      <c r="U42" s="50"/>
      <c r="V42" s="50"/>
      <c r="W42" s="50">
        <f>+'[5]9'!K14/1000</f>
        <v>1.794</v>
      </c>
      <c r="X42" s="55"/>
      <c r="Y42" s="52"/>
      <c r="Z42" s="50"/>
      <c r="AA42" s="50"/>
      <c r="AB42" s="50"/>
      <c r="AC42" s="50"/>
      <c r="AD42" s="50">
        <f t="shared" si="108"/>
        <v>21</v>
      </c>
      <c r="AE42" s="187" t="s">
        <v>112</v>
      </c>
      <c r="AF42" s="180"/>
      <c r="AG42" s="180"/>
      <c r="AH42" s="180">
        <v>21</v>
      </c>
      <c r="AJ42" s="50"/>
      <c r="AK42" s="50"/>
      <c r="AL42" s="50"/>
      <c r="AM42" s="50">
        <f t="shared" si="109"/>
        <v>21</v>
      </c>
      <c r="AN42" s="50"/>
      <c r="AO42" s="50"/>
      <c r="AP42" s="50"/>
      <c r="AQ42" s="50"/>
      <c r="AR42" s="50">
        <f t="shared" si="110"/>
        <v>0</v>
      </c>
      <c r="AS42" s="50"/>
      <c r="AT42" s="50"/>
      <c r="AU42" s="50"/>
      <c r="AV42" s="50"/>
      <c r="AW42" s="50"/>
      <c r="AX42" s="50"/>
      <c r="AY42" s="50"/>
      <c r="AZ42" s="50"/>
      <c r="BA42" s="50">
        <f t="shared" si="111"/>
        <v>0</v>
      </c>
      <c r="BB42" s="180"/>
      <c r="BC42" s="146"/>
      <c r="BD42" s="146"/>
      <c r="BE42" s="180"/>
      <c r="BF42" s="146"/>
    </row>
    <row r="43" spans="1:58" ht="12.95" customHeight="1" x14ac:dyDescent="0.25">
      <c r="A43" s="117"/>
      <c r="B43" s="118"/>
      <c r="C43" s="119"/>
      <c r="D43" s="118"/>
      <c r="E43" s="37"/>
      <c r="F43" s="37"/>
      <c r="G43" s="188"/>
      <c r="H43" s="192"/>
      <c r="I43" s="45"/>
      <c r="J43" s="46"/>
      <c r="K43" s="46"/>
      <c r="L43" s="184"/>
      <c r="M43" s="184"/>
      <c r="N43" s="47"/>
      <c r="O43" s="48"/>
      <c r="P43" s="49"/>
      <c r="Q43" s="48"/>
      <c r="R43" s="123"/>
      <c r="S43" s="123"/>
      <c r="T43" s="50"/>
      <c r="U43" s="50"/>
      <c r="V43" s="50"/>
      <c r="W43" s="50"/>
      <c r="X43" s="55"/>
      <c r="Y43" s="52"/>
      <c r="Z43" s="50"/>
      <c r="AA43" s="50"/>
      <c r="AB43" s="50"/>
      <c r="AC43" s="50"/>
      <c r="AD43" s="50"/>
      <c r="AE43" s="187"/>
      <c r="AF43" s="50"/>
      <c r="AG43" s="50"/>
      <c r="AH43" s="50"/>
      <c r="AI43" s="54"/>
      <c r="AJ43" s="50"/>
      <c r="AK43" s="50"/>
      <c r="AL43" s="50"/>
      <c r="AM43" s="50"/>
      <c r="AN43" s="157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189"/>
      <c r="BC43" s="116"/>
      <c r="BD43" s="116"/>
      <c r="BE43" s="116"/>
      <c r="BF43" s="116"/>
    </row>
    <row r="44" spans="1:58" ht="12.75" customHeight="1" x14ac:dyDescent="0.25">
      <c r="A44" s="117">
        <v>45971</v>
      </c>
      <c r="B44" s="118" t="s">
        <v>168</v>
      </c>
      <c r="C44" s="119">
        <f t="shared" ref="C44:C46" si="112">(M44*E44*O44*Q44)/100000000</f>
        <v>13.523981575999999</v>
      </c>
      <c r="D44" s="118" t="s">
        <v>177</v>
      </c>
      <c r="E44" s="37">
        <v>17</v>
      </c>
      <c r="F44" s="37">
        <v>1</v>
      </c>
      <c r="G44" s="188">
        <v>1030</v>
      </c>
      <c r="H44" s="243">
        <f t="shared" ref="H44:H46" si="113">+N44</f>
        <v>0.24</v>
      </c>
      <c r="I44" s="45">
        <v>0.88</v>
      </c>
      <c r="J44" s="46">
        <f t="shared" ref="J44:J46" si="114">E44*G44*(1-H44)*1440/1000000*2.87</f>
        <v>54.997649279999997</v>
      </c>
      <c r="K44" s="46">
        <f t="shared" ref="K44:K46" si="115">(IF(G44&lt;L44,L44,G44)*(1-IF(H44&lt;N44,H44,N44))*E44*O44*Q44)/100000000</f>
        <v>13.523981575999999</v>
      </c>
      <c r="L44" s="184">
        <v>1030</v>
      </c>
      <c r="M44" s="184">
        <v>782.8</v>
      </c>
      <c r="N44" s="47">
        <f t="shared" ref="N44:N46" si="116">1-(M44/L44)</f>
        <v>0.24</v>
      </c>
      <c r="O44" s="48">
        <f>+'[5]Trim Rwd'!H38</f>
        <v>277.66666666666669</v>
      </c>
      <c r="P44" s="49">
        <f t="shared" ref="P44:P46" si="117">O44*(Q44-R44-S44)</f>
        <v>101070.66666666667</v>
      </c>
      <c r="Q44" s="48">
        <v>366</v>
      </c>
      <c r="R44" s="123">
        <v>0</v>
      </c>
      <c r="S44" s="123">
        <v>2</v>
      </c>
      <c r="T44" s="50">
        <f t="shared" ref="T44:T46" si="118">E44*M44*O44*Q44/100000000</f>
        <v>13.523981575999999</v>
      </c>
      <c r="U44" s="50">
        <f t="shared" ref="U44:U46" si="119">E44*M44*O44*(Q44-R44-S44)/100000000</f>
        <v>13.450080037333333</v>
      </c>
      <c r="V44" s="50">
        <f t="shared" ref="V44:V46" si="120">E44*G44*(1-N44)*O44/100*(R44+S44)/1000000</f>
        <v>7.3901538666666669E-2</v>
      </c>
      <c r="W44" s="50">
        <f>+'[5]10'!K16/1000</f>
        <v>18.600000000000001</v>
      </c>
      <c r="X44" s="51">
        <f>SUM(W44:W47)/SUM(K44:K47)</f>
        <v>0.95766094976188687</v>
      </c>
      <c r="Y44" s="50">
        <v>0</v>
      </c>
      <c r="Z44" s="50">
        <f>+'[5]10'!D25/1000</f>
        <v>0.32</v>
      </c>
      <c r="AA44" s="53">
        <f>SUM(U44:U47)-SUM(W44:W47)-SUM(Z44:Z47)-SUM(Y44:Y47)</f>
        <v>0.82962949733332914</v>
      </c>
      <c r="AB44" s="53">
        <f>(SUM(K44:K47)-SUM(W44:W47)-SUM(Y44:Y47)-SUM(Z44:Z47)-SUM(AC44:AC47)-SUM(V44:V47))-AA44</f>
        <v>7.1054273576010019E-15</v>
      </c>
      <c r="AC44" s="50">
        <f>K44-T44</f>
        <v>0</v>
      </c>
      <c r="AD44" s="50">
        <f>+AM44+BA44</f>
        <v>0</v>
      </c>
      <c r="AE44" s="187" t="s">
        <v>110</v>
      </c>
      <c r="AF44" s="50">
        <v>0</v>
      </c>
      <c r="AG44" s="50"/>
      <c r="AH44" s="50"/>
      <c r="AI44" s="54"/>
      <c r="AJ44" s="50"/>
      <c r="AK44" s="50"/>
      <c r="AL44" s="50"/>
      <c r="AM44" s="50">
        <f>SUM(AF44:AL44)+AT44+AV44+AX44</f>
        <v>0</v>
      </c>
      <c r="AN44" s="50"/>
      <c r="AO44" s="50"/>
      <c r="AP44" s="50"/>
      <c r="AQ44" s="50"/>
      <c r="AR44" s="50">
        <f>SUM(AN44:AQ44)</f>
        <v>0</v>
      </c>
      <c r="AS44" s="50"/>
      <c r="AT44" s="50"/>
      <c r="AU44" s="50"/>
      <c r="AV44" s="50"/>
      <c r="AW44" s="50"/>
      <c r="AX44" s="50"/>
      <c r="AY44" s="50"/>
      <c r="AZ44" s="50"/>
      <c r="BA44" s="50">
        <f>+AR44+AS44+AU44+AW44+AY44+AZ44</f>
        <v>0</v>
      </c>
      <c r="BB44" s="180">
        <v>0</v>
      </c>
      <c r="BC44" s="116"/>
      <c r="BD44" s="116"/>
      <c r="BE44" s="180"/>
      <c r="BF44" s="116"/>
    </row>
    <row r="45" spans="1:58" ht="12.95" customHeight="1" x14ac:dyDescent="0.25">
      <c r="A45" s="117"/>
      <c r="B45" s="118" t="s">
        <v>168</v>
      </c>
      <c r="C45" s="119">
        <f t="shared" si="112"/>
        <v>20.645855999999998</v>
      </c>
      <c r="D45" s="118" t="s">
        <v>177</v>
      </c>
      <c r="E45" s="37">
        <v>18</v>
      </c>
      <c r="F45" s="37">
        <v>1</v>
      </c>
      <c r="G45" s="188">
        <v>980</v>
      </c>
      <c r="H45" s="243">
        <f t="shared" si="113"/>
        <v>0.24</v>
      </c>
      <c r="I45" s="45">
        <v>0.88</v>
      </c>
      <c r="J45" s="46">
        <f t="shared" si="114"/>
        <v>55.405969920000004</v>
      </c>
      <c r="K45" s="46">
        <f t="shared" si="115"/>
        <v>20.645855999999998</v>
      </c>
      <c r="L45" s="184">
        <v>980</v>
      </c>
      <c r="M45" s="184">
        <v>744.8</v>
      </c>
      <c r="N45" s="47">
        <f t="shared" si="116"/>
        <v>0.24</v>
      </c>
      <c r="O45" s="48">
        <f>+'[5]Trim Rwd'!H41</f>
        <v>280</v>
      </c>
      <c r="P45" s="49">
        <f t="shared" si="117"/>
        <v>150080</v>
      </c>
      <c r="Q45" s="48">
        <v>550</v>
      </c>
      <c r="R45" s="123">
        <v>0</v>
      </c>
      <c r="S45" s="123">
        <v>14</v>
      </c>
      <c r="T45" s="50">
        <f t="shared" si="118"/>
        <v>20.645855999999998</v>
      </c>
      <c r="U45" s="50">
        <f t="shared" si="119"/>
        <v>20.12032512</v>
      </c>
      <c r="V45" s="50">
        <f t="shared" si="120"/>
        <v>0.52553088000000003</v>
      </c>
      <c r="W45" s="50">
        <f>+'[5]10'!K17/1000</f>
        <v>21.457000000000001</v>
      </c>
      <c r="X45" s="55"/>
      <c r="Y45" s="52"/>
      <c r="Z45" s="50"/>
      <c r="AA45" s="50"/>
      <c r="AB45" s="50"/>
      <c r="AC45" s="50">
        <f>K45-T45</f>
        <v>0</v>
      </c>
      <c r="AD45" s="50">
        <f t="shared" ref="AD45:AD46" si="121">+AM45+BA45</f>
        <v>2</v>
      </c>
      <c r="AE45" s="187" t="s">
        <v>174</v>
      </c>
      <c r="AF45" s="50"/>
      <c r="AG45" s="50">
        <v>2</v>
      </c>
      <c r="AH45" s="50"/>
      <c r="AI45" s="54"/>
      <c r="AJ45" s="50"/>
      <c r="AK45" s="50"/>
      <c r="AL45" s="50"/>
      <c r="AM45" s="50">
        <f t="shared" ref="AM45:AM46" si="122">SUM(AF45:AL45)+AT45+AV45+AX45</f>
        <v>2</v>
      </c>
      <c r="AN45" s="157"/>
      <c r="AO45" s="50"/>
      <c r="AP45" s="50"/>
      <c r="AQ45" s="50"/>
      <c r="AR45" s="50">
        <f t="shared" ref="AR45:AR46" si="123">SUM(AN45:AQ45)</f>
        <v>0</v>
      </c>
      <c r="AS45" s="50"/>
      <c r="AT45" s="50"/>
      <c r="AU45" s="50"/>
      <c r="AV45" s="50"/>
      <c r="AW45" s="50"/>
      <c r="AX45" s="50"/>
      <c r="AY45" s="50"/>
      <c r="AZ45" s="50"/>
      <c r="BA45" s="50">
        <f t="shared" ref="BA45:BA46" si="124">+AR45+AS45+AU45+AW45+AY45+AZ45</f>
        <v>0</v>
      </c>
      <c r="BB45" s="189"/>
      <c r="BC45" s="116">
        <v>1</v>
      </c>
      <c r="BD45" s="116"/>
      <c r="BE45" s="189"/>
      <c r="BF45" s="116"/>
    </row>
    <row r="46" spans="1:58" ht="12.95" customHeight="1" x14ac:dyDescent="0.25">
      <c r="A46" s="117"/>
      <c r="B46" s="118" t="s">
        <v>168</v>
      </c>
      <c r="C46" s="119">
        <f t="shared" si="112"/>
        <v>19.354324616000003</v>
      </c>
      <c r="D46" s="118" t="s">
        <v>177</v>
      </c>
      <c r="E46" s="37">
        <v>14.5</v>
      </c>
      <c r="F46" s="37">
        <v>1</v>
      </c>
      <c r="G46" s="188">
        <v>1210</v>
      </c>
      <c r="H46" s="243">
        <f t="shared" si="113"/>
        <v>0.24</v>
      </c>
      <c r="I46" s="45">
        <v>0.88</v>
      </c>
      <c r="J46" s="46">
        <f t="shared" si="114"/>
        <v>55.107581760000002</v>
      </c>
      <c r="K46" s="46">
        <f t="shared" si="115"/>
        <v>19.354324616000003</v>
      </c>
      <c r="L46" s="184">
        <v>1210</v>
      </c>
      <c r="M46" s="184">
        <f>+L46-L46*0.24</f>
        <v>919.6</v>
      </c>
      <c r="N46" s="47">
        <f t="shared" si="116"/>
        <v>0.24</v>
      </c>
      <c r="O46" s="48">
        <f>+'[5]Trim Rwd'!H42</f>
        <v>277</v>
      </c>
      <c r="P46" s="49">
        <f t="shared" si="117"/>
        <v>141270</v>
      </c>
      <c r="Q46" s="48">
        <v>524</v>
      </c>
      <c r="R46" s="123">
        <v>0</v>
      </c>
      <c r="S46" s="123">
        <v>14</v>
      </c>
      <c r="T46" s="50">
        <f t="shared" si="118"/>
        <v>19.354324616000003</v>
      </c>
      <c r="U46" s="50">
        <f t="shared" si="119"/>
        <v>18.837224340000002</v>
      </c>
      <c r="V46" s="50">
        <f t="shared" si="120"/>
        <v>0.51710027600000008</v>
      </c>
      <c r="W46" s="50">
        <f>+'[5]10'!K14/1000</f>
        <v>11.201000000000001</v>
      </c>
      <c r="X46" s="55"/>
      <c r="Y46" s="52"/>
      <c r="Z46" s="50"/>
      <c r="AA46" s="50"/>
      <c r="AB46" s="50"/>
      <c r="AC46" s="50"/>
      <c r="AD46" s="50">
        <f t="shared" si="121"/>
        <v>28</v>
      </c>
      <c r="AE46" s="187" t="s">
        <v>118</v>
      </c>
      <c r="AF46" s="180"/>
      <c r="AG46" s="180"/>
      <c r="AH46" s="180">
        <v>28</v>
      </c>
      <c r="AJ46" s="50"/>
      <c r="AK46" s="50"/>
      <c r="AL46" s="50"/>
      <c r="AM46" s="50">
        <f t="shared" si="122"/>
        <v>28</v>
      </c>
      <c r="AN46" s="50"/>
      <c r="AO46" s="50"/>
      <c r="AP46" s="50"/>
      <c r="AQ46" s="50"/>
      <c r="AR46" s="50">
        <f t="shared" si="123"/>
        <v>0</v>
      </c>
      <c r="AS46" s="50"/>
      <c r="AT46" s="50"/>
      <c r="AU46" s="50"/>
      <c r="AV46" s="50"/>
      <c r="AW46" s="50"/>
      <c r="AX46" s="50"/>
      <c r="AY46" s="50"/>
      <c r="AZ46" s="50"/>
      <c r="BA46" s="50">
        <f t="shared" si="124"/>
        <v>0</v>
      </c>
      <c r="BB46" s="180"/>
      <c r="BC46" s="146"/>
      <c r="BD46" s="146"/>
      <c r="BE46" s="180"/>
      <c r="BF46" s="146"/>
    </row>
    <row r="47" spans="1:58" ht="12.95" customHeight="1" x14ac:dyDescent="0.25">
      <c r="A47" s="117"/>
      <c r="B47" s="118"/>
      <c r="C47" s="119"/>
      <c r="D47" s="118"/>
      <c r="E47" s="37"/>
      <c r="F47" s="37"/>
      <c r="G47" s="188"/>
      <c r="H47" s="192"/>
      <c r="I47" s="45"/>
      <c r="J47" s="46"/>
      <c r="K47" s="46"/>
      <c r="L47" s="184"/>
      <c r="M47" s="184"/>
      <c r="N47" s="47"/>
      <c r="O47" s="48"/>
      <c r="P47" s="49"/>
      <c r="Q47" s="48"/>
      <c r="R47" s="123"/>
      <c r="S47" s="123"/>
      <c r="T47" s="50"/>
      <c r="U47" s="50"/>
      <c r="V47" s="50"/>
      <c r="W47" s="50"/>
      <c r="X47" s="55"/>
      <c r="Y47" s="52"/>
      <c r="Z47" s="50"/>
      <c r="AA47" s="50"/>
      <c r="AB47" s="50"/>
      <c r="AC47" s="50"/>
      <c r="AD47" s="50"/>
      <c r="AE47" s="187"/>
      <c r="AF47" s="50"/>
      <c r="AG47" s="50"/>
      <c r="AH47" s="50"/>
      <c r="AI47" s="54"/>
      <c r="AJ47" s="50"/>
      <c r="AK47" s="50"/>
      <c r="AL47" s="50"/>
      <c r="AM47" s="50"/>
      <c r="AN47" s="157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189"/>
      <c r="BC47" s="116"/>
      <c r="BD47" s="116"/>
      <c r="BE47" s="116"/>
      <c r="BF47" s="116"/>
    </row>
    <row r="48" spans="1:58" ht="12.75" customHeight="1" x14ac:dyDescent="0.25">
      <c r="A48" s="117">
        <v>45972</v>
      </c>
      <c r="B48" s="118" t="s">
        <v>168</v>
      </c>
      <c r="C48" s="119">
        <f t="shared" ref="C48:C49" si="125">(M48*E48*O48*Q48)/100000000</f>
        <v>35.823661720000004</v>
      </c>
      <c r="D48" s="118" t="s">
        <v>177</v>
      </c>
      <c r="E48" s="37">
        <v>14.5</v>
      </c>
      <c r="F48" s="37">
        <v>1</v>
      </c>
      <c r="G48" s="188">
        <v>1210</v>
      </c>
      <c r="H48" s="243">
        <f t="shared" ref="H48:H49" si="126">+N48</f>
        <v>0.24</v>
      </c>
      <c r="I48" s="45">
        <v>0.88</v>
      </c>
      <c r="J48" s="46">
        <f t="shared" ref="J48:J49" si="127">E48*G48*(1-H48)*1440/1000000*2.87</f>
        <v>55.107581760000002</v>
      </c>
      <c r="K48" s="46">
        <f t="shared" ref="K48:K49" si="128">(IF(G48&lt;L48,L48,G48)*(1-IF(H48&lt;N48,H48,N48))*E48*O48*Q48)/100000000</f>
        <v>35.823661720000004</v>
      </c>
      <c r="L48" s="184">
        <v>1210</v>
      </c>
      <c r="M48" s="184">
        <f t="shared" ref="M48" si="129">+L48-L48*0.24</f>
        <v>919.6</v>
      </c>
      <c r="N48" s="47">
        <f t="shared" ref="N48:N49" si="130">1-(M48/L48)</f>
        <v>0.24</v>
      </c>
      <c r="O48" s="48">
        <f>+'[5]Trim Rwd'!H44</f>
        <v>274.14285714285717</v>
      </c>
      <c r="P48" s="49">
        <f t="shared" ref="P48:P49" si="131">O48*(Q48-R48-S48)</f>
        <v>264547.85714285716</v>
      </c>
      <c r="Q48" s="48">
        <v>980</v>
      </c>
      <c r="R48" s="123">
        <v>0</v>
      </c>
      <c r="S48" s="123">
        <v>15</v>
      </c>
      <c r="T48" s="50">
        <f t="shared" ref="T48:T49" si="132">E48*M48*O48*Q48/100000000</f>
        <v>35.823661720000004</v>
      </c>
      <c r="U48" s="50">
        <f t="shared" ref="U48:U49" si="133">E48*M48*O48*(Q48-R48-S48)/100000000</f>
        <v>35.27534036714286</v>
      </c>
      <c r="V48" s="50">
        <f t="shared" ref="V48:V49" si="134">E48*G48*(1-N48)*O48/100*(R48+S48)/1000000</f>
        <v>0.5483213528571429</v>
      </c>
      <c r="W48" s="50">
        <f>+'[5]11'!K14/1000</f>
        <v>40.823999999999998</v>
      </c>
      <c r="X48" s="51">
        <f>SUM(W48:W51)/SUM(K48:K51)</f>
        <v>0.8956087067185422</v>
      </c>
      <c r="Y48" s="50">
        <v>0</v>
      </c>
      <c r="Z48" s="50">
        <f>+'[5]10'!D29/1000</f>
        <v>0</v>
      </c>
      <c r="AA48" s="53">
        <f>SUM(U48:U51)-SUM(W48:W51)-SUM(Z48:Z51)-SUM(Y48:Y51)</f>
        <v>0.86206036714285972</v>
      </c>
      <c r="AB48" s="53">
        <f>(SUM(K48:K51)-SUM(W48:W51)-SUM(Y48:Y51)-SUM(Z48:Z51)-SUM(AC48:AC51)-SUM(V48:V51))-AA48</f>
        <v>1.7763568394002505E-15</v>
      </c>
      <c r="AC48" s="50">
        <f>K48-T48</f>
        <v>0</v>
      </c>
      <c r="AD48" s="50">
        <f>+AM48+BA48</f>
        <v>0</v>
      </c>
      <c r="AE48" s="187" t="s">
        <v>110</v>
      </c>
      <c r="AF48" s="50">
        <v>0</v>
      </c>
      <c r="AG48" s="50"/>
      <c r="AH48" s="50"/>
      <c r="AI48" s="54"/>
      <c r="AJ48" s="50"/>
      <c r="AK48" s="50"/>
      <c r="AL48" s="50"/>
      <c r="AM48" s="50">
        <f>SUM(AF48:AL48)+AT48+AV48+AX48</f>
        <v>0</v>
      </c>
      <c r="AN48" s="50"/>
      <c r="AO48" s="50"/>
      <c r="AP48" s="50"/>
      <c r="AQ48" s="50"/>
      <c r="AR48" s="50">
        <f>SUM(AN48:AQ48)</f>
        <v>0</v>
      </c>
      <c r="AS48" s="50"/>
      <c r="AT48" s="50"/>
      <c r="AU48" s="50"/>
      <c r="AV48" s="50"/>
      <c r="AW48" s="50"/>
      <c r="AX48" s="50"/>
      <c r="AY48" s="50"/>
      <c r="AZ48" s="50"/>
      <c r="BA48" s="50">
        <f>+AR48+AS48+AU48+AW48+AY48+AZ48</f>
        <v>0</v>
      </c>
      <c r="BB48" s="180">
        <v>0</v>
      </c>
      <c r="BC48" s="116"/>
      <c r="BD48" s="116"/>
      <c r="BE48" s="180"/>
      <c r="BF48" s="116"/>
    </row>
    <row r="49" spans="1:58" ht="12.95" customHeight="1" x14ac:dyDescent="0.25">
      <c r="A49" s="117"/>
      <c r="B49" s="118" t="s">
        <v>168</v>
      </c>
      <c r="C49" s="119">
        <f t="shared" si="125"/>
        <v>15.99696</v>
      </c>
      <c r="D49" s="118" t="s">
        <v>177</v>
      </c>
      <c r="E49" s="37">
        <v>12</v>
      </c>
      <c r="F49" s="37">
        <v>1</v>
      </c>
      <c r="G49" s="188">
        <v>1400</v>
      </c>
      <c r="H49" s="243">
        <f t="shared" si="126"/>
        <v>0.25</v>
      </c>
      <c r="I49" s="45">
        <v>0.88</v>
      </c>
      <c r="J49" s="46">
        <f t="shared" si="127"/>
        <v>52.073279999999997</v>
      </c>
      <c r="K49" s="46">
        <f t="shared" si="128"/>
        <v>15.99696</v>
      </c>
      <c r="L49" s="184">
        <v>1400</v>
      </c>
      <c r="M49" s="184">
        <f>+L49-L49*0.25</f>
        <v>1050</v>
      </c>
      <c r="N49" s="47">
        <f t="shared" si="130"/>
        <v>0.25</v>
      </c>
      <c r="O49" s="48">
        <f>+'[5]Trim Rwd'!H46</f>
        <v>276</v>
      </c>
      <c r="P49" s="49">
        <f t="shared" si="131"/>
        <v>95220</v>
      </c>
      <c r="Q49" s="48">
        <v>460</v>
      </c>
      <c r="R49" s="123">
        <v>100</v>
      </c>
      <c r="S49" s="123">
        <v>15</v>
      </c>
      <c r="T49" s="50">
        <f t="shared" si="132"/>
        <v>15.99696</v>
      </c>
      <c r="U49" s="50">
        <f t="shared" si="133"/>
        <v>11.997719999999999</v>
      </c>
      <c r="V49" s="50">
        <f t="shared" si="134"/>
        <v>3.9992399999999999</v>
      </c>
      <c r="W49" s="50">
        <f>+'[5]11'!K18/1000</f>
        <v>5.5869999999999997</v>
      </c>
      <c r="X49" s="55"/>
      <c r="Y49" s="52"/>
      <c r="Z49" s="50"/>
      <c r="AA49" s="50"/>
      <c r="AB49" s="50"/>
      <c r="AC49" s="50">
        <f>K49-T49</f>
        <v>0</v>
      </c>
      <c r="AD49" s="50">
        <f t="shared" ref="AD49:AD51" si="135">+AM49+BA49</f>
        <v>3</v>
      </c>
      <c r="AE49" s="187" t="s">
        <v>174</v>
      </c>
      <c r="AF49" s="50"/>
      <c r="AG49" s="50">
        <v>3</v>
      </c>
      <c r="AH49" s="50"/>
      <c r="AI49" s="54"/>
      <c r="AJ49" s="50"/>
      <c r="AK49" s="50"/>
      <c r="AL49" s="50"/>
      <c r="AM49" s="50">
        <f t="shared" ref="AM49:AM50" si="136">SUM(AF49:AL49)+AT49+AV49+AX49</f>
        <v>3</v>
      </c>
      <c r="AN49" s="157"/>
      <c r="AO49" s="50"/>
      <c r="AP49" s="50"/>
      <c r="AQ49" s="50"/>
      <c r="AR49" s="50">
        <f t="shared" ref="AR49:AR51" si="137">SUM(AN49:AQ49)</f>
        <v>0</v>
      </c>
      <c r="AS49" s="50"/>
      <c r="AT49" s="50"/>
      <c r="AU49" s="50"/>
      <c r="AV49" s="50"/>
      <c r="AW49" s="50"/>
      <c r="AX49" s="50"/>
      <c r="AY49" s="50"/>
      <c r="AZ49" s="50"/>
      <c r="BA49" s="50">
        <f t="shared" ref="BA49:BA51" si="138">+AR49+AS49+AU49+AW49+AY49+AZ49</f>
        <v>0</v>
      </c>
      <c r="BB49" s="189"/>
      <c r="BC49" s="116">
        <v>1</v>
      </c>
      <c r="BD49" s="116"/>
      <c r="BE49" s="189"/>
      <c r="BF49" s="116"/>
    </row>
    <row r="50" spans="1:58" ht="12.95" customHeight="1" x14ac:dyDescent="0.25">
      <c r="A50" s="117"/>
      <c r="B50" s="118"/>
      <c r="C50" s="119"/>
      <c r="D50" s="118"/>
      <c r="E50" s="37"/>
      <c r="F50" s="37"/>
      <c r="G50" s="188"/>
      <c r="H50" s="244"/>
      <c r="I50" s="45"/>
      <c r="J50" s="46"/>
      <c r="K50" s="46"/>
      <c r="L50" s="184"/>
      <c r="M50" s="184"/>
      <c r="N50" s="47"/>
      <c r="O50" s="48"/>
      <c r="P50" s="49"/>
      <c r="Q50" s="48"/>
      <c r="R50" s="123"/>
      <c r="S50" s="123"/>
      <c r="T50" s="50"/>
      <c r="U50" s="50"/>
      <c r="V50" s="50"/>
      <c r="W50" s="50"/>
      <c r="X50" s="55"/>
      <c r="Y50" s="52"/>
      <c r="Z50" s="50"/>
      <c r="AA50" s="50"/>
      <c r="AB50" s="50"/>
      <c r="AC50" s="50"/>
      <c r="AD50" s="50">
        <f t="shared" si="135"/>
        <v>27</v>
      </c>
      <c r="AE50" s="187" t="s">
        <v>112</v>
      </c>
      <c r="AF50" s="180"/>
      <c r="AG50" s="180"/>
      <c r="AH50" s="180">
        <v>27</v>
      </c>
      <c r="AJ50" s="50"/>
      <c r="AK50" s="50"/>
      <c r="AL50" s="50"/>
      <c r="AM50" s="50">
        <f t="shared" si="136"/>
        <v>27</v>
      </c>
      <c r="AN50" s="50"/>
      <c r="AO50" s="50"/>
      <c r="AP50" s="50"/>
      <c r="AQ50" s="50"/>
      <c r="AR50" s="50">
        <f t="shared" si="137"/>
        <v>0</v>
      </c>
      <c r="AS50" s="50"/>
      <c r="AT50" s="50"/>
      <c r="AU50" s="50"/>
      <c r="AV50" s="50"/>
      <c r="AW50" s="50"/>
      <c r="AX50" s="50"/>
      <c r="AY50" s="50"/>
      <c r="AZ50" s="50"/>
      <c r="BA50" s="50">
        <f t="shared" si="138"/>
        <v>0</v>
      </c>
      <c r="BB50" s="180"/>
      <c r="BC50" s="146"/>
      <c r="BD50" s="146"/>
      <c r="BE50" s="180"/>
      <c r="BF50" s="146"/>
    </row>
    <row r="51" spans="1:58" ht="12.95" customHeight="1" x14ac:dyDescent="0.25">
      <c r="A51" s="117"/>
      <c r="B51" s="118"/>
      <c r="C51" s="119"/>
      <c r="D51" s="118"/>
      <c r="E51" s="37"/>
      <c r="F51" s="37"/>
      <c r="G51" s="188"/>
      <c r="H51" s="192"/>
      <c r="I51" s="45"/>
      <c r="J51" s="46"/>
      <c r="K51" s="46"/>
      <c r="L51" s="184"/>
      <c r="M51" s="184"/>
      <c r="N51" s="47"/>
      <c r="O51" s="48"/>
      <c r="P51" s="49"/>
      <c r="Q51" s="48"/>
      <c r="R51" s="123"/>
      <c r="S51" s="123"/>
      <c r="T51" s="50"/>
      <c r="U51" s="50"/>
      <c r="V51" s="50"/>
      <c r="W51" s="50"/>
      <c r="X51" s="55"/>
      <c r="Y51" s="52"/>
      <c r="Z51" s="50"/>
      <c r="AA51" s="50"/>
      <c r="AB51" s="50"/>
      <c r="AC51" s="50"/>
      <c r="AD51" s="50">
        <f t="shared" si="135"/>
        <v>100</v>
      </c>
      <c r="AE51" s="187" t="s">
        <v>267</v>
      </c>
      <c r="AF51" s="50"/>
      <c r="AG51" s="50"/>
      <c r="AH51" s="50"/>
      <c r="AI51" s="54"/>
      <c r="AJ51" s="50"/>
      <c r="AK51" s="50"/>
      <c r="AL51" s="50"/>
      <c r="AM51" s="50">
        <f t="shared" ref="AM51" si="139">SUM(AF51:AL51)+AT51+AV51+AX51</f>
        <v>0</v>
      </c>
      <c r="AN51" s="50"/>
      <c r="AO51" s="50"/>
      <c r="AP51" s="50"/>
      <c r="AQ51" s="50"/>
      <c r="AR51" s="50">
        <f t="shared" si="137"/>
        <v>0</v>
      </c>
      <c r="AS51" s="50"/>
      <c r="AT51" s="50"/>
      <c r="AU51" s="50"/>
      <c r="AV51" s="50"/>
      <c r="AW51" s="50"/>
      <c r="AX51" s="50"/>
      <c r="AY51" s="50">
        <v>100</v>
      </c>
      <c r="AZ51" s="50"/>
      <c r="BA51" s="50">
        <f t="shared" si="138"/>
        <v>100</v>
      </c>
      <c r="BB51" s="180"/>
      <c r="BC51" s="146"/>
      <c r="BD51" s="146"/>
      <c r="BE51" s="180">
        <v>1</v>
      </c>
      <c r="BF51" s="146"/>
    </row>
    <row r="52" spans="1:58" ht="12.95" customHeight="1" x14ac:dyDescent="0.25">
      <c r="A52" s="117"/>
      <c r="B52" s="118"/>
      <c r="C52" s="119"/>
      <c r="D52" s="118"/>
      <c r="E52" s="37"/>
      <c r="F52" s="37"/>
      <c r="G52" s="190"/>
      <c r="H52" s="244"/>
      <c r="I52" s="45"/>
      <c r="J52" s="46"/>
      <c r="K52" s="46"/>
      <c r="L52" s="184"/>
      <c r="M52" s="184"/>
      <c r="N52" s="47"/>
      <c r="O52" s="48"/>
      <c r="P52" s="49"/>
      <c r="Q52" s="48"/>
      <c r="R52" s="123"/>
      <c r="S52" s="123"/>
      <c r="T52" s="50"/>
      <c r="U52" s="50"/>
      <c r="V52" s="50"/>
      <c r="W52" s="50"/>
      <c r="X52" s="55"/>
      <c r="Y52" s="52"/>
      <c r="Z52" s="50"/>
      <c r="AA52" s="50"/>
      <c r="AB52" s="50"/>
      <c r="AC52" s="50"/>
      <c r="AD52" s="50"/>
      <c r="AE52" s="191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180"/>
      <c r="BC52" s="116"/>
      <c r="BD52" s="116"/>
      <c r="BE52" s="189"/>
      <c r="BF52" s="116"/>
    </row>
    <row r="53" spans="1:58" ht="12.75" customHeight="1" x14ac:dyDescent="0.25">
      <c r="A53" s="117">
        <v>45973</v>
      </c>
      <c r="B53" s="118" t="s">
        <v>168</v>
      </c>
      <c r="C53" s="119">
        <f t="shared" ref="C53:C54" si="140">(M53*E53*O53*Q53)/100000000</f>
        <v>0.84952799999999995</v>
      </c>
      <c r="D53" s="118" t="s">
        <v>177</v>
      </c>
      <c r="E53" s="37">
        <v>12</v>
      </c>
      <c r="F53" s="37">
        <v>1</v>
      </c>
      <c r="G53" s="188">
        <v>1400</v>
      </c>
      <c r="H53" s="243">
        <f t="shared" ref="H53:H54" si="141">+N53</f>
        <v>0.24</v>
      </c>
      <c r="I53" s="45">
        <v>0.88</v>
      </c>
      <c r="J53" s="46">
        <f t="shared" ref="J53:J54" si="142">E53*G53*(1-H53)*1440/1000000*2.87</f>
        <v>52.767590399999996</v>
      </c>
      <c r="K53" s="46">
        <f t="shared" ref="K53:K54" si="143">(IF(G53&lt;L53,L53,G53)*(1-IF(H53&lt;N53,H53,N53))*E53*O53*Q53)/100000000</f>
        <v>0.880992</v>
      </c>
      <c r="L53" s="184">
        <v>1350</v>
      </c>
      <c r="M53" s="184">
        <f>+L53-L53*0.24</f>
        <v>1026</v>
      </c>
      <c r="N53" s="47">
        <f t="shared" ref="N53:N54" si="144">1-(M53/L53)</f>
        <v>0.24</v>
      </c>
      <c r="O53" s="48">
        <f>+'[5]Trim Rwd'!H48</f>
        <v>276</v>
      </c>
      <c r="P53" s="49">
        <f t="shared" ref="P53:P54" si="145">O53*(Q53-R53-S53)</f>
        <v>6900</v>
      </c>
      <c r="Q53" s="48">
        <v>25</v>
      </c>
      <c r="R53" s="123">
        <v>0</v>
      </c>
      <c r="S53" s="123">
        <v>0</v>
      </c>
      <c r="T53" s="50">
        <f t="shared" ref="T53:T54" si="146">E53*M53*O53*Q53/100000000</f>
        <v>0.84952799999999995</v>
      </c>
      <c r="U53" s="50">
        <f t="shared" ref="U53:U54" si="147">E53*M53*O53*(Q53-R53-S53)/100000000</f>
        <v>0.84952799999999995</v>
      </c>
      <c r="V53" s="50">
        <f t="shared" ref="V53:V54" si="148">E53*G53*(1-N53)*O53/100*(R53+S53)/1000000</f>
        <v>0</v>
      </c>
      <c r="W53" s="50">
        <f>+'[5]12'!K18/1000</f>
        <v>6.266</v>
      </c>
      <c r="X53" s="51">
        <f>SUM(W53:W56)/SUM(K53:K56)</f>
        <v>0.90895124007706785</v>
      </c>
      <c r="Y53" s="50">
        <v>0</v>
      </c>
      <c r="Z53" s="50">
        <v>0</v>
      </c>
      <c r="AA53" s="53">
        <f>SUM(U53:U56)-SUM(W53:W56)-SUM(Z53:Z56)-SUM(Y53:Y56)</f>
        <v>3.4183280000000025</v>
      </c>
      <c r="AB53" s="53">
        <f>(SUM(K53:K56)-SUM(W53:W56)-SUM(Y53:Y56)-SUM(Z53:Z56)-SUM(AC53:AC56)-SUM(V53:V56))-AA53</f>
        <v>0</v>
      </c>
      <c r="AC53" s="50">
        <f>K53-T53</f>
        <v>3.1464000000000047E-2</v>
      </c>
      <c r="AD53" s="50">
        <f>+AM53+BA53</f>
        <v>5</v>
      </c>
      <c r="AE53" s="187" t="s">
        <v>116</v>
      </c>
      <c r="AF53" s="50">
        <v>5</v>
      </c>
      <c r="AG53" s="50"/>
      <c r="AH53" s="50"/>
      <c r="AI53" s="54"/>
      <c r="AJ53" s="50"/>
      <c r="AK53" s="50"/>
      <c r="AL53" s="50"/>
      <c r="AM53" s="50">
        <f>SUM(AF53:AL53)+AT53+AV53+AX53</f>
        <v>5</v>
      </c>
      <c r="AN53" s="50"/>
      <c r="AO53" s="50"/>
      <c r="AP53" s="50"/>
      <c r="AQ53" s="50"/>
      <c r="AR53" s="50">
        <f>SUM(AN53:AQ53)</f>
        <v>0</v>
      </c>
      <c r="AS53" s="50"/>
      <c r="AT53" s="50"/>
      <c r="AU53" s="50"/>
      <c r="AV53" s="50"/>
      <c r="AW53" s="50"/>
      <c r="AX53" s="50"/>
      <c r="AY53" s="50"/>
      <c r="AZ53" s="50"/>
      <c r="BA53" s="50">
        <f>+AR53+AS53+AU53+AW53+AY53+AZ53</f>
        <v>0</v>
      </c>
      <c r="BB53" s="180">
        <v>1</v>
      </c>
      <c r="BC53" s="116"/>
      <c r="BD53" s="116"/>
      <c r="BE53" s="180"/>
      <c r="BF53" s="116"/>
    </row>
    <row r="54" spans="1:58" ht="12.95" customHeight="1" x14ac:dyDescent="0.25">
      <c r="A54" s="117"/>
      <c r="B54" s="118" t="s">
        <v>115</v>
      </c>
      <c r="C54" s="119">
        <f t="shared" si="140"/>
        <v>50.812649999999998</v>
      </c>
      <c r="D54" s="118" t="s">
        <v>177</v>
      </c>
      <c r="E54" s="37">
        <v>12.5</v>
      </c>
      <c r="F54" s="37">
        <v>1</v>
      </c>
      <c r="G54" s="188">
        <v>1350</v>
      </c>
      <c r="H54" s="243">
        <f t="shared" si="141"/>
        <v>0.24</v>
      </c>
      <c r="I54" s="45">
        <v>0.88</v>
      </c>
      <c r="J54" s="46">
        <f t="shared" si="142"/>
        <v>53.003160000000001</v>
      </c>
      <c r="K54" s="46">
        <f t="shared" si="143"/>
        <v>50.812649999999998</v>
      </c>
      <c r="L54" s="184">
        <v>1350</v>
      </c>
      <c r="M54" s="184">
        <f>+L54-L54*0.24</f>
        <v>1026</v>
      </c>
      <c r="N54" s="47">
        <f t="shared" si="144"/>
        <v>0.24</v>
      </c>
      <c r="O54" s="48">
        <f>+'[5]Trim Rwd'!H49</f>
        <v>280</v>
      </c>
      <c r="P54" s="49">
        <f t="shared" si="145"/>
        <v>386400</v>
      </c>
      <c r="Q54" s="48">
        <v>1415</v>
      </c>
      <c r="R54" s="123">
        <v>0</v>
      </c>
      <c r="S54" s="123">
        <v>35</v>
      </c>
      <c r="T54" s="50">
        <f t="shared" si="146"/>
        <v>50.812649999999998</v>
      </c>
      <c r="U54" s="50">
        <f t="shared" si="147"/>
        <v>49.555799999999998</v>
      </c>
      <c r="V54" s="50">
        <f t="shared" si="148"/>
        <v>1.25685</v>
      </c>
      <c r="W54" s="50">
        <f>+'[5]12'!K8/1000</f>
        <v>40.720999999999997</v>
      </c>
      <c r="X54" s="55"/>
      <c r="Y54" s="52"/>
      <c r="Z54" s="50"/>
      <c r="AA54" s="50"/>
      <c r="AB54" s="50"/>
      <c r="AC54" s="50">
        <f>K54-T54</f>
        <v>0</v>
      </c>
      <c r="AD54" s="50">
        <f t="shared" ref="AD54:AD55" si="149">+AM54+BA54</f>
        <v>0</v>
      </c>
      <c r="AE54" s="187" t="s">
        <v>111</v>
      </c>
      <c r="AF54" s="50"/>
      <c r="AG54" s="50">
        <v>0</v>
      </c>
      <c r="AH54" s="50"/>
      <c r="AI54" s="54"/>
      <c r="AJ54" s="50"/>
      <c r="AK54" s="50"/>
      <c r="AL54" s="50"/>
      <c r="AM54" s="50">
        <f t="shared" ref="AM54:AM55" si="150">SUM(AF54:AL54)+AT54+AV54+AX54</f>
        <v>0</v>
      </c>
      <c r="AN54" s="157"/>
      <c r="AO54" s="50"/>
      <c r="AP54" s="50"/>
      <c r="AQ54" s="50"/>
      <c r="AR54" s="50">
        <f t="shared" ref="AR54:AR55" si="151">SUM(AN54:AQ54)</f>
        <v>0</v>
      </c>
      <c r="AS54" s="50"/>
      <c r="AT54" s="50"/>
      <c r="AU54" s="50"/>
      <c r="AV54" s="50"/>
      <c r="AW54" s="50"/>
      <c r="AX54" s="50"/>
      <c r="AY54" s="50"/>
      <c r="AZ54" s="50"/>
      <c r="BA54" s="50">
        <f t="shared" ref="BA54:BA55" si="152">+AR54+AS54+AU54+AW54+AY54+AZ54</f>
        <v>0</v>
      </c>
      <c r="BB54" s="189"/>
      <c r="BC54" s="116">
        <v>0</v>
      </c>
      <c r="BD54" s="116"/>
      <c r="BE54" s="189"/>
      <c r="BF54" s="116"/>
    </row>
    <row r="55" spans="1:58" ht="12.95" customHeight="1" x14ac:dyDescent="0.25">
      <c r="A55" s="117"/>
      <c r="B55" s="118"/>
      <c r="C55" s="119"/>
      <c r="D55" s="118"/>
      <c r="E55" s="37"/>
      <c r="F55" s="37"/>
      <c r="G55" s="188"/>
      <c r="H55" s="244"/>
      <c r="I55" s="45"/>
      <c r="J55" s="46"/>
      <c r="K55" s="46"/>
      <c r="L55" s="184"/>
      <c r="M55" s="184"/>
      <c r="N55" s="47"/>
      <c r="O55" s="48"/>
      <c r="P55" s="49"/>
      <c r="Q55" s="48"/>
      <c r="R55" s="123"/>
      <c r="S55" s="123"/>
      <c r="T55" s="50"/>
      <c r="U55" s="50"/>
      <c r="V55" s="50"/>
      <c r="W55" s="50"/>
      <c r="X55" s="55"/>
      <c r="Y55" s="52"/>
      <c r="Z55" s="50"/>
      <c r="AA55" s="50"/>
      <c r="AB55" s="50"/>
      <c r="AC55" s="50"/>
      <c r="AD55" s="50">
        <f t="shared" si="149"/>
        <v>30</v>
      </c>
      <c r="AE55" s="187" t="s">
        <v>114</v>
      </c>
      <c r="AF55" s="180"/>
      <c r="AG55" s="180"/>
      <c r="AH55" s="180">
        <v>30</v>
      </c>
      <c r="AJ55" s="50"/>
      <c r="AK55" s="50"/>
      <c r="AL55" s="50"/>
      <c r="AM55" s="50">
        <f t="shared" si="150"/>
        <v>30</v>
      </c>
      <c r="AN55" s="50"/>
      <c r="AO55" s="50"/>
      <c r="AP55" s="50"/>
      <c r="AQ55" s="50"/>
      <c r="AR55" s="50">
        <f t="shared" si="151"/>
        <v>0</v>
      </c>
      <c r="AS55" s="50"/>
      <c r="AT55" s="50"/>
      <c r="AU55" s="50"/>
      <c r="AV55" s="50"/>
      <c r="AW55" s="50"/>
      <c r="AX55" s="50"/>
      <c r="AY55" s="50"/>
      <c r="AZ55" s="50"/>
      <c r="BA55" s="50">
        <f t="shared" si="152"/>
        <v>0</v>
      </c>
      <c r="BB55" s="180"/>
      <c r="BC55" s="146"/>
      <c r="BD55" s="146"/>
      <c r="BE55" s="180"/>
      <c r="BF55" s="146"/>
    </row>
    <row r="56" spans="1:58" ht="12.95" customHeight="1" x14ac:dyDescent="0.25">
      <c r="A56" s="117"/>
      <c r="B56" s="118"/>
      <c r="C56" s="119"/>
      <c r="D56" s="118"/>
      <c r="E56" s="37"/>
      <c r="F56" s="37"/>
      <c r="G56" s="188"/>
      <c r="H56" s="192"/>
      <c r="I56" s="45"/>
      <c r="J56" s="46"/>
      <c r="K56" s="46"/>
      <c r="L56" s="184"/>
      <c r="M56" s="184"/>
      <c r="N56" s="47"/>
      <c r="O56" s="48"/>
      <c r="P56" s="49"/>
      <c r="Q56" s="48"/>
      <c r="R56" s="123"/>
      <c r="S56" s="123"/>
      <c r="T56" s="50"/>
      <c r="U56" s="50"/>
      <c r="V56" s="50"/>
      <c r="W56" s="50"/>
      <c r="X56" s="55"/>
      <c r="Y56" s="52"/>
      <c r="Z56" s="50"/>
      <c r="AA56" s="50"/>
      <c r="AB56" s="50"/>
      <c r="AC56" s="50"/>
      <c r="AD56" s="50"/>
      <c r="AE56" s="187"/>
      <c r="AF56" s="50"/>
      <c r="AG56" s="50"/>
      <c r="AH56" s="50"/>
      <c r="AI56" s="54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180"/>
      <c r="BC56" s="146"/>
      <c r="BD56" s="146"/>
      <c r="BE56" s="180"/>
      <c r="BF56" s="146"/>
    </row>
    <row r="57" spans="1:58" ht="12.75" customHeight="1" x14ac:dyDescent="0.25">
      <c r="A57" s="117">
        <v>45974</v>
      </c>
      <c r="B57" s="118" t="s">
        <v>115</v>
      </c>
      <c r="C57" s="119">
        <f t="shared" ref="C57" si="153">(M57*E57*O57*Q57)/100000000</f>
        <v>52.246044423529405</v>
      </c>
      <c r="D57" s="118" t="s">
        <v>177</v>
      </c>
      <c r="E57" s="37">
        <v>13</v>
      </c>
      <c r="F57" s="37">
        <v>1</v>
      </c>
      <c r="G57" s="188">
        <v>1350</v>
      </c>
      <c r="H57" s="243">
        <f t="shared" ref="H57" si="154">+N57</f>
        <v>0.24</v>
      </c>
      <c r="I57" s="45">
        <v>0.88</v>
      </c>
      <c r="J57" s="46">
        <f t="shared" ref="J57" si="155">E57*G57*(1-H57)*1440/1000000*2.87</f>
        <v>55.123286400000005</v>
      </c>
      <c r="K57" s="46">
        <f t="shared" ref="K57" si="156">(IF(G57&lt;L57,L57,G57)*(1-IF(H57&lt;N57,H57,N57))*E57*O57*Q57)/100000000</f>
        <v>52.246044423529405</v>
      </c>
      <c r="L57" s="184">
        <v>1350</v>
      </c>
      <c r="M57" s="184">
        <v>1026</v>
      </c>
      <c r="N57" s="47">
        <f t="shared" ref="N57" si="157">1-(M57/L57)</f>
        <v>0.24</v>
      </c>
      <c r="O57" s="48">
        <f>+'[5]Trim Rwd'!H51</f>
        <v>272.01960784313724</v>
      </c>
      <c r="P57" s="49">
        <f t="shared" ref="P57" si="158">O57*(Q57-R57-S57)</f>
        <v>384635.72549019603</v>
      </c>
      <c r="Q57" s="48">
        <v>1440</v>
      </c>
      <c r="R57" s="123">
        <v>0</v>
      </c>
      <c r="S57" s="123">
        <v>26</v>
      </c>
      <c r="T57" s="50">
        <f t="shared" ref="T57" si="159">E57*M57*O57*Q57/100000000</f>
        <v>52.246044423529405</v>
      </c>
      <c r="U57" s="50">
        <f t="shared" ref="U57" si="160">E57*M57*O57*(Q57-R57-S57)/100000000</f>
        <v>51.302713065882351</v>
      </c>
      <c r="V57" s="50">
        <f t="shared" ref="V57" si="161">E57*G57*(1-N57)*O57/100*(R57+S57)/1000000</f>
        <v>0.94333135764705867</v>
      </c>
      <c r="W57" s="50">
        <f>+'[5]13'!K9/1000</f>
        <v>47.966999999999999</v>
      </c>
      <c r="X57" s="51">
        <f>SUM(W57:W60)/SUM(K57:K60)</f>
        <v>1.0021619928880152</v>
      </c>
      <c r="Y57" s="50">
        <v>0</v>
      </c>
      <c r="Z57" s="50">
        <v>0</v>
      </c>
      <c r="AA57" s="53">
        <f>SUM(U57:U60)-SUM(W57:W60)-SUM(Z57:Z60)-SUM(Y57:Y60)</f>
        <v>-1.0562869341176508</v>
      </c>
      <c r="AB57" s="53">
        <f>(SUM(K57:K60)-SUM(W57:W60)-SUM(Y57:Y60)-SUM(Z57:Z60)-SUM(AC57:AC60)-SUM(V57:V60))-AA57</f>
        <v>-4.8849813083506888E-15</v>
      </c>
      <c r="AC57" s="50">
        <f>K57-T57</f>
        <v>0</v>
      </c>
      <c r="AD57" s="50">
        <f>+AM57+BA57</f>
        <v>0</v>
      </c>
      <c r="AE57" s="187" t="s">
        <v>110</v>
      </c>
      <c r="AF57" s="50">
        <v>0</v>
      </c>
      <c r="AG57" s="50"/>
      <c r="AH57" s="50"/>
      <c r="AI57" s="54"/>
      <c r="AJ57" s="50"/>
      <c r="AK57" s="50"/>
      <c r="AL57" s="50"/>
      <c r="AM57" s="50">
        <f>SUM(AF57:AL57)+AT57+AV57+AX57</f>
        <v>0</v>
      </c>
      <c r="AN57" s="50"/>
      <c r="AO57" s="50"/>
      <c r="AP57" s="50"/>
      <c r="AQ57" s="50"/>
      <c r="AR57" s="50">
        <f>SUM(AN57:AQ57)</f>
        <v>0</v>
      </c>
      <c r="AS57" s="50"/>
      <c r="AT57" s="50"/>
      <c r="AU57" s="50"/>
      <c r="AV57" s="50"/>
      <c r="AW57" s="50"/>
      <c r="AX57" s="50"/>
      <c r="AY57" s="50"/>
      <c r="AZ57" s="50"/>
      <c r="BA57" s="50">
        <f>+AR57+AS57+AU57+AW57+AY57+AZ57</f>
        <v>0</v>
      </c>
      <c r="BB57" s="180">
        <v>0</v>
      </c>
      <c r="BC57" s="116"/>
      <c r="BD57" s="116"/>
      <c r="BE57" s="180"/>
      <c r="BF57" s="116"/>
    </row>
    <row r="58" spans="1:58" ht="12.95" customHeight="1" x14ac:dyDescent="0.25">
      <c r="A58" s="117"/>
      <c r="B58" s="118" t="s">
        <v>115</v>
      </c>
      <c r="C58" s="119"/>
      <c r="D58" s="118"/>
      <c r="E58" s="37">
        <v>12.5</v>
      </c>
      <c r="F58" s="37"/>
      <c r="G58" s="188"/>
      <c r="H58" s="244"/>
      <c r="I58" s="45"/>
      <c r="J58" s="46"/>
      <c r="K58" s="46"/>
      <c r="L58" s="184"/>
      <c r="M58" s="184"/>
      <c r="N58" s="47"/>
      <c r="O58" s="48"/>
      <c r="P58" s="49"/>
      <c r="Q58" s="48"/>
      <c r="R58" s="123"/>
      <c r="S58" s="123"/>
      <c r="T58" s="50"/>
      <c r="U58" s="50"/>
      <c r="V58" s="50"/>
      <c r="W58" s="50">
        <f>+'[5]13'!K8/1000</f>
        <v>4.3920000000000003</v>
      </c>
      <c r="X58" s="55"/>
      <c r="Y58" s="52"/>
      <c r="Z58" s="50"/>
      <c r="AA58" s="50"/>
      <c r="AB58" s="50"/>
      <c r="AC58" s="50"/>
      <c r="AD58" s="50">
        <f t="shared" ref="AD58:AD59" si="162">+AM58+BA58</f>
        <v>1</v>
      </c>
      <c r="AE58" s="187" t="s">
        <v>174</v>
      </c>
      <c r="AF58" s="50"/>
      <c r="AG58" s="50">
        <v>1</v>
      </c>
      <c r="AH58" s="50"/>
      <c r="AI58" s="54"/>
      <c r="AJ58" s="50"/>
      <c r="AK58" s="50"/>
      <c r="AL58" s="50"/>
      <c r="AM58" s="50">
        <f t="shared" ref="AM58:AM59" si="163">SUM(AF58:AL58)+AT58+AV58+AX58</f>
        <v>1</v>
      </c>
      <c r="AN58" s="157"/>
      <c r="AO58" s="50"/>
      <c r="AP58" s="50"/>
      <c r="AQ58" s="50"/>
      <c r="AR58" s="50">
        <f t="shared" ref="AR58:AR59" si="164">SUM(AN58:AQ58)</f>
        <v>0</v>
      </c>
      <c r="AS58" s="50"/>
      <c r="AT58" s="50"/>
      <c r="AU58" s="50"/>
      <c r="AV58" s="50"/>
      <c r="AW58" s="50"/>
      <c r="AX58" s="50"/>
      <c r="AY58" s="50"/>
      <c r="AZ58" s="50"/>
      <c r="BA58" s="50">
        <f t="shared" ref="BA58:BA59" si="165">+AR58+AS58+AU58+AW58+AY58+AZ58</f>
        <v>0</v>
      </c>
      <c r="BB58" s="189"/>
      <c r="BC58" s="116">
        <v>1</v>
      </c>
      <c r="BD58" s="116"/>
      <c r="BE58" s="189"/>
      <c r="BF58" s="116"/>
    </row>
    <row r="59" spans="1:58" ht="12.95" customHeight="1" x14ac:dyDescent="0.25">
      <c r="A59" s="117"/>
      <c r="B59" s="118"/>
      <c r="C59" s="119"/>
      <c r="D59" s="118"/>
      <c r="E59" s="37"/>
      <c r="F59" s="37"/>
      <c r="G59" s="188"/>
      <c r="H59" s="244"/>
      <c r="I59" s="45"/>
      <c r="J59" s="46"/>
      <c r="K59" s="46"/>
      <c r="L59" s="184"/>
      <c r="M59" s="184"/>
      <c r="N59" s="47"/>
      <c r="O59" s="48"/>
      <c r="P59" s="49"/>
      <c r="Q59" s="48"/>
      <c r="R59" s="123"/>
      <c r="S59" s="123"/>
      <c r="T59" s="50"/>
      <c r="U59" s="50"/>
      <c r="V59" s="50"/>
      <c r="W59" s="50"/>
      <c r="X59" s="55"/>
      <c r="Y59" s="52"/>
      <c r="Z59" s="50"/>
      <c r="AA59" s="50"/>
      <c r="AB59" s="50"/>
      <c r="AC59" s="50"/>
      <c r="AD59" s="50">
        <f t="shared" si="162"/>
        <v>25</v>
      </c>
      <c r="AE59" s="187" t="s">
        <v>114</v>
      </c>
      <c r="AF59" s="180"/>
      <c r="AG59" s="180"/>
      <c r="AH59" s="180">
        <v>25</v>
      </c>
      <c r="AJ59" s="50"/>
      <c r="AK59" s="50"/>
      <c r="AL59" s="50"/>
      <c r="AM59" s="50">
        <f t="shared" si="163"/>
        <v>25</v>
      </c>
      <c r="AN59" s="50"/>
      <c r="AO59" s="50"/>
      <c r="AP59" s="50"/>
      <c r="AQ59" s="50"/>
      <c r="AR59" s="50">
        <f t="shared" si="164"/>
        <v>0</v>
      </c>
      <c r="AS59" s="50"/>
      <c r="AT59" s="50"/>
      <c r="AU59" s="50"/>
      <c r="AV59" s="50"/>
      <c r="AW59" s="50"/>
      <c r="AX59" s="50"/>
      <c r="AY59" s="50"/>
      <c r="AZ59" s="50"/>
      <c r="BA59" s="50">
        <f t="shared" si="165"/>
        <v>0</v>
      </c>
      <c r="BB59" s="180"/>
      <c r="BC59" s="146"/>
      <c r="BD59" s="146"/>
      <c r="BE59" s="180"/>
      <c r="BF59" s="146"/>
    </row>
    <row r="60" spans="1:58" ht="12.95" customHeight="1" x14ac:dyDescent="0.25">
      <c r="A60" s="117"/>
      <c r="B60" s="118"/>
      <c r="C60" s="119"/>
      <c r="D60" s="118"/>
      <c r="E60" s="37"/>
      <c r="F60" s="37"/>
      <c r="G60" s="188"/>
      <c r="H60" s="192"/>
      <c r="I60" s="45"/>
      <c r="J60" s="46"/>
      <c r="K60" s="46"/>
      <c r="L60" s="184"/>
      <c r="M60" s="184"/>
      <c r="N60" s="47"/>
      <c r="O60" s="48"/>
      <c r="P60" s="49"/>
      <c r="Q60" s="48"/>
      <c r="R60" s="123"/>
      <c r="S60" s="123"/>
      <c r="T60" s="50"/>
      <c r="U60" s="50"/>
      <c r="V60" s="50"/>
      <c r="W60" s="50"/>
      <c r="X60" s="55"/>
      <c r="Y60" s="52"/>
      <c r="Z60" s="50"/>
      <c r="AA60" s="50"/>
      <c r="AB60" s="50"/>
      <c r="AC60" s="50"/>
      <c r="AD60" s="50"/>
      <c r="AE60" s="187"/>
      <c r="AF60" s="50"/>
      <c r="AG60" s="50"/>
      <c r="AH60" s="50"/>
      <c r="AI60" s="54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180"/>
      <c r="BC60" s="146"/>
      <c r="BD60" s="146"/>
      <c r="BE60" s="180"/>
      <c r="BF60" s="146"/>
    </row>
    <row r="61" spans="1:58" ht="12.75" customHeight="1" x14ac:dyDescent="0.25">
      <c r="A61" s="117">
        <v>45975</v>
      </c>
      <c r="B61" s="118" t="s">
        <v>115</v>
      </c>
      <c r="C61" s="119">
        <f t="shared" ref="C61:C63" si="166">(M61*E61*O61*Q61)/100000000</f>
        <v>21.915935999999999</v>
      </c>
      <c r="D61" s="118" t="s">
        <v>177</v>
      </c>
      <c r="E61" s="37">
        <v>12</v>
      </c>
      <c r="F61" s="37">
        <v>1</v>
      </c>
      <c r="G61" s="188">
        <v>1350</v>
      </c>
      <c r="H61" s="243">
        <f t="shared" ref="H61:H63" si="167">+N61</f>
        <v>0.26514195583596212</v>
      </c>
      <c r="I61" s="45">
        <v>0.88</v>
      </c>
      <c r="J61" s="46">
        <f t="shared" ref="J61:J63" si="168">E61*G61*(1-H61)*1440/1000000*2.87</f>
        <v>49.199745463722401</v>
      </c>
      <c r="K61" s="46">
        <f t="shared" ref="K61:K63" si="169">(IF(G61&lt;L61,L61,G61)*(1-IF(H61&lt;N61,H61,N61))*E61*O61*Q61)/100000000</f>
        <v>21.915935999999999</v>
      </c>
      <c r="L61" s="184">
        <v>1400</v>
      </c>
      <c r="M61" s="184">
        <v>1028.801261829653</v>
      </c>
      <c r="N61" s="47">
        <f t="shared" ref="N61:N63" si="170">1-(M61/L61)</f>
        <v>0.26514195583596212</v>
      </c>
      <c r="O61" s="48">
        <f>+'[5]Trim Rwd'!H55</f>
        <v>280</v>
      </c>
      <c r="P61" s="49">
        <f t="shared" ref="P61:P63" si="171">O61*(Q61-R61-S61)</f>
        <v>173320</v>
      </c>
      <c r="Q61" s="48">
        <v>634</v>
      </c>
      <c r="R61" s="123">
        <v>0</v>
      </c>
      <c r="S61" s="123">
        <v>15</v>
      </c>
      <c r="T61" s="50">
        <f t="shared" ref="T61:T63" si="172">E61*M61*O61*Q61/100000000</f>
        <v>21.915935999999999</v>
      </c>
      <c r="U61" s="50">
        <f t="shared" ref="U61:U63" si="173">E61*M61*O61*(Q61-R61-S61)/100000000</f>
        <v>21.397420164037854</v>
      </c>
      <c r="V61" s="50">
        <f t="shared" ref="V61:V63" si="174">E61*G61*(1-N61)*O61/100*(R61+S61)/1000000</f>
        <v>0.49999741324921143</v>
      </c>
      <c r="W61" s="50">
        <f>+'[5]14'!K19/1000</f>
        <v>25.856999999999999</v>
      </c>
      <c r="X61" s="51">
        <f>SUM(W61:W64)/SUM(K61:K64)</f>
        <v>0.86415376425704626</v>
      </c>
      <c r="Y61" s="50">
        <v>0</v>
      </c>
      <c r="Z61" s="50">
        <f>+'[5]14'!D34/1000</f>
        <v>0.52</v>
      </c>
      <c r="AA61" s="53">
        <f>SUM(U61:U64)-SUM(W61:W64)-SUM(Z61:Z64)-SUM(Y61:Y64)</f>
        <v>5.3361843001506593</v>
      </c>
      <c r="AB61" s="53">
        <f>(SUM(K61:K64)-SUM(W61:W64)-SUM(Y61:Y64)-SUM(Z61:Z64)-SUM(AC61:AC64)-SUM(V61:V64))-AA61</f>
        <v>1.9947988967295771E-2</v>
      </c>
      <c r="AC61" s="50">
        <f>K61-T61</f>
        <v>0</v>
      </c>
      <c r="AD61" s="50">
        <f>+AM61+BA61</f>
        <v>4</v>
      </c>
      <c r="AE61" s="187" t="s">
        <v>113</v>
      </c>
      <c r="AF61" s="50">
        <v>4</v>
      </c>
      <c r="AG61" s="50"/>
      <c r="AH61" s="50"/>
      <c r="AI61" s="54"/>
      <c r="AJ61" s="50"/>
      <c r="AK61" s="50"/>
      <c r="AL61" s="50"/>
      <c r="AM61" s="50">
        <f>SUM(AF61:AL61)+AT61+AV61+AX61</f>
        <v>4</v>
      </c>
      <c r="AN61" s="50"/>
      <c r="AO61" s="50"/>
      <c r="AP61" s="50"/>
      <c r="AQ61" s="50"/>
      <c r="AR61" s="50">
        <f>SUM(AN61:AQ61)</f>
        <v>0</v>
      </c>
      <c r="AS61" s="50"/>
      <c r="AT61" s="50"/>
      <c r="AU61" s="50"/>
      <c r="AV61" s="50"/>
      <c r="AW61" s="50"/>
      <c r="AX61" s="50"/>
      <c r="AY61" s="50"/>
      <c r="AZ61" s="50"/>
      <c r="BA61" s="50">
        <f>+AR61+AS61+AU61+AW61+AY61+AZ61</f>
        <v>0</v>
      </c>
      <c r="BB61" s="180">
        <v>0</v>
      </c>
      <c r="BC61" s="116"/>
      <c r="BD61" s="116"/>
      <c r="BE61" s="180"/>
      <c r="BF61" s="116"/>
    </row>
    <row r="62" spans="1:58" ht="12.95" customHeight="1" x14ac:dyDescent="0.25">
      <c r="A62" s="117"/>
      <c r="B62" s="118" t="s">
        <v>115</v>
      </c>
      <c r="C62" s="119">
        <f t="shared" si="166"/>
        <v>16.951717223999999</v>
      </c>
      <c r="D62" s="118" t="s">
        <v>177</v>
      </c>
      <c r="E62" s="37">
        <v>13</v>
      </c>
      <c r="F62" s="37">
        <v>1</v>
      </c>
      <c r="G62" s="188">
        <v>1350</v>
      </c>
      <c r="H62" s="243">
        <f t="shared" si="167"/>
        <v>0.24704103671706268</v>
      </c>
      <c r="I62" s="45">
        <v>0.88</v>
      </c>
      <c r="J62" s="46">
        <f t="shared" si="168"/>
        <v>54.612595500647949</v>
      </c>
      <c r="K62" s="46">
        <f t="shared" si="169"/>
        <v>16.951717223999999</v>
      </c>
      <c r="L62" s="184">
        <v>1355.8568329718005</v>
      </c>
      <c r="M62" s="184">
        <v>1020.9045553145336</v>
      </c>
      <c r="N62" s="47">
        <f t="shared" si="170"/>
        <v>0.24704103671706268</v>
      </c>
      <c r="O62" s="48">
        <f>+'[5]Trim Rwd'!H56</f>
        <v>277.06666666666666</v>
      </c>
      <c r="P62" s="49">
        <f t="shared" si="171"/>
        <v>125234.13333333333</v>
      </c>
      <c r="Q62" s="48">
        <v>461</v>
      </c>
      <c r="R62" s="123">
        <v>0</v>
      </c>
      <c r="S62" s="123">
        <f>32-S61-S63</f>
        <v>9</v>
      </c>
      <c r="T62" s="50">
        <f t="shared" si="172"/>
        <v>16.951717223999999</v>
      </c>
      <c r="U62" s="50">
        <f t="shared" si="173"/>
        <v>16.620772636112797</v>
      </c>
      <c r="V62" s="50">
        <f t="shared" si="174"/>
        <v>0.32951502163282936</v>
      </c>
      <c r="W62" s="50">
        <f>+'[5]14'!K9/1000</f>
        <v>16.856999999999999</v>
      </c>
      <c r="X62" s="55"/>
      <c r="Y62" s="52"/>
      <c r="Z62" s="50"/>
      <c r="AA62" s="50"/>
      <c r="AB62" s="50"/>
      <c r="AC62" s="50"/>
      <c r="AD62" s="50">
        <f t="shared" ref="AD62:AD63" si="175">+AM62+BA62</f>
        <v>2</v>
      </c>
      <c r="AE62" s="187" t="s">
        <v>174</v>
      </c>
      <c r="AF62" s="50"/>
      <c r="AG62" s="50">
        <v>2</v>
      </c>
      <c r="AH62" s="50"/>
      <c r="AI62" s="54"/>
      <c r="AJ62" s="50"/>
      <c r="AK62" s="50"/>
      <c r="AL62" s="50"/>
      <c r="AM62" s="50">
        <f t="shared" ref="AM62:AM63" si="176">SUM(AF62:AL62)+AT62+AV62+AX62</f>
        <v>2</v>
      </c>
      <c r="AN62" s="157"/>
      <c r="AO62" s="50"/>
      <c r="AP62" s="50"/>
      <c r="AQ62" s="50"/>
      <c r="AR62" s="50">
        <f t="shared" ref="AR62:AR63" si="177">SUM(AN62:AQ62)</f>
        <v>0</v>
      </c>
      <c r="AS62" s="50"/>
      <c r="AT62" s="50"/>
      <c r="AU62" s="50"/>
      <c r="AV62" s="50"/>
      <c r="AW62" s="50"/>
      <c r="AX62" s="50"/>
      <c r="AY62" s="50"/>
      <c r="AZ62" s="50"/>
      <c r="BA62" s="50">
        <f t="shared" ref="BA62:BA63" si="178">+AR62+AS62+AU62+AW62+AY62+AZ62</f>
        <v>0</v>
      </c>
      <c r="BB62" s="189"/>
      <c r="BC62" s="116">
        <v>1</v>
      </c>
      <c r="BD62" s="116"/>
      <c r="BE62" s="189"/>
      <c r="BF62" s="116"/>
    </row>
    <row r="63" spans="1:58" ht="12.95" customHeight="1" x14ac:dyDescent="0.25">
      <c r="A63" s="117"/>
      <c r="B63" s="118" t="s">
        <v>168</v>
      </c>
      <c r="C63" s="119">
        <f t="shared" si="166"/>
        <v>12.654427500000001</v>
      </c>
      <c r="D63" s="118" t="s">
        <v>177</v>
      </c>
      <c r="E63" s="37">
        <v>12.5</v>
      </c>
      <c r="F63" s="37">
        <v>1</v>
      </c>
      <c r="G63" s="188">
        <v>1350</v>
      </c>
      <c r="H63" s="243">
        <f t="shared" si="167"/>
        <v>0.24</v>
      </c>
      <c r="I63" s="45">
        <v>0.88</v>
      </c>
      <c r="J63" s="46">
        <f t="shared" si="168"/>
        <v>53.003160000000001</v>
      </c>
      <c r="K63" s="46">
        <f t="shared" si="169"/>
        <v>12.654427500000001</v>
      </c>
      <c r="L63" s="184">
        <v>1350</v>
      </c>
      <c r="M63" s="184">
        <v>1026</v>
      </c>
      <c r="N63" s="47">
        <f t="shared" si="170"/>
        <v>0.24</v>
      </c>
      <c r="O63" s="48">
        <f>+'[5]Trim Rwd'!H58</f>
        <v>286</v>
      </c>
      <c r="P63" s="49">
        <f t="shared" si="171"/>
        <v>96382</v>
      </c>
      <c r="Q63" s="48">
        <v>345</v>
      </c>
      <c r="R63" s="123">
        <v>0</v>
      </c>
      <c r="S63" s="123">
        <v>8</v>
      </c>
      <c r="T63" s="50">
        <f t="shared" si="172"/>
        <v>12.654427500000001</v>
      </c>
      <c r="U63" s="50">
        <f t="shared" si="173"/>
        <v>12.360991500000001</v>
      </c>
      <c r="V63" s="50">
        <f t="shared" si="174"/>
        <v>0.29343599999999997</v>
      </c>
      <c r="W63" s="50">
        <f>+'[5]14'!K11/1000</f>
        <v>1.8089999999999999</v>
      </c>
      <c r="X63" s="55"/>
      <c r="Y63" s="52"/>
      <c r="Z63" s="50"/>
      <c r="AA63" s="50"/>
      <c r="AB63" s="50"/>
      <c r="AC63" s="50"/>
      <c r="AD63" s="50">
        <f t="shared" si="175"/>
        <v>26</v>
      </c>
      <c r="AE63" s="187" t="s">
        <v>123</v>
      </c>
      <c r="AF63" s="180"/>
      <c r="AG63" s="180"/>
      <c r="AH63" s="180">
        <v>26</v>
      </c>
      <c r="AJ63" s="50"/>
      <c r="AK63" s="50"/>
      <c r="AL63" s="50"/>
      <c r="AM63" s="50">
        <f t="shared" si="176"/>
        <v>26</v>
      </c>
      <c r="AN63" s="50"/>
      <c r="AO63" s="50"/>
      <c r="AP63" s="50"/>
      <c r="AQ63" s="50"/>
      <c r="AR63" s="50">
        <f t="shared" si="177"/>
        <v>0</v>
      </c>
      <c r="AS63" s="50"/>
      <c r="AT63" s="50"/>
      <c r="AU63" s="50"/>
      <c r="AV63" s="50"/>
      <c r="AW63" s="50"/>
      <c r="AX63" s="50"/>
      <c r="AY63" s="50"/>
      <c r="AZ63" s="50"/>
      <c r="BA63" s="50">
        <f t="shared" si="178"/>
        <v>0</v>
      </c>
      <c r="BB63" s="180"/>
      <c r="BC63" s="146"/>
      <c r="BD63" s="146"/>
      <c r="BE63" s="180"/>
      <c r="BF63" s="146"/>
    </row>
    <row r="64" spans="1:58" ht="12.95" customHeight="1" x14ac:dyDescent="0.25">
      <c r="A64" s="117"/>
      <c r="B64" s="118"/>
      <c r="C64" s="119"/>
      <c r="D64" s="118"/>
      <c r="E64" s="37"/>
      <c r="F64" s="37"/>
      <c r="G64" s="188"/>
      <c r="H64" s="244"/>
      <c r="I64" s="45"/>
      <c r="J64" s="46"/>
      <c r="K64" s="46"/>
      <c r="L64" s="184"/>
      <c r="M64" s="184"/>
      <c r="N64" s="47"/>
      <c r="O64" s="48"/>
      <c r="P64" s="49"/>
      <c r="Q64" s="48"/>
      <c r="R64" s="123"/>
      <c r="S64" s="123"/>
      <c r="T64" s="50"/>
      <c r="U64" s="50"/>
      <c r="V64" s="50"/>
      <c r="W64" s="50"/>
      <c r="X64" s="55"/>
      <c r="Y64" s="52"/>
      <c r="Z64" s="50"/>
      <c r="AA64" s="50"/>
      <c r="AB64" s="50"/>
      <c r="AC64" s="50"/>
      <c r="AD64" s="50"/>
      <c r="AE64" s="187"/>
      <c r="AF64" s="50"/>
      <c r="AG64" s="50"/>
      <c r="AH64" s="50"/>
      <c r="AI64" s="54"/>
      <c r="AJ64" s="50"/>
      <c r="AK64" s="50"/>
      <c r="AL64" s="50"/>
      <c r="AM64" s="50"/>
      <c r="AN64" s="157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189"/>
      <c r="BC64" s="116"/>
      <c r="BD64" s="116"/>
      <c r="BE64" s="116"/>
      <c r="BF64" s="116"/>
    </row>
    <row r="65" spans="1:58" ht="12.75" customHeight="1" x14ac:dyDescent="0.25">
      <c r="A65" s="117">
        <v>45976</v>
      </c>
      <c r="B65" s="118" t="s">
        <v>168</v>
      </c>
      <c r="C65" s="119">
        <f t="shared" ref="C65:C66" si="179">(M65*E65*O65*Q65)/100000000</f>
        <v>44.748989999999999</v>
      </c>
      <c r="D65" s="118" t="s">
        <v>177</v>
      </c>
      <c r="E65" s="37">
        <v>12.5</v>
      </c>
      <c r="F65" s="37">
        <v>1</v>
      </c>
      <c r="G65" s="188">
        <v>1350</v>
      </c>
      <c r="H65" s="243">
        <f t="shared" ref="H65" si="180">+N65</f>
        <v>0.24</v>
      </c>
      <c r="I65" s="45">
        <v>0.88</v>
      </c>
      <c r="J65" s="46">
        <f t="shared" ref="J65:J66" si="181">E65*G65*(1-H65)*1440/1000000*2.87</f>
        <v>53.003160000000001</v>
      </c>
      <c r="K65" s="46">
        <f t="shared" ref="K65:K66" si="182">(IF(G65&lt;L65,L65,G65)*(1-IF(H65&lt;N65,H65,N65))*E65*O65*Q65)/100000000</f>
        <v>44.748989999999999</v>
      </c>
      <c r="L65" s="184">
        <v>1350</v>
      </c>
      <c r="M65" s="184">
        <v>1026</v>
      </c>
      <c r="N65" s="47">
        <f t="shared" ref="N65:N66" si="183">1-(M65/L65)</f>
        <v>0.24</v>
      </c>
      <c r="O65" s="48">
        <f>+'[5]Trim Rwd'!H60</f>
        <v>286</v>
      </c>
      <c r="P65" s="49">
        <f t="shared" ref="P65:P66" si="184">O65*(Q65-R65-S65)</f>
        <v>341770</v>
      </c>
      <c r="Q65" s="48">
        <v>1220</v>
      </c>
      <c r="R65" s="123">
        <v>0</v>
      </c>
      <c r="S65" s="123">
        <v>25</v>
      </c>
      <c r="T65" s="50">
        <f t="shared" ref="T65:T66" si="185">E65*M65*O65*Q65/100000000</f>
        <v>44.748989999999999</v>
      </c>
      <c r="U65" s="50">
        <f t="shared" ref="U65:U66" si="186">E65*M65*O65*(Q65-R65-S65)/100000000</f>
        <v>43.832002500000002</v>
      </c>
      <c r="V65" s="50">
        <f t="shared" ref="V65:V66" si="187">E65*G65*(1-N65)*O65/100*(R65+S65)/1000000</f>
        <v>0.91698749999999996</v>
      </c>
      <c r="W65" s="50">
        <f>+'[5]15'!K11/1000</f>
        <v>39.030999999999999</v>
      </c>
      <c r="X65" s="51">
        <f>SUM(W65:W68)/SUM(K65:K68)</f>
        <v>1.153796882512973</v>
      </c>
      <c r="Y65" s="50">
        <v>0</v>
      </c>
      <c r="Z65" s="50">
        <v>0</v>
      </c>
      <c r="AA65" s="53">
        <f>SUM(U65:U68)-SUM(W65:W68)-SUM(Z65:Z68)-SUM(Y65:Y68)</f>
        <v>-9.3126243872727272</v>
      </c>
      <c r="AB65" s="53">
        <f>(SUM(K65:K68)-SUM(W65:W68)-SUM(Y65:Y68)-SUM(Z65:Z68)-SUM(AC65:AC68)-SUM(V65:V68))-AA65</f>
        <v>-1.8328330069934395E-3</v>
      </c>
      <c r="AC65" s="50">
        <f>K65-T65</f>
        <v>0</v>
      </c>
      <c r="AD65" s="50">
        <f>+AM65+BA65</f>
        <v>0</v>
      </c>
      <c r="AE65" s="187" t="s">
        <v>110</v>
      </c>
      <c r="AF65" s="50">
        <v>0</v>
      </c>
      <c r="AG65" s="50"/>
      <c r="AH65" s="50"/>
      <c r="AI65" s="54"/>
      <c r="AJ65" s="50"/>
      <c r="AK65" s="50"/>
      <c r="AL65" s="50"/>
      <c r="AM65" s="50">
        <f>SUM(AF65:AL65)+AT65+AV65+AX65</f>
        <v>0</v>
      </c>
      <c r="AN65" s="50"/>
      <c r="AO65" s="50"/>
      <c r="AP65" s="50"/>
      <c r="AQ65" s="50"/>
      <c r="AR65" s="50">
        <f>SUM(AN65:AQ65)</f>
        <v>0</v>
      </c>
      <c r="AS65" s="50"/>
      <c r="AT65" s="50"/>
      <c r="AU65" s="50"/>
      <c r="AV65" s="50"/>
      <c r="AW65" s="50"/>
      <c r="AX65" s="50"/>
      <c r="AY65" s="50"/>
      <c r="AZ65" s="50"/>
      <c r="BA65" s="50">
        <f>+AR65+AS65+AU65+AW65+AY65+AZ65</f>
        <v>0</v>
      </c>
      <c r="BB65" s="180">
        <v>0</v>
      </c>
      <c r="BC65" s="116"/>
      <c r="BD65" s="116"/>
      <c r="BE65" s="180"/>
      <c r="BF65" s="116"/>
    </row>
    <row r="66" spans="1:58" ht="12.95" customHeight="1" x14ac:dyDescent="0.25">
      <c r="A66" s="117"/>
      <c r="B66" s="118" t="s">
        <v>168</v>
      </c>
      <c r="C66" s="119">
        <f t="shared" si="179"/>
        <v>7.8628536000000002</v>
      </c>
      <c r="D66" s="118" t="s">
        <v>177</v>
      </c>
      <c r="E66" s="37">
        <v>12</v>
      </c>
      <c r="F66" s="37">
        <v>1</v>
      </c>
      <c r="G66" s="188">
        <v>1400</v>
      </c>
      <c r="H66" s="243">
        <f>+N66</f>
        <v>0.2094405594405595</v>
      </c>
      <c r="I66" s="45">
        <v>0.88</v>
      </c>
      <c r="J66" s="46">
        <f t="shared" si="181"/>
        <v>54.889364139860128</v>
      </c>
      <c r="K66" s="46">
        <f t="shared" si="182"/>
        <v>8.0644652307692297</v>
      </c>
      <c r="L66" s="184">
        <v>1365</v>
      </c>
      <c r="M66" s="184">
        <f>+(1146*85+1037*135)/(85+135)</f>
        <v>1079.1136363636363</v>
      </c>
      <c r="N66" s="47">
        <f t="shared" si="183"/>
        <v>0.2094405594405595</v>
      </c>
      <c r="O66" s="48">
        <f>+'[5]Trim Rwd'!H61</f>
        <v>276</v>
      </c>
      <c r="P66" s="49">
        <f t="shared" si="184"/>
        <v>60168</v>
      </c>
      <c r="Q66" s="48">
        <f>85+135</f>
        <v>220</v>
      </c>
      <c r="R66" s="123">
        <v>0</v>
      </c>
      <c r="S66" s="123">
        <v>2</v>
      </c>
      <c r="T66" s="50">
        <f t="shared" si="185"/>
        <v>7.8628536000000002</v>
      </c>
      <c r="U66" s="50">
        <f t="shared" si="186"/>
        <v>7.791373112727273</v>
      </c>
      <c r="V66" s="50">
        <f t="shared" si="187"/>
        <v>7.3313320279720262E-2</v>
      </c>
      <c r="W66" s="50">
        <f>+'[5]15'!K18/1000</f>
        <v>21.905000000000001</v>
      </c>
      <c r="X66" s="55"/>
      <c r="Y66" s="52"/>
      <c r="Z66" s="50"/>
      <c r="AA66" s="50"/>
      <c r="AB66" s="50"/>
      <c r="AC66" s="50">
        <f>K66-T66</f>
        <v>0.2016116307692295</v>
      </c>
      <c r="AD66" s="50">
        <f t="shared" ref="AD66:AD67" si="188">+AM66+BA66</f>
        <v>2</v>
      </c>
      <c r="AE66" s="187" t="s">
        <v>174</v>
      </c>
      <c r="AF66" s="50"/>
      <c r="AG66" s="50">
        <v>2</v>
      </c>
      <c r="AH66" s="50"/>
      <c r="AI66" s="54"/>
      <c r="AJ66" s="50"/>
      <c r="AK66" s="50"/>
      <c r="AL66" s="50"/>
      <c r="AM66" s="50">
        <f t="shared" ref="AM66:AM67" si="189">SUM(AF66:AL66)+AT66+AV66+AX66</f>
        <v>2</v>
      </c>
      <c r="AN66" s="157"/>
      <c r="AO66" s="50"/>
      <c r="AP66" s="50"/>
      <c r="AQ66" s="50"/>
      <c r="AR66" s="50">
        <f t="shared" ref="AR66:AR67" si="190">SUM(AN66:AQ66)</f>
        <v>0</v>
      </c>
      <c r="AS66" s="50"/>
      <c r="AT66" s="50"/>
      <c r="AU66" s="50"/>
      <c r="AV66" s="50"/>
      <c r="AW66" s="50"/>
      <c r="AX66" s="50"/>
      <c r="AY66" s="50"/>
      <c r="AZ66" s="50"/>
      <c r="BA66" s="50">
        <f t="shared" ref="BA66:BA67" si="191">+AR66+AS66+AU66+AW66+AY66+AZ66</f>
        <v>0</v>
      </c>
      <c r="BB66" s="189"/>
      <c r="BC66" s="116">
        <v>1</v>
      </c>
      <c r="BD66" s="116"/>
      <c r="BE66" s="189"/>
      <c r="BF66" s="116"/>
    </row>
    <row r="67" spans="1:58" ht="12.95" customHeight="1" x14ac:dyDescent="0.25">
      <c r="A67" s="117"/>
      <c r="B67" s="118"/>
      <c r="C67" s="119"/>
      <c r="D67" s="118"/>
      <c r="E67" s="37"/>
      <c r="F67" s="37"/>
      <c r="G67" s="188"/>
      <c r="H67" s="244"/>
      <c r="I67" s="45"/>
      <c r="J67" s="46"/>
      <c r="K67" s="46"/>
      <c r="L67" s="184"/>
      <c r="M67" s="184"/>
      <c r="N67" s="47"/>
      <c r="O67" s="48"/>
      <c r="P67" s="49"/>
      <c r="Q67" s="48"/>
      <c r="R67" s="123"/>
      <c r="S67" s="123"/>
      <c r="T67" s="50"/>
      <c r="U67" s="50"/>
      <c r="V67" s="50"/>
      <c r="W67" s="50"/>
      <c r="X67" s="55"/>
      <c r="Y67" s="52"/>
      <c r="Z67" s="50"/>
      <c r="AA67" s="50"/>
      <c r="AB67" s="50"/>
      <c r="AC67" s="50"/>
      <c r="AD67" s="50">
        <f t="shared" si="188"/>
        <v>25</v>
      </c>
      <c r="AE67" s="187" t="s">
        <v>120</v>
      </c>
      <c r="AF67" s="180"/>
      <c r="AG67" s="180"/>
      <c r="AH67" s="180">
        <v>25</v>
      </c>
      <c r="AJ67" s="50"/>
      <c r="AK67" s="50"/>
      <c r="AL67" s="50"/>
      <c r="AM67" s="50">
        <f t="shared" si="189"/>
        <v>25</v>
      </c>
      <c r="AN67" s="50"/>
      <c r="AO67" s="50"/>
      <c r="AP67" s="50"/>
      <c r="AQ67" s="50"/>
      <c r="AR67" s="50">
        <f t="shared" si="190"/>
        <v>0</v>
      </c>
      <c r="AS67" s="50"/>
      <c r="AT67" s="50"/>
      <c r="AU67" s="50"/>
      <c r="AV67" s="50"/>
      <c r="AW67" s="50"/>
      <c r="AX67" s="50"/>
      <c r="AY67" s="50"/>
      <c r="AZ67" s="50"/>
      <c r="BA67" s="50">
        <f t="shared" si="191"/>
        <v>0</v>
      </c>
      <c r="BB67" s="180"/>
      <c r="BC67" s="146"/>
      <c r="BD67" s="146"/>
      <c r="BE67" s="180"/>
      <c r="BF67" s="146"/>
    </row>
    <row r="68" spans="1:58" ht="12.95" customHeight="1" x14ac:dyDescent="0.25">
      <c r="A68" s="117"/>
      <c r="B68" s="118"/>
      <c r="C68" s="119"/>
      <c r="D68" s="118"/>
      <c r="E68" s="37"/>
      <c r="F68" s="37"/>
      <c r="G68" s="188"/>
      <c r="H68" s="244"/>
      <c r="I68" s="45"/>
      <c r="J68" s="46"/>
      <c r="K68" s="46"/>
      <c r="L68" s="184"/>
      <c r="M68" s="184"/>
      <c r="N68" s="47"/>
      <c r="O68" s="48"/>
      <c r="P68" s="49"/>
      <c r="Q68" s="48"/>
      <c r="R68" s="123"/>
      <c r="S68" s="123"/>
      <c r="T68" s="50"/>
      <c r="U68" s="50"/>
      <c r="V68" s="50"/>
      <c r="W68" s="50"/>
      <c r="X68" s="55"/>
      <c r="Y68" s="52"/>
      <c r="Z68" s="50"/>
      <c r="AA68" s="50"/>
      <c r="AB68" s="50"/>
      <c r="AC68" s="50"/>
      <c r="AD68" s="50"/>
      <c r="AE68" s="187"/>
      <c r="AF68" s="50"/>
      <c r="AG68" s="50"/>
      <c r="AH68" s="50"/>
      <c r="AI68" s="54"/>
      <c r="AJ68" s="50"/>
      <c r="AK68" s="50"/>
      <c r="AL68" s="50"/>
      <c r="AM68" s="50"/>
      <c r="AN68" s="157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189"/>
      <c r="BC68" s="116"/>
      <c r="BD68" s="116"/>
      <c r="BE68" s="116"/>
      <c r="BF68" s="116"/>
    </row>
    <row r="69" spans="1:58" ht="12.75" customHeight="1" x14ac:dyDescent="0.25">
      <c r="A69" s="117">
        <v>45977</v>
      </c>
      <c r="B69" s="118" t="s">
        <v>168</v>
      </c>
      <c r="C69" s="119">
        <f t="shared" ref="C69:C70" si="192">(M69*E69*O69*Q69)/100000000</f>
        <v>44.829907200000008</v>
      </c>
      <c r="D69" s="118" t="s">
        <v>177</v>
      </c>
      <c r="E69" s="37">
        <v>12</v>
      </c>
      <c r="F69" s="37">
        <v>1</v>
      </c>
      <c r="G69" s="188">
        <v>1400</v>
      </c>
      <c r="H69" s="243">
        <f t="shared" ref="H69:H70" si="193">+N69</f>
        <v>0.24</v>
      </c>
      <c r="I69" s="45">
        <v>0.88</v>
      </c>
      <c r="J69" s="46">
        <f t="shared" ref="J69:J70" si="194">E69*G69*(1-H69)*1440/1000000*2.87</f>
        <v>52.767590399999996</v>
      </c>
      <c r="K69" s="46">
        <f t="shared" ref="K69:K70" si="195">(IF(G69&lt;L69,L69,G69)*(1-IF(H69&lt;N69,H69,N69))*E69*O69*Q69)/100000000</f>
        <v>45.811584000000003</v>
      </c>
      <c r="L69" s="184">
        <v>1370</v>
      </c>
      <c r="M69" s="184">
        <f t="shared" ref="M69" si="196">+L69-L69*0.24</f>
        <v>1041.2</v>
      </c>
      <c r="N69" s="47">
        <f t="shared" ref="N69:N70" si="197">1-(M69/L69)</f>
        <v>0.24</v>
      </c>
      <c r="O69" s="48">
        <f>+'[5]Trim Rwd'!H63</f>
        <v>276</v>
      </c>
      <c r="P69" s="49">
        <f t="shared" ref="P69:P70" si="198">O69*(Q69-R69-S69)</f>
        <v>352728</v>
      </c>
      <c r="Q69" s="48">
        <v>1300</v>
      </c>
      <c r="R69" s="123">
        <v>0</v>
      </c>
      <c r="S69" s="123">
        <v>22</v>
      </c>
      <c r="T69" s="50">
        <f t="shared" ref="T69:T70" si="199">E69*M69*O69*Q69/100000000</f>
        <v>44.829907200000008</v>
      </c>
      <c r="U69" s="50">
        <f t="shared" ref="U69:U70" si="200">E69*M69*O69*(Q69-R69-S69)/100000000</f>
        <v>44.071247232000005</v>
      </c>
      <c r="V69" s="50">
        <f t="shared" ref="V69:V70" si="201">E69*G69*(1-N69)*O69/100*(R69+S69)/1000000</f>
        <v>0.77527296000000001</v>
      </c>
      <c r="W69" s="50">
        <f>+'[5]16'!K18/1000</f>
        <v>47.314999999999998</v>
      </c>
      <c r="X69" s="51">
        <f>SUM(W69:W72)/SUM(K69:K72)</f>
        <v>0.9281339315604259</v>
      </c>
      <c r="Y69" s="50">
        <v>0</v>
      </c>
      <c r="Z69" s="50">
        <v>0</v>
      </c>
      <c r="AA69" s="53">
        <f>SUM(U69:U72)-SUM(W69:W72)-SUM(Z69:Z72)-SUM(Y69:Y72)</f>
        <v>1.8863897320000049</v>
      </c>
      <c r="AB69" s="53">
        <f>(SUM(K69:K72)-SUM(W69:W72)-SUM(Y69:Y72)-SUM(Z69:Z72)-SUM(AC69:AC72)-SUM(V69:V72))-AA69</f>
        <v>-1.6612991999998439E-2</v>
      </c>
      <c r="AC69" s="50">
        <f>K69-T69</f>
        <v>0.98167679999999535</v>
      </c>
      <c r="AD69" s="50">
        <f>+AM69+BA69</f>
        <v>0</v>
      </c>
      <c r="AE69" s="187" t="s">
        <v>110</v>
      </c>
      <c r="AF69" s="50">
        <v>0</v>
      </c>
      <c r="AG69" s="50"/>
      <c r="AH69" s="50"/>
      <c r="AI69" s="54"/>
      <c r="AJ69" s="50"/>
      <c r="AK69" s="50"/>
      <c r="AL69" s="50"/>
      <c r="AM69" s="50">
        <f>SUM(AF69:AL69)+AT69+AV69+AX69</f>
        <v>0</v>
      </c>
      <c r="AN69" s="50"/>
      <c r="AO69" s="50"/>
      <c r="AP69" s="50"/>
      <c r="AQ69" s="50"/>
      <c r="AR69" s="50">
        <f>SUM(AN69:AQ69)</f>
        <v>0</v>
      </c>
      <c r="AS69" s="50"/>
      <c r="AT69" s="50"/>
      <c r="AU69" s="50"/>
      <c r="AV69" s="50"/>
      <c r="AW69" s="50"/>
      <c r="AX69" s="50"/>
      <c r="AY69" s="50"/>
      <c r="AZ69" s="50"/>
      <c r="BA69" s="50">
        <f>+AR69+AS69+AU69+AW69+AY69+AZ69</f>
        <v>0</v>
      </c>
      <c r="BB69" s="180">
        <v>0</v>
      </c>
      <c r="BC69" s="116"/>
      <c r="BD69" s="116"/>
      <c r="BE69" s="180"/>
      <c r="BF69" s="116"/>
    </row>
    <row r="70" spans="1:58" ht="12.95" customHeight="1" x14ac:dyDescent="0.25">
      <c r="A70" s="117"/>
      <c r="B70" s="118" t="s">
        <v>168</v>
      </c>
      <c r="C70" s="119">
        <f t="shared" si="192"/>
        <v>5.1670499999999997</v>
      </c>
      <c r="D70" s="118" t="s">
        <v>177</v>
      </c>
      <c r="E70" s="37">
        <v>15</v>
      </c>
      <c r="F70" s="37">
        <v>1</v>
      </c>
      <c r="G70" s="188">
        <v>1250</v>
      </c>
      <c r="H70" s="243">
        <f t="shared" si="193"/>
        <v>0.26</v>
      </c>
      <c r="I70" s="45">
        <v>0.88</v>
      </c>
      <c r="J70" s="46">
        <f t="shared" si="194"/>
        <v>57.342600000000004</v>
      </c>
      <c r="K70" s="46">
        <f t="shared" si="195"/>
        <v>5.1670499999999997</v>
      </c>
      <c r="L70" s="184">
        <v>1250</v>
      </c>
      <c r="M70" s="184">
        <v>925</v>
      </c>
      <c r="N70" s="47">
        <f t="shared" si="197"/>
        <v>0.26</v>
      </c>
      <c r="O70" s="48">
        <f>+'[5]Trim Rwd'!H64</f>
        <v>266</v>
      </c>
      <c r="P70" s="49">
        <f t="shared" si="198"/>
        <v>36974</v>
      </c>
      <c r="Q70" s="48">
        <v>140</v>
      </c>
      <c r="R70" s="123">
        <v>0</v>
      </c>
      <c r="S70" s="123">
        <v>1</v>
      </c>
      <c r="T70" s="50">
        <f t="shared" si="199"/>
        <v>5.1670499999999997</v>
      </c>
      <c r="U70" s="50">
        <f t="shared" si="200"/>
        <v>5.1301424999999998</v>
      </c>
      <c r="V70" s="50">
        <f t="shared" si="201"/>
        <v>3.6907500000000003E-2</v>
      </c>
      <c r="W70" s="50">
        <f>+'[5]16'!K15/1000</f>
        <v>0</v>
      </c>
      <c r="X70" s="55"/>
      <c r="Y70" s="52"/>
      <c r="Z70" s="50"/>
      <c r="AA70" s="50"/>
      <c r="AB70" s="50"/>
      <c r="AC70" s="50">
        <f>K70-T70</f>
        <v>0</v>
      </c>
      <c r="AD70" s="50">
        <f t="shared" ref="AD70:AD71" si="202">+AM70+BA70</f>
        <v>1</v>
      </c>
      <c r="AE70" s="187" t="s">
        <v>174</v>
      </c>
      <c r="AF70" s="50"/>
      <c r="AG70" s="50">
        <v>1</v>
      </c>
      <c r="AH70" s="50"/>
      <c r="AI70" s="54"/>
      <c r="AJ70" s="50"/>
      <c r="AK70" s="50"/>
      <c r="AL70" s="50"/>
      <c r="AM70" s="50">
        <f t="shared" ref="AM70:AM71" si="203">SUM(AF70:AL70)+AT70+AV70+AX70</f>
        <v>1</v>
      </c>
      <c r="AN70" s="157"/>
      <c r="AO70" s="50"/>
      <c r="AP70" s="50"/>
      <c r="AQ70" s="50"/>
      <c r="AR70" s="50">
        <f t="shared" ref="AR70:AR71" si="204">SUM(AN70:AQ70)</f>
        <v>0</v>
      </c>
      <c r="AS70" s="50"/>
      <c r="AT70" s="50"/>
      <c r="AU70" s="50"/>
      <c r="AV70" s="50"/>
      <c r="AW70" s="50"/>
      <c r="AX70" s="50"/>
      <c r="AY70" s="50"/>
      <c r="AZ70" s="50"/>
      <c r="BA70" s="50">
        <f t="shared" ref="BA70:BA71" si="205">+AR70+AS70+AU70+AW70+AY70+AZ70</f>
        <v>0</v>
      </c>
      <c r="BB70" s="189"/>
      <c r="BC70" s="116">
        <v>1</v>
      </c>
      <c r="BD70" s="116"/>
      <c r="BE70" s="189"/>
      <c r="BF70" s="116"/>
    </row>
    <row r="71" spans="1:58" ht="12.95" customHeight="1" x14ac:dyDescent="0.25">
      <c r="A71" s="117"/>
      <c r="B71" s="118"/>
      <c r="C71" s="119"/>
      <c r="D71" s="118"/>
      <c r="E71" s="37"/>
      <c r="F71" s="37"/>
      <c r="G71" s="188"/>
      <c r="H71" s="244"/>
      <c r="I71" s="45"/>
      <c r="J71" s="46"/>
      <c r="K71" s="46"/>
      <c r="L71" s="184"/>
      <c r="M71" s="184"/>
      <c r="N71" s="47"/>
      <c r="O71" s="48"/>
      <c r="P71" s="49"/>
      <c r="Q71" s="48"/>
      <c r="R71" s="123"/>
      <c r="S71" s="123"/>
      <c r="T71" s="50"/>
      <c r="U71" s="50"/>
      <c r="V71" s="50"/>
      <c r="W71" s="50"/>
      <c r="X71" s="55"/>
      <c r="Y71" s="52"/>
      <c r="Z71" s="50"/>
      <c r="AA71" s="50"/>
      <c r="AB71" s="50"/>
      <c r="AC71" s="50"/>
      <c r="AD71" s="50">
        <f t="shared" si="202"/>
        <v>22</v>
      </c>
      <c r="AE71" s="187" t="s">
        <v>128</v>
      </c>
      <c r="AF71" s="180"/>
      <c r="AG71" s="180"/>
      <c r="AH71" s="180">
        <v>22</v>
      </c>
      <c r="AJ71" s="50"/>
      <c r="AK71" s="50"/>
      <c r="AL71" s="50"/>
      <c r="AM71" s="50">
        <f t="shared" si="203"/>
        <v>22</v>
      </c>
      <c r="AN71" s="50"/>
      <c r="AO71" s="50"/>
      <c r="AP71" s="50"/>
      <c r="AQ71" s="50"/>
      <c r="AR71" s="50">
        <f t="shared" si="204"/>
        <v>0</v>
      </c>
      <c r="AS71" s="50"/>
      <c r="AT71" s="50"/>
      <c r="AU71" s="50"/>
      <c r="AV71" s="50"/>
      <c r="AW71" s="50"/>
      <c r="AX71" s="50"/>
      <c r="AY71" s="50"/>
      <c r="AZ71" s="50"/>
      <c r="BA71" s="50">
        <f t="shared" si="205"/>
        <v>0</v>
      </c>
      <c r="BB71" s="180"/>
      <c r="BC71" s="146"/>
      <c r="BD71" s="146"/>
      <c r="BE71" s="180"/>
      <c r="BF71" s="146"/>
    </row>
    <row r="72" spans="1:58" ht="12.95" customHeight="1" x14ac:dyDescent="0.25">
      <c r="A72" s="117"/>
      <c r="B72" s="118"/>
      <c r="C72" s="119"/>
      <c r="D72" s="118"/>
      <c r="E72" s="37"/>
      <c r="F72" s="37"/>
      <c r="G72" s="188"/>
      <c r="H72" s="244"/>
      <c r="I72" s="45"/>
      <c r="J72" s="46"/>
      <c r="K72" s="46"/>
      <c r="L72" s="184"/>
      <c r="M72" s="184"/>
      <c r="N72" s="47"/>
      <c r="O72" s="48"/>
      <c r="P72" s="49"/>
      <c r="Q72" s="48"/>
      <c r="R72" s="123"/>
      <c r="S72" s="123"/>
      <c r="T72" s="50"/>
      <c r="U72" s="50"/>
      <c r="V72" s="50"/>
      <c r="W72" s="50"/>
      <c r="X72" s="55"/>
      <c r="Y72" s="52"/>
      <c r="Z72" s="50"/>
      <c r="AA72" s="50"/>
      <c r="AB72" s="50"/>
      <c r="AC72" s="50"/>
      <c r="AD72" s="50"/>
      <c r="AE72" s="187"/>
      <c r="AF72" s="50"/>
      <c r="AG72" s="50"/>
      <c r="AH72" s="50"/>
      <c r="AI72" s="54"/>
      <c r="AJ72" s="50"/>
      <c r="AK72" s="50"/>
      <c r="AL72" s="50"/>
      <c r="AM72" s="50"/>
      <c r="AN72" s="157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189"/>
      <c r="BC72" s="116"/>
      <c r="BD72" s="116"/>
      <c r="BE72" s="116"/>
      <c r="BF72" s="116"/>
    </row>
    <row r="73" spans="1:58" ht="12.75" customHeight="1" x14ac:dyDescent="0.25">
      <c r="A73" s="117">
        <v>45978</v>
      </c>
      <c r="B73" s="118" t="s">
        <v>168</v>
      </c>
      <c r="C73" s="119">
        <f t="shared" ref="C73" si="206">(M73*E73*O73*Q73)/100000000</f>
        <v>53.873345454545451</v>
      </c>
      <c r="D73" s="118" t="s">
        <v>177</v>
      </c>
      <c r="E73" s="37">
        <v>15</v>
      </c>
      <c r="F73" s="37">
        <v>1</v>
      </c>
      <c r="G73" s="188">
        <v>1250</v>
      </c>
      <c r="H73" s="243">
        <f t="shared" ref="H73" si="207">+N73</f>
        <v>0.26</v>
      </c>
      <c r="I73" s="45">
        <v>0.88</v>
      </c>
      <c r="J73" s="46">
        <f t="shared" ref="J73" si="208">E73*G73*(1-H73)*1440/1000000*2.87</f>
        <v>57.342600000000004</v>
      </c>
      <c r="K73" s="46">
        <f t="shared" ref="K73" si="209">(IF(G73&lt;L73,L73,G73)*(1-IF(H73&lt;N73,H73,N73))*E73*O73*Q73)/100000000</f>
        <v>53.873345454545451</v>
      </c>
      <c r="L73" s="184">
        <v>1250</v>
      </c>
      <c r="M73" s="184">
        <v>925</v>
      </c>
      <c r="N73" s="47">
        <f t="shared" ref="N73" si="210">1-(M73/L73)</f>
        <v>0.26</v>
      </c>
      <c r="O73" s="48">
        <f>+'[5]Trim Rwd'!H67</f>
        <v>269.63636363636363</v>
      </c>
      <c r="P73" s="49">
        <f t="shared" ref="P73" si="211">O73*(Q73-R73-S73)</f>
        <v>378569.45454545453</v>
      </c>
      <c r="Q73" s="48">
        <v>1440</v>
      </c>
      <c r="R73" s="123">
        <v>0</v>
      </c>
      <c r="S73" s="123">
        <v>36</v>
      </c>
      <c r="T73" s="50">
        <f t="shared" ref="T73" si="212">E73*M73*O73*Q73/100000000</f>
        <v>53.873345454545451</v>
      </c>
      <c r="U73" s="50">
        <f t="shared" ref="U73" si="213">E73*M73*O73*(Q73-R73-S73)/100000000</f>
        <v>52.526511818181817</v>
      </c>
      <c r="V73" s="50">
        <f t="shared" ref="V73" si="214">E73*G73*(1-N73)*O73/100*(R73+S73)/1000000</f>
        <v>1.3468336363636364</v>
      </c>
      <c r="W73" s="50">
        <f>+'[5]17'!K34/1000</f>
        <v>36.332999999999998</v>
      </c>
      <c r="X73" s="51">
        <f>SUM(W73:W76)/SUM(K73:K76)</f>
        <v>0.67441514339693709</v>
      </c>
      <c r="Y73" s="50">
        <v>0</v>
      </c>
      <c r="Z73" s="50">
        <f>+'[5]17'!D34/1000</f>
        <v>2.1</v>
      </c>
      <c r="AA73" s="53">
        <f>SUM(U73:U76)-SUM(W73:W76)-SUM(Z73:Z76)-SUM(Y73:Y76)</f>
        <v>14.093511818181819</v>
      </c>
      <c r="AB73" s="53">
        <f>(SUM(K73:K76)-SUM(W73:W76)-SUM(Y73:Y76)-SUM(Z73:Z76)-SUM(AC73:AC76)-SUM(V73:V76))-AA73</f>
        <v>0</v>
      </c>
      <c r="AC73" s="50">
        <f>K73-T73</f>
        <v>0</v>
      </c>
      <c r="AD73" s="50">
        <f>+AM73+BA73</f>
        <v>10</v>
      </c>
      <c r="AE73" s="187" t="s">
        <v>113</v>
      </c>
      <c r="AF73" s="50">
        <v>10</v>
      </c>
      <c r="AG73" s="50"/>
      <c r="AH73" s="50"/>
      <c r="AI73" s="54"/>
      <c r="AJ73" s="50"/>
      <c r="AK73" s="50"/>
      <c r="AL73" s="50"/>
      <c r="AM73" s="50">
        <f>SUM(AF73:AL73)+AT73+AV73+AX73</f>
        <v>10</v>
      </c>
      <c r="AN73" s="50"/>
      <c r="AO73" s="50"/>
      <c r="AP73" s="50"/>
      <c r="AQ73" s="50"/>
      <c r="AR73" s="50">
        <f>SUM(AN73:AQ73)</f>
        <v>0</v>
      </c>
      <c r="AS73" s="50"/>
      <c r="AT73" s="50"/>
      <c r="AU73" s="50"/>
      <c r="AV73" s="50"/>
      <c r="AW73" s="50"/>
      <c r="AX73" s="50"/>
      <c r="AY73" s="50"/>
      <c r="AZ73" s="50"/>
      <c r="BA73" s="50">
        <f>+AR73+AS73+AU73+AW73+AY73+AZ73</f>
        <v>0</v>
      </c>
      <c r="BB73" s="180">
        <v>2</v>
      </c>
      <c r="BC73" s="116"/>
      <c r="BD73" s="116"/>
      <c r="BE73" s="180"/>
      <c r="BF73" s="116"/>
    </row>
    <row r="74" spans="1:58" ht="12.95" customHeight="1" x14ac:dyDescent="0.25">
      <c r="A74" s="117"/>
      <c r="B74" s="118"/>
      <c r="C74" s="119"/>
      <c r="D74" s="118"/>
      <c r="E74" s="37"/>
      <c r="F74" s="37"/>
      <c r="G74" s="188"/>
      <c r="H74" s="244"/>
      <c r="I74" s="45"/>
      <c r="J74" s="46"/>
      <c r="K74" s="46"/>
      <c r="L74" s="184"/>
      <c r="M74" s="184"/>
      <c r="N74" s="47"/>
      <c r="O74" s="48"/>
      <c r="P74" s="49"/>
      <c r="Q74" s="48"/>
      <c r="R74" s="123"/>
      <c r="S74" s="123"/>
      <c r="T74" s="50"/>
      <c r="U74" s="50"/>
      <c r="V74" s="50"/>
      <c r="W74" s="50"/>
      <c r="X74" s="55"/>
      <c r="Y74" s="52"/>
      <c r="Z74" s="50"/>
      <c r="AA74" s="50"/>
      <c r="AB74" s="50"/>
      <c r="AC74" s="50">
        <f>K74-T74</f>
        <v>0</v>
      </c>
      <c r="AD74" s="50">
        <f t="shared" ref="AD74:AD75" si="215">+AM74+BA74</f>
        <v>1</v>
      </c>
      <c r="AE74" s="187" t="s">
        <v>174</v>
      </c>
      <c r="AF74" s="50"/>
      <c r="AG74" s="50">
        <v>1</v>
      </c>
      <c r="AH74" s="50"/>
      <c r="AI74" s="54"/>
      <c r="AJ74" s="50"/>
      <c r="AK74" s="50"/>
      <c r="AL74" s="50"/>
      <c r="AM74" s="50">
        <f t="shared" ref="AM74:AM75" si="216">SUM(AF74:AL74)+AT74+AV74+AX74</f>
        <v>1</v>
      </c>
      <c r="AN74" s="157"/>
      <c r="AO74" s="50"/>
      <c r="AP74" s="50"/>
      <c r="AQ74" s="50"/>
      <c r="AR74" s="50">
        <f t="shared" ref="AR74:AR75" si="217">SUM(AN74:AQ74)</f>
        <v>0</v>
      </c>
      <c r="AS74" s="50"/>
      <c r="AT74" s="50"/>
      <c r="AU74" s="50"/>
      <c r="AV74" s="50"/>
      <c r="AW74" s="50"/>
      <c r="AX74" s="50"/>
      <c r="AY74" s="50"/>
      <c r="AZ74" s="50"/>
      <c r="BA74" s="50">
        <f t="shared" ref="BA74:BA75" si="218">+AR74+AS74+AU74+AW74+AY74+AZ74</f>
        <v>0</v>
      </c>
      <c r="BB74" s="189"/>
      <c r="BC74" s="116">
        <v>1</v>
      </c>
      <c r="BD74" s="116"/>
      <c r="BE74" s="189"/>
      <c r="BF74" s="116"/>
    </row>
    <row r="75" spans="1:58" ht="12.95" customHeight="1" x14ac:dyDescent="0.25">
      <c r="A75" s="117"/>
      <c r="B75" s="118"/>
      <c r="C75" s="119"/>
      <c r="D75" s="118"/>
      <c r="E75" s="37"/>
      <c r="F75" s="37"/>
      <c r="G75" s="188"/>
      <c r="H75" s="244"/>
      <c r="I75" s="45"/>
      <c r="J75" s="46"/>
      <c r="K75" s="46"/>
      <c r="L75" s="184"/>
      <c r="M75" s="184"/>
      <c r="N75" s="47"/>
      <c r="O75" s="48"/>
      <c r="P75" s="49"/>
      <c r="Q75" s="48"/>
      <c r="R75" s="123"/>
      <c r="S75" s="123"/>
      <c r="T75" s="50"/>
      <c r="U75" s="50"/>
      <c r="V75" s="50"/>
      <c r="W75" s="50"/>
      <c r="X75" s="55"/>
      <c r="Y75" s="52"/>
      <c r="Z75" s="50"/>
      <c r="AA75" s="50"/>
      <c r="AB75" s="50"/>
      <c r="AC75" s="50"/>
      <c r="AD75" s="50">
        <f t="shared" si="215"/>
        <v>25</v>
      </c>
      <c r="AE75" s="187" t="s">
        <v>112</v>
      </c>
      <c r="AF75" s="180"/>
      <c r="AG75" s="180"/>
      <c r="AH75" s="180">
        <v>25</v>
      </c>
      <c r="AJ75" s="50"/>
      <c r="AK75" s="50"/>
      <c r="AL75" s="50"/>
      <c r="AM75" s="50">
        <f t="shared" si="216"/>
        <v>25</v>
      </c>
      <c r="AN75" s="50"/>
      <c r="AO75" s="50"/>
      <c r="AP75" s="50"/>
      <c r="AQ75" s="50"/>
      <c r="AR75" s="50">
        <f t="shared" si="217"/>
        <v>0</v>
      </c>
      <c r="AS75" s="50"/>
      <c r="AT75" s="50"/>
      <c r="AU75" s="50"/>
      <c r="AV75" s="50"/>
      <c r="AW75" s="50"/>
      <c r="AX75" s="50"/>
      <c r="AY75" s="50"/>
      <c r="AZ75" s="50"/>
      <c r="BA75" s="50">
        <f t="shared" si="218"/>
        <v>0</v>
      </c>
      <c r="BB75" s="180"/>
      <c r="BC75" s="146"/>
      <c r="BD75" s="146"/>
      <c r="BE75" s="180"/>
      <c r="BF75" s="146"/>
    </row>
    <row r="76" spans="1:58" ht="12.95" customHeight="1" x14ac:dyDescent="0.25">
      <c r="A76" s="117"/>
      <c r="B76" s="118"/>
      <c r="C76" s="119"/>
      <c r="D76" s="118"/>
      <c r="E76" s="37"/>
      <c r="F76" s="37"/>
      <c r="G76" s="188"/>
      <c r="H76" s="244"/>
      <c r="I76" s="45"/>
      <c r="J76" s="46"/>
      <c r="K76" s="46"/>
      <c r="L76" s="184"/>
      <c r="M76" s="184"/>
      <c r="N76" s="47"/>
      <c r="O76" s="48"/>
      <c r="P76" s="49"/>
      <c r="Q76" s="48"/>
      <c r="R76" s="123"/>
      <c r="S76" s="123"/>
      <c r="T76" s="50"/>
      <c r="U76" s="50"/>
      <c r="V76" s="50"/>
      <c r="W76" s="50"/>
      <c r="X76" s="55"/>
      <c r="Y76" s="52"/>
      <c r="Z76" s="50"/>
      <c r="AA76" s="50"/>
      <c r="AB76" s="50"/>
      <c r="AC76" s="50"/>
      <c r="AD76" s="50"/>
      <c r="AE76" s="187"/>
      <c r="AF76" s="50"/>
      <c r="AG76" s="50"/>
      <c r="AH76" s="50"/>
      <c r="AI76" s="54"/>
      <c r="AJ76" s="50"/>
      <c r="AK76" s="50"/>
      <c r="AL76" s="50"/>
      <c r="AM76" s="50"/>
      <c r="AN76" s="157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189"/>
      <c r="BC76" s="116"/>
      <c r="BD76" s="116"/>
      <c r="BE76" s="116"/>
      <c r="BF76" s="116"/>
    </row>
    <row r="77" spans="1:58" ht="12.75" customHeight="1" x14ac:dyDescent="0.25">
      <c r="A77" s="117">
        <v>45979</v>
      </c>
      <c r="B77" s="118" t="s">
        <v>168</v>
      </c>
      <c r="C77" s="119">
        <f t="shared" ref="C77:C78" si="219">(M77*E77*O77*Q77)/100000000</f>
        <v>33.073921755319148</v>
      </c>
      <c r="D77" s="118" t="s">
        <v>177</v>
      </c>
      <c r="E77" s="37">
        <v>15</v>
      </c>
      <c r="F77" s="37">
        <v>1</v>
      </c>
      <c r="G77" s="188">
        <v>1250</v>
      </c>
      <c r="H77" s="243">
        <f t="shared" ref="H77" si="220">+N77</f>
        <v>0.25610660486674386</v>
      </c>
      <c r="I77" s="45">
        <v>0.88</v>
      </c>
      <c r="J77" s="46">
        <f t="shared" ref="J77:J78" si="221">E77*G77*(1-H77)*1440/1000000*2.87</f>
        <v>57.644299188876026</v>
      </c>
      <c r="K77" s="46">
        <f t="shared" ref="K77:K78" si="222">(IF(G77&lt;L77,L77,G77)*(1-IF(H77&lt;N77,H77,N77))*E77*O77*Q77)/100000000</f>
        <v>33.342192267818845</v>
      </c>
      <c r="L77" s="184">
        <v>1239.9425287356321</v>
      </c>
      <c r="M77" s="184">
        <v>922.38505747126442</v>
      </c>
      <c r="N77" s="47">
        <f t="shared" ref="N77:N78" si="223">1-(M77/L77)</f>
        <v>0.25610660486674386</v>
      </c>
      <c r="O77" s="48">
        <f>+'[5]Trim Rwd'!H70</f>
        <v>274.7659574468085</v>
      </c>
      <c r="P77" s="49">
        <f t="shared" ref="P77:P78" si="224">O77*(Q77-R77-S77)</f>
        <v>234924.89361702127</v>
      </c>
      <c r="Q77" s="48">
        <v>870</v>
      </c>
      <c r="R77" s="123">
        <v>0</v>
      </c>
      <c r="S77" s="123">
        <v>15</v>
      </c>
      <c r="T77" s="50">
        <f t="shared" ref="T77:T78" si="225">E77*M77*O77*Q77/100000000</f>
        <v>33.073921755319148</v>
      </c>
      <c r="U77" s="50">
        <f t="shared" ref="U77:U78" si="226">E77*M77*O77*(Q77-R77-S77)/100000000</f>
        <v>32.503681725055024</v>
      </c>
      <c r="V77" s="50">
        <f t="shared" ref="V77:V78" si="227">E77*G77*(1-N77)*O77/100*(R77+S77)/1000000</f>
        <v>0.57486538392791109</v>
      </c>
      <c r="W77" s="50">
        <f>+'[5]18'!K15/1000</f>
        <v>39.029000000000003</v>
      </c>
      <c r="X77" s="51">
        <f>SUM(W77:W80)/SUM(K77:K80)</f>
        <v>1.0373273599234563</v>
      </c>
      <c r="Y77" s="50">
        <v>0</v>
      </c>
      <c r="Z77" s="50">
        <f>+'[5]18'!D34/1000</f>
        <v>0.26</v>
      </c>
      <c r="AA77" s="53">
        <f>SUM(U77:U80)-SUM(W77:W80)-SUM(Z77:Z80)-SUM(Y77:Y80)</f>
        <v>-3.6146302749449806</v>
      </c>
      <c r="AB77" s="53">
        <f>(SUM(K77:K80)-SUM(W77:W80)-SUM(Y77:Y80)-SUM(Z77:Z80)-SUM(AC77:AC80)-SUM(V77:V80))-AA77</f>
        <v>3.3793846336220401E-2</v>
      </c>
      <c r="AC77" s="50">
        <f>K77-T77</f>
        <v>0.26827051249969713</v>
      </c>
      <c r="AD77" s="50">
        <f>+AM77+BA77</f>
        <v>0</v>
      </c>
      <c r="AE77" s="187" t="s">
        <v>110</v>
      </c>
      <c r="AF77" s="50">
        <v>0</v>
      </c>
      <c r="AG77" s="50"/>
      <c r="AH77" s="50"/>
      <c r="AI77" s="54"/>
      <c r="AJ77" s="50"/>
      <c r="AK77" s="50"/>
      <c r="AL77" s="50"/>
      <c r="AM77" s="50">
        <f>SUM(AF77:AL77)+AT77+AV77+AX77</f>
        <v>0</v>
      </c>
      <c r="AN77" s="50"/>
      <c r="AO77" s="50"/>
      <c r="AP77" s="50"/>
      <c r="AQ77" s="50"/>
      <c r="AR77" s="50">
        <f>SUM(AN77:AQ77)</f>
        <v>0</v>
      </c>
      <c r="AS77" s="50"/>
      <c r="AT77" s="50"/>
      <c r="AU77" s="50"/>
      <c r="AV77" s="50"/>
      <c r="AW77" s="50"/>
      <c r="AX77" s="50"/>
      <c r="AY77" s="50"/>
      <c r="AZ77" s="50"/>
      <c r="BA77" s="50">
        <f>+AR77+AS77+AU77+AW77+AY77+AZ77</f>
        <v>0</v>
      </c>
      <c r="BB77" s="180">
        <v>0</v>
      </c>
      <c r="BC77" s="116"/>
      <c r="BD77" s="116"/>
      <c r="BE77" s="180"/>
      <c r="BF77" s="116"/>
    </row>
    <row r="78" spans="1:58" ht="12.95" customHeight="1" x14ac:dyDescent="0.25">
      <c r="A78" s="117"/>
      <c r="B78" s="118" t="s">
        <v>168</v>
      </c>
      <c r="C78" s="119">
        <f t="shared" si="219"/>
        <v>23.173235999999999</v>
      </c>
      <c r="D78" s="118" t="s">
        <v>177</v>
      </c>
      <c r="E78" s="37">
        <v>18</v>
      </c>
      <c r="F78" s="37">
        <v>1</v>
      </c>
      <c r="G78" s="188">
        <v>975</v>
      </c>
      <c r="H78" s="244">
        <v>0.24</v>
      </c>
      <c r="I78" s="45">
        <v>0.88</v>
      </c>
      <c r="J78" s="46">
        <f t="shared" si="221"/>
        <v>55.123286400000005</v>
      </c>
      <c r="K78" s="46">
        <f t="shared" si="222"/>
        <v>23.173235999999999</v>
      </c>
      <c r="L78" s="184">
        <v>1076.7543859649122</v>
      </c>
      <c r="M78" s="184">
        <v>818.33333333333337</v>
      </c>
      <c r="N78" s="47">
        <f t="shared" si="223"/>
        <v>0.23999999999999988</v>
      </c>
      <c r="O78" s="48">
        <f>+'[5]Trim Rwd'!H73</f>
        <v>276</v>
      </c>
      <c r="P78" s="49">
        <f t="shared" si="224"/>
        <v>154560</v>
      </c>
      <c r="Q78" s="48">
        <v>570</v>
      </c>
      <c r="R78" s="123">
        <v>0</v>
      </c>
      <c r="S78" s="123">
        <v>10</v>
      </c>
      <c r="T78" s="50">
        <f t="shared" si="225"/>
        <v>23.173235999999999</v>
      </c>
      <c r="U78" s="50">
        <f t="shared" si="226"/>
        <v>22.766687999999998</v>
      </c>
      <c r="V78" s="50">
        <f t="shared" si="227"/>
        <v>0.36812880000000003</v>
      </c>
      <c r="W78" s="50">
        <f>+'[5]18'!K17/1000</f>
        <v>19.596</v>
      </c>
      <c r="X78" s="55"/>
      <c r="Y78" s="52"/>
      <c r="Z78" s="50"/>
      <c r="AA78" s="50"/>
      <c r="AB78" s="50"/>
      <c r="AC78" s="50">
        <f>K78-T78</f>
        <v>0</v>
      </c>
      <c r="AD78" s="50">
        <f t="shared" ref="AD78:AD79" si="228">+AM78+BA78</f>
        <v>0</v>
      </c>
      <c r="AE78" s="187" t="s">
        <v>111</v>
      </c>
      <c r="AF78" s="50"/>
      <c r="AG78" s="50">
        <v>0</v>
      </c>
      <c r="AH78" s="50"/>
      <c r="AI78" s="54"/>
      <c r="AJ78" s="50"/>
      <c r="AK78" s="50"/>
      <c r="AL78" s="50"/>
      <c r="AM78" s="50">
        <f t="shared" ref="AM78:AM79" si="229">SUM(AF78:AL78)+AT78+AV78+AX78</f>
        <v>0</v>
      </c>
      <c r="AN78" s="157"/>
      <c r="AO78" s="50"/>
      <c r="AP78" s="50"/>
      <c r="AQ78" s="50"/>
      <c r="AR78" s="50">
        <f t="shared" ref="AR78:AR79" si="230">SUM(AN78:AQ78)</f>
        <v>0</v>
      </c>
      <c r="AS78" s="50"/>
      <c r="AT78" s="50"/>
      <c r="AU78" s="50"/>
      <c r="AV78" s="50"/>
      <c r="AW78" s="50"/>
      <c r="AX78" s="50"/>
      <c r="AY78" s="50"/>
      <c r="AZ78" s="50"/>
      <c r="BA78" s="50">
        <f t="shared" ref="BA78:BA79" si="231">+AR78+AS78+AU78+AW78+AY78+AZ78</f>
        <v>0</v>
      </c>
      <c r="BB78" s="189"/>
      <c r="BC78" s="116">
        <v>0</v>
      </c>
      <c r="BD78" s="116"/>
      <c r="BE78" s="189"/>
      <c r="BF78" s="116"/>
    </row>
    <row r="79" spans="1:58" ht="12.95" customHeight="1" x14ac:dyDescent="0.25">
      <c r="A79" s="117"/>
      <c r="B79" s="118"/>
      <c r="C79" s="119"/>
      <c r="D79" s="118"/>
      <c r="E79" s="37"/>
      <c r="F79" s="37"/>
      <c r="G79" s="188"/>
      <c r="H79" s="244"/>
      <c r="I79" s="45"/>
      <c r="J79" s="46"/>
      <c r="K79" s="46"/>
      <c r="L79" s="184"/>
      <c r="M79" s="184"/>
      <c r="N79" s="47"/>
      <c r="O79" s="48"/>
      <c r="P79" s="49"/>
      <c r="Q79" s="48"/>
      <c r="R79" s="123"/>
      <c r="S79" s="123"/>
      <c r="T79" s="50"/>
      <c r="U79" s="50"/>
      <c r="V79" s="50"/>
      <c r="W79" s="50"/>
      <c r="X79" s="55"/>
      <c r="Y79" s="52"/>
      <c r="Z79" s="50"/>
      <c r="AA79" s="50"/>
      <c r="AB79" s="50"/>
      <c r="AC79" s="50"/>
      <c r="AD79" s="50">
        <f t="shared" si="228"/>
        <v>25</v>
      </c>
      <c r="AE79" s="187" t="s">
        <v>180</v>
      </c>
      <c r="AF79" s="180"/>
      <c r="AG79" s="180"/>
      <c r="AH79" s="180">
        <v>25</v>
      </c>
      <c r="AJ79" s="50"/>
      <c r="AK79" s="50"/>
      <c r="AL79" s="50"/>
      <c r="AM79" s="50">
        <f t="shared" si="229"/>
        <v>25</v>
      </c>
      <c r="AN79" s="50"/>
      <c r="AO79" s="50"/>
      <c r="AP79" s="50"/>
      <c r="AQ79" s="50"/>
      <c r="AR79" s="50">
        <f t="shared" si="230"/>
        <v>0</v>
      </c>
      <c r="AS79" s="50"/>
      <c r="AT79" s="50"/>
      <c r="AU79" s="50"/>
      <c r="AV79" s="50"/>
      <c r="AW79" s="50"/>
      <c r="AX79" s="50"/>
      <c r="AY79" s="50"/>
      <c r="AZ79" s="50"/>
      <c r="BA79" s="50">
        <f t="shared" si="231"/>
        <v>0</v>
      </c>
      <c r="BB79" s="180"/>
      <c r="BC79" s="146"/>
      <c r="BD79" s="146"/>
      <c r="BE79" s="180"/>
      <c r="BF79" s="146"/>
    </row>
    <row r="80" spans="1:58" ht="12.95" customHeight="1" x14ac:dyDescent="0.25">
      <c r="A80" s="117"/>
      <c r="B80" s="118"/>
      <c r="C80" s="119"/>
      <c r="D80" s="118"/>
      <c r="E80" s="37"/>
      <c r="F80" s="37"/>
      <c r="G80" s="188"/>
      <c r="H80" s="244"/>
      <c r="I80" s="45"/>
      <c r="J80" s="46"/>
      <c r="K80" s="46"/>
      <c r="L80" s="184"/>
      <c r="M80" s="184"/>
      <c r="N80" s="47"/>
      <c r="O80" s="48"/>
      <c r="P80" s="49"/>
      <c r="Q80" s="48"/>
      <c r="R80" s="123"/>
      <c r="S80" s="123"/>
      <c r="T80" s="50"/>
      <c r="U80" s="50"/>
      <c r="V80" s="50"/>
      <c r="W80" s="50"/>
      <c r="X80" s="55"/>
      <c r="Y80" s="52"/>
      <c r="Z80" s="50"/>
      <c r="AA80" s="50"/>
      <c r="AB80" s="50"/>
      <c r="AC80" s="50"/>
      <c r="AD80" s="50"/>
      <c r="AE80" s="187"/>
      <c r="AF80" s="50"/>
      <c r="AG80" s="50"/>
      <c r="AH80" s="50"/>
      <c r="AI80" s="54"/>
      <c r="AJ80" s="50"/>
      <c r="AK80" s="50"/>
      <c r="AL80" s="50"/>
      <c r="AM80" s="50"/>
      <c r="AN80" s="157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189"/>
      <c r="BC80" s="116"/>
      <c r="BD80" s="116"/>
      <c r="BE80" s="116"/>
      <c r="BF80" s="116"/>
    </row>
    <row r="81" spans="1:58" ht="12.75" customHeight="1" x14ac:dyDescent="0.25">
      <c r="A81" s="117">
        <v>45980</v>
      </c>
      <c r="B81" s="118" t="s">
        <v>168</v>
      </c>
      <c r="C81" s="119">
        <f t="shared" ref="C81:C84" si="232">(M81*E81*O81*Q81)/100000000</f>
        <v>4.5308159999999997</v>
      </c>
      <c r="D81" s="118" t="s">
        <v>177</v>
      </c>
      <c r="E81" s="37">
        <v>18</v>
      </c>
      <c r="F81" s="37">
        <v>1</v>
      </c>
      <c r="G81" s="188">
        <v>975</v>
      </c>
      <c r="H81" s="244">
        <v>0.24</v>
      </c>
      <c r="I81" s="45">
        <v>0.88</v>
      </c>
      <c r="J81" s="46">
        <f t="shared" ref="J81:J84" si="233">E81*G81*(1-H81)*1440/1000000*2.87</f>
        <v>55.123286400000005</v>
      </c>
      <c r="K81" s="46">
        <f t="shared" ref="K81:K84" si="234">(IF(G81&lt;L81,L81,G81)*(1-IF(H81&lt;N81,H81,N81))*E81*O81*Q81)/100000000</f>
        <v>4.5308159999999997</v>
      </c>
      <c r="L81" s="184">
        <v>1200</v>
      </c>
      <c r="M81" s="184">
        <f>+L81-L81*0.24</f>
        <v>912</v>
      </c>
      <c r="N81" s="47">
        <f t="shared" ref="N81:N84" si="235">1-(M81/L81)</f>
        <v>0.24</v>
      </c>
      <c r="O81" s="48">
        <f>+'[5]Trim Rwd'!H75</f>
        <v>276</v>
      </c>
      <c r="P81" s="49">
        <f t="shared" ref="P81:P84" si="236">O81*(Q81-R81-S81)</f>
        <v>26772</v>
      </c>
      <c r="Q81" s="48">
        <v>100</v>
      </c>
      <c r="R81" s="123">
        <v>0</v>
      </c>
      <c r="S81" s="123">
        <v>3</v>
      </c>
      <c r="T81" s="50">
        <f t="shared" ref="T81:T84" si="237">E81*M81*O81*Q81/100000000</f>
        <v>4.5308159999999997</v>
      </c>
      <c r="U81" s="50">
        <f t="shared" ref="U81:U84" si="238">E81*M81*O81*(Q81-R81-S81)/100000000</f>
        <v>4.3948915199999998</v>
      </c>
      <c r="V81" s="50">
        <f t="shared" ref="V81:V84" si="239">E81*G81*(1-N81)*O81/100*(R81+S81)/1000000</f>
        <v>0.11043863999999999</v>
      </c>
      <c r="W81" s="50">
        <f>+'[5]19'!K17/1000</f>
        <v>2.7589999999999999</v>
      </c>
      <c r="X81" s="51">
        <f>SUM(W81:W85)/SUM(K81:K85)</f>
        <v>0.92841534552581584</v>
      </c>
      <c r="Y81" s="50">
        <v>0</v>
      </c>
      <c r="Z81" s="50">
        <v>0</v>
      </c>
      <c r="AA81" s="53">
        <f>SUM(U81:U85)-SUM(W81:W85)-SUM(Z81:Z85)-SUM(Y81:Y85)</f>
        <v>2.1716355200000037</v>
      </c>
      <c r="AB81" s="53">
        <f>(SUM(K81:K85)-SUM(W81:W85)-SUM(Y81:Y85)-SUM(Z81:Z85)-SUM(AC81:AC85)-SUM(V81:V85))-AA81</f>
        <v>4.7361840000007316E-2</v>
      </c>
      <c r="AC81" s="50">
        <f>K81-T81</f>
        <v>0</v>
      </c>
      <c r="AD81" s="50">
        <f>+AM81+BA81</f>
        <v>10</v>
      </c>
      <c r="AE81" s="187" t="s">
        <v>113</v>
      </c>
      <c r="AF81" s="50">
        <v>10</v>
      </c>
      <c r="AG81" s="50"/>
      <c r="AH81" s="50"/>
      <c r="AI81" s="54"/>
      <c r="AJ81" s="50"/>
      <c r="AK81" s="50"/>
      <c r="AL81" s="50"/>
      <c r="AM81" s="50">
        <f>SUM(AF81:AL81)+AT81+AV81+AX81</f>
        <v>10</v>
      </c>
      <c r="AN81" s="50"/>
      <c r="AO81" s="50"/>
      <c r="AP81" s="50"/>
      <c r="AQ81" s="50"/>
      <c r="AR81" s="50">
        <f>SUM(AN81:AQ81)</f>
        <v>0</v>
      </c>
      <c r="AS81" s="50"/>
      <c r="AT81" s="50"/>
      <c r="AU81" s="50"/>
      <c r="AV81" s="50"/>
      <c r="AW81" s="50"/>
      <c r="AX81" s="50"/>
      <c r="AY81" s="50"/>
      <c r="AZ81" s="50"/>
      <c r="BA81" s="50">
        <f>+AR81+AS81+AU81+AW81+AY81+AZ81</f>
        <v>0</v>
      </c>
      <c r="BB81" s="180">
        <v>2</v>
      </c>
      <c r="BC81" s="116"/>
      <c r="BD81" s="116"/>
      <c r="BE81" s="180"/>
      <c r="BF81" s="116"/>
    </row>
    <row r="82" spans="1:58" ht="12.95" customHeight="1" x14ac:dyDescent="0.25">
      <c r="A82" s="117"/>
      <c r="B82" s="118" t="s">
        <v>115</v>
      </c>
      <c r="C82" s="119">
        <f t="shared" si="232"/>
        <v>11.893392</v>
      </c>
      <c r="D82" s="118" t="s">
        <v>177</v>
      </c>
      <c r="E82" s="37">
        <v>16</v>
      </c>
      <c r="F82" s="37">
        <v>1</v>
      </c>
      <c r="G82" s="188">
        <v>1100</v>
      </c>
      <c r="H82" s="244">
        <v>0.24</v>
      </c>
      <c r="I82" s="45">
        <v>0.88</v>
      </c>
      <c r="J82" s="46">
        <f t="shared" si="233"/>
        <v>55.280332800000004</v>
      </c>
      <c r="K82" s="46">
        <f t="shared" si="234"/>
        <v>11.893392</v>
      </c>
      <c r="L82" s="184">
        <v>1150</v>
      </c>
      <c r="M82" s="184">
        <f t="shared" ref="M82:M83" si="240">+L82-L82*0.24</f>
        <v>874</v>
      </c>
      <c r="N82" s="47">
        <f t="shared" si="235"/>
        <v>0.24</v>
      </c>
      <c r="O82" s="48">
        <f>+'[5]Trim Rwd'!H76</f>
        <v>270</v>
      </c>
      <c r="P82" s="49">
        <f t="shared" si="236"/>
        <v>82350</v>
      </c>
      <c r="Q82" s="48">
        <v>315</v>
      </c>
      <c r="R82" s="123">
        <v>0</v>
      </c>
      <c r="S82" s="123">
        <v>10</v>
      </c>
      <c r="T82" s="50">
        <f t="shared" si="237"/>
        <v>11.893392</v>
      </c>
      <c r="U82" s="50">
        <f t="shared" si="238"/>
        <v>11.515824</v>
      </c>
      <c r="V82" s="50">
        <f t="shared" si="239"/>
        <v>0.36115199999999997</v>
      </c>
      <c r="W82" s="50">
        <f>+'[5]19'!K20/1000</f>
        <v>11.260999999999999</v>
      </c>
      <c r="X82" s="55"/>
      <c r="Y82" s="52"/>
      <c r="Z82" s="50">
        <f>+'[5]19'!D8/1000</f>
        <v>0.10299999999999999</v>
      </c>
      <c r="AA82" s="50"/>
      <c r="AB82" s="50"/>
      <c r="AC82" s="50">
        <f>K82-T82</f>
        <v>0</v>
      </c>
      <c r="AD82" s="50">
        <f t="shared" ref="AD82:AD83" si="241">+AM82+BA82</f>
        <v>3</v>
      </c>
      <c r="AE82" s="187" t="s">
        <v>174</v>
      </c>
      <c r="AF82" s="50"/>
      <c r="AG82" s="50">
        <v>3</v>
      </c>
      <c r="AH82" s="50"/>
      <c r="AI82" s="54"/>
      <c r="AJ82" s="50"/>
      <c r="AK82" s="50"/>
      <c r="AL82" s="50"/>
      <c r="AM82" s="50">
        <f t="shared" ref="AM82:AM83" si="242">SUM(AF82:AL82)+AT82+AV82+AX82</f>
        <v>3</v>
      </c>
      <c r="AN82" s="157"/>
      <c r="AO82" s="50"/>
      <c r="AP82" s="50"/>
      <c r="AQ82" s="50"/>
      <c r="AR82" s="50">
        <f t="shared" ref="AR82:AR83" si="243">SUM(AN82:AQ82)</f>
        <v>0</v>
      </c>
      <c r="AS82" s="50"/>
      <c r="AT82" s="50"/>
      <c r="AU82" s="50"/>
      <c r="AV82" s="50"/>
      <c r="AW82" s="50"/>
      <c r="AX82" s="50"/>
      <c r="AY82" s="50"/>
      <c r="AZ82" s="50"/>
      <c r="BA82" s="50">
        <f t="shared" ref="BA82:BA83" si="244">+AR82+AS82+AU82+AW82+AY82+AZ82</f>
        <v>0</v>
      </c>
      <c r="BB82" s="189"/>
      <c r="BC82" s="116">
        <v>1</v>
      </c>
      <c r="BD82" s="116"/>
      <c r="BE82" s="189"/>
      <c r="BF82" s="116"/>
    </row>
    <row r="83" spans="1:58" ht="12.95" customHeight="1" x14ac:dyDescent="0.25">
      <c r="A83" s="117"/>
      <c r="B83" s="118" t="s">
        <v>115</v>
      </c>
      <c r="C83" s="119">
        <f t="shared" si="232"/>
        <v>14.5236</v>
      </c>
      <c r="D83" s="118" t="s">
        <v>177</v>
      </c>
      <c r="E83" s="37">
        <v>12.5</v>
      </c>
      <c r="F83" s="37">
        <v>1</v>
      </c>
      <c r="G83" s="188">
        <v>1400</v>
      </c>
      <c r="H83" s="244">
        <v>0.24</v>
      </c>
      <c r="I83" s="45">
        <v>0.88</v>
      </c>
      <c r="J83" s="46">
        <f t="shared" si="233"/>
        <v>54.966240000000006</v>
      </c>
      <c r="K83" s="46">
        <f t="shared" si="234"/>
        <v>14.5236</v>
      </c>
      <c r="L83" s="184">
        <v>1400</v>
      </c>
      <c r="M83" s="184">
        <f t="shared" si="240"/>
        <v>1064</v>
      </c>
      <c r="N83" s="47">
        <f t="shared" si="235"/>
        <v>0.24</v>
      </c>
      <c r="O83" s="48">
        <f>+'[5]Trim Rwd'!H77</f>
        <v>280</v>
      </c>
      <c r="P83" s="49">
        <f t="shared" si="236"/>
        <v>106400</v>
      </c>
      <c r="Q83" s="48">
        <v>390</v>
      </c>
      <c r="R83" s="123">
        <v>0</v>
      </c>
      <c r="S83" s="123">
        <v>10</v>
      </c>
      <c r="T83" s="50">
        <f t="shared" si="237"/>
        <v>14.5236</v>
      </c>
      <c r="U83" s="50">
        <f t="shared" si="238"/>
        <v>14.151199999999999</v>
      </c>
      <c r="V83" s="50">
        <f t="shared" si="239"/>
        <v>0.37240000000000001</v>
      </c>
      <c r="W83" s="50">
        <f>+'[5]19'!K8/1000</f>
        <v>12.233000000000001</v>
      </c>
      <c r="X83" s="55"/>
      <c r="Y83" s="52"/>
      <c r="Z83" s="50"/>
      <c r="AA83" s="50"/>
      <c r="AB83" s="50"/>
      <c r="AC83" s="50">
        <f t="shared" ref="AC83:AC84" si="245">K83-T83</f>
        <v>0</v>
      </c>
      <c r="AD83" s="50">
        <f t="shared" si="241"/>
        <v>30</v>
      </c>
      <c r="AE83" s="187" t="s">
        <v>118</v>
      </c>
      <c r="AF83" s="180"/>
      <c r="AG83" s="180"/>
      <c r="AH83" s="180">
        <v>30</v>
      </c>
      <c r="AJ83" s="50"/>
      <c r="AK83" s="50"/>
      <c r="AL83" s="50"/>
      <c r="AM83" s="50">
        <f t="shared" si="242"/>
        <v>30</v>
      </c>
      <c r="AN83" s="50"/>
      <c r="AO83" s="50"/>
      <c r="AP83" s="50"/>
      <c r="AQ83" s="50"/>
      <c r="AR83" s="50">
        <f t="shared" si="243"/>
        <v>0</v>
      </c>
      <c r="AS83" s="50"/>
      <c r="AT83" s="50"/>
      <c r="AU83" s="50"/>
      <c r="AV83" s="50"/>
      <c r="AW83" s="50"/>
      <c r="AX83" s="50"/>
      <c r="AY83" s="50"/>
      <c r="AZ83" s="50"/>
      <c r="BA83" s="50">
        <f t="shared" si="244"/>
        <v>0</v>
      </c>
      <c r="BB83" s="180"/>
      <c r="BC83" s="146"/>
      <c r="BD83" s="146"/>
      <c r="BE83" s="180"/>
      <c r="BF83" s="146"/>
    </row>
    <row r="84" spans="1:58" ht="12.95" customHeight="1" x14ac:dyDescent="0.25">
      <c r="A84" s="117"/>
      <c r="B84" s="118" t="s">
        <v>115</v>
      </c>
      <c r="C84" s="119">
        <f t="shared" si="232"/>
        <v>23.576280000000001</v>
      </c>
      <c r="D84" s="118" t="s">
        <v>177</v>
      </c>
      <c r="E84" s="37">
        <v>13</v>
      </c>
      <c r="F84" s="37">
        <v>1</v>
      </c>
      <c r="G84" s="188">
        <v>1350</v>
      </c>
      <c r="H84" s="243">
        <f>+N84</f>
        <v>0.25</v>
      </c>
      <c r="I84" s="45">
        <v>0.88</v>
      </c>
      <c r="J84" s="46">
        <f t="shared" si="233"/>
        <v>54.397980000000004</v>
      </c>
      <c r="K84" s="46">
        <f t="shared" si="234"/>
        <v>23.576280000000001</v>
      </c>
      <c r="L84" s="184">
        <v>1360</v>
      </c>
      <c r="M84" s="184">
        <f>+L84-L84*0.25</f>
        <v>1020</v>
      </c>
      <c r="N84" s="47">
        <f t="shared" si="235"/>
        <v>0.25</v>
      </c>
      <c r="O84" s="48">
        <f>+'[5]Trim Rwd'!H78</f>
        <v>280</v>
      </c>
      <c r="P84" s="49">
        <f t="shared" si="236"/>
        <v>172200</v>
      </c>
      <c r="Q84" s="48">
        <v>635</v>
      </c>
      <c r="R84" s="123">
        <v>0</v>
      </c>
      <c r="S84" s="123">
        <v>20</v>
      </c>
      <c r="T84" s="50">
        <f t="shared" si="237"/>
        <v>23.576280000000001</v>
      </c>
      <c r="U84" s="50">
        <f t="shared" si="238"/>
        <v>22.83372</v>
      </c>
      <c r="V84" s="50">
        <f t="shared" si="239"/>
        <v>0.73709999999999998</v>
      </c>
      <c r="W84" s="50">
        <f>+'[5]19'!K9/1000</f>
        <v>11.47</v>
      </c>
      <c r="X84" s="55"/>
      <c r="Y84" s="52"/>
      <c r="Z84" s="50"/>
      <c r="AA84" s="50"/>
      <c r="AB84" s="50"/>
      <c r="AC84" s="50">
        <f t="shared" si="245"/>
        <v>0</v>
      </c>
      <c r="AD84" s="50"/>
      <c r="AE84" s="187"/>
      <c r="AF84" s="50"/>
      <c r="AG84" s="50"/>
      <c r="AH84" s="50"/>
      <c r="AI84" s="54"/>
      <c r="AJ84" s="50"/>
      <c r="AK84" s="50"/>
      <c r="AL84" s="50"/>
      <c r="AM84" s="50"/>
      <c r="AN84" s="157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189"/>
      <c r="BC84" s="116"/>
      <c r="BD84" s="116"/>
      <c r="BE84" s="116"/>
      <c r="BF84" s="116"/>
    </row>
    <row r="85" spans="1:58" ht="12.95" customHeight="1" x14ac:dyDescent="0.25">
      <c r="A85" s="117"/>
      <c r="B85" s="118" t="s">
        <v>168</v>
      </c>
      <c r="C85" s="119"/>
      <c r="D85" s="118"/>
      <c r="E85" s="37">
        <v>15</v>
      </c>
      <c r="F85" s="37"/>
      <c r="G85" s="190"/>
      <c r="H85" s="244"/>
      <c r="I85" s="45"/>
      <c r="J85" s="46"/>
      <c r="K85" s="46"/>
      <c r="L85" s="184"/>
      <c r="M85" s="184"/>
      <c r="N85" s="47"/>
      <c r="O85" s="48"/>
      <c r="P85" s="49"/>
      <c r="Q85" s="48"/>
      <c r="R85" s="123"/>
      <c r="S85" s="123"/>
      <c r="T85" s="50"/>
      <c r="U85" s="50"/>
      <c r="V85" s="50"/>
      <c r="W85" s="50">
        <f>+'[5]19'!K15/1000</f>
        <v>12.898</v>
      </c>
      <c r="X85" s="55"/>
      <c r="Y85" s="52"/>
      <c r="Z85" s="50"/>
      <c r="AA85" s="50"/>
      <c r="AB85" s="50"/>
      <c r="AC85" s="50"/>
      <c r="AD85" s="50"/>
      <c r="AE85" s="187"/>
      <c r="AF85" s="180"/>
      <c r="AG85" s="180"/>
      <c r="AH85" s="18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180"/>
      <c r="BC85" s="146"/>
      <c r="BD85" s="116"/>
      <c r="BE85" s="116"/>
      <c r="BF85" s="116"/>
    </row>
    <row r="86" spans="1:58" ht="12.95" customHeight="1" x14ac:dyDescent="0.25">
      <c r="A86" s="117"/>
      <c r="B86" s="118"/>
      <c r="C86" s="119"/>
      <c r="D86" s="118"/>
      <c r="E86" s="37"/>
      <c r="F86" s="37"/>
      <c r="G86" s="188"/>
      <c r="H86" s="244"/>
      <c r="I86" s="45"/>
      <c r="J86" s="46"/>
      <c r="K86" s="46"/>
      <c r="L86" s="184"/>
      <c r="M86" s="184"/>
      <c r="N86" s="47"/>
      <c r="O86" s="48"/>
      <c r="P86" s="49"/>
      <c r="Q86" s="48"/>
      <c r="R86" s="123"/>
      <c r="S86" s="123"/>
      <c r="T86" s="50"/>
      <c r="U86" s="50"/>
      <c r="V86" s="50"/>
      <c r="W86" s="50"/>
      <c r="X86" s="55"/>
      <c r="Y86" s="52"/>
      <c r="Z86" s="50"/>
      <c r="AA86" s="50"/>
      <c r="AB86" s="50"/>
      <c r="AC86" s="50"/>
      <c r="AD86" s="50"/>
      <c r="AE86" s="187"/>
      <c r="AF86" s="50"/>
      <c r="AG86" s="50"/>
      <c r="AH86" s="50"/>
      <c r="AI86" s="54"/>
      <c r="AJ86" s="50"/>
      <c r="AK86" s="50"/>
      <c r="AL86" s="50"/>
      <c r="AM86" s="50"/>
      <c r="AN86" s="157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189"/>
      <c r="BC86" s="116"/>
      <c r="BD86" s="146"/>
      <c r="BE86" s="180"/>
      <c r="BF86" s="146"/>
    </row>
    <row r="87" spans="1:58" ht="12.75" customHeight="1" x14ac:dyDescent="0.25">
      <c r="A87" s="117">
        <v>45981</v>
      </c>
      <c r="B87" s="118" t="s">
        <v>115</v>
      </c>
      <c r="C87" s="119">
        <f t="shared" ref="C87:C88" si="246">(M87*E87*O87*Q87)/100000000</f>
        <v>49.454495999999999</v>
      </c>
      <c r="D87" s="118" t="s">
        <v>177</v>
      </c>
      <c r="E87" s="37">
        <v>13</v>
      </c>
      <c r="F87" s="37">
        <v>1</v>
      </c>
      <c r="G87" s="188">
        <v>1350</v>
      </c>
      <c r="H87" s="243">
        <f>+N87</f>
        <v>0.25</v>
      </c>
      <c r="I87" s="45">
        <v>0.88</v>
      </c>
      <c r="J87" s="46">
        <f t="shared" ref="J87:J88" si="247">E87*G87*(1-H87)*1440/1000000*2.87</f>
        <v>54.397980000000004</v>
      </c>
      <c r="K87" s="46">
        <f t="shared" ref="K87:K88" si="248">(IF(G87&lt;L87,L87,G87)*(1-IF(H87&lt;N87,H87,N87))*E87*O87*Q87)/100000000</f>
        <v>49.454495999999999</v>
      </c>
      <c r="L87" s="184">
        <v>1360</v>
      </c>
      <c r="M87" s="184">
        <f>+L87-L87*0.25</f>
        <v>1020</v>
      </c>
      <c r="N87" s="47">
        <f t="shared" ref="N87:N88" si="249">1-(M87/L87)</f>
        <v>0.25</v>
      </c>
      <c r="O87" s="48">
        <f>+'[5]Trim Rwd'!H81</f>
        <v>280</v>
      </c>
      <c r="P87" s="49">
        <f t="shared" ref="P87:P88" si="250">O87*(Q87-R87-S87)</f>
        <v>364560</v>
      </c>
      <c r="Q87" s="48">
        <v>1332</v>
      </c>
      <c r="R87" s="123">
        <v>0</v>
      </c>
      <c r="S87" s="123">
        <v>30</v>
      </c>
      <c r="T87" s="50">
        <f t="shared" ref="T87:T88" si="251">E87*M87*O87*Q87/100000000</f>
        <v>49.454495999999999</v>
      </c>
      <c r="U87" s="50">
        <f t="shared" ref="U87:U88" si="252">E87*M87*O87*(Q87-R87-S87)/100000000</f>
        <v>48.340656000000003</v>
      </c>
      <c r="V87" s="50">
        <f t="shared" ref="V87:V88" si="253">E87*G87*(1-N87)*O87/100*(R87+S87)/1000000</f>
        <v>1.10565</v>
      </c>
      <c r="W87" s="50">
        <f>+'[5]20'!K9/1000</f>
        <v>55.884999999999998</v>
      </c>
      <c r="X87" s="51">
        <f>SUM(W87:W90)/SUM(K87:K90)</f>
        <v>1.0491932223225513</v>
      </c>
      <c r="Y87" s="50">
        <v>0</v>
      </c>
      <c r="Z87" s="50">
        <f>+'[5]20'!D34/1000</f>
        <v>0.32300000000000001</v>
      </c>
      <c r="AA87" s="53">
        <f>SUM(U87:U90)-SUM(W87:W90)-SUM(Z87:Z90)-SUM(Y87:Y90)</f>
        <v>-4.162943999999996</v>
      </c>
      <c r="AB87" s="53">
        <f>(SUM(K87:K90)-SUM(W87:W90)-SUM(Y87:Y90)-SUM(Z87:Z90)-SUM(AC87:AC90)-SUM(V87:V90))-AA87</f>
        <v>8.189999999997255E-3</v>
      </c>
      <c r="AC87" s="50">
        <f>K87-T87</f>
        <v>0</v>
      </c>
      <c r="AD87" s="50">
        <f>+AM87+BA87</f>
        <v>10</v>
      </c>
      <c r="AE87" s="187" t="s">
        <v>113</v>
      </c>
      <c r="AF87" s="50">
        <v>10</v>
      </c>
      <c r="AG87" s="50"/>
      <c r="AH87" s="50"/>
      <c r="AI87" s="54"/>
      <c r="AJ87" s="50"/>
      <c r="AK87" s="50"/>
      <c r="AL87" s="50"/>
      <c r="AM87" s="50">
        <f>SUM(AF87:AL87)+AT87+AV87+AX87</f>
        <v>10</v>
      </c>
      <c r="AN87" s="50"/>
      <c r="AO87" s="50"/>
      <c r="AP87" s="50"/>
      <c r="AQ87" s="50"/>
      <c r="AR87" s="50">
        <f>SUM(AN87:AQ87)</f>
        <v>0</v>
      </c>
      <c r="AS87" s="50"/>
      <c r="AT87" s="50"/>
      <c r="AU87" s="50"/>
      <c r="AV87" s="50"/>
      <c r="AW87" s="50"/>
      <c r="AX87" s="50"/>
      <c r="AY87" s="50"/>
      <c r="AZ87" s="50"/>
      <c r="BA87" s="50">
        <f>+AR87+AS87+AU87+AW87+AY87+AZ87</f>
        <v>0</v>
      </c>
      <c r="BB87" s="180">
        <v>2</v>
      </c>
      <c r="BC87" s="116"/>
      <c r="BD87" s="116"/>
      <c r="BE87" s="180"/>
      <c r="BF87" s="116"/>
    </row>
    <row r="88" spans="1:58" ht="12.95" customHeight="1" x14ac:dyDescent="0.25">
      <c r="A88" s="117"/>
      <c r="B88" s="118" t="s">
        <v>115</v>
      </c>
      <c r="C88" s="119">
        <f t="shared" si="246"/>
        <v>3.8102399999999998</v>
      </c>
      <c r="D88" s="118" t="s">
        <v>177</v>
      </c>
      <c r="E88" s="37">
        <v>12</v>
      </c>
      <c r="F88" s="37">
        <v>1</v>
      </c>
      <c r="G88" s="188">
        <v>1400</v>
      </c>
      <c r="H88" s="243">
        <f>+N88</f>
        <v>0.25</v>
      </c>
      <c r="I88" s="45">
        <v>0.88</v>
      </c>
      <c r="J88" s="46">
        <f t="shared" si="247"/>
        <v>52.073279999999997</v>
      </c>
      <c r="K88" s="46">
        <f t="shared" si="248"/>
        <v>3.8102399999999998</v>
      </c>
      <c r="L88" s="184">
        <v>1400</v>
      </c>
      <c r="M88" s="184">
        <f>+L88-L88*0.25</f>
        <v>1050</v>
      </c>
      <c r="N88" s="47">
        <f t="shared" si="249"/>
        <v>0.25</v>
      </c>
      <c r="O88" s="48">
        <f>+'[5]Trim Rwd'!H82</f>
        <v>280</v>
      </c>
      <c r="P88" s="49">
        <f t="shared" si="250"/>
        <v>29400</v>
      </c>
      <c r="Q88" s="48">
        <v>108</v>
      </c>
      <c r="R88" s="123">
        <v>0</v>
      </c>
      <c r="S88" s="123">
        <v>3</v>
      </c>
      <c r="T88" s="50">
        <f t="shared" si="251"/>
        <v>3.8102399999999998</v>
      </c>
      <c r="U88" s="50">
        <f t="shared" si="252"/>
        <v>3.7044000000000001</v>
      </c>
      <c r="V88" s="50">
        <f t="shared" si="253"/>
        <v>0.10584</v>
      </c>
      <c r="W88" s="50">
        <f>+'[5]20'!K19/1000</f>
        <v>0</v>
      </c>
      <c r="X88" s="55"/>
      <c r="Y88" s="52"/>
      <c r="Z88" s="50"/>
      <c r="AA88" s="50"/>
      <c r="AB88" s="50"/>
      <c r="AC88" s="50"/>
      <c r="AD88" s="50">
        <f t="shared" ref="AD88:AD89" si="254">+AM88+BA88</f>
        <v>0</v>
      </c>
      <c r="AE88" s="187" t="s">
        <v>111</v>
      </c>
      <c r="AF88" s="50"/>
      <c r="AG88" s="50">
        <v>0</v>
      </c>
      <c r="AH88" s="50"/>
      <c r="AI88" s="54"/>
      <c r="AJ88" s="50"/>
      <c r="AK88" s="50"/>
      <c r="AL88" s="50"/>
      <c r="AM88" s="50">
        <f t="shared" ref="AM88:AM89" si="255">SUM(AF88:AL88)+AT88+AV88+AX88</f>
        <v>0</v>
      </c>
      <c r="AN88" s="157"/>
      <c r="AO88" s="50"/>
      <c r="AP88" s="50"/>
      <c r="AQ88" s="50"/>
      <c r="AR88" s="50">
        <f t="shared" ref="AR88:AR89" si="256">SUM(AN88:AQ88)</f>
        <v>0</v>
      </c>
      <c r="AS88" s="50"/>
      <c r="AT88" s="50"/>
      <c r="AU88" s="50"/>
      <c r="AV88" s="50"/>
      <c r="AW88" s="50"/>
      <c r="AX88" s="50"/>
      <c r="AY88" s="50"/>
      <c r="AZ88" s="50"/>
      <c r="BA88" s="50">
        <f t="shared" ref="BA88:BA89" si="257">+AR88+AS88+AU88+AW88+AY88+AZ88</f>
        <v>0</v>
      </c>
      <c r="BB88" s="189"/>
      <c r="BC88" s="116">
        <v>0</v>
      </c>
      <c r="BD88" s="116"/>
      <c r="BE88" s="189"/>
      <c r="BF88" s="116"/>
    </row>
    <row r="89" spans="1:58" ht="12.95" customHeight="1" x14ac:dyDescent="0.25">
      <c r="A89" s="117"/>
      <c r="B89" s="118"/>
      <c r="C89" s="119"/>
      <c r="D89" s="118"/>
      <c r="E89" s="37"/>
      <c r="F89" s="37"/>
      <c r="G89" s="188"/>
      <c r="H89" s="244"/>
      <c r="I89" s="45"/>
      <c r="J89" s="46"/>
      <c r="K89" s="46"/>
      <c r="L89" s="184"/>
      <c r="M89" s="184"/>
      <c r="N89" s="47"/>
      <c r="O89" s="48"/>
      <c r="P89" s="49"/>
      <c r="Q89" s="48"/>
      <c r="R89" s="123"/>
      <c r="S89" s="123"/>
      <c r="T89" s="50"/>
      <c r="U89" s="50"/>
      <c r="V89" s="50"/>
      <c r="W89" s="50"/>
      <c r="X89" s="55"/>
      <c r="Y89" s="52"/>
      <c r="Z89" s="50"/>
      <c r="AA89" s="50"/>
      <c r="AB89" s="50"/>
      <c r="AC89" s="50"/>
      <c r="AD89" s="50">
        <f t="shared" si="254"/>
        <v>23</v>
      </c>
      <c r="AE89" s="187" t="s">
        <v>112</v>
      </c>
      <c r="AF89" s="180"/>
      <c r="AG89" s="180"/>
      <c r="AH89" s="180">
        <v>23</v>
      </c>
      <c r="AJ89" s="50"/>
      <c r="AK89" s="50"/>
      <c r="AL89" s="50"/>
      <c r="AM89" s="50">
        <f t="shared" si="255"/>
        <v>23</v>
      </c>
      <c r="AN89" s="50"/>
      <c r="AO89" s="50"/>
      <c r="AP89" s="50"/>
      <c r="AQ89" s="50"/>
      <c r="AR89" s="50">
        <f t="shared" si="256"/>
        <v>0</v>
      </c>
      <c r="AS89" s="50"/>
      <c r="AT89" s="50"/>
      <c r="AU89" s="50"/>
      <c r="AV89" s="50"/>
      <c r="AW89" s="50"/>
      <c r="AX89" s="50"/>
      <c r="AY89" s="50"/>
      <c r="AZ89" s="50"/>
      <c r="BA89" s="50">
        <f t="shared" si="257"/>
        <v>0</v>
      </c>
      <c r="BB89" s="180"/>
      <c r="BC89" s="146"/>
      <c r="BD89" s="146"/>
      <c r="BE89" s="180"/>
      <c r="BF89" s="146"/>
    </row>
    <row r="90" spans="1:58" ht="12.95" customHeight="1" x14ac:dyDescent="0.25">
      <c r="A90" s="117"/>
      <c r="B90" s="118"/>
      <c r="C90" s="119"/>
      <c r="D90" s="118"/>
      <c r="E90" s="37"/>
      <c r="F90" s="37"/>
      <c r="G90" s="188"/>
      <c r="H90" s="244"/>
      <c r="I90" s="45"/>
      <c r="J90" s="46"/>
      <c r="K90" s="46"/>
      <c r="L90" s="184"/>
      <c r="M90" s="184"/>
      <c r="N90" s="47"/>
      <c r="O90" s="48"/>
      <c r="P90" s="49"/>
      <c r="Q90" s="48"/>
      <c r="R90" s="123"/>
      <c r="S90" s="123"/>
      <c r="T90" s="50"/>
      <c r="U90" s="50"/>
      <c r="V90" s="50"/>
      <c r="W90" s="50"/>
      <c r="X90" s="55"/>
      <c r="Y90" s="52"/>
      <c r="Z90" s="50"/>
      <c r="AA90" s="50"/>
      <c r="AB90" s="50"/>
      <c r="AC90" s="50"/>
      <c r="AD90" s="50"/>
      <c r="AE90" s="187"/>
      <c r="AF90" s="50"/>
      <c r="AG90" s="50"/>
      <c r="AH90" s="50"/>
      <c r="AI90" s="54"/>
      <c r="AJ90" s="50"/>
      <c r="AK90" s="50"/>
      <c r="AL90" s="50"/>
      <c r="AM90" s="50"/>
      <c r="AN90" s="157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189"/>
      <c r="BC90" s="116"/>
      <c r="BD90" s="146"/>
      <c r="BE90" s="180"/>
      <c r="BF90" s="146"/>
    </row>
    <row r="91" spans="1:58" ht="12.75" customHeight="1" x14ac:dyDescent="0.25">
      <c r="A91" s="117">
        <v>45982</v>
      </c>
      <c r="B91" s="118" t="s">
        <v>115</v>
      </c>
      <c r="C91" s="119">
        <f t="shared" ref="C91" si="258">(M91*E91*O91*Q91)/100000000</f>
        <v>50.750784000000003</v>
      </c>
      <c r="D91" s="118" t="s">
        <v>177</v>
      </c>
      <c r="E91" s="37">
        <v>12</v>
      </c>
      <c r="F91" s="37">
        <v>1</v>
      </c>
      <c r="G91" s="188">
        <v>1400</v>
      </c>
      <c r="H91" s="243">
        <f>+N91</f>
        <v>0.25</v>
      </c>
      <c r="I91" s="45">
        <v>0.88</v>
      </c>
      <c r="J91" s="46">
        <f t="shared" ref="J91" si="259">E91*G91*(1-H91)*1440/1000000*2.87</f>
        <v>52.073279999999997</v>
      </c>
      <c r="K91" s="46">
        <f t="shared" ref="K91" si="260">(IF(G91&lt;L91,L91,G91)*(1-IF(H91&lt;N91,H91,N91))*E91*O91*Q91)/100000000</f>
        <v>50.803199999999997</v>
      </c>
      <c r="L91" s="184">
        <v>1398.5555555555557</v>
      </c>
      <c r="M91" s="184">
        <v>1048.9166666666667</v>
      </c>
      <c r="N91" s="47">
        <f t="shared" ref="N91" si="261">1-(M91/L91)</f>
        <v>0.25</v>
      </c>
      <c r="O91" s="48">
        <f>+'[5]Trim Rwd'!H85</f>
        <v>280</v>
      </c>
      <c r="P91" s="49">
        <f t="shared" ref="P91" si="262">O91*(Q91-R91-S91)</f>
        <v>393120</v>
      </c>
      <c r="Q91" s="48">
        <v>1440</v>
      </c>
      <c r="R91" s="123">
        <v>0</v>
      </c>
      <c r="S91" s="123">
        <v>36</v>
      </c>
      <c r="T91" s="50">
        <f t="shared" ref="T91" si="263">E91*M91*O91*Q91/100000000</f>
        <v>50.750784000000003</v>
      </c>
      <c r="U91" s="50">
        <f t="shared" ref="U91" si="264">E91*M91*O91*(Q91-R91-S91)/100000000</f>
        <v>49.482014399999997</v>
      </c>
      <c r="V91" s="50">
        <f t="shared" ref="V91" si="265">E91*G91*(1-N91)*O91/100*(R91+S91)/1000000</f>
        <v>1.2700800000000001</v>
      </c>
      <c r="W91" s="50">
        <f>+'[5]21'!K34/1000</f>
        <v>47.591999999999999</v>
      </c>
      <c r="X91" s="51">
        <f>SUM(W91:W94)/SUM(K91:K94)</f>
        <v>0.9367913832199547</v>
      </c>
      <c r="Y91" s="50">
        <v>0</v>
      </c>
      <c r="Z91" s="50">
        <v>0</v>
      </c>
      <c r="AA91" s="53">
        <f>SUM(U91:U94)-SUM(W91:W94)-SUM(Z91:Z94)-SUM(Y91:Y94)</f>
        <v>1.8900143999999983</v>
      </c>
      <c r="AB91" s="53">
        <f>(SUM(K91:K94)-SUM(W91:W94)-SUM(Y91:Y94)-SUM(Z91:Z94)-SUM(AC91:AC94)-SUM(V91:V94))-AA91</f>
        <v>-1.3103999999941607E-3</v>
      </c>
      <c r="AC91" s="50">
        <f>K91-T91</f>
        <v>5.2415999999993801E-2</v>
      </c>
      <c r="AD91" s="50">
        <f>+AM91+BA91</f>
        <v>0</v>
      </c>
      <c r="AE91" s="187" t="s">
        <v>110</v>
      </c>
      <c r="AF91" s="50">
        <v>0</v>
      </c>
      <c r="AG91" s="50"/>
      <c r="AH91" s="50"/>
      <c r="AI91" s="54"/>
      <c r="AJ91" s="50"/>
      <c r="AK91" s="50"/>
      <c r="AL91" s="50"/>
      <c r="AM91" s="50">
        <f>SUM(AF91:AL91)+AT91+AV91+AX91</f>
        <v>0</v>
      </c>
      <c r="AN91" s="50"/>
      <c r="AO91" s="50"/>
      <c r="AP91" s="50"/>
      <c r="AQ91" s="50"/>
      <c r="AR91" s="50">
        <f>SUM(AN91:AQ91)</f>
        <v>0</v>
      </c>
      <c r="AS91" s="50"/>
      <c r="AT91" s="50"/>
      <c r="AU91" s="50"/>
      <c r="AV91" s="50"/>
      <c r="AW91" s="50"/>
      <c r="AX91" s="50"/>
      <c r="AY91" s="50"/>
      <c r="AZ91" s="50"/>
      <c r="BA91" s="50">
        <f>+AR91+AS91+AU91+AW91+AY91+AZ91</f>
        <v>0</v>
      </c>
      <c r="BB91" s="180">
        <v>0</v>
      </c>
      <c r="BC91" s="116"/>
      <c r="BD91" s="116"/>
      <c r="BE91" s="180"/>
      <c r="BF91" s="116"/>
    </row>
    <row r="92" spans="1:58" ht="12.95" customHeight="1" x14ac:dyDescent="0.25">
      <c r="A92" s="117"/>
      <c r="B92" s="118"/>
      <c r="C92" s="119"/>
      <c r="D92" s="118"/>
      <c r="E92" s="37"/>
      <c r="F92" s="37"/>
      <c r="G92" s="188"/>
      <c r="H92" s="244"/>
      <c r="I92" s="45"/>
      <c r="J92" s="46"/>
      <c r="K92" s="46"/>
      <c r="L92" s="184"/>
      <c r="M92" s="184"/>
      <c r="N92" s="47"/>
      <c r="O92" s="48"/>
      <c r="P92" s="49"/>
      <c r="Q92" s="48"/>
      <c r="R92" s="123"/>
      <c r="S92" s="123"/>
      <c r="T92" s="50"/>
      <c r="U92" s="50"/>
      <c r="V92" s="50"/>
      <c r="W92" s="50"/>
      <c r="X92" s="55"/>
      <c r="Y92" s="52"/>
      <c r="Z92" s="50"/>
      <c r="AA92" s="50"/>
      <c r="AB92" s="50"/>
      <c r="AC92" s="50"/>
      <c r="AD92" s="50">
        <f t="shared" ref="AD92:AD93" si="266">+AM92+BA92</f>
        <v>3</v>
      </c>
      <c r="AE92" s="187" t="s">
        <v>174</v>
      </c>
      <c r="AF92" s="50"/>
      <c r="AG92" s="50">
        <v>3</v>
      </c>
      <c r="AH92" s="50"/>
      <c r="AI92" s="54"/>
      <c r="AJ92" s="50"/>
      <c r="AK92" s="50"/>
      <c r="AL92" s="50"/>
      <c r="AM92" s="50">
        <f t="shared" ref="AM92:AM93" si="267">SUM(AF92:AL92)+AT92+AV92+AX92</f>
        <v>3</v>
      </c>
      <c r="AN92" s="157"/>
      <c r="AO92" s="50"/>
      <c r="AP92" s="50"/>
      <c r="AQ92" s="50"/>
      <c r="AR92" s="50">
        <f t="shared" ref="AR92:AR93" si="268">SUM(AN92:AQ92)</f>
        <v>0</v>
      </c>
      <c r="AS92" s="50"/>
      <c r="AT92" s="50"/>
      <c r="AU92" s="50"/>
      <c r="AV92" s="50"/>
      <c r="AW92" s="50"/>
      <c r="AX92" s="50"/>
      <c r="AY92" s="50"/>
      <c r="AZ92" s="50"/>
      <c r="BA92" s="50">
        <f t="shared" ref="BA92:BA93" si="269">+AR92+AS92+AU92+AW92+AY92+AZ92</f>
        <v>0</v>
      </c>
      <c r="BB92" s="189"/>
      <c r="BC92" s="116">
        <v>1</v>
      </c>
      <c r="BD92" s="116"/>
      <c r="BE92" s="189"/>
      <c r="BF92" s="116"/>
    </row>
    <row r="93" spans="1:58" ht="12.95" customHeight="1" x14ac:dyDescent="0.25">
      <c r="A93" s="117"/>
      <c r="B93" s="118"/>
      <c r="C93" s="119"/>
      <c r="D93" s="118"/>
      <c r="E93" s="37"/>
      <c r="F93" s="37"/>
      <c r="G93" s="188"/>
      <c r="H93" s="244"/>
      <c r="I93" s="45"/>
      <c r="J93" s="46"/>
      <c r="K93" s="46"/>
      <c r="L93" s="184"/>
      <c r="M93" s="184"/>
      <c r="N93" s="47"/>
      <c r="O93" s="48"/>
      <c r="P93" s="49"/>
      <c r="Q93" s="48"/>
      <c r="R93" s="123"/>
      <c r="S93" s="123"/>
      <c r="T93" s="50"/>
      <c r="U93" s="50"/>
      <c r="V93" s="50"/>
      <c r="W93" s="50"/>
      <c r="X93" s="55"/>
      <c r="Y93" s="52"/>
      <c r="Z93" s="50"/>
      <c r="AA93" s="50"/>
      <c r="AB93" s="50"/>
      <c r="AC93" s="50"/>
      <c r="AD93" s="50">
        <f t="shared" si="266"/>
        <v>33</v>
      </c>
      <c r="AE93" s="187" t="s">
        <v>118</v>
      </c>
      <c r="AF93" s="180"/>
      <c r="AG93" s="180"/>
      <c r="AH93" s="180">
        <v>33</v>
      </c>
      <c r="AJ93" s="50"/>
      <c r="AK93" s="50"/>
      <c r="AL93" s="50"/>
      <c r="AM93" s="50">
        <f t="shared" si="267"/>
        <v>33</v>
      </c>
      <c r="AN93" s="50"/>
      <c r="AO93" s="50"/>
      <c r="AP93" s="50"/>
      <c r="AQ93" s="50"/>
      <c r="AR93" s="50">
        <f t="shared" si="268"/>
        <v>0</v>
      </c>
      <c r="AS93" s="50"/>
      <c r="AT93" s="50"/>
      <c r="AU93" s="50"/>
      <c r="AV93" s="50"/>
      <c r="AW93" s="50"/>
      <c r="AX93" s="50"/>
      <c r="AY93" s="50"/>
      <c r="AZ93" s="50"/>
      <c r="BA93" s="50">
        <f t="shared" si="269"/>
        <v>0</v>
      </c>
      <c r="BB93" s="180"/>
      <c r="BC93" s="146"/>
      <c r="BD93" s="146"/>
      <c r="BE93" s="180"/>
      <c r="BF93" s="146"/>
    </row>
    <row r="94" spans="1:58" ht="12.95" customHeight="1" x14ac:dyDescent="0.25">
      <c r="A94" s="117"/>
      <c r="B94" s="118"/>
      <c r="C94" s="119"/>
      <c r="D94" s="118"/>
      <c r="E94" s="37"/>
      <c r="F94" s="37"/>
      <c r="G94" s="188"/>
      <c r="H94" s="244"/>
      <c r="I94" s="45"/>
      <c r="J94" s="46"/>
      <c r="K94" s="46"/>
      <c r="L94" s="184"/>
      <c r="M94" s="184"/>
      <c r="N94" s="47"/>
      <c r="O94" s="48"/>
      <c r="P94" s="49"/>
      <c r="Q94" s="48"/>
      <c r="R94" s="123"/>
      <c r="S94" s="123"/>
      <c r="T94" s="50"/>
      <c r="U94" s="50"/>
      <c r="V94" s="50"/>
      <c r="W94" s="50"/>
      <c r="X94" s="55"/>
      <c r="Y94" s="52"/>
      <c r="Z94" s="50"/>
      <c r="AA94" s="50"/>
      <c r="AB94" s="50"/>
      <c r="AC94" s="50"/>
      <c r="AD94" s="50"/>
      <c r="AE94" s="187"/>
      <c r="AF94" s="50"/>
      <c r="AG94" s="50"/>
      <c r="AH94" s="50"/>
      <c r="AI94" s="54"/>
      <c r="AJ94" s="50"/>
      <c r="AK94" s="50"/>
      <c r="AL94" s="50"/>
      <c r="AM94" s="50"/>
      <c r="AN94" s="157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189"/>
      <c r="BC94" s="116"/>
      <c r="BD94" s="146"/>
      <c r="BE94" s="180"/>
      <c r="BF94" s="146"/>
    </row>
    <row r="95" spans="1:58" ht="12.75" customHeight="1" x14ac:dyDescent="0.25">
      <c r="A95" s="117">
        <v>45983</v>
      </c>
      <c r="B95" s="118" t="s">
        <v>115</v>
      </c>
      <c r="C95" s="119">
        <f t="shared" ref="C95" si="270">(M95*E95*O95*Q95)/100000000</f>
        <v>50.37083234042553</v>
      </c>
      <c r="D95" s="118" t="s">
        <v>177</v>
      </c>
      <c r="E95" s="37">
        <v>12</v>
      </c>
      <c r="F95" s="37">
        <v>1</v>
      </c>
      <c r="G95" s="188">
        <v>1400</v>
      </c>
      <c r="H95" s="243">
        <f>+N95</f>
        <v>0.25</v>
      </c>
      <c r="I95" s="45">
        <v>0.88</v>
      </c>
      <c r="J95" s="46">
        <f t="shared" ref="J95" si="271">E95*G95*(1-H95)*1440/1000000*2.87</f>
        <v>52.073279999999997</v>
      </c>
      <c r="K95" s="46">
        <f t="shared" ref="K95" si="272">(IF(G95&lt;L95,L95,G95)*(1-IF(H95&lt;N95,H95,N95))*E95*O95*Q95)/100000000</f>
        <v>50.37083234042553</v>
      </c>
      <c r="L95" s="184">
        <v>1400</v>
      </c>
      <c r="M95" s="184">
        <f>+L95-L95*0.25</f>
        <v>1050</v>
      </c>
      <c r="N95" s="47">
        <f t="shared" ref="N95" si="273">1-(M95/L95)</f>
        <v>0.25</v>
      </c>
      <c r="O95" s="48">
        <f>+'[5]Trim Rwd'!H87</f>
        <v>277.61702127659572</v>
      </c>
      <c r="P95" s="49">
        <f t="shared" ref="P95" si="274">O95*(Q95-R95-S95)</f>
        <v>389774.29787234036</v>
      </c>
      <c r="Q95" s="48">
        <v>1440</v>
      </c>
      <c r="R95" s="123">
        <v>0</v>
      </c>
      <c r="S95" s="123">
        <v>36</v>
      </c>
      <c r="T95" s="50">
        <f t="shared" ref="T95" si="275">E95*M95*O95*Q95/100000000</f>
        <v>50.37083234042553</v>
      </c>
      <c r="U95" s="50">
        <f t="shared" ref="U95" si="276">E95*M95*O95*(Q95-R95-S95)/100000000</f>
        <v>49.111561531914894</v>
      </c>
      <c r="V95" s="50">
        <f t="shared" ref="V95" si="277">E95*G95*(1-N95)*O95/100*(R95+S95)/1000000</f>
        <v>1.2592708085106381</v>
      </c>
      <c r="W95" s="50">
        <f>+'[5]22'!K34/1000</f>
        <v>49.826000000000001</v>
      </c>
      <c r="X95" s="51">
        <f>SUM(W95:W98)/SUM(K95:K98)</f>
        <v>0.98918357479695107</v>
      </c>
      <c r="Y95" s="50">
        <v>0</v>
      </c>
      <c r="Z95" s="50">
        <v>0</v>
      </c>
      <c r="AA95" s="53">
        <f>SUM(U95:U98)-SUM(W95:W98)-SUM(Z95:Z98)-SUM(Y95:Y98)</f>
        <v>-0.71443846808510614</v>
      </c>
      <c r="AB95" s="53">
        <f>(SUM(K95:K98)-SUM(W95:W98)-SUM(Y95:Y98)-SUM(Z95:Z98)-SUM(AC95:AC98)-SUM(V95:V98))-AA95</f>
        <v>-2.886579864025407E-15</v>
      </c>
      <c r="AC95" s="50">
        <f>K95-T95</f>
        <v>0</v>
      </c>
      <c r="AD95" s="50">
        <f>+AM95+BA95</f>
        <v>5</v>
      </c>
      <c r="AE95" s="187" t="s">
        <v>116</v>
      </c>
      <c r="AF95" s="50">
        <v>5</v>
      </c>
      <c r="AG95" s="50"/>
      <c r="AH95" s="50"/>
      <c r="AI95" s="54"/>
      <c r="AJ95" s="50"/>
      <c r="AK95" s="50"/>
      <c r="AL95" s="50"/>
      <c r="AM95" s="50">
        <f>SUM(AF95:AL95)+AT95+AV95+AX95</f>
        <v>5</v>
      </c>
      <c r="AN95" s="50"/>
      <c r="AO95" s="50"/>
      <c r="AP95" s="50"/>
      <c r="AQ95" s="50"/>
      <c r="AR95" s="50">
        <f>SUM(AN95:AQ95)</f>
        <v>0</v>
      </c>
      <c r="AS95" s="50"/>
      <c r="AT95" s="50"/>
      <c r="AU95" s="50"/>
      <c r="AV95" s="50"/>
      <c r="AW95" s="50"/>
      <c r="AX95" s="50"/>
      <c r="AY95" s="50"/>
      <c r="AZ95" s="50"/>
      <c r="BA95" s="50">
        <f>+AR95+AS95+AU95+AW95+AY95+AZ95</f>
        <v>0</v>
      </c>
      <c r="BB95" s="180">
        <v>1</v>
      </c>
      <c r="BC95" s="116"/>
      <c r="BD95" s="116"/>
      <c r="BE95" s="180"/>
      <c r="BF95" s="116"/>
    </row>
    <row r="96" spans="1:58" ht="12.95" customHeight="1" x14ac:dyDescent="0.25">
      <c r="A96" s="117"/>
      <c r="B96" s="118"/>
      <c r="C96" s="119"/>
      <c r="D96" s="118"/>
      <c r="E96" s="37"/>
      <c r="F96" s="37"/>
      <c r="G96" s="188"/>
      <c r="H96" s="244"/>
      <c r="I96" s="45"/>
      <c r="J96" s="46"/>
      <c r="K96" s="46"/>
      <c r="L96" s="184"/>
      <c r="M96" s="184"/>
      <c r="N96" s="47"/>
      <c r="O96" s="48"/>
      <c r="P96" s="49"/>
      <c r="Q96" s="48"/>
      <c r="R96" s="123"/>
      <c r="S96" s="123"/>
      <c r="T96" s="50"/>
      <c r="U96" s="50"/>
      <c r="V96" s="50"/>
      <c r="W96" s="50"/>
      <c r="X96" s="55"/>
      <c r="Y96" s="52"/>
      <c r="Z96" s="50"/>
      <c r="AA96" s="50"/>
      <c r="AB96" s="50"/>
      <c r="AC96" s="50"/>
      <c r="AD96" s="50">
        <f t="shared" ref="AD96:AD97" si="278">+AM96+BA96</f>
        <v>1</v>
      </c>
      <c r="AE96" s="187" t="s">
        <v>174</v>
      </c>
      <c r="AF96" s="50"/>
      <c r="AG96" s="50">
        <v>1</v>
      </c>
      <c r="AH96" s="50"/>
      <c r="AI96" s="54"/>
      <c r="AJ96" s="50"/>
      <c r="AK96" s="50"/>
      <c r="AL96" s="50"/>
      <c r="AM96" s="50">
        <f t="shared" ref="AM96:AM97" si="279">SUM(AF96:AL96)+AT96+AV96+AX96</f>
        <v>1</v>
      </c>
      <c r="AN96" s="157"/>
      <c r="AO96" s="50"/>
      <c r="AP96" s="50"/>
      <c r="AQ96" s="50"/>
      <c r="AR96" s="50">
        <f t="shared" ref="AR96:AR97" si="280">SUM(AN96:AQ96)</f>
        <v>0</v>
      </c>
      <c r="AS96" s="50"/>
      <c r="AT96" s="50"/>
      <c r="AU96" s="50"/>
      <c r="AV96" s="50"/>
      <c r="AW96" s="50"/>
      <c r="AX96" s="50"/>
      <c r="AY96" s="50"/>
      <c r="AZ96" s="50"/>
      <c r="BA96" s="50">
        <f t="shared" ref="BA96:BA97" si="281">+AR96+AS96+AU96+AW96+AY96+AZ96</f>
        <v>0</v>
      </c>
      <c r="BB96" s="189"/>
      <c r="BC96" s="116">
        <v>1</v>
      </c>
      <c r="BD96" s="116"/>
      <c r="BE96" s="189"/>
      <c r="BF96" s="116"/>
    </row>
    <row r="97" spans="1:58" ht="12.95" customHeight="1" x14ac:dyDescent="0.25">
      <c r="A97" s="117"/>
      <c r="B97" s="118"/>
      <c r="C97" s="119"/>
      <c r="D97" s="118"/>
      <c r="E97" s="37"/>
      <c r="F97" s="37"/>
      <c r="G97" s="188"/>
      <c r="H97" s="244"/>
      <c r="I97" s="45"/>
      <c r="J97" s="46"/>
      <c r="K97" s="46"/>
      <c r="L97" s="184"/>
      <c r="M97" s="184"/>
      <c r="N97" s="47"/>
      <c r="O97" s="48"/>
      <c r="P97" s="49"/>
      <c r="Q97" s="48"/>
      <c r="R97" s="123"/>
      <c r="S97" s="123"/>
      <c r="T97" s="50"/>
      <c r="U97" s="50"/>
      <c r="V97" s="50"/>
      <c r="W97" s="50"/>
      <c r="X97" s="55"/>
      <c r="Y97" s="52"/>
      <c r="Z97" s="50"/>
      <c r="AA97" s="50"/>
      <c r="AB97" s="50"/>
      <c r="AC97" s="50"/>
      <c r="AD97" s="50">
        <f t="shared" si="278"/>
        <v>30</v>
      </c>
      <c r="AE97" s="187" t="s">
        <v>114</v>
      </c>
      <c r="AF97" s="180"/>
      <c r="AG97" s="180"/>
      <c r="AH97" s="180">
        <v>30</v>
      </c>
      <c r="AJ97" s="50"/>
      <c r="AK97" s="50"/>
      <c r="AL97" s="50"/>
      <c r="AM97" s="50">
        <f t="shared" si="279"/>
        <v>30</v>
      </c>
      <c r="AN97" s="50"/>
      <c r="AO97" s="50"/>
      <c r="AP97" s="50"/>
      <c r="AQ97" s="50"/>
      <c r="AR97" s="50">
        <f t="shared" si="280"/>
        <v>0</v>
      </c>
      <c r="AS97" s="50"/>
      <c r="AT97" s="50"/>
      <c r="AU97" s="50"/>
      <c r="AV97" s="50"/>
      <c r="AW97" s="50"/>
      <c r="AX97" s="50"/>
      <c r="AY97" s="50"/>
      <c r="AZ97" s="50"/>
      <c r="BA97" s="50">
        <f t="shared" si="281"/>
        <v>0</v>
      </c>
      <c r="BB97" s="180"/>
      <c r="BC97" s="146"/>
      <c r="BD97" s="146"/>
      <c r="BE97" s="180"/>
      <c r="BF97" s="146"/>
    </row>
    <row r="98" spans="1:58" ht="12.95" customHeight="1" x14ac:dyDescent="0.25">
      <c r="A98" s="117"/>
      <c r="B98" s="118"/>
      <c r="C98" s="119"/>
      <c r="D98" s="118"/>
      <c r="E98" s="37"/>
      <c r="F98" s="37"/>
      <c r="G98" s="188"/>
      <c r="H98" s="244"/>
      <c r="I98" s="45"/>
      <c r="J98" s="46"/>
      <c r="K98" s="46"/>
      <c r="L98" s="184"/>
      <c r="M98" s="184"/>
      <c r="N98" s="47"/>
      <c r="O98" s="48"/>
      <c r="P98" s="49"/>
      <c r="Q98" s="48"/>
      <c r="R98" s="123"/>
      <c r="S98" s="123"/>
      <c r="T98" s="50"/>
      <c r="U98" s="50"/>
      <c r="V98" s="50"/>
      <c r="W98" s="50"/>
      <c r="X98" s="55"/>
      <c r="Y98" s="52"/>
      <c r="Z98" s="50"/>
      <c r="AA98" s="50"/>
      <c r="AB98" s="50"/>
      <c r="AC98" s="50"/>
      <c r="AD98" s="50"/>
      <c r="AE98" s="187"/>
      <c r="AF98" s="50"/>
      <c r="AG98" s="50"/>
      <c r="AH98" s="50"/>
      <c r="AI98" s="54"/>
      <c r="AJ98" s="50"/>
      <c r="AK98" s="50"/>
      <c r="AL98" s="50"/>
      <c r="AM98" s="50"/>
      <c r="AN98" s="157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189"/>
      <c r="BC98" s="116"/>
      <c r="BD98" s="146"/>
      <c r="BE98" s="180"/>
      <c r="BF98" s="146"/>
    </row>
    <row r="99" spans="1:58" ht="12.95" customHeight="1" x14ac:dyDescent="0.25">
      <c r="A99" s="117">
        <v>45984</v>
      </c>
      <c r="B99" s="118" t="s">
        <v>115</v>
      </c>
      <c r="C99" s="119">
        <f t="shared" ref="C99" si="282">(M99*E99*O99*Q99)/100000000</f>
        <v>48.263039999999997</v>
      </c>
      <c r="D99" s="118" t="s">
        <v>177</v>
      </c>
      <c r="E99" s="37">
        <v>12</v>
      </c>
      <c r="F99" s="37">
        <v>1</v>
      </c>
      <c r="G99" s="190">
        <v>1400</v>
      </c>
      <c r="H99" s="243">
        <f>+N99</f>
        <v>0.25</v>
      </c>
      <c r="I99" s="45">
        <v>0.88</v>
      </c>
      <c r="J99" s="46">
        <f t="shared" ref="J99" si="283">E99*G99*(1-H99)*1440/1000000*2.87</f>
        <v>52.073279999999997</v>
      </c>
      <c r="K99" s="46">
        <f t="shared" ref="K99" si="284">(IF(G99&lt;L99,L99,G99)*(1-IF(H99&lt;N99,H99,N99))*E99*O99*Q99)/100000000</f>
        <v>48.263039999999997</v>
      </c>
      <c r="L99" s="184">
        <v>1400</v>
      </c>
      <c r="M99" s="184">
        <f>+L99-L99*0.25</f>
        <v>1050</v>
      </c>
      <c r="N99" s="47">
        <f t="shared" ref="N99" si="285">1-(M99/L99)</f>
        <v>0.25</v>
      </c>
      <c r="O99" s="48">
        <f>+'[5]Trim Rwd'!H90</f>
        <v>266</v>
      </c>
      <c r="P99" s="49">
        <f t="shared" ref="P99" si="286">O99*(Q99-R99-S99)</f>
        <v>374528</v>
      </c>
      <c r="Q99" s="48">
        <v>1440</v>
      </c>
      <c r="R99" s="123">
        <v>0</v>
      </c>
      <c r="S99" s="123">
        <v>32</v>
      </c>
      <c r="T99" s="50">
        <f t="shared" ref="T99" si="287">E99*M99*O99*Q99/100000000</f>
        <v>48.263039999999997</v>
      </c>
      <c r="U99" s="50">
        <f t="shared" ref="U99" si="288">E99*M99*O99*(Q99-R99-S99)/100000000</f>
        <v>47.190528</v>
      </c>
      <c r="V99" s="50">
        <f t="shared" ref="V99" si="289">E99*G99*(1-N99)*O99/100*(R99+S99)/1000000</f>
        <v>1.0725119999999999</v>
      </c>
      <c r="W99" s="50">
        <f>+'[5]23'!K34/1000</f>
        <v>47.177999999999997</v>
      </c>
      <c r="X99" s="55">
        <f>SUM(W99:W102)/SUM(K99:K102)</f>
        <v>0.9775182002625612</v>
      </c>
      <c r="Y99" s="50">
        <v>0</v>
      </c>
      <c r="Z99" s="50">
        <v>0</v>
      </c>
      <c r="AA99" s="50">
        <f>SUM(U99:U102)-SUM(W99:W102)-SUM(Z99:Z102)-SUM(Y99:Y102)</f>
        <v>1.2528000000003203E-2</v>
      </c>
      <c r="AB99" s="50">
        <f>(SUM(K99:K102)-SUM(W99:W102)-SUM(Y99:Y102)-SUM(Z99:Z102)-SUM(AC99:AC102)-SUM(V99:V102))-AA99</f>
        <v>-3.7747582837255322E-15</v>
      </c>
      <c r="AC99" s="50">
        <f>K99-T99</f>
        <v>0</v>
      </c>
      <c r="AD99" s="50">
        <f>+AM99+BA99</f>
        <v>0</v>
      </c>
      <c r="AE99" s="187" t="s">
        <v>110</v>
      </c>
      <c r="AF99" s="180">
        <v>0</v>
      </c>
      <c r="AG99" s="180"/>
      <c r="AH99" s="180"/>
      <c r="AJ99" s="50"/>
      <c r="AK99" s="50"/>
      <c r="AL99" s="50"/>
      <c r="AM99" s="50">
        <f>SUM(AF99:AL99)+AT99+AV99+AX99</f>
        <v>0</v>
      </c>
      <c r="AN99" s="50"/>
      <c r="AO99" s="50"/>
      <c r="AP99" s="50"/>
      <c r="AQ99" s="50"/>
      <c r="AR99" s="50">
        <f>SUM(AN99:AQ99)</f>
        <v>0</v>
      </c>
      <c r="AS99" s="50"/>
      <c r="AT99" s="50"/>
      <c r="AU99" s="50"/>
      <c r="AV99" s="50"/>
      <c r="AW99" s="50"/>
      <c r="AX99" s="50"/>
      <c r="AY99" s="50"/>
      <c r="AZ99" s="50"/>
      <c r="BA99" s="50">
        <f>+AR99+AS99+AU99+AW99+AY99+AZ99</f>
        <v>0</v>
      </c>
      <c r="BB99" s="180">
        <v>0</v>
      </c>
      <c r="BC99" s="146"/>
      <c r="BD99" s="116"/>
      <c r="BE99" s="116"/>
      <c r="BF99" s="116"/>
    </row>
    <row r="100" spans="1:58" ht="12.95" customHeight="1" x14ac:dyDescent="0.25">
      <c r="A100" s="117"/>
      <c r="B100" s="118"/>
      <c r="C100" s="119"/>
      <c r="D100" s="118"/>
      <c r="E100" s="37"/>
      <c r="F100" s="37"/>
      <c r="G100" s="188"/>
      <c r="H100" s="244"/>
      <c r="I100" s="45"/>
      <c r="J100" s="46"/>
      <c r="K100" s="46"/>
      <c r="L100" s="184"/>
      <c r="M100" s="184"/>
      <c r="N100" s="47"/>
      <c r="O100" s="48"/>
      <c r="P100" s="49"/>
      <c r="Q100" s="48"/>
      <c r="R100" s="123"/>
      <c r="S100" s="123"/>
      <c r="T100" s="50"/>
      <c r="U100" s="50"/>
      <c r="V100" s="50"/>
      <c r="W100" s="50"/>
      <c r="X100" s="51"/>
      <c r="Y100" s="52"/>
      <c r="Z100" s="50"/>
      <c r="AA100" s="53"/>
      <c r="AB100" s="53"/>
      <c r="AC100" s="50"/>
      <c r="AD100" s="50">
        <f t="shared" ref="AD100:AD101" si="290">+AM100+BA100</f>
        <v>3</v>
      </c>
      <c r="AE100" s="187" t="s">
        <v>174</v>
      </c>
      <c r="AF100" s="50"/>
      <c r="AG100" s="50">
        <v>3</v>
      </c>
      <c r="AH100" s="50"/>
      <c r="AI100" s="50"/>
      <c r="AJ100" s="50"/>
      <c r="AK100" s="50"/>
      <c r="AL100" s="50"/>
      <c r="AM100" s="50">
        <f t="shared" ref="AM100:AM101" si="291">SUM(AF100:AL100)+AT100+AV100+AX100</f>
        <v>3</v>
      </c>
      <c r="AN100" s="50"/>
      <c r="AO100" s="50"/>
      <c r="AP100" s="50"/>
      <c r="AQ100" s="50"/>
      <c r="AR100" s="50">
        <f t="shared" ref="AR100:AR101" si="292">SUM(AN100:AQ100)</f>
        <v>0</v>
      </c>
      <c r="AS100" s="50"/>
      <c r="AT100" s="50"/>
      <c r="AU100" s="50"/>
      <c r="AV100" s="50"/>
      <c r="AW100" s="50"/>
      <c r="AX100" s="50"/>
      <c r="AY100" s="50"/>
      <c r="AZ100" s="50"/>
      <c r="BA100" s="50">
        <f t="shared" ref="BA100:BA101" si="293">+AR100+AS100+AU100+AW100+AY100+AZ100</f>
        <v>0</v>
      </c>
      <c r="BB100" s="180"/>
      <c r="BC100" s="116">
        <v>1</v>
      </c>
      <c r="BD100" s="116"/>
      <c r="BE100" s="116"/>
      <c r="BF100" s="116"/>
    </row>
    <row r="101" spans="1:58" ht="12.95" customHeight="1" x14ac:dyDescent="0.25">
      <c r="A101" s="117"/>
      <c r="B101" s="118"/>
      <c r="C101" s="119"/>
      <c r="D101" s="118"/>
      <c r="E101" s="37"/>
      <c r="F101" s="37"/>
      <c r="G101" s="188"/>
      <c r="H101" s="244"/>
      <c r="I101" s="45"/>
      <c r="J101" s="46"/>
      <c r="K101" s="46"/>
      <c r="L101" s="184"/>
      <c r="M101" s="184"/>
      <c r="N101" s="47"/>
      <c r="O101" s="48"/>
      <c r="P101" s="49"/>
      <c r="Q101" s="48"/>
      <c r="R101" s="123"/>
      <c r="S101" s="123"/>
      <c r="T101" s="50"/>
      <c r="U101" s="50"/>
      <c r="V101" s="50"/>
      <c r="W101" s="50"/>
      <c r="X101" s="51"/>
      <c r="Y101" s="50"/>
      <c r="Z101" s="50"/>
      <c r="AA101" s="53"/>
      <c r="AB101" s="53"/>
      <c r="AC101" s="50"/>
      <c r="AD101" s="50">
        <f t="shared" si="290"/>
        <v>29</v>
      </c>
      <c r="AE101" s="187" t="s">
        <v>123</v>
      </c>
      <c r="AF101" s="50"/>
      <c r="AG101" s="50"/>
      <c r="AH101" s="50">
        <v>29</v>
      </c>
      <c r="AI101" s="54"/>
      <c r="AJ101" s="50"/>
      <c r="AK101" s="50"/>
      <c r="AL101" s="50"/>
      <c r="AM101" s="50">
        <f t="shared" si="291"/>
        <v>29</v>
      </c>
      <c r="AN101" s="50"/>
      <c r="AO101" s="50"/>
      <c r="AP101" s="50"/>
      <c r="AQ101" s="50"/>
      <c r="AR101" s="50">
        <f t="shared" si="292"/>
        <v>0</v>
      </c>
      <c r="AS101" s="50"/>
      <c r="AT101" s="50"/>
      <c r="AU101" s="50"/>
      <c r="AV101" s="50"/>
      <c r="AW101" s="50"/>
      <c r="AX101" s="50"/>
      <c r="AY101" s="50"/>
      <c r="AZ101" s="50"/>
      <c r="BA101" s="50">
        <f t="shared" si="293"/>
        <v>0</v>
      </c>
      <c r="BB101" s="180"/>
      <c r="BC101" s="116"/>
      <c r="BD101" s="116"/>
      <c r="BE101" s="116"/>
      <c r="BF101" s="116"/>
    </row>
    <row r="102" spans="1:58" ht="12.95" customHeight="1" x14ac:dyDescent="0.25">
      <c r="A102" s="117"/>
      <c r="B102" s="118"/>
      <c r="C102" s="119"/>
      <c r="D102" s="118"/>
      <c r="E102" s="37"/>
      <c r="F102" s="37"/>
      <c r="G102" s="188"/>
      <c r="H102" s="244"/>
      <c r="I102" s="45"/>
      <c r="J102" s="46"/>
      <c r="K102" s="46"/>
      <c r="L102" s="184"/>
      <c r="M102" s="184"/>
      <c r="N102" s="47"/>
      <c r="O102" s="48"/>
      <c r="P102" s="49"/>
      <c r="Q102" s="48"/>
      <c r="R102" s="123"/>
      <c r="S102" s="123"/>
      <c r="T102" s="50"/>
      <c r="U102" s="50"/>
      <c r="V102" s="50"/>
      <c r="W102" s="50"/>
      <c r="X102" s="55"/>
      <c r="Y102" s="52"/>
      <c r="Z102" s="50"/>
      <c r="AA102" s="50"/>
      <c r="AB102" s="50"/>
      <c r="AC102" s="50"/>
      <c r="AD102" s="50"/>
      <c r="AE102" s="187"/>
      <c r="AF102" s="50"/>
      <c r="AG102" s="50"/>
      <c r="AH102" s="50"/>
      <c r="AI102" s="54"/>
      <c r="AJ102" s="50"/>
      <c r="AK102" s="50"/>
      <c r="AL102" s="50"/>
      <c r="AM102" s="50"/>
      <c r="AN102" s="157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189"/>
      <c r="BC102" s="116"/>
      <c r="BD102" s="116"/>
      <c r="BE102" s="116"/>
      <c r="BF102" s="116"/>
    </row>
    <row r="103" spans="1:58" ht="12.95" customHeight="1" x14ac:dyDescent="0.25">
      <c r="A103" s="117">
        <v>45985</v>
      </c>
      <c r="B103" s="118" t="s">
        <v>115</v>
      </c>
      <c r="C103" s="119">
        <f t="shared" ref="C103" si="294">(M103*E103*O103*Q103)/100000000</f>
        <v>48.555510447761201</v>
      </c>
      <c r="D103" s="118" t="s">
        <v>177</v>
      </c>
      <c r="E103" s="37">
        <v>12</v>
      </c>
      <c r="F103" s="37">
        <v>1</v>
      </c>
      <c r="G103" s="190">
        <v>1400</v>
      </c>
      <c r="H103" s="243">
        <f>+N103</f>
        <v>0.25</v>
      </c>
      <c r="I103" s="45">
        <v>0.88</v>
      </c>
      <c r="J103" s="46">
        <f t="shared" ref="J103" si="295">E103*G103*(1-H103)*1440/1000000*2.87</f>
        <v>52.073279999999997</v>
      </c>
      <c r="K103" s="46">
        <f t="shared" ref="K103" si="296">(IF(G103&lt;L103,L103,G103)*(1-IF(H103&lt;N103,H103,N103))*E103*O103*Q103)/100000000</f>
        <v>48.555510447761201</v>
      </c>
      <c r="L103" s="184">
        <v>1400</v>
      </c>
      <c r="M103" s="184">
        <f>+L103-L103*0.25</f>
        <v>1050</v>
      </c>
      <c r="N103" s="47">
        <f t="shared" ref="N103" si="297">1-(M103/L103)</f>
        <v>0.25</v>
      </c>
      <c r="O103" s="48">
        <f>+'[5]Trim Rwd'!H92</f>
        <v>267.61194029850748</v>
      </c>
      <c r="P103" s="49">
        <f t="shared" ref="P103" si="298">O103*(Q103-R103-S103)</f>
        <v>376530</v>
      </c>
      <c r="Q103" s="48">
        <v>1440</v>
      </c>
      <c r="R103" s="123">
        <v>0</v>
      </c>
      <c r="S103" s="123">
        <v>33</v>
      </c>
      <c r="T103" s="50">
        <f t="shared" ref="T103" si="299">E103*M103*O103*Q103/100000000</f>
        <v>48.555510447761201</v>
      </c>
      <c r="U103" s="50">
        <f t="shared" ref="U103" si="300">E103*M103*O103*(Q103-R103-S103)/100000000</f>
        <v>47.442779999999999</v>
      </c>
      <c r="V103" s="50">
        <f t="shared" ref="V103" si="301">E103*G103*(1-N103)*O103/100*(R103+S103)/1000000</f>
        <v>1.1127304477611941</v>
      </c>
      <c r="W103" s="50">
        <f>+'[5]24'!K34/1000</f>
        <v>39.523000000000003</v>
      </c>
      <c r="X103" s="55">
        <f>SUM(W103:W106)/SUM(K103:K106)</f>
        <v>0.81397558455329411</v>
      </c>
      <c r="Y103" s="50">
        <v>0</v>
      </c>
      <c r="Z103" s="50">
        <v>0</v>
      </c>
      <c r="AA103" s="50">
        <f>SUM(U103:U106)-SUM(W103:W106)-SUM(Z103:Z106)-SUM(Y103:Y106)</f>
        <v>7.9197799999999958</v>
      </c>
      <c r="AB103" s="50">
        <f>(SUM(K103:K106)-SUM(W103:W106)-SUM(Y103:Y106)-SUM(Z103:Z106)-SUM(AC103:AC106)-SUM(V103:V106))-AA103</f>
        <v>7.1054273576010019E-15</v>
      </c>
      <c r="AC103" s="50">
        <f>K103-T103</f>
        <v>0</v>
      </c>
      <c r="AD103" s="50">
        <f>+AM103+BA103</f>
        <v>0</v>
      </c>
      <c r="AE103" s="187" t="s">
        <v>110</v>
      </c>
      <c r="AF103" s="180">
        <v>0</v>
      </c>
      <c r="AG103" s="180"/>
      <c r="AH103" s="180"/>
      <c r="AJ103" s="50"/>
      <c r="AK103" s="50"/>
      <c r="AL103" s="50"/>
      <c r="AM103" s="50">
        <f>SUM(AF103:AL103)+AT103+AV103+AX103</f>
        <v>0</v>
      </c>
      <c r="AN103" s="50"/>
      <c r="AO103" s="50"/>
      <c r="AP103" s="50"/>
      <c r="AQ103" s="50"/>
      <c r="AR103" s="50">
        <f>SUM(AN103:AQ103)</f>
        <v>0</v>
      </c>
      <c r="AS103" s="50"/>
      <c r="AT103" s="50"/>
      <c r="AU103" s="50"/>
      <c r="AV103" s="50"/>
      <c r="AW103" s="50"/>
      <c r="AX103" s="50"/>
      <c r="AY103" s="50"/>
      <c r="AZ103" s="50"/>
      <c r="BA103" s="50">
        <f>+AR103+AS103+AU103+AW103+AY103+AZ103</f>
        <v>0</v>
      </c>
      <c r="BB103" s="180">
        <v>0</v>
      </c>
      <c r="BC103" s="146"/>
      <c r="BD103" s="116"/>
      <c r="BE103" s="116"/>
      <c r="BF103" s="116"/>
    </row>
    <row r="104" spans="1:58" ht="12.95" customHeight="1" x14ac:dyDescent="0.25">
      <c r="A104" s="117"/>
      <c r="B104" s="118"/>
      <c r="C104" s="119"/>
      <c r="D104" s="118"/>
      <c r="E104" s="37"/>
      <c r="F104" s="37"/>
      <c r="G104" s="188"/>
      <c r="H104" s="244"/>
      <c r="I104" s="45"/>
      <c r="J104" s="46"/>
      <c r="K104" s="46"/>
      <c r="L104" s="184"/>
      <c r="M104" s="184"/>
      <c r="N104" s="47"/>
      <c r="O104" s="48"/>
      <c r="P104" s="49"/>
      <c r="Q104" s="48"/>
      <c r="R104" s="123"/>
      <c r="S104" s="123"/>
      <c r="T104" s="50"/>
      <c r="U104" s="50"/>
      <c r="V104" s="50"/>
      <c r="W104" s="50"/>
      <c r="X104" s="51"/>
      <c r="Y104" s="52"/>
      <c r="Z104" s="50"/>
      <c r="AA104" s="53"/>
      <c r="AB104" s="53"/>
      <c r="AC104" s="50"/>
      <c r="AD104" s="50">
        <f t="shared" ref="AD104:AD105" si="302">+AM104+BA104</f>
        <v>2</v>
      </c>
      <c r="AE104" s="187" t="s">
        <v>174</v>
      </c>
      <c r="AF104" s="50"/>
      <c r="AG104" s="50">
        <v>2</v>
      </c>
      <c r="AH104" s="50"/>
      <c r="AI104" s="50"/>
      <c r="AJ104" s="50"/>
      <c r="AK104" s="50"/>
      <c r="AL104" s="50"/>
      <c r="AM104" s="50">
        <f t="shared" ref="AM104:AM105" si="303">SUM(AF104:AL104)+AT104+AV104+AX104</f>
        <v>2</v>
      </c>
      <c r="AN104" s="50"/>
      <c r="AO104" s="50"/>
      <c r="AP104" s="50"/>
      <c r="AQ104" s="50"/>
      <c r="AR104" s="50">
        <f t="shared" ref="AR104:AR105" si="304">SUM(AN104:AQ104)</f>
        <v>0</v>
      </c>
      <c r="AS104" s="50"/>
      <c r="AT104" s="50"/>
      <c r="AU104" s="50"/>
      <c r="AV104" s="50"/>
      <c r="AW104" s="50"/>
      <c r="AX104" s="50"/>
      <c r="AY104" s="50"/>
      <c r="AZ104" s="50"/>
      <c r="BA104" s="50">
        <f t="shared" ref="BA104:BA105" si="305">+AR104+AS104+AU104+AW104+AY104+AZ104</f>
        <v>0</v>
      </c>
      <c r="BB104" s="180"/>
      <c r="BC104" s="116">
        <v>1</v>
      </c>
      <c r="BD104" s="116"/>
      <c r="BE104" s="116"/>
      <c r="BF104" s="116"/>
    </row>
    <row r="105" spans="1:58" ht="12.95" customHeight="1" x14ac:dyDescent="0.25">
      <c r="A105" s="117"/>
      <c r="B105" s="118"/>
      <c r="C105" s="119"/>
      <c r="D105" s="118"/>
      <c r="E105" s="37"/>
      <c r="F105" s="37"/>
      <c r="G105" s="188"/>
      <c r="H105" s="244"/>
      <c r="I105" s="45"/>
      <c r="J105" s="46"/>
      <c r="K105" s="46"/>
      <c r="L105" s="184"/>
      <c r="M105" s="184"/>
      <c r="N105" s="47"/>
      <c r="O105" s="48"/>
      <c r="P105" s="49"/>
      <c r="Q105" s="48"/>
      <c r="R105" s="123"/>
      <c r="S105" s="123"/>
      <c r="T105" s="50"/>
      <c r="U105" s="50"/>
      <c r="V105" s="50"/>
      <c r="W105" s="50"/>
      <c r="X105" s="51"/>
      <c r="Y105" s="50"/>
      <c r="Z105" s="50"/>
      <c r="AA105" s="53"/>
      <c r="AB105" s="53"/>
      <c r="AC105" s="50"/>
      <c r="AD105" s="50">
        <f t="shared" si="302"/>
        <v>31</v>
      </c>
      <c r="AE105" s="187" t="s">
        <v>118</v>
      </c>
      <c r="AF105" s="50"/>
      <c r="AG105" s="50"/>
      <c r="AH105" s="50">
        <v>31</v>
      </c>
      <c r="AI105" s="54"/>
      <c r="AJ105" s="50"/>
      <c r="AK105" s="50"/>
      <c r="AL105" s="50"/>
      <c r="AM105" s="50">
        <f t="shared" si="303"/>
        <v>31</v>
      </c>
      <c r="AN105" s="50"/>
      <c r="AO105" s="50"/>
      <c r="AP105" s="50"/>
      <c r="AQ105" s="50"/>
      <c r="AR105" s="50">
        <f t="shared" si="304"/>
        <v>0</v>
      </c>
      <c r="AS105" s="50"/>
      <c r="AT105" s="50"/>
      <c r="AU105" s="50"/>
      <c r="AV105" s="50"/>
      <c r="AW105" s="50"/>
      <c r="AX105" s="50"/>
      <c r="AY105" s="50"/>
      <c r="AZ105" s="50"/>
      <c r="BA105" s="50">
        <f t="shared" si="305"/>
        <v>0</v>
      </c>
      <c r="BB105" s="180"/>
      <c r="BC105" s="116"/>
      <c r="BD105" s="116"/>
      <c r="BE105" s="116"/>
      <c r="BF105" s="116"/>
    </row>
    <row r="106" spans="1:58" ht="12.95" customHeight="1" x14ac:dyDescent="0.25">
      <c r="A106" s="117"/>
      <c r="B106" s="118"/>
      <c r="C106" s="119"/>
      <c r="D106" s="118"/>
      <c r="E106" s="37"/>
      <c r="F106" s="37"/>
      <c r="G106" s="188"/>
      <c r="H106" s="244"/>
      <c r="I106" s="45"/>
      <c r="J106" s="46"/>
      <c r="K106" s="46"/>
      <c r="L106" s="184"/>
      <c r="M106" s="184"/>
      <c r="N106" s="47"/>
      <c r="O106" s="48"/>
      <c r="P106" s="49"/>
      <c r="Q106" s="48"/>
      <c r="R106" s="123"/>
      <c r="S106" s="123"/>
      <c r="T106" s="50"/>
      <c r="U106" s="50"/>
      <c r="V106" s="50"/>
      <c r="W106" s="50"/>
      <c r="X106" s="55"/>
      <c r="Y106" s="52"/>
      <c r="Z106" s="50"/>
      <c r="AA106" s="50"/>
      <c r="AB106" s="50"/>
      <c r="AC106" s="50"/>
      <c r="AD106" s="50"/>
      <c r="AE106" s="187"/>
      <c r="AF106" s="50"/>
      <c r="AG106" s="50"/>
      <c r="AH106" s="50"/>
      <c r="AI106" s="54"/>
      <c r="AJ106" s="50"/>
      <c r="AK106" s="50"/>
      <c r="AL106" s="50"/>
      <c r="AM106" s="50"/>
      <c r="AN106" s="157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189"/>
      <c r="BC106" s="116"/>
      <c r="BD106" s="116"/>
      <c r="BE106" s="116"/>
      <c r="BF106" s="116"/>
    </row>
    <row r="107" spans="1:58" ht="12.95" customHeight="1" x14ac:dyDescent="0.25">
      <c r="A107" s="117">
        <v>45986</v>
      </c>
      <c r="B107" s="118" t="s">
        <v>115</v>
      </c>
      <c r="C107" s="119">
        <f t="shared" ref="C107" si="306">(M107*E107*O107*Q107)/100000000</f>
        <v>48.359782588235291</v>
      </c>
      <c r="D107" s="118" t="s">
        <v>177</v>
      </c>
      <c r="E107" s="37">
        <v>12</v>
      </c>
      <c r="F107" s="37">
        <v>1</v>
      </c>
      <c r="G107" s="190">
        <v>1400</v>
      </c>
      <c r="H107" s="243">
        <f>+N107</f>
        <v>0.25</v>
      </c>
      <c r="I107" s="45">
        <v>0.88</v>
      </c>
      <c r="J107" s="46">
        <f t="shared" ref="J107" si="307">E107*G107*(1-H107)*1440/1000000*2.87</f>
        <v>52.073279999999997</v>
      </c>
      <c r="K107" s="46">
        <f t="shared" ref="K107" si="308">(IF(G107&lt;L107,L107,G107)*(1-IF(H107&lt;N107,H107,N107))*E107*O107*Q107)/100000000</f>
        <v>49.133952000000001</v>
      </c>
      <c r="L107" s="184">
        <v>1377.9411764705883</v>
      </c>
      <c r="M107" s="184">
        <v>1033.4558823529412</v>
      </c>
      <c r="N107" s="47">
        <f t="shared" ref="N107" si="309">1-(M107/L107)</f>
        <v>0.25</v>
      </c>
      <c r="O107" s="48">
        <f>+'[5]Trim Rwd'!H95</f>
        <v>270.8</v>
      </c>
      <c r="P107" s="49">
        <f t="shared" ref="P107" si="310">O107*(Q107-R107-S107)</f>
        <v>180082</v>
      </c>
      <c r="Q107" s="48">
        <v>1440</v>
      </c>
      <c r="R107" s="123">
        <v>760</v>
      </c>
      <c r="S107" s="123">
        <v>15</v>
      </c>
      <c r="T107" s="50">
        <f t="shared" ref="T107" si="311">E107*M107*O107*Q107/100000000</f>
        <v>48.359782588235291</v>
      </c>
      <c r="U107" s="50">
        <f t="shared" ref="U107" si="312">E107*M107*O107*(Q107-R107-S107)/100000000</f>
        <v>22.332816264705883</v>
      </c>
      <c r="V107" s="50">
        <f t="shared" ref="V107" si="313">E107*G107*(1-N107)*O107/100*(R107+S107)/1000000</f>
        <v>26.443620000000003</v>
      </c>
      <c r="W107" s="50">
        <f>+'[5]25'!K34/1000</f>
        <v>33.625</v>
      </c>
      <c r="X107" s="55">
        <f>SUM(W107:W110)/SUM(K107:K110)</f>
        <v>0.6843536624125004</v>
      </c>
      <c r="Y107" s="50">
        <v>0</v>
      </c>
      <c r="Z107" s="50">
        <f>+'[5]25'!D34/1000</f>
        <v>0.3</v>
      </c>
      <c r="AA107" s="50">
        <f>SUM(U107:U110)-SUM(W107:W110)-SUM(Z107:Z110)-SUM(Y107:Y110)</f>
        <v>-11.592183735294117</v>
      </c>
      <c r="AB107" s="50">
        <f>(SUM(K107:K110)-SUM(W107:W110)-SUM(Y107:Y110)-SUM(Z107:Z110)-SUM(AC107:AC110)-SUM(V107:V110))-AA107</f>
        <v>-0.41665367647059526</v>
      </c>
      <c r="AC107" s="50">
        <f>K107-T107</f>
        <v>0.77416941176470999</v>
      </c>
      <c r="AD107" s="50">
        <f>+AM107+BA107</f>
        <v>0</v>
      </c>
      <c r="AE107" s="187" t="s">
        <v>110</v>
      </c>
      <c r="AF107" s="180">
        <v>0</v>
      </c>
      <c r="AG107" s="180"/>
      <c r="AH107" s="180"/>
      <c r="AJ107" s="50"/>
      <c r="AK107" s="50"/>
      <c r="AL107" s="50"/>
      <c r="AM107" s="50">
        <f>SUM(AF107:AL107)+AT107+AV107+AX107</f>
        <v>0</v>
      </c>
      <c r="AN107" s="50"/>
      <c r="AO107" s="50"/>
      <c r="AP107" s="50"/>
      <c r="AQ107" s="50"/>
      <c r="AR107" s="50">
        <f>SUM(AN107:AQ107)</f>
        <v>0</v>
      </c>
      <c r="AS107" s="50"/>
      <c r="AT107" s="50"/>
      <c r="AU107" s="50"/>
      <c r="AV107" s="50"/>
      <c r="AW107" s="50"/>
      <c r="AX107" s="50"/>
      <c r="AY107" s="50"/>
      <c r="AZ107" s="50"/>
      <c r="BA107" s="50">
        <f>+AR107+AS107+AU107+AW107+AY107+AZ107</f>
        <v>0</v>
      </c>
      <c r="BB107" s="180">
        <v>0</v>
      </c>
      <c r="BC107" s="146"/>
      <c r="BD107" s="116"/>
      <c r="BE107" s="116"/>
      <c r="BF107" s="116"/>
    </row>
    <row r="108" spans="1:58" ht="12.95" customHeight="1" x14ac:dyDescent="0.25">
      <c r="A108" s="117"/>
      <c r="B108" s="118"/>
      <c r="C108" s="119"/>
      <c r="D108" s="118"/>
      <c r="E108" s="37"/>
      <c r="F108" s="37"/>
      <c r="G108" s="188"/>
      <c r="H108" s="244"/>
      <c r="I108" s="45"/>
      <c r="J108" s="46"/>
      <c r="K108" s="46"/>
      <c r="L108" s="184"/>
      <c r="M108" s="184"/>
      <c r="N108" s="47"/>
      <c r="O108" s="48"/>
      <c r="P108" s="49"/>
      <c r="Q108" s="48"/>
      <c r="R108" s="123"/>
      <c r="S108" s="123"/>
      <c r="T108" s="50"/>
      <c r="U108" s="50"/>
      <c r="V108" s="50"/>
      <c r="W108" s="50"/>
      <c r="X108" s="51"/>
      <c r="Y108" s="52"/>
      <c r="Z108" s="50"/>
      <c r="AA108" s="53"/>
      <c r="AB108" s="53"/>
      <c r="AC108" s="50"/>
      <c r="AD108" s="50">
        <f t="shared" ref="AD108:AD111" si="314">+AM108+BA108</f>
        <v>0</v>
      </c>
      <c r="AE108" s="187" t="s">
        <v>111</v>
      </c>
      <c r="AF108" s="50"/>
      <c r="AG108" s="50">
        <v>0</v>
      </c>
      <c r="AH108" s="50"/>
      <c r="AI108" s="50"/>
      <c r="AJ108" s="50"/>
      <c r="AK108" s="50"/>
      <c r="AL108" s="50"/>
      <c r="AM108" s="50">
        <f t="shared" ref="AM108:AM111" si="315">SUM(AF108:AL108)+AT108+AV108+AX108</f>
        <v>0</v>
      </c>
      <c r="AN108" s="50"/>
      <c r="AO108" s="50"/>
      <c r="AP108" s="50"/>
      <c r="AQ108" s="50"/>
      <c r="AR108" s="50">
        <f t="shared" ref="AR108:AR111" si="316">SUM(AN108:AQ108)</f>
        <v>0</v>
      </c>
      <c r="AS108" s="50"/>
      <c r="AT108" s="50"/>
      <c r="AU108" s="50"/>
      <c r="AV108" s="50"/>
      <c r="AW108" s="50"/>
      <c r="AX108" s="50"/>
      <c r="AY108" s="50"/>
      <c r="AZ108" s="50"/>
      <c r="BA108" s="50">
        <f t="shared" ref="BA108:BA111" si="317">+AR108+AS108+AU108+AW108+AY108+AZ108</f>
        <v>0</v>
      </c>
      <c r="BB108" s="180"/>
      <c r="BC108" s="116">
        <v>1</v>
      </c>
      <c r="BD108" s="116"/>
      <c r="BE108" s="116"/>
      <c r="BF108" s="116"/>
    </row>
    <row r="109" spans="1:58" ht="12.95" customHeight="1" x14ac:dyDescent="0.25">
      <c r="A109" s="117"/>
      <c r="B109" s="118"/>
      <c r="C109" s="119"/>
      <c r="D109" s="118"/>
      <c r="E109" s="37"/>
      <c r="F109" s="37"/>
      <c r="G109" s="188"/>
      <c r="H109" s="244"/>
      <c r="I109" s="45"/>
      <c r="J109" s="46"/>
      <c r="K109" s="46"/>
      <c r="L109" s="184"/>
      <c r="M109" s="184"/>
      <c r="N109" s="47"/>
      <c r="O109" s="48"/>
      <c r="P109" s="49"/>
      <c r="Q109" s="48"/>
      <c r="R109" s="123"/>
      <c r="S109" s="123"/>
      <c r="T109" s="50"/>
      <c r="U109" s="50"/>
      <c r="V109" s="50"/>
      <c r="W109" s="50"/>
      <c r="X109" s="51"/>
      <c r="Y109" s="50"/>
      <c r="Z109" s="50"/>
      <c r="AA109" s="53"/>
      <c r="AB109" s="53"/>
      <c r="AC109" s="50"/>
      <c r="AD109" s="50">
        <f t="shared" si="314"/>
        <v>15</v>
      </c>
      <c r="AE109" s="187" t="s">
        <v>250</v>
      </c>
      <c r="AF109" s="50"/>
      <c r="AG109" s="50"/>
      <c r="AH109" s="50">
        <v>15</v>
      </c>
      <c r="AI109" s="54"/>
      <c r="AJ109" s="50"/>
      <c r="AK109" s="50"/>
      <c r="AL109" s="50"/>
      <c r="AM109" s="50">
        <f t="shared" si="315"/>
        <v>15</v>
      </c>
      <c r="AN109" s="50"/>
      <c r="AO109" s="50"/>
      <c r="AP109" s="50"/>
      <c r="AQ109" s="50"/>
      <c r="AR109" s="50">
        <f t="shared" si="316"/>
        <v>0</v>
      </c>
      <c r="AS109" s="50"/>
      <c r="AT109" s="50"/>
      <c r="AU109" s="50"/>
      <c r="AV109" s="50"/>
      <c r="AW109" s="50"/>
      <c r="AX109" s="50"/>
      <c r="AY109" s="50"/>
      <c r="AZ109" s="50"/>
      <c r="BA109" s="50">
        <f t="shared" si="317"/>
        <v>0</v>
      </c>
      <c r="BB109" s="180"/>
      <c r="BC109" s="116"/>
      <c r="BD109" s="116"/>
      <c r="BE109" s="116"/>
      <c r="BF109" s="116"/>
    </row>
    <row r="110" spans="1:58" ht="12.95" customHeight="1" x14ac:dyDescent="0.25">
      <c r="A110" s="117"/>
      <c r="B110" s="118"/>
      <c r="C110" s="119"/>
      <c r="D110" s="118"/>
      <c r="E110" s="37"/>
      <c r="F110" s="37"/>
      <c r="G110" s="188"/>
      <c r="H110" s="244"/>
      <c r="I110" s="45"/>
      <c r="J110" s="46"/>
      <c r="K110" s="46"/>
      <c r="L110" s="184"/>
      <c r="M110" s="184"/>
      <c r="N110" s="47"/>
      <c r="O110" s="48"/>
      <c r="P110" s="49"/>
      <c r="Q110" s="48"/>
      <c r="R110" s="123"/>
      <c r="S110" s="123"/>
      <c r="T110" s="50"/>
      <c r="U110" s="50"/>
      <c r="V110" s="50"/>
      <c r="W110" s="50"/>
      <c r="X110" s="55"/>
      <c r="Y110" s="52"/>
      <c r="Z110" s="50"/>
      <c r="AA110" s="50"/>
      <c r="AB110" s="50"/>
      <c r="AC110" s="50"/>
      <c r="AD110" s="50">
        <f t="shared" si="314"/>
        <v>660</v>
      </c>
      <c r="AE110" s="187" t="s">
        <v>268</v>
      </c>
      <c r="AF110" s="50"/>
      <c r="AG110" s="50"/>
      <c r="AH110" s="50"/>
      <c r="AI110" s="54"/>
      <c r="AJ110" s="50"/>
      <c r="AK110" s="50"/>
      <c r="AL110" s="50"/>
      <c r="AM110" s="50">
        <f t="shared" si="315"/>
        <v>0</v>
      </c>
      <c r="AN110" s="50">
        <v>200</v>
      </c>
      <c r="AO110" s="50">
        <v>460</v>
      </c>
      <c r="AP110" s="50"/>
      <c r="AQ110" s="50"/>
      <c r="AR110" s="50">
        <f t="shared" si="316"/>
        <v>660</v>
      </c>
      <c r="AS110" s="50"/>
      <c r="AT110" s="50"/>
      <c r="AU110" s="50"/>
      <c r="AV110" s="50"/>
      <c r="AW110" s="50"/>
      <c r="AX110" s="50"/>
      <c r="AY110" s="50"/>
      <c r="AZ110" s="50"/>
      <c r="BA110" s="50">
        <f t="shared" si="317"/>
        <v>660</v>
      </c>
      <c r="BB110" s="180"/>
      <c r="BC110" s="116"/>
      <c r="BD110" s="116"/>
      <c r="BE110" s="116"/>
      <c r="BF110" s="116"/>
    </row>
    <row r="111" spans="1:58" ht="12.95" customHeight="1" x14ac:dyDescent="0.25">
      <c r="A111" s="117"/>
      <c r="B111" s="204"/>
      <c r="C111" s="205"/>
      <c r="D111" s="204"/>
      <c r="E111" s="37"/>
      <c r="F111" s="37"/>
      <c r="G111" s="245"/>
      <c r="H111" s="244"/>
      <c r="I111" s="45"/>
      <c r="J111" s="46"/>
      <c r="K111" s="46"/>
      <c r="L111" s="246"/>
      <c r="M111" s="246"/>
      <c r="N111" s="47"/>
      <c r="O111" s="48"/>
      <c r="P111" s="49"/>
      <c r="Q111" s="48"/>
      <c r="R111" s="207"/>
      <c r="S111" s="207"/>
      <c r="T111" s="50"/>
      <c r="U111" s="50"/>
      <c r="V111" s="50"/>
      <c r="W111" s="50"/>
      <c r="X111" s="55"/>
      <c r="Y111" s="52"/>
      <c r="Z111" s="50"/>
      <c r="AA111" s="50"/>
      <c r="AB111" s="50"/>
      <c r="AC111" s="50"/>
      <c r="AD111" s="50">
        <f t="shared" si="314"/>
        <v>100</v>
      </c>
      <c r="AE111" s="187" t="s">
        <v>269</v>
      </c>
      <c r="AF111" s="50"/>
      <c r="AG111" s="50"/>
      <c r="AH111" s="50"/>
      <c r="AI111" s="54"/>
      <c r="AJ111" s="50"/>
      <c r="AK111" s="50"/>
      <c r="AL111" s="50"/>
      <c r="AM111" s="50">
        <f t="shared" si="315"/>
        <v>0</v>
      </c>
      <c r="AN111" s="50"/>
      <c r="AO111" s="50"/>
      <c r="AP111" s="50">
        <v>100</v>
      </c>
      <c r="AQ111" s="50"/>
      <c r="AR111" s="50">
        <f t="shared" si="316"/>
        <v>100</v>
      </c>
      <c r="AS111" s="50"/>
      <c r="AT111" s="50"/>
      <c r="AU111" s="50"/>
      <c r="AV111" s="50"/>
      <c r="AW111" s="50"/>
      <c r="AX111" s="50"/>
      <c r="AY111" s="50"/>
      <c r="AZ111" s="50"/>
      <c r="BA111" s="50">
        <f t="shared" si="317"/>
        <v>100</v>
      </c>
      <c r="BB111" s="180"/>
      <c r="BC111" s="116"/>
      <c r="BD111" s="116"/>
      <c r="BE111" s="116"/>
      <c r="BF111" s="116"/>
    </row>
    <row r="112" spans="1:58" ht="12.95" customHeight="1" x14ac:dyDescent="0.25">
      <c r="A112" s="117"/>
      <c r="B112" s="118"/>
      <c r="C112" s="119"/>
      <c r="D112" s="118"/>
      <c r="E112" s="37"/>
      <c r="F112" s="37"/>
      <c r="G112" s="190"/>
      <c r="H112" s="244"/>
      <c r="I112" s="45"/>
      <c r="J112" s="46"/>
      <c r="K112" s="46"/>
      <c r="L112" s="184"/>
      <c r="M112" s="184"/>
      <c r="N112" s="47"/>
      <c r="O112" s="48"/>
      <c r="P112" s="49"/>
      <c r="Q112" s="48"/>
      <c r="R112" s="123"/>
      <c r="S112" s="123"/>
      <c r="T112" s="50"/>
      <c r="U112" s="50"/>
      <c r="V112" s="50"/>
      <c r="W112" s="50"/>
      <c r="X112" s="55"/>
      <c r="Y112" s="52"/>
      <c r="Z112" s="50"/>
      <c r="AA112" s="50"/>
      <c r="AB112" s="50"/>
      <c r="AC112" s="50"/>
      <c r="AD112" s="50"/>
      <c r="AE112" s="187"/>
      <c r="AF112" s="180"/>
      <c r="AG112" s="180"/>
      <c r="AH112" s="180"/>
      <c r="AI112" s="54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180"/>
      <c r="BC112" s="146"/>
      <c r="BD112" s="146"/>
      <c r="BE112" s="180"/>
      <c r="BF112" s="146"/>
    </row>
    <row r="113" spans="1:58" ht="12.95" customHeight="1" x14ac:dyDescent="0.25">
      <c r="A113" s="117">
        <v>45987</v>
      </c>
      <c r="B113" s="118" t="s">
        <v>115</v>
      </c>
      <c r="C113" s="119">
        <f t="shared" ref="C113" si="318">(M113*E113*O113*Q113)/100000000</f>
        <v>42.604566776470584</v>
      </c>
      <c r="D113" s="118" t="s">
        <v>177</v>
      </c>
      <c r="E113" s="37">
        <v>12</v>
      </c>
      <c r="F113" s="37">
        <v>1</v>
      </c>
      <c r="G113" s="190">
        <v>1400</v>
      </c>
      <c r="H113" s="243">
        <f>+N113</f>
        <v>0.25</v>
      </c>
      <c r="I113" s="45">
        <v>0.88</v>
      </c>
      <c r="J113" s="46">
        <f t="shared" ref="J113" si="319">E113*G113*(1-H113)*1440/1000000*2.87</f>
        <v>52.073279999999997</v>
      </c>
      <c r="K113" s="46">
        <f t="shared" ref="K113" si="320">(IF(G113&lt;L113,L113,G113)*(1-IF(H113&lt;N113,H113,N113))*E113*O113*Q113)/100000000</f>
        <v>49.17024</v>
      </c>
      <c r="L113" s="184">
        <v>1213.0588235294117</v>
      </c>
      <c r="M113" s="184">
        <v>909.79411764705878</v>
      </c>
      <c r="N113" s="47">
        <f t="shared" ref="N113" si="321">1-(M113/L113)</f>
        <v>0.25</v>
      </c>
      <c r="O113" s="48">
        <f>+'[5]Trim Rwd'!H99</f>
        <v>271</v>
      </c>
      <c r="P113" s="49">
        <f t="shared" ref="P113" si="322">O113*(Q113-R113-S113)</f>
        <v>333059</v>
      </c>
      <c r="Q113" s="48">
        <v>1440</v>
      </c>
      <c r="R113" s="123">
        <v>180</v>
      </c>
      <c r="S113" s="123">
        <v>31</v>
      </c>
      <c r="T113" s="50">
        <f t="shared" ref="T113" si="323">E113*M113*O113*Q113/100000000</f>
        <v>42.604566776470584</v>
      </c>
      <c r="U113" s="50">
        <f t="shared" ref="U113" si="324">E113*M113*O113*(Q113-R113-S113)/100000000</f>
        <v>36.361814283529412</v>
      </c>
      <c r="V113" s="50">
        <f t="shared" ref="V113" si="325">E113*G113*(1-N113)*O113/100*(R113+S113)/1000000</f>
        <v>7.2048059999999996</v>
      </c>
      <c r="W113" s="50">
        <f>+'[5]26'!K34/1000</f>
        <v>32.582000000000001</v>
      </c>
      <c r="X113" s="55">
        <f>SUM(W113:W116)/SUM(K113:K116)</f>
        <v>0.66263658668332714</v>
      </c>
      <c r="Y113" s="50">
        <v>0</v>
      </c>
      <c r="Z113" s="50">
        <f>+'[5]26'!D34/1000</f>
        <v>1.32</v>
      </c>
      <c r="AA113" s="50">
        <f>SUM(U113:U116)-SUM(W113:W116)-SUM(Z113:Z116)-SUM(Y113:Y116)</f>
        <v>2.4598142835294112</v>
      </c>
      <c r="AB113" s="50">
        <f>(SUM(K113:K116)-SUM(W113:W116)-SUM(Y113:Y116)-SUM(Z113:Z116)-SUM(AC113:AC116)-SUM(V113:V116))-AA113</f>
        <v>-0.96205350705882786</v>
      </c>
      <c r="AC113" s="50">
        <f>K113-T113</f>
        <v>6.5656732235294157</v>
      </c>
      <c r="AD113" s="50">
        <f>+AM113+BA113</f>
        <v>5</v>
      </c>
      <c r="AE113" s="187" t="s">
        <v>116</v>
      </c>
      <c r="AF113" s="180">
        <v>5</v>
      </c>
      <c r="AG113" s="180"/>
      <c r="AH113" s="180"/>
      <c r="AJ113" s="50"/>
      <c r="AK113" s="50"/>
      <c r="AL113" s="50"/>
      <c r="AM113" s="50">
        <f>SUM(AF113:AL113)+AT113+AV113+AX113</f>
        <v>5</v>
      </c>
      <c r="AN113" s="50"/>
      <c r="AO113" s="50"/>
      <c r="AP113" s="50"/>
      <c r="AQ113" s="50"/>
      <c r="AR113" s="50">
        <f>SUM(AN113:AQ113)</f>
        <v>0</v>
      </c>
      <c r="AS113" s="50"/>
      <c r="AT113" s="50"/>
      <c r="AU113" s="50"/>
      <c r="AV113" s="50"/>
      <c r="AW113" s="50"/>
      <c r="AX113" s="50"/>
      <c r="AY113" s="50"/>
      <c r="AZ113" s="50"/>
      <c r="BA113" s="50">
        <f>+AR113+AS113+AU113+AW113+AY113+AZ113</f>
        <v>0</v>
      </c>
      <c r="BB113" s="180">
        <v>1</v>
      </c>
      <c r="BC113" s="146"/>
      <c r="BD113" s="116"/>
      <c r="BE113" s="116"/>
      <c r="BF113" s="116"/>
    </row>
    <row r="114" spans="1:58" ht="12.95" customHeight="1" x14ac:dyDescent="0.25">
      <c r="A114" s="117"/>
      <c r="B114" s="118"/>
      <c r="C114" s="119"/>
      <c r="D114" s="118"/>
      <c r="E114" s="37"/>
      <c r="F114" s="37"/>
      <c r="G114" s="188"/>
      <c r="H114" s="244"/>
      <c r="I114" s="45"/>
      <c r="J114" s="46"/>
      <c r="K114" s="46"/>
      <c r="L114" s="184"/>
      <c r="M114" s="184"/>
      <c r="N114" s="47"/>
      <c r="O114" s="48"/>
      <c r="P114" s="49"/>
      <c r="Q114" s="48"/>
      <c r="R114" s="123"/>
      <c r="S114" s="123"/>
      <c r="T114" s="50"/>
      <c r="U114" s="50"/>
      <c r="V114" s="50"/>
      <c r="W114" s="50"/>
      <c r="X114" s="51"/>
      <c r="Y114" s="52"/>
      <c r="Z114" s="50"/>
      <c r="AA114" s="53"/>
      <c r="AB114" s="53"/>
      <c r="AC114" s="50"/>
      <c r="AD114" s="50">
        <f t="shared" ref="AD114:AD116" si="326">+AM114+BA114</f>
        <v>3</v>
      </c>
      <c r="AE114" s="187" t="s">
        <v>174</v>
      </c>
      <c r="AF114" s="50"/>
      <c r="AG114" s="50">
        <v>3</v>
      </c>
      <c r="AH114" s="50"/>
      <c r="AI114" s="50"/>
      <c r="AJ114" s="50"/>
      <c r="AK114" s="50"/>
      <c r="AL114" s="50"/>
      <c r="AM114" s="50">
        <f t="shared" ref="AM114:AM116" si="327">SUM(AF114:AL114)+AT114+AV114+AX114</f>
        <v>3</v>
      </c>
      <c r="AN114" s="50"/>
      <c r="AO114" s="50"/>
      <c r="AP114" s="50"/>
      <c r="AQ114" s="50"/>
      <c r="AR114" s="50">
        <f t="shared" ref="AR114:AR116" si="328">SUM(AN114:AQ114)</f>
        <v>0</v>
      </c>
      <c r="AS114" s="50"/>
      <c r="AT114" s="50"/>
      <c r="AU114" s="50"/>
      <c r="AV114" s="50"/>
      <c r="AW114" s="50"/>
      <c r="AX114" s="50"/>
      <c r="AY114" s="50"/>
      <c r="AZ114" s="50"/>
      <c r="BA114" s="50">
        <f t="shared" ref="BA114:BA116" si="329">+AR114+AS114+AU114+AW114+AY114+AZ114</f>
        <v>0</v>
      </c>
      <c r="BB114" s="180"/>
      <c r="BC114" s="116">
        <v>1</v>
      </c>
      <c r="BD114" s="116"/>
      <c r="BE114" s="116"/>
      <c r="BF114" s="116"/>
    </row>
    <row r="115" spans="1:58" ht="12.95" customHeight="1" x14ac:dyDescent="0.25">
      <c r="A115" s="117"/>
      <c r="B115" s="118"/>
      <c r="C115" s="119"/>
      <c r="D115" s="118"/>
      <c r="E115" s="37"/>
      <c r="F115" s="37"/>
      <c r="G115" s="188"/>
      <c r="H115" s="244"/>
      <c r="I115" s="45"/>
      <c r="J115" s="46"/>
      <c r="K115" s="46"/>
      <c r="L115" s="184"/>
      <c r="M115" s="184"/>
      <c r="N115" s="47"/>
      <c r="O115" s="48"/>
      <c r="P115" s="49"/>
      <c r="Q115" s="48"/>
      <c r="R115" s="123"/>
      <c r="S115" s="123"/>
      <c r="T115" s="50"/>
      <c r="U115" s="50"/>
      <c r="V115" s="50"/>
      <c r="W115" s="50"/>
      <c r="X115" s="51"/>
      <c r="Y115" s="50"/>
      <c r="Z115" s="50"/>
      <c r="AA115" s="53"/>
      <c r="AB115" s="53"/>
      <c r="AC115" s="50"/>
      <c r="AD115" s="50">
        <f t="shared" si="326"/>
        <v>23</v>
      </c>
      <c r="AE115" s="187" t="s">
        <v>112</v>
      </c>
      <c r="AF115" s="50"/>
      <c r="AG115" s="50"/>
      <c r="AH115" s="50">
        <v>23</v>
      </c>
      <c r="AI115" s="54"/>
      <c r="AJ115" s="50"/>
      <c r="AK115" s="50"/>
      <c r="AL115" s="50"/>
      <c r="AM115" s="50">
        <f t="shared" si="327"/>
        <v>23</v>
      </c>
      <c r="AN115" s="50"/>
      <c r="AO115" s="50"/>
      <c r="AP115" s="50"/>
      <c r="AQ115" s="50"/>
      <c r="AR115" s="50">
        <f t="shared" si="328"/>
        <v>0</v>
      </c>
      <c r="AS115" s="50"/>
      <c r="AT115" s="50"/>
      <c r="AU115" s="50"/>
      <c r="AV115" s="50"/>
      <c r="AW115" s="50"/>
      <c r="AX115" s="50"/>
      <c r="AY115" s="50"/>
      <c r="AZ115" s="50"/>
      <c r="BA115" s="50">
        <f t="shared" si="329"/>
        <v>0</v>
      </c>
      <c r="BB115" s="180"/>
      <c r="BC115" s="116"/>
      <c r="BD115" s="116"/>
      <c r="BE115" s="116"/>
      <c r="BF115" s="116"/>
    </row>
    <row r="116" spans="1:58" ht="12.95" customHeight="1" x14ac:dyDescent="0.25">
      <c r="A116" s="117"/>
      <c r="B116" s="204"/>
      <c r="C116" s="205"/>
      <c r="D116" s="204"/>
      <c r="E116" s="37"/>
      <c r="F116" s="37"/>
      <c r="G116" s="245"/>
      <c r="H116" s="244"/>
      <c r="I116" s="45"/>
      <c r="J116" s="46"/>
      <c r="K116" s="46"/>
      <c r="L116" s="246"/>
      <c r="M116" s="246"/>
      <c r="N116" s="47"/>
      <c r="O116" s="48"/>
      <c r="P116" s="49"/>
      <c r="Q116" s="48"/>
      <c r="R116" s="207"/>
      <c r="S116" s="207"/>
      <c r="T116" s="50"/>
      <c r="U116" s="50"/>
      <c r="V116" s="50"/>
      <c r="W116" s="50"/>
      <c r="X116" s="55"/>
      <c r="Y116" s="52"/>
      <c r="Z116" s="50"/>
      <c r="AA116" s="50"/>
      <c r="AB116" s="50"/>
      <c r="AC116" s="50"/>
      <c r="AD116" s="50">
        <f t="shared" si="326"/>
        <v>180</v>
      </c>
      <c r="AE116" s="191" t="s">
        <v>270</v>
      </c>
      <c r="AF116" s="50"/>
      <c r="AG116" s="50"/>
      <c r="AH116" s="50"/>
      <c r="AI116" s="54"/>
      <c r="AJ116" s="50"/>
      <c r="AK116" s="50"/>
      <c r="AL116" s="50"/>
      <c r="AM116" s="50">
        <f t="shared" si="327"/>
        <v>0</v>
      </c>
      <c r="AN116" s="50"/>
      <c r="AO116" s="50"/>
      <c r="AP116" s="50">
        <v>180</v>
      </c>
      <c r="AQ116" s="50"/>
      <c r="AR116" s="50">
        <f t="shared" si="328"/>
        <v>180</v>
      </c>
      <c r="AS116" s="50"/>
      <c r="AT116" s="50"/>
      <c r="AU116" s="50"/>
      <c r="AV116" s="50"/>
      <c r="AW116" s="50"/>
      <c r="AX116" s="50"/>
      <c r="AY116" s="50"/>
      <c r="AZ116" s="50"/>
      <c r="BA116" s="50">
        <f t="shared" si="329"/>
        <v>180</v>
      </c>
      <c r="BB116" s="180"/>
      <c r="BC116" s="116"/>
      <c r="BD116" s="116"/>
      <c r="BE116" s="116"/>
      <c r="BF116" s="116"/>
    </row>
    <row r="117" spans="1:58" ht="12.95" customHeight="1" x14ac:dyDescent="0.25">
      <c r="A117" s="117"/>
      <c r="B117" s="118"/>
      <c r="C117" s="119"/>
      <c r="D117" s="118"/>
      <c r="E117" s="37"/>
      <c r="F117" s="37"/>
      <c r="G117" s="190"/>
      <c r="H117" s="244"/>
      <c r="I117" s="45"/>
      <c r="J117" s="46"/>
      <c r="K117" s="46"/>
      <c r="L117" s="184"/>
      <c r="M117" s="184"/>
      <c r="N117" s="47"/>
      <c r="O117" s="48"/>
      <c r="P117" s="49"/>
      <c r="Q117" s="48"/>
      <c r="R117" s="123"/>
      <c r="S117" s="123"/>
      <c r="T117" s="50"/>
      <c r="U117" s="50"/>
      <c r="V117" s="50"/>
      <c r="W117" s="50"/>
      <c r="X117" s="55"/>
      <c r="Y117" s="52"/>
      <c r="Z117" s="50"/>
      <c r="AA117" s="50"/>
      <c r="AB117" s="50"/>
      <c r="AC117" s="50"/>
      <c r="AD117" s="50"/>
      <c r="AE117" s="187"/>
      <c r="AF117" s="180"/>
      <c r="AG117" s="180"/>
      <c r="AH117" s="180"/>
      <c r="AI117" s="54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180"/>
      <c r="BC117" s="146"/>
      <c r="BD117" s="146"/>
      <c r="BE117" s="180"/>
      <c r="BF117" s="146"/>
    </row>
    <row r="118" spans="1:58" ht="12.95" customHeight="1" x14ac:dyDescent="0.25">
      <c r="A118" s="117">
        <v>45988</v>
      </c>
      <c r="B118" s="118" t="s">
        <v>115</v>
      </c>
      <c r="C118" s="119">
        <f t="shared" ref="C118" si="330">(M118*E118*O118*Q118)/100000000</f>
        <v>49.722459428571426</v>
      </c>
      <c r="D118" s="118" t="s">
        <v>177</v>
      </c>
      <c r="E118" s="37">
        <v>12</v>
      </c>
      <c r="F118" s="37">
        <v>1</v>
      </c>
      <c r="G118" s="190">
        <v>1400</v>
      </c>
      <c r="H118" s="243">
        <f>+N118</f>
        <v>0.24963072378138851</v>
      </c>
      <c r="I118" s="45">
        <v>0.88</v>
      </c>
      <c r="J118" s="46">
        <f t="shared" ref="J118" si="331">E118*G118*(1-H118)*1440/1000000*2.87</f>
        <v>52.098919231905462</v>
      </c>
      <c r="K118" s="46">
        <f t="shared" ref="K118" si="332">(IF(G118&lt;L118,L118,G118)*(1-IF(H118&lt;N118,H118,N118))*E118*O118*Q118)/100000000</f>
        <v>51.411701033973408</v>
      </c>
      <c r="L118" s="184">
        <v>1354</v>
      </c>
      <c r="M118" s="184">
        <v>1016</v>
      </c>
      <c r="N118" s="47">
        <f t="shared" ref="N118" si="333">1-(M118/L118)</f>
        <v>0.24963072378138851</v>
      </c>
      <c r="O118" s="48">
        <f>+'[5]Trim Rwd'!H102</f>
        <v>283.21428571428572</v>
      </c>
      <c r="P118" s="49">
        <f t="shared" ref="P118" si="334">O118*(Q118-R118-S118)</f>
        <v>380073.57142857142</v>
      </c>
      <c r="Q118" s="48">
        <v>1440</v>
      </c>
      <c r="R118" s="123">
        <v>0</v>
      </c>
      <c r="S118" s="123">
        <v>98</v>
      </c>
      <c r="T118" s="50">
        <f t="shared" ref="T118" si="335">E118*M118*O118*Q118/100000000</f>
        <v>49.722459428571426</v>
      </c>
      <c r="U118" s="50">
        <f t="shared" ref="U118" si="336">E118*M118*O118*(Q118-R118-S118)/100000000</f>
        <v>46.338569828571423</v>
      </c>
      <c r="V118" s="50">
        <f t="shared" ref="V118" si="337">E118*G118*(1-N118)*O118/100*(R118+S118)/1000000</f>
        <v>3.4988518759231901</v>
      </c>
      <c r="W118" s="50">
        <f>+'[5]27'!K34/1000</f>
        <v>41.448999999999998</v>
      </c>
      <c r="X118" s="55">
        <f>SUM(W118:W121)/SUM(K118:K121)</f>
        <v>0.80621724561515773</v>
      </c>
      <c r="Y118" s="50">
        <v>0</v>
      </c>
      <c r="Z118" s="50">
        <f>+'[5]27'!D34/1000</f>
        <v>1.5</v>
      </c>
      <c r="AA118" s="50">
        <f>SUM(U118:U121)-SUM(W118:W121)-SUM(Z118:Z121)-SUM(Y118:Y121)</f>
        <v>3.3895698285714246</v>
      </c>
      <c r="AB118" s="50">
        <f>(SUM(K118:K121)-SUM(W118:W121)-SUM(Y118:Y121)-SUM(Z118:Z121)-SUM(AC118:AC121)-SUM(V118:V121))-AA118</f>
        <v>-0.11496227592318675</v>
      </c>
      <c r="AC118" s="50">
        <f>K118-T118</f>
        <v>1.6892416054019819</v>
      </c>
      <c r="AD118" s="50">
        <f>+AM118+BA118</f>
        <v>35</v>
      </c>
      <c r="AE118" s="187" t="s">
        <v>202</v>
      </c>
      <c r="AF118" s="180">
        <v>35</v>
      </c>
      <c r="AG118" s="180"/>
      <c r="AH118" s="180"/>
      <c r="AJ118" s="50"/>
      <c r="AK118" s="50"/>
      <c r="AL118" s="50"/>
      <c r="AM118" s="50">
        <f>SUM(AF118:AL118)+AT118+AV118+AX118</f>
        <v>35</v>
      </c>
      <c r="AN118" s="50"/>
      <c r="AO118" s="50"/>
      <c r="AP118" s="50"/>
      <c r="AQ118" s="50"/>
      <c r="AR118" s="50">
        <f>SUM(AN118:AQ118)</f>
        <v>0</v>
      </c>
      <c r="AS118" s="50"/>
      <c r="AT118" s="50"/>
      <c r="AU118" s="50"/>
      <c r="AV118" s="50"/>
      <c r="AW118" s="50"/>
      <c r="AX118" s="50"/>
      <c r="AY118" s="50"/>
      <c r="AZ118" s="50"/>
      <c r="BA118" s="50">
        <f>+AR118+AS118+AU118+AW118+AY118+AZ118</f>
        <v>0</v>
      </c>
      <c r="BB118" s="180">
        <v>7</v>
      </c>
      <c r="BC118" s="146"/>
      <c r="BD118" s="116"/>
      <c r="BE118" s="116"/>
      <c r="BF118" s="116"/>
    </row>
    <row r="119" spans="1:58" ht="12.95" customHeight="1" x14ac:dyDescent="0.25">
      <c r="A119" s="117"/>
      <c r="B119" s="118"/>
      <c r="C119" s="119"/>
      <c r="D119" s="118"/>
      <c r="E119" s="37"/>
      <c r="F119" s="37"/>
      <c r="G119" s="188"/>
      <c r="H119" s="244"/>
      <c r="I119" s="45"/>
      <c r="J119" s="46"/>
      <c r="K119" s="46"/>
      <c r="L119" s="184"/>
      <c r="M119" s="184"/>
      <c r="N119" s="47"/>
      <c r="O119" s="48"/>
      <c r="P119" s="49"/>
      <c r="Q119" s="48"/>
      <c r="R119" s="123"/>
      <c r="S119" s="123"/>
      <c r="T119" s="50"/>
      <c r="U119" s="50"/>
      <c r="V119" s="50"/>
      <c r="W119" s="50"/>
      <c r="X119" s="51"/>
      <c r="Y119" s="52"/>
      <c r="Z119" s="50"/>
      <c r="AA119" s="53"/>
      <c r="AB119" s="53"/>
      <c r="AC119" s="50"/>
      <c r="AD119" s="50">
        <f t="shared" ref="AD119:AD121" si="338">+AM119+BA119</f>
        <v>0</v>
      </c>
      <c r="AE119" s="187" t="s">
        <v>111</v>
      </c>
      <c r="AF119" s="50"/>
      <c r="AG119" s="50">
        <v>0</v>
      </c>
      <c r="AH119" s="50"/>
      <c r="AI119" s="50"/>
      <c r="AJ119" s="50"/>
      <c r="AK119" s="50"/>
      <c r="AL119" s="50"/>
      <c r="AM119" s="50">
        <f t="shared" ref="AM119:AM120" si="339">SUM(AF119:AL119)+AT119+AV119+AX119</f>
        <v>0</v>
      </c>
      <c r="AN119" s="50"/>
      <c r="AO119" s="50"/>
      <c r="AP119" s="50"/>
      <c r="AQ119" s="50"/>
      <c r="AR119" s="50">
        <f t="shared" ref="AR119:AR120" si="340">SUM(AN119:AQ119)</f>
        <v>0</v>
      </c>
      <c r="AS119" s="50"/>
      <c r="AT119" s="50"/>
      <c r="AU119" s="50"/>
      <c r="AV119" s="50"/>
      <c r="AW119" s="50"/>
      <c r="AX119" s="50"/>
      <c r="AY119" s="50"/>
      <c r="AZ119" s="50"/>
      <c r="BA119" s="50">
        <f t="shared" ref="BA119:BA121" si="341">+AR119+AS119+AU119+AW119+AY119+AZ119</f>
        <v>0</v>
      </c>
      <c r="BB119" s="180"/>
      <c r="BC119" s="116">
        <v>0</v>
      </c>
      <c r="BD119" s="116"/>
      <c r="BE119" s="116"/>
      <c r="BF119" s="116"/>
    </row>
    <row r="120" spans="1:58" ht="12.95" customHeight="1" x14ac:dyDescent="0.25">
      <c r="A120" s="117"/>
      <c r="B120" s="118"/>
      <c r="C120" s="119"/>
      <c r="D120" s="118"/>
      <c r="E120" s="37"/>
      <c r="F120" s="37"/>
      <c r="G120" s="188"/>
      <c r="H120" s="244"/>
      <c r="I120" s="45"/>
      <c r="J120" s="46"/>
      <c r="K120" s="46"/>
      <c r="L120" s="184"/>
      <c r="M120" s="184"/>
      <c r="N120" s="47"/>
      <c r="O120" s="48"/>
      <c r="P120" s="49"/>
      <c r="Q120" s="48"/>
      <c r="R120" s="123"/>
      <c r="S120" s="123"/>
      <c r="T120" s="50"/>
      <c r="U120" s="50"/>
      <c r="V120" s="50"/>
      <c r="W120" s="50"/>
      <c r="X120" s="51"/>
      <c r="Y120" s="50"/>
      <c r="Z120" s="50"/>
      <c r="AA120" s="53"/>
      <c r="AB120" s="53"/>
      <c r="AC120" s="50"/>
      <c r="AD120" s="50">
        <f t="shared" si="338"/>
        <v>32</v>
      </c>
      <c r="AE120" s="187" t="s">
        <v>130</v>
      </c>
      <c r="AF120" s="50"/>
      <c r="AG120" s="50"/>
      <c r="AH120" s="50">
        <v>32</v>
      </c>
      <c r="AI120" s="54"/>
      <c r="AJ120" s="50"/>
      <c r="AK120" s="50"/>
      <c r="AL120" s="50"/>
      <c r="AM120" s="50">
        <f t="shared" si="339"/>
        <v>32</v>
      </c>
      <c r="AN120" s="50"/>
      <c r="AO120" s="50"/>
      <c r="AP120" s="50"/>
      <c r="AQ120" s="50"/>
      <c r="AR120" s="50">
        <f t="shared" si="340"/>
        <v>0</v>
      </c>
      <c r="AS120" s="50"/>
      <c r="AT120" s="50"/>
      <c r="AU120" s="50"/>
      <c r="AV120" s="50"/>
      <c r="AW120" s="50"/>
      <c r="AX120" s="50"/>
      <c r="AY120" s="50"/>
      <c r="AZ120" s="50"/>
      <c r="BA120" s="50">
        <f t="shared" si="341"/>
        <v>0</v>
      </c>
      <c r="BB120" s="180"/>
      <c r="BC120" s="116"/>
      <c r="BD120" s="116"/>
      <c r="BE120" s="116"/>
      <c r="BF120" s="116"/>
    </row>
    <row r="121" spans="1:58" ht="12.95" customHeight="1" x14ac:dyDescent="0.25">
      <c r="A121" s="117"/>
      <c r="B121" s="204"/>
      <c r="C121" s="205"/>
      <c r="D121" s="204"/>
      <c r="E121" s="37"/>
      <c r="F121" s="37"/>
      <c r="G121" s="245"/>
      <c r="H121" s="244"/>
      <c r="I121" s="45"/>
      <c r="J121" s="46"/>
      <c r="K121" s="46"/>
      <c r="L121" s="246"/>
      <c r="M121" s="246"/>
      <c r="N121" s="47"/>
      <c r="O121" s="48"/>
      <c r="P121" s="49"/>
      <c r="Q121" s="48"/>
      <c r="R121" s="207"/>
      <c r="S121" s="207"/>
      <c r="T121" s="50"/>
      <c r="U121" s="50"/>
      <c r="V121" s="50"/>
      <c r="W121" s="50"/>
      <c r="X121" s="55"/>
      <c r="Y121" s="52"/>
      <c r="Z121" s="50"/>
      <c r="AA121" s="50"/>
      <c r="AB121" s="50"/>
      <c r="AC121" s="50"/>
      <c r="AD121" s="50">
        <f t="shared" si="338"/>
        <v>31</v>
      </c>
      <c r="AE121" s="191" t="s">
        <v>162</v>
      </c>
      <c r="AF121" s="50"/>
      <c r="AG121" s="50"/>
      <c r="AH121" s="50"/>
      <c r="AI121" s="54">
        <v>31</v>
      </c>
      <c r="AJ121" s="50"/>
      <c r="AK121" s="50"/>
      <c r="AL121" s="50"/>
      <c r="AM121" s="50">
        <f t="shared" ref="AM121" si="342">SUM(AF121:AL121)+AT121+AV121+AX121</f>
        <v>31</v>
      </c>
      <c r="AN121" s="50"/>
      <c r="AO121" s="50"/>
      <c r="AP121" s="50"/>
      <c r="AQ121" s="50"/>
      <c r="AR121" s="50">
        <f t="shared" ref="AR121" si="343">SUM(AN121:AQ121)</f>
        <v>0</v>
      </c>
      <c r="AS121" s="50"/>
      <c r="AT121" s="50"/>
      <c r="AU121" s="50"/>
      <c r="AV121" s="50"/>
      <c r="AW121" s="50"/>
      <c r="AX121" s="50"/>
      <c r="AY121" s="50"/>
      <c r="AZ121" s="50"/>
      <c r="BA121" s="50">
        <f t="shared" si="341"/>
        <v>0</v>
      </c>
      <c r="BB121" s="180"/>
      <c r="BC121" s="116"/>
      <c r="BD121" s="116"/>
      <c r="BE121" s="116"/>
      <c r="BF121" s="116"/>
    </row>
    <row r="122" spans="1:58" ht="12.95" customHeight="1" x14ac:dyDescent="0.25">
      <c r="A122" s="117"/>
      <c r="B122" s="118"/>
      <c r="C122" s="119"/>
      <c r="D122" s="118"/>
      <c r="E122" s="37"/>
      <c r="F122" s="37"/>
      <c r="G122" s="188"/>
      <c r="H122" s="244"/>
      <c r="I122" s="45"/>
      <c r="J122" s="46"/>
      <c r="K122" s="46"/>
      <c r="L122" s="184"/>
      <c r="M122" s="184"/>
      <c r="N122" s="47"/>
      <c r="O122" s="48"/>
      <c r="P122" s="49"/>
      <c r="Q122" s="48"/>
      <c r="R122" s="123"/>
      <c r="S122" s="123"/>
      <c r="T122" s="50"/>
      <c r="U122" s="50"/>
      <c r="V122" s="50"/>
      <c r="W122" s="50"/>
      <c r="X122" s="55"/>
      <c r="Y122" s="52"/>
      <c r="Z122" s="50"/>
      <c r="AA122" s="50"/>
      <c r="AB122" s="50"/>
      <c r="AC122" s="50"/>
      <c r="AD122" s="50"/>
      <c r="AE122" s="187"/>
      <c r="AF122" s="50"/>
      <c r="AG122" s="50"/>
      <c r="AH122" s="50"/>
      <c r="AI122" s="54"/>
      <c r="AJ122" s="50"/>
      <c r="AK122" s="50"/>
      <c r="AL122" s="50"/>
      <c r="AM122" s="50"/>
      <c r="AN122" s="157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189"/>
      <c r="BC122" s="116"/>
      <c r="BD122" s="116"/>
      <c r="BE122" s="116"/>
      <c r="BF122" s="116"/>
    </row>
    <row r="123" spans="1:58" ht="12.95" customHeight="1" x14ac:dyDescent="0.25">
      <c r="A123" s="117">
        <v>45989</v>
      </c>
      <c r="B123" s="118" t="s">
        <v>115</v>
      </c>
      <c r="C123" s="119">
        <f t="shared" ref="C123" si="344">(M123*E123*O123*Q123)/100000000</f>
        <v>51.035205245901643</v>
      </c>
      <c r="D123" s="118" t="s">
        <v>177</v>
      </c>
      <c r="E123" s="37">
        <v>12</v>
      </c>
      <c r="F123" s="37">
        <v>1</v>
      </c>
      <c r="G123" s="190">
        <v>1400</v>
      </c>
      <c r="H123" s="243">
        <f>+N123</f>
        <v>0.25</v>
      </c>
      <c r="I123" s="45">
        <v>0.88</v>
      </c>
      <c r="J123" s="46">
        <f t="shared" ref="J123" si="345">E123*G123*(1-H123)*1440/1000000*2.87</f>
        <v>52.073279999999997</v>
      </c>
      <c r="K123" s="46">
        <f t="shared" ref="K123" si="346">(IF(G123&lt;L123,L123,G123)*(1-IF(H123&lt;N123,H123,N123))*E123*O123*Q123)/100000000</f>
        <v>51.035205245901643</v>
      </c>
      <c r="L123" s="184">
        <v>1400</v>
      </c>
      <c r="M123" s="184">
        <v>1050</v>
      </c>
      <c r="N123" s="47">
        <f t="shared" ref="N123" si="347">1-(M123/L123)</f>
        <v>0.25</v>
      </c>
      <c r="O123" s="48">
        <f>+'[5]Trim Rwd'!H105</f>
        <v>281.27868852459017</v>
      </c>
      <c r="P123" s="49">
        <f t="shared" ref="P123" si="348">O123*(Q123-R123-S123)</f>
        <v>394915.27868852462</v>
      </c>
      <c r="Q123" s="48">
        <v>1440</v>
      </c>
      <c r="R123" s="123">
        <v>0</v>
      </c>
      <c r="S123" s="123">
        <v>36</v>
      </c>
      <c r="T123" s="50">
        <f t="shared" ref="T123" si="349">E123*M123*O123*Q123/100000000</f>
        <v>51.035205245901643</v>
      </c>
      <c r="U123" s="50">
        <f t="shared" ref="U123" si="350">E123*M123*O123*(Q123-R123-S123)/100000000</f>
        <v>49.759325114754098</v>
      </c>
      <c r="V123" s="50">
        <f t="shared" ref="V123" si="351">E123*G123*(1-N123)*O123/100*(R123+S123)/1000000</f>
        <v>1.275880131147541</v>
      </c>
      <c r="W123" s="50">
        <f>+'[5]28'!K34/1000</f>
        <v>48.036000000000001</v>
      </c>
      <c r="X123" s="55">
        <f>SUM(W123:W126)/SUM(K123:K126)</f>
        <v>0.94123262106127237</v>
      </c>
      <c r="Y123" s="50">
        <v>0</v>
      </c>
      <c r="Z123" s="50">
        <v>0</v>
      </c>
      <c r="AA123" s="50">
        <f>SUM(U123:U126)-SUM(W123:W126)-SUM(Z123:Z126)-SUM(Y123:Y126)</f>
        <v>1.7233251147540969</v>
      </c>
      <c r="AB123" s="50">
        <f>(SUM(K123:K126)-SUM(W123:W126)-SUM(Y123:Y126)-SUM(Z123:Z126)-SUM(AC123:AC126)-SUM(V123:V126))-AA123</f>
        <v>4.2188474935755949E-15</v>
      </c>
      <c r="AC123" s="50">
        <f>K123-T123</f>
        <v>0</v>
      </c>
      <c r="AD123" s="50">
        <f>+AM123+BA123</f>
        <v>10</v>
      </c>
      <c r="AE123" s="187" t="s">
        <v>113</v>
      </c>
      <c r="AF123" s="180">
        <v>10</v>
      </c>
      <c r="AG123" s="180"/>
      <c r="AH123" s="180"/>
      <c r="AJ123" s="50"/>
      <c r="AK123" s="50"/>
      <c r="AL123" s="50"/>
      <c r="AM123" s="50">
        <f>SUM(AF123:AL123)+AT123+AV123+AX123</f>
        <v>10</v>
      </c>
      <c r="AN123" s="50"/>
      <c r="AO123" s="50"/>
      <c r="AP123" s="50"/>
      <c r="AQ123" s="50"/>
      <c r="AR123" s="50">
        <f>SUM(AN123:AQ123)</f>
        <v>0</v>
      </c>
      <c r="AS123" s="50"/>
      <c r="AT123" s="50"/>
      <c r="AU123" s="50"/>
      <c r="AV123" s="50"/>
      <c r="AW123" s="50"/>
      <c r="AX123" s="50"/>
      <c r="AY123" s="50"/>
      <c r="AZ123" s="50"/>
      <c r="BA123" s="50">
        <f>+AR123+AS123+AU123+AW123+AY123+AZ123</f>
        <v>0</v>
      </c>
      <c r="BB123" s="180">
        <v>2</v>
      </c>
      <c r="BC123" s="146"/>
      <c r="BD123" s="116"/>
      <c r="BE123" s="116"/>
      <c r="BF123" s="116"/>
    </row>
    <row r="124" spans="1:58" ht="12.95" customHeight="1" x14ac:dyDescent="0.25">
      <c r="A124" s="117"/>
      <c r="B124" s="118"/>
      <c r="C124" s="119"/>
      <c r="D124" s="118"/>
      <c r="E124" s="37"/>
      <c r="F124" s="37"/>
      <c r="G124" s="188"/>
      <c r="H124" s="244"/>
      <c r="I124" s="45"/>
      <c r="J124" s="46"/>
      <c r="K124" s="46"/>
      <c r="L124" s="184"/>
      <c r="M124" s="184"/>
      <c r="N124" s="47"/>
      <c r="O124" s="48"/>
      <c r="P124" s="49"/>
      <c r="Q124" s="48"/>
      <c r="R124" s="123"/>
      <c r="S124" s="123"/>
      <c r="T124" s="50"/>
      <c r="U124" s="50"/>
      <c r="V124" s="50"/>
      <c r="W124" s="50"/>
      <c r="X124" s="51"/>
      <c r="Y124" s="52"/>
      <c r="Z124" s="50"/>
      <c r="AA124" s="53"/>
      <c r="AB124" s="53"/>
      <c r="AC124" s="50"/>
      <c r="AD124" s="50">
        <f t="shared" ref="AD124:AD125" si="352">+AM124+BA124</f>
        <v>0</v>
      </c>
      <c r="AE124" s="187" t="s">
        <v>111</v>
      </c>
      <c r="AF124" s="50"/>
      <c r="AG124" s="50">
        <v>0</v>
      </c>
      <c r="AH124" s="50"/>
      <c r="AI124" s="50"/>
      <c r="AJ124" s="50"/>
      <c r="AK124" s="50"/>
      <c r="AL124" s="50"/>
      <c r="AM124" s="50">
        <f t="shared" ref="AM124:AM125" si="353">SUM(AF124:AL124)+AT124+AV124+AX124</f>
        <v>0</v>
      </c>
      <c r="AN124" s="50"/>
      <c r="AO124" s="50"/>
      <c r="AP124" s="50"/>
      <c r="AQ124" s="50"/>
      <c r="AR124" s="50">
        <f t="shared" ref="AR124:AR125" si="354">SUM(AN124:AQ124)</f>
        <v>0</v>
      </c>
      <c r="AS124" s="50"/>
      <c r="AT124" s="50"/>
      <c r="AU124" s="50"/>
      <c r="AV124" s="50"/>
      <c r="AW124" s="50"/>
      <c r="AX124" s="50"/>
      <c r="AY124" s="50"/>
      <c r="AZ124" s="50"/>
      <c r="BA124" s="50">
        <f t="shared" ref="BA124:BA125" si="355">+AR124+AS124+AU124+AW124+AY124+AZ124</f>
        <v>0</v>
      </c>
      <c r="BB124" s="180"/>
      <c r="BC124" s="116">
        <v>0</v>
      </c>
      <c r="BD124" s="116"/>
      <c r="BE124" s="116"/>
      <c r="BF124" s="116"/>
    </row>
    <row r="125" spans="1:58" ht="12.95" customHeight="1" x14ac:dyDescent="0.25">
      <c r="A125" s="117"/>
      <c r="B125" s="118"/>
      <c r="C125" s="119"/>
      <c r="D125" s="118"/>
      <c r="E125" s="37"/>
      <c r="F125" s="37"/>
      <c r="G125" s="188"/>
      <c r="H125" s="244"/>
      <c r="I125" s="45"/>
      <c r="J125" s="46"/>
      <c r="K125" s="46"/>
      <c r="L125" s="184"/>
      <c r="M125" s="184"/>
      <c r="N125" s="47"/>
      <c r="O125" s="48"/>
      <c r="P125" s="49"/>
      <c r="Q125" s="48"/>
      <c r="R125" s="123"/>
      <c r="S125" s="123"/>
      <c r="T125" s="50"/>
      <c r="U125" s="50"/>
      <c r="V125" s="50"/>
      <c r="W125" s="50"/>
      <c r="X125" s="51"/>
      <c r="Y125" s="50"/>
      <c r="Z125" s="50"/>
      <c r="AA125" s="53"/>
      <c r="AB125" s="53"/>
      <c r="AC125" s="50"/>
      <c r="AD125" s="50">
        <f t="shared" si="352"/>
        <v>26</v>
      </c>
      <c r="AE125" s="187" t="s">
        <v>114</v>
      </c>
      <c r="AF125" s="50"/>
      <c r="AG125" s="50"/>
      <c r="AH125" s="50">
        <v>26</v>
      </c>
      <c r="AI125" s="54"/>
      <c r="AJ125" s="50"/>
      <c r="AK125" s="50"/>
      <c r="AL125" s="50"/>
      <c r="AM125" s="50">
        <f t="shared" si="353"/>
        <v>26</v>
      </c>
      <c r="AN125" s="50"/>
      <c r="AO125" s="50"/>
      <c r="AP125" s="50"/>
      <c r="AQ125" s="50"/>
      <c r="AR125" s="50">
        <f t="shared" si="354"/>
        <v>0</v>
      </c>
      <c r="AS125" s="50"/>
      <c r="AT125" s="50"/>
      <c r="AU125" s="50"/>
      <c r="AV125" s="50"/>
      <c r="AW125" s="50"/>
      <c r="AX125" s="50"/>
      <c r="AY125" s="50"/>
      <c r="AZ125" s="50"/>
      <c r="BA125" s="50">
        <f t="shared" si="355"/>
        <v>0</v>
      </c>
      <c r="BB125" s="180"/>
      <c r="BC125" s="116"/>
      <c r="BD125" s="116"/>
      <c r="BE125" s="116"/>
      <c r="BF125" s="116"/>
    </row>
    <row r="126" spans="1:58" ht="12.95" customHeight="1" x14ac:dyDescent="0.25">
      <c r="A126" s="117"/>
      <c r="B126" s="118"/>
      <c r="C126" s="119"/>
      <c r="D126" s="118"/>
      <c r="E126" s="37"/>
      <c r="F126" s="37"/>
      <c r="G126" s="188"/>
      <c r="H126" s="244"/>
      <c r="I126" s="45"/>
      <c r="J126" s="46"/>
      <c r="K126" s="46"/>
      <c r="L126" s="184"/>
      <c r="M126" s="184"/>
      <c r="N126" s="47"/>
      <c r="O126" s="48"/>
      <c r="P126" s="49"/>
      <c r="Q126" s="48"/>
      <c r="R126" s="123"/>
      <c r="S126" s="123"/>
      <c r="T126" s="50"/>
      <c r="U126" s="50"/>
      <c r="V126" s="50"/>
      <c r="W126" s="50"/>
      <c r="X126" s="51"/>
      <c r="Y126" s="50"/>
      <c r="Z126" s="50"/>
      <c r="AA126" s="53"/>
      <c r="AB126" s="53"/>
      <c r="AC126" s="50"/>
      <c r="AD126" s="50"/>
      <c r="AE126" s="187"/>
      <c r="AF126" s="50"/>
      <c r="AG126" s="50"/>
      <c r="AH126" s="50"/>
      <c r="AI126" s="54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180"/>
      <c r="BC126" s="116"/>
      <c r="BD126" s="116"/>
      <c r="BE126" s="116"/>
      <c r="BF126" s="116"/>
    </row>
    <row r="127" spans="1:58" ht="12.95" customHeight="1" x14ac:dyDescent="0.25">
      <c r="A127" s="117">
        <v>45990</v>
      </c>
      <c r="B127" s="118" t="s">
        <v>115</v>
      </c>
      <c r="C127" s="119">
        <f t="shared" ref="C127" si="356">(M127*E127*O127*Q127)/100000000</f>
        <v>50.913641739130441</v>
      </c>
      <c r="D127" s="118" t="s">
        <v>177</v>
      </c>
      <c r="E127" s="37">
        <v>12</v>
      </c>
      <c r="F127" s="37">
        <v>1</v>
      </c>
      <c r="G127" s="190">
        <v>1400</v>
      </c>
      <c r="H127" s="243">
        <f>+N127</f>
        <v>0.25</v>
      </c>
      <c r="I127" s="45">
        <v>0.88</v>
      </c>
      <c r="J127" s="46">
        <f t="shared" ref="J127" si="357">E127*G127*(1-H127)*1440/1000000*2.87</f>
        <v>52.073279999999997</v>
      </c>
      <c r="K127" s="46">
        <f t="shared" ref="K127" si="358">(IF(G127&lt;L127,L127,G127)*(1-IF(H127&lt;N127,H127,N127))*E127*O127*Q127)/100000000</f>
        <v>50.913641739130441</v>
      </c>
      <c r="L127" s="184">
        <v>1400</v>
      </c>
      <c r="M127" s="184">
        <v>1050</v>
      </c>
      <c r="N127" s="47">
        <f t="shared" ref="N127" si="359">1-(M127/L127)</f>
        <v>0.25</v>
      </c>
      <c r="O127" s="48">
        <f>+'[5]Trim Rwd'!H108</f>
        <v>280.60869565217394</v>
      </c>
      <c r="P127" s="49">
        <f t="shared" ref="P127" si="360">O127*(Q127-R127-S127)</f>
        <v>395938.86956521741</v>
      </c>
      <c r="Q127" s="48">
        <v>1440</v>
      </c>
      <c r="R127" s="123">
        <v>0</v>
      </c>
      <c r="S127" s="123">
        <v>29</v>
      </c>
      <c r="T127" s="50">
        <f t="shared" ref="T127" si="361">E127*M127*O127*Q127/100000000</f>
        <v>50.913641739130441</v>
      </c>
      <c r="U127" s="50">
        <f t="shared" ref="U127" si="362">E127*M127*O127*(Q127-R127-S127)/100000000</f>
        <v>49.8882975652174</v>
      </c>
      <c r="V127" s="50">
        <f t="shared" ref="V127" si="363">E127*G127*(1-N127)*O127/100*(R127+S127)/1000000</f>
        <v>1.0253441739130438</v>
      </c>
      <c r="W127" s="50">
        <f>+'[5]29'!K34/1000</f>
        <v>44.366</v>
      </c>
      <c r="X127" s="55">
        <f>SUM(W127:W130)/SUM(K127:K130)</f>
        <v>0.87139710467620801</v>
      </c>
      <c r="Y127" s="50">
        <v>0</v>
      </c>
      <c r="Z127" s="50">
        <v>0</v>
      </c>
      <c r="AA127" s="50">
        <f>SUM(U127:U130)-SUM(W127:W130)-SUM(Z127:Z130)-SUM(Y127:Y130)</f>
        <v>5.5222975652174</v>
      </c>
      <c r="AB127" s="50">
        <f>(SUM(K127:K130)-SUM(W127:W130)-SUM(Y127:Y130)-SUM(Z127:Z130)-SUM(AC127:AC130)-SUM(V127:V130))-AA127</f>
        <v>0</v>
      </c>
      <c r="AC127" s="50">
        <f>K127-T127</f>
        <v>0</v>
      </c>
      <c r="AD127" s="50">
        <f>+AM127+BA127</f>
        <v>0</v>
      </c>
      <c r="AE127" s="187" t="s">
        <v>110</v>
      </c>
      <c r="AF127" s="180">
        <v>0</v>
      </c>
      <c r="AG127" s="180"/>
      <c r="AH127" s="180"/>
      <c r="AJ127" s="50"/>
      <c r="AK127" s="50"/>
      <c r="AL127" s="50"/>
      <c r="AM127" s="50">
        <f>SUM(AF127:AL127)+AT127+AV127+AX127</f>
        <v>0</v>
      </c>
      <c r="AN127" s="50"/>
      <c r="AO127" s="50"/>
      <c r="AP127" s="50"/>
      <c r="AQ127" s="50"/>
      <c r="AR127" s="50">
        <f>SUM(AN127:AQ127)</f>
        <v>0</v>
      </c>
      <c r="AS127" s="50"/>
      <c r="AT127" s="50"/>
      <c r="AU127" s="50"/>
      <c r="AV127" s="50"/>
      <c r="AW127" s="50"/>
      <c r="AX127" s="50"/>
      <c r="AY127" s="50"/>
      <c r="AZ127" s="50"/>
      <c r="BA127" s="50">
        <f>+AR127+AS127+AU127+AW127+AY127+AZ127</f>
        <v>0</v>
      </c>
      <c r="BB127" s="180">
        <v>0</v>
      </c>
      <c r="BC127" s="146"/>
      <c r="BD127" s="116"/>
      <c r="BE127" s="116"/>
      <c r="BF127" s="116"/>
    </row>
    <row r="128" spans="1:58" ht="12.95" customHeight="1" x14ac:dyDescent="0.25">
      <c r="A128" s="117"/>
      <c r="B128" s="118"/>
      <c r="C128" s="119"/>
      <c r="D128" s="118"/>
      <c r="E128" s="37"/>
      <c r="F128" s="37"/>
      <c r="G128" s="188"/>
      <c r="H128" s="244"/>
      <c r="I128" s="45"/>
      <c r="J128" s="46"/>
      <c r="K128" s="46"/>
      <c r="L128" s="184"/>
      <c r="M128" s="184"/>
      <c r="N128" s="47"/>
      <c r="O128" s="48"/>
      <c r="P128" s="49"/>
      <c r="Q128" s="48"/>
      <c r="R128" s="123"/>
      <c r="S128" s="123"/>
      <c r="T128" s="50"/>
      <c r="U128" s="50"/>
      <c r="V128" s="50"/>
      <c r="W128" s="50"/>
      <c r="X128" s="51"/>
      <c r="Y128" s="52"/>
      <c r="Z128" s="50"/>
      <c r="AA128" s="53"/>
      <c r="AB128" s="53"/>
      <c r="AC128" s="50"/>
      <c r="AD128" s="50">
        <f t="shared" ref="AD128:AD129" si="364">+AM128+BA128</f>
        <v>0</v>
      </c>
      <c r="AE128" s="187" t="s">
        <v>111</v>
      </c>
      <c r="AF128" s="50"/>
      <c r="AG128" s="50">
        <v>0</v>
      </c>
      <c r="AH128" s="50"/>
      <c r="AI128" s="50"/>
      <c r="AJ128" s="50"/>
      <c r="AK128" s="50"/>
      <c r="AL128" s="50"/>
      <c r="AM128" s="50">
        <f t="shared" ref="AM128:AM129" si="365">SUM(AF128:AL128)+AT128+AV128+AX128</f>
        <v>0</v>
      </c>
      <c r="AN128" s="50"/>
      <c r="AO128" s="50"/>
      <c r="AP128" s="50"/>
      <c r="AQ128" s="50"/>
      <c r="AR128" s="50">
        <f t="shared" ref="AR128:AR129" si="366">SUM(AN128:AQ128)</f>
        <v>0</v>
      </c>
      <c r="AS128" s="50"/>
      <c r="AT128" s="50"/>
      <c r="AU128" s="50"/>
      <c r="AV128" s="50"/>
      <c r="AW128" s="50"/>
      <c r="AX128" s="50"/>
      <c r="AY128" s="50"/>
      <c r="AZ128" s="50"/>
      <c r="BA128" s="50">
        <f t="shared" ref="BA128:BA129" si="367">+AR128+AS128+AU128+AW128+AY128+AZ128</f>
        <v>0</v>
      </c>
      <c r="BB128" s="180"/>
      <c r="BC128" s="116">
        <v>0</v>
      </c>
      <c r="BD128" s="116"/>
      <c r="BE128" s="116"/>
      <c r="BF128" s="116"/>
    </row>
    <row r="129" spans="1:58" ht="12.95" customHeight="1" x14ac:dyDescent="0.25">
      <c r="A129" s="117"/>
      <c r="B129" s="118"/>
      <c r="C129" s="119"/>
      <c r="D129" s="118"/>
      <c r="E129" s="37"/>
      <c r="F129" s="37"/>
      <c r="G129" s="188"/>
      <c r="H129" s="244"/>
      <c r="I129" s="45"/>
      <c r="J129" s="46"/>
      <c r="K129" s="46"/>
      <c r="L129" s="184"/>
      <c r="M129" s="184"/>
      <c r="N129" s="47"/>
      <c r="O129" s="48"/>
      <c r="P129" s="49"/>
      <c r="Q129" s="48"/>
      <c r="R129" s="123"/>
      <c r="S129" s="123"/>
      <c r="T129" s="50"/>
      <c r="U129" s="50"/>
      <c r="V129" s="50"/>
      <c r="W129" s="50"/>
      <c r="X129" s="51"/>
      <c r="Y129" s="50"/>
      <c r="Z129" s="50"/>
      <c r="AA129" s="53"/>
      <c r="AB129" s="53"/>
      <c r="AC129" s="50"/>
      <c r="AD129" s="50">
        <f t="shared" si="364"/>
        <v>29</v>
      </c>
      <c r="AE129" s="187" t="s">
        <v>123</v>
      </c>
      <c r="AF129" s="50"/>
      <c r="AG129" s="50"/>
      <c r="AH129" s="50">
        <v>29</v>
      </c>
      <c r="AI129" s="54"/>
      <c r="AJ129" s="50"/>
      <c r="AK129" s="50"/>
      <c r="AL129" s="50"/>
      <c r="AM129" s="50">
        <f t="shared" si="365"/>
        <v>29</v>
      </c>
      <c r="AN129" s="50"/>
      <c r="AO129" s="50"/>
      <c r="AP129" s="50"/>
      <c r="AQ129" s="50"/>
      <c r="AR129" s="50">
        <f t="shared" si="366"/>
        <v>0</v>
      </c>
      <c r="AS129" s="50"/>
      <c r="AT129" s="50"/>
      <c r="AU129" s="50"/>
      <c r="AV129" s="50"/>
      <c r="AW129" s="50"/>
      <c r="AX129" s="50"/>
      <c r="AY129" s="50"/>
      <c r="AZ129" s="50"/>
      <c r="BA129" s="50">
        <f t="shared" si="367"/>
        <v>0</v>
      </c>
      <c r="BB129" s="180"/>
      <c r="BC129" s="116"/>
      <c r="BD129" s="116"/>
      <c r="BE129" s="116"/>
      <c r="BF129" s="116"/>
    </row>
    <row r="130" spans="1:58" ht="12.95" customHeight="1" x14ac:dyDescent="0.25">
      <c r="A130" s="117"/>
      <c r="B130" s="118"/>
      <c r="C130" s="119"/>
      <c r="D130" s="118"/>
      <c r="E130" s="37"/>
      <c r="F130" s="37"/>
      <c r="G130" s="188"/>
      <c r="H130" s="244"/>
      <c r="I130" s="45"/>
      <c r="J130" s="46"/>
      <c r="K130" s="46"/>
      <c r="L130" s="184"/>
      <c r="M130" s="184"/>
      <c r="N130" s="47"/>
      <c r="O130" s="48"/>
      <c r="P130" s="49"/>
      <c r="Q130" s="48"/>
      <c r="R130" s="123"/>
      <c r="S130" s="123"/>
      <c r="T130" s="50"/>
      <c r="U130" s="50"/>
      <c r="V130" s="50"/>
      <c r="W130" s="50"/>
      <c r="X130" s="51"/>
      <c r="Y130" s="50"/>
      <c r="Z130" s="50"/>
      <c r="AA130" s="53"/>
      <c r="AB130" s="53"/>
      <c r="AC130" s="50"/>
      <c r="AD130" s="50"/>
      <c r="AE130" s="187"/>
      <c r="AF130" s="50"/>
      <c r="AG130" s="50"/>
      <c r="AH130" s="50"/>
      <c r="AI130" s="54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180"/>
      <c r="BC130" s="116"/>
      <c r="BD130" s="116"/>
      <c r="BE130" s="116"/>
      <c r="BF130" s="116"/>
    </row>
    <row r="131" spans="1:58" ht="12.95" customHeight="1" x14ac:dyDescent="0.25">
      <c r="A131" s="117">
        <v>45991</v>
      </c>
      <c r="B131" s="118" t="s">
        <v>115</v>
      </c>
      <c r="C131" s="119">
        <f t="shared" ref="C131:C132" si="368">(M131*E131*O131*Q131)/100000000</f>
        <v>49.676157391304351</v>
      </c>
      <c r="D131" s="118" t="s">
        <v>177</v>
      </c>
      <c r="E131" s="37">
        <v>12</v>
      </c>
      <c r="F131" s="37">
        <v>1</v>
      </c>
      <c r="G131" s="190">
        <v>1400</v>
      </c>
      <c r="H131" s="243">
        <f>+N131</f>
        <v>0.25</v>
      </c>
      <c r="I131" s="45">
        <v>0.88</v>
      </c>
      <c r="J131" s="46">
        <f t="shared" ref="J131:J132" si="369">E131*G131*(1-H131)*1440/1000000*2.87</f>
        <v>52.073279999999997</v>
      </c>
      <c r="K131" s="46">
        <f t="shared" ref="K131:K132" si="370">(IF(G131&lt;L131,L131,G131)*(1-IF(H131&lt;N131,H131,N131))*E131*O131*Q131)/100000000</f>
        <v>49.676157391304351</v>
      </c>
      <c r="L131" s="184">
        <v>1400</v>
      </c>
      <c r="M131" s="184">
        <f>+L131-L131*0.25</f>
        <v>1050</v>
      </c>
      <c r="N131" s="47">
        <f t="shared" ref="N131:N132" si="371">1-(M131/L131)</f>
        <v>0.25</v>
      </c>
      <c r="O131" s="48">
        <f>+'[5]Trim Rwd'!H111</f>
        <v>280.60869565217394</v>
      </c>
      <c r="P131" s="49">
        <f t="shared" ref="P131:P132" si="372">O131*(Q131-R131-S131)</f>
        <v>383872.69565217395</v>
      </c>
      <c r="Q131" s="48">
        <v>1405</v>
      </c>
      <c r="R131" s="123">
        <v>0</v>
      </c>
      <c r="S131" s="123">
        <v>37</v>
      </c>
      <c r="T131" s="50">
        <f t="shared" ref="T131:T132" si="373">E131*M131*O131*Q131/100000000</f>
        <v>49.676157391304351</v>
      </c>
      <c r="U131" s="50">
        <f t="shared" ref="U131:U132" si="374">E131*M131*O131*(Q131-R131-S131)/100000000</f>
        <v>48.367959652173923</v>
      </c>
      <c r="V131" s="50">
        <f t="shared" ref="V131:V132" si="375">E131*G131*(1-N131)*O131/100*(R131+S131)/1000000</f>
        <v>1.3081977391304351</v>
      </c>
      <c r="W131" s="50">
        <f>+'[5]30'!K19/1000</f>
        <v>45.417999999999999</v>
      </c>
      <c r="X131" s="55">
        <f>SUM(W131:W134)/SUM(K131:K134)</f>
        <v>0.88954270451671236</v>
      </c>
      <c r="Y131" s="50">
        <f>+SUM([5]RBP!$AG$3:$AG$4)</f>
        <v>10.09</v>
      </c>
      <c r="Z131" s="50">
        <f>+'[5]30'!D7/1000</f>
        <v>0.25</v>
      </c>
      <c r="AA131" s="50">
        <f>SUM(U131:U134)-SUM(W131:W134)-SUM(Z131:Z134)-SUM(Y131:Y134)</f>
        <v>-6.008502847826076</v>
      </c>
      <c r="AB131" s="50">
        <f>(SUM(K131:K134)-SUM(W131:W134)-SUM(Y131:Y134)-SUM(Z131:Z134)-SUM(AC131:AC134)-SUM(V131:V134))-AA131</f>
        <v>-7.1054273576010019E-15</v>
      </c>
      <c r="AC131" s="50">
        <f>K131-T131</f>
        <v>0</v>
      </c>
      <c r="AD131" s="50">
        <f>+AM131+BA131</f>
        <v>10</v>
      </c>
      <c r="AE131" s="187" t="s">
        <v>113</v>
      </c>
      <c r="AF131" s="180">
        <v>10</v>
      </c>
      <c r="AG131" s="180"/>
      <c r="AH131" s="180"/>
      <c r="AJ131" s="50"/>
      <c r="AK131" s="50"/>
      <c r="AL131" s="50"/>
      <c r="AM131" s="50">
        <f>SUM(AF131:AL131)+AT131+AV131+AX131</f>
        <v>10</v>
      </c>
      <c r="AN131" s="50"/>
      <c r="AO131" s="50"/>
      <c r="AP131" s="50"/>
      <c r="AQ131" s="50"/>
      <c r="AR131" s="50">
        <f>SUM(AN131:AQ131)</f>
        <v>0</v>
      </c>
      <c r="AS131" s="50"/>
      <c r="AT131" s="50"/>
      <c r="AU131" s="50"/>
      <c r="AV131" s="50"/>
      <c r="AW131" s="50"/>
      <c r="AX131" s="50"/>
      <c r="AY131" s="50"/>
      <c r="AZ131" s="50"/>
      <c r="BA131" s="50">
        <f>+AR131+AS131+AU131+AW131+AY131+AZ131</f>
        <v>0</v>
      </c>
      <c r="BB131" s="180">
        <v>2</v>
      </c>
      <c r="BC131" s="146"/>
      <c r="BD131" s="116"/>
      <c r="BE131" s="116"/>
      <c r="BF131" s="116"/>
    </row>
    <row r="132" spans="1:58" ht="12.95" customHeight="1" x14ac:dyDescent="0.25">
      <c r="A132" s="117"/>
      <c r="B132" s="118" t="s">
        <v>115</v>
      </c>
      <c r="C132" s="119">
        <f t="shared" si="368"/>
        <v>1.3815375000000001</v>
      </c>
      <c r="D132" s="118" t="s">
        <v>177</v>
      </c>
      <c r="E132" s="37">
        <v>15</v>
      </c>
      <c r="F132" s="37">
        <v>1</v>
      </c>
      <c r="G132" s="190">
        <v>1250</v>
      </c>
      <c r="H132" s="243">
        <f>+N132</f>
        <v>0.24</v>
      </c>
      <c r="I132" s="45">
        <v>0.88</v>
      </c>
      <c r="J132" s="46">
        <f t="shared" si="369"/>
        <v>58.892400000000002</v>
      </c>
      <c r="K132" s="46">
        <f t="shared" si="370"/>
        <v>1.3815375000000001</v>
      </c>
      <c r="L132" s="184">
        <v>1250</v>
      </c>
      <c r="M132" s="184">
        <v>950</v>
      </c>
      <c r="N132" s="47">
        <f t="shared" si="371"/>
        <v>0.24</v>
      </c>
      <c r="O132" s="48">
        <f>+'[5]Trim Rwd'!H113</f>
        <v>277</v>
      </c>
      <c r="P132" s="49">
        <f t="shared" si="372"/>
        <v>9695</v>
      </c>
      <c r="Q132" s="48">
        <v>35</v>
      </c>
      <c r="R132" s="123">
        <v>0</v>
      </c>
      <c r="S132" s="123">
        <v>0</v>
      </c>
      <c r="T132" s="50">
        <f t="shared" si="373"/>
        <v>1.3815375000000001</v>
      </c>
      <c r="U132" s="50">
        <f t="shared" si="374"/>
        <v>1.3815375000000001</v>
      </c>
      <c r="V132" s="50">
        <f t="shared" si="375"/>
        <v>0</v>
      </c>
      <c r="W132" s="50">
        <f>+'[5]30'!K21/1000</f>
        <v>0</v>
      </c>
      <c r="X132" s="51"/>
      <c r="Y132" s="52"/>
      <c r="Z132" s="50"/>
      <c r="AA132" s="53"/>
      <c r="AB132" s="53"/>
      <c r="AC132" s="50">
        <f>K132-T132</f>
        <v>0</v>
      </c>
      <c r="AD132" s="50">
        <f t="shared" ref="AD132:AD133" si="376">+AM132+BA132</f>
        <v>0</v>
      </c>
      <c r="AE132" s="187" t="s">
        <v>111</v>
      </c>
      <c r="AF132" s="50"/>
      <c r="AG132" s="50">
        <v>0</v>
      </c>
      <c r="AH132" s="50"/>
      <c r="AI132" s="50"/>
      <c r="AJ132" s="50"/>
      <c r="AK132" s="50"/>
      <c r="AL132" s="50"/>
      <c r="AM132" s="50">
        <f t="shared" ref="AM132:AM133" si="377">SUM(AF132:AL132)+AT132+AV132+AX132</f>
        <v>0</v>
      </c>
      <c r="AN132" s="50"/>
      <c r="AO132" s="50"/>
      <c r="AP132" s="50"/>
      <c r="AQ132" s="50"/>
      <c r="AR132" s="50">
        <f t="shared" ref="AR132:AR133" si="378">SUM(AN132:AQ132)</f>
        <v>0</v>
      </c>
      <c r="AS132" s="50"/>
      <c r="AT132" s="50"/>
      <c r="AU132" s="50"/>
      <c r="AV132" s="50"/>
      <c r="AW132" s="50"/>
      <c r="AX132" s="50"/>
      <c r="AY132" s="50"/>
      <c r="AZ132" s="50"/>
      <c r="BA132" s="50">
        <f t="shared" ref="BA132:BA133" si="379">+AR132+AS132+AU132+AW132+AY132+AZ132</f>
        <v>0</v>
      </c>
      <c r="BB132" s="180"/>
      <c r="BC132" s="116">
        <v>0</v>
      </c>
      <c r="BD132" s="116"/>
      <c r="BE132" s="116"/>
      <c r="BF132" s="116"/>
    </row>
    <row r="133" spans="1:58" ht="12.95" customHeight="1" x14ac:dyDescent="0.25">
      <c r="A133" s="117"/>
      <c r="B133" s="118"/>
      <c r="C133" s="119"/>
      <c r="D133" s="118"/>
      <c r="E133" s="37"/>
      <c r="F133" s="37"/>
      <c r="G133" s="188"/>
      <c r="H133" s="244"/>
      <c r="I133" s="45"/>
      <c r="J133" s="46"/>
      <c r="K133" s="46"/>
      <c r="L133" s="184"/>
      <c r="M133" s="184"/>
      <c r="N133" s="47"/>
      <c r="O133" s="48"/>
      <c r="P133" s="49"/>
      <c r="Q133" s="48"/>
      <c r="R133" s="123"/>
      <c r="S133" s="123"/>
      <c r="T133" s="50"/>
      <c r="U133" s="50"/>
      <c r="V133" s="50"/>
      <c r="W133" s="50"/>
      <c r="X133" s="51"/>
      <c r="Y133" s="50"/>
      <c r="Z133" s="50"/>
      <c r="AA133" s="53"/>
      <c r="AB133" s="53"/>
      <c r="AC133" s="50"/>
      <c r="AD133" s="50">
        <f t="shared" si="376"/>
        <v>27</v>
      </c>
      <c r="AE133" s="187" t="s">
        <v>114</v>
      </c>
      <c r="AF133" s="50"/>
      <c r="AG133" s="50"/>
      <c r="AH133" s="50">
        <v>27</v>
      </c>
      <c r="AI133" s="54"/>
      <c r="AJ133" s="50"/>
      <c r="AK133" s="50"/>
      <c r="AL133" s="50"/>
      <c r="AM133" s="50">
        <f t="shared" si="377"/>
        <v>27</v>
      </c>
      <c r="AN133" s="50"/>
      <c r="AO133" s="50"/>
      <c r="AP133" s="50"/>
      <c r="AQ133" s="50"/>
      <c r="AR133" s="50">
        <f t="shared" si="378"/>
        <v>0</v>
      </c>
      <c r="AS133" s="50"/>
      <c r="AT133" s="50"/>
      <c r="AU133" s="50"/>
      <c r="AV133" s="50"/>
      <c r="AW133" s="50"/>
      <c r="AX133" s="50"/>
      <c r="AY133" s="50"/>
      <c r="AZ133" s="50"/>
      <c r="BA133" s="50">
        <f t="shared" si="379"/>
        <v>0</v>
      </c>
      <c r="BB133" s="180"/>
      <c r="BC133" s="116"/>
      <c r="BD133" s="116"/>
      <c r="BE133" s="116"/>
      <c r="BF133" s="116"/>
    </row>
    <row r="134" spans="1:58" ht="12.95" customHeight="1" x14ac:dyDescent="0.25">
      <c r="A134" s="117"/>
      <c r="B134" s="118"/>
      <c r="C134" s="119"/>
      <c r="D134" s="118"/>
      <c r="E134" s="37"/>
      <c r="F134" s="37"/>
      <c r="G134" s="188"/>
      <c r="H134" s="244"/>
      <c r="I134" s="45"/>
      <c r="J134" s="46"/>
      <c r="K134" s="46"/>
      <c r="L134" s="184"/>
      <c r="M134" s="184"/>
      <c r="N134" s="47"/>
      <c r="O134" s="48"/>
      <c r="P134" s="49"/>
      <c r="Q134" s="48"/>
      <c r="R134" s="123"/>
      <c r="S134" s="123"/>
      <c r="T134" s="50"/>
      <c r="U134" s="50"/>
      <c r="V134" s="50"/>
      <c r="W134" s="50"/>
      <c r="X134" s="51"/>
      <c r="Y134" s="50"/>
      <c r="Z134" s="50"/>
      <c r="AA134" s="53"/>
      <c r="AB134" s="53"/>
      <c r="AC134" s="50"/>
      <c r="AD134" s="50"/>
      <c r="AE134" s="187"/>
      <c r="AF134" s="50"/>
      <c r="AG134" s="50"/>
      <c r="AH134" s="50"/>
      <c r="AI134" s="54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180"/>
      <c r="BC134" s="116"/>
      <c r="BD134" s="116"/>
      <c r="BE134" s="116"/>
      <c r="BF134" s="116"/>
    </row>
    <row r="135" spans="1:58" s="172" customFormat="1" ht="12.95" customHeight="1" x14ac:dyDescent="0.2">
      <c r="A135" s="156"/>
      <c r="B135" s="156"/>
      <c r="C135" s="156"/>
      <c r="D135" s="156"/>
      <c r="E135" s="156"/>
      <c r="F135" s="158"/>
      <c r="G135" s="156"/>
      <c r="H135" s="156"/>
      <c r="I135" s="156"/>
      <c r="J135" s="157"/>
      <c r="K135" s="157"/>
      <c r="L135" s="159"/>
      <c r="M135" s="159"/>
      <c r="N135" s="156"/>
      <c r="O135" s="156"/>
      <c r="P135" s="156"/>
      <c r="Q135" s="58"/>
      <c r="R135" s="202"/>
      <c r="S135" s="202"/>
      <c r="T135" s="156"/>
      <c r="U135" s="156"/>
      <c r="V135" s="156"/>
      <c r="W135" s="156"/>
      <c r="X135" s="156"/>
      <c r="Y135" s="156"/>
      <c r="Z135" s="156"/>
      <c r="AA135" s="59">
        <f>U135-W135-Z135</f>
        <v>0</v>
      </c>
      <c r="AB135" s="59"/>
      <c r="AC135" s="60">
        <f>K135-T135</f>
        <v>0</v>
      </c>
      <c r="AD135" s="50"/>
      <c r="AE135" s="156"/>
      <c r="AF135" s="61"/>
      <c r="AG135" s="61"/>
      <c r="AH135" s="61"/>
      <c r="AI135" s="61"/>
      <c r="AJ135" s="61"/>
      <c r="AK135" s="61"/>
      <c r="AL135" s="61"/>
      <c r="AM135" s="50"/>
      <c r="AN135" s="61"/>
      <c r="AO135" s="61"/>
      <c r="AP135" s="61"/>
      <c r="AQ135" s="61"/>
      <c r="AR135" s="50"/>
      <c r="AS135" s="61"/>
      <c r="AT135" s="61"/>
      <c r="AU135" s="61"/>
      <c r="AV135" s="61"/>
      <c r="AW135" s="61"/>
      <c r="AX135" s="61"/>
      <c r="AY135" s="61"/>
      <c r="AZ135" s="61"/>
      <c r="BA135" s="50"/>
      <c r="BB135" s="185"/>
      <c r="BC135" s="185"/>
      <c r="BD135" s="146"/>
      <c r="BE135" s="180"/>
      <c r="BF135" s="146"/>
    </row>
    <row r="136" spans="1:58" ht="12.95" customHeight="1" x14ac:dyDescent="0.25">
      <c r="A136" s="132"/>
      <c r="B136" s="133"/>
      <c r="C136" s="62">
        <f>SUM(C6:C134)</f>
        <v>1534.6627537373167</v>
      </c>
      <c r="D136" s="133"/>
      <c r="E136" s="38"/>
      <c r="F136" s="38"/>
      <c r="G136" s="63"/>
      <c r="H136" s="63"/>
      <c r="I136" s="64">
        <v>0.85</v>
      </c>
      <c r="J136" s="46"/>
      <c r="K136" s="65">
        <f>SUM(K6:K134)</f>
        <v>1565.0103880813865</v>
      </c>
      <c r="L136" s="186"/>
      <c r="M136" s="186"/>
      <c r="N136" s="185"/>
      <c r="O136" s="66">
        <f>P136/(Q136-R136-S136)</f>
        <v>275.55123485708111</v>
      </c>
      <c r="P136" s="67">
        <f>SUM(P6:P134)</f>
        <v>11082119.563482087</v>
      </c>
      <c r="Q136" s="68">
        <f>SUM(Q6:Q135)</f>
        <v>43200</v>
      </c>
      <c r="R136" s="67">
        <f t="shared" ref="R136:W136" si="380">SUM(R6:R134)</f>
        <v>1975</v>
      </c>
      <c r="S136" s="67">
        <f t="shared" si="380"/>
        <v>1007</v>
      </c>
      <c r="T136" s="67">
        <f t="shared" si="380"/>
        <v>1534.6627537373167</v>
      </c>
      <c r="U136" s="67">
        <f t="shared" si="380"/>
        <v>1440.5814907451568</v>
      </c>
      <c r="V136" s="69">
        <f t="shared" si="380"/>
        <v>104.92048671358019</v>
      </c>
      <c r="W136" s="70">
        <f t="shared" si="380"/>
        <v>1394.1029999999998</v>
      </c>
      <c r="X136" s="71">
        <f>W136/K136</f>
        <v>0.89079472610344179</v>
      </c>
      <c r="Y136" s="72">
        <f>SUM(Y6:Y134)</f>
        <v>10.09</v>
      </c>
      <c r="Z136" s="70">
        <f>SUM(Z6:Z134)</f>
        <v>8.1870000000000012</v>
      </c>
      <c r="AA136" s="67">
        <f>SUM(AA6:AA134)</f>
        <v>28.201490745156679</v>
      </c>
      <c r="AB136" s="67">
        <f>SUM(AB6:AB134)</f>
        <v>-10.839223721419875</v>
      </c>
      <c r="AC136" s="67">
        <f>SUM(AC6:AC134)</f>
        <v>30.34763434406976</v>
      </c>
      <c r="AD136" s="50">
        <f>SUM(AD6:AD135)</f>
        <v>2982</v>
      </c>
      <c r="AE136" s="134"/>
      <c r="AF136" s="67">
        <f t="shared" ref="AF136:BF136" si="381">SUM(AF6:AF135)</f>
        <v>184</v>
      </c>
      <c r="AG136" s="67">
        <f t="shared" si="381"/>
        <v>37</v>
      </c>
      <c r="AH136" s="67">
        <f t="shared" si="381"/>
        <v>755</v>
      </c>
      <c r="AI136" s="67">
        <f t="shared" si="381"/>
        <v>31</v>
      </c>
      <c r="AJ136" s="67">
        <f t="shared" si="381"/>
        <v>0</v>
      </c>
      <c r="AK136" s="67">
        <f t="shared" si="381"/>
        <v>0</v>
      </c>
      <c r="AL136" s="67">
        <f t="shared" si="381"/>
        <v>0</v>
      </c>
      <c r="AM136" s="67">
        <f t="shared" si="381"/>
        <v>1007</v>
      </c>
      <c r="AN136" s="61">
        <f t="shared" si="381"/>
        <v>200</v>
      </c>
      <c r="AO136" s="61">
        <f t="shared" si="381"/>
        <v>460</v>
      </c>
      <c r="AP136" s="61">
        <f t="shared" si="381"/>
        <v>280</v>
      </c>
      <c r="AQ136" s="61">
        <f t="shared" si="381"/>
        <v>0</v>
      </c>
      <c r="AR136" s="67">
        <f t="shared" si="381"/>
        <v>940</v>
      </c>
      <c r="AS136" s="67">
        <f t="shared" si="381"/>
        <v>935</v>
      </c>
      <c r="AT136" s="67">
        <f t="shared" si="381"/>
        <v>0</v>
      </c>
      <c r="AU136" s="67">
        <f t="shared" si="381"/>
        <v>0</v>
      </c>
      <c r="AV136" s="67">
        <f t="shared" si="381"/>
        <v>0</v>
      </c>
      <c r="AW136" s="67">
        <f t="shared" si="381"/>
        <v>0</v>
      </c>
      <c r="AX136" s="67">
        <f t="shared" si="381"/>
        <v>0</v>
      </c>
      <c r="AY136" s="67">
        <f t="shared" si="381"/>
        <v>100</v>
      </c>
      <c r="AZ136" s="67">
        <f t="shared" si="381"/>
        <v>0</v>
      </c>
      <c r="BA136" s="67">
        <f t="shared" si="381"/>
        <v>1975</v>
      </c>
      <c r="BB136" s="61">
        <f t="shared" si="381"/>
        <v>36</v>
      </c>
      <c r="BC136" s="61">
        <f t="shared" si="381"/>
        <v>21</v>
      </c>
      <c r="BD136" s="61">
        <f t="shared" si="381"/>
        <v>0</v>
      </c>
      <c r="BE136" s="61">
        <f t="shared" si="381"/>
        <v>1</v>
      </c>
      <c r="BF136" s="61">
        <f t="shared" si="381"/>
        <v>0</v>
      </c>
    </row>
    <row r="137" spans="1:58" ht="15" x14ac:dyDescent="0.25">
      <c r="A137" s="132"/>
      <c r="B137" s="133"/>
      <c r="C137" s="133"/>
      <c r="D137" s="133"/>
      <c r="E137" s="38"/>
      <c r="F137" s="38"/>
      <c r="G137" s="63"/>
      <c r="H137" s="63"/>
      <c r="I137" s="63"/>
      <c r="J137" s="73"/>
      <c r="K137" s="73"/>
      <c r="L137" s="186"/>
      <c r="M137" s="186"/>
      <c r="N137" s="185"/>
      <c r="O137" s="321"/>
      <c r="P137" s="322"/>
      <c r="Q137" s="63">
        <f>30*1440-Q136</f>
        <v>0</v>
      </c>
      <c r="R137" s="74">
        <f>R136/Q136</f>
        <v>4.5717592592592594E-2</v>
      </c>
      <c r="S137" s="74">
        <f>S136/Q136</f>
        <v>2.3310185185185184E-2</v>
      </c>
      <c r="T137" s="75"/>
      <c r="U137" s="75"/>
      <c r="V137" s="76">
        <f>V136/K136</f>
        <v>6.7041399541255903E-2</v>
      </c>
      <c r="W137" s="77" t="s">
        <v>136</v>
      </c>
      <c r="X137" s="78">
        <v>0.85</v>
      </c>
      <c r="Y137" s="79">
        <f>Y136/K136</f>
        <v>6.4472415498594638E-3</v>
      </c>
      <c r="Z137" s="80">
        <f>Z136/K136</f>
        <v>5.2312751802477148E-3</v>
      </c>
      <c r="AA137" s="80">
        <f>AA136/K136</f>
        <v>1.8020002269588831E-2</v>
      </c>
      <c r="AB137" s="80">
        <f>AB136/K136</f>
        <v>-6.9259755743271111E-3</v>
      </c>
      <c r="AC137" s="81">
        <f>AC136/K136</f>
        <v>1.9391330929933462E-2</v>
      </c>
      <c r="AD137" s="82"/>
      <c r="AE137" s="179"/>
      <c r="AF137" s="80">
        <f>AF136/$AD$136*$V$137</f>
        <v>4.1366926611640124E-3</v>
      </c>
      <c r="AG137" s="80">
        <f>AG136/$AD$136*$V$137</f>
        <v>8.3183493729928511E-4</v>
      </c>
      <c r="AH137" s="80">
        <f>AH136/$AD$136*$V$137</f>
        <v>1.6973929125971898E-2</v>
      </c>
      <c r="AI137" s="80">
        <f>AI136/$AD$136*$V$137</f>
        <v>6.9694278530480652E-4</v>
      </c>
      <c r="AJ137" s="80">
        <f t="shared" ref="AJ137:BA137" si="382">AJ136/$AD$136*$V$137</f>
        <v>0</v>
      </c>
      <c r="AK137" s="80">
        <f t="shared" si="382"/>
        <v>0</v>
      </c>
      <c r="AL137" s="80">
        <f t="shared" si="382"/>
        <v>0</v>
      </c>
      <c r="AM137" s="80">
        <f t="shared" si="382"/>
        <v>2.2639399509740001E-2</v>
      </c>
      <c r="AN137" s="80">
        <f t="shared" si="382"/>
        <v>4.4964050664826226E-3</v>
      </c>
      <c r="AO137" s="80">
        <f t="shared" si="382"/>
        <v>1.0341731652910031E-2</v>
      </c>
      <c r="AP137" s="80">
        <f t="shared" si="382"/>
        <v>6.2949670930756716E-3</v>
      </c>
      <c r="AQ137" s="80">
        <f t="shared" si="382"/>
        <v>0</v>
      </c>
      <c r="AR137" s="80">
        <f t="shared" si="382"/>
        <v>2.1133103812468326E-2</v>
      </c>
      <c r="AS137" s="80">
        <f t="shared" si="382"/>
        <v>2.1020693685806259E-2</v>
      </c>
      <c r="AT137" s="80">
        <f t="shared" si="382"/>
        <v>0</v>
      </c>
      <c r="AU137" s="80">
        <f t="shared" si="382"/>
        <v>0</v>
      </c>
      <c r="AV137" s="80">
        <f t="shared" si="382"/>
        <v>0</v>
      </c>
      <c r="AW137" s="80">
        <f t="shared" si="382"/>
        <v>0</v>
      </c>
      <c r="AX137" s="80">
        <f t="shared" si="382"/>
        <v>0</v>
      </c>
      <c r="AY137" s="80">
        <f t="shared" si="382"/>
        <v>2.2482025332413113E-3</v>
      </c>
      <c r="AZ137" s="80">
        <f t="shared" si="382"/>
        <v>0</v>
      </c>
      <c r="BA137" s="80">
        <f t="shared" si="382"/>
        <v>4.4402000031515898E-2</v>
      </c>
      <c r="BB137" s="56" t="s">
        <v>137</v>
      </c>
      <c r="BC137" s="56" t="s">
        <v>137</v>
      </c>
      <c r="BD137" s="56" t="s">
        <v>203</v>
      </c>
      <c r="BE137" s="56" t="s">
        <v>203</v>
      </c>
      <c r="BF137" s="56" t="s">
        <v>203</v>
      </c>
    </row>
    <row r="138" spans="1:58" ht="15" x14ac:dyDescent="0.25">
      <c r="A138" s="132"/>
      <c r="B138" s="133"/>
      <c r="C138" s="133"/>
      <c r="D138" s="133"/>
      <c r="E138" s="38"/>
      <c r="F138" s="38"/>
      <c r="G138" s="56"/>
      <c r="H138" s="56"/>
      <c r="I138" s="56"/>
      <c r="J138" s="46"/>
      <c r="K138" s="46"/>
      <c r="L138" s="184"/>
      <c r="M138" s="184"/>
      <c r="N138" s="180"/>
      <c r="O138" s="83"/>
      <c r="P138" s="84"/>
      <c r="Q138" s="56"/>
      <c r="R138" s="50">
        <f>R136-(BA136)</f>
        <v>0</v>
      </c>
      <c r="S138" s="50">
        <f>+S136-AM136</f>
        <v>0</v>
      </c>
      <c r="T138" s="180"/>
      <c r="U138" s="180"/>
      <c r="V138" s="180"/>
      <c r="W138" s="183">
        <f>+W136-'[5]31'!M34/1000</f>
        <v>0</v>
      </c>
      <c r="X138" s="182"/>
      <c r="Y138" s="181">
        <f>+Y136-(SUM([5]RBP!AG3:AG4))</f>
        <v>0</v>
      </c>
      <c r="Z138" s="50">
        <f>+Z136-'[5]31'!J56/1000</f>
        <v>0</v>
      </c>
      <c r="AA138" s="180"/>
      <c r="AB138" s="180"/>
      <c r="AC138" s="180"/>
      <c r="AD138" s="180"/>
      <c r="AE138" s="179"/>
      <c r="AF138" s="85"/>
      <c r="AG138" s="85"/>
      <c r="AH138" s="85"/>
      <c r="AI138" s="85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86"/>
      <c r="AW138" s="86"/>
      <c r="AX138" s="86"/>
      <c r="AY138" s="86"/>
      <c r="AZ138" s="86"/>
      <c r="BA138" s="86"/>
      <c r="BB138" s="87">
        <f>BB136/($Q$136/1440)/2</f>
        <v>0.6</v>
      </c>
      <c r="BC138" s="87">
        <f>BC136/($Q$136/1440)/2</f>
        <v>0.35</v>
      </c>
      <c r="BD138" s="87">
        <f>BD136/($Q$136/1440)</f>
        <v>0</v>
      </c>
      <c r="BE138" s="87">
        <f t="shared" ref="BE138:BF138" si="383">BE136/($Q$136/1440)</f>
        <v>3.3333333333333333E-2</v>
      </c>
      <c r="BF138" s="87">
        <f t="shared" si="383"/>
        <v>0</v>
      </c>
    </row>
    <row r="139" spans="1:58" ht="15" x14ac:dyDescent="0.25">
      <c r="A139" s="137"/>
      <c r="B139" s="138"/>
      <c r="C139" s="138"/>
      <c r="D139" s="138"/>
      <c r="E139" s="39"/>
      <c r="F139" s="39"/>
      <c r="G139" s="88"/>
      <c r="H139" s="88"/>
      <c r="I139" s="88"/>
      <c r="J139" s="89"/>
      <c r="K139" s="89"/>
      <c r="O139" s="90"/>
      <c r="P139" s="91"/>
      <c r="Q139" s="88"/>
      <c r="R139" s="92"/>
      <c r="S139" s="92"/>
      <c r="U139" s="178"/>
      <c r="V139" s="178"/>
      <c r="W139" s="93" t="s">
        <v>138</v>
      </c>
      <c r="X139" s="160">
        <f>W136/U136</f>
        <v>0.96773629881839218</v>
      </c>
      <c r="Y139" s="160"/>
      <c r="Z139" s="92"/>
      <c r="AD139" s="157"/>
      <c r="AE139" s="173"/>
      <c r="AF139" s="94"/>
      <c r="AG139" s="94"/>
      <c r="AH139" s="94"/>
      <c r="AI139" s="94"/>
      <c r="AJ139" s="94"/>
      <c r="AK139" s="94"/>
      <c r="AL139" s="94"/>
      <c r="AM139" s="94"/>
      <c r="AN139" s="86"/>
      <c r="AO139" s="86"/>
      <c r="AP139" s="86"/>
      <c r="AQ139" s="86"/>
      <c r="AR139" s="86"/>
      <c r="AS139" s="94"/>
      <c r="AT139" s="94"/>
      <c r="AU139" s="94"/>
      <c r="AV139" s="94"/>
      <c r="AW139" s="94"/>
      <c r="AX139" s="94"/>
      <c r="AY139" s="94"/>
      <c r="AZ139" s="94"/>
      <c r="BA139" s="86"/>
      <c r="BB139" s="172"/>
      <c r="BC139" s="86"/>
      <c r="BD139" s="86"/>
      <c r="BE139" s="172"/>
      <c r="BF139" s="86"/>
    </row>
    <row r="140" spans="1:58" ht="15" x14ac:dyDescent="0.25">
      <c r="A140" s="137"/>
      <c r="B140" s="138"/>
      <c r="C140" s="138"/>
      <c r="D140" s="138"/>
      <c r="E140" s="39"/>
      <c r="F140" s="39"/>
      <c r="G140" s="88"/>
      <c r="H140" s="88"/>
      <c r="I140" s="88"/>
      <c r="J140" s="89"/>
      <c r="K140" s="89"/>
      <c r="O140" s="90"/>
      <c r="P140" s="91"/>
      <c r="Q140" s="88"/>
      <c r="R140" s="92"/>
      <c r="S140" s="92"/>
      <c r="U140" s="178"/>
      <c r="V140" s="178"/>
      <c r="W140" s="93"/>
      <c r="X140" s="86"/>
      <c r="Y140" s="86"/>
      <c r="Z140" s="92"/>
      <c r="AA140" s="166"/>
      <c r="AB140" s="166"/>
      <c r="AD140" s="157"/>
      <c r="AE140" s="173"/>
      <c r="AF140" s="94"/>
      <c r="AG140" s="94"/>
      <c r="AH140" s="94"/>
      <c r="AI140" s="94"/>
      <c r="AJ140" s="94"/>
      <c r="AK140" s="94"/>
      <c r="AL140" s="94"/>
      <c r="AM140" s="94"/>
      <c r="AN140" s="94"/>
      <c r="AO140" s="86"/>
      <c r="AP140" s="86"/>
      <c r="AQ140" s="86"/>
      <c r="AR140" s="94"/>
      <c r="AS140" s="86"/>
      <c r="AT140" s="86"/>
      <c r="AU140" s="86"/>
      <c r="AV140" s="86"/>
      <c r="AW140" s="86"/>
      <c r="AX140" s="86"/>
      <c r="AY140" s="86"/>
      <c r="AZ140" s="86"/>
      <c r="BA140" s="86"/>
      <c r="BB140" s="172"/>
      <c r="BC140" s="86"/>
      <c r="BD140" s="86"/>
      <c r="BE140" s="172"/>
      <c r="BF140" s="86"/>
    </row>
    <row r="141" spans="1:58" ht="15" x14ac:dyDescent="0.25">
      <c r="A141" s="137"/>
      <c r="B141" s="138"/>
      <c r="C141" s="138"/>
      <c r="D141" s="138"/>
      <c r="E141" s="39"/>
      <c r="F141" s="39"/>
      <c r="G141" s="88"/>
      <c r="H141" s="88"/>
      <c r="I141" s="88"/>
      <c r="J141" s="89"/>
      <c r="K141" s="89"/>
      <c r="O141" s="90"/>
      <c r="P141" s="91"/>
      <c r="Q141" s="88"/>
      <c r="R141" s="95"/>
      <c r="S141" s="92"/>
      <c r="U141" s="178"/>
      <c r="V141" s="178"/>
      <c r="W141" s="93" t="s">
        <v>139</v>
      </c>
      <c r="X141" s="85">
        <f>+W136+Y136</f>
        <v>1404.1929999999998</v>
      </c>
      <c r="Y141" s="86"/>
      <c r="Z141" s="92"/>
      <c r="AD141" s="157"/>
      <c r="AE141" s="173"/>
      <c r="AF141" s="157"/>
      <c r="AG141" s="157"/>
      <c r="AH141" s="157"/>
      <c r="AI141" s="157"/>
      <c r="AJ141" s="86"/>
      <c r="AK141" s="86"/>
      <c r="AL141" s="86"/>
      <c r="AM141" s="94"/>
      <c r="AN141" s="86"/>
      <c r="AO141" s="86"/>
      <c r="AP141" s="86"/>
      <c r="AQ141" s="86"/>
      <c r="AR141" s="94"/>
      <c r="AS141" s="86"/>
      <c r="AT141" s="86"/>
      <c r="AU141" s="86"/>
      <c r="AV141" s="86"/>
      <c r="AW141" s="86"/>
      <c r="AX141" s="86"/>
      <c r="AY141" s="86"/>
      <c r="AZ141" s="86"/>
      <c r="BA141" s="86"/>
      <c r="BB141" s="172"/>
      <c r="BC141" s="86"/>
      <c r="BD141" s="86"/>
      <c r="BE141" s="172"/>
      <c r="BF141" s="86"/>
    </row>
    <row r="142" spans="1:58" x14ac:dyDescent="0.2">
      <c r="A142" s="137"/>
      <c r="C142" s="138" t="s">
        <v>140</v>
      </c>
      <c r="D142" s="138"/>
      <c r="E142" s="39"/>
      <c r="F142" s="39"/>
      <c r="G142" s="88"/>
      <c r="H142" s="88"/>
      <c r="I142" s="88"/>
      <c r="J142" s="89"/>
      <c r="K142" s="89"/>
      <c r="O142" s="90"/>
      <c r="P142" s="91"/>
      <c r="Q142" s="88"/>
      <c r="R142" s="95"/>
      <c r="S142" s="92"/>
      <c r="U142" s="178"/>
      <c r="V142" s="177"/>
      <c r="W142" s="96"/>
      <c r="X142" s="97"/>
      <c r="Y142" s="96"/>
      <c r="Z142" s="97"/>
      <c r="AD142" s="98"/>
      <c r="AE142" s="173"/>
      <c r="AF142" s="98"/>
      <c r="AG142" s="98"/>
      <c r="AH142" s="98"/>
      <c r="AI142" s="98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86"/>
      <c r="AW142" s="86"/>
      <c r="AX142" s="86"/>
      <c r="AY142" s="86"/>
      <c r="AZ142" s="86"/>
      <c r="BA142" s="86"/>
      <c r="BB142" s="172"/>
      <c r="BC142" s="86"/>
      <c r="BD142" s="86"/>
      <c r="BE142" s="172"/>
      <c r="BF142" s="86"/>
    </row>
    <row r="143" spans="1:58" x14ac:dyDescent="0.2">
      <c r="A143" s="137"/>
      <c r="B143" s="138"/>
      <c r="C143" s="138" t="s">
        <v>141</v>
      </c>
      <c r="D143" s="138"/>
      <c r="E143" s="39"/>
      <c r="F143" s="39"/>
      <c r="G143" s="88"/>
      <c r="H143" s="88"/>
      <c r="I143" s="88"/>
      <c r="J143" s="89"/>
      <c r="K143" s="89"/>
      <c r="O143" s="90"/>
      <c r="P143" s="91"/>
      <c r="Q143" s="88"/>
      <c r="R143" s="95"/>
      <c r="S143" s="92"/>
      <c r="V143" s="167"/>
      <c r="W143" s="176" t="s">
        <v>178</v>
      </c>
      <c r="X143" s="167"/>
      <c r="Y143" s="167"/>
      <c r="Z143" s="97"/>
      <c r="AE143" s="173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  <c r="AQ143" s="92"/>
      <c r="AS143" s="92"/>
      <c r="AT143" s="92"/>
      <c r="AU143" s="92"/>
      <c r="AV143" s="92"/>
      <c r="AW143" s="92"/>
      <c r="AX143" s="92"/>
      <c r="AY143" s="92"/>
      <c r="AZ143" s="92"/>
      <c r="BA143" s="92"/>
      <c r="BB143" s="172"/>
      <c r="BE143" s="172"/>
    </row>
    <row r="144" spans="1:58" x14ac:dyDescent="0.2">
      <c r="A144" s="137"/>
      <c r="B144" s="138"/>
      <c r="C144" s="138"/>
      <c r="D144" s="138"/>
      <c r="E144" s="39"/>
      <c r="F144" s="39"/>
      <c r="G144" s="88"/>
      <c r="H144" s="88"/>
      <c r="I144" s="88"/>
      <c r="J144" s="89"/>
      <c r="K144" s="89"/>
      <c r="O144" s="90"/>
      <c r="P144" s="91"/>
      <c r="Q144" s="88"/>
      <c r="R144" s="95"/>
      <c r="S144" s="92"/>
      <c r="V144" s="167"/>
      <c r="W144" s="171" t="s">
        <v>181</v>
      </c>
      <c r="X144" s="175">
        <f>Y137</f>
        <v>6.4472415498594638E-3</v>
      </c>
      <c r="Y144" s="174"/>
      <c r="Z144" s="97"/>
      <c r="AE144" s="173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  <c r="AQ144" s="92"/>
      <c r="AS144" s="92"/>
      <c r="AT144" s="92"/>
      <c r="AU144" s="92"/>
      <c r="AV144" s="92"/>
      <c r="AW144" s="92"/>
      <c r="AX144" s="92"/>
      <c r="AY144" s="92"/>
      <c r="AZ144" s="92"/>
      <c r="BA144" s="92"/>
      <c r="BB144" s="172"/>
      <c r="BE144" s="172"/>
    </row>
    <row r="145" spans="18:26" x14ac:dyDescent="0.2">
      <c r="R145" s="166"/>
      <c r="V145" s="167"/>
      <c r="W145" s="171" t="s">
        <v>143</v>
      </c>
      <c r="X145" s="169">
        <f>Z137</f>
        <v>5.2312751802477148E-3</v>
      </c>
      <c r="Y145" s="170"/>
      <c r="Z145" s="167"/>
    </row>
    <row r="146" spans="18:26" x14ac:dyDescent="0.2">
      <c r="R146" s="166"/>
      <c r="V146" s="167"/>
      <c r="W146" s="171" t="s">
        <v>144</v>
      </c>
      <c r="X146" s="169">
        <f>AC137</f>
        <v>1.9391330929933462E-2</v>
      </c>
      <c r="Y146" s="169"/>
      <c r="Z146" s="167"/>
    </row>
    <row r="147" spans="18:26" x14ac:dyDescent="0.2">
      <c r="R147" s="166"/>
      <c r="V147" s="167"/>
      <c r="W147" s="171" t="s">
        <v>145</v>
      </c>
      <c r="X147" s="169">
        <f>AA137</f>
        <v>1.8020002269588831E-2</v>
      </c>
      <c r="Y147" s="170"/>
      <c r="Z147" s="167"/>
    </row>
    <row r="148" spans="18:26" x14ac:dyDescent="0.2">
      <c r="V148" s="167"/>
      <c r="W148" s="171" t="s">
        <v>146</v>
      </c>
      <c r="X148" s="169">
        <f>AB137</f>
        <v>-6.9259755743271111E-3</v>
      </c>
      <c r="Y148" s="170" t="s">
        <v>147</v>
      </c>
      <c r="Z148" s="167"/>
    </row>
    <row r="149" spans="18:26" x14ac:dyDescent="0.2">
      <c r="V149" s="167"/>
      <c r="W149" s="171" t="s">
        <v>148</v>
      </c>
      <c r="X149" s="169">
        <f>AF137</f>
        <v>4.1366926611640124E-3</v>
      </c>
      <c r="Y149" s="170"/>
      <c r="Z149" s="167"/>
    </row>
    <row r="150" spans="18:26" x14ac:dyDescent="0.2">
      <c r="V150" s="167"/>
      <c r="W150" s="171" t="s">
        <v>149</v>
      </c>
      <c r="X150" s="169">
        <f>+AG137</f>
        <v>8.3183493729928511E-4</v>
      </c>
      <c r="Y150" s="170"/>
      <c r="Z150" s="167"/>
    </row>
    <row r="151" spans="18:26" x14ac:dyDescent="0.2">
      <c r="V151" s="167"/>
      <c r="W151" s="171" t="s">
        <v>150</v>
      </c>
      <c r="X151" s="169">
        <f>+AH137</f>
        <v>1.6973929125971898E-2</v>
      </c>
      <c r="Y151" s="170"/>
      <c r="Z151" s="167"/>
    </row>
    <row r="152" spans="18:26" x14ac:dyDescent="0.2">
      <c r="V152" s="167"/>
      <c r="W152" s="171" t="s">
        <v>151</v>
      </c>
      <c r="X152" s="169">
        <f>+AI137</f>
        <v>6.9694278530480652E-4</v>
      </c>
      <c r="Y152" s="170"/>
      <c r="Z152" s="167"/>
    </row>
    <row r="153" spans="18:26" x14ac:dyDescent="0.2">
      <c r="V153" s="167"/>
      <c r="W153" s="171" t="s">
        <v>152</v>
      </c>
      <c r="X153" s="169">
        <f>+AJ137</f>
        <v>0</v>
      </c>
      <c r="Y153" s="170"/>
      <c r="Z153" s="167"/>
    </row>
    <row r="154" spans="18:26" x14ac:dyDescent="0.2">
      <c r="V154" s="167"/>
      <c r="W154" s="171" t="s">
        <v>154</v>
      </c>
      <c r="X154" s="169">
        <f>+AK137</f>
        <v>0</v>
      </c>
      <c r="Y154" s="170"/>
      <c r="Z154" s="167"/>
    </row>
    <row r="155" spans="18:26" x14ac:dyDescent="0.2">
      <c r="V155" s="167"/>
      <c r="W155" s="171" t="s">
        <v>153</v>
      </c>
      <c r="X155" s="169">
        <f>+AL137</f>
        <v>0</v>
      </c>
      <c r="Y155" s="170"/>
      <c r="Z155" s="167"/>
    </row>
    <row r="156" spans="18:26" x14ac:dyDescent="0.2">
      <c r="V156" s="167"/>
      <c r="W156" s="171" t="s">
        <v>155</v>
      </c>
      <c r="X156" s="169">
        <f>+AN137</f>
        <v>4.4964050664826226E-3</v>
      </c>
      <c r="Y156" s="170"/>
      <c r="Z156" s="167"/>
    </row>
    <row r="157" spans="18:26" x14ac:dyDescent="0.2">
      <c r="V157" s="167"/>
      <c r="W157" s="171" t="s">
        <v>158</v>
      </c>
      <c r="X157" s="169">
        <f>+AO137</f>
        <v>1.0341731652910031E-2</v>
      </c>
      <c r="Y157" s="170"/>
      <c r="Z157" s="167"/>
    </row>
    <row r="158" spans="18:26" x14ac:dyDescent="0.2">
      <c r="V158" s="167"/>
      <c r="W158" s="171" t="s">
        <v>157</v>
      </c>
      <c r="X158" s="169">
        <f>+AP137</f>
        <v>6.2949670930756716E-3</v>
      </c>
      <c r="Y158" s="170"/>
      <c r="Z158" s="167"/>
    </row>
    <row r="159" spans="18:26" x14ac:dyDescent="0.2">
      <c r="V159" s="167"/>
      <c r="W159" s="171" t="s">
        <v>156</v>
      </c>
      <c r="X159" s="169">
        <f>+AQ137</f>
        <v>0</v>
      </c>
      <c r="Y159" s="170"/>
      <c r="Z159" s="167"/>
    </row>
    <row r="160" spans="18:26" x14ac:dyDescent="0.2">
      <c r="V160" s="167"/>
      <c r="W160" s="171" t="s">
        <v>159</v>
      </c>
      <c r="X160" s="169">
        <f>+AS137</f>
        <v>2.1020693685806259E-2</v>
      </c>
      <c r="Y160" s="170"/>
      <c r="Z160" s="167"/>
    </row>
    <row r="161" spans="22:26" x14ac:dyDescent="0.2">
      <c r="V161" s="167"/>
      <c r="W161" s="171" t="s">
        <v>185</v>
      </c>
      <c r="X161" s="169">
        <f>+AT137</f>
        <v>0</v>
      </c>
      <c r="Y161" s="170"/>
      <c r="Z161" s="167"/>
    </row>
    <row r="162" spans="22:26" x14ac:dyDescent="0.2">
      <c r="V162" s="167"/>
      <c r="W162" s="171" t="s">
        <v>186</v>
      </c>
      <c r="X162" s="169">
        <f>+AU137</f>
        <v>0</v>
      </c>
      <c r="Y162" s="170"/>
      <c r="Z162" s="167"/>
    </row>
    <row r="163" spans="22:26" x14ac:dyDescent="0.2">
      <c r="V163" s="167"/>
      <c r="W163" s="171" t="s">
        <v>40</v>
      </c>
      <c r="X163" s="169">
        <f>+AW137</f>
        <v>0</v>
      </c>
      <c r="Y163" s="170"/>
      <c r="Z163" s="167"/>
    </row>
    <row r="164" spans="22:26" x14ac:dyDescent="0.2">
      <c r="V164" s="167"/>
      <c r="W164" s="171" t="s">
        <v>193</v>
      </c>
      <c r="X164" s="169">
        <f>+AV137</f>
        <v>0</v>
      </c>
      <c r="Y164" s="170"/>
      <c r="Z164" s="167"/>
    </row>
    <row r="165" spans="22:26" x14ac:dyDescent="0.2">
      <c r="V165" s="167"/>
      <c r="W165" s="167" t="s">
        <v>171</v>
      </c>
      <c r="X165" s="169">
        <f>+AX137+AY137</f>
        <v>2.2482025332413113E-3</v>
      </c>
      <c r="Y165" s="169"/>
      <c r="Z165" s="167"/>
    </row>
    <row r="166" spans="22:26" x14ac:dyDescent="0.2">
      <c r="V166" s="167"/>
      <c r="W166" s="167" t="s">
        <v>194</v>
      </c>
      <c r="X166" s="169">
        <f>+AZ137</f>
        <v>0</v>
      </c>
      <c r="Y166" s="167"/>
      <c r="Z166" s="167"/>
    </row>
    <row r="167" spans="22:26" x14ac:dyDescent="0.2">
      <c r="V167" s="167"/>
      <c r="W167" s="167"/>
      <c r="X167" s="168">
        <f>SUM(X144:X166)</f>
        <v>0.10920527389655826</v>
      </c>
      <c r="Y167" s="167"/>
      <c r="Z167" s="167"/>
    </row>
    <row r="169" spans="22:26" x14ac:dyDescent="0.2">
      <c r="X169" s="166">
        <f>+X167+X136</f>
        <v>1</v>
      </c>
    </row>
  </sheetData>
  <mergeCells count="50">
    <mergeCell ref="O137:P137"/>
    <mergeCell ref="BD3:BD5"/>
    <mergeCell ref="BE3:BE5"/>
    <mergeCell ref="BF3:BF5"/>
    <mergeCell ref="AF4:AH4"/>
    <mergeCell ref="AI4:AI5"/>
    <mergeCell ref="AJ4:AJ5"/>
    <mergeCell ref="AK4:AK5"/>
    <mergeCell ref="AL4:AL5"/>
    <mergeCell ref="AN4:AN5"/>
    <mergeCell ref="AO4:AO5"/>
    <mergeCell ref="AV3:AW3"/>
    <mergeCell ref="AX3:AY3"/>
    <mergeCell ref="AZ3:AZ5"/>
    <mergeCell ref="BA3:BA5"/>
    <mergeCell ref="BB3:BB5"/>
    <mergeCell ref="BC3:BC5"/>
    <mergeCell ref="AE3:AE5"/>
    <mergeCell ref="AF3:AL3"/>
    <mergeCell ref="AM3:AM5"/>
    <mergeCell ref="AN3:AR3"/>
    <mergeCell ref="AS3:AS5"/>
    <mergeCell ref="AT3:AU4"/>
    <mergeCell ref="AP4:AP5"/>
    <mergeCell ref="AQ4:AQ5"/>
    <mergeCell ref="AR4:AR5"/>
    <mergeCell ref="AD3:AD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R3:R5"/>
    <mergeCell ref="A3:A5"/>
    <mergeCell ref="B3:B5"/>
    <mergeCell ref="C3:C5"/>
    <mergeCell ref="D3:D5"/>
    <mergeCell ref="E3:E5"/>
    <mergeCell ref="F3:F5"/>
    <mergeCell ref="G3:K4"/>
    <mergeCell ref="L3:N4"/>
    <mergeCell ref="O3:O5"/>
    <mergeCell ref="P3:P5"/>
    <mergeCell ref="Q3:Q5"/>
  </mergeCells>
  <conditionalFormatting sqref="C137 C135 B135:B137">
    <cfRule type="cellIs" dxfId="10971" priority="9189" stopIfTrue="1" operator="equal">
      <formula>"Towel"</formula>
    </cfRule>
    <cfRule type="cellIs" dxfId="10970" priority="9190" stopIfTrue="1" operator="equal">
      <formula>"Napkin Hs"</formula>
    </cfRule>
  </conditionalFormatting>
  <conditionalFormatting sqref="C122">
    <cfRule type="cellIs" dxfId="10969" priority="9183" stopIfTrue="1" operator="equal">
      <formula>"Towel"</formula>
    </cfRule>
    <cfRule type="cellIs" dxfId="10968" priority="9184" stopIfTrue="1" operator="equal">
      <formula>"Napkin Hs"</formula>
    </cfRule>
  </conditionalFormatting>
  <conditionalFormatting sqref="B122:C122">
    <cfRule type="cellIs" dxfId="10967" priority="9187" stopIfTrue="1" operator="equal">
      <formula>"Towel"</formula>
    </cfRule>
    <cfRule type="cellIs" dxfId="10966" priority="9188" stopIfTrue="1" operator="equal">
      <formula>"Napkin Hs"</formula>
    </cfRule>
  </conditionalFormatting>
  <conditionalFormatting sqref="C122">
    <cfRule type="cellIs" dxfId="10965" priority="9186" stopIfTrue="1" operator="equal">
      <formula>"Napkin Hs"</formula>
    </cfRule>
  </conditionalFormatting>
  <conditionalFormatting sqref="C122">
    <cfRule type="cellIs" dxfId="10964" priority="9185" stopIfTrue="1" operator="equal">
      <formula>"Towel"</formula>
    </cfRule>
  </conditionalFormatting>
  <conditionalFormatting sqref="B9:C9">
    <cfRule type="cellIs" dxfId="10963" priority="9181" stopIfTrue="1" operator="equal">
      <formula>"Towel"</formula>
    </cfRule>
    <cfRule type="cellIs" dxfId="10962" priority="9182" stopIfTrue="1" operator="equal">
      <formula>"Napkin Hs"</formula>
    </cfRule>
  </conditionalFormatting>
  <conditionalFormatting sqref="C13">
    <cfRule type="cellIs" dxfId="10961" priority="9175" stopIfTrue="1" operator="equal">
      <formula>"Towel"</formula>
    </cfRule>
    <cfRule type="cellIs" dxfId="10960" priority="9176" stopIfTrue="1" operator="equal">
      <formula>"Napkin Hs"</formula>
    </cfRule>
  </conditionalFormatting>
  <conditionalFormatting sqref="C9">
    <cfRule type="cellIs" dxfId="10959" priority="9180" stopIfTrue="1" operator="equal">
      <formula>"Napkin Hs"</formula>
    </cfRule>
  </conditionalFormatting>
  <conditionalFormatting sqref="C9">
    <cfRule type="cellIs" dxfId="10958" priority="9177" stopIfTrue="1" operator="equal">
      <formula>"Towel"</formula>
    </cfRule>
    <cfRule type="cellIs" dxfId="10957" priority="9178" stopIfTrue="1" operator="equal">
      <formula>"Napkin Hs"</formula>
    </cfRule>
  </conditionalFormatting>
  <conditionalFormatting sqref="C13">
    <cfRule type="cellIs" dxfId="10956" priority="9173" stopIfTrue="1" operator="equal">
      <formula>"Towel"</formula>
    </cfRule>
    <cfRule type="cellIs" dxfId="10955" priority="9174" stopIfTrue="1" operator="equal">
      <formula>"Napkin Hs"</formula>
    </cfRule>
  </conditionalFormatting>
  <conditionalFormatting sqref="C13">
    <cfRule type="cellIs" dxfId="10954" priority="9171" stopIfTrue="1" operator="equal">
      <formula>"Towel"</formula>
    </cfRule>
    <cfRule type="cellIs" dxfId="10953" priority="9172" stopIfTrue="1" operator="equal">
      <formula>"Napkin Hs"</formula>
    </cfRule>
  </conditionalFormatting>
  <conditionalFormatting sqref="C9">
    <cfRule type="cellIs" dxfId="10952" priority="9179" stopIfTrue="1" operator="equal">
      <formula>"Towel"</formula>
    </cfRule>
  </conditionalFormatting>
  <conditionalFormatting sqref="B8:C8">
    <cfRule type="cellIs" dxfId="10951" priority="9169" stopIfTrue="1" operator="equal">
      <formula>"Towel"</formula>
    </cfRule>
    <cfRule type="cellIs" dxfId="10950" priority="9170" stopIfTrue="1" operator="equal">
      <formula>"Napkin Hs"</formula>
    </cfRule>
  </conditionalFormatting>
  <conditionalFormatting sqref="C8">
    <cfRule type="cellIs" dxfId="10949" priority="9168" stopIfTrue="1" operator="equal">
      <formula>"Napkin Hs"</formula>
    </cfRule>
  </conditionalFormatting>
  <conditionalFormatting sqref="C8">
    <cfRule type="cellIs" dxfId="10948" priority="9165" stopIfTrue="1" operator="equal">
      <formula>"Towel"</formula>
    </cfRule>
    <cfRule type="cellIs" dxfId="10947" priority="9166" stopIfTrue="1" operator="equal">
      <formula>"Napkin Hs"</formula>
    </cfRule>
  </conditionalFormatting>
  <conditionalFormatting sqref="C8">
    <cfRule type="cellIs" dxfId="10946" priority="9167" stopIfTrue="1" operator="equal">
      <formula>"Towel"</formula>
    </cfRule>
  </conditionalFormatting>
  <conditionalFormatting sqref="B14:C14">
    <cfRule type="cellIs" dxfId="10945" priority="9163" stopIfTrue="1" operator="equal">
      <formula>"Towel"</formula>
    </cfRule>
    <cfRule type="cellIs" dxfId="10944" priority="9164" stopIfTrue="1" operator="equal">
      <formula>"Napkin Hs"</formula>
    </cfRule>
  </conditionalFormatting>
  <conditionalFormatting sqref="C14">
    <cfRule type="cellIs" dxfId="10943" priority="9162" stopIfTrue="1" operator="equal">
      <formula>"Napkin Hs"</formula>
    </cfRule>
  </conditionalFormatting>
  <conditionalFormatting sqref="C14">
    <cfRule type="cellIs" dxfId="10942" priority="9159" stopIfTrue="1" operator="equal">
      <formula>"Towel"</formula>
    </cfRule>
    <cfRule type="cellIs" dxfId="10941" priority="9160" stopIfTrue="1" operator="equal">
      <formula>"Napkin Hs"</formula>
    </cfRule>
  </conditionalFormatting>
  <conditionalFormatting sqref="C14">
    <cfRule type="cellIs" dxfId="10940" priority="9161" stopIfTrue="1" operator="equal">
      <formula>"Towel"</formula>
    </cfRule>
  </conditionalFormatting>
  <conditionalFormatting sqref="B6:C6">
    <cfRule type="cellIs" dxfId="10939" priority="9157" stopIfTrue="1" operator="equal">
      <formula>"Towel"</formula>
    </cfRule>
    <cfRule type="cellIs" dxfId="10938" priority="9158" stopIfTrue="1" operator="equal">
      <formula>"Napkin Hs"</formula>
    </cfRule>
  </conditionalFormatting>
  <conditionalFormatting sqref="C6">
    <cfRule type="cellIs" dxfId="10937" priority="9156" stopIfTrue="1" operator="equal">
      <formula>"Napkin Hs"</formula>
    </cfRule>
  </conditionalFormatting>
  <conditionalFormatting sqref="C6">
    <cfRule type="cellIs" dxfId="10936" priority="9155" stopIfTrue="1" operator="equal">
      <formula>"Towel"</formula>
    </cfRule>
  </conditionalFormatting>
  <conditionalFormatting sqref="C6">
    <cfRule type="cellIs" dxfId="10935" priority="9153" stopIfTrue="1" operator="equal">
      <formula>"Towel"</formula>
    </cfRule>
    <cfRule type="cellIs" dxfId="10934" priority="9154" stopIfTrue="1" operator="equal">
      <formula>"Napkin Hs"</formula>
    </cfRule>
  </conditionalFormatting>
  <conditionalFormatting sqref="B6:C6">
    <cfRule type="cellIs" dxfId="10933" priority="9151" stopIfTrue="1" operator="equal">
      <formula>"Towel"</formula>
    </cfRule>
    <cfRule type="cellIs" dxfId="10932" priority="9152" stopIfTrue="1" operator="equal">
      <formula>"Napkin Hs"</formula>
    </cfRule>
  </conditionalFormatting>
  <conditionalFormatting sqref="C6">
    <cfRule type="cellIs" dxfId="10931" priority="9150" stopIfTrue="1" operator="equal">
      <formula>"Napkin Hs"</formula>
    </cfRule>
  </conditionalFormatting>
  <conditionalFormatting sqref="C6">
    <cfRule type="cellIs" dxfId="10930" priority="9147" stopIfTrue="1" operator="equal">
      <formula>"Towel"</formula>
    </cfRule>
    <cfRule type="cellIs" dxfId="10929" priority="9148" stopIfTrue="1" operator="equal">
      <formula>"Napkin Hs"</formula>
    </cfRule>
  </conditionalFormatting>
  <conditionalFormatting sqref="C6">
    <cfRule type="cellIs" dxfId="10928" priority="9149" stopIfTrue="1" operator="equal">
      <formula>"Towel"</formula>
    </cfRule>
  </conditionalFormatting>
  <conditionalFormatting sqref="B6:C6">
    <cfRule type="cellIs" dxfId="10927" priority="9145" stopIfTrue="1" operator="equal">
      <formula>"Towel"</formula>
    </cfRule>
    <cfRule type="cellIs" dxfId="10926" priority="9146" stopIfTrue="1" operator="equal">
      <formula>"Napkin Hs"</formula>
    </cfRule>
  </conditionalFormatting>
  <conditionalFormatting sqref="C6">
    <cfRule type="cellIs" dxfId="10925" priority="9144" stopIfTrue="1" operator="equal">
      <formula>"Napkin Hs"</formula>
    </cfRule>
  </conditionalFormatting>
  <conditionalFormatting sqref="C6">
    <cfRule type="cellIs" dxfId="10924" priority="9141" stopIfTrue="1" operator="equal">
      <formula>"Towel"</formula>
    </cfRule>
    <cfRule type="cellIs" dxfId="10923" priority="9142" stopIfTrue="1" operator="equal">
      <formula>"Napkin Hs"</formula>
    </cfRule>
  </conditionalFormatting>
  <conditionalFormatting sqref="C6">
    <cfRule type="cellIs" dxfId="10922" priority="9143" stopIfTrue="1" operator="equal">
      <formula>"Towel"</formula>
    </cfRule>
  </conditionalFormatting>
  <conditionalFormatting sqref="B6:C6">
    <cfRule type="cellIs" dxfId="10921" priority="9139" stopIfTrue="1" operator="equal">
      <formula>"Towel"</formula>
    </cfRule>
    <cfRule type="cellIs" dxfId="10920" priority="9140" stopIfTrue="1" operator="equal">
      <formula>"Napkin Hs"</formula>
    </cfRule>
  </conditionalFormatting>
  <conditionalFormatting sqref="C6">
    <cfRule type="cellIs" dxfId="10919" priority="9138" stopIfTrue="1" operator="equal">
      <formula>"Napkin Hs"</formula>
    </cfRule>
  </conditionalFormatting>
  <conditionalFormatting sqref="C6">
    <cfRule type="cellIs" dxfId="10918" priority="9135" stopIfTrue="1" operator="equal">
      <formula>"Towel"</formula>
    </cfRule>
    <cfRule type="cellIs" dxfId="10917" priority="9136" stopIfTrue="1" operator="equal">
      <formula>"Napkin Hs"</formula>
    </cfRule>
  </conditionalFormatting>
  <conditionalFormatting sqref="C6">
    <cfRule type="cellIs" dxfId="10916" priority="9137" stopIfTrue="1" operator="equal">
      <formula>"Towel"</formula>
    </cfRule>
  </conditionalFormatting>
  <conditionalFormatting sqref="B6:C6">
    <cfRule type="cellIs" dxfId="10915" priority="9133" stopIfTrue="1" operator="equal">
      <formula>"Towel"</formula>
    </cfRule>
    <cfRule type="cellIs" dxfId="10914" priority="9134" stopIfTrue="1" operator="equal">
      <formula>"Napkin Hs"</formula>
    </cfRule>
  </conditionalFormatting>
  <conditionalFormatting sqref="C6">
    <cfRule type="cellIs" dxfId="10913" priority="9132" stopIfTrue="1" operator="equal">
      <formula>"Napkin Hs"</formula>
    </cfRule>
  </conditionalFormatting>
  <conditionalFormatting sqref="C6">
    <cfRule type="cellIs" dxfId="10912" priority="9129" stopIfTrue="1" operator="equal">
      <formula>"Towel"</formula>
    </cfRule>
    <cfRule type="cellIs" dxfId="10911" priority="9130" stopIfTrue="1" operator="equal">
      <formula>"Napkin Hs"</formula>
    </cfRule>
  </conditionalFormatting>
  <conditionalFormatting sqref="C6">
    <cfRule type="cellIs" dxfId="10910" priority="9131" stopIfTrue="1" operator="equal">
      <formula>"Towel"</formula>
    </cfRule>
  </conditionalFormatting>
  <conditionalFormatting sqref="B6:C6">
    <cfRule type="cellIs" dxfId="10909" priority="9127" stopIfTrue="1" operator="equal">
      <formula>"Towel"</formula>
    </cfRule>
    <cfRule type="cellIs" dxfId="10908" priority="9128" stopIfTrue="1" operator="equal">
      <formula>"Napkin Hs"</formula>
    </cfRule>
  </conditionalFormatting>
  <conditionalFormatting sqref="C6">
    <cfRule type="cellIs" dxfId="10907" priority="9126" stopIfTrue="1" operator="equal">
      <formula>"Napkin Hs"</formula>
    </cfRule>
  </conditionalFormatting>
  <conditionalFormatting sqref="C6">
    <cfRule type="cellIs" dxfId="10906" priority="9123" stopIfTrue="1" operator="equal">
      <formula>"Towel"</formula>
    </cfRule>
    <cfRule type="cellIs" dxfId="10905" priority="9124" stopIfTrue="1" operator="equal">
      <formula>"Napkin Hs"</formula>
    </cfRule>
  </conditionalFormatting>
  <conditionalFormatting sqref="C6">
    <cfRule type="cellIs" dxfId="10904" priority="9125" stopIfTrue="1" operator="equal">
      <formula>"Towel"</formula>
    </cfRule>
  </conditionalFormatting>
  <conditionalFormatting sqref="B6:C6">
    <cfRule type="cellIs" dxfId="10903" priority="9121" stopIfTrue="1" operator="equal">
      <formula>"Towel"</formula>
    </cfRule>
    <cfRule type="cellIs" dxfId="10902" priority="9122" stopIfTrue="1" operator="equal">
      <formula>"Napkin Hs"</formula>
    </cfRule>
  </conditionalFormatting>
  <conditionalFormatting sqref="C6">
    <cfRule type="cellIs" dxfId="10901" priority="9120" stopIfTrue="1" operator="equal">
      <formula>"Napkin Hs"</formula>
    </cfRule>
  </conditionalFormatting>
  <conditionalFormatting sqref="C6">
    <cfRule type="cellIs" dxfId="10900" priority="9117" stopIfTrue="1" operator="equal">
      <formula>"Towel"</formula>
    </cfRule>
    <cfRule type="cellIs" dxfId="10899" priority="9118" stopIfTrue="1" operator="equal">
      <formula>"Napkin Hs"</formula>
    </cfRule>
  </conditionalFormatting>
  <conditionalFormatting sqref="C6">
    <cfRule type="cellIs" dxfId="10898" priority="9119" stopIfTrue="1" operator="equal">
      <formula>"Towel"</formula>
    </cfRule>
  </conditionalFormatting>
  <conditionalFormatting sqref="B6:C6">
    <cfRule type="cellIs" dxfId="10897" priority="9115" stopIfTrue="1" operator="equal">
      <formula>"Towel"</formula>
    </cfRule>
    <cfRule type="cellIs" dxfId="10896" priority="9116" stopIfTrue="1" operator="equal">
      <formula>"Napkin Hs"</formula>
    </cfRule>
  </conditionalFormatting>
  <conditionalFormatting sqref="C6">
    <cfRule type="cellIs" dxfId="10895" priority="9114" stopIfTrue="1" operator="equal">
      <formula>"Napkin Hs"</formula>
    </cfRule>
  </conditionalFormatting>
  <conditionalFormatting sqref="C6">
    <cfRule type="cellIs" dxfId="10894" priority="9111" stopIfTrue="1" operator="equal">
      <formula>"Towel"</formula>
    </cfRule>
    <cfRule type="cellIs" dxfId="10893" priority="9112" stopIfTrue="1" operator="equal">
      <formula>"Napkin Hs"</formula>
    </cfRule>
  </conditionalFormatting>
  <conditionalFormatting sqref="C6">
    <cfRule type="cellIs" dxfId="10892" priority="9113" stopIfTrue="1" operator="equal">
      <formula>"Towel"</formula>
    </cfRule>
  </conditionalFormatting>
  <conditionalFormatting sqref="B6:C6">
    <cfRule type="cellIs" dxfId="10891" priority="9109" stopIfTrue="1" operator="equal">
      <formula>"Towel"</formula>
    </cfRule>
    <cfRule type="cellIs" dxfId="10890" priority="9110" stopIfTrue="1" operator="equal">
      <formula>"Napkin Hs"</formula>
    </cfRule>
  </conditionalFormatting>
  <conditionalFormatting sqref="C6">
    <cfRule type="cellIs" dxfId="10889" priority="9108" stopIfTrue="1" operator="equal">
      <formula>"Napkin Hs"</formula>
    </cfRule>
  </conditionalFormatting>
  <conditionalFormatting sqref="C6">
    <cfRule type="cellIs" dxfId="10888" priority="9105" stopIfTrue="1" operator="equal">
      <formula>"Towel"</formula>
    </cfRule>
    <cfRule type="cellIs" dxfId="10887" priority="9106" stopIfTrue="1" operator="equal">
      <formula>"Napkin Hs"</formula>
    </cfRule>
  </conditionalFormatting>
  <conditionalFormatting sqref="C6">
    <cfRule type="cellIs" dxfId="10886" priority="9107" stopIfTrue="1" operator="equal">
      <formula>"Towel"</formula>
    </cfRule>
  </conditionalFormatting>
  <conditionalFormatting sqref="B6:C6">
    <cfRule type="cellIs" dxfId="10885" priority="9103" stopIfTrue="1" operator="equal">
      <formula>"Towel"</formula>
    </cfRule>
    <cfRule type="cellIs" dxfId="10884" priority="9104" stopIfTrue="1" operator="equal">
      <formula>"Napkin Hs"</formula>
    </cfRule>
  </conditionalFormatting>
  <conditionalFormatting sqref="C6">
    <cfRule type="cellIs" dxfId="10883" priority="9102" stopIfTrue="1" operator="equal">
      <formula>"Napkin Hs"</formula>
    </cfRule>
  </conditionalFormatting>
  <conditionalFormatting sqref="C6">
    <cfRule type="cellIs" dxfId="10882" priority="9099" stopIfTrue="1" operator="equal">
      <formula>"Towel"</formula>
    </cfRule>
    <cfRule type="cellIs" dxfId="10881" priority="9100" stopIfTrue="1" operator="equal">
      <formula>"Napkin Hs"</formula>
    </cfRule>
  </conditionalFormatting>
  <conditionalFormatting sqref="C6">
    <cfRule type="cellIs" dxfId="10880" priority="9101" stopIfTrue="1" operator="equal">
      <formula>"Towel"</formula>
    </cfRule>
  </conditionalFormatting>
  <conditionalFormatting sqref="B7:C7">
    <cfRule type="cellIs" dxfId="10879" priority="9097" stopIfTrue="1" operator="equal">
      <formula>"Towel"</formula>
    </cfRule>
    <cfRule type="cellIs" dxfId="10878" priority="9098" stopIfTrue="1" operator="equal">
      <formula>"Napkin Hs"</formula>
    </cfRule>
  </conditionalFormatting>
  <conditionalFormatting sqref="C7">
    <cfRule type="cellIs" dxfId="10877" priority="9096" stopIfTrue="1" operator="equal">
      <formula>"Napkin Hs"</formula>
    </cfRule>
  </conditionalFormatting>
  <conditionalFormatting sqref="C7">
    <cfRule type="cellIs" dxfId="10876" priority="9095" stopIfTrue="1" operator="equal">
      <formula>"Towel"</formula>
    </cfRule>
  </conditionalFormatting>
  <conditionalFormatting sqref="C7">
    <cfRule type="cellIs" dxfId="10875" priority="9093" stopIfTrue="1" operator="equal">
      <formula>"Towel"</formula>
    </cfRule>
    <cfRule type="cellIs" dxfId="10874" priority="9094" stopIfTrue="1" operator="equal">
      <formula>"Napkin Hs"</formula>
    </cfRule>
  </conditionalFormatting>
  <conditionalFormatting sqref="B7:C7">
    <cfRule type="cellIs" dxfId="10873" priority="9091" stopIfTrue="1" operator="equal">
      <formula>"Towel"</formula>
    </cfRule>
    <cfRule type="cellIs" dxfId="10872" priority="9092" stopIfTrue="1" operator="equal">
      <formula>"Napkin Hs"</formula>
    </cfRule>
  </conditionalFormatting>
  <conditionalFormatting sqref="C7">
    <cfRule type="cellIs" dxfId="10871" priority="9090" stopIfTrue="1" operator="equal">
      <formula>"Napkin Hs"</formula>
    </cfRule>
  </conditionalFormatting>
  <conditionalFormatting sqref="C7">
    <cfRule type="cellIs" dxfId="10870" priority="9087" stopIfTrue="1" operator="equal">
      <formula>"Towel"</formula>
    </cfRule>
    <cfRule type="cellIs" dxfId="10869" priority="9088" stopIfTrue="1" operator="equal">
      <formula>"Napkin Hs"</formula>
    </cfRule>
  </conditionalFormatting>
  <conditionalFormatting sqref="C7">
    <cfRule type="cellIs" dxfId="10868" priority="9089" stopIfTrue="1" operator="equal">
      <formula>"Towel"</formula>
    </cfRule>
  </conditionalFormatting>
  <conditionalFormatting sqref="B7:C7">
    <cfRule type="cellIs" dxfId="10867" priority="9085" stopIfTrue="1" operator="equal">
      <formula>"Towel"</formula>
    </cfRule>
    <cfRule type="cellIs" dxfId="10866" priority="9086" stopIfTrue="1" operator="equal">
      <formula>"Napkin Hs"</formula>
    </cfRule>
  </conditionalFormatting>
  <conditionalFormatting sqref="C7">
    <cfRule type="cellIs" dxfId="10865" priority="9084" stopIfTrue="1" operator="equal">
      <formula>"Napkin Hs"</formula>
    </cfRule>
  </conditionalFormatting>
  <conditionalFormatting sqref="C7">
    <cfRule type="cellIs" dxfId="10864" priority="9081" stopIfTrue="1" operator="equal">
      <formula>"Towel"</formula>
    </cfRule>
    <cfRule type="cellIs" dxfId="10863" priority="9082" stopIfTrue="1" operator="equal">
      <formula>"Napkin Hs"</formula>
    </cfRule>
  </conditionalFormatting>
  <conditionalFormatting sqref="C7">
    <cfRule type="cellIs" dxfId="10862" priority="9083" stopIfTrue="1" operator="equal">
      <formula>"Towel"</formula>
    </cfRule>
  </conditionalFormatting>
  <conditionalFormatting sqref="B7:C7">
    <cfRule type="cellIs" dxfId="10861" priority="9079" stopIfTrue="1" operator="equal">
      <formula>"Towel"</formula>
    </cfRule>
    <cfRule type="cellIs" dxfId="10860" priority="9080" stopIfTrue="1" operator="equal">
      <formula>"Napkin Hs"</formula>
    </cfRule>
  </conditionalFormatting>
  <conditionalFormatting sqref="C7">
    <cfRule type="cellIs" dxfId="10859" priority="9078" stopIfTrue="1" operator="equal">
      <formula>"Napkin Hs"</formula>
    </cfRule>
  </conditionalFormatting>
  <conditionalFormatting sqref="C7">
    <cfRule type="cellIs" dxfId="10858" priority="9075" stopIfTrue="1" operator="equal">
      <formula>"Towel"</formula>
    </cfRule>
    <cfRule type="cellIs" dxfId="10857" priority="9076" stopIfTrue="1" operator="equal">
      <formula>"Napkin Hs"</formula>
    </cfRule>
  </conditionalFormatting>
  <conditionalFormatting sqref="C7">
    <cfRule type="cellIs" dxfId="10856" priority="9077" stopIfTrue="1" operator="equal">
      <formula>"Towel"</formula>
    </cfRule>
  </conditionalFormatting>
  <conditionalFormatting sqref="B7:C7">
    <cfRule type="cellIs" dxfId="10855" priority="9073" stopIfTrue="1" operator="equal">
      <formula>"Towel"</formula>
    </cfRule>
    <cfRule type="cellIs" dxfId="10854" priority="9074" stopIfTrue="1" operator="equal">
      <formula>"Napkin Hs"</formula>
    </cfRule>
  </conditionalFormatting>
  <conditionalFormatting sqref="C7">
    <cfRule type="cellIs" dxfId="10853" priority="9072" stopIfTrue="1" operator="equal">
      <formula>"Napkin Hs"</formula>
    </cfRule>
  </conditionalFormatting>
  <conditionalFormatting sqref="C7">
    <cfRule type="cellIs" dxfId="10852" priority="9069" stopIfTrue="1" operator="equal">
      <formula>"Towel"</formula>
    </cfRule>
    <cfRule type="cellIs" dxfId="10851" priority="9070" stopIfTrue="1" operator="equal">
      <formula>"Napkin Hs"</formula>
    </cfRule>
  </conditionalFormatting>
  <conditionalFormatting sqref="C7">
    <cfRule type="cellIs" dxfId="10850" priority="9071" stopIfTrue="1" operator="equal">
      <formula>"Towel"</formula>
    </cfRule>
  </conditionalFormatting>
  <conditionalFormatting sqref="B7:C7">
    <cfRule type="cellIs" dxfId="10849" priority="9067" stopIfTrue="1" operator="equal">
      <formula>"Towel"</formula>
    </cfRule>
    <cfRule type="cellIs" dxfId="10848" priority="9068" stopIfTrue="1" operator="equal">
      <formula>"Napkin Hs"</formula>
    </cfRule>
  </conditionalFormatting>
  <conditionalFormatting sqref="C7">
    <cfRule type="cellIs" dxfId="10847" priority="9066" stopIfTrue="1" operator="equal">
      <formula>"Napkin Hs"</formula>
    </cfRule>
  </conditionalFormatting>
  <conditionalFormatting sqref="C7">
    <cfRule type="cellIs" dxfId="10846" priority="9063" stopIfTrue="1" operator="equal">
      <formula>"Towel"</formula>
    </cfRule>
    <cfRule type="cellIs" dxfId="10845" priority="9064" stopIfTrue="1" operator="equal">
      <formula>"Napkin Hs"</formula>
    </cfRule>
  </conditionalFormatting>
  <conditionalFormatting sqref="C7">
    <cfRule type="cellIs" dxfId="10844" priority="9065" stopIfTrue="1" operator="equal">
      <formula>"Towel"</formula>
    </cfRule>
  </conditionalFormatting>
  <conditionalFormatting sqref="B7:C7">
    <cfRule type="cellIs" dxfId="10843" priority="9061" stopIfTrue="1" operator="equal">
      <formula>"Towel"</formula>
    </cfRule>
    <cfRule type="cellIs" dxfId="10842" priority="9062" stopIfTrue="1" operator="equal">
      <formula>"Napkin Hs"</formula>
    </cfRule>
  </conditionalFormatting>
  <conditionalFormatting sqref="C7">
    <cfRule type="cellIs" dxfId="10841" priority="9060" stopIfTrue="1" operator="equal">
      <formula>"Napkin Hs"</formula>
    </cfRule>
  </conditionalFormatting>
  <conditionalFormatting sqref="C7">
    <cfRule type="cellIs" dxfId="10840" priority="9057" stopIfTrue="1" operator="equal">
      <formula>"Towel"</formula>
    </cfRule>
    <cfRule type="cellIs" dxfId="10839" priority="9058" stopIfTrue="1" operator="equal">
      <formula>"Napkin Hs"</formula>
    </cfRule>
  </conditionalFormatting>
  <conditionalFormatting sqref="C7">
    <cfRule type="cellIs" dxfId="10838" priority="9059" stopIfTrue="1" operator="equal">
      <formula>"Towel"</formula>
    </cfRule>
  </conditionalFormatting>
  <conditionalFormatting sqref="B7:C7">
    <cfRule type="cellIs" dxfId="10837" priority="9055" stopIfTrue="1" operator="equal">
      <formula>"Towel"</formula>
    </cfRule>
    <cfRule type="cellIs" dxfId="10836" priority="9056" stopIfTrue="1" operator="equal">
      <formula>"Napkin Hs"</formula>
    </cfRule>
  </conditionalFormatting>
  <conditionalFormatting sqref="C7">
    <cfRule type="cellIs" dxfId="10835" priority="9054" stopIfTrue="1" operator="equal">
      <formula>"Napkin Hs"</formula>
    </cfRule>
  </conditionalFormatting>
  <conditionalFormatting sqref="C7">
    <cfRule type="cellIs" dxfId="10834" priority="9051" stopIfTrue="1" operator="equal">
      <formula>"Towel"</formula>
    </cfRule>
    <cfRule type="cellIs" dxfId="10833" priority="9052" stopIfTrue="1" operator="equal">
      <formula>"Napkin Hs"</formula>
    </cfRule>
  </conditionalFormatting>
  <conditionalFormatting sqref="C7">
    <cfRule type="cellIs" dxfId="10832" priority="9053" stopIfTrue="1" operator="equal">
      <formula>"Towel"</formula>
    </cfRule>
  </conditionalFormatting>
  <conditionalFormatting sqref="B7:C7">
    <cfRule type="cellIs" dxfId="10831" priority="9049" stopIfTrue="1" operator="equal">
      <formula>"Towel"</formula>
    </cfRule>
    <cfRule type="cellIs" dxfId="10830" priority="9050" stopIfTrue="1" operator="equal">
      <formula>"Napkin Hs"</formula>
    </cfRule>
  </conditionalFormatting>
  <conditionalFormatting sqref="C7">
    <cfRule type="cellIs" dxfId="10829" priority="9048" stopIfTrue="1" operator="equal">
      <formula>"Napkin Hs"</formula>
    </cfRule>
  </conditionalFormatting>
  <conditionalFormatting sqref="C7">
    <cfRule type="cellIs" dxfId="10828" priority="9045" stopIfTrue="1" operator="equal">
      <formula>"Towel"</formula>
    </cfRule>
    <cfRule type="cellIs" dxfId="10827" priority="9046" stopIfTrue="1" operator="equal">
      <formula>"Napkin Hs"</formula>
    </cfRule>
  </conditionalFormatting>
  <conditionalFormatting sqref="C7">
    <cfRule type="cellIs" dxfId="10826" priority="9047" stopIfTrue="1" operator="equal">
      <formula>"Towel"</formula>
    </cfRule>
  </conditionalFormatting>
  <conditionalFormatting sqref="B7:C7">
    <cfRule type="cellIs" dxfId="10825" priority="9043" stopIfTrue="1" operator="equal">
      <formula>"Towel"</formula>
    </cfRule>
    <cfRule type="cellIs" dxfId="10824" priority="9044" stopIfTrue="1" operator="equal">
      <formula>"Napkin Hs"</formula>
    </cfRule>
  </conditionalFormatting>
  <conditionalFormatting sqref="C7">
    <cfRule type="cellIs" dxfId="10823" priority="9042" stopIfTrue="1" operator="equal">
      <formula>"Napkin Hs"</formula>
    </cfRule>
  </conditionalFormatting>
  <conditionalFormatting sqref="C7">
    <cfRule type="cellIs" dxfId="10822" priority="9039" stopIfTrue="1" operator="equal">
      <formula>"Towel"</formula>
    </cfRule>
    <cfRule type="cellIs" dxfId="10821" priority="9040" stopIfTrue="1" operator="equal">
      <formula>"Napkin Hs"</formula>
    </cfRule>
  </conditionalFormatting>
  <conditionalFormatting sqref="C7">
    <cfRule type="cellIs" dxfId="10820" priority="9041" stopIfTrue="1" operator="equal">
      <formula>"Towel"</formula>
    </cfRule>
  </conditionalFormatting>
  <conditionalFormatting sqref="B10:C12 B13">
    <cfRule type="cellIs" dxfId="10819" priority="9037" stopIfTrue="1" operator="equal">
      <formula>"Towel"</formula>
    </cfRule>
    <cfRule type="cellIs" dxfId="10818" priority="9038" stopIfTrue="1" operator="equal">
      <formula>"Napkin Hs"</formula>
    </cfRule>
  </conditionalFormatting>
  <conditionalFormatting sqref="C10:C12">
    <cfRule type="cellIs" dxfId="10817" priority="9036" stopIfTrue="1" operator="equal">
      <formula>"Napkin Hs"</formula>
    </cfRule>
  </conditionalFormatting>
  <conditionalFormatting sqref="C10:C12">
    <cfRule type="cellIs" dxfId="10816" priority="9035" stopIfTrue="1" operator="equal">
      <formula>"Towel"</formula>
    </cfRule>
  </conditionalFormatting>
  <conditionalFormatting sqref="C10:C12">
    <cfRule type="cellIs" dxfId="10815" priority="9033" stopIfTrue="1" operator="equal">
      <formula>"Towel"</formula>
    </cfRule>
    <cfRule type="cellIs" dxfId="10814" priority="9034" stopIfTrue="1" operator="equal">
      <formula>"Napkin Hs"</formula>
    </cfRule>
  </conditionalFormatting>
  <conditionalFormatting sqref="B10:C12 B13">
    <cfRule type="cellIs" dxfId="10813" priority="9031" stopIfTrue="1" operator="equal">
      <formula>"Towel"</formula>
    </cfRule>
    <cfRule type="cellIs" dxfId="10812" priority="9032" stopIfTrue="1" operator="equal">
      <formula>"Napkin Hs"</formula>
    </cfRule>
  </conditionalFormatting>
  <conditionalFormatting sqref="C10:C12">
    <cfRule type="cellIs" dxfId="10811" priority="9030" stopIfTrue="1" operator="equal">
      <formula>"Napkin Hs"</formula>
    </cfRule>
  </conditionalFormatting>
  <conditionalFormatting sqref="C10:C12">
    <cfRule type="cellIs" dxfId="10810" priority="9027" stopIfTrue="1" operator="equal">
      <formula>"Towel"</formula>
    </cfRule>
    <cfRule type="cellIs" dxfId="10809" priority="9028" stopIfTrue="1" operator="equal">
      <formula>"Napkin Hs"</formula>
    </cfRule>
  </conditionalFormatting>
  <conditionalFormatting sqref="C10:C12">
    <cfRule type="cellIs" dxfId="10808" priority="9029" stopIfTrue="1" operator="equal">
      <formula>"Towel"</formula>
    </cfRule>
  </conditionalFormatting>
  <conditionalFormatting sqref="B10:C12 B13">
    <cfRule type="cellIs" dxfId="10807" priority="9025" stopIfTrue="1" operator="equal">
      <formula>"Towel"</formula>
    </cfRule>
    <cfRule type="cellIs" dxfId="10806" priority="9026" stopIfTrue="1" operator="equal">
      <formula>"Napkin Hs"</formula>
    </cfRule>
  </conditionalFormatting>
  <conditionalFormatting sqref="C10:C12">
    <cfRule type="cellIs" dxfId="10805" priority="9024" stopIfTrue="1" operator="equal">
      <formula>"Napkin Hs"</formula>
    </cfRule>
  </conditionalFormatting>
  <conditionalFormatting sqref="C10:C12">
    <cfRule type="cellIs" dxfId="10804" priority="9021" stopIfTrue="1" operator="equal">
      <formula>"Towel"</formula>
    </cfRule>
    <cfRule type="cellIs" dxfId="10803" priority="9022" stopIfTrue="1" operator="equal">
      <formula>"Napkin Hs"</formula>
    </cfRule>
  </conditionalFormatting>
  <conditionalFormatting sqref="C10:C12">
    <cfRule type="cellIs" dxfId="10802" priority="9023" stopIfTrue="1" operator="equal">
      <formula>"Towel"</formula>
    </cfRule>
  </conditionalFormatting>
  <conditionalFormatting sqref="B10:C12 B13">
    <cfRule type="cellIs" dxfId="10801" priority="9019" stopIfTrue="1" operator="equal">
      <formula>"Towel"</formula>
    </cfRule>
    <cfRule type="cellIs" dxfId="10800" priority="9020" stopIfTrue="1" operator="equal">
      <formula>"Napkin Hs"</formula>
    </cfRule>
  </conditionalFormatting>
  <conditionalFormatting sqref="C10:C12">
    <cfRule type="cellIs" dxfId="10799" priority="9018" stopIfTrue="1" operator="equal">
      <formula>"Napkin Hs"</formula>
    </cfRule>
  </conditionalFormatting>
  <conditionalFormatting sqref="C10:C12">
    <cfRule type="cellIs" dxfId="10798" priority="9015" stopIfTrue="1" operator="equal">
      <formula>"Towel"</formula>
    </cfRule>
    <cfRule type="cellIs" dxfId="10797" priority="9016" stopIfTrue="1" operator="equal">
      <formula>"Napkin Hs"</formula>
    </cfRule>
  </conditionalFormatting>
  <conditionalFormatting sqref="C10:C12">
    <cfRule type="cellIs" dxfId="10796" priority="9017" stopIfTrue="1" operator="equal">
      <formula>"Towel"</formula>
    </cfRule>
  </conditionalFormatting>
  <conditionalFormatting sqref="B10:C12 B13">
    <cfRule type="cellIs" dxfId="10795" priority="9013" stopIfTrue="1" operator="equal">
      <formula>"Towel"</formula>
    </cfRule>
    <cfRule type="cellIs" dxfId="10794" priority="9014" stopIfTrue="1" operator="equal">
      <formula>"Napkin Hs"</formula>
    </cfRule>
  </conditionalFormatting>
  <conditionalFormatting sqref="C10:C12">
    <cfRule type="cellIs" dxfId="10793" priority="9012" stopIfTrue="1" operator="equal">
      <formula>"Napkin Hs"</formula>
    </cfRule>
  </conditionalFormatting>
  <conditionalFormatting sqref="C10:C12">
    <cfRule type="cellIs" dxfId="10792" priority="9009" stopIfTrue="1" operator="equal">
      <formula>"Towel"</formula>
    </cfRule>
    <cfRule type="cellIs" dxfId="10791" priority="9010" stopIfTrue="1" operator="equal">
      <formula>"Napkin Hs"</formula>
    </cfRule>
  </conditionalFormatting>
  <conditionalFormatting sqref="C10:C12">
    <cfRule type="cellIs" dxfId="10790" priority="9011" stopIfTrue="1" operator="equal">
      <formula>"Towel"</formula>
    </cfRule>
  </conditionalFormatting>
  <conditionalFormatting sqref="B10:C12 B13">
    <cfRule type="cellIs" dxfId="10789" priority="9007" stopIfTrue="1" operator="equal">
      <formula>"Towel"</formula>
    </cfRule>
    <cfRule type="cellIs" dxfId="10788" priority="9008" stopIfTrue="1" operator="equal">
      <formula>"Napkin Hs"</formula>
    </cfRule>
  </conditionalFormatting>
  <conditionalFormatting sqref="C10:C12">
    <cfRule type="cellIs" dxfId="10787" priority="9006" stopIfTrue="1" operator="equal">
      <formula>"Napkin Hs"</formula>
    </cfRule>
  </conditionalFormatting>
  <conditionalFormatting sqref="C10:C12">
    <cfRule type="cellIs" dxfId="10786" priority="9003" stopIfTrue="1" operator="equal">
      <formula>"Towel"</formula>
    </cfRule>
    <cfRule type="cellIs" dxfId="10785" priority="9004" stopIfTrue="1" operator="equal">
      <formula>"Napkin Hs"</formula>
    </cfRule>
  </conditionalFormatting>
  <conditionalFormatting sqref="C10:C12">
    <cfRule type="cellIs" dxfId="10784" priority="9005" stopIfTrue="1" operator="equal">
      <formula>"Towel"</formula>
    </cfRule>
  </conditionalFormatting>
  <conditionalFormatting sqref="B10:C12 B13">
    <cfRule type="cellIs" dxfId="10783" priority="9001" stopIfTrue="1" operator="equal">
      <formula>"Towel"</formula>
    </cfRule>
    <cfRule type="cellIs" dxfId="10782" priority="9002" stopIfTrue="1" operator="equal">
      <formula>"Napkin Hs"</formula>
    </cfRule>
  </conditionalFormatting>
  <conditionalFormatting sqref="C10:C12">
    <cfRule type="cellIs" dxfId="10781" priority="9000" stopIfTrue="1" operator="equal">
      <formula>"Napkin Hs"</formula>
    </cfRule>
  </conditionalFormatting>
  <conditionalFormatting sqref="C10:C12">
    <cfRule type="cellIs" dxfId="10780" priority="8997" stopIfTrue="1" operator="equal">
      <formula>"Towel"</formula>
    </cfRule>
    <cfRule type="cellIs" dxfId="10779" priority="8998" stopIfTrue="1" operator="equal">
      <formula>"Napkin Hs"</formula>
    </cfRule>
  </conditionalFormatting>
  <conditionalFormatting sqref="C10:C12">
    <cfRule type="cellIs" dxfId="10778" priority="8999" stopIfTrue="1" operator="equal">
      <formula>"Towel"</formula>
    </cfRule>
  </conditionalFormatting>
  <conditionalFormatting sqref="B10:C12 B13">
    <cfRule type="cellIs" dxfId="10777" priority="8995" stopIfTrue="1" operator="equal">
      <formula>"Towel"</formula>
    </cfRule>
    <cfRule type="cellIs" dxfId="10776" priority="8996" stopIfTrue="1" operator="equal">
      <formula>"Napkin Hs"</formula>
    </cfRule>
  </conditionalFormatting>
  <conditionalFormatting sqref="C10:C12">
    <cfRule type="cellIs" dxfId="10775" priority="8994" stopIfTrue="1" operator="equal">
      <formula>"Napkin Hs"</formula>
    </cfRule>
  </conditionalFormatting>
  <conditionalFormatting sqref="C10:C12">
    <cfRule type="cellIs" dxfId="10774" priority="8991" stopIfTrue="1" operator="equal">
      <formula>"Towel"</formula>
    </cfRule>
    <cfRule type="cellIs" dxfId="10773" priority="8992" stopIfTrue="1" operator="equal">
      <formula>"Napkin Hs"</formula>
    </cfRule>
  </conditionalFormatting>
  <conditionalFormatting sqref="C10:C12">
    <cfRule type="cellIs" dxfId="10772" priority="8993" stopIfTrue="1" operator="equal">
      <formula>"Towel"</formula>
    </cfRule>
  </conditionalFormatting>
  <conditionalFormatting sqref="B10:C12 B13">
    <cfRule type="cellIs" dxfId="10771" priority="8989" stopIfTrue="1" operator="equal">
      <formula>"Towel"</formula>
    </cfRule>
    <cfRule type="cellIs" dxfId="10770" priority="8990" stopIfTrue="1" operator="equal">
      <formula>"Napkin Hs"</formula>
    </cfRule>
  </conditionalFormatting>
  <conditionalFormatting sqref="C10:C12">
    <cfRule type="cellIs" dxfId="10769" priority="8988" stopIfTrue="1" operator="equal">
      <formula>"Napkin Hs"</formula>
    </cfRule>
  </conditionalFormatting>
  <conditionalFormatting sqref="C10:C12">
    <cfRule type="cellIs" dxfId="10768" priority="8985" stopIfTrue="1" operator="equal">
      <formula>"Towel"</formula>
    </cfRule>
    <cfRule type="cellIs" dxfId="10767" priority="8986" stopIfTrue="1" operator="equal">
      <formula>"Napkin Hs"</formula>
    </cfRule>
  </conditionalFormatting>
  <conditionalFormatting sqref="C10:C12">
    <cfRule type="cellIs" dxfId="10766" priority="8987" stopIfTrue="1" operator="equal">
      <formula>"Towel"</formula>
    </cfRule>
  </conditionalFormatting>
  <conditionalFormatting sqref="B10:C12 B13">
    <cfRule type="cellIs" dxfId="10765" priority="8983" stopIfTrue="1" operator="equal">
      <formula>"Towel"</formula>
    </cfRule>
    <cfRule type="cellIs" dxfId="10764" priority="8984" stopIfTrue="1" operator="equal">
      <formula>"Napkin Hs"</formula>
    </cfRule>
  </conditionalFormatting>
  <conditionalFormatting sqref="C10:C12">
    <cfRule type="cellIs" dxfId="10763" priority="8982" stopIfTrue="1" operator="equal">
      <formula>"Napkin Hs"</formula>
    </cfRule>
  </conditionalFormatting>
  <conditionalFormatting sqref="C10:C12">
    <cfRule type="cellIs" dxfId="10762" priority="8979" stopIfTrue="1" operator="equal">
      <formula>"Towel"</formula>
    </cfRule>
    <cfRule type="cellIs" dxfId="10761" priority="8980" stopIfTrue="1" operator="equal">
      <formula>"Napkin Hs"</formula>
    </cfRule>
  </conditionalFormatting>
  <conditionalFormatting sqref="C10:C12">
    <cfRule type="cellIs" dxfId="10760" priority="8981" stopIfTrue="1" operator="equal">
      <formula>"Towel"</formula>
    </cfRule>
  </conditionalFormatting>
  <conditionalFormatting sqref="B19:C19">
    <cfRule type="cellIs" dxfId="10759" priority="8977" stopIfTrue="1" operator="equal">
      <formula>"Towel"</formula>
    </cfRule>
    <cfRule type="cellIs" dxfId="10758" priority="8978" stopIfTrue="1" operator="equal">
      <formula>"Napkin Hs"</formula>
    </cfRule>
  </conditionalFormatting>
  <conditionalFormatting sqref="C19">
    <cfRule type="cellIs" dxfId="10757" priority="8976" stopIfTrue="1" operator="equal">
      <formula>"Napkin Hs"</formula>
    </cfRule>
  </conditionalFormatting>
  <conditionalFormatting sqref="C19">
    <cfRule type="cellIs" dxfId="10756" priority="8973" stopIfTrue="1" operator="equal">
      <formula>"Towel"</formula>
    </cfRule>
    <cfRule type="cellIs" dxfId="10755" priority="8974" stopIfTrue="1" operator="equal">
      <formula>"Napkin Hs"</formula>
    </cfRule>
  </conditionalFormatting>
  <conditionalFormatting sqref="C19">
    <cfRule type="cellIs" dxfId="10754" priority="8975" stopIfTrue="1" operator="equal">
      <formula>"Towel"</formula>
    </cfRule>
  </conditionalFormatting>
  <conditionalFormatting sqref="B19:C19">
    <cfRule type="cellIs" dxfId="10753" priority="8971" stopIfTrue="1" operator="equal">
      <formula>"Towel"</formula>
    </cfRule>
    <cfRule type="cellIs" dxfId="10752" priority="8972" stopIfTrue="1" operator="equal">
      <formula>"Napkin Hs"</formula>
    </cfRule>
  </conditionalFormatting>
  <conditionalFormatting sqref="C19">
    <cfRule type="cellIs" dxfId="10751" priority="8970" stopIfTrue="1" operator="equal">
      <formula>"Napkin Hs"</formula>
    </cfRule>
  </conditionalFormatting>
  <conditionalFormatting sqref="C19">
    <cfRule type="cellIs" dxfId="10750" priority="8967" stopIfTrue="1" operator="equal">
      <formula>"Towel"</formula>
    </cfRule>
    <cfRule type="cellIs" dxfId="10749" priority="8968" stopIfTrue="1" operator="equal">
      <formula>"Napkin Hs"</formula>
    </cfRule>
  </conditionalFormatting>
  <conditionalFormatting sqref="C19">
    <cfRule type="cellIs" dxfId="10748" priority="8969" stopIfTrue="1" operator="equal">
      <formula>"Towel"</formula>
    </cfRule>
  </conditionalFormatting>
  <conditionalFormatting sqref="B19:C19">
    <cfRule type="cellIs" dxfId="10747" priority="8965" stopIfTrue="1" operator="equal">
      <formula>"Towel"</formula>
    </cfRule>
    <cfRule type="cellIs" dxfId="10746" priority="8966" stopIfTrue="1" operator="equal">
      <formula>"Napkin Hs"</formula>
    </cfRule>
  </conditionalFormatting>
  <conditionalFormatting sqref="C19">
    <cfRule type="cellIs" dxfId="10745" priority="8964" stopIfTrue="1" operator="equal">
      <formula>"Napkin Hs"</formula>
    </cfRule>
  </conditionalFormatting>
  <conditionalFormatting sqref="C19">
    <cfRule type="cellIs" dxfId="10744" priority="8961" stopIfTrue="1" operator="equal">
      <formula>"Towel"</formula>
    </cfRule>
    <cfRule type="cellIs" dxfId="10743" priority="8962" stopIfTrue="1" operator="equal">
      <formula>"Napkin Hs"</formula>
    </cfRule>
  </conditionalFormatting>
  <conditionalFormatting sqref="C19">
    <cfRule type="cellIs" dxfId="10742" priority="8963" stopIfTrue="1" operator="equal">
      <formula>"Towel"</formula>
    </cfRule>
  </conditionalFormatting>
  <conditionalFormatting sqref="B22:C22">
    <cfRule type="cellIs" dxfId="10741" priority="8959" stopIfTrue="1" operator="equal">
      <formula>"Towel"</formula>
    </cfRule>
    <cfRule type="cellIs" dxfId="10740" priority="8960" stopIfTrue="1" operator="equal">
      <formula>"Napkin Hs"</formula>
    </cfRule>
  </conditionalFormatting>
  <conditionalFormatting sqref="C22">
    <cfRule type="cellIs" dxfId="10739" priority="8958" stopIfTrue="1" operator="equal">
      <formula>"Napkin Hs"</formula>
    </cfRule>
  </conditionalFormatting>
  <conditionalFormatting sqref="C22">
    <cfRule type="cellIs" dxfId="10738" priority="8957" stopIfTrue="1" operator="equal">
      <formula>"Towel"</formula>
    </cfRule>
  </conditionalFormatting>
  <conditionalFormatting sqref="C22">
    <cfRule type="cellIs" dxfId="10737" priority="8955" stopIfTrue="1" operator="equal">
      <formula>"Towel"</formula>
    </cfRule>
    <cfRule type="cellIs" dxfId="10736" priority="8956" stopIfTrue="1" operator="equal">
      <formula>"Napkin Hs"</formula>
    </cfRule>
  </conditionalFormatting>
  <conditionalFormatting sqref="B23:C23">
    <cfRule type="cellIs" dxfId="10735" priority="8953" stopIfTrue="1" operator="equal">
      <formula>"Towel"</formula>
    </cfRule>
    <cfRule type="cellIs" dxfId="10734" priority="8954" stopIfTrue="1" operator="equal">
      <formula>"Napkin Hs"</formula>
    </cfRule>
  </conditionalFormatting>
  <conditionalFormatting sqref="C23">
    <cfRule type="cellIs" dxfId="10733" priority="8952" stopIfTrue="1" operator="equal">
      <formula>"Napkin Hs"</formula>
    </cfRule>
  </conditionalFormatting>
  <conditionalFormatting sqref="C23">
    <cfRule type="cellIs" dxfId="10732" priority="8949" stopIfTrue="1" operator="equal">
      <formula>"Towel"</formula>
    </cfRule>
    <cfRule type="cellIs" dxfId="10731" priority="8950" stopIfTrue="1" operator="equal">
      <formula>"Napkin Hs"</formula>
    </cfRule>
  </conditionalFormatting>
  <conditionalFormatting sqref="C23">
    <cfRule type="cellIs" dxfId="10730" priority="8951" stopIfTrue="1" operator="equal">
      <formula>"Towel"</formula>
    </cfRule>
  </conditionalFormatting>
  <conditionalFormatting sqref="B21:C21">
    <cfRule type="cellIs" dxfId="10729" priority="8947" stopIfTrue="1" operator="equal">
      <formula>"Towel"</formula>
    </cfRule>
    <cfRule type="cellIs" dxfId="10728" priority="8948" stopIfTrue="1" operator="equal">
      <formula>"Napkin Hs"</formula>
    </cfRule>
  </conditionalFormatting>
  <conditionalFormatting sqref="C21">
    <cfRule type="cellIs" dxfId="10727" priority="8946" stopIfTrue="1" operator="equal">
      <formula>"Napkin Hs"</formula>
    </cfRule>
  </conditionalFormatting>
  <conditionalFormatting sqref="C21">
    <cfRule type="cellIs" dxfId="10726" priority="8943" stopIfTrue="1" operator="equal">
      <formula>"Towel"</formula>
    </cfRule>
    <cfRule type="cellIs" dxfId="10725" priority="8944" stopIfTrue="1" operator="equal">
      <formula>"Napkin Hs"</formula>
    </cfRule>
  </conditionalFormatting>
  <conditionalFormatting sqref="C21">
    <cfRule type="cellIs" dxfId="10724" priority="8945" stopIfTrue="1" operator="equal">
      <formula>"Towel"</formula>
    </cfRule>
  </conditionalFormatting>
  <conditionalFormatting sqref="C23">
    <cfRule type="cellIs" dxfId="10723" priority="8941" stopIfTrue="1" operator="equal">
      <formula>"Towel"</formula>
    </cfRule>
    <cfRule type="cellIs" dxfId="10722" priority="8942" stopIfTrue="1" operator="equal">
      <formula>"Napkin Hs"</formula>
    </cfRule>
  </conditionalFormatting>
  <conditionalFormatting sqref="C23">
    <cfRule type="cellIs" dxfId="10721" priority="8939" stopIfTrue="1" operator="equal">
      <formula>"Towel"</formula>
    </cfRule>
    <cfRule type="cellIs" dxfId="10720" priority="8940" stopIfTrue="1" operator="equal">
      <formula>"Napkin Hs"</formula>
    </cfRule>
  </conditionalFormatting>
  <conditionalFormatting sqref="C23">
    <cfRule type="cellIs" dxfId="10719" priority="8937" stopIfTrue="1" operator="equal">
      <formula>"Towel"</formula>
    </cfRule>
    <cfRule type="cellIs" dxfId="10718" priority="8938" stopIfTrue="1" operator="equal">
      <formula>"Napkin Hs"</formula>
    </cfRule>
  </conditionalFormatting>
  <conditionalFormatting sqref="B21:C22 B23">
    <cfRule type="cellIs" dxfId="10717" priority="8935" stopIfTrue="1" operator="equal">
      <formula>"Towel"</formula>
    </cfRule>
    <cfRule type="cellIs" dxfId="10716" priority="8936" stopIfTrue="1" operator="equal">
      <formula>"Napkin Hs"</formula>
    </cfRule>
  </conditionalFormatting>
  <conditionalFormatting sqref="C21:C22">
    <cfRule type="cellIs" dxfId="10715" priority="8934" stopIfTrue="1" operator="equal">
      <formula>"Napkin Hs"</formula>
    </cfRule>
  </conditionalFormatting>
  <conditionalFormatting sqref="C21:C22">
    <cfRule type="cellIs" dxfId="10714" priority="8933" stopIfTrue="1" operator="equal">
      <formula>"Towel"</formula>
    </cfRule>
  </conditionalFormatting>
  <conditionalFormatting sqref="C21:C22">
    <cfRule type="cellIs" dxfId="10713" priority="8931" stopIfTrue="1" operator="equal">
      <formula>"Towel"</formula>
    </cfRule>
    <cfRule type="cellIs" dxfId="10712" priority="8932" stopIfTrue="1" operator="equal">
      <formula>"Napkin Hs"</formula>
    </cfRule>
  </conditionalFormatting>
  <conditionalFormatting sqref="B21:C22 B23">
    <cfRule type="cellIs" dxfId="10711" priority="8929" stopIfTrue="1" operator="equal">
      <formula>"Towel"</formula>
    </cfRule>
    <cfRule type="cellIs" dxfId="10710" priority="8930" stopIfTrue="1" operator="equal">
      <formula>"Napkin Hs"</formula>
    </cfRule>
  </conditionalFormatting>
  <conditionalFormatting sqref="C21:C22">
    <cfRule type="cellIs" dxfId="10709" priority="8928" stopIfTrue="1" operator="equal">
      <formula>"Napkin Hs"</formula>
    </cfRule>
  </conditionalFormatting>
  <conditionalFormatting sqref="C21:C22">
    <cfRule type="cellIs" dxfId="10708" priority="8925" stopIfTrue="1" operator="equal">
      <formula>"Towel"</formula>
    </cfRule>
    <cfRule type="cellIs" dxfId="10707" priority="8926" stopIfTrue="1" operator="equal">
      <formula>"Napkin Hs"</formula>
    </cfRule>
  </conditionalFormatting>
  <conditionalFormatting sqref="C21:C22">
    <cfRule type="cellIs" dxfId="10706" priority="8927" stopIfTrue="1" operator="equal">
      <formula>"Towel"</formula>
    </cfRule>
  </conditionalFormatting>
  <conditionalFormatting sqref="B21:C22 B23">
    <cfRule type="cellIs" dxfId="10705" priority="8923" stopIfTrue="1" operator="equal">
      <formula>"Towel"</formula>
    </cfRule>
    <cfRule type="cellIs" dxfId="10704" priority="8924" stopIfTrue="1" operator="equal">
      <formula>"Napkin Hs"</formula>
    </cfRule>
  </conditionalFormatting>
  <conditionalFormatting sqref="C21:C22">
    <cfRule type="cellIs" dxfId="10703" priority="8922" stopIfTrue="1" operator="equal">
      <formula>"Napkin Hs"</formula>
    </cfRule>
  </conditionalFormatting>
  <conditionalFormatting sqref="C21:C22">
    <cfRule type="cellIs" dxfId="10702" priority="8919" stopIfTrue="1" operator="equal">
      <formula>"Towel"</formula>
    </cfRule>
    <cfRule type="cellIs" dxfId="10701" priority="8920" stopIfTrue="1" operator="equal">
      <formula>"Napkin Hs"</formula>
    </cfRule>
  </conditionalFormatting>
  <conditionalFormatting sqref="C21:C22">
    <cfRule type="cellIs" dxfId="10700" priority="8921" stopIfTrue="1" operator="equal">
      <formula>"Towel"</formula>
    </cfRule>
  </conditionalFormatting>
  <conditionalFormatting sqref="B21:C22 B23">
    <cfRule type="cellIs" dxfId="10699" priority="8917" stopIfTrue="1" operator="equal">
      <formula>"Towel"</formula>
    </cfRule>
    <cfRule type="cellIs" dxfId="10698" priority="8918" stopIfTrue="1" operator="equal">
      <formula>"Napkin Hs"</formula>
    </cfRule>
  </conditionalFormatting>
  <conditionalFormatting sqref="C21:C22">
    <cfRule type="cellIs" dxfId="10697" priority="8916" stopIfTrue="1" operator="equal">
      <formula>"Napkin Hs"</formula>
    </cfRule>
  </conditionalFormatting>
  <conditionalFormatting sqref="C21:C22">
    <cfRule type="cellIs" dxfId="10696" priority="8913" stopIfTrue="1" operator="equal">
      <formula>"Towel"</formula>
    </cfRule>
    <cfRule type="cellIs" dxfId="10695" priority="8914" stopIfTrue="1" operator="equal">
      <formula>"Napkin Hs"</formula>
    </cfRule>
  </conditionalFormatting>
  <conditionalFormatting sqref="C21:C22">
    <cfRule type="cellIs" dxfId="10694" priority="8915" stopIfTrue="1" operator="equal">
      <formula>"Towel"</formula>
    </cfRule>
  </conditionalFormatting>
  <conditionalFormatting sqref="B21:C22 B23">
    <cfRule type="cellIs" dxfId="10693" priority="8911" stopIfTrue="1" operator="equal">
      <formula>"Towel"</formula>
    </cfRule>
    <cfRule type="cellIs" dxfId="10692" priority="8912" stopIfTrue="1" operator="equal">
      <formula>"Napkin Hs"</formula>
    </cfRule>
  </conditionalFormatting>
  <conditionalFormatting sqref="C21:C22">
    <cfRule type="cellIs" dxfId="10691" priority="8910" stopIfTrue="1" operator="equal">
      <formula>"Napkin Hs"</formula>
    </cfRule>
  </conditionalFormatting>
  <conditionalFormatting sqref="C21:C22">
    <cfRule type="cellIs" dxfId="10690" priority="8907" stopIfTrue="1" operator="equal">
      <formula>"Towel"</formula>
    </cfRule>
    <cfRule type="cellIs" dxfId="10689" priority="8908" stopIfTrue="1" operator="equal">
      <formula>"Napkin Hs"</formula>
    </cfRule>
  </conditionalFormatting>
  <conditionalFormatting sqref="C21:C22">
    <cfRule type="cellIs" dxfId="10688" priority="8909" stopIfTrue="1" operator="equal">
      <formula>"Towel"</formula>
    </cfRule>
  </conditionalFormatting>
  <conditionalFormatting sqref="B21:C22 B23">
    <cfRule type="cellIs" dxfId="10687" priority="8905" stopIfTrue="1" operator="equal">
      <formula>"Towel"</formula>
    </cfRule>
    <cfRule type="cellIs" dxfId="10686" priority="8906" stopIfTrue="1" operator="equal">
      <formula>"Napkin Hs"</formula>
    </cfRule>
  </conditionalFormatting>
  <conditionalFormatting sqref="C21:C22">
    <cfRule type="cellIs" dxfId="10685" priority="8904" stopIfTrue="1" operator="equal">
      <formula>"Napkin Hs"</formula>
    </cfRule>
  </conditionalFormatting>
  <conditionalFormatting sqref="C21:C22">
    <cfRule type="cellIs" dxfId="10684" priority="8901" stopIfTrue="1" operator="equal">
      <formula>"Towel"</formula>
    </cfRule>
    <cfRule type="cellIs" dxfId="10683" priority="8902" stopIfTrue="1" operator="equal">
      <formula>"Napkin Hs"</formula>
    </cfRule>
  </conditionalFormatting>
  <conditionalFormatting sqref="C21:C22">
    <cfRule type="cellIs" dxfId="10682" priority="8903" stopIfTrue="1" operator="equal">
      <formula>"Towel"</formula>
    </cfRule>
  </conditionalFormatting>
  <conditionalFormatting sqref="B21:C22 B23">
    <cfRule type="cellIs" dxfId="10681" priority="8899" stopIfTrue="1" operator="equal">
      <formula>"Towel"</formula>
    </cfRule>
    <cfRule type="cellIs" dxfId="10680" priority="8900" stopIfTrue="1" operator="equal">
      <formula>"Napkin Hs"</formula>
    </cfRule>
  </conditionalFormatting>
  <conditionalFormatting sqref="C21:C22">
    <cfRule type="cellIs" dxfId="10679" priority="8898" stopIfTrue="1" operator="equal">
      <formula>"Napkin Hs"</formula>
    </cfRule>
  </conditionalFormatting>
  <conditionalFormatting sqref="C21:C22">
    <cfRule type="cellIs" dxfId="10678" priority="8895" stopIfTrue="1" operator="equal">
      <formula>"Towel"</formula>
    </cfRule>
    <cfRule type="cellIs" dxfId="10677" priority="8896" stopIfTrue="1" operator="equal">
      <formula>"Napkin Hs"</formula>
    </cfRule>
  </conditionalFormatting>
  <conditionalFormatting sqref="C21:C22">
    <cfRule type="cellIs" dxfId="10676" priority="8897" stopIfTrue="1" operator="equal">
      <formula>"Towel"</formula>
    </cfRule>
  </conditionalFormatting>
  <conditionalFormatting sqref="B21:C22 B23">
    <cfRule type="cellIs" dxfId="10675" priority="8893" stopIfTrue="1" operator="equal">
      <formula>"Towel"</formula>
    </cfRule>
    <cfRule type="cellIs" dxfId="10674" priority="8894" stopIfTrue="1" operator="equal">
      <formula>"Napkin Hs"</formula>
    </cfRule>
  </conditionalFormatting>
  <conditionalFormatting sqref="C21:C22">
    <cfRule type="cellIs" dxfId="10673" priority="8892" stopIfTrue="1" operator="equal">
      <formula>"Napkin Hs"</formula>
    </cfRule>
  </conditionalFormatting>
  <conditionalFormatting sqref="C21:C22">
    <cfRule type="cellIs" dxfId="10672" priority="8889" stopIfTrue="1" operator="equal">
      <formula>"Towel"</formula>
    </cfRule>
    <cfRule type="cellIs" dxfId="10671" priority="8890" stopIfTrue="1" operator="equal">
      <formula>"Napkin Hs"</formula>
    </cfRule>
  </conditionalFormatting>
  <conditionalFormatting sqref="C21:C22">
    <cfRule type="cellIs" dxfId="10670" priority="8891" stopIfTrue="1" operator="equal">
      <formula>"Towel"</formula>
    </cfRule>
  </conditionalFormatting>
  <conditionalFormatting sqref="B21:C22 B23">
    <cfRule type="cellIs" dxfId="10669" priority="8887" stopIfTrue="1" operator="equal">
      <formula>"Towel"</formula>
    </cfRule>
    <cfRule type="cellIs" dxfId="10668" priority="8888" stopIfTrue="1" operator="equal">
      <formula>"Napkin Hs"</formula>
    </cfRule>
  </conditionalFormatting>
  <conditionalFormatting sqref="C21:C22">
    <cfRule type="cellIs" dxfId="10667" priority="8886" stopIfTrue="1" operator="equal">
      <formula>"Napkin Hs"</formula>
    </cfRule>
  </conditionalFormatting>
  <conditionalFormatting sqref="C21:C22">
    <cfRule type="cellIs" dxfId="10666" priority="8883" stopIfTrue="1" operator="equal">
      <formula>"Towel"</formula>
    </cfRule>
    <cfRule type="cellIs" dxfId="10665" priority="8884" stopIfTrue="1" operator="equal">
      <formula>"Napkin Hs"</formula>
    </cfRule>
  </conditionalFormatting>
  <conditionalFormatting sqref="C21:C22">
    <cfRule type="cellIs" dxfId="10664" priority="8885" stopIfTrue="1" operator="equal">
      <formula>"Towel"</formula>
    </cfRule>
  </conditionalFormatting>
  <conditionalFormatting sqref="B21:C22 B23">
    <cfRule type="cellIs" dxfId="10663" priority="8881" stopIfTrue="1" operator="equal">
      <formula>"Towel"</formula>
    </cfRule>
    <cfRule type="cellIs" dxfId="10662" priority="8882" stopIfTrue="1" operator="equal">
      <formula>"Napkin Hs"</formula>
    </cfRule>
  </conditionalFormatting>
  <conditionalFormatting sqref="C21:C22">
    <cfRule type="cellIs" dxfId="10661" priority="8880" stopIfTrue="1" operator="equal">
      <formula>"Napkin Hs"</formula>
    </cfRule>
  </conditionalFormatting>
  <conditionalFormatting sqref="C21:C22">
    <cfRule type="cellIs" dxfId="10660" priority="8877" stopIfTrue="1" operator="equal">
      <formula>"Towel"</formula>
    </cfRule>
    <cfRule type="cellIs" dxfId="10659" priority="8878" stopIfTrue="1" operator="equal">
      <formula>"Napkin Hs"</formula>
    </cfRule>
  </conditionalFormatting>
  <conditionalFormatting sqref="C21:C22">
    <cfRule type="cellIs" dxfId="10658" priority="8879" stopIfTrue="1" operator="equal">
      <formula>"Towel"</formula>
    </cfRule>
  </conditionalFormatting>
  <conditionalFormatting sqref="B22:C22">
    <cfRule type="cellIs" dxfId="10657" priority="8875" stopIfTrue="1" operator="equal">
      <formula>"Towel"</formula>
    </cfRule>
    <cfRule type="cellIs" dxfId="10656" priority="8876" stopIfTrue="1" operator="equal">
      <formula>"Napkin Hs"</formula>
    </cfRule>
  </conditionalFormatting>
  <conditionalFormatting sqref="C22">
    <cfRule type="cellIs" dxfId="10655" priority="8874" stopIfTrue="1" operator="equal">
      <formula>"Napkin Hs"</formula>
    </cfRule>
  </conditionalFormatting>
  <conditionalFormatting sqref="C22">
    <cfRule type="cellIs" dxfId="10654" priority="8873" stopIfTrue="1" operator="equal">
      <formula>"Towel"</formula>
    </cfRule>
  </conditionalFormatting>
  <conditionalFormatting sqref="C22">
    <cfRule type="cellIs" dxfId="10653" priority="8871" stopIfTrue="1" operator="equal">
      <formula>"Towel"</formula>
    </cfRule>
    <cfRule type="cellIs" dxfId="10652" priority="8872" stopIfTrue="1" operator="equal">
      <formula>"Napkin Hs"</formula>
    </cfRule>
  </conditionalFormatting>
  <conditionalFormatting sqref="B23:C23">
    <cfRule type="cellIs" dxfId="10651" priority="8869" stopIfTrue="1" operator="equal">
      <formula>"Towel"</formula>
    </cfRule>
    <cfRule type="cellIs" dxfId="10650" priority="8870" stopIfTrue="1" operator="equal">
      <formula>"Napkin Hs"</formula>
    </cfRule>
  </conditionalFormatting>
  <conditionalFormatting sqref="C23">
    <cfRule type="cellIs" dxfId="10649" priority="8868" stopIfTrue="1" operator="equal">
      <formula>"Napkin Hs"</formula>
    </cfRule>
  </conditionalFormatting>
  <conditionalFormatting sqref="C23">
    <cfRule type="cellIs" dxfId="10648" priority="8865" stopIfTrue="1" operator="equal">
      <formula>"Towel"</formula>
    </cfRule>
    <cfRule type="cellIs" dxfId="10647" priority="8866" stopIfTrue="1" operator="equal">
      <formula>"Napkin Hs"</formula>
    </cfRule>
  </conditionalFormatting>
  <conditionalFormatting sqref="C23">
    <cfRule type="cellIs" dxfId="10646" priority="8867" stopIfTrue="1" operator="equal">
      <formula>"Towel"</formula>
    </cfRule>
  </conditionalFormatting>
  <conditionalFormatting sqref="B21:C21">
    <cfRule type="cellIs" dxfId="10645" priority="8863" stopIfTrue="1" operator="equal">
      <formula>"Towel"</formula>
    </cfRule>
    <cfRule type="cellIs" dxfId="10644" priority="8864" stopIfTrue="1" operator="equal">
      <formula>"Napkin Hs"</formula>
    </cfRule>
  </conditionalFormatting>
  <conditionalFormatting sqref="C21">
    <cfRule type="cellIs" dxfId="10643" priority="8862" stopIfTrue="1" operator="equal">
      <formula>"Napkin Hs"</formula>
    </cfRule>
  </conditionalFormatting>
  <conditionalFormatting sqref="C21">
    <cfRule type="cellIs" dxfId="10642" priority="8859" stopIfTrue="1" operator="equal">
      <formula>"Towel"</formula>
    </cfRule>
    <cfRule type="cellIs" dxfId="10641" priority="8860" stopIfTrue="1" operator="equal">
      <formula>"Napkin Hs"</formula>
    </cfRule>
  </conditionalFormatting>
  <conditionalFormatting sqref="C21">
    <cfRule type="cellIs" dxfId="10640" priority="8861" stopIfTrue="1" operator="equal">
      <formula>"Towel"</formula>
    </cfRule>
  </conditionalFormatting>
  <conditionalFormatting sqref="C23">
    <cfRule type="cellIs" dxfId="10639" priority="8857" stopIfTrue="1" operator="equal">
      <formula>"Towel"</formula>
    </cfRule>
    <cfRule type="cellIs" dxfId="10638" priority="8858" stopIfTrue="1" operator="equal">
      <formula>"Napkin Hs"</formula>
    </cfRule>
  </conditionalFormatting>
  <conditionalFormatting sqref="C23">
    <cfRule type="cellIs" dxfId="10637" priority="8855" stopIfTrue="1" operator="equal">
      <formula>"Towel"</formula>
    </cfRule>
    <cfRule type="cellIs" dxfId="10636" priority="8856" stopIfTrue="1" operator="equal">
      <formula>"Napkin Hs"</formula>
    </cfRule>
  </conditionalFormatting>
  <conditionalFormatting sqref="C23">
    <cfRule type="cellIs" dxfId="10635" priority="8853" stopIfTrue="1" operator="equal">
      <formula>"Towel"</formula>
    </cfRule>
    <cfRule type="cellIs" dxfId="10634" priority="8854" stopIfTrue="1" operator="equal">
      <formula>"Napkin Hs"</formula>
    </cfRule>
  </conditionalFormatting>
  <conditionalFormatting sqref="B21:C22 B23">
    <cfRule type="cellIs" dxfId="10633" priority="8851" stopIfTrue="1" operator="equal">
      <formula>"Towel"</formula>
    </cfRule>
    <cfRule type="cellIs" dxfId="10632" priority="8852" stopIfTrue="1" operator="equal">
      <formula>"Napkin Hs"</formula>
    </cfRule>
  </conditionalFormatting>
  <conditionalFormatting sqref="C21:C22">
    <cfRule type="cellIs" dxfId="10631" priority="8850" stopIfTrue="1" operator="equal">
      <formula>"Napkin Hs"</formula>
    </cfRule>
  </conditionalFormatting>
  <conditionalFormatting sqref="C21:C22">
    <cfRule type="cellIs" dxfId="10630" priority="8849" stopIfTrue="1" operator="equal">
      <formula>"Towel"</formula>
    </cfRule>
  </conditionalFormatting>
  <conditionalFormatting sqref="C21:C22">
    <cfRule type="cellIs" dxfId="10629" priority="8847" stopIfTrue="1" operator="equal">
      <formula>"Towel"</formula>
    </cfRule>
    <cfRule type="cellIs" dxfId="10628" priority="8848" stopIfTrue="1" operator="equal">
      <formula>"Napkin Hs"</formula>
    </cfRule>
  </conditionalFormatting>
  <conditionalFormatting sqref="B21:C22 B23">
    <cfRule type="cellIs" dxfId="10627" priority="8845" stopIfTrue="1" operator="equal">
      <formula>"Towel"</formula>
    </cfRule>
    <cfRule type="cellIs" dxfId="10626" priority="8846" stopIfTrue="1" operator="equal">
      <formula>"Napkin Hs"</formula>
    </cfRule>
  </conditionalFormatting>
  <conditionalFormatting sqref="C21:C22">
    <cfRule type="cellIs" dxfId="10625" priority="8844" stopIfTrue="1" operator="equal">
      <formula>"Napkin Hs"</formula>
    </cfRule>
  </conditionalFormatting>
  <conditionalFormatting sqref="C21:C22">
    <cfRule type="cellIs" dxfId="10624" priority="8841" stopIfTrue="1" operator="equal">
      <formula>"Towel"</formula>
    </cfRule>
    <cfRule type="cellIs" dxfId="10623" priority="8842" stopIfTrue="1" operator="equal">
      <formula>"Napkin Hs"</formula>
    </cfRule>
  </conditionalFormatting>
  <conditionalFormatting sqref="C21:C22">
    <cfRule type="cellIs" dxfId="10622" priority="8843" stopIfTrue="1" operator="equal">
      <formula>"Towel"</formula>
    </cfRule>
  </conditionalFormatting>
  <conditionalFormatting sqref="B21:C22 B23">
    <cfRule type="cellIs" dxfId="10621" priority="8839" stopIfTrue="1" operator="equal">
      <formula>"Towel"</formula>
    </cfRule>
    <cfRule type="cellIs" dxfId="10620" priority="8840" stopIfTrue="1" operator="equal">
      <formula>"Napkin Hs"</formula>
    </cfRule>
  </conditionalFormatting>
  <conditionalFormatting sqref="C21:C22">
    <cfRule type="cellIs" dxfId="10619" priority="8838" stopIfTrue="1" operator="equal">
      <formula>"Napkin Hs"</formula>
    </cfRule>
  </conditionalFormatting>
  <conditionalFormatting sqref="C21:C22">
    <cfRule type="cellIs" dxfId="10618" priority="8835" stopIfTrue="1" operator="equal">
      <formula>"Towel"</formula>
    </cfRule>
    <cfRule type="cellIs" dxfId="10617" priority="8836" stopIfTrue="1" operator="equal">
      <formula>"Napkin Hs"</formula>
    </cfRule>
  </conditionalFormatting>
  <conditionalFormatting sqref="C21:C22">
    <cfRule type="cellIs" dxfId="10616" priority="8837" stopIfTrue="1" operator="equal">
      <formula>"Towel"</formula>
    </cfRule>
  </conditionalFormatting>
  <conditionalFormatting sqref="B21:C22 B23">
    <cfRule type="cellIs" dxfId="10615" priority="8833" stopIfTrue="1" operator="equal">
      <formula>"Towel"</formula>
    </cfRule>
    <cfRule type="cellIs" dxfId="10614" priority="8834" stopIfTrue="1" operator="equal">
      <formula>"Napkin Hs"</formula>
    </cfRule>
  </conditionalFormatting>
  <conditionalFormatting sqref="C21:C22">
    <cfRule type="cellIs" dxfId="10613" priority="8832" stopIfTrue="1" operator="equal">
      <formula>"Napkin Hs"</formula>
    </cfRule>
  </conditionalFormatting>
  <conditionalFormatting sqref="C21:C22">
    <cfRule type="cellIs" dxfId="10612" priority="8829" stopIfTrue="1" operator="equal">
      <formula>"Towel"</formula>
    </cfRule>
    <cfRule type="cellIs" dxfId="10611" priority="8830" stopIfTrue="1" operator="equal">
      <formula>"Napkin Hs"</formula>
    </cfRule>
  </conditionalFormatting>
  <conditionalFormatting sqref="C21:C22">
    <cfRule type="cellIs" dxfId="10610" priority="8831" stopIfTrue="1" operator="equal">
      <formula>"Towel"</formula>
    </cfRule>
  </conditionalFormatting>
  <conditionalFormatting sqref="B21:C22 B23">
    <cfRule type="cellIs" dxfId="10609" priority="8827" stopIfTrue="1" operator="equal">
      <formula>"Towel"</formula>
    </cfRule>
    <cfRule type="cellIs" dxfId="10608" priority="8828" stopIfTrue="1" operator="equal">
      <formula>"Napkin Hs"</formula>
    </cfRule>
  </conditionalFormatting>
  <conditionalFormatting sqref="C21:C22">
    <cfRule type="cellIs" dxfId="10607" priority="8826" stopIfTrue="1" operator="equal">
      <formula>"Napkin Hs"</formula>
    </cfRule>
  </conditionalFormatting>
  <conditionalFormatting sqref="C21:C22">
    <cfRule type="cellIs" dxfId="10606" priority="8823" stopIfTrue="1" operator="equal">
      <formula>"Towel"</formula>
    </cfRule>
    <cfRule type="cellIs" dxfId="10605" priority="8824" stopIfTrue="1" operator="equal">
      <formula>"Napkin Hs"</formula>
    </cfRule>
  </conditionalFormatting>
  <conditionalFormatting sqref="C21:C22">
    <cfRule type="cellIs" dxfId="10604" priority="8825" stopIfTrue="1" operator="equal">
      <formula>"Towel"</formula>
    </cfRule>
  </conditionalFormatting>
  <conditionalFormatting sqref="B21:C22 B23">
    <cfRule type="cellIs" dxfId="10603" priority="8821" stopIfTrue="1" operator="equal">
      <formula>"Towel"</formula>
    </cfRule>
    <cfRule type="cellIs" dxfId="10602" priority="8822" stopIfTrue="1" operator="equal">
      <formula>"Napkin Hs"</formula>
    </cfRule>
  </conditionalFormatting>
  <conditionalFormatting sqref="C21:C22">
    <cfRule type="cellIs" dxfId="10601" priority="8820" stopIfTrue="1" operator="equal">
      <formula>"Napkin Hs"</formula>
    </cfRule>
  </conditionalFormatting>
  <conditionalFormatting sqref="C21:C22">
    <cfRule type="cellIs" dxfId="10600" priority="8817" stopIfTrue="1" operator="equal">
      <formula>"Towel"</formula>
    </cfRule>
    <cfRule type="cellIs" dxfId="10599" priority="8818" stopIfTrue="1" operator="equal">
      <formula>"Napkin Hs"</formula>
    </cfRule>
  </conditionalFormatting>
  <conditionalFormatting sqref="C21:C22">
    <cfRule type="cellIs" dxfId="10598" priority="8819" stopIfTrue="1" operator="equal">
      <formula>"Towel"</formula>
    </cfRule>
  </conditionalFormatting>
  <conditionalFormatting sqref="B21:C22 B23">
    <cfRule type="cellIs" dxfId="10597" priority="8815" stopIfTrue="1" operator="equal">
      <formula>"Towel"</formula>
    </cfRule>
    <cfRule type="cellIs" dxfId="10596" priority="8816" stopIfTrue="1" operator="equal">
      <formula>"Napkin Hs"</formula>
    </cfRule>
  </conditionalFormatting>
  <conditionalFormatting sqref="C21:C22">
    <cfRule type="cellIs" dxfId="10595" priority="8814" stopIfTrue="1" operator="equal">
      <formula>"Napkin Hs"</formula>
    </cfRule>
  </conditionalFormatting>
  <conditionalFormatting sqref="C21:C22">
    <cfRule type="cellIs" dxfId="10594" priority="8811" stopIfTrue="1" operator="equal">
      <formula>"Towel"</formula>
    </cfRule>
    <cfRule type="cellIs" dxfId="10593" priority="8812" stopIfTrue="1" operator="equal">
      <formula>"Napkin Hs"</formula>
    </cfRule>
  </conditionalFormatting>
  <conditionalFormatting sqref="C21:C22">
    <cfRule type="cellIs" dxfId="10592" priority="8813" stopIfTrue="1" operator="equal">
      <formula>"Towel"</formula>
    </cfRule>
  </conditionalFormatting>
  <conditionalFormatting sqref="B21:C22 B23">
    <cfRule type="cellIs" dxfId="10591" priority="8809" stopIfTrue="1" operator="equal">
      <formula>"Towel"</formula>
    </cfRule>
    <cfRule type="cellIs" dxfId="10590" priority="8810" stopIfTrue="1" operator="equal">
      <formula>"Napkin Hs"</formula>
    </cfRule>
  </conditionalFormatting>
  <conditionalFormatting sqref="C21:C22">
    <cfRule type="cellIs" dxfId="10589" priority="8808" stopIfTrue="1" operator="equal">
      <formula>"Napkin Hs"</formula>
    </cfRule>
  </conditionalFormatting>
  <conditionalFormatting sqref="C21:C22">
    <cfRule type="cellIs" dxfId="10588" priority="8805" stopIfTrue="1" operator="equal">
      <formula>"Towel"</formula>
    </cfRule>
    <cfRule type="cellIs" dxfId="10587" priority="8806" stopIfTrue="1" operator="equal">
      <formula>"Napkin Hs"</formula>
    </cfRule>
  </conditionalFormatting>
  <conditionalFormatting sqref="C21:C22">
    <cfRule type="cellIs" dxfId="10586" priority="8807" stopIfTrue="1" operator="equal">
      <formula>"Towel"</formula>
    </cfRule>
  </conditionalFormatting>
  <conditionalFormatting sqref="B21:C22 B23">
    <cfRule type="cellIs" dxfId="10585" priority="8803" stopIfTrue="1" operator="equal">
      <formula>"Towel"</formula>
    </cfRule>
    <cfRule type="cellIs" dxfId="10584" priority="8804" stopIfTrue="1" operator="equal">
      <formula>"Napkin Hs"</formula>
    </cfRule>
  </conditionalFormatting>
  <conditionalFormatting sqref="C21:C22">
    <cfRule type="cellIs" dxfId="10583" priority="8802" stopIfTrue="1" operator="equal">
      <formula>"Napkin Hs"</formula>
    </cfRule>
  </conditionalFormatting>
  <conditionalFormatting sqref="C21:C22">
    <cfRule type="cellIs" dxfId="10582" priority="8799" stopIfTrue="1" operator="equal">
      <formula>"Towel"</formula>
    </cfRule>
    <cfRule type="cellIs" dxfId="10581" priority="8800" stopIfTrue="1" operator="equal">
      <formula>"Napkin Hs"</formula>
    </cfRule>
  </conditionalFormatting>
  <conditionalFormatting sqref="C21:C22">
    <cfRule type="cellIs" dxfId="10580" priority="8801" stopIfTrue="1" operator="equal">
      <formula>"Towel"</formula>
    </cfRule>
  </conditionalFormatting>
  <conditionalFormatting sqref="B21:C22 B23">
    <cfRule type="cellIs" dxfId="10579" priority="8797" stopIfTrue="1" operator="equal">
      <formula>"Towel"</formula>
    </cfRule>
    <cfRule type="cellIs" dxfId="10578" priority="8798" stopIfTrue="1" operator="equal">
      <formula>"Napkin Hs"</formula>
    </cfRule>
  </conditionalFormatting>
  <conditionalFormatting sqref="C21:C22">
    <cfRule type="cellIs" dxfId="10577" priority="8796" stopIfTrue="1" operator="equal">
      <formula>"Napkin Hs"</formula>
    </cfRule>
  </conditionalFormatting>
  <conditionalFormatting sqref="C21:C22">
    <cfRule type="cellIs" dxfId="10576" priority="8793" stopIfTrue="1" operator="equal">
      <formula>"Towel"</formula>
    </cfRule>
    <cfRule type="cellIs" dxfId="10575" priority="8794" stopIfTrue="1" operator="equal">
      <formula>"Napkin Hs"</formula>
    </cfRule>
  </conditionalFormatting>
  <conditionalFormatting sqref="C21:C22">
    <cfRule type="cellIs" dxfId="10574" priority="8795" stopIfTrue="1" operator="equal">
      <formula>"Towel"</formula>
    </cfRule>
  </conditionalFormatting>
  <conditionalFormatting sqref="B20:C20">
    <cfRule type="cellIs" dxfId="10573" priority="8791" stopIfTrue="1" operator="equal">
      <formula>"Towel"</formula>
    </cfRule>
    <cfRule type="cellIs" dxfId="10572" priority="8792" stopIfTrue="1" operator="equal">
      <formula>"Napkin Hs"</formula>
    </cfRule>
  </conditionalFormatting>
  <conditionalFormatting sqref="C20">
    <cfRule type="cellIs" dxfId="10571" priority="8790" stopIfTrue="1" operator="equal">
      <formula>"Napkin Hs"</formula>
    </cfRule>
  </conditionalFormatting>
  <conditionalFormatting sqref="C20">
    <cfRule type="cellIs" dxfId="10570" priority="8787" stopIfTrue="1" operator="equal">
      <formula>"Towel"</formula>
    </cfRule>
    <cfRule type="cellIs" dxfId="10569" priority="8788" stopIfTrue="1" operator="equal">
      <formula>"Napkin Hs"</formula>
    </cfRule>
  </conditionalFormatting>
  <conditionalFormatting sqref="C20">
    <cfRule type="cellIs" dxfId="10568" priority="8789" stopIfTrue="1" operator="equal">
      <formula>"Towel"</formula>
    </cfRule>
  </conditionalFormatting>
  <conditionalFormatting sqref="B20:C20">
    <cfRule type="cellIs" dxfId="10567" priority="8785" stopIfTrue="1" operator="equal">
      <formula>"Towel"</formula>
    </cfRule>
    <cfRule type="cellIs" dxfId="10566" priority="8786" stopIfTrue="1" operator="equal">
      <formula>"Napkin Hs"</formula>
    </cfRule>
  </conditionalFormatting>
  <conditionalFormatting sqref="C20">
    <cfRule type="cellIs" dxfId="10565" priority="8784" stopIfTrue="1" operator="equal">
      <formula>"Napkin Hs"</formula>
    </cfRule>
  </conditionalFormatting>
  <conditionalFormatting sqref="C20">
    <cfRule type="cellIs" dxfId="10564" priority="8783" stopIfTrue="1" operator="equal">
      <formula>"Towel"</formula>
    </cfRule>
  </conditionalFormatting>
  <conditionalFormatting sqref="C20">
    <cfRule type="cellIs" dxfId="10563" priority="8781" stopIfTrue="1" operator="equal">
      <formula>"Towel"</formula>
    </cfRule>
    <cfRule type="cellIs" dxfId="10562" priority="8782" stopIfTrue="1" operator="equal">
      <formula>"Napkin Hs"</formula>
    </cfRule>
  </conditionalFormatting>
  <conditionalFormatting sqref="B20:C20">
    <cfRule type="cellIs" dxfId="10561" priority="8779" stopIfTrue="1" operator="equal">
      <formula>"Towel"</formula>
    </cfRule>
    <cfRule type="cellIs" dxfId="10560" priority="8780" stopIfTrue="1" operator="equal">
      <formula>"Napkin Hs"</formula>
    </cfRule>
  </conditionalFormatting>
  <conditionalFormatting sqref="C20">
    <cfRule type="cellIs" dxfId="10559" priority="8778" stopIfTrue="1" operator="equal">
      <formula>"Napkin Hs"</formula>
    </cfRule>
  </conditionalFormatting>
  <conditionalFormatting sqref="C20">
    <cfRule type="cellIs" dxfId="10558" priority="8775" stopIfTrue="1" operator="equal">
      <formula>"Towel"</formula>
    </cfRule>
    <cfRule type="cellIs" dxfId="10557" priority="8776" stopIfTrue="1" operator="equal">
      <formula>"Napkin Hs"</formula>
    </cfRule>
  </conditionalFormatting>
  <conditionalFormatting sqref="C20">
    <cfRule type="cellIs" dxfId="10556" priority="8777" stopIfTrue="1" operator="equal">
      <formula>"Towel"</formula>
    </cfRule>
  </conditionalFormatting>
  <conditionalFormatting sqref="B20:C20">
    <cfRule type="cellIs" dxfId="10555" priority="8773" stopIfTrue="1" operator="equal">
      <formula>"Towel"</formula>
    </cfRule>
    <cfRule type="cellIs" dxfId="10554" priority="8774" stopIfTrue="1" operator="equal">
      <formula>"Napkin Hs"</formula>
    </cfRule>
  </conditionalFormatting>
  <conditionalFormatting sqref="C20">
    <cfRule type="cellIs" dxfId="10553" priority="8772" stopIfTrue="1" operator="equal">
      <formula>"Napkin Hs"</formula>
    </cfRule>
  </conditionalFormatting>
  <conditionalFormatting sqref="C20">
    <cfRule type="cellIs" dxfId="10552" priority="8769" stopIfTrue="1" operator="equal">
      <formula>"Towel"</formula>
    </cfRule>
    <cfRule type="cellIs" dxfId="10551" priority="8770" stopIfTrue="1" operator="equal">
      <formula>"Napkin Hs"</formula>
    </cfRule>
  </conditionalFormatting>
  <conditionalFormatting sqref="C20">
    <cfRule type="cellIs" dxfId="10550" priority="8771" stopIfTrue="1" operator="equal">
      <formula>"Towel"</formula>
    </cfRule>
  </conditionalFormatting>
  <conditionalFormatting sqref="B20:C20">
    <cfRule type="cellIs" dxfId="10549" priority="8767" stopIfTrue="1" operator="equal">
      <formula>"Towel"</formula>
    </cfRule>
    <cfRule type="cellIs" dxfId="10548" priority="8768" stopIfTrue="1" operator="equal">
      <formula>"Napkin Hs"</formula>
    </cfRule>
  </conditionalFormatting>
  <conditionalFormatting sqref="C20">
    <cfRule type="cellIs" dxfId="10547" priority="8766" stopIfTrue="1" operator="equal">
      <formula>"Napkin Hs"</formula>
    </cfRule>
  </conditionalFormatting>
  <conditionalFormatting sqref="C20">
    <cfRule type="cellIs" dxfId="10546" priority="8763" stopIfTrue="1" operator="equal">
      <formula>"Towel"</formula>
    </cfRule>
    <cfRule type="cellIs" dxfId="10545" priority="8764" stopIfTrue="1" operator="equal">
      <formula>"Napkin Hs"</formula>
    </cfRule>
  </conditionalFormatting>
  <conditionalFormatting sqref="C20">
    <cfRule type="cellIs" dxfId="10544" priority="8765" stopIfTrue="1" operator="equal">
      <formula>"Towel"</formula>
    </cfRule>
  </conditionalFormatting>
  <conditionalFormatting sqref="B20:C20">
    <cfRule type="cellIs" dxfId="10543" priority="8761" stopIfTrue="1" operator="equal">
      <formula>"Towel"</formula>
    </cfRule>
    <cfRule type="cellIs" dxfId="10542" priority="8762" stopIfTrue="1" operator="equal">
      <formula>"Napkin Hs"</formula>
    </cfRule>
  </conditionalFormatting>
  <conditionalFormatting sqref="C20">
    <cfRule type="cellIs" dxfId="10541" priority="8760" stopIfTrue="1" operator="equal">
      <formula>"Napkin Hs"</formula>
    </cfRule>
  </conditionalFormatting>
  <conditionalFormatting sqref="C20">
    <cfRule type="cellIs" dxfId="10540" priority="8757" stopIfTrue="1" operator="equal">
      <formula>"Towel"</formula>
    </cfRule>
    <cfRule type="cellIs" dxfId="10539" priority="8758" stopIfTrue="1" operator="equal">
      <formula>"Napkin Hs"</formula>
    </cfRule>
  </conditionalFormatting>
  <conditionalFormatting sqref="C20">
    <cfRule type="cellIs" dxfId="10538" priority="8759" stopIfTrue="1" operator="equal">
      <formula>"Towel"</formula>
    </cfRule>
  </conditionalFormatting>
  <conditionalFormatting sqref="B20:C20">
    <cfRule type="cellIs" dxfId="10537" priority="8755" stopIfTrue="1" operator="equal">
      <formula>"Towel"</formula>
    </cfRule>
    <cfRule type="cellIs" dxfId="10536" priority="8756" stopIfTrue="1" operator="equal">
      <formula>"Napkin Hs"</formula>
    </cfRule>
  </conditionalFormatting>
  <conditionalFormatting sqref="C20">
    <cfRule type="cellIs" dxfId="10535" priority="8754" stopIfTrue="1" operator="equal">
      <formula>"Napkin Hs"</formula>
    </cfRule>
  </conditionalFormatting>
  <conditionalFormatting sqref="C20">
    <cfRule type="cellIs" dxfId="10534" priority="8751" stopIfTrue="1" operator="equal">
      <formula>"Towel"</formula>
    </cfRule>
    <cfRule type="cellIs" dxfId="10533" priority="8752" stopIfTrue="1" operator="equal">
      <formula>"Napkin Hs"</formula>
    </cfRule>
  </conditionalFormatting>
  <conditionalFormatting sqref="C20">
    <cfRule type="cellIs" dxfId="10532" priority="8753" stopIfTrue="1" operator="equal">
      <formula>"Towel"</formula>
    </cfRule>
  </conditionalFormatting>
  <conditionalFormatting sqref="B20:C20">
    <cfRule type="cellIs" dxfId="10531" priority="8749" stopIfTrue="1" operator="equal">
      <formula>"Towel"</formula>
    </cfRule>
    <cfRule type="cellIs" dxfId="10530" priority="8750" stopIfTrue="1" operator="equal">
      <formula>"Napkin Hs"</formula>
    </cfRule>
  </conditionalFormatting>
  <conditionalFormatting sqref="C20">
    <cfRule type="cellIs" dxfId="10529" priority="8748" stopIfTrue="1" operator="equal">
      <formula>"Napkin Hs"</formula>
    </cfRule>
  </conditionalFormatting>
  <conditionalFormatting sqref="C20">
    <cfRule type="cellIs" dxfId="10528" priority="8745" stopIfTrue="1" operator="equal">
      <formula>"Towel"</formula>
    </cfRule>
    <cfRule type="cellIs" dxfId="10527" priority="8746" stopIfTrue="1" operator="equal">
      <formula>"Napkin Hs"</formula>
    </cfRule>
  </conditionalFormatting>
  <conditionalFormatting sqref="C20">
    <cfRule type="cellIs" dxfId="10526" priority="8747" stopIfTrue="1" operator="equal">
      <formula>"Towel"</formula>
    </cfRule>
  </conditionalFormatting>
  <conditionalFormatting sqref="B20:C20">
    <cfRule type="cellIs" dxfId="10525" priority="8743" stopIfTrue="1" operator="equal">
      <formula>"Towel"</formula>
    </cfRule>
    <cfRule type="cellIs" dxfId="10524" priority="8744" stopIfTrue="1" operator="equal">
      <formula>"Napkin Hs"</formula>
    </cfRule>
  </conditionalFormatting>
  <conditionalFormatting sqref="C20">
    <cfRule type="cellIs" dxfId="10523" priority="8742" stopIfTrue="1" operator="equal">
      <formula>"Napkin Hs"</formula>
    </cfRule>
  </conditionalFormatting>
  <conditionalFormatting sqref="C20">
    <cfRule type="cellIs" dxfId="10522" priority="8739" stopIfTrue="1" operator="equal">
      <formula>"Towel"</formula>
    </cfRule>
    <cfRule type="cellIs" dxfId="10521" priority="8740" stopIfTrue="1" operator="equal">
      <formula>"Napkin Hs"</formula>
    </cfRule>
  </conditionalFormatting>
  <conditionalFormatting sqref="C20">
    <cfRule type="cellIs" dxfId="10520" priority="8741" stopIfTrue="1" operator="equal">
      <formula>"Towel"</formula>
    </cfRule>
  </conditionalFormatting>
  <conditionalFormatting sqref="B20:C20">
    <cfRule type="cellIs" dxfId="10519" priority="8737" stopIfTrue="1" operator="equal">
      <formula>"Towel"</formula>
    </cfRule>
    <cfRule type="cellIs" dxfId="10518" priority="8738" stopIfTrue="1" operator="equal">
      <formula>"Napkin Hs"</formula>
    </cfRule>
  </conditionalFormatting>
  <conditionalFormatting sqref="C20">
    <cfRule type="cellIs" dxfId="10517" priority="8736" stopIfTrue="1" operator="equal">
      <formula>"Napkin Hs"</formula>
    </cfRule>
  </conditionalFormatting>
  <conditionalFormatting sqref="C20">
    <cfRule type="cellIs" dxfId="10516" priority="8733" stopIfTrue="1" operator="equal">
      <formula>"Towel"</formula>
    </cfRule>
    <cfRule type="cellIs" dxfId="10515" priority="8734" stopIfTrue="1" operator="equal">
      <formula>"Napkin Hs"</formula>
    </cfRule>
  </conditionalFormatting>
  <conditionalFormatting sqref="C20">
    <cfRule type="cellIs" dxfId="10514" priority="8735" stopIfTrue="1" operator="equal">
      <formula>"Towel"</formula>
    </cfRule>
  </conditionalFormatting>
  <conditionalFormatting sqref="B20:C20">
    <cfRule type="cellIs" dxfId="10513" priority="8731" stopIfTrue="1" operator="equal">
      <formula>"Towel"</formula>
    </cfRule>
    <cfRule type="cellIs" dxfId="10512" priority="8732" stopIfTrue="1" operator="equal">
      <formula>"Napkin Hs"</formula>
    </cfRule>
  </conditionalFormatting>
  <conditionalFormatting sqref="C20">
    <cfRule type="cellIs" dxfId="10511" priority="8730" stopIfTrue="1" operator="equal">
      <formula>"Napkin Hs"</formula>
    </cfRule>
  </conditionalFormatting>
  <conditionalFormatting sqref="C20">
    <cfRule type="cellIs" dxfId="10510" priority="8727" stopIfTrue="1" operator="equal">
      <formula>"Towel"</formula>
    </cfRule>
    <cfRule type="cellIs" dxfId="10509" priority="8728" stopIfTrue="1" operator="equal">
      <formula>"Napkin Hs"</formula>
    </cfRule>
  </conditionalFormatting>
  <conditionalFormatting sqref="C20">
    <cfRule type="cellIs" dxfId="10508" priority="8729" stopIfTrue="1" operator="equal">
      <formula>"Towel"</formula>
    </cfRule>
  </conditionalFormatting>
  <conditionalFormatting sqref="B20:C20">
    <cfRule type="cellIs" dxfId="10507" priority="8725" stopIfTrue="1" operator="equal">
      <formula>"Towel"</formula>
    </cfRule>
    <cfRule type="cellIs" dxfId="10506" priority="8726" stopIfTrue="1" operator="equal">
      <formula>"Napkin Hs"</formula>
    </cfRule>
  </conditionalFormatting>
  <conditionalFormatting sqref="C20">
    <cfRule type="cellIs" dxfId="10505" priority="8724" stopIfTrue="1" operator="equal">
      <formula>"Napkin Hs"</formula>
    </cfRule>
  </conditionalFormatting>
  <conditionalFormatting sqref="C20">
    <cfRule type="cellIs" dxfId="10504" priority="8721" stopIfTrue="1" operator="equal">
      <formula>"Towel"</formula>
    </cfRule>
    <cfRule type="cellIs" dxfId="10503" priority="8722" stopIfTrue="1" operator="equal">
      <formula>"Napkin Hs"</formula>
    </cfRule>
  </conditionalFormatting>
  <conditionalFormatting sqref="C20">
    <cfRule type="cellIs" dxfId="10502" priority="8723" stopIfTrue="1" operator="equal">
      <formula>"Towel"</formula>
    </cfRule>
  </conditionalFormatting>
  <conditionalFormatting sqref="B20:C20">
    <cfRule type="cellIs" dxfId="10501" priority="8719" stopIfTrue="1" operator="equal">
      <formula>"Towel"</formula>
    </cfRule>
    <cfRule type="cellIs" dxfId="10500" priority="8720" stopIfTrue="1" operator="equal">
      <formula>"Napkin Hs"</formula>
    </cfRule>
  </conditionalFormatting>
  <conditionalFormatting sqref="C20">
    <cfRule type="cellIs" dxfId="10499" priority="8718" stopIfTrue="1" operator="equal">
      <formula>"Napkin Hs"</formula>
    </cfRule>
  </conditionalFormatting>
  <conditionalFormatting sqref="C20">
    <cfRule type="cellIs" dxfId="10498" priority="8717" stopIfTrue="1" operator="equal">
      <formula>"Towel"</formula>
    </cfRule>
  </conditionalFormatting>
  <conditionalFormatting sqref="C20">
    <cfRule type="cellIs" dxfId="10497" priority="8715" stopIfTrue="1" operator="equal">
      <formula>"Towel"</formula>
    </cfRule>
    <cfRule type="cellIs" dxfId="10496" priority="8716" stopIfTrue="1" operator="equal">
      <formula>"Napkin Hs"</formula>
    </cfRule>
  </conditionalFormatting>
  <conditionalFormatting sqref="B20:C20">
    <cfRule type="cellIs" dxfId="10495" priority="8713" stopIfTrue="1" operator="equal">
      <formula>"Towel"</formula>
    </cfRule>
    <cfRule type="cellIs" dxfId="10494" priority="8714" stopIfTrue="1" operator="equal">
      <formula>"Napkin Hs"</formula>
    </cfRule>
  </conditionalFormatting>
  <conditionalFormatting sqref="C20">
    <cfRule type="cellIs" dxfId="10493" priority="8712" stopIfTrue="1" operator="equal">
      <formula>"Napkin Hs"</formula>
    </cfRule>
  </conditionalFormatting>
  <conditionalFormatting sqref="C20">
    <cfRule type="cellIs" dxfId="10492" priority="8709" stopIfTrue="1" operator="equal">
      <formula>"Towel"</formula>
    </cfRule>
    <cfRule type="cellIs" dxfId="10491" priority="8710" stopIfTrue="1" operator="equal">
      <formula>"Napkin Hs"</formula>
    </cfRule>
  </conditionalFormatting>
  <conditionalFormatting sqref="C20">
    <cfRule type="cellIs" dxfId="10490" priority="8711" stopIfTrue="1" operator="equal">
      <formula>"Towel"</formula>
    </cfRule>
  </conditionalFormatting>
  <conditionalFormatting sqref="B20:C20">
    <cfRule type="cellIs" dxfId="10489" priority="8707" stopIfTrue="1" operator="equal">
      <formula>"Towel"</formula>
    </cfRule>
    <cfRule type="cellIs" dxfId="10488" priority="8708" stopIfTrue="1" operator="equal">
      <formula>"Napkin Hs"</formula>
    </cfRule>
  </conditionalFormatting>
  <conditionalFormatting sqref="C20">
    <cfRule type="cellIs" dxfId="10487" priority="8706" stopIfTrue="1" operator="equal">
      <formula>"Napkin Hs"</formula>
    </cfRule>
  </conditionalFormatting>
  <conditionalFormatting sqref="C20">
    <cfRule type="cellIs" dxfId="10486" priority="8703" stopIfTrue="1" operator="equal">
      <formula>"Towel"</formula>
    </cfRule>
    <cfRule type="cellIs" dxfId="10485" priority="8704" stopIfTrue="1" operator="equal">
      <formula>"Napkin Hs"</formula>
    </cfRule>
  </conditionalFormatting>
  <conditionalFormatting sqref="C20">
    <cfRule type="cellIs" dxfId="10484" priority="8705" stopIfTrue="1" operator="equal">
      <formula>"Towel"</formula>
    </cfRule>
  </conditionalFormatting>
  <conditionalFormatting sqref="B20:C20">
    <cfRule type="cellIs" dxfId="10483" priority="8701" stopIfTrue="1" operator="equal">
      <formula>"Towel"</formula>
    </cfRule>
    <cfRule type="cellIs" dxfId="10482" priority="8702" stopIfTrue="1" operator="equal">
      <formula>"Napkin Hs"</formula>
    </cfRule>
  </conditionalFormatting>
  <conditionalFormatting sqref="C20">
    <cfRule type="cellIs" dxfId="10481" priority="8700" stopIfTrue="1" operator="equal">
      <formula>"Napkin Hs"</formula>
    </cfRule>
  </conditionalFormatting>
  <conditionalFormatting sqref="C20">
    <cfRule type="cellIs" dxfId="10480" priority="8697" stopIfTrue="1" operator="equal">
      <formula>"Towel"</formula>
    </cfRule>
    <cfRule type="cellIs" dxfId="10479" priority="8698" stopIfTrue="1" operator="equal">
      <formula>"Napkin Hs"</formula>
    </cfRule>
  </conditionalFormatting>
  <conditionalFormatting sqref="C20">
    <cfRule type="cellIs" dxfId="10478" priority="8699" stopIfTrue="1" operator="equal">
      <formula>"Towel"</formula>
    </cfRule>
  </conditionalFormatting>
  <conditionalFormatting sqref="B20:C20">
    <cfRule type="cellIs" dxfId="10477" priority="8695" stopIfTrue="1" operator="equal">
      <formula>"Towel"</formula>
    </cfRule>
    <cfRule type="cellIs" dxfId="10476" priority="8696" stopIfTrue="1" operator="equal">
      <formula>"Napkin Hs"</formula>
    </cfRule>
  </conditionalFormatting>
  <conditionalFormatting sqref="C20">
    <cfRule type="cellIs" dxfId="10475" priority="8694" stopIfTrue="1" operator="equal">
      <formula>"Napkin Hs"</formula>
    </cfRule>
  </conditionalFormatting>
  <conditionalFormatting sqref="C20">
    <cfRule type="cellIs" dxfId="10474" priority="8691" stopIfTrue="1" operator="equal">
      <formula>"Towel"</formula>
    </cfRule>
    <cfRule type="cellIs" dxfId="10473" priority="8692" stopIfTrue="1" operator="equal">
      <formula>"Napkin Hs"</formula>
    </cfRule>
  </conditionalFormatting>
  <conditionalFormatting sqref="C20">
    <cfRule type="cellIs" dxfId="10472" priority="8693" stopIfTrue="1" operator="equal">
      <formula>"Towel"</formula>
    </cfRule>
  </conditionalFormatting>
  <conditionalFormatting sqref="B20:C20">
    <cfRule type="cellIs" dxfId="10471" priority="8689" stopIfTrue="1" operator="equal">
      <formula>"Towel"</formula>
    </cfRule>
    <cfRule type="cellIs" dxfId="10470" priority="8690" stopIfTrue="1" operator="equal">
      <formula>"Napkin Hs"</formula>
    </cfRule>
  </conditionalFormatting>
  <conditionalFormatting sqref="C20">
    <cfRule type="cellIs" dxfId="10469" priority="8688" stopIfTrue="1" operator="equal">
      <formula>"Napkin Hs"</formula>
    </cfRule>
  </conditionalFormatting>
  <conditionalFormatting sqref="C20">
    <cfRule type="cellIs" dxfId="10468" priority="8685" stopIfTrue="1" operator="equal">
      <formula>"Towel"</formula>
    </cfRule>
    <cfRule type="cellIs" dxfId="10467" priority="8686" stopIfTrue="1" operator="equal">
      <formula>"Napkin Hs"</formula>
    </cfRule>
  </conditionalFormatting>
  <conditionalFormatting sqref="C20">
    <cfRule type="cellIs" dxfId="10466" priority="8687" stopIfTrue="1" operator="equal">
      <formula>"Towel"</formula>
    </cfRule>
  </conditionalFormatting>
  <conditionalFormatting sqref="B20:C20">
    <cfRule type="cellIs" dxfId="10465" priority="8683" stopIfTrue="1" operator="equal">
      <formula>"Towel"</formula>
    </cfRule>
    <cfRule type="cellIs" dxfId="10464" priority="8684" stopIfTrue="1" operator="equal">
      <formula>"Napkin Hs"</formula>
    </cfRule>
  </conditionalFormatting>
  <conditionalFormatting sqref="C20">
    <cfRule type="cellIs" dxfId="10463" priority="8682" stopIfTrue="1" operator="equal">
      <formula>"Napkin Hs"</formula>
    </cfRule>
  </conditionalFormatting>
  <conditionalFormatting sqref="C20">
    <cfRule type="cellIs" dxfId="10462" priority="8679" stopIfTrue="1" operator="equal">
      <formula>"Towel"</formula>
    </cfRule>
    <cfRule type="cellIs" dxfId="10461" priority="8680" stopIfTrue="1" operator="equal">
      <formula>"Napkin Hs"</formula>
    </cfRule>
  </conditionalFormatting>
  <conditionalFormatting sqref="C20">
    <cfRule type="cellIs" dxfId="10460" priority="8681" stopIfTrue="1" operator="equal">
      <formula>"Towel"</formula>
    </cfRule>
  </conditionalFormatting>
  <conditionalFormatting sqref="B20:C20">
    <cfRule type="cellIs" dxfId="10459" priority="8677" stopIfTrue="1" operator="equal">
      <formula>"Towel"</formula>
    </cfRule>
    <cfRule type="cellIs" dxfId="10458" priority="8678" stopIfTrue="1" operator="equal">
      <formula>"Napkin Hs"</formula>
    </cfRule>
  </conditionalFormatting>
  <conditionalFormatting sqref="C20">
    <cfRule type="cellIs" dxfId="10457" priority="8676" stopIfTrue="1" operator="equal">
      <formula>"Napkin Hs"</formula>
    </cfRule>
  </conditionalFormatting>
  <conditionalFormatting sqref="C20">
    <cfRule type="cellIs" dxfId="10456" priority="8673" stopIfTrue="1" operator="equal">
      <formula>"Towel"</formula>
    </cfRule>
    <cfRule type="cellIs" dxfId="10455" priority="8674" stopIfTrue="1" operator="equal">
      <formula>"Napkin Hs"</formula>
    </cfRule>
  </conditionalFormatting>
  <conditionalFormatting sqref="C20">
    <cfRule type="cellIs" dxfId="10454" priority="8675" stopIfTrue="1" operator="equal">
      <formula>"Towel"</formula>
    </cfRule>
  </conditionalFormatting>
  <conditionalFormatting sqref="B20:C20">
    <cfRule type="cellIs" dxfId="10453" priority="8671" stopIfTrue="1" operator="equal">
      <formula>"Towel"</formula>
    </cfRule>
    <cfRule type="cellIs" dxfId="10452" priority="8672" stopIfTrue="1" operator="equal">
      <formula>"Napkin Hs"</formula>
    </cfRule>
  </conditionalFormatting>
  <conditionalFormatting sqref="C20">
    <cfRule type="cellIs" dxfId="10451" priority="8670" stopIfTrue="1" operator="equal">
      <formula>"Napkin Hs"</formula>
    </cfRule>
  </conditionalFormatting>
  <conditionalFormatting sqref="C20">
    <cfRule type="cellIs" dxfId="10450" priority="8667" stopIfTrue="1" operator="equal">
      <formula>"Towel"</formula>
    </cfRule>
    <cfRule type="cellIs" dxfId="10449" priority="8668" stopIfTrue="1" operator="equal">
      <formula>"Napkin Hs"</formula>
    </cfRule>
  </conditionalFormatting>
  <conditionalFormatting sqref="C20">
    <cfRule type="cellIs" dxfId="10448" priority="8669" stopIfTrue="1" operator="equal">
      <formula>"Towel"</formula>
    </cfRule>
  </conditionalFormatting>
  <conditionalFormatting sqref="B20:C20">
    <cfRule type="cellIs" dxfId="10447" priority="8665" stopIfTrue="1" operator="equal">
      <formula>"Towel"</formula>
    </cfRule>
    <cfRule type="cellIs" dxfId="10446" priority="8666" stopIfTrue="1" operator="equal">
      <formula>"Napkin Hs"</formula>
    </cfRule>
  </conditionalFormatting>
  <conditionalFormatting sqref="C20">
    <cfRule type="cellIs" dxfId="10445" priority="8664" stopIfTrue="1" operator="equal">
      <formula>"Napkin Hs"</formula>
    </cfRule>
  </conditionalFormatting>
  <conditionalFormatting sqref="C20">
    <cfRule type="cellIs" dxfId="10444" priority="8661" stopIfTrue="1" operator="equal">
      <formula>"Towel"</formula>
    </cfRule>
    <cfRule type="cellIs" dxfId="10443" priority="8662" stopIfTrue="1" operator="equal">
      <formula>"Napkin Hs"</formula>
    </cfRule>
  </conditionalFormatting>
  <conditionalFormatting sqref="C20">
    <cfRule type="cellIs" dxfId="10442" priority="8663" stopIfTrue="1" operator="equal">
      <formula>"Towel"</formula>
    </cfRule>
  </conditionalFormatting>
  <conditionalFormatting sqref="B26:C26">
    <cfRule type="cellIs" dxfId="10441" priority="8659" stopIfTrue="1" operator="equal">
      <formula>"Towel"</formula>
    </cfRule>
    <cfRule type="cellIs" dxfId="10440" priority="8660" stopIfTrue="1" operator="equal">
      <formula>"Napkin Hs"</formula>
    </cfRule>
  </conditionalFormatting>
  <conditionalFormatting sqref="C26">
    <cfRule type="cellIs" dxfId="10439" priority="8658" stopIfTrue="1" operator="equal">
      <formula>"Napkin Hs"</formula>
    </cfRule>
  </conditionalFormatting>
  <conditionalFormatting sqref="C26">
    <cfRule type="cellIs" dxfId="10438" priority="8657" stopIfTrue="1" operator="equal">
      <formula>"Towel"</formula>
    </cfRule>
  </conditionalFormatting>
  <conditionalFormatting sqref="C26">
    <cfRule type="cellIs" dxfId="10437" priority="8655" stopIfTrue="1" operator="equal">
      <formula>"Towel"</formula>
    </cfRule>
    <cfRule type="cellIs" dxfId="10436" priority="8656" stopIfTrue="1" operator="equal">
      <formula>"Napkin Hs"</formula>
    </cfRule>
  </conditionalFormatting>
  <conditionalFormatting sqref="B27:C27">
    <cfRule type="cellIs" dxfId="10435" priority="8653" stopIfTrue="1" operator="equal">
      <formula>"Towel"</formula>
    </cfRule>
    <cfRule type="cellIs" dxfId="10434" priority="8654" stopIfTrue="1" operator="equal">
      <formula>"Napkin Hs"</formula>
    </cfRule>
  </conditionalFormatting>
  <conditionalFormatting sqref="C27">
    <cfRule type="cellIs" dxfId="10433" priority="8652" stopIfTrue="1" operator="equal">
      <formula>"Napkin Hs"</formula>
    </cfRule>
  </conditionalFormatting>
  <conditionalFormatting sqref="C27">
    <cfRule type="cellIs" dxfId="10432" priority="8649" stopIfTrue="1" operator="equal">
      <formula>"Towel"</formula>
    </cfRule>
    <cfRule type="cellIs" dxfId="10431" priority="8650" stopIfTrue="1" operator="equal">
      <formula>"Napkin Hs"</formula>
    </cfRule>
  </conditionalFormatting>
  <conditionalFormatting sqref="C27">
    <cfRule type="cellIs" dxfId="10430" priority="8651" stopIfTrue="1" operator="equal">
      <formula>"Towel"</formula>
    </cfRule>
  </conditionalFormatting>
  <conditionalFormatting sqref="B25:C25">
    <cfRule type="cellIs" dxfId="10429" priority="8647" stopIfTrue="1" operator="equal">
      <formula>"Towel"</formula>
    </cfRule>
    <cfRule type="cellIs" dxfId="10428" priority="8648" stopIfTrue="1" operator="equal">
      <formula>"Napkin Hs"</formula>
    </cfRule>
  </conditionalFormatting>
  <conditionalFormatting sqref="C25">
    <cfRule type="cellIs" dxfId="10427" priority="8646" stopIfTrue="1" operator="equal">
      <formula>"Napkin Hs"</formula>
    </cfRule>
  </conditionalFormatting>
  <conditionalFormatting sqref="C25">
    <cfRule type="cellIs" dxfId="10426" priority="8643" stopIfTrue="1" operator="equal">
      <formula>"Towel"</formula>
    </cfRule>
    <cfRule type="cellIs" dxfId="10425" priority="8644" stopIfTrue="1" operator="equal">
      <formula>"Napkin Hs"</formula>
    </cfRule>
  </conditionalFormatting>
  <conditionalFormatting sqref="C25">
    <cfRule type="cellIs" dxfId="10424" priority="8645" stopIfTrue="1" operator="equal">
      <formula>"Towel"</formula>
    </cfRule>
  </conditionalFormatting>
  <conditionalFormatting sqref="C27">
    <cfRule type="cellIs" dxfId="10423" priority="8641" stopIfTrue="1" operator="equal">
      <formula>"Towel"</formula>
    </cfRule>
    <cfRule type="cellIs" dxfId="10422" priority="8642" stopIfTrue="1" operator="equal">
      <formula>"Napkin Hs"</formula>
    </cfRule>
  </conditionalFormatting>
  <conditionalFormatting sqref="C27">
    <cfRule type="cellIs" dxfId="10421" priority="8639" stopIfTrue="1" operator="equal">
      <formula>"Towel"</formula>
    </cfRule>
    <cfRule type="cellIs" dxfId="10420" priority="8640" stopIfTrue="1" operator="equal">
      <formula>"Napkin Hs"</formula>
    </cfRule>
  </conditionalFormatting>
  <conditionalFormatting sqref="C27">
    <cfRule type="cellIs" dxfId="10419" priority="8637" stopIfTrue="1" operator="equal">
      <formula>"Towel"</formula>
    </cfRule>
    <cfRule type="cellIs" dxfId="10418" priority="8638" stopIfTrue="1" operator="equal">
      <formula>"Napkin Hs"</formula>
    </cfRule>
  </conditionalFormatting>
  <conditionalFormatting sqref="B25:C26 B27">
    <cfRule type="cellIs" dxfId="10417" priority="8635" stopIfTrue="1" operator="equal">
      <formula>"Towel"</formula>
    </cfRule>
    <cfRule type="cellIs" dxfId="10416" priority="8636" stopIfTrue="1" operator="equal">
      <formula>"Napkin Hs"</formula>
    </cfRule>
  </conditionalFormatting>
  <conditionalFormatting sqref="C25:C26">
    <cfRule type="cellIs" dxfId="10415" priority="8634" stopIfTrue="1" operator="equal">
      <formula>"Napkin Hs"</formula>
    </cfRule>
  </conditionalFormatting>
  <conditionalFormatting sqref="C25:C26">
    <cfRule type="cellIs" dxfId="10414" priority="8633" stopIfTrue="1" operator="equal">
      <formula>"Towel"</formula>
    </cfRule>
  </conditionalFormatting>
  <conditionalFormatting sqref="C25:C26">
    <cfRule type="cellIs" dxfId="10413" priority="8631" stopIfTrue="1" operator="equal">
      <formula>"Towel"</formula>
    </cfRule>
    <cfRule type="cellIs" dxfId="10412" priority="8632" stopIfTrue="1" operator="equal">
      <formula>"Napkin Hs"</formula>
    </cfRule>
  </conditionalFormatting>
  <conditionalFormatting sqref="B25:C26 B27">
    <cfRule type="cellIs" dxfId="10411" priority="8629" stopIfTrue="1" operator="equal">
      <formula>"Towel"</formula>
    </cfRule>
    <cfRule type="cellIs" dxfId="10410" priority="8630" stopIfTrue="1" operator="equal">
      <formula>"Napkin Hs"</formula>
    </cfRule>
  </conditionalFormatting>
  <conditionalFormatting sqref="C25:C26">
    <cfRule type="cellIs" dxfId="10409" priority="8628" stopIfTrue="1" operator="equal">
      <formula>"Napkin Hs"</formula>
    </cfRule>
  </conditionalFormatting>
  <conditionalFormatting sqref="C25:C26">
    <cfRule type="cellIs" dxfId="10408" priority="8625" stopIfTrue="1" operator="equal">
      <formula>"Towel"</formula>
    </cfRule>
    <cfRule type="cellIs" dxfId="10407" priority="8626" stopIfTrue="1" operator="equal">
      <formula>"Napkin Hs"</formula>
    </cfRule>
  </conditionalFormatting>
  <conditionalFormatting sqref="C25:C26">
    <cfRule type="cellIs" dxfId="10406" priority="8627" stopIfTrue="1" operator="equal">
      <formula>"Towel"</formula>
    </cfRule>
  </conditionalFormatting>
  <conditionalFormatting sqref="B25:C26 B27">
    <cfRule type="cellIs" dxfId="10405" priority="8623" stopIfTrue="1" operator="equal">
      <formula>"Towel"</formula>
    </cfRule>
    <cfRule type="cellIs" dxfId="10404" priority="8624" stopIfTrue="1" operator="equal">
      <formula>"Napkin Hs"</formula>
    </cfRule>
  </conditionalFormatting>
  <conditionalFormatting sqref="C25:C26">
    <cfRule type="cellIs" dxfId="10403" priority="8622" stopIfTrue="1" operator="equal">
      <formula>"Napkin Hs"</formula>
    </cfRule>
  </conditionalFormatting>
  <conditionalFormatting sqref="C25:C26">
    <cfRule type="cellIs" dxfId="10402" priority="8619" stopIfTrue="1" operator="equal">
      <formula>"Towel"</formula>
    </cfRule>
    <cfRule type="cellIs" dxfId="10401" priority="8620" stopIfTrue="1" operator="equal">
      <formula>"Napkin Hs"</formula>
    </cfRule>
  </conditionalFormatting>
  <conditionalFormatting sqref="C25:C26">
    <cfRule type="cellIs" dxfId="10400" priority="8621" stopIfTrue="1" operator="equal">
      <formula>"Towel"</formula>
    </cfRule>
  </conditionalFormatting>
  <conditionalFormatting sqref="B25:C26 B27">
    <cfRule type="cellIs" dxfId="10399" priority="8617" stopIfTrue="1" operator="equal">
      <formula>"Towel"</formula>
    </cfRule>
    <cfRule type="cellIs" dxfId="10398" priority="8618" stopIfTrue="1" operator="equal">
      <formula>"Napkin Hs"</formula>
    </cfRule>
  </conditionalFormatting>
  <conditionalFormatting sqref="C25:C26">
    <cfRule type="cellIs" dxfId="10397" priority="8616" stopIfTrue="1" operator="equal">
      <formula>"Napkin Hs"</formula>
    </cfRule>
  </conditionalFormatting>
  <conditionalFormatting sqref="C25:C26">
    <cfRule type="cellIs" dxfId="10396" priority="8613" stopIfTrue="1" operator="equal">
      <formula>"Towel"</formula>
    </cfRule>
    <cfRule type="cellIs" dxfId="10395" priority="8614" stopIfTrue="1" operator="equal">
      <formula>"Napkin Hs"</formula>
    </cfRule>
  </conditionalFormatting>
  <conditionalFormatting sqref="C25:C26">
    <cfRule type="cellIs" dxfId="10394" priority="8615" stopIfTrue="1" operator="equal">
      <formula>"Towel"</formula>
    </cfRule>
  </conditionalFormatting>
  <conditionalFormatting sqref="B25:C26 B27">
    <cfRule type="cellIs" dxfId="10393" priority="8611" stopIfTrue="1" operator="equal">
      <formula>"Towel"</formula>
    </cfRule>
    <cfRule type="cellIs" dxfId="10392" priority="8612" stopIfTrue="1" operator="equal">
      <formula>"Napkin Hs"</formula>
    </cfRule>
  </conditionalFormatting>
  <conditionalFormatting sqref="C25:C26">
    <cfRule type="cellIs" dxfId="10391" priority="8610" stopIfTrue="1" operator="equal">
      <formula>"Napkin Hs"</formula>
    </cfRule>
  </conditionalFormatting>
  <conditionalFormatting sqref="C25:C26">
    <cfRule type="cellIs" dxfId="10390" priority="8607" stopIfTrue="1" operator="equal">
      <formula>"Towel"</formula>
    </cfRule>
    <cfRule type="cellIs" dxfId="10389" priority="8608" stopIfTrue="1" operator="equal">
      <formula>"Napkin Hs"</formula>
    </cfRule>
  </conditionalFormatting>
  <conditionalFormatting sqref="C25:C26">
    <cfRule type="cellIs" dxfId="10388" priority="8609" stopIfTrue="1" operator="equal">
      <formula>"Towel"</formula>
    </cfRule>
  </conditionalFormatting>
  <conditionalFormatting sqref="B25:C26 B27">
    <cfRule type="cellIs" dxfId="10387" priority="8605" stopIfTrue="1" operator="equal">
      <formula>"Towel"</formula>
    </cfRule>
    <cfRule type="cellIs" dxfId="10386" priority="8606" stopIfTrue="1" operator="equal">
      <formula>"Napkin Hs"</formula>
    </cfRule>
  </conditionalFormatting>
  <conditionalFormatting sqref="C25:C26">
    <cfRule type="cellIs" dxfId="10385" priority="8604" stopIfTrue="1" operator="equal">
      <formula>"Napkin Hs"</formula>
    </cfRule>
  </conditionalFormatting>
  <conditionalFormatting sqref="C25:C26">
    <cfRule type="cellIs" dxfId="10384" priority="8601" stopIfTrue="1" operator="equal">
      <formula>"Towel"</formula>
    </cfRule>
    <cfRule type="cellIs" dxfId="10383" priority="8602" stopIfTrue="1" operator="equal">
      <formula>"Napkin Hs"</formula>
    </cfRule>
  </conditionalFormatting>
  <conditionalFormatting sqref="C25:C26">
    <cfRule type="cellIs" dxfId="10382" priority="8603" stopIfTrue="1" operator="equal">
      <formula>"Towel"</formula>
    </cfRule>
  </conditionalFormatting>
  <conditionalFormatting sqref="B25:C26 B27">
    <cfRule type="cellIs" dxfId="10381" priority="8599" stopIfTrue="1" operator="equal">
      <formula>"Towel"</formula>
    </cfRule>
    <cfRule type="cellIs" dxfId="10380" priority="8600" stopIfTrue="1" operator="equal">
      <formula>"Napkin Hs"</formula>
    </cfRule>
  </conditionalFormatting>
  <conditionalFormatting sqref="C25:C26">
    <cfRule type="cellIs" dxfId="10379" priority="8598" stopIfTrue="1" operator="equal">
      <formula>"Napkin Hs"</formula>
    </cfRule>
  </conditionalFormatting>
  <conditionalFormatting sqref="C25:C26">
    <cfRule type="cellIs" dxfId="10378" priority="8595" stopIfTrue="1" operator="equal">
      <formula>"Towel"</formula>
    </cfRule>
    <cfRule type="cellIs" dxfId="10377" priority="8596" stopIfTrue="1" operator="equal">
      <formula>"Napkin Hs"</formula>
    </cfRule>
  </conditionalFormatting>
  <conditionalFormatting sqref="C25:C26">
    <cfRule type="cellIs" dxfId="10376" priority="8597" stopIfTrue="1" operator="equal">
      <formula>"Towel"</formula>
    </cfRule>
  </conditionalFormatting>
  <conditionalFormatting sqref="B25:C26 B27">
    <cfRule type="cellIs" dxfId="10375" priority="8593" stopIfTrue="1" operator="equal">
      <formula>"Towel"</formula>
    </cfRule>
    <cfRule type="cellIs" dxfId="10374" priority="8594" stopIfTrue="1" operator="equal">
      <formula>"Napkin Hs"</formula>
    </cfRule>
  </conditionalFormatting>
  <conditionalFormatting sqref="C25:C26">
    <cfRule type="cellIs" dxfId="10373" priority="8592" stopIfTrue="1" operator="equal">
      <formula>"Napkin Hs"</formula>
    </cfRule>
  </conditionalFormatting>
  <conditionalFormatting sqref="C25:C26">
    <cfRule type="cellIs" dxfId="10372" priority="8589" stopIfTrue="1" operator="equal">
      <formula>"Towel"</formula>
    </cfRule>
    <cfRule type="cellIs" dxfId="10371" priority="8590" stopIfTrue="1" operator="equal">
      <formula>"Napkin Hs"</formula>
    </cfRule>
  </conditionalFormatting>
  <conditionalFormatting sqref="C25:C26">
    <cfRule type="cellIs" dxfId="10370" priority="8591" stopIfTrue="1" operator="equal">
      <formula>"Towel"</formula>
    </cfRule>
  </conditionalFormatting>
  <conditionalFormatting sqref="B25:C26 B27">
    <cfRule type="cellIs" dxfId="10369" priority="8587" stopIfTrue="1" operator="equal">
      <formula>"Towel"</formula>
    </cfRule>
    <cfRule type="cellIs" dxfId="10368" priority="8588" stopIfTrue="1" operator="equal">
      <formula>"Napkin Hs"</formula>
    </cfRule>
  </conditionalFormatting>
  <conditionalFormatting sqref="C25:C26">
    <cfRule type="cellIs" dxfId="10367" priority="8586" stopIfTrue="1" operator="equal">
      <formula>"Napkin Hs"</formula>
    </cfRule>
  </conditionalFormatting>
  <conditionalFormatting sqref="C25:C26">
    <cfRule type="cellIs" dxfId="10366" priority="8583" stopIfTrue="1" operator="equal">
      <formula>"Towel"</formula>
    </cfRule>
    <cfRule type="cellIs" dxfId="10365" priority="8584" stopIfTrue="1" operator="equal">
      <formula>"Napkin Hs"</formula>
    </cfRule>
  </conditionalFormatting>
  <conditionalFormatting sqref="C25:C26">
    <cfRule type="cellIs" dxfId="10364" priority="8585" stopIfTrue="1" operator="equal">
      <formula>"Towel"</formula>
    </cfRule>
  </conditionalFormatting>
  <conditionalFormatting sqref="B25:C26 B27">
    <cfRule type="cellIs" dxfId="10363" priority="8581" stopIfTrue="1" operator="equal">
      <formula>"Towel"</formula>
    </cfRule>
    <cfRule type="cellIs" dxfId="10362" priority="8582" stopIfTrue="1" operator="equal">
      <formula>"Napkin Hs"</formula>
    </cfRule>
  </conditionalFormatting>
  <conditionalFormatting sqref="C25:C26">
    <cfRule type="cellIs" dxfId="10361" priority="8580" stopIfTrue="1" operator="equal">
      <formula>"Napkin Hs"</formula>
    </cfRule>
  </conditionalFormatting>
  <conditionalFormatting sqref="C25:C26">
    <cfRule type="cellIs" dxfId="10360" priority="8577" stopIfTrue="1" operator="equal">
      <formula>"Towel"</formula>
    </cfRule>
    <cfRule type="cellIs" dxfId="10359" priority="8578" stopIfTrue="1" operator="equal">
      <formula>"Napkin Hs"</formula>
    </cfRule>
  </conditionalFormatting>
  <conditionalFormatting sqref="C25:C26">
    <cfRule type="cellIs" dxfId="10358" priority="8579" stopIfTrue="1" operator="equal">
      <formula>"Towel"</formula>
    </cfRule>
  </conditionalFormatting>
  <conditionalFormatting sqref="B26:C26">
    <cfRule type="cellIs" dxfId="10357" priority="8575" stopIfTrue="1" operator="equal">
      <formula>"Towel"</formula>
    </cfRule>
    <cfRule type="cellIs" dxfId="10356" priority="8576" stopIfTrue="1" operator="equal">
      <formula>"Napkin Hs"</formula>
    </cfRule>
  </conditionalFormatting>
  <conditionalFormatting sqref="C26">
    <cfRule type="cellIs" dxfId="10355" priority="8574" stopIfTrue="1" operator="equal">
      <formula>"Napkin Hs"</formula>
    </cfRule>
  </conditionalFormatting>
  <conditionalFormatting sqref="C26">
    <cfRule type="cellIs" dxfId="10354" priority="8573" stopIfTrue="1" operator="equal">
      <formula>"Towel"</formula>
    </cfRule>
  </conditionalFormatting>
  <conditionalFormatting sqref="C26">
    <cfRule type="cellIs" dxfId="10353" priority="8571" stopIfTrue="1" operator="equal">
      <formula>"Towel"</formula>
    </cfRule>
    <cfRule type="cellIs" dxfId="10352" priority="8572" stopIfTrue="1" operator="equal">
      <formula>"Napkin Hs"</formula>
    </cfRule>
  </conditionalFormatting>
  <conditionalFormatting sqref="B27:C27">
    <cfRule type="cellIs" dxfId="10351" priority="8569" stopIfTrue="1" operator="equal">
      <formula>"Towel"</formula>
    </cfRule>
    <cfRule type="cellIs" dxfId="10350" priority="8570" stopIfTrue="1" operator="equal">
      <formula>"Napkin Hs"</formula>
    </cfRule>
  </conditionalFormatting>
  <conditionalFormatting sqref="C27">
    <cfRule type="cellIs" dxfId="10349" priority="8568" stopIfTrue="1" operator="equal">
      <formula>"Napkin Hs"</formula>
    </cfRule>
  </conditionalFormatting>
  <conditionalFormatting sqref="C27">
    <cfRule type="cellIs" dxfId="10348" priority="8565" stopIfTrue="1" operator="equal">
      <formula>"Towel"</formula>
    </cfRule>
    <cfRule type="cellIs" dxfId="10347" priority="8566" stopIfTrue="1" operator="equal">
      <formula>"Napkin Hs"</formula>
    </cfRule>
  </conditionalFormatting>
  <conditionalFormatting sqref="C27">
    <cfRule type="cellIs" dxfId="10346" priority="8567" stopIfTrue="1" operator="equal">
      <formula>"Towel"</formula>
    </cfRule>
  </conditionalFormatting>
  <conditionalFormatting sqref="B25:C25">
    <cfRule type="cellIs" dxfId="10345" priority="8563" stopIfTrue="1" operator="equal">
      <formula>"Towel"</formula>
    </cfRule>
    <cfRule type="cellIs" dxfId="10344" priority="8564" stopIfTrue="1" operator="equal">
      <formula>"Napkin Hs"</formula>
    </cfRule>
  </conditionalFormatting>
  <conditionalFormatting sqref="C25">
    <cfRule type="cellIs" dxfId="10343" priority="8562" stopIfTrue="1" operator="equal">
      <formula>"Napkin Hs"</formula>
    </cfRule>
  </conditionalFormatting>
  <conditionalFormatting sqref="C25">
    <cfRule type="cellIs" dxfId="10342" priority="8559" stopIfTrue="1" operator="equal">
      <formula>"Towel"</formula>
    </cfRule>
    <cfRule type="cellIs" dxfId="10341" priority="8560" stopIfTrue="1" operator="equal">
      <formula>"Napkin Hs"</formula>
    </cfRule>
  </conditionalFormatting>
  <conditionalFormatting sqref="C25">
    <cfRule type="cellIs" dxfId="10340" priority="8561" stopIfTrue="1" operator="equal">
      <formula>"Towel"</formula>
    </cfRule>
  </conditionalFormatting>
  <conditionalFormatting sqref="C27">
    <cfRule type="cellIs" dxfId="10339" priority="8557" stopIfTrue="1" operator="equal">
      <formula>"Towel"</formula>
    </cfRule>
    <cfRule type="cellIs" dxfId="10338" priority="8558" stopIfTrue="1" operator="equal">
      <formula>"Napkin Hs"</formula>
    </cfRule>
  </conditionalFormatting>
  <conditionalFormatting sqref="C27">
    <cfRule type="cellIs" dxfId="10337" priority="8555" stopIfTrue="1" operator="equal">
      <formula>"Towel"</formula>
    </cfRule>
    <cfRule type="cellIs" dxfId="10336" priority="8556" stopIfTrue="1" operator="equal">
      <formula>"Napkin Hs"</formula>
    </cfRule>
  </conditionalFormatting>
  <conditionalFormatting sqref="C27">
    <cfRule type="cellIs" dxfId="10335" priority="8553" stopIfTrue="1" operator="equal">
      <formula>"Towel"</formula>
    </cfRule>
    <cfRule type="cellIs" dxfId="10334" priority="8554" stopIfTrue="1" operator="equal">
      <formula>"Napkin Hs"</formula>
    </cfRule>
  </conditionalFormatting>
  <conditionalFormatting sqref="B25:C26 B27">
    <cfRule type="cellIs" dxfId="10333" priority="8551" stopIfTrue="1" operator="equal">
      <formula>"Towel"</formula>
    </cfRule>
    <cfRule type="cellIs" dxfId="10332" priority="8552" stopIfTrue="1" operator="equal">
      <formula>"Napkin Hs"</formula>
    </cfRule>
  </conditionalFormatting>
  <conditionalFormatting sqref="C25:C26">
    <cfRule type="cellIs" dxfId="10331" priority="8550" stopIfTrue="1" operator="equal">
      <formula>"Napkin Hs"</formula>
    </cfRule>
  </conditionalFormatting>
  <conditionalFormatting sqref="C25:C26">
    <cfRule type="cellIs" dxfId="10330" priority="8549" stopIfTrue="1" operator="equal">
      <formula>"Towel"</formula>
    </cfRule>
  </conditionalFormatting>
  <conditionalFormatting sqref="C25:C26">
    <cfRule type="cellIs" dxfId="10329" priority="8547" stopIfTrue="1" operator="equal">
      <formula>"Towel"</formula>
    </cfRule>
    <cfRule type="cellIs" dxfId="10328" priority="8548" stopIfTrue="1" operator="equal">
      <formula>"Napkin Hs"</formula>
    </cfRule>
  </conditionalFormatting>
  <conditionalFormatting sqref="B25:C26 B27">
    <cfRule type="cellIs" dxfId="10327" priority="8545" stopIfTrue="1" operator="equal">
      <formula>"Towel"</formula>
    </cfRule>
    <cfRule type="cellIs" dxfId="10326" priority="8546" stopIfTrue="1" operator="equal">
      <formula>"Napkin Hs"</formula>
    </cfRule>
  </conditionalFormatting>
  <conditionalFormatting sqref="C25:C26">
    <cfRule type="cellIs" dxfId="10325" priority="8544" stopIfTrue="1" operator="equal">
      <formula>"Napkin Hs"</formula>
    </cfRule>
  </conditionalFormatting>
  <conditionalFormatting sqref="C25:C26">
    <cfRule type="cellIs" dxfId="10324" priority="8541" stopIfTrue="1" operator="equal">
      <formula>"Towel"</formula>
    </cfRule>
    <cfRule type="cellIs" dxfId="10323" priority="8542" stopIfTrue="1" operator="equal">
      <formula>"Napkin Hs"</formula>
    </cfRule>
  </conditionalFormatting>
  <conditionalFormatting sqref="C25:C26">
    <cfRule type="cellIs" dxfId="10322" priority="8543" stopIfTrue="1" operator="equal">
      <formula>"Towel"</formula>
    </cfRule>
  </conditionalFormatting>
  <conditionalFormatting sqref="B25:C26 B27">
    <cfRule type="cellIs" dxfId="10321" priority="8539" stopIfTrue="1" operator="equal">
      <formula>"Towel"</formula>
    </cfRule>
    <cfRule type="cellIs" dxfId="10320" priority="8540" stopIfTrue="1" operator="equal">
      <formula>"Napkin Hs"</formula>
    </cfRule>
  </conditionalFormatting>
  <conditionalFormatting sqref="C25:C26">
    <cfRule type="cellIs" dxfId="10319" priority="8538" stopIfTrue="1" operator="equal">
      <formula>"Napkin Hs"</formula>
    </cfRule>
  </conditionalFormatting>
  <conditionalFormatting sqref="C25:C26">
    <cfRule type="cellIs" dxfId="10318" priority="8535" stopIfTrue="1" operator="equal">
      <formula>"Towel"</formula>
    </cfRule>
    <cfRule type="cellIs" dxfId="10317" priority="8536" stopIfTrue="1" operator="equal">
      <formula>"Napkin Hs"</formula>
    </cfRule>
  </conditionalFormatting>
  <conditionalFormatting sqref="C25:C26">
    <cfRule type="cellIs" dxfId="10316" priority="8537" stopIfTrue="1" operator="equal">
      <formula>"Towel"</formula>
    </cfRule>
  </conditionalFormatting>
  <conditionalFormatting sqref="B25:C26 B27">
    <cfRule type="cellIs" dxfId="10315" priority="8533" stopIfTrue="1" operator="equal">
      <formula>"Towel"</formula>
    </cfRule>
    <cfRule type="cellIs" dxfId="10314" priority="8534" stopIfTrue="1" operator="equal">
      <formula>"Napkin Hs"</formula>
    </cfRule>
  </conditionalFormatting>
  <conditionalFormatting sqref="C25:C26">
    <cfRule type="cellIs" dxfId="10313" priority="8532" stopIfTrue="1" operator="equal">
      <formula>"Napkin Hs"</formula>
    </cfRule>
  </conditionalFormatting>
  <conditionalFormatting sqref="C25:C26">
    <cfRule type="cellIs" dxfId="10312" priority="8529" stopIfTrue="1" operator="equal">
      <formula>"Towel"</formula>
    </cfRule>
    <cfRule type="cellIs" dxfId="10311" priority="8530" stopIfTrue="1" operator="equal">
      <formula>"Napkin Hs"</formula>
    </cfRule>
  </conditionalFormatting>
  <conditionalFormatting sqref="C25:C26">
    <cfRule type="cellIs" dxfId="10310" priority="8531" stopIfTrue="1" operator="equal">
      <formula>"Towel"</formula>
    </cfRule>
  </conditionalFormatting>
  <conditionalFormatting sqref="B25:C26 B27">
    <cfRule type="cellIs" dxfId="10309" priority="8527" stopIfTrue="1" operator="equal">
      <formula>"Towel"</formula>
    </cfRule>
    <cfRule type="cellIs" dxfId="10308" priority="8528" stopIfTrue="1" operator="equal">
      <formula>"Napkin Hs"</formula>
    </cfRule>
  </conditionalFormatting>
  <conditionalFormatting sqref="C25:C26">
    <cfRule type="cellIs" dxfId="10307" priority="8526" stopIfTrue="1" operator="equal">
      <formula>"Napkin Hs"</formula>
    </cfRule>
  </conditionalFormatting>
  <conditionalFormatting sqref="C25:C26">
    <cfRule type="cellIs" dxfId="10306" priority="8523" stopIfTrue="1" operator="equal">
      <formula>"Towel"</formula>
    </cfRule>
    <cfRule type="cellIs" dxfId="10305" priority="8524" stopIfTrue="1" operator="equal">
      <formula>"Napkin Hs"</formula>
    </cfRule>
  </conditionalFormatting>
  <conditionalFormatting sqref="C25:C26">
    <cfRule type="cellIs" dxfId="10304" priority="8525" stopIfTrue="1" operator="equal">
      <formula>"Towel"</formula>
    </cfRule>
  </conditionalFormatting>
  <conditionalFormatting sqref="B25:C26 B27">
    <cfRule type="cellIs" dxfId="10303" priority="8521" stopIfTrue="1" operator="equal">
      <formula>"Towel"</formula>
    </cfRule>
    <cfRule type="cellIs" dxfId="10302" priority="8522" stopIfTrue="1" operator="equal">
      <formula>"Napkin Hs"</formula>
    </cfRule>
  </conditionalFormatting>
  <conditionalFormatting sqref="C25:C26">
    <cfRule type="cellIs" dxfId="10301" priority="8520" stopIfTrue="1" operator="equal">
      <formula>"Napkin Hs"</formula>
    </cfRule>
  </conditionalFormatting>
  <conditionalFormatting sqref="C25:C26">
    <cfRule type="cellIs" dxfId="10300" priority="8517" stopIfTrue="1" operator="equal">
      <formula>"Towel"</formula>
    </cfRule>
    <cfRule type="cellIs" dxfId="10299" priority="8518" stopIfTrue="1" operator="equal">
      <formula>"Napkin Hs"</formula>
    </cfRule>
  </conditionalFormatting>
  <conditionalFormatting sqref="C25:C26">
    <cfRule type="cellIs" dxfId="10298" priority="8519" stopIfTrue="1" operator="equal">
      <formula>"Towel"</formula>
    </cfRule>
  </conditionalFormatting>
  <conditionalFormatting sqref="B25:C26 B27">
    <cfRule type="cellIs" dxfId="10297" priority="8515" stopIfTrue="1" operator="equal">
      <formula>"Towel"</formula>
    </cfRule>
    <cfRule type="cellIs" dxfId="10296" priority="8516" stopIfTrue="1" operator="equal">
      <formula>"Napkin Hs"</formula>
    </cfRule>
  </conditionalFormatting>
  <conditionalFormatting sqref="C25:C26">
    <cfRule type="cellIs" dxfId="10295" priority="8514" stopIfTrue="1" operator="equal">
      <formula>"Napkin Hs"</formula>
    </cfRule>
  </conditionalFormatting>
  <conditionalFormatting sqref="C25:C26">
    <cfRule type="cellIs" dxfId="10294" priority="8511" stopIfTrue="1" operator="equal">
      <formula>"Towel"</formula>
    </cfRule>
    <cfRule type="cellIs" dxfId="10293" priority="8512" stopIfTrue="1" operator="equal">
      <formula>"Napkin Hs"</formula>
    </cfRule>
  </conditionalFormatting>
  <conditionalFormatting sqref="C25:C26">
    <cfRule type="cellIs" dxfId="10292" priority="8513" stopIfTrue="1" operator="equal">
      <formula>"Towel"</formula>
    </cfRule>
  </conditionalFormatting>
  <conditionalFormatting sqref="B25:C26 B27">
    <cfRule type="cellIs" dxfId="10291" priority="8509" stopIfTrue="1" operator="equal">
      <formula>"Towel"</formula>
    </cfRule>
    <cfRule type="cellIs" dxfId="10290" priority="8510" stopIfTrue="1" operator="equal">
      <formula>"Napkin Hs"</formula>
    </cfRule>
  </conditionalFormatting>
  <conditionalFormatting sqref="C25:C26">
    <cfRule type="cellIs" dxfId="10289" priority="8508" stopIfTrue="1" operator="equal">
      <formula>"Napkin Hs"</formula>
    </cfRule>
  </conditionalFormatting>
  <conditionalFormatting sqref="C25:C26">
    <cfRule type="cellIs" dxfId="10288" priority="8505" stopIfTrue="1" operator="equal">
      <formula>"Towel"</formula>
    </cfRule>
    <cfRule type="cellIs" dxfId="10287" priority="8506" stopIfTrue="1" operator="equal">
      <formula>"Napkin Hs"</formula>
    </cfRule>
  </conditionalFormatting>
  <conditionalFormatting sqref="C25:C26">
    <cfRule type="cellIs" dxfId="10286" priority="8507" stopIfTrue="1" operator="equal">
      <formula>"Towel"</formula>
    </cfRule>
  </conditionalFormatting>
  <conditionalFormatting sqref="B25:C26 B27">
    <cfRule type="cellIs" dxfId="10285" priority="8503" stopIfTrue="1" operator="equal">
      <formula>"Towel"</formula>
    </cfRule>
    <cfRule type="cellIs" dxfId="10284" priority="8504" stopIfTrue="1" operator="equal">
      <formula>"Napkin Hs"</formula>
    </cfRule>
  </conditionalFormatting>
  <conditionalFormatting sqref="C25:C26">
    <cfRule type="cellIs" dxfId="10283" priority="8502" stopIfTrue="1" operator="equal">
      <formula>"Napkin Hs"</formula>
    </cfRule>
  </conditionalFormatting>
  <conditionalFormatting sqref="C25:C26">
    <cfRule type="cellIs" dxfId="10282" priority="8499" stopIfTrue="1" operator="equal">
      <formula>"Towel"</formula>
    </cfRule>
    <cfRule type="cellIs" dxfId="10281" priority="8500" stopIfTrue="1" operator="equal">
      <formula>"Napkin Hs"</formula>
    </cfRule>
  </conditionalFormatting>
  <conditionalFormatting sqref="C25:C26">
    <cfRule type="cellIs" dxfId="10280" priority="8501" stopIfTrue="1" operator="equal">
      <formula>"Towel"</formula>
    </cfRule>
  </conditionalFormatting>
  <conditionalFormatting sqref="B25:C26 B27">
    <cfRule type="cellIs" dxfId="10279" priority="8497" stopIfTrue="1" operator="equal">
      <formula>"Towel"</formula>
    </cfRule>
    <cfRule type="cellIs" dxfId="10278" priority="8498" stopIfTrue="1" operator="equal">
      <formula>"Napkin Hs"</formula>
    </cfRule>
  </conditionalFormatting>
  <conditionalFormatting sqref="C25:C26">
    <cfRule type="cellIs" dxfId="10277" priority="8496" stopIfTrue="1" operator="equal">
      <formula>"Napkin Hs"</formula>
    </cfRule>
  </conditionalFormatting>
  <conditionalFormatting sqref="C25:C26">
    <cfRule type="cellIs" dxfId="10276" priority="8493" stopIfTrue="1" operator="equal">
      <formula>"Towel"</formula>
    </cfRule>
    <cfRule type="cellIs" dxfId="10275" priority="8494" stopIfTrue="1" operator="equal">
      <formula>"Napkin Hs"</formula>
    </cfRule>
  </conditionalFormatting>
  <conditionalFormatting sqref="C25:C26">
    <cfRule type="cellIs" dxfId="10274" priority="8495" stopIfTrue="1" operator="equal">
      <formula>"Towel"</formula>
    </cfRule>
  </conditionalFormatting>
  <conditionalFormatting sqref="B24:C24">
    <cfRule type="cellIs" dxfId="10273" priority="8491" stopIfTrue="1" operator="equal">
      <formula>"Towel"</formula>
    </cfRule>
    <cfRule type="cellIs" dxfId="10272" priority="8492" stopIfTrue="1" operator="equal">
      <formula>"Napkin Hs"</formula>
    </cfRule>
  </conditionalFormatting>
  <conditionalFormatting sqref="C24">
    <cfRule type="cellIs" dxfId="10271" priority="8490" stopIfTrue="1" operator="equal">
      <formula>"Napkin Hs"</formula>
    </cfRule>
  </conditionalFormatting>
  <conditionalFormatting sqref="C24">
    <cfRule type="cellIs" dxfId="10270" priority="8487" stopIfTrue="1" operator="equal">
      <formula>"Towel"</formula>
    </cfRule>
    <cfRule type="cellIs" dxfId="10269" priority="8488" stopIfTrue="1" operator="equal">
      <formula>"Napkin Hs"</formula>
    </cfRule>
  </conditionalFormatting>
  <conditionalFormatting sqref="C24">
    <cfRule type="cellIs" dxfId="10268" priority="8489" stopIfTrue="1" operator="equal">
      <formula>"Towel"</formula>
    </cfRule>
  </conditionalFormatting>
  <conditionalFormatting sqref="B24:C24">
    <cfRule type="cellIs" dxfId="10267" priority="8485" stopIfTrue="1" operator="equal">
      <formula>"Towel"</formula>
    </cfRule>
    <cfRule type="cellIs" dxfId="10266" priority="8486" stopIfTrue="1" operator="equal">
      <formula>"Napkin Hs"</formula>
    </cfRule>
  </conditionalFormatting>
  <conditionalFormatting sqref="C24">
    <cfRule type="cellIs" dxfId="10265" priority="8484" stopIfTrue="1" operator="equal">
      <formula>"Napkin Hs"</formula>
    </cfRule>
  </conditionalFormatting>
  <conditionalFormatting sqref="C24">
    <cfRule type="cellIs" dxfId="10264" priority="8483" stopIfTrue="1" operator="equal">
      <formula>"Towel"</formula>
    </cfRule>
  </conditionalFormatting>
  <conditionalFormatting sqref="C24">
    <cfRule type="cellIs" dxfId="10263" priority="8481" stopIfTrue="1" operator="equal">
      <formula>"Towel"</formula>
    </cfRule>
    <cfRule type="cellIs" dxfId="10262" priority="8482" stopIfTrue="1" operator="equal">
      <formula>"Napkin Hs"</formula>
    </cfRule>
  </conditionalFormatting>
  <conditionalFormatting sqref="B24:C24">
    <cfRule type="cellIs" dxfId="10261" priority="8479" stopIfTrue="1" operator="equal">
      <formula>"Towel"</formula>
    </cfRule>
    <cfRule type="cellIs" dxfId="10260" priority="8480" stopIfTrue="1" operator="equal">
      <formula>"Napkin Hs"</formula>
    </cfRule>
  </conditionalFormatting>
  <conditionalFormatting sqref="C24">
    <cfRule type="cellIs" dxfId="10259" priority="8478" stopIfTrue="1" operator="equal">
      <formula>"Napkin Hs"</formula>
    </cfRule>
  </conditionalFormatting>
  <conditionalFormatting sqref="C24">
    <cfRule type="cellIs" dxfId="10258" priority="8475" stopIfTrue="1" operator="equal">
      <formula>"Towel"</formula>
    </cfRule>
    <cfRule type="cellIs" dxfId="10257" priority="8476" stopIfTrue="1" operator="equal">
      <formula>"Napkin Hs"</formula>
    </cfRule>
  </conditionalFormatting>
  <conditionalFormatting sqref="C24">
    <cfRule type="cellIs" dxfId="10256" priority="8477" stopIfTrue="1" operator="equal">
      <formula>"Towel"</formula>
    </cfRule>
  </conditionalFormatting>
  <conditionalFormatting sqref="B24:C24">
    <cfRule type="cellIs" dxfId="10255" priority="8473" stopIfTrue="1" operator="equal">
      <formula>"Towel"</formula>
    </cfRule>
    <cfRule type="cellIs" dxfId="10254" priority="8474" stopIfTrue="1" operator="equal">
      <formula>"Napkin Hs"</formula>
    </cfRule>
  </conditionalFormatting>
  <conditionalFormatting sqref="C24">
    <cfRule type="cellIs" dxfId="10253" priority="8472" stopIfTrue="1" operator="equal">
      <formula>"Napkin Hs"</formula>
    </cfRule>
  </conditionalFormatting>
  <conditionalFormatting sqref="C24">
    <cfRule type="cellIs" dxfId="10252" priority="8469" stopIfTrue="1" operator="equal">
      <formula>"Towel"</formula>
    </cfRule>
    <cfRule type="cellIs" dxfId="10251" priority="8470" stopIfTrue="1" operator="equal">
      <formula>"Napkin Hs"</formula>
    </cfRule>
  </conditionalFormatting>
  <conditionalFormatting sqref="C24">
    <cfRule type="cellIs" dxfId="10250" priority="8471" stopIfTrue="1" operator="equal">
      <formula>"Towel"</formula>
    </cfRule>
  </conditionalFormatting>
  <conditionalFormatting sqref="B24:C24">
    <cfRule type="cellIs" dxfId="10249" priority="8467" stopIfTrue="1" operator="equal">
      <formula>"Towel"</formula>
    </cfRule>
    <cfRule type="cellIs" dxfId="10248" priority="8468" stopIfTrue="1" operator="equal">
      <formula>"Napkin Hs"</formula>
    </cfRule>
  </conditionalFormatting>
  <conditionalFormatting sqref="C24">
    <cfRule type="cellIs" dxfId="10247" priority="8466" stopIfTrue="1" operator="equal">
      <formula>"Napkin Hs"</formula>
    </cfRule>
  </conditionalFormatting>
  <conditionalFormatting sqref="C24">
    <cfRule type="cellIs" dxfId="10246" priority="8463" stopIfTrue="1" operator="equal">
      <formula>"Towel"</formula>
    </cfRule>
    <cfRule type="cellIs" dxfId="10245" priority="8464" stopIfTrue="1" operator="equal">
      <formula>"Napkin Hs"</formula>
    </cfRule>
  </conditionalFormatting>
  <conditionalFormatting sqref="C24">
    <cfRule type="cellIs" dxfId="10244" priority="8465" stopIfTrue="1" operator="equal">
      <formula>"Towel"</formula>
    </cfRule>
  </conditionalFormatting>
  <conditionalFormatting sqref="B24:C24">
    <cfRule type="cellIs" dxfId="10243" priority="8461" stopIfTrue="1" operator="equal">
      <formula>"Towel"</formula>
    </cfRule>
    <cfRule type="cellIs" dxfId="10242" priority="8462" stopIfTrue="1" operator="equal">
      <formula>"Napkin Hs"</formula>
    </cfRule>
  </conditionalFormatting>
  <conditionalFormatting sqref="C24">
    <cfRule type="cellIs" dxfId="10241" priority="8460" stopIfTrue="1" operator="equal">
      <formula>"Napkin Hs"</formula>
    </cfRule>
  </conditionalFormatting>
  <conditionalFormatting sqref="C24">
    <cfRule type="cellIs" dxfId="10240" priority="8457" stopIfTrue="1" operator="equal">
      <formula>"Towel"</formula>
    </cfRule>
    <cfRule type="cellIs" dxfId="10239" priority="8458" stopIfTrue="1" operator="equal">
      <formula>"Napkin Hs"</formula>
    </cfRule>
  </conditionalFormatting>
  <conditionalFormatting sqref="C24">
    <cfRule type="cellIs" dxfId="10238" priority="8459" stopIfTrue="1" operator="equal">
      <formula>"Towel"</formula>
    </cfRule>
  </conditionalFormatting>
  <conditionalFormatting sqref="B24:C24">
    <cfRule type="cellIs" dxfId="10237" priority="8455" stopIfTrue="1" operator="equal">
      <formula>"Towel"</formula>
    </cfRule>
    <cfRule type="cellIs" dxfId="10236" priority="8456" stopIfTrue="1" operator="equal">
      <formula>"Napkin Hs"</formula>
    </cfRule>
  </conditionalFormatting>
  <conditionalFormatting sqref="C24">
    <cfRule type="cellIs" dxfId="10235" priority="8454" stopIfTrue="1" operator="equal">
      <formula>"Napkin Hs"</formula>
    </cfRule>
  </conditionalFormatting>
  <conditionalFormatting sqref="C24">
    <cfRule type="cellIs" dxfId="10234" priority="8451" stopIfTrue="1" operator="equal">
      <formula>"Towel"</formula>
    </cfRule>
    <cfRule type="cellIs" dxfId="10233" priority="8452" stopIfTrue="1" operator="equal">
      <formula>"Napkin Hs"</formula>
    </cfRule>
  </conditionalFormatting>
  <conditionalFormatting sqref="C24">
    <cfRule type="cellIs" dxfId="10232" priority="8453" stopIfTrue="1" operator="equal">
      <formula>"Towel"</formula>
    </cfRule>
  </conditionalFormatting>
  <conditionalFormatting sqref="B24:C24">
    <cfRule type="cellIs" dxfId="10231" priority="8449" stopIfTrue="1" operator="equal">
      <formula>"Towel"</formula>
    </cfRule>
    <cfRule type="cellIs" dxfId="10230" priority="8450" stopIfTrue="1" operator="equal">
      <formula>"Napkin Hs"</formula>
    </cfRule>
  </conditionalFormatting>
  <conditionalFormatting sqref="C24">
    <cfRule type="cellIs" dxfId="10229" priority="8448" stopIfTrue="1" operator="equal">
      <formula>"Napkin Hs"</formula>
    </cfRule>
  </conditionalFormatting>
  <conditionalFormatting sqref="C24">
    <cfRule type="cellIs" dxfId="10228" priority="8445" stopIfTrue="1" operator="equal">
      <formula>"Towel"</formula>
    </cfRule>
    <cfRule type="cellIs" dxfId="10227" priority="8446" stopIfTrue="1" operator="equal">
      <formula>"Napkin Hs"</formula>
    </cfRule>
  </conditionalFormatting>
  <conditionalFormatting sqref="C24">
    <cfRule type="cellIs" dxfId="10226" priority="8447" stopIfTrue="1" operator="equal">
      <formula>"Towel"</formula>
    </cfRule>
  </conditionalFormatting>
  <conditionalFormatting sqref="B24:C24">
    <cfRule type="cellIs" dxfId="10225" priority="8443" stopIfTrue="1" operator="equal">
      <formula>"Towel"</formula>
    </cfRule>
    <cfRule type="cellIs" dxfId="10224" priority="8444" stopIfTrue="1" operator="equal">
      <formula>"Napkin Hs"</formula>
    </cfRule>
  </conditionalFormatting>
  <conditionalFormatting sqref="C24">
    <cfRule type="cellIs" dxfId="10223" priority="8442" stopIfTrue="1" operator="equal">
      <formula>"Napkin Hs"</formula>
    </cfRule>
  </conditionalFormatting>
  <conditionalFormatting sqref="C24">
    <cfRule type="cellIs" dxfId="10222" priority="8439" stopIfTrue="1" operator="equal">
      <formula>"Towel"</formula>
    </cfRule>
    <cfRule type="cellIs" dxfId="10221" priority="8440" stopIfTrue="1" operator="equal">
      <formula>"Napkin Hs"</formula>
    </cfRule>
  </conditionalFormatting>
  <conditionalFormatting sqref="C24">
    <cfRule type="cellIs" dxfId="10220" priority="8441" stopIfTrue="1" operator="equal">
      <formula>"Towel"</formula>
    </cfRule>
  </conditionalFormatting>
  <conditionalFormatting sqref="B24:C24">
    <cfRule type="cellIs" dxfId="10219" priority="8437" stopIfTrue="1" operator="equal">
      <formula>"Towel"</formula>
    </cfRule>
    <cfRule type="cellIs" dxfId="10218" priority="8438" stopIfTrue="1" operator="equal">
      <formula>"Napkin Hs"</formula>
    </cfRule>
  </conditionalFormatting>
  <conditionalFormatting sqref="C24">
    <cfRule type="cellIs" dxfId="10217" priority="8436" stopIfTrue="1" operator="equal">
      <formula>"Napkin Hs"</formula>
    </cfRule>
  </conditionalFormatting>
  <conditionalFormatting sqref="C24">
    <cfRule type="cellIs" dxfId="10216" priority="8433" stopIfTrue="1" operator="equal">
      <formula>"Towel"</formula>
    </cfRule>
    <cfRule type="cellIs" dxfId="10215" priority="8434" stopIfTrue="1" operator="equal">
      <formula>"Napkin Hs"</formula>
    </cfRule>
  </conditionalFormatting>
  <conditionalFormatting sqref="C24">
    <cfRule type="cellIs" dxfId="10214" priority="8435" stopIfTrue="1" operator="equal">
      <formula>"Towel"</formula>
    </cfRule>
  </conditionalFormatting>
  <conditionalFormatting sqref="B24:C24">
    <cfRule type="cellIs" dxfId="10213" priority="8431" stopIfTrue="1" operator="equal">
      <formula>"Towel"</formula>
    </cfRule>
    <cfRule type="cellIs" dxfId="10212" priority="8432" stopIfTrue="1" operator="equal">
      <formula>"Napkin Hs"</formula>
    </cfRule>
  </conditionalFormatting>
  <conditionalFormatting sqref="C24">
    <cfRule type="cellIs" dxfId="10211" priority="8430" stopIfTrue="1" operator="equal">
      <formula>"Napkin Hs"</formula>
    </cfRule>
  </conditionalFormatting>
  <conditionalFormatting sqref="C24">
    <cfRule type="cellIs" dxfId="10210" priority="8427" stopIfTrue="1" operator="equal">
      <formula>"Towel"</formula>
    </cfRule>
    <cfRule type="cellIs" dxfId="10209" priority="8428" stopIfTrue="1" operator="equal">
      <formula>"Napkin Hs"</formula>
    </cfRule>
  </conditionalFormatting>
  <conditionalFormatting sqref="C24">
    <cfRule type="cellIs" dxfId="10208" priority="8429" stopIfTrue="1" operator="equal">
      <formula>"Towel"</formula>
    </cfRule>
  </conditionalFormatting>
  <conditionalFormatting sqref="B24:C24">
    <cfRule type="cellIs" dxfId="10207" priority="8425" stopIfTrue="1" operator="equal">
      <formula>"Towel"</formula>
    </cfRule>
    <cfRule type="cellIs" dxfId="10206" priority="8426" stopIfTrue="1" operator="equal">
      <formula>"Napkin Hs"</formula>
    </cfRule>
  </conditionalFormatting>
  <conditionalFormatting sqref="C24">
    <cfRule type="cellIs" dxfId="10205" priority="8424" stopIfTrue="1" operator="equal">
      <formula>"Napkin Hs"</formula>
    </cfRule>
  </conditionalFormatting>
  <conditionalFormatting sqref="C24">
    <cfRule type="cellIs" dxfId="10204" priority="8421" stopIfTrue="1" operator="equal">
      <formula>"Towel"</formula>
    </cfRule>
    <cfRule type="cellIs" dxfId="10203" priority="8422" stopIfTrue="1" operator="equal">
      <formula>"Napkin Hs"</formula>
    </cfRule>
  </conditionalFormatting>
  <conditionalFormatting sqref="C24">
    <cfRule type="cellIs" dxfId="10202" priority="8423" stopIfTrue="1" operator="equal">
      <formula>"Towel"</formula>
    </cfRule>
  </conditionalFormatting>
  <conditionalFormatting sqref="B24:C24">
    <cfRule type="cellIs" dxfId="10201" priority="8419" stopIfTrue="1" operator="equal">
      <formula>"Towel"</formula>
    </cfRule>
    <cfRule type="cellIs" dxfId="10200" priority="8420" stopIfTrue="1" operator="equal">
      <formula>"Napkin Hs"</formula>
    </cfRule>
  </conditionalFormatting>
  <conditionalFormatting sqref="C24">
    <cfRule type="cellIs" dxfId="10199" priority="8418" stopIfTrue="1" operator="equal">
      <formula>"Napkin Hs"</formula>
    </cfRule>
  </conditionalFormatting>
  <conditionalFormatting sqref="C24">
    <cfRule type="cellIs" dxfId="10198" priority="8417" stopIfTrue="1" operator="equal">
      <formula>"Towel"</formula>
    </cfRule>
  </conditionalFormatting>
  <conditionalFormatting sqref="C24">
    <cfRule type="cellIs" dxfId="10197" priority="8415" stopIfTrue="1" operator="equal">
      <formula>"Towel"</formula>
    </cfRule>
    <cfRule type="cellIs" dxfId="10196" priority="8416" stopIfTrue="1" operator="equal">
      <formula>"Napkin Hs"</formula>
    </cfRule>
  </conditionalFormatting>
  <conditionalFormatting sqref="B24:C24">
    <cfRule type="cellIs" dxfId="10195" priority="8413" stopIfTrue="1" operator="equal">
      <formula>"Towel"</formula>
    </cfRule>
    <cfRule type="cellIs" dxfId="10194" priority="8414" stopIfTrue="1" operator="equal">
      <formula>"Napkin Hs"</formula>
    </cfRule>
  </conditionalFormatting>
  <conditionalFormatting sqref="C24">
    <cfRule type="cellIs" dxfId="10193" priority="8412" stopIfTrue="1" operator="equal">
      <formula>"Napkin Hs"</formula>
    </cfRule>
  </conditionalFormatting>
  <conditionalFormatting sqref="C24">
    <cfRule type="cellIs" dxfId="10192" priority="8409" stopIfTrue="1" operator="equal">
      <formula>"Towel"</formula>
    </cfRule>
    <cfRule type="cellIs" dxfId="10191" priority="8410" stopIfTrue="1" operator="equal">
      <formula>"Napkin Hs"</formula>
    </cfRule>
  </conditionalFormatting>
  <conditionalFormatting sqref="C24">
    <cfRule type="cellIs" dxfId="10190" priority="8411" stopIfTrue="1" operator="equal">
      <formula>"Towel"</formula>
    </cfRule>
  </conditionalFormatting>
  <conditionalFormatting sqref="B24:C24">
    <cfRule type="cellIs" dxfId="10189" priority="8407" stopIfTrue="1" operator="equal">
      <formula>"Towel"</formula>
    </cfRule>
    <cfRule type="cellIs" dxfId="10188" priority="8408" stopIfTrue="1" operator="equal">
      <formula>"Napkin Hs"</formula>
    </cfRule>
  </conditionalFormatting>
  <conditionalFormatting sqref="C24">
    <cfRule type="cellIs" dxfId="10187" priority="8406" stopIfTrue="1" operator="equal">
      <formula>"Napkin Hs"</formula>
    </cfRule>
  </conditionalFormatting>
  <conditionalFormatting sqref="C24">
    <cfRule type="cellIs" dxfId="10186" priority="8403" stopIfTrue="1" operator="equal">
      <formula>"Towel"</formula>
    </cfRule>
    <cfRule type="cellIs" dxfId="10185" priority="8404" stopIfTrue="1" operator="equal">
      <formula>"Napkin Hs"</formula>
    </cfRule>
  </conditionalFormatting>
  <conditionalFormatting sqref="C24">
    <cfRule type="cellIs" dxfId="10184" priority="8405" stopIfTrue="1" operator="equal">
      <formula>"Towel"</formula>
    </cfRule>
  </conditionalFormatting>
  <conditionalFormatting sqref="B24:C24">
    <cfRule type="cellIs" dxfId="10183" priority="8401" stopIfTrue="1" operator="equal">
      <formula>"Towel"</formula>
    </cfRule>
    <cfRule type="cellIs" dxfId="10182" priority="8402" stopIfTrue="1" operator="equal">
      <formula>"Napkin Hs"</formula>
    </cfRule>
  </conditionalFormatting>
  <conditionalFormatting sqref="C24">
    <cfRule type="cellIs" dxfId="10181" priority="8400" stopIfTrue="1" operator="equal">
      <formula>"Napkin Hs"</formula>
    </cfRule>
  </conditionalFormatting>
  <conditionalFormatting sqref="C24">
    <cfRule type="cellIs" dxfId="10180" priority="8397" stopIfTrue="1" operator="equal">
      <formula>"Towel"</formula>
    </cfRule>
    <cfRule type="cellIs" dxfId="10179" priority="8398" stopIfTrue="1" operator="equal">
      <formula>"Napkin Hs"</formula>
    </cfRule>
  </conditionalFormatting>
  <conditionalFormatting sqref="C24">
    <cfRule type="cellIs" dxfId="10178" priority="8399" stopIfTrue="1" operator="equal">
      <formula>"Towel"</formula>
    </cfRule>
  </conditionalFormatting>
  <conditionalFormatting sqref="B24:C24">
    <cfRule type="cellIs" dxfId="10177" priority="8395" stopIfTrue="1" operator="equal">
      <formula>"Towel"</formula>
    </cfRule>
    <cfRule type="cellIs" dxfId="10176" priority="8396" stopIfTrue="1" operator="equal">
      <formula>"Napkin Hs"</formula>
    </cfRule>
  </conditionalFormatting>
  <conditionalFormatting sqref="C24">
    <cfRule type="cellIs" dxfId="10175" priority="8394" stopIfTrue="1" operator="equal">
      <formula>"Napkin Hs"</formula>
    </cfRule>
  </conditionalFormatting>
  <conditionalFormatting sqref="C24">
    <cfRule type="cellIs" dxfId="10174" priority="8391" stopIfTrue="1" operator="equal">
      <formula>"Towel"</formula>
    </cfRule>
    <cfRule type="cellIs" dxfId="10173" priority="8392" stopIfTrue="1" operator="equal">
      <formula>"Napkin Hs"</formula>
    </cfRule>
  </conditionalFormatting>
  <conditionalFormatting sqref="C24">
    <cfRule type="cellIs" dxfId="10172" priority="8393" stopIfTrue="1" operator="equal">
      <formula>"Towel"</formula>
    </cfRule>
  </conditionalFormatting>
  <conditionalFormatting sqref="B24:C24">
    <cfRule type="cellIs" dxfId="10171" priority="8389" stopIfTrue="1" operator="equal">
      <formula>"Towel"</formula>
    </cfRule>
    <cfRule type="cellIs" dxfId="10170" priority="8390" stopIfTrue="1" operator="equal">
      <formula>"Napkin Hs"</formula>
    </cfRule>
  </conditionalFormatting>
  <conditionalFormatting sqref="C24">
    <cfRule type="cellIs" dxfId="10169" priority="8388" stopIfTrue="1" operator="equal">
      <formula>"Napkin Hs"</formula>
    </cfRule>
  </conditionalFormatting>
  <conditionalFormatting sqref="C24">
    <cfRule type="cellIs" dxfId="10168" priority="8385" stopIfTrue="1" operator="equal">
      <formula>"Towel"</formula>
    </cfRule>
    <cfRule type="cellIs" dxfId="10167" priority="8386" stopIfTrue="1" operator="equal">
      <formula>"Napkin Hs"</formula>
    </cfRule>
  </conditionalFormatting>
  <conditionalFormatting sqref="C24">
    <cfRule type="cellIs" dxfId="10166" priority="8387" stopIfTrue="1" operator="equal">
      <formula>"Towel"</formula>
    </cfRule>
  </conditionalFormatting>
  <conditionalFormatting sqref="B24:C24">
    <cfRule type="cellIs" dxfId="10165" priority="8383" stopIfTrue="1" operator="equal">
      <formula>"Towel"</formula>
    </cfRule>
    <cfRule type="cellIs" dxfId="10164" priority="8384" stopIfTrue="1" operator="equal">
      <formula>"Napkin Hs"</formula>
    </cfRule>
  </conditionalFormatting>
  <conditionalFormatting sqref="C24">
    <cfRule type="cellIs" dxfId="10163" priority="8382" stopIfTrue="1" operator="equal">
      <formula>"Napkin Hs"</formula>
    </cfRule>
  </conditionalFormatting>
  <conditionalFormatting sqref="C24">
    <cfRule type="cellIs" dxfId="10162" priority="8379" stopIfTrue="1" operator="equal">
      <formula>"Towel"</formula>
    </cfRule>
    <cfRule type="cellIs" dxfId="10161" priority="8380" stopIfTrue="1" operator="equal">
      <formula>"Napkin Hs"</formula>
    </cfRule>
  </conditionalFormatting>
  <conditionalFormatting sqref="C24">
    <cfRule type="cellIs" dxfId="10160" priority="8381" stopIfTrue="1" operator="equal">
      <formula>"Towel"</formula>
    </cfRule>
  </conditionalFormatting>
  <conditionalFormatting sqref="B24:C24">
    <cfRule type="cellIs" dxfId="10159" priority="8377" stopIfTrue="1" operator="equal">
      <formula>"Towel"</formula>
    </cfRule>
    <cfRule type="cellIs" dxfId="10158" priority="8378" stopIfTrue="1" operator="equal">
      <formula>"Napkin Hs"</formula>
    </cfRule>
  </conditionalFormatting>
  <conditionalFormatting sqref="C24">
    <cfRule type="cellIs" dxfId="10157" priority="8376" stopIfTrue="1" operator="equal">
      <formula>"Napkin Hs"</formula>
    </cfRule>
  </conditionalFormatting>
  <conditionalFormatting sqref="C24">
    <cfRule type="cellIs" dxfId="10156" priority="8373" stopIfTrue="1" operator="equal">
      <formula>"Towel"</formula>
    </cfRule>
    <cfRule type="cellIs" dxfId="10155" priority="8374" stopIfTrue="1" operator="equal">
      <formula>"Napkin Hs"</formula>
    </cfRule>
  </conditionalFormatting>
  <conditionalFormatting sqref="C24">
    <cfRule type="cellIs" dxfId="10154" priority="8375" stopIfTrue="1" operator="equal">
      <formula>"Towel"</formula>
    </cfRule>
  </conditionalFormatting>
  <conditionalFormatting sqref="B24:C24">
    <cfRule type="cellIs" dxfId="10153" priority="8371" stopIfTrue="1" operator="equal">
      <formula>"Towel"</formula>
    </cfRule>
    <cfRule type="cellIs" dxfId="10152" priority="8372" stopIfTrue="1" operator="equal">
      <formula>"Napkin Hs"</formula>
    </cfRule>
  </conditionalFormatting>
  <conditionalFormatting sqref="C24">
    <cfRule type="cellIs" dxfId="10151" priority="8370" stopIfTrue="1" operator="equal">
      <formula>"Napkin Hs"</formula>
    </cfRule>
  </conditionalFormatting>
  <conditionalFormatting sqref="C24">
    <cfRule type="cellIs" dxfId="10150" priority="8367" stopIfTrue="1" operator="equal">
      <formula>"Towel"</formula>
    </cfRule>
    <cfRule type="cellIs" dxfId="10149" priority="8368" stopIfTrue="1" operator="equal">
      <formula>"Napkin Hs"</formula>
    </cfRule>
  </conditionalFormatting>
  <conditionalFormatting sqref="C24">
    <cfRule type="cellIs" dxfId="10148" priority="8369" stopIfTrue="1" operator="equal">
      <formula>"Towel"</formula>
    </cfRule>
  </conditionalFormatting>
  <conditionalFormatting sqref="B24:C24">
    <cfRule type="cellIs" dxfId="10147" priority="8365" stopIfTrue="1" operator="equal">
      <formula>"Towel"</formula>
    </cfRule>
    <cfRule type="cellIs" dxfId="10146" priority="8366" stopIfTrue="1" operator="equal">
      <formula>"Napkin Hs"</formula>
    </cfRule>
  </conditionalFormatting>
  <conditionalFormatting sqref="C24">
    <cfRule type="cellIs" dxfId="10145" priority="8364" stopIfTrue="1" operator="equal">
      <formula>"Napkin Hs"</formula>
    </cfRule>
  </conditionalFormatting>
  <conditionalFormatting sqref="C24">
    <cfRule type="cellIs" dxfId="10144" priority="8361" stopIfTrue="1" operator="equal">
      <formula>"Towel"</formula>
    </cfRule>
    <cfRule type="cellIs" dxfId="10143" priority="8362" stopIfTrue="1" operator="equal">
      <formula>"Napkin Hs"</formula>
    </cfRule>
  </conditionalFormatting>
  <conditionalFormatting sqref="C24">
    <cfRule type="cellIs" dxfId="10142" priority="8363" stopIfTrue="1" operator="equal">
      <formula>"Towel"</formula>
    </cfRule>
  </conditionalFormatting>
  <conditionalFormatting sqref="B17:C17">
    <cfRule type="cellIs" dxfId="10141" priority="8359" stopIfTrue="1" operator="equal">
      <formula>"Towel"</formula>
    </cfRule>
    <cfRule type="cellIs" dxfId="10140" priority="8360" stopIfTrue="1" operator="equal">
      <formula>"Napkin Hs"</formula>
    </cfRule>
  </conditionalFormatting>
  <conditionalFormatting sqref="C17">
    <cfRule type="cellIs" dxfId="10139" priority="8358" stopIfTrue="1" operator="equal">
      <formula>"Napkin Hs"</formula>
    </cfRule>
  </conditionalFormatting>
  <conditionalFormatting sqref="C17">
    <cfRule type="cellIs" dxfId="10138" priority="8357" stopIfTrue="1" operator="equal">
      <formula>"Towel"</formula>
    </cfRule>
  </conditionalFormatting>
  <conditionalFormatting sqref="C17">
    <cfRule type="cellIs" dxfId="10137" priority="8355" stopIfTrue="1" operator="equal">
      <formula>"Towel"</formula>
    </cfRule>
    <cfRule type="cellIs" dxfId="10136" priority="8356" stopIfTrue="1" operator="equal">
      <formula>"Napkin Hs"</formula>
    </cfRule>
  </conditionalFormatting>
  <conditionalFormatting sqref="B18:C18">
    <cfRule type="cellIs" dxfId="10135" priority="8353" stopIfTrue="1" operator="equal">
      <formula>"Towel"</formula>
    </cfRule>
    <cfRule type="cellIs" dxfId="10134" priority="8354" stopIfTrue="1" operator="equal">
      <formula>"Napkin Hs"</formula>
    </cfRule>
  </conditionalFormatting>
  <conditionalFormatting sqref="C18">
    <cfRule type="cellIs" dxfId="10133" priority="8352" stopIfTrue="1" operator="equal">
      <formula>"Napkin Hs"</formula>
    </cfRule>
  </conditionalFormatting>
  <conditionalFormatting sqref="C18">
    <cfRule type="cellIs" dxfId="10132" priority="8349" stopIfTrue="1" operator="equal">
      <formula>"Towel"</formula>
    </cfRule>
    <cfRule type="cellIs" dxfId="10131" priority="8350" stopIfTrue="1" operator="equal">
      <formula>"Napkin Hs"</formula>
    </cfRule>
  </conditionalFormatting>
  <conditionalFormatting sqref="C18">
    <cfRule type="cellIs" dxfId="10130" priority="8351" stopIfTrue="1" operator="equal">
      <formula>"Towel"</formula>
    </cfRule>
  </conditionalFormatting>
  <conditionalFormatting sqref="B15:C16">
    <cfRule type="cellIs" dxfId="10129" priority="8347" stopIfTrue="1" operator="equal">
      <formula>"Towel"</formula>
    </cfRule>
    <cfRule type="cellIs" dxfId="10128" priority="8348" stopIfTrue="1" operator="equal">
      <formula>"Napkin Hs"</formula>
    </cfRule>
  </conditionalFormatting>
  <conditionalFormatting sqref="C15:C16">
    <cfRule type="cellIs" dxfId="10127" priority="8346" stopIfTrue="1" operator="equal">
      <formula>"Napkin Hs"</formula>
    </cfRule>
  </conditionalFormatting>
  <conditionalFormatting sqref="C15:C16">
    <cfRule type="cellIs" dxfId="10126" priority="8343" stopIfTrue="1" operator="equal">
      <formula>"Towel"</formula>
    </cfRule>
    <cfRule type="cellIs" dxfId="10125" priority="8344" stopIfTrue="1" operator="equal">
      <formula>"Napkin Hs"</formula>
    </cfRule>
  </conditionalFormatting>
  <conditionalFormatting sqref="C15:C16">
    <cfRule type="cellIs" dxfId="10124" priority="8345" stopIfTrue="1" operator="equal">
      <formula>"Towel"</formula>
    </cfRule>
  </conditionalFormatting>
  <conditionalFormatting sqref="C18">
    <cfRule type="cellIs" dxfId="10123" priority="8341" stopIfTrue="1" operator="equal">
      <formula>"Towel"</formula>
    </cfRule>
    <cfRule type="cellIs" dxfId="10122" priority="8342" stopIfTrue="1" operator="equal">
      <formula>"Napkin Hs"</formula>
    </cfRule>
  </conditionalFormatting>
  <conditionalFormatting sqref="C18">
    <cfRule type="cellIs" dxfId="10121" priority="8339" stopIfTrue="1" operator="equal">
      <formula>"Towel"</formula>
    </cfRule>
    <cfRule type="cellIs" dxfId="10120" priority="8340" stopIfTrue="1" operator="equal">
      <formula>"Napkin Hs"</formula>
    </cfRule>
  </conditionalFormatting>
  <conditionalFormatting sqref="C18">
    <cfRule type="cellIs" dxfId="10119" priority="8337" stopIfTrue="1" operator="equal">
      <formula>"Towel"</formula>
    </cfRule>
    <cfRule type="cellIs" dxfId="10118" priority="8338" stopIfTrue="1" operator="equal">
      <formula>"Napkin Hs"</formula>
    </cfRule>
  </conditionalFormatting>
  <conditionalFormatting sqref="B15:C17 B18">
    <cfRule type="cellIs" dxfId="10117" priority="8335" stopIfTrue="1" operator="equal">
      <formula>"Towel"</formula>
    </cfRule>
    <cfRule type="cellIs" dxfId="10116" priority="8336" stopIfTrue="1" operator="equal">
      <formula>"Napkin Hs"</formula>
    </cfRule>
  </conditionalFormatting>
  <conditionalFormatting sqref="C15:C17">
    <cfRule type="cellIs" dxfId="10115" priority="8334" stopIfTrue="1" operator="equal">
      <formula>"Napkin Hs"</formula>
    </cfRule>
  </conditionalFormatting>
  <conditionalFormatting sqref="C15:C17">
    <cfRule type="cellIs" dxfId="10114" priority="8333" stopIfTrue="1" operator="equal">
      <formula>"Towel"</formula>
    </cfRule>
  </conditionalFormatting>
  <conditionalFormatting sqref="C15:C17">
    <cfRule type="cellIs" dxfId="10113" priority="8331" stopIfTrue="1" operator="equal">
      <formula>"Towel"</formula>
    </cfRule>
    <cfRule type="cellIs" dxfId="10112" priority="8332" stopIfTrue="1" operator="equal">
      <formula>"Napkin Hs"</formula>
    </cfRule>
  </conditionalFormatting>
  <conditionalFormatting sqref="B15:C17 B18">
    <cfRule type="cellIs" dxfId="10111" priority="8329" stopIfTrue="1" operator="equal">
      <formula>"Towel"</formula>
    </cfRule>
    <cfRule type="cellIs" dxfId="10110" priority="8330" stopIfTrue="1" operator="equal">
      <formula>"Napkin Hs"</formula>
    </cfRule>
  </conditionalFormatting>
  <conditionalFormatting sqref="C15:C17">
    <cfRule type="cellIs" dxfId="10109" priority="8328" stopIfTrue="1" operator="equal">
      <formula>"Napkin Hs"</formula>
    </cfRule>
  </conditionalFormatting>
  <conditionalFormatting sqref="C15:C17">
    <cfRule type="cellIs" dxfId="10108" priority="8325" stopIfTrue="1" operator="equal">
      <formula>"Towel"</formula>
    </cfRule>
    <cfRule type="cellIs" dxfId="10107" priority="8326" stopIfTrue="1" operator="equal">
      <formula>"Napkin Hs"</formula>
    </cfRule>
  </conditionalFormatting>
  <conditionalFormatting sqref="C15:C17">
    <cfRule type="cellIs" dxfId="10106" priority="8327" stopIfTrue="1" operator="equal">
      <formula>"Towel"</formula>
    </cfRule>
  </conditionalFormatting>
  <conditionalFormatting sqref="B15:C17 B18">
    <cfRule type="cellIs" dxfId="10105" priority="8323" stopIfTrue="1" operator="equal">
      <formula>"Towel"</formula>
    </cfRule>
    <cfRule type="cellIs" dxfId="10104" priority="8324" stopIfTrue="1" operator="equal">
      <formula>"Napkin Hs"</formula>
    </cfRule>
  </conditionalFormatting>
  <conditionalFormatting sqref="C15:C17">
    <cfRule type="cellIs" dxfId="10103" priority="8322" stopIfTrue="1" operator="equal">
      <formula>"Napkin Hs"</formula>
    </cfRule>
  </conditionalFormatting>
  <conditionalFormatting sqref="C15:C17">
    <cfRule type="cellIs" dxfId="10102" priority="8319" stopIfTrue="1" operator="equal">
      <formula>"Towel"</formula>
    </cfRule>
    <cfRule type="cellIs" dxfId="10101" priority="8320" stopIfTrue="1" operator="equal">
      <formula>"Napkin Hs"</formula>
    </cfRule>
  </conditionalFormatting>
  <conditionalFormatting sqref="C15:C17">
    <cfRule type="cellIs" dxfId="10100" priority="8321" stopIfTrue="1" operator="equal">
      <formula>"Towel"</formula>
    </cfRule>
  </conditionalFormatting>
  <conditionalFormatting sqref="B15:C17 B18">
    <cfRule type="cellIs" dxfId="10099" priority="8317" stopIfTrue="1" operator="equal">
      <formula>"Towel"</formula>
    </cfRule>
    <cfRule type="cellIs" dxfId="10098" priority="8318" stopIfTrue="1" operator="equal">
      <formula>"Napkin Hs"</formula>
    </cfRule>
  </conditionalFormatting>
  <conditionalFormatting sqref="C15:C17">
    <cfRule type="cellIs" dxfId="10097" priority="8316" stopIfTrue="1" operator="equal">
      <formula>"Napkin Hs"</formula>
    </cfRule>
  </conditionalFormatting>
  <conditionalFormatting sqref="C15:C17">
    <cfRule type="cellIs" dxfId="10096" priority="8313" stopIfTrue="1" operator="equal">
      <formula>"Towel"</formula>
    </cfRule>
    <cfRule type="cellIs" dxfId="10095" priority="8314" stopIfTrue="1" operator="equal">
      <formula>"Napkin Hs"</formula>
    </cfRule>
  </conditionalFormatting>
  <conditionalFormatting sqref="C15:C17">
    <cfRule type="cellIs" dxfId="10094" priority="8315" stopIfTrue="1" operator="equal">
      <formula>"Towel"</formula>
    </cfRule>
  </conditionalFormatting>
  <conditionalFormatting sqref="B15:C17 B18">
    <cfRule type="cellIs" dxfId="10093" priority="8311" stopIfTrue="1" operator="equal">
      <formula>"Towel"</formula>
    </cfRule>
    <cfRule type="cellIs" dxfId="10092" priority="8312" stopIfTrue="1" operator="equal">
      <formula>"Napkin Hs"</formula>
    </cfRule>
  </conditionalFormatting>
  <conditionalFormatting sqref="C15:C17">
    <cfRule type="cellIs" dxfId="10091" priority="8310" stopIfTrue="1" operator="equal">
      <formula>"Napkin Hs"</formula>
    </cfRule>
  </conditionalFormatting>
  <conditionalFormatting sqref="C15:C17">
    <cfRule type="cellIs" dxfId="10090" priority="8307" stopIfTrue="1" operator="equal">
      <formula>"Towel"</formula>
    </cfRule>
    <cfRule type="cellIs" dxfId="10089" priority="8308" stopIfTrue="1" operator="equal">
      <formula>"Napkin Hs"</formula>
    </cfRule>
  </conditionalFormatting>
  <conditionalFormatting sqref="C15:C17">
    <cfRule type="cellIs" dxfId="10088" priority="8309" stopIfTrue="1" operator="equal">
      <formula>"Towel"</formula>
    </cfRule>
  </conditionalFormatting>
  <conditionalFormatting sqref="B15:C17 B18">
    <cfRule type="cellIs" dxfId="10087" priority="8305" stopIfTrue="1" operator="equal">
      <formula>"Towel"</formula>
    </cfRule>
    <cfRule type="cellIs" dxfId="10086" priority="8306" stopIfTrue="1" operator="equal">
      <formula>"Napkin Hs"</formula>
    </cfRule>
  </conditionalFormatting>
  <conditionalFormatting sqref="C15:C17">
    <cfRule type="cellIs" dxfId="10085" priority="8304" stopIfTrue="1" operator="equal">
      <formula>"Napkin Hs"</formula>
    </cfRule>
  </conditionalFormatting>
  <conditionalFormatting sqref="C15:C17">
    <cfRule type="cellIs" dxfId="10084" priority="8301" stopIfTrue="1" operator="equal">
      <formula>"Towel"</formula>
    </cfRule>
    <cfRule type="cellIs" dxfId="10083" priority="8302" stopIfTrue="1" operator="equal">
      <formula>"Napkin Hs"</formula>
    </cfRule>
  </conditionalFormatting>
  <conditionalFormatting sqref="C15:C17">
    <cfRule type="cellIs" dxfId="10082" priority="8303" stopIfTrue="1" operator="equal">
      <formula>"Towel"</formula>
    </cfRule>
  </conditionalFormatting>
  <conditionalFormatting sqref="B15:C17 B18">
    <cfRule type="cellIs" dxfId="10081" priority="8299" stopIfTrue="1" operator="equal">
      <formula>"Towel"</formula>
    </cfRule>
    <cfRule type="cellIs" dxfId="10080" priority="8300" stopIfTrue="1" operator="equal">
      <formula>"Napkin Hs"</formula>
    </cfRule>
  </conditionalFormatting>
  <conditionalFormatting sqref="C15:C17">
    <cfRule type="cellIs" dxfId="10079" priority="8298" stopIfTrue="1" operator="equal">
      <formula>"Napkin Hs"</formula>
    </cfRule>
  </conditionalFormatting>
  <conditionalFormatting sqref="C15:C17">
    <cfRule type="cellIs" dxfId="10078" priority="8295" stopIfTrue="1" operator="equal">
      <formula>"Towel"</formula>
    </cfRule>
    <cfRule type="cellIs" dxfId="10077" priority="8296" stopIfTrue="1" operator="equal">
      <formula>"Napkin Hs"</formula>
    </cfRule>
  </conditionalFormatting>
  <conditionalFormatting sqref="C15:C17">
    <cfRule type="cellIs" dxfId="10076" priority="8297" stopIfTrue="1" operator="equal">
      <formula>"Towel"</formula>
    </cfRule>
  </conditionalFormatting>
  <conditionalFormatting sqref="B15:C17 B18">
    <cfRule type="cellIs" dxfId="10075" priority="8293" stopIfTrue="1" operator="equal">
      <formula>"Towel"</formula>
    </cfRule>
    <cfRule type="cellIs" dxfId="10074" priority="8294" stopIfTrue="1" operator="equal">
      <formula>"Napkin Hs"</formula>
    </cfRule>
  </conditionalFormatting>
  <conditionalFormatting sqref="C15:C17">
    <cfRule type="cellIs" dxfId="10073" priority="8292" stopIfTrue="1" operator="equal">
      <formula>"Napkin Hs"</formula>
    </cfRule>
  </conditionalFormatting>
  <conditionalFormatting sqref="C15:C17">
    <cfRule type="cellIs" dxfId="10072" priority="8289" stopIfTrue="1" operator="equal">
      <formula>"Towel"</formula>
    </cfRule>
    <cfRule type="cellIs" dxfId="10071" priority="8290" stopIfTrue="1" operator="equal">
      <formula>"Napkin Hs"</formula>
    </cfRule>
  </conditionalFormatting>
  <conditionalFormatting sqref="C15:C17">
    <cfRule type="cellIs" dxfId="10070" priority="8291" stopIfTrue="1" operator="equal">
      <formula>"Towel"</formula>
    </cfRule>
  </conditionalFormatting>
  <conditionalFormatting sqref="B15:C17 B18">
    <cfRule type="cellIs" dxfId="10069" priority="8287" stopIfTrue="1" operator="equal">
      <formula>"Towel"</formula>
    </cfRule>
    <cfRule type="cellIs" dxfId="10068" priority="8288" stopIfTrue="1" operator="equal">
      <formula>"Napkin Hs"</formula>
    </cfRule>
  </conditionalFormatting>
  <conditionalFormatting sqref="C15:C17">
    <cfRule type="cellIs" dxfId="10067" priority="8286" stopIfTrue="1" operator="equal">
      <formula>"Napkin Hs"</formula>
    </cfRule>
  </conditionalFormatting>
  <conditionalFormatting sqref="C15:C17">
    <cfRule type="cellIs" dxfId="10066" priority="8283" stopIfTrue="1" operator="equal">
      <formula>"Towel"</formula>
    </cfRule>
    <cfRule type="cellIs" dxfId="10065" priority="8284" stopIfTrue="1" operator="equal">
      <formula>"Napkin Hs"</formula>
    </cfRule>
  </conditionalFormatting>
  <conditionalFormatting sqref="C15:C17">
    <cfRule type="cellIs" dxfId="10064" priority="8285" stopIfTrue="1" operator="equal">
      <formula>"Towel"</formula>
    </cfRule>
  </conditionalFormatting>
  <conditionalFormatting sqref="B15:C17 B18">
    <cfRule type="cellIs" dxfId="10063" priority="8281" stopIfTrue="1" operator="equal">
      <formula>"Towel"</formula>
    </cfRule>
    <cfRule type="cellIs" dxfId="10062" priority="8282" stopIfTrue="1" operator="equal">
      <formula>"Napkin Hs"</formula>
    </cfRule>
  </conditionalFormatting>
  <conditionalFormatting sqref="C15:C17">
    <cfRule type="cellIs" dxfId="10061" priority="8280" stopIfTrue="1" operator="equal">
      <formula>"Napkin Hs"</formula>
    </cfRule>
  </conditionalFormatting>
  <conditionalFormatting sqref="C15:C17">
    <cfRule type="cellIs" dxfId="10060" priority="8277" stopIfTrue="1" operator="equal">
      <formula>"Towel"</formula>
    </cfRule>
    <cfRule type="cellIs" dxfId="10059" priority="8278" stopIfTrue="1" operator="equal">
      <formula>"Napkin Hs"</formula>
    </cfRule>
  </conditionalFormatting>
  <conditionalFormatting sqref="C15:C17">
    <cfRule type="cellIs" dxfId="10058" priority="8279" stopIfTrue="1" operator="equal">
      <formula>"Towel"</formula>
    </cfRule>
  </conditionalFormatting>
  <conditionalFormatting sqref="B17:C17">
    <cfRule type="cellIs" dxfId="10057" priority="8275" stopIfTrue="1" operator="equal">
      <formula>"Towel"</formula>
    </cfRule>
    <cfRule type="cellIs" dxfId="10056" priority="8276" stopIfTrue="1" operator="equal">
      <formula>"Napkin Hs"</formula>
    </cfRule>
  </conditionalFormatting>
  <conditionalFormatting sqref="C17">
    <cfRule type="cellIs" dxfId="10055" priority="8274" stopIfTrue="1" operator="equal">
      <formula>"Napkin Hs"</formula>
    </cfRule>
  </conditionalFormatting>
  <conditionalFormatting sqref="C17">
    <cfRule type="cellIs" dxfId="10054" priority="8273" stopIfTrue="1" operator="equal">
      <formula>"Towel"</formula>
    </cfRule>
  </conditionalFormatting>
  <conditionalFormatting sqref="C17">
    <cfRule type="cellIs" dxfId="10053" priority="8271" stopIfTrue="1" operator="equal">
      <formula>"Towel"</formula>
    </cfRule>
    <cfRule type="cellIs" dxfId="10052" priority="8272" stopIfTrue="1" operator="equal">
      <formula>"Napkin Hs"</formula>
    </cfRule>
  </conditionalFormatting>
  <conditionalFormatting sqref="B18:C18">
    <cfRule type="cellIs" dxfId="10051" priority="8269" stopIfTrue="1" operator="equal">
      <formula>"Towel"</formula>
    </cfRule>
    <cfRule type="cellIs" dxfId="10050" priority="8270" stopIfTrue="1" operator="equal">
      <formula>"Napkin Hs"</formula>
    </cfRule>
  </conditionalFormatting>
  <conditionalFormatting sqref="C18">
    <cfRule type="cellIs" dxfId="10049" priority="8268" stopIfTrue="1" operator="equal">
      <formula>"Napkin Hs"</formula>
    </cfRule>
  </conditionalFormatting>
  <conditionalFormatting sqref="C18">
    <cfRule type="cellIs" dxfId="10048" priority="8265" stopIfTrue="1" operator="equal">
      <formula>"Towel"</formula>
    </cfRule>
    <cfRule type="cellIs" dxfId="10047" priority="8266" stopIfTrue="1" operator="equal">
      <formula>"Napkin Hs"</formula>
    </cfRule>
  </conditionalFormatting>
  <conditionalFormatting sqref="C18">
    <cfRule type="cellIs" dxfId="10046" priority="8267" stopIfTrue="1" operator="equal">
      <formula>"Towel"</formula>
    </cfRule>
  </conditionalFormatting>
  <conditionalFormatting sqref="B15:C16">
    <cfRule type="cellIs" dxfId="10045" priority="8263" stopIfTrue="1" operator="equal">
      <formula>"Towel"</formula>
    </cfRule>
    <cfRule type="cellIs" dxfId="10044" priority="8264" stopIfTrue="1" operator="equal">
      <formula>"Napkin Hs"</formula>
    </cfRule>
  </conditionalFormatting>
  <conditionalFormatting sqref="C15:C16">
    <cfRule type="cellIs" dxfId="10043" priority="8262" stopIfTrue="1" operator="equal">
      <formula>"Napkin Hs"</formula>
    </cfRule>
  </conditionalFormatting>
  <conditionalFormatting sqref="C15:C16">
    <cfRule type="cellIs" dxfId="10042" priority="8259" stopIfTrue="1" operator="equal">
      <formula>"Towel"</formula>
    </cfRule>
    <cfRule type="cellIs" dxfId="10041" priority="8260" stopIfTrue="1" operator="equal">
      <formula>"Napkin Hs"</formula>
    </cfRule>
  </conditionalFormatting>
  <conditionalFormatting sqref="C15:C16">
    <cfRule type="cellIs" dxfId="10040" priority="8261" stopIfTrue="1" operator="equal">
      <formula>"Towel"</formula>
    </cfRule>
  </conditionalFormatting>
  <conditionalFormatting sqref="C18">
    <cfRule type="cellIs" dxfId="10039" priority="8257" stopIfTrue="1" operator="equal">
      <formula>"Towel"</formula>
    </cfRule>
    <cfRule type="cellIs" dxfId="10038" priority="8258" stopIfTrue="1" operator="equal">
      <formula>"Napkin Hs"</formula>
    </cfRule>
  </conditionalFormatting>
  <conditionalFormatting sqref="C18">
    <cfRule type="cellIs" dxfId="10037" priority="8255" stopIfTrue="1" operator="equal">
      <formula>"Towel"</formula>
    </cfRule>
    <cfRule type="cellIs" dxfId="10036" priority="8256" stopIfTrue="1" operator="equal">
      <formula>"Napkin Hs"</formula>
    </cfRule>
  </conditionalFormatting>
  <conditionalFormatting sqref="C18">
    <cfRule type="cellIs" dxfId="10035" priority="8253" stopIfTrue="1" operator="equal">
      <formula>"Towel"</formula>
    </cfRule>
    <cfRule type="cellIs" dxfId="10034" priority="8254" stopIfTrue="1" operator="equal">
      <formula>"Napkin Hs"</formula>
    </cfRule>
  </conditionalFormatting>
  <conditionalFormatting sqref="B15:C17 B18">
    <cfRule type="cellIs" dxfId="10033" priority="8251" stopIfTrue="1" operator="equal">
      <formula>"Towel"</formula>
    </cfRule>
    <cfRule type="cellIs" dxfId="10032" priority="8252" stopIfTrue="1" operator="equal">
      <formula>"Napkin Hs"</formula>
    </cfRule>
  </conditionalFormatting>
  <conditionalFormatting sqref="C15:C17">
    <cfRule type="cellIs" dxfId="10031" priority="8250" stopIfTrue="1" operator="equal">
      <formula>"Napkin Hs"</formula>
    </cfRule>
  </conditionalFormatting>
  <conditionalFormatting sqref="C15:C17">
    <cfRule type="cellIs" dxfId="10030" priority="8249" stopIfTrue="1" operator="equal">
      <formula>"Towel"</formula>
    </cfRule>
  </conditionalFormatting>
  <conditionalFormatting sqref="C15:C17">
    <cfRule type="cellIs" dxfId="10029" priority="8247" stopIfTrue="1" operator="equal">
      <formula>"Towel"</formula>
    </cfRule>
    <cfRule type="cellIs" dxfId="10028" priority="8248" stopIfTrue="1" operator="equal">
      <formula>"Napkin Hs"</formula>
    </cfRule>
  </conditionalFormatting>
  <conditionalFormatting sqref="B15:C17 B18">
    <cfRule type="cellIs" dxfId="10027" priority="8245" stopIfTrue="1" operator="equal">
      <formula>"Towel"</formula>
    </cfRule>
    <cfRule type="cellIs" dxfId="10026" priority="8246" stopIfTrue="1" operator="equal">
      <formula>"Napkin Hs"</formula>
    </cfRule>
  </conditionalFormatting>
  <conditionalFormatting sqref="C15:C17">
    <cfRule type="cellIs" dxfId="10025" priority="8244" stopIfTrue="1" operator="equal">
      <formula>"Napkin Hs"</formula>
    </cfRule>
  </conditionalFormatting>
  <conditionalFormatting sqref="C15:C17">
    <cfRule type="cellIs" dxfId="10024" priority="8241" stopIfTrue="1" operator="equal">
      <formula>"Towel"</formula>
    </cfRule>
    <cfRule type="cellIs" dxfId="10023" priority="8242" stopIfTrue="1" operator="equal">
      <formula>"Napkin Hs"</formula>
    </cfRule>
  </conditionalFormatting>
  <conditionalFormatting sqref="C15:C17">
    <cfRule type="cellIs" dxfId="10022" priority="8243" stopIfTrue="1" operator="equal">
      <formula>"Towel"</formula>
    </cfRule>
  </conditionalFormatting>
  <conditionalFormatting sqref="B15:C17 B18">
    <cfRule type="cellIs" dxfId="10021" priority="8239" stopIfTrue="1" operator="equal">
      <formula>"Towel"</formula>
    </cfRule>
    <cfRule type="cellIs" dxfId="10020" priority="8240" stopIfTrue="1" operator="equal">
      <formula>"Napkin Hs"</formula>
    </cfRule>
  </conditionalFormatting>
  <conditionalFormatting sqref="C15:C17">
    <cfRule type="cellIs" dxfId="10019" priority="8238" stopIfTrue="1" operator="equal">
      <formula>"Napkin Hs"</formula>
    </cfRule>
  </conditionalFormatting>
  <conditionalFormatting sqref="C15:C17">
    <cfRule type="cellIs" dxfId="10018" priority="8235" stopIfTrue="1" operator="equal">
      <formula>"Towel"</formula>
    </cfRule>
    <cfRule type="cellIs" dxfId="10017" priority="8236" stopIfTrue="1" operator="equal">
      <formula>"Napkin Hs"</formula>
    </cfRule>
  </conditionalFormatting>
  <conditionalFormatting sqref="C15:C17">
    <cfRule type="cellIs" dxfId="10016" priority="8237" stopIfTrue="1" operator="equal">
      <formula>"Towel"</formula>
    </cfRule>
  </conditionalFormatting>
  <conditionalFormatting sqref="B15:C17 B18">
    <cfRule type="cellIs" dxfId="10015" priority="8233" stopIfTrue="1" operator="equal">
      <formula>"Towel"</formula>
    </cfRule>
    <cfRule type="cellIs" dxfId="10014" priority="8234" stopIfTrue="1" operator="equal">
      <formula>"Napkin Hs"</formula>
    </cfRule>
  </conditionalFormatting>
  <conditionalFormatting sqref="C15:C17">
    <cfRule type="cellIs" dxfId="10013" priority="8232" stopIfTrue="1" operator="equal">
      <formula>"Napkin Hs"</formula>
    </cfRule>
  </conditionalFormatting>
  <conditionalFormatting sqref="C15:C17">
    <cfRule type="cellIs" dxfId="10012" priority="8229" stopIfTrue="1" operator="equal">
      <formula>"Towel"</formula>
    </cfRule>
    <cfRule type="cellIs" dxfId="10011" priority="8230" stopIfTrue="1" operator="equal">
      <formula>"Napkin Hs"</formula>
    </cfRule>
  </conditionalFormatting>
  <conditionalFormatting sqref="C15:C17">
    <cfRule type="cellIs" dxfId="10010" priority="8231" stopIfTrue="1" operator="equal">
      <formula>"Towel"</formula>
    </cfRule>
  </conditionalFormatting>
  <conditionalFormatting sqref="B15:C17 B18">
    <cfRule type="cellIs" dxfId="10009" priority="8227" stopIfTrue="1" operator="equal">
      <formula>"Towel"</formula>
    </cfRule>
    <cfRule type="cellIs" dxfId="10008" priority="8228" stopIfTrue="1" operator="equal">
      <formula>"Napkin Hs"</formula>
    </cfRule>
  </conditionalFormatting>
  <conditionalFormatting sqref="C15:C17">
    <cfRule type="cellIs" dxfId="10007" priority="8226" stopIfTrue="1" operator="equal">
      <formula>"Napkin Hs"</formula>
    </cfRule>
  </conditionalFormatting>
  <conditionalFormatting sqref="C15:C17">
    <cfRule type="cellIs" dxfId="10006" priority="8223" stopIfTrue="1" operator="equal">
      <formula>"Towel"</formula>
    </cfRule>
    <cfRule type="cellIs" dxfId="10005" priority="8224" stopIfTrue="1" operator="equal">
      <formula>"Napkin Hs"</formula>
    </cfRule>
  </conditionalFormatting>
  <conditionalFormatting sqref="C15:C17">
    <cfRule type="cellIs" dxfId="10004" priority="8225" stopIfTrue="1" operator="equal">
      <formula>"Towel"</formula>
    </cfRule>
  </conditionalFormatting>
  <conditionalFormatting sqref="B15:C17 B18">
    <cfRule type="cellIs" dxfId="10003" priority="8221" stopIfTrue="1" operator="equal">
      <formula>"Towel"</formula>
    </cfRule>
    <cfRule type="cellIs" dxfId="10002" priority="8222" stopIfTrue="1" operator="equal">
      <formula>"Napkin Hs"</formula>
    </cfRule>
  </conditionalFormatting>
  <conditionalFormatting sqref="C15:C17">
    <cfRule type="cellIs" dxfId="10001" priority="8220" stopIfTrue="1" operator="equal">
      <formula>"Napkin Hs"</formula>
    </cfRule>
  </conditionalFormatting>
  <conditionalFormatting sqref="C15:C17">
    <cfRule type="cellIs" dxfId="10000" priority="8217" stopIfTrue="1" operator="equal">
      <formula>"Towel"</formula>
    </cfRule>
    <cfRule type="cellIs" dxfId="9999" priority="8218" stopIfTrue="1" operator="equal">
      <formula>"Napkin Hs"</formula>
    </cfRule>
  </conditionalFormatting>
  <conditionalFormatting sqref="C15:C17">
    <cfRule type="cellIs" dxfId="9998" priority="8219" stopIfTrue="1" operator="equal">
      <formula>"Towel"</formula>
    </cfRule>
  </conditionalFormatting>
  <conditionalFormatting sqref="B15:C17 B18">
    <cfRule type="cellIs" dxfId="9997" priority="8215" stopIfTrue="1" operator="equal">
      <formula>"Towel"</formula>
    </cfRule>
    <cfRule type="cellIs" dxfId="9996" priority="8216" stopIfTrue="1" operator="equal">
      <formula>"Napkin Hs"</formula>
    </cfRule>
  </conditionalFormatting>
  <conditionalFormatting sqref="C15:C17">
    <cfRule type="cellIs" dxfId="9995" priority="8214" stopIfTrue="1" operator="equal">
      <formula>"Napkin Hs"</formula>
    </cfRule>
  </conditionalFormatting>
  <conditionalFormatting sqref="C15:C17">
    <cfRule type="cellIs" dxfId="9994" priority="8211" stopIfTrue="1" operator="equal">
      <formula>"Towel"</formula>
    </cfRule>
    <cfRule type="cellIs" dxfId="9993" priority="8212" stopIfTrue="1" operator="equal">
      <formula>"Napkin Hs"</formula>
    </cfRule>
  </conditionalFormatting>
  <conditionalFormatting sqref="C15:C17">
    <cfRule type="cellIs" dxfId="9992" priority="8213" stopIfTrue="1" operator="equal">
      <formula>"Towel"</formula>
    </cfRule>
  </conditionalFormatting>
  <conditionalFormatting sqref="B15:C17 B18">
    <cfRule type="cellIs" dxfId="9991" priority="8209" stopIfTrue="1" operator="equal">
      <formula>"Towel"</formula>
    </cfRule>
    <cfRule type="cellIs" dxfId="9990" priority="8210" stopIfTrue="1" operator="equal">
      <formula>"Napkin Hs"</formula>
    </cfRule>
  </conditionalFormatting>
  <conditionalFormatting sqref="C15:C17">
    <cfRule type="cellIs" dxfId="9989" priority="8208" stopIfTrue="1" operator="equal">
      <formula>"Napkin Hs"</formula>
    </cfRule>
  </conditionalFormatting>
  <conditionalFormatting sqref="C15:C17">
    <cfRule type="cellIs" dxfId="9988" priority="8205" stopIfTrue="1" operator="equal">
      <formula>"Towel"</formula>
    </cfRule>
    <cfRule type="cellIs" dxfId="9987" priority="8206" stopIfTrue="1" operator="equal">
      <formula>"Napkin Hs"</formula>
    </cfRule>
  </conditionalFormatting>
  <conditionalFormatting sqref="C15:C17">
    <cfRule type="cellIs" dxfId="9986" priority="8207" stopIfTrue="1" operator="equal">
      <formula>"Towel"</formula>
    </cfRule>
  </conditionalFormatting>
  <conditionalFormatting sqref="B15:C17 B18">
    <cfRule type="cellIs" dxfId="9985" priority="8203" stopIfTrue="1" operator="equal">
      <formula>"Towel"</formula>
    </cfRule>
    <cfRule type="cellIs" dxfId="9984" priority="8204" stopIfTrue="1" operator="equal">
      <formula>"Napkin Hs"</formula>
    </cfRule>
  </conditionalFormatting>
  <conditionalFormatting sqref="C15:C17">
    <cfRule type="cellIs" dxfId="9983" priority="8202" stopIfTrue="1" operator="equal">
      <formula>"Napkin Hs"</formula>
    </cfRule>
  </conditionalFormatting>
  <conditionalFormatting sqref="C15:C17">
    <cfRule type="cellIs" dxfId="9982" priority="8199" stopIfTrue="1" operator="equal">
      <formula>"Towel"</formula>
    </cfRule>
    <cfRule type="cellIs" dxfId="9981" priority="8200" stopIfTrue="1" operator="equal">
      <formula>"Napkin Hs"</formula>
    </cfRule>
  </conditionalFormatting>
  <conditionalFormatting sqref="C15:C17">
    <cfRule type="cellIs" dxfId="9980" priority="8201" stopIfTrue="1" operator="equal">
      <formula>"Towel"</formula>
    </cfRule>
  </conditionalFormatting>
  <conditionalFormatting sqref="B15:C17 B18">
    <cfRule type="cellIs" dxfId="9979" priority="8197" stopIfTrue="1" operator="equal">
      <formula>"Towel"</formula>
    </cfRule>
    <cfRule type="cellIs" dxfId="9978" priority="8198" stopIfTrue="1" operator="equal">
      <formula>"Napkin Hs"</formula>
    </cfRule>
  </conditionalFormatting>
  <conditionalFormatting sqref="C15:C17">
    <cfRule type="cellIs" dxfId="9977" priority="8196" stopIfTrue="1" operator="equal">
      <formula>"Napkin Hs"</formula>
    </cfRule>
  </conditionalFormatting>
  <conditionalFormatting sqref="C15:C17">
    <cfRule type="cellIs" dxfId="9976" priority="8193" stopIfTrue="1" operator="equal">
      <formula>"Towel"</formula>
    </cfRule>
    <cfRule type="cellIs" dxfId="9975" priority="8194" stopIfTrue="1" operator="equal">
      <formula>"Napkin Hs"</formula>
    </cfRule>
  </conditionalFormatting>
  <conditionalFormatting sqref="C15:C17">
    <cfRule type="cellIs" dxfId="9974" priority="8195" stopIfTrue="1" operator="equal">
      <formula>"Towel"</formula>
    </cfRule>
  </conditionalFormatting>
  <conditionalFormatting sqref="B31:C31">
    <cfRule type="cellIs" dxfId="9973" priority="8191" stopIfTrue="1" operator="equal">
      <formula>"Towel"</formula>
    </cfRule>
    <cfRule type="cellIs" dxfId="9972" priority="8192" stopIfTrue="1" operator="equal">
      <formula>"Napkin Hs"</formula>
    </cfRule>
  </conditionalFormatting>
  <conditionalFormatting sqref="C31">
    <cfRule type="cellIs" dxfId="9971" priority="8190" stopIfTrue="1" operator="equal">
      <formula>"Napkin Hs"</formula>
    </cfRule>
  </conditionalFormatting>
  <conditionalFormatting sqref="C31">
    <cfRule type="cellIs" dxfId="9970" priority="8187" stopIfTrue="1" operator="equal">
      <formula>"Towel"</formula>
    </cfRule>
    <cfRule type="cellIs" dxfId="9969" priority="8188" stopIfTrue="1" operator="equal">
      <formula>"Napkin Hs"</formula>
    </cfRule>
  </conditionalFormatting>
  <conditionalFormatting sqref="C31">
    <cfRule type="cellIs" dxfId="9968" priority="8189" stopIfTrue="1" operator="equal">
      <formula>"Towel"</formula>
    </cfRule>
  </conditionalFormatting>
  <conditionalFormatting sqref="B30:C30">
    <cfRule type="cellIs" dxfId="9967" priority="8185" stopIfTrue="1" operator="equal">
      <formula>"Towel"</formula>
    </cfRule>
    <cfRule type="cellIs" dxfId="9966" priority="8186" stopIfTrue="1" operator="equal">
      <formula>"Napkin Hs"</formula>
    </cfRule>
  </conditionalFormatting>
  <conditionalFormatting sqref="C30">
    <cfRule type="cellIs" dxfId="9965" priority="8184" stopIfTrue="1" operator="equal">
      <formula>"Napkin Hs"</formula>
    </cfRule>
  </conditionalFormatting>
  <conditionalFormatting sqref="C30">
    <cfRule type="cellIs" dxfId="9964" priority="8181" stopIfTrue="1" operator="equal">
      <formula>"Towel"</formula>
    </cfRule>
    <cfRule type="cellIs" dxfId="9963" priority="8182" stopIfTrue="1" operator="equal">
      <formula>"Napkin Hs"</formula>
    </cfRule>
  </conditionalFormatting>
  <conditionalFormatting sqref="C30">
    <cfRule type="cellIs" dxfId="9962" priority="8183" stopIfTrue="1" operator="equal">
      <formula>"Towel"</formula>
    </cfRule>
  </conditionalFormatting>
  <conditionalFormatting sqref="B29:C29">
    <cfRule type="cellIs" dxfId="9961" priority="8179" stopIfTrue="1" operator="equal">
      <formula>"Towel"</formula>
    </cfRule>
    <cfRule type="cellIs" dxfId="9960" priority="8180" stopIfTrue="1" operator="equal">
      <formula>"Napkin Hs"</formula>
    </cfRule>
  </conditionalFormatting>
  <conditionalFormatting sqref="C29">
    <cfRule type="cellIs" dxfId="9959" priority="8178" stopIfTrue="1" operator="equal">
      <formula>"Napkin Hs"</formula>
    </cfRule>
  </conditionalFormatting>
  <conditionalFormatting sqref="C29">
    <cfRule type="cellIs" dxfId="9958" priority="8175" stopIfTrue="1" operator="equal">
      <formula>"Towel"</formula>
    </cfRule>
    <cfRule type="cellIs" dxfId="9957" priority="8176" stopIfTrue="1" operator="equal">
      <formula>"Napkin Hs"</formula>
    </cfRule>
  </conditionalFormatting>
  <conditionalFormatting sqref="C29">
    <cfRule type="cellIs" dxfId="9956" priority="8177" stopIfTrue="1" operator="equal">
      <formula>"Towel"</formula>
    </cfRule>
  </conditionalFormatting>
  <conditionalFormatting sqref="B28:C28">
    <cfRule type="cellIs" dxfId="9955" priority="8173" stopIfTrue="1" operator="equal">
      <formula>"Towel"</formula>
    </cfRule>
    <cfRule type="cellIs" dxfId="9954" priority="8174" stopIfTrue="1" operator="equal">
      <formula>"Napkin Hs"</formula>
    </cfRule>
  </conditionalFormatting>
  <conditionalFormatting sqref="C28">
    <cfRule type="cellIs" dxfId="9953" priority="8172" stopIfTrue="1" operator="equal">
      <formula>"Napkin Hs"</formula>
    </cfRule>
  </conditionalFormatting>
  <conditionalFormatting sqref="C28">
    <cfRule type="cellIs" dxfId="9952" priority="8169" stopIfTrue="1" operator="equal">
      <formula>"Towel"</formula>
    </cfRule>
    <cfRule type="cellIs" dxfId="9951" priority="8170" stopIfTrue="1" operator="equal">
      <formula>"Napkin Hs"</formula>
    </cfRule>
  </conditionalFormatting>
  <conditionalFormatting sqref="C28">
    <cfRule type="cellIs" dxfId="9950" priority="8171" stopIfTrue="1" operator="equal">
      <formula>"Towel"</formula>
    </cfRule>
  </conditionalFormatting>
  <conditionalFormatting sqref="B28:C28">
    <cfRule type="cellIs" dxfId="9949" priority="8167" stopIfTrue="1" operator="equal">
      <formula>"Towel"</formula>
    </cfRule>
    <cfRule type="cellIs" dxfId="9948" priority="8168" stopIfTrue="1" operator="equal">
      <formula>"Napkin Hs"</formula>
    </cfRule>
  </conditionalFormatting>
  <conditionalFormatting sqref="C28">
    <cfRule type="cellIs" dxfId="9947" priority="8165" stopIfTrue="1" operator="equal">
      <formula>"Towel"</formula>
    </cfRule>
    <cfRule type="cellIs" dxfId="9946" priority="8166" stopIfTrue="1" operator="equal">
      <formula>"Napkin Hs"</formula>
    </cfRule>
  </conditionalFormatting>
  <conditionalFormatting sqref="C28">
    <cfRule type="cellIs" dxfId="9945" priority="8163" stopIfTrue="1" operator="equal">
      <formula>"Towel"</formula>
    </cfRule>
    <cfRule type="cellIs" dxfId="9944" priority="8164" stopIfTrue="1" operator="equal">
      <formula>"Napkin Hs"</formula>
    </cfRule>
  </conditionalFormatting>
  <conditionalFormatting sqref="B29:C31">
    <cfRule type="cellIs" dxfId="9943" priority="8161" stopIfTrue="1" operator="equal">
      <formula>"Towel"</formula>
    </cfRule>
    <cfRule type="cellIs" dxfId="9942" priority="8162" stopIfTrue="1" operator="equal">
      <formula>"Napkin Hs"</formula>
    </cfRule>
  </conditionalFormatting>
  <conditionalFormatting sqref="C29:C31">
    <cfRule type="cellIs" dxfId="9941" priority="8160" stopIfTrue="1" operator="equal">
      <formula>"Napkin Hs"</formula>
    </cfRule>
  </conditionalFormatting>
  <conditionalFormatting sqref="C29:C31">
    <cfRule type="cellIs" dxfId="9940" priority="8157" stopIfTrue="1" operator="equal">
      <formula>"Towel"</formula>
    </cfRule>
    <cfRule type="cellIs" dxfId="9939" priority="8158" stopIfTrue="1" operator="equal">
      <formula>"Napkin Hs"</formula>
    </cfRule>
  </conditionalFormatting>
  <conditionalFormatting sqref="C29:C31">
    <cfRule type="cellIs" dxfId="9938" priority="8159" stopIfTrue="1" operator="equal">
      <formula>"Towel"</formula>
    </cfRule>
  </conditionalFormatting>
  <conditionalFormatting sqref="B30:C30">
    <cfRule type="cellIs" dxfId="9937" priority="8155" stopIfTrue="1" operator="equal">
      <formula>"Towel"</formula>
    </cfRule>
    <cfRule type="cellIs" dxfId="9936" priority="8156" stopIfTrue="1" operator="equal">
      <formula>"Napkin Hs"</formula>
    </cfRule>
  </conditionalFormatting>
  <conditionalFormatting sqref="C30">
    <cfRule type="cellIs" dxfId="9935" priority="8154" stopIfTrue="1" operator="equal">
      <formula>"Napkin Hs"</formula>
    </cfRule>
  </conditionalFormatting>
  <conditionalFormatting sqref="C30">
    <cfRule type="cellIs" dxfId="9934" priority="8153" stopIfTrue="1" operator="equal">
      <formula>"Towel"</formula>
    </cfRule>
  </conditionalFormatting>
  <conditionalFormatting sqref="C30">
    <cfRule type="cellIs" dxfId="9933" priority="8151" stopIfTrue="1" operator="equal">
      <formula>"Towel"</formula>
    </cfRule>
    <cfRule type="cellIs" dxfId="9932" priority="8152" stopIfTrue="1" operator="equal">
      <formula>"Napkin Hs"</formula>
    </cfRule>
  </conditionalFormatting>
  <conditionalFormatting sqref="B31:C31">
    <cfRule type="cellIs" dxfId="9931" priority="8149" stopIfTrue="1" operator="equal">
      <formula>"Towel"</formula>
    </cfRule>
    <cfRule type="cellIs" dxfId="9930" priority="8150" stopIfTrue="1" operator="equal">
      <formula>"Napkin Hs"</formula>
    </cfRule>
  </conditionalFormatting>
  <conditionalFormatting sqref="C31">
    <cfRule type="cellIs" dxfId="9929" priority="8148" stopIfTrue="1" operator="equal">
      <formula>"Napkin Hs"</formula>
    </cfRule>
  </conditionalFormatting>
  <conditionalFormatting sqref="C31">
    <cfRule type="cellIs" dxfId="9928" priority="8145" stopIfTrue="1" operator="equal">
      <formula>"Towel"</formula>
    </cfRule>
    <cfRule type="cellIs" dxfId="9927" priority="8146" stopIfTrue="1" operator="equal">
      <formula>"Napkin Hs"</formula>
    </cfRule>
  </conditionalFormatting>
  <conditionalFormatting sqref="C31">
    <cfRule type="cellIs" dxfId="9926" priority="8147" stopIfTrue="1" operator="equal">
      <formula>"Towel"</formula>
    </cfRule>
  </conditionalFormatting>
  <conditionalFormatting sqref="B29:C29">
    <cfRule type="cellIs" dxfId="9925" priority="8143" stopIfTrue="1" operator="equal">
      <formula>"Towel"</formula>
    </cfRule>
    <cfRule type="cellIs" dxfId="9924" priority="8144" stopIfTrue="1" operator="equal">
      <formula>"Napkin Hs"</formula>
    </cfRule>
  </conditionalFormatting>
  <conditionalFormatting sqref="C29">
    <cfRule type="cellIs" dxfId="9923" priority="8142" stopIfTrue="1" operator="equal">
      <formula>"Napkin Hs"</formula>
    </cfRule>
  </conditionalFormatting>
  <conditionalFormatting sqref="C29">
    <cfRule type="cellIs" dxfId="9922" priority="8139" stopIfTrue="1" operator="equal">
      <formula>"Towel"</formula>
    </cfRule>
    <cfRule type="cellIs" dxfId="9921" priority="8140" stopIfTrue="1" operator="equal">
      <formula>"Napkin Hs"</formula>
    </cfRule>
  </conditionalFormatting>
  <conditionalFormatting sqref="C29">
    <cfRule type="cellIs" dxfId="9920" priority="8141" stopIfTrue="1" operator="equal">
      <formula>"Towel"</formula>
    </cfRule>
  </conditionalFormatting>
  <conditionalFormatting sqref="C31">
    <cfRule type="cellIs" dxfId="9919" priority="8137" stopIfTrue="1" operator="equal">
      <formula>"Towel"</formula>
    </cfRule>
    <cfRule type="cellIs" dxfId="9918" priority="8138" stopIfTrue="1" operator="equal">
      <formula>"Napkin Hs"</formula>
    </cfRule>
  </conditionalFormatting>
  <conditionalFormatting sqref="C31">
    <cfRule type="cellIs" dxfId="9917" priority="8135" stopIfTrue="1" operator="equal">
      <formula>"Towel"</formula>
    </cfRule>
    <cfRule type="cellIs" dxfId="9916" priority="8136" stopIfTrue="1" operator="equal">
      <formula>"Napkin Hs"</formula>
    </cfRule>
  </conditionalFormatting>
  <conditionalFormatting sqref="C31">
    <cfRule type="cellIs" dxfId="9915" priority="8133" stopIfTrue="1" operator="equal">
      <formula>"Towel"</formula>
    </cfRule>
    <cfRule type="cellIs" dxfId="9914" priority="8134" stopIfTrue="1" operator="equal">
      <formula>"Napkin Hs"</formula>
    </cfRule>
  </conditionalFormatting>
  <conditionalFormatting sqref="B29:C30 B31">
    <cfRule type="cellIs" dxfId="9913" priority="8131" stopIfTrue="1" operator="equal">
      <formula>"Towel"</formula>
    </cfRule>
    <cfRule type="cellIs" dxfId="9912" priority="8132" stopIfTrue="1" operator="equal">
      <formula>"Napkin Hs"</formula>
    </cfRule>
  </conditionalFormatting>
  <conditionalFormatting sqref="C29:C30">
    <cfRule type="cellIs" dxfId="9911" priority="8130" stopIfTrue="1" operator="equal">
      <formula>"Napkin Hs"</formula>
    </cfRule>
  </conditionalFormatting>
  <conditionalFormatting sqref="C29:C30">
    <cfRule type="cellIs" dxfId="9910" priority="8129" stopIfTrue="1" operator="equal">
      <formula>"Towel"</formula>
    </cfRule>
  </conditionalFormatting>
  <conditionalFormatting sqref="C29:C30">
    <cfRule type="cellIs" dxfId="9909" priority="8127" stopIfTrue="1" operator="equal">
      <formula>"Towel"</formula>
    </cfRule>
    <cfRule type="cellIs" dxfId="9908" priority="8128" stopIfTrue="1" operator="equal">
      <formula>"Napkin Hs"</formula>
    </cfRule>
  </conditionalFormatting>
  <conditionalFormatting sqref="B29:C30 B31">
    <cfRule type="cellIs" dxfId="9907" priority="8125" stopIfTrue="1" operator="equal">
      <formula>"Towel"</formula>
    </cfRule>
    <cfRule type="cellIs" dxfId="9906" priority="8126" stopIfTrue="1" operator="equal">
      <formula>"Napkin Hs"</formula>
    </cfRule>
  </conditionalFormatting>
  <conditionalFormatting sqref="C29:C30">
    <cfRule type="cellIs" dxfId="9905" priority="8124" stopIfTrue="1" operator="equal">
      <formula>"Napkin Hs"</formula>
    </cfRule>
  </conditionalFormatting>
  <conditionalFormatting sqref="C29:C30">
    <cfRule type="cellIs" dxfId="9904" priority="8121" stopIfTrue="1" operator="equal">
      <formula>"Towel"</formula>
    </cfRule>
    <cfRule type="cellIs" dxfId="9903" priority="8122" stopIfTrue="1" operator="equal">
      <formula>"Napkin Hs"</formula>
    </cfRule>
  </conditionalFormatting>
  <conditionalFormatting sqref="C29:C30">
    <cfRule type="cellIs" dxfId="9902" priority="8123" stopIfTrue="1" operator="equal">
      <formula>"Towel"</formula>
    </cfRule>
  </conditionalFormatting>
  <conditionalFormatting sqref="B29:C30 B31">
    <cfRule type="cellIs" dxfId="9901" priority="8119" stopIfTrue="1" operator="equal">
      <formula>"Towel"</formula>
    </cfRule>
    <cfRule type="cellIs" dxfId="9900" priority="8120" stopIfTrue="1" operator="equal">
      <formula>"Napkin Hs"</formula>
    </cfRule>
  </conditionalFormatting>
  <conditionalFormatting sqref="C29:C30">
    <cfRule type="cellIs" dxfId="9899" priority="8118" stopIfTrue="1" operator="equal">
      <formula>"Napkin Hs"</formula>
    </cfRule>
  </conditionalFormatting>
  <conditionalFormatting sqref="C29:C30">
    <cfRule type="cellIs" dxfId="9898" priority="8115" stopIfTrue="1" operator="equal">
      <formula>"Towel"</formula>
    </cfRule>
    <cfRule type="cellIs" dxfId="9897" priority="8116" stopIfTrue="1" operator="equal">
      <formula>"Napkin Hs"</formula>
    </cfRule>
  </conditionalFormatting>
  <conditionalFormatting sqref="C29:C30">
    <cfRule type="cellIs" dxfId="9896" priority="8117" stopIfTrue="1" operator="equal">
      <formula>"Towel"</formula>
    </cfRule>
  </conditionalFormatting>
  <conditionalFormatting sqref="B29:C30 B31">
    <cfRule type="cellIs" dxfId="9895" priority="8113" stopIfTrue="1" operator="equal">
      <formula>"Towel"</formula>
    </cfRule>
    <cfRule type="cellIs" dxfId="9894" priority="8114" stopIfTrue="1" operator="equal">
      <formula>"Napkin Hs"</formula>
    </cfRule>
  </conditionalFormatting>
  <conditionalFormatting sqref="C29:C30">
    <cfRule type="cellIs" dxfId="9893" priority="8112" stopIfTrue="1" operator="equal">
      <formula>"Napkin Hs"</formula>
    </cfRule>
  </conditionalFormatting>
  <conditionalFormatting sqref="C29:C30">
    <cfRule type="cellIs" dxfId="9892" priority="8109" stopIfTrue="1" operator="equal">
      <formula>"Towel"</formula>
    </cfRule>
    <cfRule type="cellIs" dxfId="9891" priority="8110" stopIfTrue="1" operator="equal">
      <formula>"Napkin Hs"</formula>
    </cfRule>
  </conditionalFormatting>
  <conditionalFormatting sqref="C29:C30">
    <cfRule type="cellIs" dxfId="9890" priority="8111" stopIfTrue="1" operator="equal">
      <formula>"Towel"</formula>
    </cfRule>
  </conditionalFormatting>
  <conditionalFormatting sqref="B29:C30 B31">
    <cfRule type="cellIs" dxfId="9889" priority="8107" stopIfTrue="1" operator="equal">
      <formula>"Towel"</formula>
    </cfRule>
    <cfRule type="cellIs" dxfId="9888" priority="8108" stopIfTrue="1" operator="equal">
      <formula>"Napkin Hs"</formula>
    </cfRule>
  </conditionalFormatting>
  <conditionalFormatting sqref="C29:C30">
    <cfRule type="cellIs" dxfId="9887" priority="8106" stopIfTrue="1" operator="equal">
      <formula>"Napkin Hs"</formula>
    </cfRule>
  </conditionalFormatting>
  <conditionalFormatting sqref="C29:C30">
    <cfRule type="cellIs" dxfId="9886" priority="8103" stopIfTrue="1" operator="equal">
      <formula>"Towel"</formula>
    </cfRule>
    <cfRule type="cellIs" dxfId="9885" priority="8104" stopIfTrue="1" operator="equal">
      <formula>"Napkin Hs"</formula>
    </cfRule>
  </conditionalFormatting>
  <conditionalFormatting sqref="C29:C30">
    <cfRule type="cellIs" dxfId="9884" priority="8105" stopIfTrue="1" operator="equal">
      <formula>"Towel"</formula>
    </cfRule>
  </conditionalFormatting>
  <conditionalFormatting sqref="B29:C30 B31">
    <cfRule type="cellIs" dxfId="9883" priority="8101" stopIfTrue="1" operator="equal">
      <formula>"Towel"</formula>
    </cfRule>
    <cfRule type="cellIs" dxfId="9882" priority="8102" stopIfTrue="1" operator="equal">
      <formula>"Napkin Hs"</formula>
    </cfRule>
  </conditionalFormatting>
  <conditionalFormatting sqref="C29:C30">
    <cfRule type="cellIs" dxfId="9881" priority="8100" stopIfTrue="1" operator="equal">
      <formula>"Napkin Hs"</formula>
    </cfRule>
  </conditionalFormatting>
  <conditionalFormatting sqref="C29:C30">
    <cfRule type="cellIs" dxfId="9880" priority="8097" stopIfTrue="1" operator="equal">
      <formula>"Towel"</formula>
    </cfRule>
    <cfRule type="cellIs" dxfId="9879" priority="8098" stopIfTrue="1" operator="equal">
      <formula>"Napkin Hs"</formula>
    </cfRule>
  </conditionalFormatting>
  <conditionalFormatting sqref="C29:C30">
    <cfRule type="cellIs" dxfId="9878" priority="8099" stopIfTrue="1" operator="equal">
      <formula>"Towel"</formula>
    </cfRule>
  </conditionalFormatting>
  <conditionalFormatting sqref="B29:C30 B31">
    <cfRule type="cellIs" dxfId="9877" priority="8095" stopIfTrue="1" operator="equal">
      <formula>"Towel"</formula>
    </cfRule>
    <cfRule type="cellIs" dxfId="9876" priority="8096" stopIfTrue="1" operator="equal">
      <formula>"Napkin Hs"</formula>
    </cfRule>
  </conditionalFormatting>
  <conditionalFormatting sqref="C29:C30">
    <cfRule type="cellIs" dxfId="9875" priority="8094" stopIfTrue="1" operator="equal">
      <formula>"Napkin Hs"</formula>
    </cfRule>
  </conditionalFormatting>
  <conditionalFormatting sqref="C29:C30">
    <cfRule type="cellIs" dxfId="9874" priority="8091" stopIfTrue="1" operator="equal">
      <formula>"Towel"</formula>
    </cfRule>
    <cfRule type="cellIs" dxfId="9873" priority="8092" stopIfTrue="1" operator="equal">
      <formula>"Napkin Hs"</formula>
    </cfRule>
  </conditionalFormatting>
  <conditionalFormatting sqref="C29:C30">
    <cfRule type="cellIs" dxfId="9872" priority="8093" stopIfTrue="1" operator="equal">
      <formula>"Towel"</formula>
    </cfRule>
  </conditionalFormatting>
  <conditionalFormatting sqref="B29:C30 B31">
    <cfRule type="cellIs" dxfId="9871" priority="8089" stopIfTrue="1" operator="equal">
      <formula>"Towel"</formula>
    </cfRule>
    <cfRule type="cellIs" dxfId="9870" priority="8090" stopIfTrue="1" operator="equal">
      <formula>"Napkin Hs"</formula>
    </cfRule>
  </conditionalFormatting>
  <conditionalFormatting sqref="C29:C30">
    <cfRule type="cellIs" dxfId="9869" priority="8088" stopIfTrue="1" operator="equal">
      <formula>"Napkin Hs"</formula>
    </cfRule>
  </conditionalFormatting>
  <conditionalFormatting sqref="C29:C30">
    <cfRule type="cellIs" dxfId="9868" priority="8085" stopIfTrue="1" operator="equal">
      <formula>"Towel"</formula>
    </cfRule>
    <cfRule type="cellIs" dxfId="9867" priority="8086" stopIfTrue="1" operator="equal">
      <formula>"Napkin Hs"</formula>
    </cfRule>
  </conditionalFormatting>
  <conditionalFormatting sqref="C29:C30">
    <cfRule type="cellIs" dxfId="9866" priority="8087" stopIfTrue="1" operator="equal">
      <formula>"Towel"</formula>
    </cfRule>
  </conditionalFormatting>
  <conditionalFormatting sqref="B29:C30 B31">
    <cfRule type="cellIs" dxfId="9865" priority="8083" stopIfTrue="1" operator="equal">
      <formula>"Towel"</formula>
    </cfRule>
    <cfRule type="cellIs" dxfId="9864" priority="8084" stopIfTrue="1" operator="equal">
      <formula>"Napkin Hs"</formula>
    </cfRule>
  </conditionalFormatting>
  <conditionalFormatting sqref="C29:C30">
    <cfRule type="cellIs" dxfId="9863" priority="8082" stopIfTrue="1" operator="equal">
      <formula>"Napkin Hs"</formula>
    </cfRule>
  </conditionalFormatting>
  <conditionalFormatting sqref="C29:C30">
    <cfRule type="cellIs" dxfId="9862" priority="8079" stopIfTrue="1" operator="equal">
      <formula>"Towel"</formula>
    </cfRule>
    <cfRule type="cellIs" dxfId="9861" priority="8080" stopIfTrue="1" operator="equal">
      <formula>"Napkin Hs"</formula>
    </cfRule>
  </conditionalFormatting>
  <conditionalFormatting sqref="C29:C30">
    <cfRule type="cellIs" dxfId="9860" priority="8081" stopIfTrue="1" operator="equal">
      <formula>"Towel"</formula>
    </cfRule>
  </conditionalFormatting>
  <conditionalFormatting sqref="B29:C30 B31">
    <cfRule type="cellIs" dxfId="9859" priority="8077" stopIfTrue="1" operator="equal">
      <formula>"Towel"</formula>
    </cfRule>
    <cfRule type="cellIs" dxfId="9858" priority="8078" stopIfTrue="1" operator="equal">
      <formula>"Napkin Hs"</formula>
    </cfRule>
  </conditionalFormatting>
  <conditionalFormatting sqref="C29:C30">
    <cfRule type="cellIs" dxfId="9857" priority="8076" stopIfTrue="1" operator="equal">
      <formula>"Napkin Hs"</formula>
    </cfRule>
  </conditionalFormatting>
  <conditionalFormatting sqref="C29:C30">
    <cfRule type="cellIs" dxfId="9856" priority="8073" stopIfTrue="1" operator="equal">
      <formula>"Towel"</formula>
    </cfRule>
    <cfRule type="cellIs" dxfId="9855" priority="8074" stopIfTrue="1" operator="equal">
      <formula>"Napkin Hs"</formula>
    </cfRule>
  </conditionalFormatting>
  <conditionalFormatting sqref="C29:C30">
    <cfRule type="cellIs" dxfId="9854" priority="8075" stopIfTrue="1" operator="equal">
      <formula>"Towel"</formula>
    </cfRule>
  </conditionalFormatting>
  <conditionalFormatting sqref="B30:C30">
    <cfRule type="cellIs" dxfId="9853" priority="8071" stopIfTrue="1" operator="equal">
      <formula>"Towel"</formula>
    </cfRule>
    <cfRule type="cellIs" dxfId="9852" priority="8072" stopIfTrue="1" operator="equal">
      <formula>"Napkin Hs"</formula>
    </cfRule>
  </conditionalFormatting>
  <conditionalFormatting sqref="C30">
    <cfRule type="cellIs" dxfId="9851" priority="8070" stopIfTrue="1" operator="equal">
      <formula>"Napkin Hs"</formula>
    </cfRule>
  </conditionalFormatting>
  <conditionalFormatting sqref="C30">
    <cfRule type="cellIs" dxfId="9850" priority="8069" stopIfTrue="1" operator="equal">
      <formula>"Towel"</formula>
    </cfRule>
  </conditionalFormatting>
  <conditionalFormatting sqref="C30">
    <cfRule type="cellIs" dxfId="9849" priority="8067" stopIfTrue="1" operator="equal">
      <formula>"Towel"</formula>
    </cfRule>
    <cfRule type="cellIs" dxfId="9848" priority="8068" stopIfTrue="1" operator="equal">
      <formula>"Napkin Hs"</formula>
    </cfRule>
  </conditionalFormatting>
  <conditionalFormatting sqref="B31:C31">
    <cfRule type="cellIs" dxfId="9847" priority="8065" stopIfTrue="1" operator="equal">
      <formula>"Towel"</formula>
    </cfRule>
    <cfRule type="cellIs" dxfId="9846" priority="8066" stopIfTrue="1" operator="equal">
      <formula>"Napkin Hs"</formula>
    </cfRule>
  </conditionalFormatting>
  <conditionalFormatting sqref="C31">
    <cfRule type="cellIs" dxfId="9845" priority="8064" stopIfTrue="1" operator="equal">
      <formula>"Napkin Hs"</formula>
    </cfRule>
  </conditionalFormatting>
  <conditionalFormatting sqref="C31">
    <cfRule type="cellIs" dxfId="9844" priority="8061" stopIfTrue="1" operator="equal">
      <formula>"Towel"</formula>
    </cfRule>
    <cfRule type="cellIs" dxfId="9843" priority="8062" stopIfTrue="1" operator="equal">
      <formula>"Napkin Hs"</formula>
    </cfRule>
  </conditionalFormatting>
  <conditionalFormatting sqref="C31">
    <cfRule type="cellIs" dxfId="9842" priority="8063" stopIfTrue="1" operator="equal">
      <formula>"Towel"</formula>
    </cfRule>
  </conditionalFormatting>
  <conditionalFormatting sqref="B29:C29">
    <cfRule type="cellIs" dxfId="9841" priority="8059" stopIfTrue="1" operator="equal">
      <formula>"Towel"</formula>
    </cfRule>
    <cfRule type="cellIs" dxfId="9840" priority="8060" stopIfTrue="1" operator="equal">
      <formula>"Napkin Hs"</formula>
    </cfRule>
  </conditionalFormatting>
  <conditionalFormatting sqref="C29">
    <cfRule type="cellIs" dxfId="9839" priority="8058" stopIfTrue="1" operator="equal">
      <formula>"Napkin Hs"</formula>
    </cfRule>
  </conditionalFormatting>
  <conditionalFormatting sqref="C29">
    <cfRule type="cellIs" dxfId="9838" priority="8055" stopIfTrue="1" operator="equal">
      <formula>"Towel"</formula>
    </cfRule>
    <cfRule type="cellIs" dxfId="9837" priority="8056" stopIfTrue="1" operator="equal">
      <formula>"Napkin Hs"</formula>
    </cfRule>
  </conditionalFormatting>
  <conditionalFormatting sqref="C29">
    <cfRule type="cellIs" dxfId="9836" priority="8057" stopIfTrue="1" operator="equal">
      <formula>"Towel"</formula>
    </cfRule>
  </conditionalFormatting>
  <conditionalFormatting sqref="C31">
    <cfRule type="cellIs" dxfId="9835" priority="8053" stopIfTrue="1" operator="equal">
      <formula>"Towel"</formula>
    </cfRule>
    <cfRule type="cellIs" dxfId="9834" priority="8054" stopIfTrue="1" operator="equal">
      <formula>"Napkin Hs"</formula>
    </cfRule>
  </conditionalFormatting>
  <conditionalFormatting sqref="C31">
    <cfRule type="cellIs" dxfId="9833" priority="8051" stopIfTrue="1" operator="equal">
      <formula>"Towel"</formula>
    </cfRule>
    <cfRule type="cellIs" dxfId="9832" priority="8052" stopIfTrue="1" operator="equal">
      <formula>"Napkin Hs"</formula>
    </cfRule>
  </conditionalFormatting>
  <conditionalFormatting sqref="C31">
    <cfRule type="cellIs" dxfId="9831" priority="8049" stopIfTrue="1" operator="equal">
      <formula>"Towel"</formula>
    </cfRule>
    <cfRule type="cellIs" dxfId="9830" priority="8050" stopIfTrue="1" operator="equal">
      <formula>"Napkin Hs"</formula>
    </cfRule>
  </conditionalFormatting>
  <conditionalFormatting sqref="B29:C30 B31">
    <cfRule type="cellIs" dxfId="9829" priority="8047" stopIfTrue="1" operator="equal">
      <formula>"Towel"</formula>
    </cfRule>
    <cfRule type="cellIs" dxfId="9828" priority="8048" stopIfTrue="1" operator="equal">
      <formula>"Napkin Hs"</formula>
    </cfRule>
  </conditionalFormatting>
  <conditionalFormatting sqref="C29:C30">
    <cfRule type="cellIs" dxfId="9827" priority="8046" stopIfTrue="1" operator="equal">
      <formula>"Napkin Hs"</formula>
    </cfRule>
  </conditionalFormatting>
  <conditionalFormatting sqref="C29:C30">
    <cfRule type="cellIs" dxfId="9826" priority="8045" stopIfTrue="1" operator="equal">
      <formula>"Towel"</formula>
    </cfRule>
  </conditionalFormatting>
  <conditionalFormatting sqref="C29:C30">
    <cfRule type="cellIs" dxfId="9825" priority="8043" stopIfTrue="1" operator="equal">
      <formula>"Towel"</formula>
    </cfRule>
    <cfRule type="cellIs" dxfId="9824" priority="8044" stopIfTrue="1" operator="equal">
      <formula>"Napkin Hs"</formula>
    </cfRule>
  </conditionalFormatting>
  <conditionalFormatting sqref="B29:C30 B31">
    <cfRule type="cellIs" dxfId="9823" priority="8041" stopIfTrue="1" operator="equal">
      <formula>"Towel"</formula>
    </cfRule>
    <cfRule type="cellIs" dxfId="9822" priority="8042" stopIfTrue="1" operator="equal">
      <formula>"Napkin Hs"</formula>
    </cfRule>
  </conditionalFormatting>
  <conditionalFormatting sqref="C29:C30">
    <cfRule type="cellIs" dxfId="9821" priority="8040" stopIfTrue="1" operator="equal">
      <formula>"Napkin Hs"</formula>
    </cfRule>
  </conditionalFormatting>
  <conditionalFormatting sqref="C29:C30">
    <cfRule type="cellIs" dxfId="9820" priority="8037" stopIfTrue="1" operator="equal">
      <formula>"Towel"</formula>
    </cfRule>
    <cfRule type="cellIs" dxfId="9819" priority="8038" stopIfTrue="1" operator="equal">
      <formula>"Napkin Hs"</formula>
    </cfRule>
  </conditionalFormatting>
  <conditionalFormatting sqref="C29:C30">
    <cfRule type="cellIs" dxfId="9818" priority="8039" stopIfTrue="1" operator="equal">
      <formula>"Towel"</formula>
    </cfRule>
  </conditionalFormatting>
  <conditionalFormatting sqref="B29:C30 B31">
    <cfRule type="cellIs" dxfId="9817" priority="8035" stopIfTrue="1" operator="equal">
      <formula>"Towel"</formula>
    </cfRule>
    <cfRule type="cellIs" dxfId="9816" priority="8036" stopIfTrue="1" operator="equal">
      <formula>"Napkin Hs"</formula>
    </cfRule>
  </conditionalFormatting>
  <conditionalFormatting sqref="C29:C30">
    <cfRule type="cellIs" dxfId="9815" priority="8034" stopIfTrue="1" operator="equal">
      <formula>"Napkin Hs"</formula>
    </cfRule>
  </conditionalFormatting>
  <conditionalFormatting sqref="C29:C30">
    <cfRule type="cellIs" dxfId="9814" priority="8031" stopIfTrue="1" operator="equal">
      <formula>"Towel"</formula>
    </cfRule>
    <cfRule type="cellIs" dxfId="9813" priority="8032" stopIfTrue="1" operator="equal">
      <formula>"Napkin Hs"</formula>
    </cfRule>
  </conditionalFormatting>
  <conditionalFormatting sqref="C29:C30">
    <cfRule type="cellIs" dxfId="9812" priority="8033" stopIfTrue="1" operator="equal">
      <formula>"Towel"</formula>
    </cfRule>
  </conditionalFormatting>
  <conditionalFormatting sqref="B29:C30 B31">
    <cfRule type="cellIs" dxfId="9811" priority="8029" stopIfTrue="1" operator="equal">
      <formula>"Towel"</formula>
    </cfRule>
    <cfRule type="cellIs" dxfId="9810" priority="8030" stopIfTrue="1" operator="equal">
      <formula>"Napkin Hs"</formula>
    </cfRule>
  </conditionalFormatting>
  <conditionalFormatting sqref="C29:C30">
    <cfRule type="cellIs" dxfId="9809" priority="8028" stopIfTrue="1" operator="equal">
      <formula>"Napkin Hs"</formula>
    </cfRule>
  </conditionalFormatting>
  <conditionalFormatting sqref="C29:C30">
    <cfRule type="cellIs" dxfId="9808" priority="8025" stopIfTrue="1" operator="equal">
      <formula>"Towel"</formula>
    </cfRule>
    <cfRule type="cellIs" dxfId="9807" priority="8026" stopIfTrue="1" operator="equal">
      <formula>"Napkin Hs"</formula>
    </cfRule>
  </conditionalFormatting>
  <conditionalFormatting sqref="C29:C30">
    <cfRule type="cellIs" dxfId="9806" priority="8027" stopIfTrue="1" operator="equal">
      <formula>"Towel"</formula>
    </cfRule>
  </conditionalFormatting>
  <conditionalFormatting sqref="B29:C30 B31">
    <cfRule type="cellIs" dxfId="9805" priority="8023" stopIfTrue="1" operator="equal">
      <formula>"Towel"</formula>
    </cfRule>
    <cfRule type="cellIs" dxfId="9804" priority="8024" stopIfTrue="1" operator="equal">
      <formula>"Napkin Hs"</formula>
    </cfRule>
  </conditionalFormatting>
  <conditionalFormatting sqref="C29:C30">
    <cfRule type="cellIs" dxfId="9803" priority="8022" stopIfTrue="1" operator="equal">
      <formula>"Napkin Hs"</formula>
    </cfRule>
  </conditionalFormatting>
  <conditionalFormatting sqref="C29:C30">
    <cfRule type="cellIs" dxfId="9802" priority="8019" stopIfTrue="1" operator="equal">
      <formula>"Towel"</formula>
    </cfRule>
    <cfRule type="cellIs" dxfId="9801" priority="8020" stopIfTrue="1" operator="equal">
      <formula>"Napkin Hs"</formula>
    </cfRule>
  </conditionalFormatting>
  <conditionalFormatting sqref="C29:C30">
    <cfRule type="cellIs" dxfId="9800" priority="8021" stopIfTrue="1" operator="equal">
      <formula>"Towel"</formula>
    </cfRule>
  </conditionalFormatting>
  <conditionalFormatting sqref="B29:C30 B31">
    <cfRule type="cellIs" dxfId="9799" priority="8017" stopIfTrue="1" operator="equal">
      <formula>"Towel"</formula>
    </cfRule>
    <cfRule type="cellIs" dxfId="9798" priority="8018" stopIfTrue="1" operator="equal">
      <formula>"Napkin Hs"</formula>
    </cfRule>
  </conditionalFormatting>
  <conditionalFormatting sqref="C29:C30">
    <cfRule type="cellIs" dxfId="9797" priority="8016" stopIfTrue="1" operator="equal">
      <formula>"Napkin Hs"</formula>
    </cfRule>
  </conditionalFormatting>
  <conditionalFormatting sqref="C29:C30">
    <cfRule type="cellIs" dxfId="9796" priority="8013" stopIfTrue="1" operator="equal">
      <formula>"Towel"</formula>
    </cfRule>
    <cfRule type="cellIs" dxfId="9795" priority="8014" stopIfTrue="1" operator="equal">
      <formula>"Napkin Hs"</formula>
    </cfRule>
  </conditionalFormatting>
  <conditionalFormatting sqref="C29:C30">
    <cfRule type="cellIs" dxfId="9794" priority="8015" stopIfTrue="1" operator="equal">
      <formula>"Towel"</formula>
    </cfRule>
  </conditionalFormatting>
  <conditionalFormatting sqref="B29:C30 B31">
    <cfRule type="cellIs" dxfId="9793" priority="8011" stopIfTrue="1" operator="equal">
      <formula>"Towel"</formula>
    </cfRule>
    <cfRule type="cellIs" dxfId="9792" priority="8012" stopIfTrue="1" operator="equal">
      <formula>"Napkin Hs"</formula>
    </cfRule>
  </conditionalFormatting>
  <conditionalFormatting sqref="C29:C30">
    <cfRule type="cellIs" dxfId="9791" priority="8010" stopIfTrue="1" operator="equal">
      <formula>"Napkin Hs"</formula>
    </cfRule>
  </conditionalFormatting>
  <conditionalFormatting sqref="C29:C30">
    <cfRule type="cellIs" dxfId="9790" priority="8007" stopIfTrue="1" operator="equal">
      <formula>"Towel"</formula>
    </cfRule>
    <cfRule type="cellIs" dxfId="9789" priority="8008" stopIfTrue="1" operator="equal">
      <formula>"Napkin Hs"</formula>
    </cfRule>
  </conditionalFormatting>
  <conditionalFormatting sqref="C29:C30">
    <cfRule type="cellIs" dxfId="9788" priority="8009" stopIfTrue="1" operator="equal">
      <formula>"Towel"</formula>
    </cfRule>
  </conditionalFormatting>
  <conditionalFormatting sqref="B29:C30 B31">
    <cfRule type="cellIs" dxfId="9787" priority="8005" stopIfTrue="1" operator="equal">
      <formula>"Towel"</formula>
    </cfRule>
    <cfRule type="cellIs" dxfId="9786" priority="8006" stopIfTrue="1" operator="equal">
      <formula>"Napkin Hs"</formula>
    </cfRule>
  </conditionalFormatting>
  <conditionalFormatting sqref="C29:C30">
    <cfRule type="cellIs" dxfId="9785" priority="8004" stopIfTrue="1" operator="equal">
      <formula>"Napkin Hs"</formula>
    </cfRule>
  </conditionalFormatting>
  <conditionalFormatting sqref="C29:C30">
    <cfRule type="cellIs" dxfId="9784" priority="8001" stopIfTrue="1" operator="equal">
      <formula>"Towel"</formula>
    </cfRule>
    <cfRule type="cellIs" dxfId="9783" priority="8002" stopIfTrue="1" operator="equal">
      <formula>"Napkin Hs"</formula>
    </cfRule>
  </conditionalFormatting>
  <conditionalFormatting sqref="C29:C30">
    <cfRule type="cellIs" dxfId="9782" priority="8003" stopIfTrue="1" operator="equal">
      <formula>"Towel"</formula>
    </cfRule>
  </conditionalFormatting>
  <conditionalFormatting sqref="B29:C30 B31">
    <cfRule type="cellIs" dxfId="9781" priority="7999" stopIfTrue="1" operator="equal">
      <formula>"Towel"</formula>
    </cfRule>
    <cfRule type="cellIs" dxfId="9780" priority="8000" stopIfTrue="1" operator="equal">
      <formula>"Napkin Hs"</formula>
    </cfRule>
  </conditionalFormatting>
  <conditionalFormatting sqref="C29:C30">
    <cfRule type="cellIs" dxfId="9779" priority="7998" stopIfTrue="1" operator="equal">
      <formula>"Napkin Hs"</formula>
    </cfRule>
  </conditionalFormatting>
  <conditionalFormatting sqref="C29:C30">
    <cfRule type="cellIs" dxfId="9778" priority="7995" stopIfTrue="1" operator="equal">
      <formula>"Towel"</formula>
    </cfRule>
    <cfRule type="cellIs" dxfId="9777" priority="7996" stopIfTrue="1" operator="equal">
      <formula>"Napkin Hs"</formula>
    </cfRule>
  </conditionalFormatting>
  <conditionalFormatting sqref="C29:C30">
    <cfRule type="cellIs" dxfId="9776" priority="7997" stopIfTrue="1" operator="equal">
      <formula>"Towel"</formula>
    </cfRule>
  </conditionalFormatting>
  <conditionalFormatting sqref="B29:C30 B31">
    <cfRule type="cellIs" dxfId="9775" priority="7993" stopIfTrue="1" operator="equal">
      <formula>"Towel"</formula>
    </cfRule>
    <cfRule type="cellIs" dxfId="9774" priority="7994" stopIfTrue="1" operator="equal">
      <formula>"Napkin Hs"</formula>
    </cfRule>
  </conditionalFormatting>
  <conditionalFormatting sqref="C29:C30">
    <cfRule type="cellIs" dxfId="9773" priority="7992" stopIfTrue="1" operator="equal">
      <formula>"Napkin Hs"</formula>
    </cfRule>
  </conditionalFormatting>
  <conditionalFormatting sqref="C29:C30">
    <cfRule type="cellIs" dxfId="9772" priority="7989" stopIfTrue="1" operator="equal">
      <formula>"Towel"</formula>
    </cfRule>
    <cfRule type="cellIs" dxfId="9771" priority="7990" stopIfTrue="1" operator="equal">
      <formula>"Napkin Hs"</formula>
    </cfRule>
  </conditionalFormatting>
  <conditionalFormatting sqref="C29:C30">
    <cfRule type="cellIs" dxfId="9770" priority="7991" stopIfTrue="1" operator="equal">
      <formula>"Towel"</formula>
    </cfRule>
  </conditionalFormatting>
  <conditionalFormatting sqref="B28:C28">
    <cfRule type="cellIs" dxfId="9769" priority="7987" stopIfTrue="1" operator="equal">
      <formula>"Towel"</formula>
    </cfRule>
    <cfRule type="cellIs" dxfId="9768" priority="7988" stopIfTrue="1" operator="equal">
      <formula>"Napkin Hs"</formula>
    </cfRule>
  </conditionalFormatting>
  <conditionalFormatting sqref="C28">
    <cfRule type="cellIs" dxfId="9767" priority="7986" stopIfTrue="1" operator="equal">
      <formula>"Napkin Hs"</formula>
    </cfRule>
  </conditionalFormatting>
  <conditionalFormatting sqref="C28">
    <cfRule type="cellIs" dxfId="9766" priority="7983" stopIfTrue="1" operator="equal">
      <formula>"Towel"</formula>
    </cfRule>
    <cfRule type="cellIs" dxfId="9765" priority="7984" stopIfTrue="1" operator="equal">
      <formula>"Napkin Hs"</formula>
    </cfRule>
  </conditionalFormatting>
  <conditionalFormatting sqref="C28">
    <cfRule type="cellIs" dxfId="9764" priority="7985" stopIfTrue="1" operator="equal">
      <formula>"Towel"</formula>
    </cfRule>
  </conditionalFormatting>
  <conditionalFormatting sqref="B28:C28">
    <cfRule type="cellIs" dxfId="9763" priority="7981" stopIfTrue="1" operator="equal">
      <formula>"Towel"</formula>
    </cfRule>
    <cfRule type="cellIs" dxfId="9762" priority="7982" stopIfTrue="1" operator="equal">
      <formula>"Napkin Hs"</formula>
    </cfRule>
  </conditionalFormatting>
  <conditionalFormatting sqref="C28">
    <cfRule type="cellIs" dxfId="9761" priority="7980" stopIfTrue="1" operator="equal">
      <formula>"Napkin Hs"</formula>
    </cfRule>
  </conditionalFormatting>
  <conditionalFormatting sqref="C28">
    <cfRule type="cellIs" dxfId="9760" priority="7979" stopIfTrue="1" operator="equal">
      <formula>"Towel"</formula>
    </cfRule>
  </conditionalFormatting>
  <conditionalFormatting sqref="C28">
    <cfRule type="cellIs" dxfId="9759" priority="7977" stopIfTrue="1" operator="equal">
      <formula>"Towel"</formula>
    </cfRule>
    <cfRule type="cellIs" dxfId="9758" priority="7978" stopIfTrue="1" operator="equal">
      <formula>"Napkin Hs"</formula>
    </cfRule>
  </conditionalFormatting>
  <conditionalFormatting sqref="B28:C28">
    <cfRule type="cellIs" dxfId="9757" priority="7975" stopIfTrue="1" operator="equal">
      <formula>"Towel"</formula>
    </cfRule>
    <cfRule type="cellIs" dxfId="9756" priority="7976" stopIfTrue="1" operator="equal">
      <formula>"Napkin Hs"</formula>
    </cfRule>
  </conditionalFormatting>
  <conditionalFormatting sqref="C28">
    <cfRule type="cellIs" dxfId="9755" priority="7974" stopIfTrue="1" operator="equal">
      <formula>"Napkin Hs"</formula>
    </cfRule>
  </conditionalFormatting>
  <conditionalFormatting sqref="C28">
    <cfRule type="cellIs" dxfId="9754" priority="7971" stopIfTrue="1" operator="equal">
      <formula>"Towel"</formula>
    </cfRule>
    <cfRule type="cellIs" dxfId="9753" priority="7972" stopIfTrue="1" operator="equal">
      <formula>"Napkin Hs"</formula>
    </cfRule>
  </conditionalFormatting>
  <conditionalFormatting sqref="C28">
    <cfRule type="cellIs" dxfId="9752" priority="7973" stopIfTrue="1" operator="equal">
      <formula>"Towel"</formula>
    </cfRule>
  </conditionalFormatting>
  <conditionalFormatting sqref="B28:C28">
    <cfRule type="cellIs" dxfId="9751" priority="7969" stopIfTrue="1" operator="equal">
      <formula>"Towel"</formula>
    </cfRule>
    <cfRule type="cellIs" dxfId="9750" priority="7970" stopIfTrue="1" operator="equal">
      <formula>"Napkin Hs"</formula>
    </cfRule>
  </conditionalFormatting>
  <conditionalFormatting sqref="C28">
    <cfRule type="cellIs" dxfId="9749" priority="7968" stopIfTrue="1" operator="equal">
      <formula>"Napkin Hs"</formula>
    </cfRule>
  </conditionalFormatting>
  <conditionalFormatting sqref="C28">
    <cfRule type="cellIs" dxfId="9748" priority="7965" stopIfTrue="1" operator="equal">
      <formula>"Towel"</formula>
    </cfRule>
    <cfRule type="cellIs" dxfId="9747" priority="7966" stopIfTrue="1" operator="equal">
      <formula>"Napkin Hs"</formula>
    </cfRule>
  </conditionalFormatting>
  <conditionalFormatting sqref="C28">
    <cfRule type="cellIs" dxfId="9746" priority="7967" stopIfTrue="1" operator="equal">
      <formula>"Towel"</formula>
    </cfRule>
  </conditionalFormatting>
  <conditionalFormatting sqref="B28:C28">
    <cfRule type="cellIs" dxfId="9745" priority="7963" stopIfTrue="1" operator="equal">
      <formula>"Towel"</formula>
    </cfRule>
    <cfRule type="cellIs" dxfId="9744" priority="7964" stopIfTrue="1" operator="equal">
      <formula>"Napkin Hs"</formula>
    </cfRule>
  </conditionalFormatting>
  <conditionalFormatting sqref="C28">
    <cfRule type="cellIs" dxfId="9743" priority="7962" stopIfTrue="1" operator="equal">
      <formula>"Napkin Hs"</formula>
    </cfRule>
  </conditionalFormatting>
  <conditionalFormatting sqref="C28">
    <cfRule type="cellIs" dxfId="9742" priority="7959" stopIfTrue="1" operator="equal">
      <formula>"Towel"</formula>
    </cfRule>
    <cfRule type="cellIs" dxfId="9741" priority="7960" stopIfTrue="1" operator="equal">
      <formula>"Napkin Hs"</formula>
    </cfRule>
  </conditionalFormatting>
  <conditionalFormatting sqref="C28">
    <cfRule type="cellIs" dxfId="9740" priority="7961" stopIfTrue="1" operator="equal">
      <formula>"Towel"</formula>
    </cfRule>
  </conditionalFormatting>
  <conditionalFormatting sqref="B28:C28">
    <cfRule type="cellIs" dxfId="9739" priority="7957" stopIfTrue="1" operator="equal">
      <formula>"Towel"</formula>
    </cfRule>
    <cfRule type="cellIs" dxfId="9738" priority="7958" stopIfTrue="1" operator="equal">
      <formula>"Napkin Hs"</formula>
    </cfRule>
  </conditionalFormatting>
  <conditionalFormatting sqref="C28">
    <cfRule type="cellIs" dxfId="9737" priority="7956" stopIfTrue="1" operator="equal">
      <formula>"Napkin Hs"</formula>
    </cfRule>
  </conditionalFormatting>
  <conditionalFormatting sqref="C28">
    <cfRule type="cellIs" dxfId="9736" priority="7953" stopIfTrue="1" operator="equal">
      <formula>"Towel"</formula>
    </cfRule>
    <cfRule type="cellIs" dxfId="9735" priority="7954" stopIfTrue="1" operator="equal">
      <formula>"Napkin Hs"</formula>
    </cfRule>
  </conditionalFormatting>
  <conditionalFormatting sqref="C28">
    <cfRule type="cellIs" dxfId="9734" priority="7955" stopIfTrue="1" operator="equal">
      <formula>"Towel"</formula>
    </cfRule>
  </conditionalFormatting>
  <conditionalFormatting sqref="B28:C28">
    <cfRule type="cellIs" dxfId="9733" priority="7951" stopIfTrue="1" operator="equal">
      <formula>"Towel"</formula>
    </cfRule>
    <cfRule type="cellIs" dxfId="9732" priority="7952" stopIfTrue="1" operator="equal">
      <formula>"Napkin Hs"</formula>
    </cfRule>
  </conditionalFormatting>
  <conditionalFormatting sqref="C28">
    <cfRule type="cellIs" dxfId="9731" priority="7950" stopIfTrue="1" operator="equal">
      <formula>"Napkin Hs"</formula>
    </cfRule>
  </conditionalFormatting>
  <conditionalFormatting sqref="C28">
    <cfRule type="cellIs" dxfId="9730" priority="7947" stopIfTrue="1" operator="equal">
      <formula>"Towel"</formula>
    </cfRule>
    <cfRule type="cellIs" dxfId="9729" priority="7948" stopIfTrue="1" operator="equal">
      <formula>"Napkin Hs"</formula>
    </cfRule>
  </conditionalFormatting>
  <conditionalFormatting sqref="C28">
    <cfRule type="cellIs" dxfId="9728" priority="7949" stopIfTrue="1" operator="equal">
      <formula>"Towel"</formula>
    </cfRule>
  </conditionalFormatting>
  <conditionalFormatting sqref="B28:C28">
    <cfRule type="cellIs" dxfId="9727" priority="7945" stopIfTrue="1" operator="equal">
      <formula>"Towel"</formula>
    </cfRule>
    <cfRule type="cellIs" dxfId="9726" priority="7946" stopIfTrue="1" operator="equal">
      <formula>"Napkin Hs"</formula>
    </cfRule>
  </conditionalFormatting>
  <conditionalFormatting sqref="C28">
    <cfRule type="cellIs" dxfId="9725" priority="7944" stopIfTrue="1" operator="equal">
      <formula>"Napkin Hs"</formula>
    </cfRule>
  </conditionalFormatting>
  <conditionalFormatting sqref="C28">
    <cfRule type="cellIs" dxfId="9724" priority="7941" stopIfTrue="1" operator="equal">
      <formula>"Towel"</formula>
    </cfRule>
    <cfRule type="cellIs" dxfId="9723" priority="7942" stopIfTrue="1" operator="equal">
      <formula>"Napkin Hs"</formula>
    </cfRule>
  </conditionalFormatting>
  <conditionalFormatting sqref="C28">
    <cfRule type="cellIs" dxfId="9722" priority="7943" stopIfTrue="1" operator="equal">
      <formula>"Towel"</formula>
    </cfRule>
  </conditionalFormatting>
  <conditionalFormatting sqref="B28:C28">
    <cfRule type="cellIs" dxfId="9721" priority="7939" stopIfTrue="1" operator="equal">
      <formula>"Towel"</formula>
    </cfRule>
    <cfRule type="cellIs" dxfId="9720" priority="7940" stopIfTrue="1" operator="equal">
      <formula>"Napkin Hs"</formula>
    </cfRule>
  </conditionalFormatting>
  <conditionalFormatting sqref="C28">
    <cfRule type="cellIs" dxfId="9719" priority="7938" stopIfTrue="1" operator="equal">
      <formula>"Napkin Hs"</formula>
    </cfRule>
  </conditionalFormatting>
  <conditionalFormatting sqref="C28">
    <cfRule type="cellIs" dxfId="9718" priority="7935" stopIfTrue="1" operator="equal">
      <formula>"Towel"</formula>
    </cfRule>
    <cfRule type="cellIs" dxfId="9717" priority="7936" stopIfTrue="1" operator="equal">
      <formula>"Napkin Hs"</formula>
    </cfRule>
  </conditionalFormatting>
  <conditionalFormatting sqref="C28">
    <cfRule type="cellIs" dxfId="9716" priority="7937" stopIfTrue="1" operator="equal">
      <formula>"Towel"</formula>
    </cfRule>
  </conditionalFormatting>
  <conditionalFormatting sqref="B28:C28">
    <cfRule type="cellIs" dxfId="9715" priority="7933" stopIfTrue="1" operator="equal">
      <formula>"Towel"</formula>
    </cfRule>
    <cfRule type="cellIs" dxfId="9714" priority="7934" stopIfTrue="1" operator="equal">
      <formula>"Napkin Hs"</formula>
    </cfRule>
  </conditionalFormatting>
  <conditionalFormatting sqref="C28">
    <cfRule type="cellIs" dxfId="9713" priority="7932" stopIfTrue="1" operator="equal">
      <formula>"Napkin Hs"</formula>
    </cfRule>
  </conditionalFormatting>
  <conditionalFormatting sqref="C28">
    <cfRule type="cellIs" dxfId="9712" priority="7929" stopIfTrue="1" operator="equal">
      <formula>"Towel"</formula>
    </cfRule>
    <cfRule type="cellIs" dxfId="9711" priority="7930" stopIfTrue="1" operator="equal">
      <formula>"Napkin Hs"</formula>
    </cfRule>
  </conditionalFormatting>
  <conditionalFormatting sqref="C28">
    <cfRule type="cellIs" dxfId="9710" priority="7931" stopIfTrue="1" operator="equal">
      <formula>"Towel"</formula>
    </cfRule>
  </conditionalFormatting>
  <conditionalFormatting sqref="B28:C28">
    <cfRule type="cellIs" dxfId="9709" priority="7927" stopIfTrue="1" operator="equal">
      <formula>"Towel"</formula>
    </cfRule>
    <cfRule type="cellIs" dxfId="9708" priority="7928" stopIfTrue="1" operator="equal">
      <formula>"Napkin Hs"</formula>
    </cfRule>
  </conditionalFormatting>
  <conditionalFormatting sqref="C28">
    <cfRule type="cellIs" dxfId="9707" priority="7926" stopIfTrue="1" operator="equal">
      <formula>"Napkin Hs"</formula>
    </cfRule>
  </conditionalFormatting>
  <conditionalFormatting sqref="C28">
    <cfRule type="cellIs" dxfId="9706" priority="7923" stopIfTrue="1" operator="equal">
      <formula>"Towel"</formula>
    </cfRule>
    <cfRule type="cellIs" dxfId="9705" priority="7924" stopIfTrue="1" operator="equal">
      <formula>"Napkin Hs"</formula>
    </cfRule>
  </conditionalFormatting>
  <conditionalFormatting sqref="C28">
    <cfRule type="cellIs" dxfId="9704" priority="7925" stopIfTrue="1" operator="equal">
      <formula>"Towel"</formula>
    </cfRule>
  </conditionalFormatting>
  <conditionalFormatting sqref="B28:C28">
    <cfRule type="cellIs" dxfId="9703" priority="7921" stopIfTrue="1" operator="equal">
      <formula>"Towel"</formula>
    </cfRule>
    <cfRule type="cellIs" dxfId="9702" priority="7922" stopIfTrue="1" operator="equal">
      <formula>"Napkin Hs"</formula>
    </cfRule>
  </conditionalFormatting>
  <conditionalFormatting sqref="C28">
    <cfRule type="cellIs" dxfId="9701" priority="7920" stopIfTrue="1" operator="equal">
      <formula>"Napkin Hs"</formula>
    </cfRule>
  </conditionalFormatting>
  <conditionalFormatting sqref="C28">
    <cfRule type="cellIs" dxfId="9700" priority="7917" stopIfTrue="1" operator="equal">
      <formula>"Towel"</formula>
    </cfRule>
    <cfRule type="cellIs" dxfId="9699" priority="7918" stopIfTrue="1" operator="equal">
      <formula>"Napkin Hs"</formula>
    </cfRule>
  </conditionalFormatting>
  <conditionalFormatting sqref="C28">
    <cfRule type="cellIs" dxfId="9698" priority="7919" stopIfTrue="1" operator="equal">
      <formula>"Towel"</formula>
    </cfRule>
  </conditionalFormatting>
  <conditionalFormatting sqref="B28:C28">
    <cfRule type="cellIs" dxfId="9697" priority="7915" stopIfTrue="1" operator="equal">
      <formula>"Towel"</formula>
    </cfRule>
    <cfRule type="cellIs" dxfId="9696" priority="7916" stopIfTrue="1" operator="equal">
      <formula>"Napkin Hs"</formula>
    </cfRule>
  </conditionalFormatting>
  <conditionalFormatting sqref="C28">
    <cfRule type="cellIs" dxfId="9695" priority="7914" stopIfTrue="1" operator="equal">
      <formula>"Napkin Hs"</formula>
    </cfRule>
  </conditionalFormatting>
  <conditionalFormatting sqref="C28">
    <cfRule type="cellIs" dxfId="9694" priority="7913" stopIfTrue="1" operator="equal">
      <formula>"Towel"</formula>
    </cfRule>
  </conditionalFormatting>
  <conditionalFormatting sqref="C28">
    <cfRule type="cellIs" dxfId="9693" priority="7911" stopIfTrue="1" operator="equal">
      <formula>"Towel"</formula>
    </cfRule>
    <cfRule type="cellIs" dxfId="9692" priority="7912" stopIfTrue="1" operator="equal">
      <formula>"Napkin Hs"</formula>
    </cfRule>
  </conditionalFormatting>
  <conditionalFormatting sqref="B28:C28">
    <cfRule type="cellIs" dxfId="9691" priority="7909" stopIfTrue="1" operator="equal">
      <formula>"Towel"</formula>
    </cfRule>
    <cfRule type="cellIs" dxfId="9690" priority="7910" stopIfTrue="1" operator="equal">
      <formula>"Napkin Hs"</formula>
    </cfRule>
  </conditionalFormatting>
  <conditionalFormatting sqref="C28">
    <cfRule type="cellIs" dxfId="9689" priority="7908" stopIfTrue="1" operator="equal">
      <formula>"Napkin Hs"</formula>
    </cfRule>
  </conditionalFormatting>
  <conditionalFormatting sqref="C28">
    <cfRule type="cellIs" dxfId="9688" priority="7905" stopIfTrue="1" operator="equal">
      <formula>"Towel"</formula>
    </cfRule>
    <cfRule type="cellIs" dxfId="9687" priority="7906" stopIfTrue="1" operator="equal">
      <formula>"Napkin Hs"</formula>
    </cfRule>
  </conditionalFormatting>
  <conditionalFormatting sqref="C28">
    <cfRule type="cellIs" dxfId="9686" priority="7907" stopIfTrue="1" operator="equal">
      <formula>"Towel"</formula>
    </cfRule>
  </conditionalFormatting>
  <conditionalFormatting sqref="B28:C28">
    <cfRule type="cellIs" dxfId="9685" priority="7903" stopIfTrue="1" operator="equal">
      <formula>"Towel"</formula>
    </cfRule>
    <cfRule type="cellIs" dxfId="9684" priority="7904" stopIfTrue="1" operator="equal">
      <formula>"Napkin Hs"</formula>
    </cfRule>
  </conditionalFormatting>
  <conditionalFormatting sqref="C28">
    <cfRule type="cellIs" dxfId="9683" priority="7902" stopIfTrue="1" operator="equal">
      <formula>"Napkin Hs"</formula>
    </cfRule>
  </conditionalFormatting>
  <conditionalFormatting sqref="C28">
    <cfRule type="cellIs" dxfId="9682" priority="7899" stopIfTrue="1" operator="equal">
      <formula>"Towel"</formula>
    </cfRule>
    <cfRule type="cellIs" dxfId="9681" priority="7900" stopIfTrue="1" operator="equal">
      <formula>"Napkin Hs"</formula>
    </cfRule>
  </conditionalFormatting>
  <conditionalFormatting sqref="C28">
    <cfRule type="cellIs" dxfId="9680" priority="7901" stopIfTrue="1" operator="equal">
      <formula>"Towel"</formula>
    </cfRule>
  </conditionalFormatting>
  <conditionalFormatting sqref="B28:C28">
    <cfRule type="cellIs" dxfId="9679" priority="7897" stopIfTrue="1" operator="equal">
      <formula>"Towel"</formula>
    </cfRule>
    <cfRule type="cellIs" dxfId="9678" priority="7898" stopIfTrue="1" operator="equal">
      <formula>"Napkin Hs"</formula>
    </cfRule>
  </conditionalFormatting>
  <conditionalFormatting sqref="C28">
    <cfRule type="cellIs" dxfId="9677" priority="7896" stopIfTrue="1" operator="equal">
      <formula>"Napkin Hs"</formula>
    </cfRule>
  </conditionalFormatting>
  <conditionalFormatting sqref="C28">
    <cfRule type="cellIs" dxfId="9676" priority="7893" stopIfTrue="1" operator="equal">
      <formula>"Towel"</formula>
    </cfRule>
    <cfRule type="cellIs" dxfId="9675" priority="7894" stopIfTrue="1" operator="equal">
      <formula>"Napkin Hs"</formula>
    </cfRule>
  </conditionalFormatting>
  <conditionalFormatting sqref="C28">
    <cfRule type="cellIs" dxfId="9674" priority="7895" stopIfTrue="1" operator="equal">
      <formula>"Towel"</formula>
    </cfRule>
  </conditionalFormatting>
  <conditionalFormatting sqref="B28:C28">
    <cfRule type="cellIs" dxfId="9673" priority="7891" stopIfTrue="1" operator="equal">
      <formula>"Towel"</formula>
    </cfRule>
    <cfRule type="cellIs" dxfId="9672" priority="7892" stopIfTrue="1" operator="equal">
      <formula>"Napkin Hs"</formula>
    </cfRule>
  </conditionalFormatting>
  <conditionalFormatting sqref="C28">
    <cfRule type="cellIs" dxfId="9671" priority="7890" stopIfTrue="1" operator="equal">
      <formula>"Napkin Hs"</formula>
    </cfRule>
  </conditionalFormatting>
  <conditionalFormatting sqref="C28">
    <cfRule type="cellIs" dxfId="9670" priority="7887" stopIfTrue="1" operator="equal">
      <formula>"Towel"</formula>
    </cfRule>
    <cfRule type="cellIs" dxfId="9669" priority="7888" stopIfTrue="1" operator="equal">
      <formula>"Napkin Hs"</formula>
    </cfRule>
  </conditionalFormatting>
  <conditionalFormatting sqref="C28">
    <cfRule type="cellIs" dxfId="9668" priority="7889" stopIfTrue="1" operator="equal">
      <formula>"Towel"</formula>
    </cfRule>
  </conditionalFormatting>
  <conditionalFormatting sqref="B28:C28">
    <cfRule type="cellIs" dxfId="9667" priority="7885" stopIfTrue="1" operator="equal">
      <formula>"Towel"</formula>
    </cfRule>
    <cfRule type="cellIs" dxfId="9666" priority="7886" stopIfTrue="1" operator="equal">
      <formula>"Napkin Hs"</formula>
    </cfRule>
  </conditionalFormatting>
  <conditionalFormatting sqref="C28">
    <cfRule type="cellIs" dxfId="9665" priority="7884" stopIfTrue="1" operator="equal">
      <formula>"Napkin Hs"</formula>
    </cfRule>
  </conditionalFormatting>
  <conditionalFormatting sqref="C28">
    <cfRule type="cellIs" dxfId="9664" priority="7881" stopIfTrue="1" operator="equal">
      <formula>"Towel"</formula>
    </cfRule>
    <cfRule type="cellIs" dxfId="9663" priority="7882" stopIfTrue="1" operator="equal">
      <formula>"Napkin Hs"</formula>
    </cfRule>
  </conditionalFormatting>
  <conditionalFormatting sqref="C28">
    <cfRule type="cellIs" dxfId="9662" priority="7883" stopIfTrue="1" operator="equal">
      <formula>"Towel"</formula>
    </cfRule>
  </conditionalFormatting>
  <conditionalFormatting sqref="B28:C28">
    <cfRule type="cellIs" dxfId="9661" priority="7879" stopIfTrue="1" operator="equal">
      <formula>"Towel"</formula>
    </cfRule>
    <cfRule type="cellIs" dxfId="9660" priority="7880" stopIfTrue="1" operator="equal">
      <formula>"Napkin Hs"</formula>
    </cfRule>
  </conditionalFormatting>
  <conditionalFormatting sqref="C28">
    <cfRule type="cellIs" dxfId="9659" priority="7878" stopIfTrue="1" operator="equal">
      <formula>"Napkin Hs"</formula>
    </cfRule>
  </conditionalFormatting>
  <conditionalFormatting sqref="C28">
    <cfRule type="cellIs" dxfId="9658" priority="7875" stopIfTrue="1" operator="equal">
      <formula>"Towel"</formula>
    </cfRule>
    <cfRule type="cellIs" dxfId="9657" priority="7876" stopIfTrue="1" operator="equal">
      <formula>"Napkin Hs"</formula>
    </cfRule>
  </conditionalFormatting>
  <conditionalFormatting sqref="C28">
    <cfRule type="cellIs" dxfId="9656" priority="7877" stopIfTrue="1" operator="equal">
      <formula>"Towel"</formula>
    </cfRule>
  </conditionalFormatting>
  <conditionalFormatting sqref="B28:C28">
    <cfRule type="cellIs" dxfId="9655" priority="7873" stopIfTrue="1" operator="equal">
      <formula>"Towel"</formula>
    </cfRule>
    <cfRule type="cellIs" dxfId="9654" priority="7874" stopIfTrue="1" operator="equal">
      <formula>"Napkin Hs"</formula>
    </cfRule>
  </conditionalFormatting>
  <conditionalFormatting sqref="C28">
    <cfRule type="cellIs" dxfId="9653" priority="7872" stopIfTrue="1" operator="equal">
      <formula>"Napkin Hs"</formula>
    </cfRule>
  </conditionalFormatting>
  <conditionalFormatting sqref="C28">
    <cfRule type="cellIs" dxfId="9652" priority="7869" stopIfTrue="1" operator="equal">
      <formula>"Towel"</formula>
    </cfRule>
    <cfRule type="cellIs" dxfId="9651" priority="7870" stopIfTrue="1" operator="equal">
      <formula>"Napkin Hs"</formula>
    </cfRule>
  </conditionalFormatting>
  <conditionalFormatting sqref="C28">
    <cfRule type="cellIs" dxfId="9650" priority="7871" stopIfTrue="1" operator="equal">
      <formula>"Towel"</formula>
    </cfRule>
  </conditionalFormatting>
  <conditionalFormatting sqref="B28:C28">
    <cfRule type="cellIs" dxfId="9649" priority="7867" stopIfTrue="1" operator="equal">
      <formula>"Towel"</formula>
    </cfRule>
    <cfRule type="cellIs" dxfId="9648" priority="7868" stopIfTrue="1" operator="equal">
      <formula>"Napkin Hs"</formula>
    </cfRule>
  </conditionalFormatting>
  <conditionalFormatting sqref="C28">
    <cfRule type="cellIs" dxfId="9647" priority="7866" stopIfTrue="1" operator="equal">
      <formula>"Napkin Hs"</formula>
    </cfRule>
  </conditionalFormatting>
  <conditionalFormatting sqref="C28">
    <cfRule type="cellIs" dxfId="9646" priority="7863" stopIfTrue="1" operator="equal">
      <formula>"Towel"</formula>
    </cfRule>
    <cfRule type="cellIs" dxfId="9645" priority="7864" stopIfTrue="1" operator="equal">
      <formula>"Napkin Hs"</formula>
    </cfRule>
  </conditionalFormatting>
  <conditionalFormatting sqref="C28">
    <cfRule type="cellIs" dxfId="9644" priority="7865" stopIfTrue="1" operator="equal">
      <formula>"Towel"</formula>
    </cfRule>
  </conditionalFormatting>
  <conditionalFormatting sqref="B28:C28">
    <cfRule type="cellIs" dxfId="9643" priority="7861" stopIfTrue="1" operator="equal">
      <formula>"Towel"</formula>
    </cfRule>
    <cfRule type="cellIs" dxfId="9642" priority="7862" stopIfTrue="1" operator="equal">
      <formula>"Napkin Hs"</formula>
    </cfRule>
  </conditionalFormatting>
  <conditionalFormatting sqref="C28">
    <cfRule type="cellIs" dxfId="9641" priority="7860" stopIfTrue="1" operator="equal">
      <formula>"Napkin Hs"</formula>
    </cfRule>
  </conditionalFormatting>
  <conditionalFormatting sqref="C28">
    <cfRule type="cellIs" dxfId="9640" priority="7857" stopIfTrue="1" operator="equal">
      <formula>"Towel"</formula>
    </cfRule>
    <cfRule type="cellIs" dxfId="9639" priority="7858" stopIfTrue="1" operator="equal">
      <formula>"Napkin Hs"</formula>
    </cfRule>
  </conditionalFormatting>
  <conditionalFormatting sqref="C28">
    <cfRule type="cellIs" dxfId="9638" priority="7859" stopIfTrue="1" operator="equal">
      <formula>"Towel"</formula>
    </cfRule>
  </conditionalFormatting>
  <conditionalFormatting sqref="B35:C35">
    <cfRule type="cellIs" dxfId="9637" priority="7855" stopIfTrue="1" operator="equal">
      <formula>"Towel"</formula>
    </cfRule>
    <cfRule type="cellIs" dxfId="9636" priority="7856" stopIfTrue="1" operator="equal">
      <formula>"Napkin Hs"</formula>
    </cfRule>
  </conditionalFormatting>
  <conditionalFormatting sqref="C35">
    <cfRule type="cellIs" dxfId="9635" priority="7854" stopIfTrue="1" operator="equal">
      <formula>"Napkin Hs"</formula>
    </cfRule>
  </conditionalFormatting>
  <conditionalFormatting sqref="C35">
    <cfRule type="cellIs" dxfId="9634" priority="7851" stopIfTrue="1" operator="equal">
      <formula>"Towel"</formula>
    </cfRule>
    <cfRule type="cellIs" dxfId="9633" priority="7852" stopIfTrue="1" operator="equal">
      <formula>"Napkin Hs"</formula>
    </cfRule>
  </conditionalFormatting>
  <conditionalFormatting sqref="C35">
    <cfRule type="cellIs" dxfId="9632" priority="7853" stopIfTrue="1" operator="equal">
      <formula>"Towel"</formula>
    </cfRule>
  </conditionalFormatting>
  <conditionalFormatting sqref="B34:C34">
    <cfRule type="cellIs" dxfId="9631" priority="7849" stopIfTrue="1" operator="equal">
      <formula>"Towel"</formula>
    </cfRule>
    <cfRule type="cellIs" dxfId="9630" priority="7850" stopIfTrue="1" operator="equal">
      <formula>"Napkin Hs"</formula>
    </cfRule>
  </conditionalFormatting>
  <conditionalFormatting sqref="C34">
    <cfRule type="cellIs" dxfId="9629" priority="7848" stopIfTrue="1" operator="equal">
      <formula>"Napkin Hs"</formula>
    </cfRule>
  </conditionalFormatting>
  <conditionalFormatting sqref="C34">
    <cfRule type="cellIs" dxfId="9628" priority="7845" stopIfTrue="1" operator="equal">
      <formula>"Towel"</formula>
    </cfRule>
    <cfRule type="cellIs" dxfId="9627" priority="7846" stopIfTrue="1" operator="equal">
      <formula>"Napkin Hs"</formula>
    </cfRule>
  </conditionalFormatting>
  <conditionalFormatting sqref="C34">
    <cfRule type="cellIs" dxfId="9626" priority="7847" stopIfTrue="1" operator="equal">
      <formula>"Towel"</formula>
    </cfRule>
  </conditionalFormatting>
  <conditionalFormatting sqref="B33:C33">
    <cfRule type="cellIs" dxfId="9625" priority="7843" stopIfTrue="1" operator="equal">
      <formula>"Towel"</formula>
    </cfRule>
    <cfRule type="cellIs" dxfId="9624" priority="7844" stopIfTrue="1" operator="equal">
      <formula>"Napkin Hs"</formula>
    </cfRule>
  </conditionalFormatting>
  <conditionalFormatting sqref="C33">
    <cfRule type="cellIs" dxfId="9623" priority="7842" stopIfTrue="1" operator="equal">
      <formula>"Napkin Hs"</formula>
    </cfRule>
  </conditionalFormatting>
  <conditionalFormatting sqref="C33">
    <cfRule type="cellIs" dxfId="9622" priority="7839" stopIfTrue="1" operator="equal">
      <formula>"Towel"</formula>
    </cfRule>
    <cfRule type="cellIs" dxfId="9621" priority="7840" stopIfTrue="1" operator="equal">
      <formula>"Napkin Hs"</formula>
    </cfRule>
  </conditionalFormatting>
  <conditionalFormatting sqref="C33">
    <cfRule type="cellIs" dxfId="9620" priority="7841" stopIfTrue="1" operator="equal">
      <formula>"Towel"</formula>
    </cfRule>
  </conditionalFormatting>
  <conditionalFormatting sqref="B32:C32">
    <cfRule type="cellIs" dxfId="9619" priority="7837" stopIfTrue="1" operator="equal">
      <formula>"Towel"</formula>
    </cfRule>
    <cfRule type="cellIs" dxfId="9618" priority="7838" stopIfTrue="1" operator="equal">
      <formula>"Napkin Hs"</formula>
    </cfRule>
  </conditionalFormatting>
  <conditionalFormatting sqref="C32">
    <cfRule type="cellIs" dxfId="9617" priority="7836" stopIfTrue="1" operator="equal">
      <formula>"Napkin Hs"</formula>
    </cfRule>
  </conditionalFormatting>
  <conditionalFormatting sqref="C32">
    <cfRule type="cellIs" dxfId="9616" priority="7833" stopIfTrue="1" operator="equal">
      <formula>"Towel"</formula>
    </cfRule>
    <cfRule type="cellIs" dxfId="9615" priority="7834" stopIfTrue="1" operator="equal">
      <formula>"Napkin Hs"</formula>
    </cfRule>
  </conditionalFormatting>
  <conditionalFormatting sqref="C32">
    <cfRule type="cellIs" dxfId="9614" priority="7835" stopIfTrue="1" operator="equal">
      <formula>"Towel"</formula>
    </cfRule>
  </conditionalFormatting>
  <conditionalFormatting sqref="B32:C32">
    <cfRule type="cellIs" dxfId="9613" priority="7831" stopIfTrue="1" operator="equal">
      <formula>"Towel"</formula>
    </cfRule>
    <cfRule type="cellIs" dxfId="9612" priority="7832" stopIfTrue="1" operator="equal">
      <formula>"Napkin Hs"</formula>
    </cfRule>
  </conditionalFormatting>
  <conditionalFormatting sqref="C32">
    <cfRule type="cellIs" dxfId="9611" priority="7829" stopIfTrue="1" operator="equal">
      <formula>"Towel"</formula>
    </cfRule>
    <cfRule type="cellIs" dxfId="9610" priority="7830" stopIfTrue="1" operator="equal">
      <formula>"Napkin Hs"</formula>
    </cfRule>
  </conditionalFormatting>
  <conditionalFormatting sqref="C32">
    <cfRule type="cellIs" dxfId="9609" priority="7827" stopIfTrue="1" operator="equal">
      <formula>"Towel"</formula>
    </cfRule>
    <cfRule type="cellIs" dxfId="9608" priority="7828" stopIfTrue="1" operator="equal">
      <formula>"Napkin Hs"</formula>
    </cfRule>
  </conditionalFormatting>
  <conditionalFormatting sqref="B33:C35">
    <cfRule type="cellIs" dxfId="9607" priority="7825" stopIfTrue="1" operator="equal">
      <formula>"Towel"</formula>
    </cfRule>
    <cfRule type="cellIs" dxfId="9606" priority="7826" stopIfTrue="1" operator="equal">
      <formula>"Napkin Hs"</formula>
    </cfRule>
  </conditionalFormatting>
  <conditionalFormatting sqref="C33:C35">
    <cfRule type="cellIs" dxfId="9605" priority="7824" stopIfTrue="1" operator="equal">
      <formula>"Napkin Hs"</formula>
    </cfRule>
  </conditionalFormatting>
  <conditionalFormatting sqref="C33:C35">
    <cfRule type="cellIs" dxfId="9604" priority="7821" stopIfTrue="1" operator="equal">
      <formula>"Towel"</formula>
    </cfRule>
    <cfRule type="cellIs" dxfId="9603" priority="7822" stopIfTrue="1" operator="equal">
      <formula>"Napkin Hs"</formula>
    </cfRule>
  </conditionalFormatting>
  <conditionalFormatting sqref="C33:C35">
    <cfRule type="cellIs" dxfId="9602" priority="7823" stopIfTrue="1" operator="equal">
      <formula>"Towel"</formula>
    </cfRule>
  </conditionalFormatting>
  <conditionalFormatting sqref="B34:C34">
    <cfRule type="cellIs" dxfId="9601" priority="7819" stopIfTrue="1" operator="equal">
      <formula>"Towel"</formula>
    </cfRule>
    <cfRule type="cellIs" dxfId="9600" priority="7820" stopIfTrue="1" operator="equal">
      <formula>"Napkin Hs"</formula>
    </cfRule>
  </conditionalFormatting>
  <conditionalFormatting sqref="C34">
    <cfRule type="cellIs" dxfId="9599" priority="7818" stopIfTrue="1" operator="equal">
      <formula>"Napkin Hs"</formula>
    </cfRule>
  </conditionalFormatting>
  <conditionalFormatting sqref="C34">
    <cfRule type="cellIs" dxfId="9598" priority="7817" stopIfTrue="1" operator="equal">
      <formula>"Towel"</formula>
    </cfRule>
  </conditionalFormatting>
  <conditionalFormatting sqref="C34">
    <cfRule type="cellIs" dxfId="9597" priority="7815" stopIfTrue="1" operator="equal">
      <formula>"Towel"</formula>
    </cfRule>
    <cfRule type="cellIs" dxfId="9596" priority="7816" stopIfTrue="1" operator="equal">
      <formula>"Napkin Hs"</formula>
    </cfRule>
  </conditionalFormatting>
  <conditionalFormatting sqref="B35:C35">
    <cfRule type="cellIs" dxfId="9595" priority="7813" stopIfTrue="1" operator="equal">
      <formula>"Towel"</formula>
    </cfRule>
    <cfRule type="cellIs" dxfId="9594" priority="7814" stopIfTrue="1" operator="equal">
      <formula>"Napkin Hs"</formula>
    </cfRule>
  </conditionalFormatting>
  <conditionalFormatting sqref="C35">
    <cfRule type="cellIs" dxfId="9593" priority="7812" stopIfTrue="1" operator="equal">
      <formula>"Napkin Hs"</formula>
    </cfRule>
  </conditionalFormatting>
  <conditionalFormatting sqref="C35">
    <cfRule type="cellIs" dxfId="9592" priority="7809" stopIfTrue="1" operator="equal">
      <formula>"Towel"</formula>
    </cfRule>
    <cfRule type="cellIs" dxfId="9591" priority="7810" stopIfTrue="1" operator="equal">
      <formula>"Napkin Hs"</formula>
    </cfRule>
  </conditionalFormatting>
  <conditionalFormatting sqref="C35">
    <cfRule type="cellIs" dxfId="9590" priority="7811" stopIfTrue="1" operator="equal">
      <formula>"Towel"</formula>
    </cfRule>
  </conditionalFormatting>
  <conditionalFormatting sqref="B33:C33">
    <cfRule type="cellIs" dxfId="9589" priority="7807" stopIfTrue="1" operator="equal">
      <formula>"Towel"</formula>
    </cfRule>
    <cfRule type="cellIs" dxfId="9588" priority="7808" stopIfTrue="1" operator="equal">
      <formula>"Napkin Hs"</formula>
    </cfRule>
  </conditionalFormatting>
  <conditionalFormatting sqref="C33">
    <cfRule type="cellIs" dxfId="9587" priority="7806" stopIfTrue="1" operator="equal">
      <formula>"Napkin Hs"</formula>
    </cfRule>
  </conditionalFormatting>
  <conditionalFormatting sqref="C33">
    <cfRule type="cellIs" dxfId="9586" priority="7803" stopIfTrue="1" operator="equal">
      <formula>"Towel"</formula>
    </cfRule>
    <cfRule type="cellIs" dxfId="9585" priority="7804" stopIfTrue="1" operator="equal">
      <formula>"Napkin Hs"</formula>
    </cfRule>
  </conditionalFormatting>
  <conditionalFormatting sqref="C33">
    <cfRule type="cellIs" dxfId="9584" priority="7805" stopIfTrue="1" operator="equal">
      <formula>"Towel"</formula>
    </cfRule>
  </conditionalFormatting>
  <conditionalFormatting sqref="C35">
    <cfRule type="cellIs" dxfId="9583" priority="7801" stopIfTrue="1" operator="equal">
      <formula>"Towel"</formula>
    </cfRule>
    <cfRule type="cellIs" dxfId="9582" priority="7802" stopIfTrue="1" operator="equal">
      <formula>"Napkin Hs"</formula>
    </cfRule>
  </conditionalFormatting>
  <conditionalFormatting sqref="C35">
    <cfRule type="cellIs" dxfId="9581" priority="7799" stopIfTrue="1" operator="equal">
      <formula>"Towel"</formula>
    </cfRule>
    <cfRule type="cellIs" dxfId="9580" priority="7800" stopIfTrue="1" operator="equal">
      <formula>"Napkin Hs"</formula>
    </cfRule>
  </conditionalFormatting>
  <conditionalFormatting sqref="C35">
    <cfRule type="cellIs" dxfId="9579" priority="7797" stopIfTrue="1" operator="equal">
      <formula>"Towel"</formula>
    </cfRule>
    <cfRule type="cellIs" dxfId="9578" priority="7798" stopIfTrue="1" operator="equal">
      <formula>"Napkin Hs"</formula>
    </cfRule>
  </conditionalFormatting>
  <conditionalFormatting sqref="B33:C34 B35">
    <cfRule type="cellIs" dxfId="9577" priority="7795" stopIfTrue="1" operator="equal">
      <formula>"Towel"</formula>
    </cfRule>
    <cfRule type="cellIs" dxfId="9576" priority="7796" stopIfTrue="1" operator="equal">
      <formula>"Napkin Hs"</formula>
    </cfRule>
  </conditionalFormatting>
  <conditionalFormatting sqref="C33:C34">
    <cfRule type="cellIs" dxfId="9575" priority="7794" stopIfTrue="1" operator="equal">
      <formula>"Napkin Hs"</formula>
    </cfRule>
  </conditionalFormatting>
  <conditionalFormatting sqref="C33:C34">
    <cfRule type="cellIs" dxfId="9574" priority="7793" stopIfTrue="1" operator="equal">
      <formula>"Towel"</formula>
    </cfRule>
  </conditionalFormatting>
  <conditionalFormatting sqref="C33:C34">
    <cfRule type="cellIs" dxfId="9573" priority="7791" stopIfTrue="1" operator="equal">
      <formula>"Towel"</formula>
    </cfRule>
    <cfRule type="cellIs" dxfId="9572" priority="7792" stopIfTrue="1" operator="equal">
      <formula>"Napkin Hs"</formula>
    </cfRule>
  </conditionalFormatting>
  <conditionalFormatting sqref="B33:C34 B35">
    <cfRule type="cellIs" dxfId="9571" priority="7789" stopIfTrue="1" operator="equal">
      <formula>"Towel"</formula>
    </cfRule>
    <cfRule type="cellIs" dxfId="9570" priority="7790" stopIfTrue="1" operator="equal">
      <formula>"Napkin Hs"</formula>
    </cfRule>
  </conditionalFormatting>
  <conditionalFormatting sqref="C33:C34">
    <cfRule type="cellIs" dxfId="9569" priority="7788" stopIfTrue="1" operator="equal">
      <formula>"Napkin Hs"</formula>
    </cfRule>
  </conditionalFormatting>
  <conditionalFormatting sqref="C33:C34">
    <cfRule type="cellIs" dxfId="9568" priority="7785" stopIfTrue="1" operator="equal">
      <formula>"Towel"</formula>
    </cfRule>
    <cfRule type="cellIs" dxfId="9567" priority="7786" stopIfTrue="1" operator="equal">
      <formula>"Napkin Hs"</formula>
    </cfRule>
  </conditionalFormatting>
  <conditionalFormatting sqref="C33:C34">
    <cfRule type="cellIs" dxfId="9566" priority="7787" stopIfTrue="1" operator="equal">
      <formula>"Towel"</formula>
    </cfRule>
  </conditionalFormatting>
  <conditionalFormatting sqref="B33:C34 B35">
    <cfRule type="cellIs" dxfId="9565" priority="7783" stopIfTrue="1" operator="equal">
      <formula>"Towel"</formula>
    </cfRule>
    <cfRule type="cellIs" dxfId="9564" priority="7784" stopIfTrue="1" operator="equal">
      <formula>"Napkin Hs"</formula>
    </cfRule>
  </conditionalFormatting>
  <conditionalFormatting sqref="C33:C34">
    <cfRule type="cellIs" dxfId="9563" priority="7782" stopIfTrue="1" operator="equal">
      <formula>"Napkin Hs"</formula>
    </cfRule>
  </conditionalFormatting>
  <conditionalFormatting sqref="C33:C34">
    <cfRule type="cellIs" dxfId="9562" priority="7779" stopIfTrue="1" operator="equal">
      <formula>"Towel"</formula>
    </cfRule>
    <cfRule type="cellIs" dxfId="9561" priority="7780" stopIfTrue="1" operator="equal">
      <formula>"Napkin Hs"</formula>
    </cfRule>
  </conditionalFormatting>
  <conditionalFormatting sqref="C33:C34">
    <cfRule type="cellIs" dxfId="9560" priority="7781" stopIfTrue="1" operator="equal">
      <formula>"Towel"</formula>
    </cfRule>
  </conditionalFormatting>
  <conditionalFormatting sqref="B33:C34 B35">
    <cfRule type="cellIs" dxfId="9559" priority="7777" stopIfTrue="1" operator="equal">
      <formula>"Towel"</formula>
    </cfRule>
    <cfRule type="cellIs" dxfId="9558" priority="7778" stopIfTrue="1" operator="equal">
      <formula>"Napkin Hs"</formula>
    </cfRule>
  </conditionalFormatting>
  <conditionalFormatting sqref="C33:C34">
    <cfRule type="cellIs" dxfId="9557" priority="7776" stopIfTrue="1" operator="equal">
      <formula>"Napkin Hs"</formula>
    </cfRule>
  </conditionalFormatting>
  <conditionalFormatting sqref="C33:C34">
    <cfRule type="cellIs" dxfId="9556" priority="7773" stopIfTrue="1" operator="equal">
      <formula>"Towel"</formula>
    </cfRule>
    <cfRule type="cellIs" dxfId="9555" priority="7774" stopIfTrue="1" operator="equal">
      <formula>"Napkin Hs"</formula>
    </cfRule>
  </conditionalFormatting>
  <conditionalFormatting sqref="C33:C34">
    <cfRule type="cellIs" dxfId="9554" priority="7775" stopIfTrue="1" operator="equal">
      <formula>"Towel"</formula>
    </cfRule>
  </conditionalFormatting>
  <conditionalFormatting sqref="B33:C34 B35">
    <cfRule type="cellIs" dxfId="9553" priority="7771" stopIfTrue="1" operator="equal">
      <formula>"Towel"</formula>
    </cfRule>
    <cfRule type="cellIs" dxfId="9552" priority="7772" stopIfTrue="1" operator="equal">
      <formula>"Napkin Hs"</formula>
    </cfRule>
  </conditionalFormatting>
  <conditionalFormatting sqref="C33:C34">
    <cfRule type="cellIs" dxfId="9551" priority="7770" stopIfTrue="1" operator="equal">
      <formula>"Napkin Hs"</formula>
    </cfRule>
  </conditionalFormatting>
  <conditionalFormatting sqref="C33:C34">
    <cfRule type="cellIs" dxfId="9550" priority="7767" stopIfTrue="1" operator="equal">
      <formula>"Towel"</formula>
    </cfRule>
    <cfRule type="cellIs" dxfId="9549" priority="7768" stopIfTrue="1" operator="equal">
      <formula>"Napkin Hs"</formula>
    </cfRule>
  </conditionalFormatting>
  <conditionalFormatting sqref="C33:C34">
    <cfRule type="cellIs" dxfId="9548" priority="7769" stopIfTrue="1" operator="equal">
      <formula>"Towel"</formula>
    </cfRule>
  </conditionalFormatting>
  <conditionalFormatting sqref="B33:C34 B35">
    <cfRule type="cellIs" dxfId="9547" priority="7765" stopIfTrue="1" operator="equal">
      <formula>"Towel"</formula>
    </cfRule>
    <cfRule type="cellIs" dxfId="9546" priority="7766" stopIfTrue="1" operator="equal">
      <formula>"Napkin Hs"</formula>
    </cfRule>
  </conditionalFormatting>
  <conditionalFormatting sqref="C33:C34">
    <cfRule type="cellIs" dxfId="9545" priority="7764" stopIfTrue="1" operator="equal">
      <formula>"Napkin Hs"</formula>
    </cfRule>
  </conditionalFormatting>
  <conditionalFormatting sqref="C33:C34">
    <cfRule type="cellIs" dxfId="9544" priority="7761" stopIfTrue="1" operator="equal">
      <formula>"Towel"</formula>
    </cfRule>
    <cfRule type="cellIs" dxfId="9543" priority="7762" stopIfTrue="1" operator="equal">
      <formula>"Napkin Hs"</formula>
    </cfRule>
  </conditionalFormatting>
  <conditionalFormatting sqref="C33:C34">
    <cfRule type="cellIs" dxfId="9542" priority="7763" stopIfTrue="1" operator="equal">
      <formula>"Towel"</formula>
    </cfRule>
  </conditionalFormatting>
  <conditionalFormatting sqref="B33:C34 B35">
    <cfRule type="cellIs" dxfId="9541" priority="7759" stopIfTrue="1" operator="equal">
      <formula>"Towel"</formula>
    </cfRule>
    <cfRule type="cellIs" dxfId="9540" priority="7760" stopIfTrue="1" operator="equal">
      <formula>"Napkin Hs"</formula>
    </cfRule>
  </conditionalFormatting>
  <conditionalFormatting sqref="C33:C34">
    <cfRule type="cellIs" dxfId="9539" priority="7758" stopIfTrue="1" operator="equal">
      <formula>"Napkin Hs"</formula>
    </cfRule>
  </conditionalFormatting>
  <conditionalFormatting sqref="C33:C34">
    <cfRule type="cellIs" dxfId="9538" priority="7755" stopIfTrue="1" operator="equal">
      <formula>"Towel"</formula>
    </cfRule>
    <cfRule type="cellIs" dxfId="9537" priority="7756" stopIfTrue="1" operator="equal">
      <formula>"Napkin Hs"</formula>
    </cfRule>
  </conditionalFormatting>
  <conditionalFormatting sqref="C33:C34">
    <cfRule type="cellIs" dxfId="9536" priority="7757" stopIfTrue="1" operator="equal">
      <formula>"Towel"</formula>
    </cfRule>
  </conditionalFormatting>
  <conditionalFormatting sqref="B33:C34 B35">
    <cfRule type="cellIs" dxfId="9535" priority="7753" stopIfTrue="1" operator="equal">
      <formula>"Towel"</formula>
    </cfRule>
    <cfRule type="cellIs" dxfId="9534" priority="7754" stopIfTrue="1" operator="equal">
      <formula>"Napkin Hs"</formula>
    </cfRule>
  </conditionalFormatting>
  <conditionalFormatting sqref="C33:C34">
    <cfRule type="cellIs" dxfId="9533" priority="7752" stopIfTrue="1" operator="equal">
      <formula>"Napkin Hs"</formula>
    </cfRule>
  </conditionalFormatting>
  <conditionalFormatting sqref="C33:C34">
    <cfRule type="cellIs" dxfId="9532" priority="7749" stopIfTrue="1" operator="equal">
      <formula>"Towel"</formula>
    </cfRule>
    <cfRule type="cellIs" dxfId="9531" priority="7750" stopIfTrue="1" operator="equal">
      <formula>"Napkin Hs"</formula>
    </cfRule>
  </conditionalFormatting>
  <conditionalFormatting sqref="C33:C34">
    <cfRule type="cellIs" dxfId="9530" priority="7751" stopIfTrue="1" operator="equal">
      <formula>"Towel"</formula>
    </cfRule>
  </conditionalFormatting>
  <conditionalFormatting sqref="B33:C34 B35">
    <cfRule type="cellIs" dxfId="9529" priority="7747" stopIfTrue="1" operator="equal">
      <formula>"Towel"</formula>
    </cfRule>
    <cfRule type="cellIs" dxfId="9528" priority="7748" stopIfTrue="1" operator="equal">
      <formula>"Napkin Hs"</formula>
    </cfRule>
  </conditionalFormatting>
  <conditionalFormatting sqref="C33:C34">
    <cfRule type="cellIs" dxfId="9527" priority="7746" stopIfTrue="1" operator="equal">
      <formula>"Napkin Hs"</formula>
    </cfRule>
  </conditionalFormatting>
  <conditionalFormatting sqref="C33:C34">
    <cfRule type="cellIs" dxfId="9526" priority="7743" stopIfTrue="1" operator="equal">
      <formula>"Towel"</formula>
    </cfRule>
    <cfRule type="cellIs" dxfId="9525" priority="7744" stopIfTrue="1" operator="equal">
      <formula>"Napkin Hs"</formula>
    </cfRule>
  </conditionalFormatting>
  <conditionalFormatting sqref="C33:C34">
    <cfRule type="cellIs" dxfId="9524" priority="7745" stopIfTrue="1" operator="equal">
      <formula>"Towel"</formula>
    </cfRule>
  </conditionalFormatting>
  <conditionalFormatting sqref="B33:C34 B35">
    <cfRule type="cellIs" dxfId="9523" priority="7741" stopIfTrue="1" operator="equal">
      <formula>"Towel"</formula>
    </cfRule>
    <cfRule type="cellIs" dxfId="9522" priority="7742" stopIfTrue="1" operator="equal">
      <formula>"Napkin Hs"</formula>
    </cfRule>
  </conditionalFormatting>
  <conditionalFormatting sqref="C33:C34">
    <cfRule type="cellIs" dxfId="9521" priority="7740" stopIfTrue="1" operator="equal">
      <formula>"Napkin Hs"</formula>
    </cfRule>
  </conditionalFormatting>
  <conditionalFormatting sqref="C33:C34">
    <cfRule type="cellIs" dxfId="9520" priority="7737" stopIfTrue="1" operator="equal">
      <formula>"Towel"</formula>
    </cfRule>
    <cfRule type="cellIs" dxfId="9519" priority="7738" stopIfTrue="1" operator="equal">
      <formula>"Napkin Hs"</formula>
    </cfRule>
  </conditionalFormatting>
  <conditionalFormatting sqref="C33:C34">
    <cfRule type="cellIs" dxfId="9518" priority="7739" stopIfTrue="1" operator="equal">
      <formula>"Towel"</formula>
    </cfRule>
  </conditionalFormatting>
  <conditionalFormatting sqref="B34:C34">
    <cfRule type="cellIs" dxfId="9517" priority="7735" stopIfTrue="1" operator="equal">
      <formula>"Towel"</formula>
    </cfRule>
    <cfRule type="cellIs" dxfId="9516" priority="7736" stopIfTrue="1" operator="equal">
      <formula>"Napkin Hs"</formula>
    </cfRule>
  </conditionalFormatting>
  <conditionalFormatting sqref="C34">
    <cfRule type="cellIs" dxfId="9515" priority="7734" stopIfTrue="1" operator="equal">
      <formula>"Napkin Hs"</formula>
    </cfRule>
  </conditionalFormatting>
  <conditionalFormatting sqref="C34">
    <cfRule type="cellIs" dxfId="9514" priority="7733" stopIfTrue="1" operator="equal">
      <formula>"Towel"</formula>
    </cfRule>
  </conditionalFormatting>
  <conditionalFormatting sqref="C34">
    <cfRule type="cellIs" dxfId="9513" priority="7731" stopIfTrue="1" operator="equal">
      <formula>"Towel"</formula>
    </cfRule>
    <cfRule type="cellIs" dxfId="9512" priority="7732" stopIfTrue="1" operator="equal">
      <formula>"Napkin Hs"</formula>
    </cfRule>
  </conditionalFormatting>
  <conditionalFormatting sqref="B35:C35">
    <cfRule type="cellIs" dxfId="9511" priority="7729" stopIfTrue="1" operator="equal">
      <formula>"Towel"</formula>
    </cfRule>
    <cfRule type="cellIs" dxfId="9510" priority="7730" stopIfTrue="1" operator="equal">
      <formula>"Napkin Hs"</formula>
    </cfRule>
  </conditionalFormatting>
  <conditionalFormatting sqref="C35">
    <cfRule type="cellIs" dxfId="9509" priority="7728" stopIfTrue="1" operator="equal">
      <formula>"Napkin Hs"</formula>
    </cfRule>
  </conditionalFormatting>
  <conditionalFormatting sqref="C35">
    <cfRule type="cellIs" dxfId="9508" priority="7725" stopIfTrue="1" operator="equal">
      <formula>"Towel"</formula>
    </cfRule>
    <cfRule type="cellIs" dxfId="9507" priority="7726" stopIfTrue="1" operator="equal">
      <formula>"Napkin Hs"</formula>
    </cfRule>
  </conditionalFormatting>
  <conditionalFormatting sqref="C35">
    <cfRule type="cellIs" dxfId="9506" priority="7727" stopIfTrue="1" operator="equal">
      <formula>"Towel"</formula>
    </cfRule>
  </conditionalFormatting>
  <conditionalFormatting sqref="B33:C33">
    <cfRule type="cellIs" dxfId="9505" priority="7723" stopIfTrue="1" operator="equal">
      <formula>"Towel"</formula>
    </cfRule>
    <cfRule type="cellIs" dxfId="9504" priority="7724" stopIfTrue="1" operator="equal">
      <formula>"Napkin Hs"</formula>
    </cfRule>
  </conditionalFormatting>
  <conditionalFormatting sqref="C33">
    <cfRule type="cellIs" dxfId="9503" priority="7722" stopIfTrue="1" operator="equal">
      <formula>"Napkin Hs"</formula>
    </cfRule>
  </conditionalFormatting>
  <conditionalFormatting sqref="C33">
    <cfRule type="cellIs" dxfId="9502" priority="7719" stopIfTrue="1" operator="equal">
      <formula>"Towel"</formula>
    </cfRule>
    <cfRule type="cellIs" dxfId="9501" priority="7720" stopIfTrue="1" operator="equal">
      <formula>"Napkin Hs"</formula>
    </cfRule>
  </conditionalFormatting>
  <conditionalFormatting sqref="C33">
    <cfRule type="cellIs" dxfId="9500" priority="7721" stopIfTrue="1" operator="equal">
      <formula>"Towel"</formula>
    </cfRule>
  </conditionalFormatting>
  <conditionalFormatting sqref="C35">
    <cfRule type="cellIs" dxfId="9499" priority="7717" stopIfTrue="1" operator="equal">
      <formula>"Towel"</formula>
    </cfRule>
    <cfRule type="cellIs" dxfId="9498" priority="7718" stopIfTrue="1" operator="equal">
      <formula>"Napkin Hs"</formula>
    </cfRule>
  </conditionalFormatting>
  <conditionalFormatting sqref="C35">
    <cfRule type="cellIs" dxfId="9497" priority="7715" stopIfTrue="1" operator="equal">
      <formula>"Towel"</formula>
    </cfRule>
    <cfRule type="cellIs" dxfId="9496" priority="7716" stopIfTrue="1" operator="equal">
      <formula>"Napkin Hs"</formula>
    </cfRule>
  </conditionalFormatting>
  <conditionalFormatting sqref="C35">
    <cfRule type="cellIs" dxfId="9495" priority="7713" stopIfTrue="1" operator="equal">
      <formula>"Towel"</formula>
    </cfRule>
    <cfRule type="cellIs" dxfId="9494" priority="7714" stopIfTrue="1" operator="equal">
      <formula>"Napkin Hs"</formula>
    </cfRule>
  </conditionalFormatting>
  <conditionalFormatting sqref="B33:C34 B35">
    <cfRule type="cellIs" dxfId="9493" priority="7711" stopIfTrue="1" operator="equal">
      <formula>"Towel"</formula>
    </cfRule>
    <cfRule type="cellIs" dxfId="9492" priority="7712" stopIfTrue="1" operator="equal">
      <formula>"Napkin Hs"</formula>
    </cfRule>
  </conditionalFormatting>
  <conditionalFormatting sqref="C33:C34">
    <cfRule type="cellIs" dxfId="9491" priority="7710" stopIfTrue="1" operator="equal">
      <formula>"Napkin Hs"</formula>
    </cfRule>
  </conditionalFormatting>
  <conditionalFormatting sqref="C33:C34">
    <cfRule type="cellIs" dxfId="9490" priority="7709" stopIfTrue="1" operator="equal">
      <formula>"Towel"</formula>
    </cfRule>
  </conditionalFormatting>
  <conditionalFormatting sqref="C33:C34">
    <cfRule type="cellIs" dxfId="9489" priority="7707" stopIfTrue="1" operator="equal">
      <formula>"Towel"</formula>
    </cfRule>
    <cfRule type="cellIs" dxfId="9488" priority="7708" stopIfTrue="1" operator="equal">
      <formula>"Napkin Hs"</formula>
    </cfRule>
  </conditionalFormatting>
  <conditionalFormatting sqref="B33:C34 B35">
    <cfRule type="cellIs" dxfId="9487" priority="7705" stopIfTrue="1" operator="equal">
      <formula>"Towel"</formula>
    </cfRule>
    <cfRule type="cellIs" dxfId="9486" priority="7706" stopIfTrue="1" operator="equal">
      <formula>"Napkin Hs"</formula>
    </cfRule>
  </conditionalFormatting>
  <conditionalFormatting sqref="C33:C34">
    <cfRule type="cellIs" dxfId="9485" priority="7704" stopIfTrue="1" operator="equal">
      <formula>"Napkin Hs"</formula>
    </cfRule>
  </conditionalFormatting>
  <conditionalFormatting sqref="C33:C34">
    <cfRule type="cellIs" dxfId="9484" priority="7701" stopIfTrue="1" operator="equal">
      <formula>"Towel"</formula>
    </cfRule>
    <cfRule type="cellIs" dxfId="9483" priority="7702" stopIfTrue="1" operator="equal">
      <formula>"Napkin Hs"</formula>
    </cfRule>
  </conditionalFormatting>
  <conditionalFormatting sqref="C33:C34">
    <cfRule type="cellIs" dxfId="9482" priority="7703" stopIfTrue="1" operator="equal">
      <formula>"Towel"</formula>
    </cfRule>
  </conditionalFormatting>
  <conditionalFormatting sqref="B33:C34 B35">
    <cfRule type="cellIs" dxfId="9481" priority="7699" stopIfTrue="1" operator="equal">
      <formula>"Towel"</formula>
    </cfRule>
    <cfRule type="cellIs" dxfId="9480" priority="7700" stopIfTrue="1" operator="equal">
      <formula>"Napkin Hs"</formula>
    </cfRule>
  </conditionalFormatting>
  <conditionalFormatting sqref="C33:C34">
    <cfRule type="cellIs" dxfId="9479" priority="7698" stopIfTrue="1" operator="equal">
      <formula>"Napkin Hs"</formula>
    </cfRule>
  </conditionalFormatting>
  <conditionalFormatting sqref="C33:C34">
    <cfRule type="cellIs" dxfId="9478" priority="7695" stopIfTrue="1" operator="equal">
      <formula>"Towel"</formula>
    </cfRule>
    <cfRule type="cellIs" dxfId="9477" priority="7696" stopIfTrue="1" operator="equal">
      <formula>"Napkin Hs"</formula>
    </cfRule>
  </conditionalFormatting>
  <conditionalFormatting sqref="C33:C34">
    <cfRule type="cellIs" dxfId="9476" priority="7697" stopIfTrue="1" operator="equal">
      <formula>"Towel"</formula>
    </cfRule>
  </conditionalFormatting>
  <conditionalFormatting sqref="B33:C34 B35">
    <cfRule type="cellIs" dxfId="9475" priority="7693" stopIfTrue="1" operator="equal">
      <formula>"Towel"</formula>
    </cfRule>
    <cfRule type="cellIs" dxfId="9474" priority="7694" stopIfTrue="1" operator="equal">
      <formula>"Napkin Hs"</formula>
    </cfRule>
  </conditionalFormatting>
  <conditionalFormatting sqref="C33:C34">
    <cfRule type="cellIs" dxfId="9473" priority="7692" stopIfTrue="1" operator="equal">
      <formula>"Napkin Hs"</formula>
    </cfRule>
  </conditionalFormatting>
  <conditionalFormatting sqref="C33:C34">
    <cfRule type="cellIs" dxfId="9472" priority="7689" stopIfTrue="1" operator="equal">
      <formula>"Towel"</formula>
    </cfRule>
    <cfRule type="cellIs" dxfId="9471" priority="7690" stopIfTrue="1" operator="equal">
      <formula>"Napkin Hs"</formula>
    </cfRule>
  </conditionalFormatting>
  <conditionalFormatting sqref="C33:C34">
    <cfRule type="cellIs" dxfId="9470" priority="7691" stopIfTrue="1" operator="equal">
      <formula>"Towel"</formula>
    </cfRule>
  </conditionalFormatting>
  <conditionalFormatting sqref="B33:C34 B35">
    <cfRule type="cellIs" dxfId="9469" priority="7687" stopIfTrue="1" operator="equal">
      <formula>"Towel"</formula>
    </cfRule>
    <cfRule type="cellIs" dxfId="9468" priority="7688" stopIfTrue="1" operator="equal">
      <formula>"Napkin Hs"</formula>
    </cfRule>
  </conditionalFormatting>
  <conditionalFormatting sqref="C33:C34">
    <cfRule type="cellIs" dxfId="9467" priority="7686" stopIfTrue="1" operator="equal">
      <formula>"Napkin Hs"</formula>
    </cfRule>
  </conditionalFormatting>
  <conditionalFormatting sqref="C33:C34">
    <cfRule type="cellIs" dxfId="9466" priority="7683" stopIfTrue="1" operator="equal">
      <formula>"Towel"</formula>
    </cfRule>
    <cfRule type="cellIs" dxfId="9465" priority="7684" stopIfTrue="1" operator="equal">
      <formula>"Napkin Hs"</formula>
    </cfRule>
  </conditionalFormatting>
  <conditionalFormatting sqref="C33:C34">
    <cfRule type="cellIs" dxfId="9464" priority="7685" stopIfTrue="1" operator="equal">
      <formula>"Towel"</formula>
    </cfRule>
  </conditionalFormatting>
  <conditionalFormatting sqref="B33:C34 B35">
    <cfRule type="cellIs" dxfId="9463" priority="7681" stopIfTrue="1" operator="equal">
      <formula>"Towel"</formula>
    </cfRule>
    <cfRule type="cellIs" dxfId="9462" priority="7682" stopIfTrue="1" operator="equal">
      <formula>"Napkin Hs"</formula>
    </cfRule>
  </conditionalFormatting>
  <conditionalFormatting sqref="C33:C34">
    <cfRule type="cellIs" dxfId="9461" priority="7680" stopIfTrue="1" operator="equal">
      <formula>"Napkin Hs"</formula>
    </cfRule>
  </conditionalFormatting>
  <conditionalFormatting sqref="C33:C34">
    <cfRule type="cellIs" dxfId="9460" priority="7677" stopIfTrue="1" operator="equal">
      <formula>"Towel"</formula>
    </cfRule>
    <cfRule type="cellIs" dxfId="9459" priority="7678" stopIfTrue="1" operator="equal">
      <formula>"Napkin Hs"</formula>
    </cfRule>
  </conditionalFormatting>
  <conditionalFormatting sqref="C33:C34">
    <cfRule type="cellIs" dxfId="9458" priority="7679" stopIfTrue="1" operator="equal">
      <formula>"Towel"</formula>
    </cfRule>
  </conditionalFormatting>
  <conditionalFormatting sqref="B33:C34 B35">
    <cfRule type="cellIs" dxfId="9457" priority="7675" stopIfTrue="1" operator="equal">
      <formula>"Towel"</formula>
    </cfRule>
    <cfRule type="cellIs" dxfId="9456" priority="7676" stopIfTrue="1" operator="equal">
      <formula>"Napkin Hs"</formula>
    </cfRule>
  </conditionalFormatting>
  <conditionalFormatting sqref="C33:C34">
    <cfRule type="cellIs" dxfId="9455" priority="7674" stopIfTrue="1" operator="equal">
      <formula>"Napkin Hs"</formula>
    </cfRule>
  </conditionalFormatting>
  <conditionalFormatting sqref="C33:C34">
    <cfRule type="cellIs" dxfId="9454" priority="7671" stopIfTrue="1" operator="equal">
      <formula>"Towel"</formula>
    </cfRule>
    <cfRule type="cellIs" dxfId="9453" priority="7672" stopIfTrue="1" operator="equal">
      <formula>"Napkin Hs"</formula>
    </cfRule>
  </conditionalFormatting>
  <conditionalFormatting sqref="C33:C34">
    <cfRule type="cellIs" dxfId="9452" priority="7673" stopIfTrue="1" operator="equal">
      <formula>"Towel"</formula>
    </cfRule>
  </conditionalFormatting>
  <conditionalFormatting sqref="B33:C34 B35">
    <cfRule type="cellIs" dxfId="9451" priority="7669" stopIfTrue="1" operator="equal">
      <formula>"Towel"</formula>
    </cfRule>
    <cfRule type="cellIs" dxfId="9450" priority="7670" stopIfTrue="1" operator="equal">
      <formula>"Napkin Hs"</formula>
    </cfRule>
  </conditionalFormatting>
  <conditionalFormatting sqref="C33:C34">
    <cfRule type="cellIs" dxfId="9449" priority="7668" stopIfTrue="1" operator="equal">
      <formula>"Napkin Hs"</formula>
    </cfRule>
  </conditionalFormatting>
  <conditionalFormatting sqref="C33:C34">
    <cfRule type="cellIs" dxfId="9448" priority="7665" stopIfTrue="1" operator="equal">
      <formula>"Towel"</formula>
    </cfRule>
    <cfRule type="cellIs" dxfId="9447" priority="7666" stopIfTrue="1" operator="equal">
      <formula>"Napkin Hs"</formula>
    </cfRule>
  </conditionalFormatting>
  <conditionalFormatting sqref="C33:C34">
    <cfRule type="cellIs" dxfId="9446" priority="7667" stopIfTrue="1" operator="equal">
      <formula>"Towel"</formula>
    </cfRule>
  </conditionalFormatting>
  <conditionalFormatting sqref="B33:C34 B35">
    <cfRule type="cellIs" dxfId="9445" priority="7663" stopIfTrue="1" operator="equal">
      <formula>"Towel"</formula>
    </cfRule>
    <cfRule type="cellIs" dxfId="9444" priority="7664" stopIfTrue="1" operator="equal">
      <formula>"Napkin Hs"</formula>
    </cfRule>
  </conditionalFormatting>
  <conditionalFormatting sqref="C33:C34">
    <cfRule type="cellIs" dxfId="9443" priority="7662" stopIfTrue="1" operator="equal">
      <formula>"Napkin Hs"</formula>
    </cfRule>
  </conditionalFormatting>
  <conditionalFormatting sqref="C33:C34">
    <cfRule type="cellIs" dxfId="9442" priority="7659" stopIfTrue="1" operator="equal">
      <formula>"Towel"</formula>
    </cfRule>
    <cfRule type="cellIs" dxfId="9441" priority="7660" stopIfTrue="1" operator="equal">
      <formula>"Napkin Hs"</formula>
    </cfRule>
  </conditionalFormatting>
  <conditionalFormatting sqref="C33:C34">
    <cfRule type="cellIs" dxfId="9440" priority="7661" stopIfTrue="1" operator="equal">
      <formula>"Towel"</formula>
    </cfRule>
  </conditionalFormatting>
  <conditionalFormatting sqref="B33:C34 B35">
    <cfRule type="cellIs" dxfId="9439" priority="7657" stopIfTrue="1" operator="equal">
      <formula>"Towel"</formula>
    </cfRule>
    <cfRule type="cellIs" dxfId="9438" priority="7658" stopIfTrue="1" operator="equal">
      <formula>"Napkin Hs"</formula>
    </cfRule>
  </conditionalFormatting>
  <conditionalFormatting sqref="C33:C34">
    <cfRule type="cellIs" dxfId="9437" priority="7656" stopIfTrue="1" operator="equal">
      <formula>"Napkin Hs"</formula>
    </cfRule>
  </conditionalFormatting>
  <conditionalFormatting sqref="C33:C34">
    <cfRule type="cellIs" dxfId="9436" priority="7653" stopIfTrue="1" operator="equal">
      <formula>"Towel"</formula>
    </cfRule>
    <cfRule type="cellIs" dxfId="9435" priority="7654" stopIfTrue="1" operator="equal">
      <formula>"Napkin Hs"</formula>
    </cfRule>
  </conditionalFormatting>
  <conditionalFormatting sqref="C33:C34">
    <cfRule type="cellIs" dxfId="9434" priority="7655" stopIfTrue="1" operator="equal">
      <formula>"Towel"</formula>
    </cfRule>
  </conditionalFormatting>
  <conditionalFormatting sqref="B32:C32">
    <cfRule type="cellIs" dxfId="9433" priority="7651" stopIfTrue="1" operator="equal">
      <formula>"Towel"</formula>
    </cfRule>
    <cfRule type="cellIs" dxfId="9432" priority="7652" stopIfTrue="1" operator="equal">
      <formula>"Napkin Hs"</formula>
    </cfRule>
  </conditionalFormatting>
  <conditionalFormatting sqref="C32">
    <cfRule type="cellIs" dxfId="9431" priority="7650" stopIfTrue="1" operator="equal">
      <formula>"Napkin Hs"</formula>
    </cfRule>
  </conditionalFormatting>
  <conditionalFormatting sqref="C32">
    <cfRule type="cellIs" dxfId="9430" priority="7647" stopIfTrue="1" operator="equal">
      <formula>"Towel"</formula>
    </cfRule>
    <cfRule type="cellIs" dxfId="9429" priority="7648" stopIfTrue="1" operator="equal">
      <formula>"Napkin Hs"</formula>
    </cfRule>
  </conditionalFormatting>
  <conditionalFormatting sqref="C32">
    <cfRule type="cellIs" dxfId="9428" priority="7649" stopIfTrue="1" operator="equal">
      <formula>"Towel"</formula>
    </cfRule>
  </conditionalFormatting>
  <conditionalFormatting sqref="B32:C32">
    <cfRule type="cellIs" dxfId="9427" priority="7645" stopIfTrue="1" operator="equal">
      <formula>"Towel"</formula>
    </cfRule>
    <cfRule type="cellIs" dxfId="9426" priority="7646" stopIfTrue="1" operator="equal">
      <formula>"Napkin Hs"</formula>
    </cfRule>
  </conditionalFormatting>
  <conditionalFormatting sqref="C32">
    <cfRule type="cellIs" dxfId="9425" priority="7644" stopIfTrue="1" operator="equal">
      <formula>"Napkin Hs"</formula>
    </cfRule>
  </conditionalFormatting>
  <conditionalFormatting sqref="C32">
    <cfRule type="cellIs" dxfId="9424" priority="7643" stopIfTrue="1" operator="equal">
      <formula>"Towel"</formula>
    </cfRule>
  </conditionalFormatting>
  <conditionalFormatting sqref="C32">
    <cfRule type="cellIs" dxfId="9423" priority="7641" stopIfTrue="1" operator="equal">
      <formula>"Towel"</formula>
    </cfRule>
    <cfRule type="cellIs" dxfId="9422" priority="7642" stopIfTrue="1" operator="equal">
      <formula>"Napkin Hs"</formula>
    </cfRule>
  </conditionalFormatting>
  <conditionalFormatting sqref="B32:C32">
    <cfRule type="cellIs" dxfId="9421" priority="7639" stopIfTrue="1" operator="equal">
      <formula>"Towel"</formula>
    </cfRule>
    <cfRule type="cellIs" dxfId="9420" priority="7640" stopIfTrue="1" operator="equal">
      <formula>"Napkin Hs"</formula>
    </cfRule>
  </conditionalFormatting>
  <conditionalFormatting sqref="C32">
    <cfRule type="cellIs" dxfId="9419" priority="7638" stopIfTrue="1" operator="equal">
      <formula>"Napkin Hs"</formula>
    </cfRule>
  </conditionalFormatting>
  <conditionalFormatting sqref="C32">
    <cfRule type="cellIs" dxfId="9418" priority="7635" stopIfTrue="1" operator="equal">
      <formula>"Towel"</formula>
    </cfRule>
    <cfRule type="cellIs" dxfId="9417" priority="7636" stopIfTrue="1" operator="equal">
      <formula>"Napkin Hs"</formula>
    </cfRule>
  </conditionalFormatting>
  <conditionalFormatting sqref="C32">
    <cfRule type="cellIs" dxfId="9416" priority="7637" stopIfTrue="1" operator="equal">
      <formula>"Towel"</formula>
    </cfRule>
  </conditionalFormatting>
  <conditionalFormatting sqref="B32:C32">
    <cfRule type="cellIs" dxfId="9415" priority="7633" stopIfTrue="1" operator="equal">
      <formula>"Towel"</formula>
    </cfRule>
    <cfRule type="cellIs" dxfId="9414" priority="7634" stopIfTrue="1" operator="equal">
      <formula>"Napkin Hs"</formula>
    </cfRule>
  </conditionalFormatting>
  <conditionalFormatting sqref="C32">
    <cfRule type="cellIs" dxfId="9413" priority="7632" stopIfTrue="1" operator="equal">
      <formula>"Napkin Hs"</formula>
    </cfRule>
  </conditionalFormatting>
  <conditionalFormatting sqref="C32">
    <cfRule type="cellIs" dxfId="9412" priority="7629" stopIfTrue="1" operator="equal">
      <formula>"Towel"</formula>
    </cfRule>
    <cfRule type="cellIs" dxfId="9411" priority="7630" stopIfTrue="1" operator="equal">
      <formula>"Napkin Hs"</formula>
    </cfRule>
  </conditionalFormatting>
  <conditionalFormatting sqref="C32">
    <cfRule type="cellIs" dxfId="9410" priority="7631" stopIfTrue="1" operator="equal">
      <formula>"Towel"</formula>
    </cfRule>
  </conditionalFormatting>
  <conditionalFormatting sqref="B32:C32">
    <cfRule type="cellIs" dxfId="9409" priority="7627" stopIfTrue="1" operator="equal">
      <formula>"Towel"</formula>
    </cfRule>
    <cfRule type="cellIs" dxfId="9408" priority="7628" stopIfTrue="1" operator="equal">
      <formula>"Napkin Hs"</formula>
    </cfRule>
  </conditionalFormatting>
  <conditionalFormatting sqref="C32">
    <cfRule type="cellIs" dxfId="9407" priority="7626" stopIfTrue="1" operator="equal">
      <formula>"Napkin Hs"</formula>
    </cfRule>
  </conditionalFormatting>
  <conditionalFormatting sqref="C32">
    <cfRule type="cellIs" dxfId="9406" priority="7623" stopIfTrue="1" operator="equal">
      <formula>"Towel"</formula>
    </cfRule>
    <cfRule type="cellIs" dxfId="9405" priority="7624" stopIfTrue="1" operator="equal">
      <formula>"Napkin Hs"</formula>
    </cfRule>
  </conditionalFormatting>
  <conditionalFormatting sqref="C32">
    <cfRule type="cellIs" dxfId="9404" priority="7625" stopIfTrue="1" operator="equal">
      <formula>"Towel"</formula>
    </cfRule>
  </conditionalFormatting>
  <conditionalFormatting sqref="B32:C32">
    <cfRule type="cellIs" dxfId="9403" priority="7621" stopIfTrue="1" operator="equal">
      <formula>"Towel"</formula>
    </cfRule>
    <cfRule type="cellIs" dxfId="9402" priority="7622" stopIfTrue="1" operator="equal">
      <formula>"Napkin Hs"</formula>
    </cfRule>
  </conditionalFormatting>
  <conditionalFormatting sqref="C32">
    <cfRule type="cellIs" dxfId="9401" priority="7620" stopIfTrue="1" operator="equal">
      <formula>"Napkin Hs"</formula>
    </cfRule>
  </conditionalFormatting>
  <conditionalFormatting sqref="C32">
    <cfRule type="cellIs" dxfId="9400" priority="7617" stopIfTrue="1" operator="equal">
      <formula>"Towel"</formula>
    </cfRule>
    <cfRule type="cellIs" dxfId="9399" priority="7618" stopIfTrue="1" operator="equal">
      <formula>"Napkin Hs"</formula>
    </cfRule>
  </conditionalFormatting>
  <conditionalFormatting sqref="C32">
    <cfRule type="cellIs" dxfId="9398" priority="7619" stopIfTrue="1" operator="equal">
      <formula>"Towel"</formula>
    </cfRule>
  </conditionalFormatting>
  <conditionalFormatting sqref="B32:C32">
    <cfRule type="cellIs" dxfId="9397" priority="7615" stopIfTrue="1" operator="equal">
      <formula>"Towel"</formula>
    </cfRule>
    <cfRule type="cellIs" dxfId="9396" priority="7616" stopIfTrue="1" operator="equal">
      <formula>"Napkin Hs"</formula>
    </cfRule>
  </conditionalFormatting>
  <conditionalFormatting sqref="C32">
    <cfRule type="cellIs" dxfId="9395" priority="7614" stopIfTrue="1" operator="equal">
      <formula>"Napkin Hs"</formula>
    </cfRule>
  </conditionalFormatting>
  <conditionalFormatting sqref="C32">
    <cfRule type="cellIs" dxfId="9394" priority="7611" stopIfTrue="1" operator="equal">
      <formula>"Towel"</formula>
    </cfRule>
    <cfRule type="cellIs" dxfId="9393" priority="7612" stopIfTrue="1" operator="equal">
      <formula>"Napkin Hs"</formula>
    </cfRule>
  </conditionalFormatting>
  <conditionalFormatting sqref="C32">
    <cfRule type="cellIs" dxfId="9392" priority="7613" stopIfTrue="1" operator="equal">
      <formula>"Towel"</formula>
    </cfRule>
  </conditionalFormatting>
  <conditionalFormatting sqref="B32:C32">
    <cfRule type="cellIs" dxfId="9391" priority="7609" stopIfTrue="1" operator="equal">
      <formula>"Towel"</formula>
    </cfRule>
    <cfRule type="cellIs" dxfId="9390" priority="7610" stopIfTrue="1" operator="equal">
      <formula>"Napkin Hs"</formula>
    </cfRule>
  </conditionalFormatting>
  <conditionalFormatting sqref="C32">
    <cfRule type="cellIs" dxfId="9389" priority="7608" stopIfTrue="1" operator="equal">
      <formula>"Napkin Hs"</formula>
    </cfRule>
  </conditionalFormatting>
  <conditionalFormatting sqref="C32">
    <cfRule type="cellIs" dxfId="9388" priority="7605" stopIfTrue="1" operator="equal">
      <formula>"Towel"</formula>
    </cfRule>
    <cfRule type="cellIs" dxfId="9387" priority="7606" stopIfTrue="1" operator="equal">
      <formula>"Napkin Hs"</formula>
    </cfRule>
  </conditionalFormatting>
  <conditionalFormatting sqref="C32">
    <cfRule type="cellIs" dxfId="9386" priority="7607" stopIfTrue="1" operator="equal">
      <formula>"Towel"</formula>
    </cfRule>
  </conditionalFormatting>
  <conditionalFormatting sqref="B32:C32">
    <cfRule type="cellIs" dxfId="9385" priority="7603" stopIfTrue="1" operator="equal">
      <formula>"Towel"</formula>
    </cfRule>
    <cfRule type="cellIs" dxfId="9384" priority="7604" stopIfTrue="1" operator="equal">
      <formula>"Napkin Hs"</formula>
    </cfRule>
  </conditionalFormatting>
  <conditionalFormatting sqref="C32">
    <cfRule type="cellIs" dxfId="9383" priority="7602" stopIfTrue="1" operator="equal">
      <formula>"Napkin Hs"</formula>
    </cfRule>
  </conditionalFormatting>
  <conditionalFormatting sqref="C32">
    <cfRule type="cellIs" dxfId="9382" priority="7599" stopIfTrue="1" operator="equal">
      <formula>"Towel"</formula>
    </cfRule>
    <cfRule type="cellIs" dxfId="9381" priority="7600" stopIfTrue="1" operator="equal">
      <formula>"Napkin Hs"</formula>
    </cfRule>
  </conditionalFormatting>
  <conditionalFormatting sqref="C32">
    <cfRule type="cellIs" dxfId="9380" priority="7601" stopIfTrue="1" operator="equal">
      <formula>"Towel"</formula>
    </cfRule>
  </conditionalFormatting>
  <conditionalFormatting sqref="B32:C32">
    <cfRule type="cellIs" dxfId="9379" priority="7597" stopIfTrue="1" operator="equal">
      <formula>"Towel"</formula>
    </cfRule>
    <cfRule type="cellIs" dxfId="9378" priority="7598" stopIfTrue="1" operator="equal">
      <formula>"Napkin Hs"</formula>
    </cfRule>
  </conditionalFormatting>
  <conditionalFormatting sqref="C32">
    <cfRule type="cellIs" dxfId="9377" priority="7596" stopIfTrue="1" operator="equal">
      <formula>"Napkin Hs"</formula>
    </cfRule>
  </conditionalFormatting>
  <conditionalFormatting sqref="C32">
    <cfRule type="cellIs" dxfId="9376" priority="7593" stopIfTrue="1" operator="equal">
      <formula>"Towel"</formula>
    </cfRule>
    <cfRule type="cellIs" dxfId="9375" priority="7594" stopIfTrue="1" operator="equal">
      <formula>"Napkin Hs"</formula>
    </cfRule>
  </conditionalFormatting>
  <conditionalFormatting sqref="C32">
    <cfRule type="cellIs" dxfId="9374" priority="7595" stopIfTrue="1" operator="equal">
      <formula>"Towel"</formula>
    </cfRule>
  </conditionalFormatting>
  <conditionalFormatting sqref="B32:C32">
    <cfRule type="cellIs" dxfId="9373" priority="7591" stopIfTrue="1" operator="equal">
      <formula>"Towel"</formula>
    </cfRule>
    <cfRule type="cellIs" dxfId="9372" priority="7592" stopIfTrue="1" operator="equal">
      <formula>"Napkin Hs"</formula>
    </cfRule>
  </conditionalFormatting>
  <conditionalFormatting sqref="C32">
    <cfRule type="cellIs" dxfId="9371" priority="7590" stopIfTrue="1" operator="equal">
      <formula>"Napkin Hs"</formula>
    </cfRule>
  </conditionalFormatting>
  <conditionalFormatting sqref="C32">
    <cfRule type="cellIs" dxfId="9370" priority="7587" stopIfTrue="1" operator="equal">
      <formula>"Towel"</formula>
    </cfRule>
    <cfRule type="cellIs" dxfId="9369" priority="7588" stopIfTrue="1" operator="equal">
      <formula>"Napkin Hs"</formula>
    </cfRule>
  </conditionalFormatting>
  <conditionalFormatting sqref="C32">
    <cfRule type="cellIs" dxfId="9368" priority="7589" stopIfTrue="1" operator="equal">
      <formula>"Towel"</formula>
    </cfRule>
  </conditionalFormatting>
  <conditionalFormatting sqref="B32:C32">
    <cfRule type="cellIs" dxfId="9367" priority="7585" stopIfTrue="1" operator="equal">
      <formula>"Towel"</formula>
    </cfRule>
    <cfRule type="cellIs" dxfId="9366" priority="7586" stopIfTrue="1" operator="equal">
      <formula>"Napkin Hs"</formula>
    </cfRule>
  </conditionalFormatting>
  <conditionalFormatting sqref="C32">
    <cfRule type="cellIs" dxfId="9365" priority="7584" stopIfTrue="1" operator="equal">
      <formula>"Napkin Hs"</formula>
    </cfRule>
  </conditionalFormatting>
  <conditionalFormatting sqref="C32">
    <cfRule type="cellIs" dxfId="9364" priority="7581" stopIfTrue="1" operator="equal">
      <formula>"Towel"</formula>
    </cfRule>
    <cfRule type="cellIs" dxfId="9363" priority="7582" stopIfTrue="1" operator="equal">
      <formula>"Napkin Hs"</formula>
    </cfRule>
  </conditionalFormatting>
  <conditionalFormatting sqref="C32">
    <cfRule type="cellIs" dxfId="9362" priority="7583" stopIfTrue="1" operator="equal">
      <formula>"Towel"</formula>
    </cfRule>
  </conditionalFormatting>
  <conditionalFormatting sqref="B32:C32">
    <cfRule type="cellIs" dxfId="9361" priority="7579" stopIfTrue="1" operator="equal">
      <formula>"Towel"</formula>
    </cfRule>
    <cfRule type="cellIs" dxfId="9360" priority="7580" stopIfTrue="1" operator="equal">
      <formula>"Napkin Hs"</formula>
    </cfRule>
  </conditionalFormatting>
  <conditionalFormatting sqref="C32">
    <cfRule type="cellIs" dxfId="9359" priority="7578" stopIfTrue="1" operator="equal">
      <formula>"Napkin Hs"</formula>
    </cfRule>
  </conditionalFormatting>
  <conditionalFormatting sqref="C32">
    <cfRule type="cellIs" dxfId="9358" priority="7577" stopIfTrue="1" operator="equal">
      <formula>"Towel"</formula>
    </cfRule>
  </conditionalFormatting>
  <conditionalFormatting sqref="C32">
    <cfRule type="cellIs" dxfId="9357" priority="7575" stopIfTrue="1" operator="equal">
      <formula>"Towel"</formula>
    </cfRule>
    <cfRule type="cellIs" dxfId="9356" priority="7576" stopIfTrue="1" operator="equal">
      <formula>"Napkin Hs"</formula>
    </cfRule>
  </conditionalFormatting>
  <conditionalFormatting sqref="B32:C32">
    <cfRule type="cellIs" dxfId="9355" priority="7573" stopIfTrue="1" operator="equal">
      <formula>"Towel"</formula>
    </cfRule>
    <cfRule type="cellIs" dxfId="9354" priority="7574" stopIfTrue="1" operator="equal">
      <formula>"Napkin Hs"</formula>
    </cfRule>
  </conditionalFormatting>
  <conditionalFormatting sqref="C32">
    <cfRule type="cellIs" dxfId="9353" priority="7572" stopIfTrue="1" operator="equal">
      <formula>"Napkin Hs"</formula>
    </cfRule>
  </conditionalFormatting>
  <conditionalFormatting sqref="C32">
    <cfRule type="cellIs" dxfId="9352" priority="7569" stopIfTrue="1" operator="equal">
      <formula>"Towel"</formula>
    </cfRule>
    <cfRule type="cellIs" dxfId="9351" priority="7570" stopIfTrue="1" operator="equal">
      <formula>"Napkin Hs"</formula>
    </cfRule>
  </conditionalFormatting>
  <conditionalFormatting sqref="C32">
    <cfRule type="cellIs" dxfId="9350" priority="7571" stopIfTrue="1" operator="equal">
      <formula>"Towel"</formula>
    </cfRule>
  </conditionalFormatting>
  <conditionalFormatting sqref="B32:C32">
    <cfRule type="cellIs" dxfId="9349" priority="7567" stopIfTrue="1" operator="equal">
      <formula>"Towel"</formula>
    </cfRule>
    <cfRule type="cellIs" dxfId="9348" priority="7568" stopIfTrue="1" operator="equal">
      <formula>"Napkin Hs"</formula>
    </cfRule>
  </conditionalFormatting>
  <conditionalFormatting sqref="C32">
    <cfRule type="cellIs" dxfId="9347" priority="7566" stopIfTrue="1" operator="equal">
      <formula>"Napkin Hs"</formula>
    </cfRule>
  </conditionalFormatting>
  <conditionalFormatting sqref="C32">
    <cfRule type="cellIs" dxfId="9346" priority="7563" stopIfTrue="1" operator="equal">
      <formula>"Towel"</formula>
    </cfRule>
    <cfRule type="cellIs" dxfId="9345" priority="7564" stopIfTrue="1" operator="equal">
      <formula>"Napkin Hs"</formula>
    </cfRule>
  </conditionalFormatting>
  <conditionalFormatting sqref="C32">
    <cfRule type="cellIs" dxfId="9344" priority="7565" stopIfTrue="1" operator="equal">
      <formula>"Towel"</formula>
    </cfRule>
  </conditionalFormatting>
  <conditionalFormatting sqref="B32:C32">
    <cfRule type="cellIs" dxfId="9343" priority="7561" stopIfTrue="1" operator="equal">
      <formula>"Towel"</formula>
    </cfRule>
    <cfRule type="cellIs" dxfId="9342" priority="7562" stopIfTrue="1" operator="equal">
      <formula>"Napkin Hs"</formula>
    </cfRule>
  </conditionalFormatting>
  <conditionalFormatting sqref="C32">
    <cfRule type="cellIs" dxfId="9341" priority="7560" stopIfTrue="1" operator="equal">
      <formula>"Napkin Hs"</formula>
    </cfRule>
  </conditionalFormatting>
  <conditionalFormatting sqref="C32">
    <cfRule type="cellIs" dxfId="9340" priority="7557" stopIfTrue="1" operator="equal">
      <formula>"Towel"</formula>
    </cfRule>
    <cfRule type="cellIs" dxfId="9339" priority="7558" stopIfTrue="1" operator="equal">
      <formula>"Napkin Hs"</formula>
    </cfRule>
  </conditionalFormatting>
  <conditionalFormatting sqref="C32">
    <cfRule type="cellIs" dxfId="9338" priority="7559" stopIfTrue="1" operator="equal">
      <formula>"Towel"</formula>
    </cfRule>
  </conditionalFormatting>
  <conditionalFormatting sqref="B32:C32">
    <cfRule type="cellIs" dxfId="9337" priority="7555" stopIfTrue="1" operator="equal">
      <formula>"Towel"</formula>
    </cfRule>
    <cfRule type="cellIs" dxfId="9336" priority="7556" stopIfTrue="1" operator="equal">
      <formula>"Napkin Hs"</formula>
    </cfRule>
  </conditionalFormatting>
  <conditionalFormatting sqref="C32">
    <cfRule type="cellIs" dxfId="9335" priority="7554" stopIfTrue="1" operator="equal">
      <formula>"Napkin Hs"</formula>
    </cfRule>
  </conditionalFormatting>
  <conditionalFormatting sqref="C32">
    <cfRule type="cellIs" dxfId="9334" priority="7551" stopIfTrue="1" operator="equal">
      <formula>"Towel"</formula>
    </cfRule>
    <cfRule type="cellIs" dxfId="9333" priority="7552" stopIfTrue="1" operator="equal">
      <formula>"Napkin Hs"</formula>
    </cfRule>
  </conditionalFormatting>
  <conditionalFormatting sqref="C32">
    <cfRule type="cellIs" dxfId="9332" priority="7553" stopIfTrue="1" operator="equal">
      <formula>"Towel"</formula>
    </cfRule>
  </conditionalFormatting>
  <conditionalFormatting sqref="B32:C32">
    <cfRule type="cellIs" dxfId="9331" priority="7549" stopIfTrue="1" operator="equal">
      <formula>"Towel"</formula>
    </cfRule>
    <cfRule type="cellIs" dxfId="9330" priority="7550" stopIfTrue="1" operator="equal">
      <formula>"Napkin Hs"</formula>
    </cfRule>
  </conditionalFormatting>
  <conditionalFormatting sqref="C32">
    <cfRule type="cellIs" dxfId="9329" priority="7548" stopIfTrue="1" operator="equal">
      <formula>"Napkin Hs"</formula>
    </cfRule>
  </conditionalFormatting>
  <conditionalFormatting sqref="C32">
    <cfRule type="cellIs" dxfId="9328" priority="7545" stopIfTrue="1" operator="equal">
      <formula>"Towel"</formula>
    </cfRule>
    <cfRule type="cellIs" dxfId="9327" priority="7546" stopIfTrue="1" operator="equal">
      <formula>"Napkin Hs"</formula>
    </cfRule>
  </conditionalFormatting>
  <conditionalFormatting sqref="C32">
    <cfRule type="cellIs" dxfId="9326" priority="7547" stopIfTrue="1" operator="equal">
      <formula>"Towel"</formula>
    </cfRule>
  </conditionalFormatting>
  <conditionalFormatting sqref="B32:C32">
    <cfRule type="cellIs" dxfId="9325" priority="7543" stopIfTrue="1" operator="equal">
      <formula>"Towel"</formula>
    </cfRule>
    <cfRule type="cellIs" dxfId="9324" priority="7544" stopIfTrue="1" operator="equal">
      <formula>"Napkin Hs"</formula>
    </cfRule>
  </conditionalFormatting>
  <conditionalFormatting sqref="C32">
    <cfRule type="cellIs" dxfId="9323" priority="7542" stopIfTrue="1" operator="equal">
      <formula>"Napkin Hs"</formula>
    </cfRule>
  </conditionalFormatting>
  <conditionalFormatting sqref="C32">
    <cfRule type="cellIs" dxfId="9322" priority="7539" stopIfTrue="1" operator="equal">
      <formula>"Towel"</formula>
    </cfRule>
    <cfRule type="cellIs" dxfId="9321" priority="7540" stopIfTrue="1" operator="equal">
      <formula>"Napkin Hs"</formula>
    </cfRule>
  </conditionalFormatting>
  <conditionalFormatting sqref="C32">
    <cfRule type="cellIs" dxfId="9320" priority="7541" stopIfTrue="1" operator="equal">
      <formula>"Towel"</formula>
    </cfRule>
  </conditionalFormatting>
  <conditionalFormatting sqref="B32:C32">
    <cfRule type="cellIs" dxfId="9319" priority="7537" stopIfTrue="1" operator="equal">
      <formula>"Towel"</formula>
    </cfRule>
    <cfRule type="cellIs" dxfId="9318" priority="7538" stopIfTrue="1" operator="equal">
      <formula>"Napkin Hs"</formula>
    </cfRule>
  </conditionalFormatting>
  <conditionalFormatting sqref="C32">
    <cfRule type="cellIs" dxfId="9317" priority="7536" stopIfTrue="1" operator="equal">
      <formula>"Napkin Hs"</formula>
    </cfRule>
  </conditionalFormatting>
  <conditionalFormatting sqref="C32">
    <cfRule type="cellIs" dxfId="9316" priority="7533" stopIfTrue="1" operator="equal">
      <formula>"Towel"</formula>
    </cfRule>
    <cfRule type="cellIs" dxfId="9315" priority="7534" stopIfTrue="1" operator="equal">
      <formula>"Napkin Hs"</formula>
    </cfRule>
  </conditionalFormatting>
  <conditionalFormatting sqref="C32">
    <cfRule type="cellIs" dxfId="9314" priority="7535" stopIfTrue="1" operator="equal">
      <formula>"Towel"</formula>
    </cfRule>
  </conditionalFormatting>
  <conditionalFormatting sqref="B32:C32">
    <cfRule type="cellIs" dxfId="9313" priority="7531" stopIfTrue="1" operator="equal">
      <formula>"Towel"</formula>
    </cfRule>
    <cfRule type="cellIs" dxfId="9312" priority="7532" stopIfTrue="1" operator="equal">
      <formula>"Napkin Hs"</formula>
    </cfRule>
  </conditionalFormatting>
  <conditionalFormatting sqref="C32">
    <cfRule type="cellIs" dxfId="9311" priority="7530" stopIfTrue="1" operator="equal">
      <formula>"Napkin Hs"</formula>
    </cfRule>
  </conditionalFormatting>
  <conditionalFormatting sqref="C32">
    <cfRule type="cellIs" dxfId="9310" priority="7527" stopIfTrue="1" operator="equal">
      <formula>"Towel"</formula>
    </cfRule>
    <cfRule type="cellIs" dxfId="9309" priority="7528" stopIfTrue="1" operator="equal">
      <formula>"Napkin Hs"</formula>
    </cfRule>
  </conditionalFormatting>
  <conditionalFormatting sqref="C32">
    <cfRule type="cellIs" dxfId="9308" priority="7529" stopIfTrue="1" operator="equal">
      <formula>"Towel"</formula>
    </cfRule>
  </conditionalFormatting>
  <conditionalFormatting sqref="B32:C32">
    <cfRule type="cellIs" dxfId="9307" priority="7525" stopIfTrue="1" operator="equal">
      <formula>"Towel"</formula>
    </cfRule>
    <cfRule type="cellIs" dxfId="9306" priority="7526" stopIfTrue="1" operator="equal">
      <formula>"Napkin Hs"</formula>
    </cfRule>
  </conditionalFormatting>
  <conditionalFormatting sqref="C32">
    <cfRule type="cellIs" dxfId="9305" priority="7524" stopIfTrue="1" operator="equal">
      <formula>"Napkin Hs"</formula>
    </cfRule>
  </conditionalFormatting>
  <conditionalFormatting sqref="C32">
    <cfRule type="cellIs" dxfId="9304" priority="7521" stopIfTrue="1" operator="equal">
      <formula>"Towel"</formula>
    </cfRule>
    <cfRule type="cellIs" dxfId="9303" priority="7522" stopIfTrue="1" operator="equal">
      <formula>"Napkin Hs"</formula>
    </cfRule>
  </conditionalFormatting>
  <conditionalFormatting sqref="C32">
    <cfRule type="cellIs" dxfId="9302" priority="7523" stopIfTrue="1" operator="equal">
      <formula>"Towel"</formula>
    </cfRule>
  </conditionalFormatting>
  <conditionalFormatting sqref="B43:C43">
    <cfRule type="cellIs" dxfId="9301" priority="7519" stopIfTrue="1" operator="equal">
      <formula>"Towel"</formula>
    </cfRule>
    <cfRule type="cellIs" dxfId="9300" priority="7520" stopIfTrue="1" operator="equal">
      <formula>"Napkin Hs"</formula>
    </cfRule>
  </conditionalFormatting>
  <conditionalFormatting sqref="C43">
    <cfRule type="cellIs" dxfId="9299" priority="7518" stopIfTrue="1" operator="equal">
      <formula>"Napkin Hs"</formula>
    </cfRule>
  </conditionalFormatting>
  <conditionalFormatting sqref="C43">
    <cfRule type="cellIs" dxfId="9298" priority="7515" stopIfTrue="1" operator="equal">
      <formula>"Towel"</formula>
    </cfRule>
    <cfRule type="cellIs" dxfId="9297" priority="7516" stopIfTrue="1" operator="equal">
      <formula>"Napkin Hs"</formula>
    </cfRule>
  </conditionalFormatting>
  <conditionalFormatting sqref="C43">
    <cfRule type="cellIs" dxfId="9296" priority="7517" stopIfTrue="1" operator="equal">
      <formula>"Towel"</formula>
    </cfRule>
  </conditionalFormatting>
  <conditionalFormatting sqref="B39:C39">
    <cfRule type="cellIs" dxfId="9295" priority="7513" stopIfTrue="1" operator="equal">
      <formula>"Towel"</formula>
    </cfRule>
    <cfRule type="cellIs" dxfId="9294" priority="7514" stopIfTrue="1" operator="equal">
      <formula>"Napkin Hs"</formula>
    </cfRule>
  </conditionalFormatting>
  <conditionalFormatting sqref="C39">
    <cfRule type="cellIs" dxfId="9293" priority="7512" stopIfTrue="1" operator="equal">
      <formula>"Napkin Hs"</formula>
    </cfRule>
  </conditionalFormatting>
  <conditionalFormatting sqref="C39">
    <cfRule type="cellIs" dxfId="9292" priority="7509" stopIfTrue="1" operator="equal">
      <formula>"Towel"</formula>
    </cfRule>
    <cfRule type="cellIs" dxfId="9291" priority="7510" stopIfTrue="1" operator="equal">
      <formula>"Napkin Hs"</formula>
    </cfRule>
  </conditionalFormatting>
  <conditionalFormatting sqref="C39">
    <cfRule type="cellIs" dxfId="9290" priority="7511" stopIfTrue="1" operator="equal">
      <formula>"Towel"</formula>
    </cfRule>
  </conditionalFormatting>
  <conditionalFormatting sqref="B36:C36">
    <cfRule type="cellIs" dxfId="9289" priority="7507" stopIfTrue="1" operator="equal">
      <formula>"Towel"</formula>
    </cfRule>
    <cfRule type="cellIs" dxfId="9288" priority="7508" stopIfTrue="1" operator="equal">
      <formula>"Napkin Hs"</formula>
    </cfRule>
  </conditionalFormatting>
  <conditionalFormatting sqref="C36">
    <cfRule type="cellIs" dxfId="9287" priority="7506" stopIfTrue="1" operator="equal">
      <formula>"Napkin Hs"</formula>
    </cfRule>
  </conditionalFormatting>
  <conditionalFormatting sqref="C36">
    <cfRule type="cellIs" dxfId="9286" priority="7503" stopIfTrue="1" operator="equal">
      <formula>"Towel"</formula>
    </cfRule>
    <cfRule type="cellIs" dxfId="9285" priority="7504" stopIfTrue="1" operator="equal">
      <formula>"Napkin Hs"</formula>
    </cfRule>
  </conditionalFormatting>
  <conditionalFormatting sqref="C36">
    <cfRule type="cellIs" dxfId="9284" priority="7505" stopIfTrue="1" operator="equal">
      <formula>"Towel"</formula>
    </cfRule>
  </conditionalFormatting>
  <conditionalFormatting sqref="B36:C36">
    <cfRule type="cellIs" dxfId="9283" priority="7501" stopIfTrue="1" operator="equal">
      <formula>"Towel"</formula>
    </cfRule>
    <cfRule type="cellIs" dxfId="9282" priority="7502" stopIfTrue="1" operator="equal">
      <formula>"Napkin Hs"</formula>
    </cfRule>
  </conditionalFormatting>
  <conditionalFormatting sqref="C36">
    <cfRule type="cellIs" dxfId="9281" priority="7499" stopIfTrue="1" operator="equal">
      <formula>"Towel"</formula>
    </cfRule>
    <cfRule type="cellIs" dxfId="9280" priority="7500" stopIfTrue="1" operator="equal">
      <formula>"Napkin Hs"</formula>
    </cfRule>
  </conditionalFormatting>
  <conditionalFormatting sqref="C36">
    <cfRule type="cellIs" dxfId="9279" priority="7497" stopIfTrue="1" operator="equal">
      <formula>"Towel"</formula>
    </cfRule>
    <cfRule type="cellIs" dxfId="9278" priority="7498" stopIfTrue="1" operator="equal">
      <formula>"Napkin Hs"</formula>
    </cfRule>
  </conditionalFormatting>
  <conditionalFormatting sqref="B39:C39">
    <cfRule type="cellIs" dxfId="9277" priority="7495" stopIfTrue="1" operator="equal">
      <formula>"Towel"</formula>
    </cfRule>
    <cfRule type="cellIs" dxfId="9276" priority="7496" stopIfTrue="1" operator="equal">
      <formula>"Napkin Hs"</formula>
    </cfRule>
  </conditionalFormatting>
  <conditionalFormatting sqref="C39">
    <cfRule type="cellIs" dxfId="9275" priority="7494" stopIfTrue="1" operator="equal">
      <formula>"Napkin Hs"</formula>
    </cfRule>
  </conditionalFormatting>
  <conditionalFormatting sqref="C39">
    <cfRule type="cellIs" dxfId="9274" priority="7491" stopIfTrue="1" operator="equal">
      <formula>"Towel"</formula>
    </cfRule>
    <cfRule type="cellIs" dxfId="9273" priority="7492" stopIfTrue="1" operator="equal">
      <formula>"Napkin Hs"</formula>
    </cfRule>
  </conditionalFormatting>
  <conditionalFormatting sqref="C39">
    <cfRule type="cellIs" dxfId="9272" priority="7493" stopIfTrue="1" operator="equal">
      <formula>"Towel"</formula>
    </cfRule>
  </conditionalFormatting>
  <conditionalFormatting sqref="B39:C39">
    <cfRule type="cellIs" dxfId="9271" priority="7489" stopIfTrue="1" operator="equal">
      <formula>"Towel"</formula>
    </cfRule>
    <cfRule type="cellIs" dxfId="9270" priority="7490" stopIfTrue="1" operator="equal">
      <formula>"Napkin Hs"</formula>
    </cfRule>
  </conditionalFormatting>
  <conditionalFormatting sqref="C39">
    <cfRule type="cellIs" dxfId="9269" priority="7488" stopIfTrue="1" operator="equal">
      <formula>"Napkin Hs"</formula>
    </cfRule>
  </conditionalFormatting>
  <conditionalFormatting sqref="C39">
    <cfRule type="cellIs" dxfId="9268" priority="7485" stopIfTrue="1" operator="equal">
      <formula>"Towel"</formula>
    </cfRule>
    <cfRule type="cellIs" dxfId="9267" priority="7486" stopIfTrue="1" operator="equal">
      <formula>"Napkin Hs"</formula>
    </cfRule>
  </conditionalFormatting>
  <conditionalFormatting sqref="C39">
    <cfRule type="cellIs" dxfId="9266" priority="7487" stopIfTrue="1" operator="equal">
      <formula>"Towel"</formula>
    </cfRule>
  </conditionalFormatting>
  <conditionalFormatting sqref="C39">
    <cfRule type="cellIs" dxfId="9265" priority="7483" stopIfTrue="1" operator="equal">
      <formula>"Towel"</formula>
    </cfRule>
    <cfRule type="cellIs" dxfId="9264" priority="7484" stopIfTrue="1" operator="equal">
      <formula>"Napkin Hs"</formula>
    </cfRule>
  </conditionalFormatting>
  <conditionalFormatting sqref="C39">
    <cfRule type="cellIs" dxfId="9263" priority="7481" stopIfTrue="1" operator="equal">
      <formula>"Towel"</formula>
    </cfRule>
    <cfRule type="cellIs" dxfId="9262" priority="7482" stopIfTrue="1" operator="equal">
      <formula>"Napkin Hs"</formula>
    </cfRule>
  </conditionalFormatting>
  <conditionalFormatting sqref="C39">
    <cfRule type="cellIs" dxfId="9261" priority="7479" stopIfTrue="1" operator="equal">
      <formula>"Towel"</formula>
    </cfRule>
    <cfRule type="cellIs" dxfId="9260" priority="7480" stopIfTrue="1" operator="equal">
      <formula>"Napkin Hs"</formula>
    </cfRule>
  </conditionalFormatting>
  <conditionalFormatting sqref="B39">
    <cfRule type="cellIs" dxfId="9259" priority="7477" stopIfTrue="1" operator="equal">
      <formula>"Towel"</formula>
    </cfRule>
    <cfRule type="cellIs" dxfId="9258" priority="7478" stopIfTrue="1" operator="equal">
      <formula>"Napkin Hs"</formula>
    </cfRule>
  </conditionalFormatting>
  <conditionalFormatting sqref="B39">
    <cfRule type="cellIs" dxfId="9257" priority="7475" stopIfTrue="1" operator="equal">
      <formula>"Towel"</formula>
    </cfRule>
    <cfRule type="cellIs" dxfId="9256" priority="7476" stopIfTrue="1" operator="equal">
      <formula>"Napkin Hs"</formula>
    </cfRule>
  </conditionalFormatting>
  <conditionalFormatting sqref="B39">
    <cfRule type="cellIs" dxfId="9255" priority="7473" stopIfTrue="1" operator="equal">
      <formula>"Towel"</formula>
    </cfRule>
    <cfRule type="cellIs" dxfId="9254" priority="7474" stopIfTrue="1" operator="equal">
      <formula>"Napkin Hs"</formula>
    </cfRule>
  </conditionalFormatting>
  <conditionalFormatting sqref="B39">
    <cfRule type="cellIs" dxfId="9253" priority="7471" stopIfTrue="1" operator="equal">
      <formula>"Towel"</formula>
    </cfRule>
    <cfRule type="cellIs" dxfId="9252" priority="7472" stopIfTrue="1" operator="equal">
      <formula>"Napkin Hs"</formula>
    </cfRule>
  </conditionalFormatting>
  <conditionalFormatting sqref="B39">
    <cfRule type="cellIs" dxfId="9251" priority="7469" stopIfTrue="1" operator="equal">
      <formula>"Towel"</formula>
    </cfRule>
    <cfRule type="cellIs" dxfId="9250" priority="7470" stopIfTrue="1" operator="equal">
      <formula>"Napkin Hs"</formula>
    </cfRule>
  </conditionalFormatting>
  <conditionalFormatting sqref="B39">
    <cfRule type="cellIs" dxfId="9249" priority="7467" stopIfTrue="1" operator="equal">
      <formula>"Towel"</formula>
    </cfRule>
    <cfRule type="cellIs" dxfId="9248" priority="7468" stopIfTrue="1" operator="equal">
      <formula>"Napkin Hs"</formula>
    </cfRule>
  </conditionalFormatting>
  <conditionalFormatting sqref="B39">
    <cfRule type="cellIs" dxfId="9247" priority="7465" stopIfTrue="1" operator="equal">
      <formula>"Towel"</formula>
    </cfRule>
    <cfRule type="cellIs" dxfId="9246" priority="7466" stopIfTrue="1" operator="equal">
      <formula>"Napkin Hs"</formula>
    </cfRule>
  </conditionalFormatting>
  <conditionalFormatting sqref="B39">
    <cfRule type="cellIs" dxfId="9245" priority="7463" stopIfTrue="1" operator="equal">
      <formula>"Towel"</formula>
    </cfRule>
    <cfRule type="cellIs" dxfId="9244" priority="7464" stopIfTrue="1" operator="equal">
      <formula>"Napkin Hs"</formula>
    </cfRule>
  </conditionalFormatting>
  <conditionalFormatting sqref="B39">
    <cfRule type="cellIs" dxfId="9243" priority="7461" stopIfTrue="1" operator="equal">
      <formula>"Towel"</formula>
    </cfRule>
    <cfRule type="cellIs" dxfId="9242" priority="7462" stopIfTrue="1" operator="equal">
      <formula>"Napkin Hs"</formula>
    </cfRule>
  </conditionalFormatting>
  <conditionalFormatting sqref="B39">
    <cfRule type="cellIs" dxfId="9241" priority="7459" stopIfTrue="1" operator="equal">
      <formula>"Towel"</formula>
    </cfRule>
    <cfRule type="cellIs" dxfId="9240" priority="7460" stopIfTrue="1" operator="equal">
      <formula>"Napkin Hs"</formula>
    </cfRule>
  </conditionalFormatting>
  <conditionalFormatting sqref="B39:C39">
    <cfRule type="cellIs" dxfId="9239" priority="7457" stopIfTrue="1" operator="equal">
      <formula>"Towel"</formula>
    </cfRule>
    <cfRule type="cellIs" dxfId="9238" priority="7458" stopIfTrue="1" operator="equal">
      <formula>"Napkin Hs"</formula>
    </cfRule>
  </conditionalFormatting>
  <conditionalFormatting sqref="C39">
    <cfRule type="cellIs" dxfId="9237" priority="7456" stopIfTrue="1" operator="equal">
      <formula>"Napkin Hs"</formula>
    </cfRule>
  </conditionalFormatting>
  <conditionalFormatting sqref="C39">
    <cfRule type="cellIs" dxfId="9236" priority="7453" stopIfTrue="1" operator="equal">
      <formula>"Towel"</formula>
    </cfRule>
    <cfRule type="cellIs" dxfId="9235" priority="7454" stopIfTrue="1" operator="equal">
      <formula>"Napkin Hs"</formula>
    </cfRule>
  </conditionalFormatting>
  <conditionalFormatting sqref="C39">
    <cfRule type="cellIs" dxfId="9234" priority="7455" stopIfTrue="1" operator="equal">
      <formula>"Towel"</formula>
    </cfRule>
  </conditionalFormatting>
  <conditionalFormatting sqref="C39">
    <cfRule type="cellIs" dxfId="9233" priority="7451" stopIfTrue="1" operator="equal">
      <formula>"Towel"</formula>
    </cfRule>
    <cfRule type="cellIs" dxfId="9232" priority="7452" stopIfTrue="1" operator="equal">
      <formula>"Napkin Hs"</formula>
    </cfRule>
  </conditionalFormatting>
  <conditionalFormatting sqref="C39">
    <cfRule type="cellIs" dxfId="9231" priority="7449" stopIfTrue="1" operator="equal">
      <formula>"Towel"</formula>
    </cfRule>
    <cfRule type="cellIs" dxfId="9230" priority="7450" stopIfTrue="1" operator="equal">
      <formula>"Napkin Hs"</formula>
    </cfRule>
  </conditionalFormatting>
  <conditionalFormatting sqref="C39">
    <cfRule type="cellIs" dxfId="9229" priority="7447" stopIfTrue="1" operator="equal">
      <formula>"Towel"</formula>
    </cfRule>
    <cfRule type="cellIs" dxfId="9228" priority="7448" stopIfTrue="1" operator="equal">
      <formula>"Napkin Hs"</formula>
    </cfRule>
  </conditionalFormatting>
  <conditionalFormatting sqref="B39">
    <cfRule type="cellIs" dxfId="9227" priority="7445" stopIfTrue="1" operator="equal">
      <formula>"Towel"</formula>
    </cfRule>
    <cfRule type="cellIs" dxfId="9226" priority="7446" stopIfTrue="1" operator="equal">
      <formula>"Napkin Hs"</formula>
    </cfRule>
  </conditionalFormatting>
  <conditionalFormatting sqref="B39">
    <cfRule type="cellIs" dxfId="9225" priority="7443" stopIfTrue="1" operator="equal">
      <formula>"Towel"</formula>
    </cfRule>
    <cfRule type="cellIs" dxfId="9224" priority="7444" stopIfTrue="1" operator="equal">
      <formula>"Napkin Hs"</formula>
    </cfRule>
  </conditionalFormatting>
  <conditionalFormatting sqref="B39">
    <cfRule type="cellIs" dxfId="9223" priority="7441" stopIfTrue="1" operator="equal">
      <formula>"Towel"</formula>
    </cfRule>
    <cfRule type="cellIs" dxfId="9222" priority="7442" stopIfTrue="1" operator="equal">
      <formula>"Napkin Hs"</formula>
    </cfRule>
  </conditionalFormatting>
  <conditionalFormatting sqref="B39">
    <cfRule type="cellIs" dxfId="9221" priority="7439" stopIfTrue="1" operator="equal">
      <formula>"Towel"</formula>
    </cfRule>
    <cfRule type="cellIs" dxfId="9220" priority="7440" stopIfTrue="1" operator="equal">
      <formula>"Napkin Hs"</formula>
    </cfRule>
  </conditionalFormatting>
  <conditionalFormatting sqref="B39">
    <cfRule type="cellIs" dxfId="9219" priority="7437" stopIfTrue="1" operator="equal">
      <formula>"Towel"</formula>
    </cfRule>
    <cfRule type="cellIs" dxfId="9218" priority="7438" stopIfTrue="1" operator="equal">
      <formula>"Napkin Hs"</formula>
    </cfRule>
  </conditionalFormatting>
  <conditionalFormatting sqref="B39">
    <cfRule type="cellIs" dxfId="9217" priority="7435" stopIfTrue="1" operator="equal">
      <formula>"Towel"</formula>
    </cfRule>
    <cfRule type="cellIs" dxfId="9216" priority="7436" stopIfTrue="1" operator="equal">
      <formula>"Napkin Hs"</formula>
    </cfRule>
  </conditionalFormatting>
  <conditionalFormatting sqref="B39">
    <cfRule type="cellIs" dxfId="9215" priority="7433" stopIfTrue="1" operator="equal">
      <formula>"Towel"</formula>
    </cfRule>
    <cfRule type="cellIs" dxfId="9214" priority="7434" stopIfTrue="1" operator="equal">
      <formula>"Napkin Hs"</formula>
    </cfRule>
  </conditionalFormatting>
  <conditionalFormatting sqref="B39">
    <cfRule type="cellIs" dxfId="9213" priority="7431" stopIfTrue="1" operator="equal">
      <formula>"Towel"</formula>
    </cfRule>
    <cfRule type="cellIs" dxfId="9212" priority="7432" stopIfTrue="1" operator="equal">
      <formula>"Napkin Hs"</formula>
    </cfRule>
  </conditionalFormatting>
  <conditionalFormatting sqref="B39">
    <cfRule type="cellIs" dxfId="9211" priority="7429" stopIfTrue="1" operator="equal">
      <formula>"Towel"</formula>
    </cfRule>
    <cfRule type="cellIs" dxfId="9210" priority="7430" stopIfTrue="1" operator="equal">
      <formula>"Napkin Hs"</formula>
    </cfRule>
  </conditionalFormatting>
  <conditionalFormatting sqref="B39">
    <cfRule type="cellIs" dxfId="9209" priority="7427" stopIfTrue="1" operator="equal">
      <formula>"Towel"</formula>
    </cfRule>
    <cfRule type="cellIs" dxfId="9208" priority="7428" stopIfTrue="1" operator="equal">
      <formula>"Napkin Hs"</formula>
    </cfRule>
  </conditionalFormatting>
  <conditionalFormatting sqref="B36:C36">
    <cfRule type="cellIs" dxfId="9207" priority="7425" stopIfTrue="1" operator="equal">
      <formula>"Towel"</formula>
    </cfRule>
    <cfRule type="cellIs" dxfId="9206" priority="7426" stopIfTrue="1" operator="equal">
      <formula>"Napkin Hs"</formula>
    </cfRule>
  </conditionalFormatting>
  <conditionalFormatting sqref="C36">
    <cfRule type="cellIs" dxfId="9205" priority="7424" stopIfTrue="1" operator="equal">
      <formula>"Napkin Hs"</formula>
    </cfRule>
  </conditionalFormatting>
  <conditionalFormatting sqref="C36">
    <cfRule type="cellIs" dxfId="9204" priority="7421" stopIfTrue="1" operator="equal">
      <formula>"Towel"</formula>
    </cfRule>
    <cfRule type="cellIs" dxfId="9203" priority="7422" stopIfTrue="1" operator="equal">
      <formula>"Napkin Hs"</formula>
    </cfRule>
  </conditionalFormatting>
  <conditionalFormatting sqref="C36">
    <cfRule type="cellIs" dxfId="9202" priority="7423" stopIfTrue="1" operator="equal">
      <formula>"Towel"</formula>
    </cfRule>
  </conditionalFormatting>
  <conditionalFormatting sqref="B36:C36">
    <cfRule type="cellIs" dxfId="9201" priority="7419" stopIfTrue="1" operator="equal">
      <formula>"Towel"</formula>
    </cfRule>
    <cfRule type="cellIs" dxfId="9200" priority="7420" stopIfTrue="1" operator="equal">
      <formula>"Napkin Hs"</formula>
    </cfRule>
  </conditionalFormatting>
  <conditionalFormatting sqref="C36">
    <cfRule type="cellIs" dxfId="9199" priority="7418" stopIfTrue="1" operator="equal">
      <formula>"Napkin Hs"</formula>
    </cfRule>
  </conditionalFormatting>
  <conditionalFormatting sqref="C36">
    <cfRule type="cellIs" dxfId="9198" priority="7417" stopIfTrue="1" operator="equal">
      <formula>"Towel"</formula>
    </cfRule>
  </conditionalFormatting>
  <conditionalFormatting sqref="C36">
    <cfRule type="cellIs" dxfId="9197" priority="7415" stopIfTrue="1" operator="equal">
      <formula>"Towel"</formula>
    </cfRule>
    <cfRule type="cellIs" dxfId="9196" priority="7416" stopIfTrue="1" operator="equal">
      <formula>"Napkin Hs"</formula>
    </cfRule>
  </conditionalFormatting>
  <conditionalFormatting sqref="B36:C36">
    <cfRule type="cellIs" dxfId="9195" priority="7413" stopIfTrue="1" operator="equal">
      <formula>"Towel"</formula>
    </cfRule>
    <cfRule type="cellIs" dxfId="9194" priority="7414" stopIfTrue="1" operator="equal">
      <formula>"Napkin Hs"</formula>
    </cfRule>
  </conditionalFormatting>
  <conditionalFormatting sqref="C36">
    <cfRule type="cellIs" dxfId="9193" priority="7412" stopIfTrue="1" operator="equal">
      <formula>"Napkin Hs"</formula>
    </cfRule>
  </conditionalFormatting>
  <conditionalFormatting sqref="C36">
    <cfRule type="cellIs" dxfId="9192" priority="7409" stopIfTrue="1" operator="equal">
      <formula>"Towel"</formula>
    </cfRule>
    <cfRule type="cellIs" dxfId="9191" priority="7410" stopIfTrue="1" operator="equal">
      <formula>"Napkin Hs"</formula>
    </cfRule>
  </conditionalFormatting>
  <conditionalFormatting sqref="C36">
    <cfRule type="cellIs" dxfId="9190" priority="7411" stopIfTrue="1" operator="equal">
      <formula>"Towel"</formula>
    </cfRule>
  </conditionalFormatting>
  <conditionalFormatting sqref="B36:C36">
    <cfRule type="cellIs" dxfId="9189" priority="7407" stopIfTrue="1" operator="equal">
      <formula>"Towel"</formula>
    </cfRule>
    <cfRule type="cellIs" dxfId="9188" priority="7408" stopIfTrue="1" operator="equal">
      <formula>"Napkin Hs"</formula>
    </cfRule>
  </conditionalFormatting>
  <conditionalFormatting sqref="C36">
    <cfRule type="cellIs" dxfId="9187" priority="7406" stopIfTrue="1" operator="equal">
      <formula>"Napkin Hs"</formula>
    </cfRule>
  </conditionalFormatting>
  <conditionalFormatting sqref="C36">
    <cfRule type="cellIs" dxfId="9186" priority="7403" stopIfTrue="1" operator="equal">
      <formula>"Towel"</formula>
    </cfRule>
    <cfRule type="cellIs" dxfId="9185" priority="7404" stopIfTrue="1" operator="equal">
      <formula>"Napkin Hs"</formula>
    </cfRule>
  </conditionalFormatting>
  <conditionalFormatting sqref="C36">
    <cfRule type="cellIs" dxfId="9184" priority="7405" stopIfTrue="1" operator="equal">
      <formula>"Towel"</formula>
    </cfRule>
  </conditionalFormatting>
  <conditionalFormatting sqref="B36:C36">
    <cfRule type="cellIs" dxfId="9183" priority="7401" stopIfTrue="1" operator="equal">
      <formula>"Towel"</formula>
    </cfRule>
    <cfRule type="cellIs" dxfId="9182" priority="7402" stopIfTrue="1" operator="equal">
      <formula>"Napkin Hs"</formula>
    </cfRule>
  </conditionalFormatting>
  <conditionalFormatting sqref="C36">
    <cfRule type="cellIs" dxfId="9181" priority="7400" stopIfTrue="1" operator="equal">
      <formula>"Napkin Hs"</formula>
    </cfRule>
  </conditionalFormatting>
  <conditionalFormatting sqref="C36">
    <cfRule type="cellIs" dxfId="9180" priority="7397" stopIfTrue="1" operator="equal">
      <formula>"Towel"</formula>
    </cfRule>
    <cfRule type="cellIs" dxfId="9179" priority="7398" stopIfTrue="1" operator="equal">
      <formula>"Napkin Hs"</formula>
    </cfRule>
  </conditionalFormatting>
  <conditionalFormatting sqref="C36">
    <cfRule type="cellIs" dxfId="9178" priority="7399" stopIfTrue="1" operator="equal">
      <formula>"Towel"</formula>
    </cfRule>
  </conditionalFormatting>
  <conditionalFormatting sqref="B36:C36">
    <cfRule type="cellIs" dxfId="9177" priority="7395" stopIfTrue="1" operator="equal">
      <formula>"Towel"</formula>
    </cfRule>
    <cfRule type="cellIs" dxfId="9176" priority="7396" stopIfTrue="1" operator="equal">
      <formula>"Napkin Hs"</formula>
    </cfRule>
  </conditionalFormatting>
  <conditionalFormatting sqref="C36">
    <cfRule type="cellIs" dxfId="9175" priority="7394" stopIfTrue="1" operator="equal">
      <formula>"Napkin Hs"</formula>
    </cfRule>
  </conditionalFormatting>
  <conditionalFormatting sqref="C36">
    <cfRule type="cellIs" dxfId="9174" priority="7391" stopIfTrue="1" operator="equal">
      <formula>"Towel"</formula>
    </cfRule>
    <cfRule type="cellIs" dxfId="9173" priority="7392" stopIfTrue="1" operator="equal">
      <formula>"Napkin Hs"</formula>
    </cfRule>
  </conditionalFormatting>
  <conditionalFormatting sqref="C36">
    <cfRule type="cellIs" dxfId="9172" priority="7393" stopIfTrue="1" operator="equal">
      <formula>"Towel"</formula>
    </cfRule>
  </conditionalFormatting>
  <conditionalFormatting sqref="B36:C36">
    <cfRule type="cellIs" dxfId="9171" priority="7389" stopIfTrue="1" operator="equal">
      <formula>"Towel"</formula>
    </cfRule>
    <cfRule type="cellIs" dxfId="9170" priority="7390" stopIfTrue="1" operator="equal">
      <formula>"Napkin Hs"</formula>
    </cfRule>
  </conditionalFormatting>
  <conditionalFormatting sqref="C36">
    <cfRule type="cellIs" dxfId="9169" priority="7388" stopIfTrue="1" operator="equal">
      <formula>"Napkin Hs"</formula>
    </cfRule>
  </conditionalFormatting>
  <conditionalFormatting sqref="C36">
    <cfRule type="cellIs" dxfId="9168" priority="7385" stopIfTrue="1" operator="equal">
      <formula>"Towel"</formula>
    </cfRule>
    <cfRule type="cellIs" dxfId="9167" priority="7386" stopIfTrue="1" operator="equal">
      <formula>"Napkin Hs"</formula>
    </cfRule>
  </conditionalFormatting>
  <conditionalFormatting sqref="C36">
    <cfRule type="cellIs" dxfId="9166" priority="7387" stopIfTrue="1" operator="equal">
      <formula>"Towel"</formula>
    </cfRule>
  </conditionalFormatting>
  <conditionalFormatting sqref="B36:C36">
    <cfRule type="cellIs" dxfId="9165" priority="7383" stopIfTrue="1" operator="equal">
      <formula>"Towel"</formula>
    </cfRule>
    <cfRule type="cellIs" dxfId="9164" priority="7384" stopIfTrue="1" operator="equal">
      <formula>"Napkin Hs"</formula>
    </cfRule>
  </conditionalFormatting>
  <conditionalFormatting sqref="C36">
    <cfRule type="cellIs" dxfId="9163" priority="7382" stopIfTrue="1" operator="equal">
      <formula>"Napkin Hs"</formula>
    </cfRule>
  </conditionalFormatting>
  <conditionalFormatting sqref="C36">
    <cfRule type="cellIs" dxfId="9162" priority="7379" stopIfTrue="1" operator="equal">
      <formula>"Towel"</formula>
    </cfRule>
    <cfRule type="cellIs" dxfId="9161" priority="7380" stopIfTrue="1" operator="equal">
      <formula>"Napkin Hs"</formula>
    </cfRule>
  </conditionalFormatting>
  <conditionalFormatting sqref="C36">
    <cfRule type="cellIs" dxfId="9160" priority="7381" stopIfTrue="1" operator="equal">
      <formula>"Towel"</formula>
    </cfRule>
  </conditionalFormatting>
  <conditionalFormatting sqref="B36:C36">
    <cfRule type="cellIs" dxfId="9159" priority="7377" stopIfTrue="1" operator="equal">
      <formula>"Towel"</formula>
    </cfRule>
    <cfRule type="cellIs" dxfId="9158" priority="7378" stopIfTrue="1" operator="equal">
      <formula>"Napkin Hs"</formula>
    </cfRule>
  </conditionalFormatting>
  <conditionalFormatting sqref="C36">
    <cfRule type="cellIs" dxfId="9157" priority="7376" stopIfTrue="1" operator="equal">
      <formula>"Napkin Hs"</formula>
    </cfRule>
  </conditionalFormatting>
  <conditionalFormatting sqref="C36">
    <cfRule type="cellIs" dxfId="9156" priority="7373" stopIfTrue="1" operator="equal">
      <formula>"Towel"</formula>
    </cfRule>
    <cfRule type="cellIs" dxfId="9155" priority="7374" stopIfTrue="1" operator="equal">
      <formula>"Napkin Hs"</formula>
    </cfRule>
  </conditionalFormatting>
  <conditionalFormatting sqref="C36">
    <cfRule type="cellIs" dxfId="9154" priority="7375" stopIfTrue="1" operator="equal">
      <formula>"Towel"</formula>
    </cfRule>
  </conditionalFormatting>
  <conditionalFormatting sqref="B36:C36">
    <cfRule type="cellIs" dxfId="9153" priority="7371" stopIfTrue="1" operator="equal">
      <formula>"Towel"</formula>
    </cfRule>
    <cfRule type="cellIs" dxfId="9152" priority="7372" stopIfTrue="1" operator="equal">
      <formula>"Napkin Hs"</formula>
    </cfRule>
  </conditionalFormatting>
  <conditionalFormatting sqref="C36">
    <cfRule type="cellIs" dxfId="9151" priority="7370" stopIfTrue="1" operator="equal">
      <formula>"Napkin Hs"</formula>
    </cfRule>
  </conditionalFormatting>
  <conditionalFormatting sqref="C36">
    <cfRule type="cellIs" dxfId="9150" priority="7367" stopIfTrue="1" operator="equal">
      <formula>"Towel"</formula>
    </cfRule>
    <cfRule type="cellIs" dxfId="9149" priority="7368" stopIfTrue="1" operator="equal">
      <formula>"Napkin Hs"</formula>
    </cfRule>
  </conditionalFormatting>
  <conditionalFormatting sqref="C36">
    <cfRule type="cellIs" dxfId="9148" priority="7369" stopIfTrue="1" operator="equal">
      <formula>"Towel"</formula>
    </cfRule>
  </conditionalFormatting>
  <conditionalFormatting sqref="B36:C36">
    <cfRule type="cellIs" dxfId="9147" priority="7365" stopIfTrue="1" operator="equal">
      <formula>"Towel"</formula>
    </cfRule>
    <cfRule type="cellIs" dxfId="9146" priority="7366" stopIfTrue="1" operator="equal">
      <formula>"Napkin Hs"</formula>
    </cfRule>
  </conditionalFormatting>
  <conditionalFormatting sqref="C36">
    <cfRule type="cellIs" dxfId="9145" priority="7364" stopIfTrue="1" operator="equal">
      <formula>"Napkin Hs"</formula>
    </cfRule>
  </conditionalFormatting>
  <conditionalFormatting sqref="C36">
    <cfRule type="cellIs" dxfId="9144" priority="7361" stopIfTrue="1" operator="equal">
      <formula>"Towel"</formula>
    </cfRule>
    <cfRule type="cellIs" dxfId="9143" priority="7362" stopIfTrue="1" operator="equal">
      <formula>"Napkin Hs"</formula>
    </cfRule>
  </conditionalFormatting>
  <conditionalFormatting sqref="C36">
    <cfRule type="cellIs" dxfId="9142" priority="7363" stopIfTrue="1" operator="equal">
      <formula>"Towel"</formula>
    </cfRule>
  </conditionalFormatting>
  <conditionalFormatting sqref="B36:C36">
    <cfRule type="cellIs" dxfId="9141" priority="7359" stopIfTrue="1" operator="equal">
      <formula>"Towel"</formula>
    </cfRule>
    <cfRule type="cellIs" dxfId="9140" priority="7360" stopIfTrue="1" operator="equal">
      <formula>"Napkin Hs"</formula>
    </cfRule>
  </conditionalFormatting>
  <conditionalFormatting sqref="C36">
    <cfRule type="cellIs" dxfId="9139" priority="7358" stopIfTrue="1" operator="equal">
      <formula>"Napkin Hs"</formula>
    </cfRule>
  </conditionalFormatting>
  <conditionalFormatting sqref="C36">
    <cfRule type="cellIs" dxfId="9138" priority="7355" stopIfTrue="1" operator="equal">
      <formula>"Towel"</formula>
    </cfRule>
    <cfRule type="cellIs" dxfId="9137" priority="7356" stopIfTrue="1" operator="equal">
      <formula>"Napkin Hs"</formula>
    </cfRule>
  </conditionalFormatting>
  <conditionalFormatting sqref="C36">
    <cfRule type="cellIs" dxfId="9136" priority="7357" stopIfTrue="1" operator="equal">
      <formula>"Towel"</formula>
    </cfRule>
  </conditionalFormatting>
  <conditionalFormatting sqref="B36:C36">
    <cfRule type="cellIs" dxfId="9135" priority="7353" stopIfTrue="1" operator="equal">
      <formula>"Towel"</formula>
    </cfRule>
    <cfRule type="cellIs" dxfId="9134" priority="7354" stopIfTrue="1" operator="equal">
      <formula>"Napkin Hs"</formula>
    </cfRule>
  </conditionalFormatting>
  <conditionalFormatting sqref="C36">
    <cfRule type="cellIs" dxfId="9133" priority="7352" stopIfTrue="1" operator="equal">
      <formula>"Napkin Hs"</formula>
    </cfRule>
  </conditionalFormatting>
  <conditionalFormatting sqref="C36">
    <cfRule type="cellIs" dxfId="9132" priority="7351" stopIfTrue="1" operator="equal">
      <formula>"Towel"</formula>
    </cfRule>
  </conditionalFormatting>
  <conditionalFormatting sqref="C36">
    <cfRule type="cellIs" dxfId="9131" priority="7349" stopIfTrue="1" operator="equal">
      <formula>"Towel"</formula>
    </cfRule>
    <cfRule type="cellIs" dxfId="9130" priority="7350" stopIfTrue="1" operator="equal">
      <formula>"Napkin Hs"</formula>
    </cfRule>
  </conditionalFormatting>
  <conditionalFormatting sqref="B36:C36">
    <cfRule type="cellIs" dxfId="9129" priority="7347" stopIfTrue="1" operator="equal">
      <formula>"Towel"</formula>
    </cfRule>
    <cfRule type="cellIs" dxfId="9128" priority="7348" stopIfTrue="1" operator="equal">
      <formula>"Napkin Hs"</formula>
    </cfRule>
  </conditionalFormatting>
  <conditionalFormatting sqref="C36">
    <cfRule type="cellIs" dxfId="9127" priority="7346" stopIfTrue="1" operator="equal">
      <formula>"Napkin Hs"</formula>
    </cfRule>
  </conditionalFormatting>
  <conditionalFormatting sqref="C36">
    <cfRule type="cellIs" dxfId="9126" priority="7343" stopIfTrue="1" operator="equal">
      <formula>"Towel"</formula>
    </cfRule>
    <cfRule type="cellIs" dxfId="9125" priority="7344" stopIfTrue="1" operator="equal">
      <formula>"Napkin Hs"</formula>
    </cfRule>
  </conditionalFormatting>
  <conditionalFormatting sqref="C36">
    <cfRule type="cellIs" dxfId="9124" priority="7345" stopIfTrue="1" operator="equal">
      <formula>"Towel"</formula>
    </cfRule>
  </conditionalFormatting>
  <conditionalFormatting sqref="B36:C36">
    <cfRule type="cellIs" dxfId="9123" priority="7341" stopIfTrue="1" operator="equal">
      <formula>"Towel"</formula>
    </cfRule>
    <cfRule type="cellIs" dxfId="9122" priority="7342" stopIfTrue="1" operator="equal">
      <formula>"Napkin Hs"</formula>
    </cfRule>
  </conditionalFormatting>
  <conditionalFormatting sqref="C36">
    <cfRule type="cellIs" dxfId="9121" priority="7340" stopIfTrue="1" operator="equal">
      <formula>"Napkin Hs"</formula>
    </cfRule>
  </conditionalFormatting>
  <conditionalFormatting sqref="C36">
    <cfRule type="cellIs" dxfId="9120" priority="7337" stopIfTrue="1" operator="equal">
      <formula>"Towel"</formula>
    </cfRule>
    <cfRule type="cellIs" dxfId="9119" priority="7338" stopIfTrue="1" operator="equal">
      <formula>"Napkin Hs"</formula>
    </cfRule>
  </conditionalFormatting>
  <conditionalFormatting sqref="C36">
    <cfRule type="cellIs" dxfId="9118" priority="7339" stopIfTrue="1" operator="equal">
      <formula>"Towel"</formula>
    </cfRule>
  </conditionalFormatting>
  <conditionalFormatting sqref="B36:C36">
    <cfRule type="cellIs" dxfId="9117" priority="7335" stopIfTrue="1" operator="equal">
      <formula>"Towel"</formula>
    </cfRule>
    <cfRule type="cellIs" dxfId="9116" priority="7336" stopIfTrue="1" operator="equal">
      <formula>"Napkin Hs"</formula>
    </cfRule>
  </conditionalFormatting>
  <conditionalFormatting sqref="C36">
    <cfRule type="cellIs" dxfId="9115" priority="7334" stopIfTrue="1" operator="equal">
      <formula>"Napkin Hs"</formula>
    </cfRule>
  </conditionalFormatting>
  <conditionalFormatting sqref="C36">
    <cfRule type="cellIs" dxfId="9114" priority="7331" stopIfTrue="1" operator="equal">
      <formula>"Towel"</formula>
    </cfRule>
    <cfRule type="cellIs" dxfId="9113" priority="7332" stopIfTrue="1" operator="equal">
      <formula>"Napkin Hs"</formula>
    </cfRule>
  </conditionalFormatting>
  <conditionalFormatting sqref="C36">
    <cfRule type="cellIs" dxfId="9112" priority="7333" stopIfTrue="1" operator="equal">
      <formula>"Towel"</formula>
    </cfRule>
  </conditionalFormatting>
  <conditionalFormatting sqref="B36:C36">
    <cfRule type="cellIs" dxfId="9111" priority="7329" stopIfTrue="1" operator="equal">
      <formula>"Towel"</formula>
    </cfRule>
    <cfRule type="cellIs" dxfId="9110" priority="7330" stopIfTrue="1" operator="equal">
      <formula>"Napkin Hs"</formula>
    </cfRule>
  </conditionalFormatting>
  <conditionalFormatting sqref="C36">
    <cfRule type="cellIs" dxfId="9109" priority="7328" stopIfTrue="1" operator="equal">
      <formula>"Napkin Hs"</formula>
    </cfRule>
  </conditionalFormatting>
  <conditionalFormatting sqref="C36">
    <cfRule type="cellIs" dxfId="9108" priority="7325" stopIfTrue="1" operator="equal">
      <formula>"Towel"</formula>
    </cfRule>
    <cfRule type="cellIs" dxfId="9107" priority="7326" stopIfTrue="1" operator="equal">
      <formula>"Napkin Hs"</formula>
    </cfRule>
  </conditionalFormatting>
  <conditionalFormatting sqref="C36">
    <cfRule type="cellIs" dxfId="9106" priority="7327" stopIfTrue="1" operator="equal">
      <formula>"Towel"</formula>
    </cfRule>
  </conditionalFormatting>
  <conditionalFormatting sqref="B36:C36">
    <cfRule type="cellIs" dxfId="9105" priority="7323" stopIfTrue="1" operator="equal">
      <formula>"Towel"</formula>
    </cfRule>
    <cfRule type="cellIs" dxfId="9104" priority="7324" stopIfTrue="1" operator="equal">
      <formula>"Napkin Hs"</formula>
    </cfRule>
  </conditionalFormatting>
  <conditionalFormatting sqref="C36">
    <cfRule type="cellIs" dxfId="9103" priority="7322" stopIfTrue="1" operator="equal">
      <formula>"Napkin Hs"</formula>
    </cfRule>
  </conditionalFormatting>
  <conditionalFormatting sqref="C36">
    <cfRule type="cellIs" dxfId="9102" priority="7319" stopIfTrue="1" operator="equal">
      <formula>"Towel"</formula>
    </cfRule>
    <cfRule type="cellIs" dxfId="9101" priority="7320" stopIfTrue="1" operator="equal">
      <formula>"Napkin Hs"</formula>
    </cfRule>
  </conditionalFormatting>
  <conditionalFormatting sqref="C36">
    <cfRule type="cellIs" dxfId="9100" priority="7321" stopIfTrue="1" operator="equal">
      <formula>"Towel"</formula>
    </cfRule>
  </conditionalFormatting>
  <conditionalFormatting sqref="B36:C36">
    <cfRule type="cellIs" dxfId="9099" priority="7317" stopIfTrue="1" operator="equal">
      <formula>"Towel"</formula>
    </cfRule>
    <cfRule type="cellIs" dxfId="9098" priority="7318" stopIfTrue="1" operator="equal">
      <formula>"Napkin Hs"</formula>
    </cfRule>
  </conditionalFormatting>
  <conditionalFormatting sqref="C36">
    <cfRule type="cellIs" dxfId="9097" priority="7316" stopIfTrue="1" operator="equal">
      <formula>"Napkin Hs"</formula>
    </cfRule>
  </conditionalFormatting>
  <conditionalFormatting sqref="C36">
    <cfRule type="cellIs" dxfId="9096" priority="7313" stopIfTrue="1" operator="equal">
      <formula>"Towel"</formula>
    </cfRule>
    <cfRule type="cellIs" dxfId="9095" priority="7314" stopIfTrue="1" operator="equal">
      <formula>"Napkin Hs"</formula>
    </cfRule>
  </conditionalFormatting>
  <conditionalFormatting sqref="C36">
    <cfRule type="cellIs" dxfId="9094" priority="7315" stopIfTrue="1" operator="equal">
      <formula>"Towel"</formula>
    </cfRule>
  </conditionalFormatting>
  <conditionalFormatting sqref="B36:C36">
    <cfRule type="cellIs" dxfId="9093" priority="7311" stopIfTrue="1" operator="equal">
      <formula>"Towel"</formula>
    </cfRule>
    <cfRule type="cellIs" dxfId="9092" priority="7312" stopIfTrue="1" operator="equal">
      <formula>"Napkin Hs"</formula>
    </cfRule>
  </conditionalFormatting>
  <conditionalFormatting sqref="C36">
    <cfRule type="cellIs" dxfId="9091" priority="7310" stopIfTrue="1" operator="equal">
      <formula>"Napkin Hs"</formula>
    </cfRule>
  </conditionalFormatting>
  <conditionalFormatting sqref="C36">
    <cfRule type="cellIs" dxfId="9090" priority="7307" stopIfTrue="1" operator="equal">
      <formula>"Towel"</formula>
    </cfRule>
    <cfRule type="cellIs" dxfId="9089" priority="7308" stopIfTrue="1" operator="equal">
      <formula>"Napkin Hs"</formula>
    </cfRule>
  </conditionalFormatting>
  <conditionalFormatting sqref="C36">
    <cfRule type="cellIs" dxfId="9088" priority="7309" stopIfTrue="1" operator="equal">
      <formula>"Towel"</formula>
    </cfRule>
  </conditionalFormatting>
  <conditionalFormatting sqref="B36:C36">
    <cfRule type="cellIs" dxfId="9087" priority="7305" stopIfTrue="1" operator="equal">
      <formula>"Towel"</formula>
    </cfRule>
    <cfRule type="cellIs" dxfId="9086" priority="7306" stopIfTrue="1" operator="equal">
      <formula>"Napkin Hs"</formula>
    </cfRule>
  </conditionalFormatting>
  <conditionalFormatting sqref="C36">
    <cfRule type="cellIs" dxfId="9085" priority="7304" stopIfTrue="1" operator="equal">
      <formula>"Napkin Hs"</formula>
    </cfRule>
  </conditionalFormatting>
  <conditionalFormatting sqref="C36">
    <cfRule type="cellIs" dxfId="9084" priority="7301" stopIfTrue="1" operator="equal">
      <formula>"Towel"</formula>
    </cfRule>
    <cfRule type="cellIs" dxfId="9083" priority="7302" stopIfTrue="1" operator="equal">
      <formula>"Napkin Hs"</formula>
    </cfRule>
  </conditionalFormatting>
  <conditionalFormatting sqref="C36">
    <cfRule type="cellIs" dxfId="9082" priority="7303" stopIfTrue="1" operator="equal">
      <formula>"Towel"</formula>
    </cfRule>
  </conditionalFormatting>
  <conditionalFormatting sqref="B36:C36">
    <cfRule type="cellIs" dxfId="9081" priority="7299" stopIfTrue="1" operator="equal">
      <formula>"Towel"</formula>
    </cfRule>
    <cfRule type="cellIs" dxfId="9080" priority="7300" stopIfTrue="1" operator="equal">
      <formula>"Napkin Hs"</formula>
    </cfRule>
  </conditionalFormatting>
  <conditionalFormatting sqref="C36">
    <cfRule type="cellIs" dxfId="9079" priority="7298" stopIfTrue="1" operator="equal">
      <formula>"Napkin Hs"</formula>
    </cfRule>
  </conditionalFormatting>
  <conditionalFormatting sqref="C36">
    <cfRule type="cellIs" dxfId="9078" priority="7295" stopIfTrue="1" operator="equal">
      <formula>"Towel"</formula>
    </cfRule>
    <cfRule type="cellIs" dxfId="9077" priority="7296" stopIfTrue="1" operator="equal">
      <formula>"Napkin Hs"</formula>
    </cfRule>
  </conditionalFormatting>
  <conditionalFormatting sqref="C36">
    <cfRule type="cellIs" dxfId="9076" priority="7297" stopIfTrue="1" operator="equal">
      <formula>"Towel"</formula>
    </cfRule>
  </conditionalFormatting>
  <conditionalFormatting sqref="B37:C37">
    <cfRule type="cellIs" dxfId="9075" priority="7293" stopIfTrue="1" operator="equal">
      <formula>"Towel"</formula>
    </cfRule>
    <cfRule type="cellIs" dxfId="9074" priority="7294" stopIfTrue="1" operator="equal">
      <formula>"Napkin Hs"</formula>
    </cfRule>
  </conditionalFormatting>
  <conditionalFormatting sqref="C37">
    <cfRule type="cellIs" dxfId="9073" priority="7292" stopIfTrue="1" operator="equal">
      <formula>"Napkin Hs"</formula>
    </cfRule>
  </conditionalFormatting>
  <conditionalFormatting sqref="C37">
    <cfRule type="cellIs" dxfId="9072" priority="7289" stopIfTrue="1" operator="equal">
      <formula>"Towel"</formula>
    </cfRule>
    <cfRule type="cellIs" dxfId="9071" priority="7290" stopIfTrue="1" operator="equal">
      <formula>"Napkin Hs"</formula>
    </cfRule>
  </conditionalFormatting>
  <conditionalFormatting sqref="C37">
    <cfRule type="cellIs" dxfId="9070" priority="7291" stopIfTrue="1" operator="equal">
      <formula>"Towel"</formula>
    </cfRule>
  </conditionalFormatting>
  <conditionalFormatting sqref="B37:C37">
    <cfRule type="cellIs" dxfId="9069" priority="7287" stopIfTrue="1" operator="equal">
      <formula>"Towel"</formula>
    </cfRule>
    <cfRule type="cellIs" dxfId="9068" priority="7288" stopIfTrue="1" operator="equal">
      <formula>"Napkin Hs"</formula>
    </cfRule>
  </conditionalFormatting>
  <conditionalFormatting sqref="C37">
    <cfRule type="cellIs" dxfId="9067" priority="7285" stopIfTrue="1" operator="equal">
      <formula>"Towel"</formula>
    </cfRule>
    <cfRule type="cellIs" dxfId="9066" priority="7286" stopIfTrue="1" operator="equal">
      <formula>"Napkin Hs"</formula>
    </cfRule>
  </conditionalFormatting>
  <conditionalFormatting sqref="C37">
    <cfRule type="cellIs" dxfId="9065" priority="7283" stopIfTrue="1" operator="equal">
      <formula>"Towel"</formula>
    </cfRule>
    <cfRule type="cellIs" dxfId="9064" priority="7284" stopIfTrue="1" operator="equal">
      <formula>"Napkin Hs"</formula>
    </cfRule>
  </conditionalFormatting>
  <conditionalFormatting sqref="B37:C37">
    <cfRule type="cellIs" dxfId="9063" priority="7281" stopIfTrue="1" operator="equal">
      <formula>"Towel"</formula>
    </cfRule>
    <cfRule type="cellIs" dxfId="9062" priority="7282" stopIfTrue="1" operator="equal">
      <formula>"Napkin Hs"</formula>
    </cfRule>
  </conditionalFormatting>
  <conditionalFormatting sqref="C37">
    <cfRule type="cellIs" dxfId="9061" priority="7280" stopIfTrue="1" operator="equal">
      <formula>"Napkin Hs"</formula>
    </cfRule>
  </conditionalFormatting>
  <conditionalFormatting sqref="C37">
    <cfRule type="cellIs" dxfId="9060" priority="7277" stopIfTrue="1" operator="equal">
      <formula>"Towel"</formula>
    </cfRule>
    <cfRule type="cellIs" dxfId="9059" priority="7278" stopIfTrue="1" operator="equal">
      <formula>"Napkin Hs"</formula>
    </cfRule>
  </conditionalFormatting>
  <conditionalFormatting sqref="C37">
    <cfRule type="cellIs" dxfId="9058" priority="7279" stopIfTrue="1" operator="equal">
      <formula>"Towel"</formula>
    </cfRule>
  </conditionalFormatting>
  <conditionalFormatting sqref="B37:C37">
    <cfRule type="cellIs" dxfId="9057" priority="7275" stopIfTrue="1" operator="equal">
      <formula>"Towel"</formula>
    </cfRule>
    <cfRule type="cellIs" dxfId="9056" priority="7276" stopIfTrue="1" operator="equal">
      <formula>"Napkin Hs"</formula>
    </cfRule>
  </conditionalFormatting>
  <conditionalFormatting sqref="C37">
    <cfRule type="cellIs" dxfId="9055" priority="7274" stopIfTrue="1" operator="equal">
      <formula>"Napkin Hs"</formula>
    </cfRule>
  </conditionalFormatting>
  <conditionalFormatting sqref="C37">
    <cfRule type="cellIs" dxfId="9054" priority="7273" stopIfTrue="1" operator="equal">
      <formula>"Towel"</formula>
    </cfRule>
  </conditionalFormatting>
  <conditionalFormatting sqref="C37">
    <cfRule type="cellIs" dxfId="9053" priority="7271" stopIfTrue="1" operator="equal">
      <formula>"Towel"</formula>
    </cfRule>
    <cfRule type="cellIs" dxfId="9052" priority="7272" stopIfTrue="1" operator="equal">
      <formula>"Napkin Hs"</formula>
    </cfRule>
  </conditionalFormatting>
  <conditionalFormatting sqref="B37:C37">
    <cfRule type="cellIs" dxfId="9051" priority="7269" stopIfTrue="1" operator="equal">
      <formula>"Towel"</formula>
    </cfRule>
    <cfRule type="cellIs" dxfId="9050" priority="7270" stopIfTrue="1" operator="equal">
      <formula>"Napkin Hs"</formula>
    </cfRule>
  </conditionalFormatting>
  <conditionalFormatting sqref="C37">
    <cfRule type="cellIs" dxfId="9049" priority="7268" stopIfTrue="1" operator="equal">
      <formula>"Napkin Hs"</formula>
    </cfRule>
  </conditionalFormatting>
  <conditionalFormatting sqref="C37">
    <cfRule type="cellIs" dxfId="9048" priority="7265" stopIfTrue="1" operator="equal">
      <formula>"Towel"</formula>
    </cfRule>
    <cfRule type="cellIs" dxfId="9047" priority="7266" stopIfTrue="1" operator="equal">
      <formula>"Napkin Hs"</formula>
    </cfRule>
  </conditionalFormatting>
  <conditionalFormatting sqref="C37">
    <cfRule type="cellIs" dxfId="9046" priority="7267" stopIfTrue="1" operator="equal">
      <formula>"Towel"</formula>
    </cfRule>
  </conditionalFormatting>
  <conditionalFormatting sqref="B37:C37">
    <cfRule type="cellIs" dxfId="9045" priority="7263" stopIfTrue="1" operator="equal">
      <formula>"Towel"</formula>
    </cfRule>
    <cfRule type="cellIs" dxfId="9044" priority="7264" stopIfTrue="1" operator="equal">
      <formula>"Napkin Hs"</formula>
    </cfRule>
  </conditionalFormatting>
  <conditionalFormatting sqref="C37">
    <cfRule type="cellIs" dxfId="9043" priority="7262" stopIfTrue="1" operator="equal">
      <formula>"Napkin Hs"</formula>
    </cfRule>
  </conditionalFormatting>
  <conditionalFormatting sqref="C37">
    <cfRule type="cellIs" dxfId="9042" priority="7259" stopIfTrue="1" operator="equal">
      <formula>"Towel"</formula>
    </cfRule>
    <cfRule type="cellIs" dxfId="9041" priority="7260" stopIfTrue="1" operator="equal">
      <formula>"Napkin Hs"</formula>
    </cfRule>
  </conditionalFormatting>
  <conditionalFormatting sqref="C37">
    <cfRule type="cellIs" dxfId="9040" priority="7261" stopIfTrue="1" operator="equal">
      <formula>"Towel"</formula>
    </cfRule>
  </conditionalFormatting>
  <conditionalFormatting sqref="B37:C37">
    <cfRule type="cellIs" dxfId="9039" priority="7257" stopIfTrue="1" operator="equal">
      <formula>"Towel"</formula>
    </cfRule>
    <cfRule type="cellIs" dxfId="9038" priority="7258" stopIfTrue="1" operator="equal">
      <formula>"Napkin Hs"</formula>
    </cfRule>
  </conditionalFormatting>
  <conditionalFormatting sqref="C37">
    <cfRule type="cellIs" dxfId="9037" priority="7256" stopIfTrue="1" operator="equal">
      <formula>"Napkin Hs"</formula>
    </cfRule>
  </conditionalFormatting>
  <conditionalFormatting sqref="C37">
    <cfRule type="cellIs" dxfId="9036" priority="7253" stopIfTrue="1" operator="equal">
      <formula>"Towel"</formula>
    </cfRule>
    <cfRule type="cellIs" dxfId="9035" priority="7254" stopIfTrue="1" operator="equal">
      <formula>"Napkin Hs"</formula>
    </cfRule>
  </conditionalFormatting>
  <conditionalFormatting sqref="C37">
    <cfRule type="cellIs" dxfId="9034" priority="7255" stopIfTrue="1" operator="equal">
      <formula>"Towel"</formula>
    </cfRule>
  </conditionalFormatting>
  <conditionalFormatting sqref="B37:C37">
    <cfRule type="cellIs" dxfId="9033" priority="7251" stopIfTrue="1" operator="equal">
      <formula>"Towel"</formula>
    </cfRule>
    <cfRule type="cellIs" dxfId="9032" priority="7252" stopIfTrue="1" operator="equal">
      <formula>"Napkin Hs"</formula>
    </cfRule>
  </conditionalFormatting>
  <conditionalFormatting sqref="C37">
    <cfRule type="cellIs" dxfId="9031" priority="7250" stopIfTrue="1" operator="equal">
      <formula>"Napkin Hs"</formula>
    </cfRule>
  </conditionalFormatting>
  <conditionalFormatting sqref="C37">
    <cfRule type="cellIs" dxfId="9030" priority="7247" stopIfTrue="1" operator="equal">
      <formula>"Towel"</formula>
    </cfRule>
    <cfRule type="cellIs" dxfId="9029" priority="7248" stopIfTrue="1" operator="equal">
      <formula>"Napkin Hs"</formula>
    </cfRule>
  </conditionalFormatting>
  <conditionalFormatting sqref="C37">
    <cfRule type="cellIs" dxfId="9028" priority="7249" stopIfTrue="1" operator="equal">
      <formula>"Towel"</formula>
    </cfRule>
  </conditionalFormatting>
  <conditionalFormatting sqref="B37:C37">
    <cfRule type="cellIs" dxfId="9027" priority="7245" stopIfTrue="1" operator="equal">
      <formula>"Towel"</formula>
    </cfRule>
    <cfRule type="cellIs" dxfId="9026" priority="7246" stopIfTrue="1" operator="equal">
      <formula>"Napkin Hs"</formula>
    </cfRule>
  </conditionalFormatting>
  <conditionalFormatting sqref="C37">
    <cfRule type="cellIs" dxfId="9025" priority="7244" stopIfTrue="1" operator="equal">
      <formula>"Napkin Hs"</formula>
    </cfRule>
  </conditionalFormatting>
  <conditionalFormatting sqref="C37">
    <cfRule type="cellIs" dxfId="9024" priority="7241" stopIfTrue="1" operator="equal">
      <formula>"Towel"</formula>
    </cfRule>
    <cfRule type="cellIs" dxfId="9023" priority="7242" stopIfTrue="1" operator="equal">
      <formula>"Napkin Hs"</formula>
    </cfRule>
  </conditionalFormatting>
  <conditionalFormatting sqref="C37">
    <cfRule type="cellIs" dxfId="9022" priority="7243" stopIfTrue="1" operator="equal">
      <formula>"Towel"</formula>
    </cfRule>
  </conditionalFormatting>
  <conditionalFormatting sqref="B37:C37">
    <cfRule type="cellIs" dxfId="9021" priority="7239" stopIfTrue="1" operator="equal">
      <formula>"Towel"</formula>
    </cfRule>
    <cfRule type="cellIs" dxfId="9020" priority="7240" stopIfTrue="1" operator="equal">
      <formula>"Napkin Hs"</formula>
    </cfRule>
  </conditionalFormatting>
  <conditionalFormatting sqref="C37">
    <cfRule type="cellIs" dxfId="9019" priority="7238" stopIfTrue="1" operator="equal">
      <formula>"Napkin Hs"</formula>
    </cfRule>
  </conditionalFormatting>
  <conditionalFormatting sqref="C37">
    <cfRule type="cellIs" dxfId="9018" priority="7235" stopIfTrue="1" operator="equal">
      <formula>"Towel"</formula>
    </cfRule>
    <cfRule type="cellIs" dxfId="9017" priority="7236" stopIfTrue="1" operator="equal">
      <formula>"Napkin Hs"</formula>
    </cfRule>
  </conditionalFormatting>
  <conditionalFormatting sqref="C37">
    <cfRule type="cellIs" dxfId="9016" priority="7237" stopIfTrue="1" operator="equal">
      <formula>"Towel"</formula>
    </cfRule>
  </conditionalFormatting>
  <conditionalFormatting sqref="B37:C37">
    <cfRule type="cellIs" dxfId="9015" priority="7233" stopIfTrue="1" operator="equal">
      <formula>"Towel"</formula>
    </cfRule>
    <cfRule type="cellIs" dxfId="9014" priority="7234" stopIfTrue="1" operator="equal">
      <formula>"Napkin Hs"</formula>
    </cfRule>
  </conditionalFormatting>
  <conditionalFormatting sqref="C37">
    <cfRule type="cellIs" dxfId="9013" priority="7232" stopIfTrue="1" operator="equal">
      <formula>"Napkin Hs"</formula>
    </cfRule>
  </conditionalFormatting>
  <conditionalFormatting sqref="C37">
    <cfRule type="cellIs" dxfId="9012" priority="7229" stopIfTrue="1" operator="equal">
      <formula>"Towel"</formula>
    </cfRule>
    <cfRule type="cellIs" dxfId="9011" priority="7230" stopIfTrue="1" operator="equal">
      <formula>"Napkin Hs"</formula>
    </cfRule>
  </conditionalFormatting>
  <conditionalFormatting sqref="C37">
    <cfRule type="cellIs" dxfId="9010" priority="7231" stopIfTrue="1" operator="equal">
      <formula>"Towel"</formula>
    </cfRule>
  </conditionalFormatting>
  <conditionalFormatting sqref="B37:C37">
    <cfRule type="cellIs" dxfId="9009" priority="7227" stopIfTrue="1" operator="equal">
      <formula>"Towel"</formula>
    </cfRule>
    <cfRule type="cellIs" dxfId="9008" priority="7228" stopIfTrue="1" operator="equal">
      <formula>"Napkin Hs"</formula>
    </cfRule>
  </conditionalFormatting>
  <conditionalFormatting sqref="C37">
    <cfRule type="cellIs" dxfId="9007" priority="7226" stopIfTrue="1" operator="equal">
      <formula>"Napkin Hs"</formula>
    </cfRule>
  </conditionalFormatting>
  <conditionalFormatting sqref="C37">
    <cfRule type="cellIs" dxfId="9006" priority="7223" stopIfTrue="1" operator="equal">
      <formula>"Towel"</formula>
    </cfRule>
    <cfRule type="cellIs" dxfId="9005" priority="7224" stopIfTrue="1" operator="equal">
      <formula>"Napkin Hs"</formula>
    </cfRule>
  </conditionalFormatting>
  <conditionalFormatting sqref="C37">
    <cfRule type="cellIs" dxfId="9004" priority="7225" stopIfTrue="1" operator="equal">
      <formula>"Towel"</formula>
    </cfRule>
  </conditionalFormatting>
  <conditionalFormatting sqref="B37:C37">
    <cfRule type="cellIs" dxfId="9003" priority="7221" stopIfTrue="1" operator="equal">
      <formula>"Towel"</formula>
    </cfRule>
    <cfRule type="cellIs" dxfId="9002" priority="7222" stopIfTrue="1" operator="equal">
      <formula>"Napkin Hs"</formula>
    </cfRule>
  </conditionalFormatting>
  <conditionalFormatting sqref="C37">
    <cfRule type="cellIs" dxfId="9001" priority="7220" stopIfTrue="1" operator="equal">
      <formula>"Napkin Hs"</formula>
    </cfRule>
  </conditionalFormatting>
  <conditionalFormatting sqref="C37">
    <cfRule type="cellIs" dxfId="9000" priority="7217" stopIfTrue="1" operator="equal">
      <formula>"Towel"</formula>
    </cfRule>
    <cfRule type="cellIs" dxfId="8999" priority="7218" stopIfTrue="1" operator="equal">
      <formula>"Napkin Hs"</formula>
    </cfRule>
  </conditionalFormatting>
  <conditionalFormatting sqref="C37">
    <cfRule type="cellIs" dxfId="8998" priority="7219" stopIfTrue="1" operator="equal">
      <formula>"Towel"</formula>
    </cfRule>
  </conditionalFormatting>
  <conditionalFormatting sqref="B37:C37">
    <cfRule type="cellIs" dxfId="8997" priority="7215" stopIfTrue="1" operator="equal">
      <formula>"Towel"</formula>
    </cfRule>
    <cfRule type="cellIs" dxfId="8996" priority="7216" stopIfTrue="1" operator="equal">
      <formula>"Napkin Hs"</formula>
    </cfRule>
  </conditionalFormatting>
  <conditionalFormatting sqref="C37">
    <cfRule type="cellIs" dxfId="8995" priority="7214" stopIfTrue="1" operator="equal">
      <formula>"Napkin Hs"</formula>
    </cfRule>
  </conditionalFormatting>
  <conditionalFormatting sqref="C37">
    <cfRule type="cellIs" dxfId="8994" priority="7211" stopIfTrue="1" operator="equal">
      <formula>"Towel"</formula>
    </cfRule>
    <cfRule type="cellIs" dxfId="8993" priority="7212" stopIfTrue="1" operator="equal">
      <formula>"Napkin Hs"</formula>
    </cfRule>
  </conditionalFormatting>
  <conditionalFormatting sqref="C37">
    <cfRule type="cellIs" dxfId="8992" priority="7213" stopIfTrue="1" operator="equal">
      <formula>"Towel"</formula>
    </cfRule>
  </conditionalFormatting>
  <conditionalFormatting sqref="B37:C37">
    <cfRule type="cellIs" dxfId="8991" priority="7209" stopIfTrue="1" operator="equal">
      <formula>"Towel"</formula>
    </cfRule>
    <cfRule type="cellIs" dxfId="8990" priority="7210" stopIfTrue="1" operator="equal">
      <formula>"Napkin Hs"</formula>
    </cfRule>
  </conditionalFormatting>
  <conditionalFormatting sqref="C37">
    <cfRule type="cellIs" dxfId="8989" priority="7208" stopIfTrue="1" operator="equal">
      <formula>"Napkin Hs"</formula>
    </cfRule>
  </conditionalFormatting>
  <conditionalFormatting sqref="C37">
    <cfRule type="cellIs" dxfId="8988" priority="7207" stopIfTrue="1" operator="equal">
      <formula>"Towel"</formula>
    </cfRule>
  </conditionalFormatting>
  <conditionalFormatting sqref="C37">
    <cfRule type="cellIs" dxfId="8987" priority="7205" stopIfTrue="1" operator="equal">
      <formula>"Towel"</formula>
    </cfRule>
    <cfRule type="cellIs" dxfId="8986" priority="7206" stopIfTrue="1" operator="equal">
      <formula>"Napkin Hs"</formula>
    </cfRule>
  </conditionalFormatting>
  <conditionalFormatting sqref="B37:C37">
    <cfRule type="cellIs" dxfId="8985" priority="7203" stopIfTrue="1" operator="equal">
      <formula>"Towel"</formula>
    </cfRule>
    <cfRule type="cellIs" dxfId="8984" priority="7204" stopIfTrue="1" operator="equal">
      <formula>"Napkin Hs"</formula>
    </cfRule>
  </conditionalFormatting>
  <conditionalFormatting sqref="C37">
    <cfRule type="cellIs" dxfId="8983" priority="7202" stopIfTrue="1" operator="equal">
      <formula>"Napkin Hs"</formula>
    </cfRule>
  </conditionalFormatting>
  <conditionalFormatting sqref="C37">
    <cfRule type="cellIs" dxfId="8982" priority="7199" stopIfTrue="1" operator="equal">
      <formula>"Towel"</formula>
    </cfRule>
    <cfRule type="cellIs" dxfId="8981" priority="7200" stopIfTrue="1" operator="equal">
      <formula>"Napkin Hs"</formula>
    </cfRule>
  </conditionalFormatting>
  <conditionalFormatting sqref="C37">
    <cfRule type="cellIs" dxfId="8980" priority="7201" stopIfTrue="1" operator="equal">
      <formula>"Towel"</formula>
    </cfRule>
  </conditionalFormatting>
  <conditionalFormatting sqref="B37:C37">
    <cfRule type="cellIs" dxfId="8979" priority="7197" stopIfTrue="1" operator="equal">
      <formula>"Towel"</formula>
    </cfRule>
    <cfRule type="cellIs" dxfId="8978" priority="7198" stopIfTrue="1" operator="equal">
      <formula>"Napkin Hs"</formula>
    </cfRule>
  </conditionalFormatting>
  <conditionalFormatting sqref="C37">
    <cfRule type="cellIs" dxfId="8977" priority="7196" stopIfTrue="1" operator="equal">
      <formula>"Napkin Hs"</formula>
    </cfRule>
  </conditionalFormatting>
  <conditionalFormatting sqref="C37">
    <cfRule type="cellIs" dxfId="8976" priority="7193" stopIfTrue="1" operator="equal">
      <formula>"Towel"</formula>
    </cfRule>
    <cfRule type="cellIs" dxfId="8975" priority="7194" stopIfTrue="1" operator="equal">
      <formula>"Napkin Hs"</formula>
    </cfRule>
  </conditionalFormatting>
  <conditionalFormatting sqref="C37">
    <cfRule type="cellIs" dxfId="8974" priority="7195" stopIfTrue="1" operator="equal">
      <formula>"Towel"</formula>
    </cfRule>
  </conditionalFormatting>
  <conditionalFormatting sqref="B37:C37">
    <cfRule type="cellIs" dxfId="8973" priority="7191" stopIfTrue="1" operator="equal">
      <formula>"Towel"</formula>
    </cfRule>
    <cfRule type="cellIs" dxfId="8972" priority="7192" stopIfTrue="1" operator="equal">
      <formula>"Napkin Hs"</formula>
    </cfRule>
  </conditionalFormatting>
  <conditionalFormatting sqref="C37">
    <cfRule type="cellIs" dxfId="8971" priority="7190" stopIfTrue="1" operator="equal">
      <formula>"Napkin Hs"</formula>
    </cfRule>
  </conditionalFormatting>
  <conditionalFormatting sqref="C37">
    <cfRule type="cellIs" dxfId="8970" priority="7187" stopIfTrue="1" operator="equal">
      <formula>"Towel"</formula>
    </cfRule>
    <cfRule type="cellIs" dxfId="8969" priority="7188" stopIfTrue="1" operator="equal">
      <formula>"Napkin Hs"</formula>
    </cfRule>
  </conditionalFormatting>
  <conditionalFormatting sqref="C37">
    <cfRule type="cellIs" dxfId="8968" priority="7189" stopIfTrue="1" operator="equal">
      <formula>"Towel"</formula>
    </cfRule>
  </conditionalFormatting>
  <conditionalFormatting sqref="B37:C37">
    <cfRule type="cellIs" dxfId="8967" priority="7185" stopIfTrue="1" operator="equal">
      <formula>"Towel"</formula>
    </cfRule>
    <cfRule type="cellIs" dxfId="8966" priority="7186" stopIfTrue="1" operator="equal">
      <formula>"Napkin Hs"</formula>
    </cfRule>
  </conditionalFormatting>
  <conditionalFormatting sqref="C37">
    <cfRule type="cellIs" dxfId="8965" priority="7184" stopIfTrue="1" operator="equal">
      <formula>"Napkin Hs"</formula>
    </cfRule>
  </conditionalFormatting>
  <conditionalFormatting sqref="C37">
    <cfRule type="cellIs" dxfId="8964" priority="7181" stopIfTrue="1" operator="equal">
      <formula>"Towel"</formula>
    </cfRule>
    <cfRule type="cellIs" dxfId="8963" priority="7182" stopIfTrue="1" operator="equal">
      <formula>"Napkin Hs"</formula>
    </cfRule>
  </conditionalFormatting>
  <conditionalFormatting sqref="C37">
    <cfRule type="cellIs" dxfId="8962" priority="7183" stopIfTrue="1" operator="equal">
      <formula>"Towel"</formula>
    </cfRule>
  </conditionalFormatting>
  <conditionalFormatting sqref="B37:C37">
    <cfRule type="cellIs" dxfId="8961" priority="7179" stopIfTrue="1" operator="equal">
      <formula>"Towel"</formula>
    </cfRule>
    <cfRule type="cellIs" dxfId="8960" priority="7180" stopIfTrue="1" operator="equal">
      <formula>"Napkin Hs"</formula>
    </cfRule>
  </conditionalFormatting>
  <conditionalFormatting sqref="C37">
    <cfRule type="cellIs" dxfId="8959" priority="7178" stopIfTrue="1" operator="equal">
      <formula>"Napkin Hs"</formula>
    </cfRule>
  </conditionalFormatting>
  <conditionalFormatting sqref="C37">
    <cfRule type="cellIs" dxfId="8958" priority="7175" stopIfTrue="1" operator="equal">
      <formula>"Towel"</formula>
    </cfRule>
    <cfRule type="cellIs" dxfId="8957" priority="7176" stopIfTrue="1" operator="equal">
      <formula>"Napkin Hs"</formula>
    </cfRule>
  </conditionalFormatting>
  <conditionalFormatting sqref="C37">
    <cfRule type="cellIs" dxfId="8956" priority="7177" stopIfTrue="1" operator="equal">
      <formula>"Towel"</formula>
    </cfRule>
  </conditionalFormatting>
  <conditionalFormatting sqref="B37:C37">
    <cfRule type="cellIs" dxfId="8955" priority="7173" stopIfTrue="1" operator="equal">
      <formula>"Towel"</formula>
    </cfRule>
    <cfRule type="cellIs" dxfId="8954" priority="7174" stopIfTrue="1" operator="equal">
      <formula>"Napkin Hs"</formula>
    </cfRule>
  </conditionalFormatting>
  <conditionalFormatting sqref="C37">
    <cfRule type="cellIs" dxfId="8953" priority="7172" stopIfTrue="1" operator="equal">
      <formula>"Napkin Hs"</formula>
    </cfRule>
  </conditionalFormatting>
  <conditionalFormatting sqref="C37">
    <cfRule type="cellIs" dxfId="8952" priority="7169" stopIfTrue="1" operator="equal">
      <formula>"Towel"</formula>
    </cfRule>
    <cfRule type="cellIs" dxfId="8951" priority="7170" stopIfTrue="1" operator="equal">
      <formula>"Napkin Hs"</formula>
    </cfRule>
  </conditionalFormatting>
  <conditionalFormatting sqref="C37">
    <cfRule type="cellIs" dxfId="8950" priority="7171" stopIfTrue="1" operator="equal">
      <formula>"Towel"</formula>
    </cfRule>
  </conditionalFormatting>
  <conditionalFormatting sqref="B37:C37">
    <cfRule type="cellIs" dxfId="8949" priority="7167" stopIfTrue="1" operator="equal">
      <formula>"Towel"</formula>
    </cfRule>
    <cfRule type="cellIs" dxfId="8948" priority="7168" stopIfTrue="1" operator="equal">
      <formula>"Napkin Hs"</formula>
    </cfRule>
  </conditionalFormatting>
  <conditionalFormatting sqref="C37">
    <cfRule type="cellIs" dxfId="8947" priority="7166" stopIfTrue="1" operator="equal">
      <formula>"Napkin Hs"</formula>
    </cfRule>
  </conditionalFormatting>
  <conditionalFormatting sqref="C37">
    <cfRule type="cellIs" dxfId="8946" priority="7163" stopIfTrue="1" operator="equal">
      <formula>"Towel"</formula>
    </cfRule>
    <cfRule type="cellIs" dxfId="8945" priority="7164" stopIfTrue="1" operator="equal">
      <formula>"Napkin Hs"</formula>
    </cfRule>
  </conditionalFormatting>
  <conditionalFormatting sqref="C37">
    <cfRule type="cellIs" dxfId="8944" priority="7165" stopIfTrue="1" operator="equal">
      <formula>"Towel"</formula>
    </cfRule>
  </conditionalFormatting>
  <conditionalFormatting sqref="B37:C37">
    <cfRule type="cellIs" dxfId="8943" priority="7161" stopIfTrue="1" operator="equal">
      <formula>"Towel"</formula>
    </cfRule>
    <cfRule type="cellIs" dxfId="8942" priority="7162" stopIfTrue="1" operator="equal">
      <formula>"Napkin Hs"</formula>
    </cfRule>
  </conditionalFormatting>
  <conditionalFormatting sqref="C37">
    <cfRule type="cellIs" dxfId="8941" priority="7160" stopIfTrue="1" operator="equal">
      <formula>"Napkin Hs"</formula>
    </cfRule>
  </conditionalFormatting>
  <conditionalFormatting sqref="C37">
    <cfRule type="cellIs" dxfId="8940" priority="7157" stopIfTrue="1" operator="equal">
      <formula>"Towel"</formula>
    </cfRule>
    <cfRule type="cellIs" dxfId="8939" priority="7158" stopIfTrue="1" operator="equal">
      <formula>"Napkin Hs"</formula>
    </cfRule>
  </conditionalFormatting>
  <conditionalFormatting sqref="C37">
    <cfRule type="cellIs" dxfId="8938" priority="7159" stopIfTrue="1" operator="equal">
      <formula>"Towel"</formula>
    </cfRule>
  </conditionalFormatting>
  <conditionalFormatting sqref="B37:C37">
    <cfRule type="cellIs" dxfId="8937" priority="7155" stopIfTrue="1" operator="equal">
      <formula>"Towel"</formula>
    </cfRule>
    <cfRule type="cellIs" dxfId="8936" priority="7156" stopIfTrue="1" operator="equal">
      <formula>"Napkin Hs"</formula>
    </cfRule>
  </conditionalFormatting>
  <conditionalFormatting sqref="C37">
    <cfRule type="cellIs" dxfId="8935" priority="7154" stopIfTrue="1" operator="equal">
      <formula>"Napkin Hs"</formula>
    </cfRule>
  </conditionalFormatting>
  <conditionalFormatting sqref="C37">
    <cfRule type="cellIs" dxfId="8934" priority="7151" stopIfTrue="1" operator="equal">
      <formula>"Towel"</formula>
    </cfRule>
    <cfRule type="cellIs" dxfId="8933" priority="7152" stopIfTrue="1" operator="equal">
      <formula>"Napkin Hs"</formula>
    </cfRule>
  </conditionalFormatting>
  <conditionalFormatting sqref="C37">
    <cfRule type="cellIs" dxfId="8932" priority="7153" stopIfTrue="1" operator="equal">
      <formula>"Towel"</formula>
    </cfRule>
  </conditionalFormatting>
  <conditionalFormatting sqref="C42">
    <cfRule type="cellIs" dxfId="8931" priority="7149" stopIfTrue="1" operator="equal">
      <formula>"Towel"</formula>
    </cfRule>
    <cfRule type="cellIs" dxfId="8930" priority="7150" stopIfTrue="1" operator="equal">
      <formula>"Napkin Hs"</formula>
    </cfRule>
  </conditionalFormatting>
  <conditionalFormatting sqref="C42">
    <cfRule type="cellIs" dxfId="8929" priority="7148" stopIfTrue="1" operator="equal">
      <formula>"Napkin Hs"</formula>
    </cfRule>
  </conditionalFormatting>
  <conditionalFormatting sqref="C42">
    <cfRule type="cellIs" dxfId="8928" priority="7145" stopIfTrue="1" operator="equal">
      <formula>"Towel"</formula>
    </cfRule>
    <cfRule type="cellIs" dxfId="8927" priority="7146" stopIfTrue="1" operator="equal">
      <formula>"Napkin Hs"</formula>
    </cfRule>
  </conditionalFormatting>
  <conditionalFormatting sqref="C42">
    <cfRule type="cellIs" dxfId="8926" priority="7147" stopIfTrue="1" operator="equal">
      <formula>"Towel"</formula>
    </cfRule>
  </conditionalFormatting>
  <conditionalFormatting sqref="B40:C40">
    <cfRule type="cellIs" dxfId="8925" priority="7143" stopIfTrue="1" operator="equal">
      <formula>"Towel"</formula>
    </cfRule>
    <cfRule type="cellIs" dxfId="8924" priority="7144" stopIfTrue="1" operator="equal">
      <formula>"Napkin Hs"</formula>
    </cfRule>
  </conditionalFormatting>
  <conditionalFormatting sqref="C40">
    <cfRule type="cellIs" dxfId="8923" priority="7142" stopIfTrue="1" operator="equal">
      <formula>"Napkin Hs"</formula>
    </cfRule>
  </conditionalFormatting>
  <conditionalFormatting sqref="C40">
    <cfRule type="cellIs" dxfId="8922" priority="7139" stopIfTrue="1" operator="equal">
      <formula>"Towel"</formula>
    </cfRule>
    <cfRule type="cellIs" dxfId="8921" priority="7140" stopIfTrue="1" operator="equal">
      <formula>"Napkin Hs"</formula>
    </cfRule>
  </conditionalFormatting>
  <conditionalFormatting sqref="C40">
    <cfRule type="cellIs" dxfId="8920" priority="7141" stopIfTrue="1" operator="equal">
      <formula>"Towel"</formula>
    </cfRule>
  </conditionalFormatting>
  <conditionalFormatting sqref="B40:C40">
    <cfRule type="cellIs" dxfId="8919" priority="7137" stopIfTrue="1" operator="equal">
      <formula>"Towel"</formula>
    </cfRule>
    <cfRule type="cellIs" dxfId="8918" priority="7138" stopIfTrue="1" operator="equal">
      <formula>"Napkin Hs"</formula>
    </cfRule>
  </conditionalFormatting>
  <conditionalFormatting sqref="C40">
    <cfRule type="cellIs" dxfId="8917" priority="7135" stopIfTrue="1" operator="equal">
      <formula>"Towel"</formula>
    </cfRule>
    <cfRule type="cellIs" dxfId="8916" priority="7136" stopIfTrue="1" operator="equal">
      <formula>"Napkin Hs"</formula>
    </cfRule>
  </conditionalFormatting>
  <conditionalFormatting sqref="C40">
    <cfRule type="cellIs" dxfId="8915" priority="7133" stopIfTrue="1" operator="equal">
      <formula>"Towel"</formula>
    </cfRule>
    <cfRule type="cellIs" dxfId="8914" priority="7134" stopIfTrue="1" operator="equal">
      <formula>"Napkin Hs"</formula>
    </cfRule>
  </conditionalFormatting>
  <conditionalFormatting sqref="C42">
    <cfRule type="cellIs" dxfId="8913" priority="7131" stopIfTrue="1" operator="equal">
      <formula>"Towel"</formula>
    </cfRule>
    <cfRule type="cellIs" dxfId="8912" priority="7132" stopIfTrue="1" operator="equal">
      <formula>"Napkin Hs"</formula>
    </cfRule>
  </conditionalFormatting>
  <conditionalFormatting sqref="C42">
    <cfRule type="cellIs" dxfId="8911" priority="7130" stopIfTrue="1" operator="equal">
      <formula>"Napkin Hs"</formula>
    </cfRule>
  </conditionalFormatting>
  <conditionalFormatting sqref="C42">
    <cfRule type="cellIs" dxfId="8910" priority="7127" stopIfTrue="1" operator="equal">
      <formula>"Towel"</formula>
    </cfRule>
    <cfRule type="cellIs" dxfId="8909" priority="7128" stopIfTrue="1" operator="equal">
      <formula>"Napkin Hs"</formula>
    </cfRule>
  </conditionalFormatting>
  <conditionalFormatting sqref="C42">
    <cfRule type="cellIs" dxfId="8908" priority="7129" stopIfTrue="1" operator="equal">
      <formula>"Towel"</formula>
    </cfRule>
  </conditionalFormatting>
  <conditionalFormatting sqref="C42">
    <cfRule type="cellIs" dxfId="8907" priority="7125" stopIfTrue="1" operator="equal">
      <formula>"Towel"</formula>
    </cfRule>
    <cfRule type="cellIs" dxfId="8906" priority="7126" stopIfTrue="1" operator="equal">
      <formula>"Napkin Hs"</formula>
    </cfRule>
  </conditionalFormatting>
  <conditionalFormatting sqref="C42">
    <cfRule type="cellIs" dxfId="8905" priority="7124" stopIfTrue="1" operator="equal">
      <formula>"Napkin Hs"</formula>
    </cfRule>
  </conditionalFormatting>
  <conditionalFormatting sqref="C42">
    <cfRule type="cellIs" dxfId="8904" priority="7123" stopIfTrue="1" operator="equal">
      <formula>"Towel"</formula>
    </cfRule>
  </conditionalFormatting>
  <conditionalFormatting sqref="C42">
    <cfRule type="cellIs" dxfId="8903" priority="7121" stopIfTrue="1" operator="equal">
      <formula>"Towel"</formula>
    </cfRule>
    <cfRule type="cellIs" dxfId="8902" priority="7122" stopIfTrue="1" operator="equal">
      <formula>"Napkin Hs"</formula>
    </cfRule>
  </conditionalFormatting>
  <conditionalFormatting sqref="C42">
    <cfRule type="cellIs" dxfId="8901" priority="7119" stopIfTrue="1" operator="equal">
      <formula>"Towel"</formula>
    </cfRule>
    <cfRule type="cellIs" dxfId="8900" priority="7120" stopIfTrue="1" operator="equal">
      <formula>"Napkin Hs"</formula>
    </cfRule>
  </conditionalFormatting>
  <conditionalFormatting sqref="C42">
    <cfRule type="cellIs" dxfId="8899" priority="7118" stopIfTrue="1" operator="equal">
      <formula>"Napkin Hs"</formula>
    </cfRule>
  </conditionalFormatting>
  <conditionalFormatting sqref="C42">
    <cfRule type="cellIs" dxfId="8898" priority="7117" stopIfTrue="1" operator="equal">
      <formula>"Towel"</formula>
    </cfRule>
  </conditionalFormatting>
  <conditionalFormatting sqref="C42">
    <cfRule type="cellIs" dxfId="8897" priority="7115" stopIfTrue="1" operator="equal">
      <formula>"Towel"</formula>
    </cfRule>
    <cfRule type="cellIs" dxfId="8896" priority="7116" stopIfTrue="1" operator="equal">
      <formula>"Napkin Hs"</formula>
    </cfRule>
  </conditionalFormatting>
  <conditionalFormatting sqref="C42">
    <cfRule type="cellIs" dxfId="8895" priority="7113" stopIfTrue="1" operator="equal">
      <formula>"Towel"</formula>
    </cfRule>
    <cfRule type="cellIs" dxfId="8894" priority="7114" stopIfTrue="1" operator="equal">
      <formula>"Napkin Hs"</formula>
    </cfRule>
  </conditionalFormatting>
  <conditionalFormatting sqref="C42">
    <cfRule type="cellIs" dxfId="8893" priority="7112" stopIfTrue="1" operator="equal">
      <formula>"Napkin Hs"</formula>
    </cfRule>
  </conditionalFormatting>
  <conditionalFormatting sqref="C42">
    <cfRule type="cellIs" dxfId="8892" priority="7109" stopIfTrue="1" operator="equal">
      <formula>"Towel"</formula>
    </cfRule>
    <cfRule type="cellIs" dxfId="8891" priority="7110" stopIfTrue="1" operator="equal">
      <formula>"Napkin Hs"</formula>
    </cfRule>
  </conditionalFormatting>
  <conditionalFormatting sqref="C42">
    <cfRule type="cellIs" dxfId="8890" priority="7111" stopIfTrue="1" operator="equal">
      <formula>"Towel"</formula>
    </cfRule>
  </conditionalFormatting>
  <conditionalFormatting sqref="C42">
    <cfRule type="cellIs" dxfId="8889" priority="7107" stopIfTrue="1" operator="equal">
      <formula>"Towel"</formula>
    </cfRule>
    <cfRule type="cellIs" dxfId="8888" priority="7108" stopIfTrue="1" operator="equal">
      <formula>"Napkin Hs"</formula>
    </cfRule>
  </conditionalFormatting>
  <conditionalFormatting sqref="C42">
    <cfRule type="cellIs" dxfId="8887" priority="7106" stopIfTrue="1" operator="equal">
      <formula>"Napkin Hs"</formula>
    </cfRule>
  </conditionalFormatting>
  <conditionalFormatting sqref="C42">
    <cfRule type="cellIs" dxfId="8886" priority="7103" stopIfTrue="1" operator="equal">
      <formula>"Towel"</formula>
    </cfRule>
    <cfRule type="cellIs" dxfId="8885" priority="7104" stopIfTrue="1" operator="equal">
      <formula>"Napkin Hs"</formula>
    </cfRule>
  </conditionalFormatting>
  <conditionalFormatting sqref="C42">
    <cfRule type="cellIs" dxfId="8884" priority="7105" stopIfTrue="1" operator="equal">
      <formula>"Towel"</formula>
    </cfRule>
  </conditionalFormatting>
  <conditionalFormatting sqref="C42">
    <cfRule type="cellIs" dxfId="8883" priority="7101" stopIfTrue="1" operator="equal">
      <formula>"Towel"</formula>
    </cfRule>
    <cfRule type="cellIs" dxfId="8882" priority="7102" stopIfTrue="1" operator="equal">
      <formula>"Napkin Hs"</formula>
    </cfRule>
  </conditionalFormatting>
  <conditionalFormatting sqref="C42">
    <cfRule type="cellIs" dxfId="8881" priority="7100" stopIfTrue="1" operator="equal">
      <formula>"Napkin Hs"</formula>
    </cfRule>
  </conditionalFormatting>
  <conditionalFormatting sqref="C42">
    <cfRule type="cellIs" dxfId="8880" priority="7097" stopIfTrue="1" operator="equal">
      <formula>"Towel"</formula>
    </cfRule>
    <cfRule type="cellIs" dxfId="8879" priority="7098" stopIfTrue="1" operator="equal">
      <formula>"Napkin Hs"</formula>
    </cfRule>
  </conditionalFormatting>
  <conditionalFormatting sqref="C42">
    <cfRule type="cellIs" dxfId="8878" priority="7099" stopIfTrue="1" operator="equal">
      <formula>"Towel"</formula>
    </cfRule>
  </conditionalFormatting>
  <conditionalFormatting sqref="C42">
    <cfRule type="cellIs" dxfId="8877" priority="7095" stopIfTrue="1" operator="equal">
      <formula>"Towel"</formula>
    </cfRule>
    <cfRule type="cellIs" dxfId="8876" priority="7096" stopIfTrue="1" operator="equal">
      <formula>"Napkin Hs"</formula>
    </cfRule>
  </conditionalFormatting>
  <conditionalFormatting sqref="C42">
    <cfRule type="cellIs" dxfId="8875" priority="7094" stopIfTrue="1" operator="equal">
      <formula>"Napkin Hs"</formula>
    </cfRule>
  </conditionalFormatting>
  <conditionalFormatting sqref="C42">
    <cfRule type="cellIs" dxfId="8874" priority="7091" stopIfTrue="1" operator="equal">
      <formula>"Towel"</formula>
    </cfRule>
    <cfRule type="cellIs" dxfId="8873" priority="7092" stopIfTrue="1" operator="equal">
      <formula>"Napkin Hs"</formula>
    </cfRule>
  </conditionalFormatting>
  <conditionalFormatting sqref="C42">
    <cfRule type="cellIs" dxfId="8872" priority="7093" stopIfTrue="1" operator="equal">
      <formula>"Towel"</formula>
    </cfRule>
  </conditionalFormatting>
  <conditionalFormatting sqref="C42">
    <cfRule type="cellIs" dxfId="8871" priority="7089" stopIfTrue="1" operator="equal">
      <formula>"Towel"</formula>
    </cfRule>
    <cfRule type="cellIs" dxfId="8870" priority="7090" stopIfTrue="1" operator="equal">
      <formula>"Napkin Hs"</formula>
    </cfRule>
  </conditionalFormatting>
  <conditionalFormatting sqref="C42">
    <cfRule type="cellIs" dxfId="8869" priority="7088" stopIfTrue="1" operator="equal">
      <formula>"Napkin Hs"</formula>
    </cfRule>
  </conditionalFormatting>
  <conditionalFormatting sqref="C42">
    <cfRule type="cellIs" dxfId="8868" priority="7085" stopIfTrue="1" operator="equal">
      <formula>"Towel"</formula>
    </cfRule>
    <cfRule type="cellIs" dxfId="8867" priority="7086" stopIfTrue="1" operator="equal">
      <formula>"Napkin Hs"</formula>
    </cfRule>
  </conditionalFormatting>
  <conditionalFormatting sqref="C42">
    <cfRule type="cellIs" dxfId="8866" priority="7087" stopIfTrue="1" operator="equal">
      <formula>"Towel"</formula>
    </cfRule>
  </conditionalFormatting>
  <conditionalFormatting sqref="C42">
    <cfRule type="cellIs" dxfId="8865" priority="7083" stopIfTrue="1" operator="equal">
      <formula>"Towel"</formula>
    </cfRule>
    <cfRule type="cellIs" dxfId="8864" priority="7084" stopIfTrue="1" operator="equal">
      <formula>"Napkin Hs"</formula>
    </cfRule>
  </conditionalFormatting>
  <conditionalFormatting sqref="C42">
    <cfRule type="cellIs" dxfId="8863" priority="7082" stopIfTrue="1" operator="equal">
      <formula>"Napkin Hs"</formula>
    </cfRule>
  </conditionalFormatting>
  <conditionalFormatting sqref="C42">
    <cfRule type="cellIs" dxfId="8862" priority="7079" stopIfTrue="1" operator="equal">
      <formula>"Towel"</formula>
    </cfRule>
    <cfRule type="cellIs" dxfId="8861" priority="7080" stopIfTrue="1" operator="equal">
      <formula>"Napkin Hs"</formula>
    </cfRule>
  </conditionalFormatting>
  <conditionalFormatting sqref="C42">
    <cfRule type="cellIs" dxfId="8860" priority="7081" stopIfTrue="1" operator="equal">
      <formula>"Towel"</formula>
    </cfRule>
  </conditionalFormatting>
  <conditionalFormatting sqref="C42">
    <cfRule type="cellIs" dxfId="8859" priority="7077" stopIfTrue="1" operator="equal">
      <formula>"Towel"</formula>
    </cfRule>
    <cfRule type="cellIs" dxfId="8858" priority="7078" stopIfTrue="1" operator="equal">
      <formula>"Napkin Hs"</formula>
    </cfRule>
  </conditionalFormatting>
  <conditionalFormatting sqref="C42">
    <cfRule type="cellIs" dxfId="8857" priority="7076" stopIfTrue="1" operator="equal">
      <formula>"Napkin Hs"</formula>
    </cfRule>
  </conditionalFormatting>
  <conditionalFormatting sqref="C42">
    <cfRule type="cellIs" dxfId="8856" priority="7073" stopIfTrue="1" operator="equal">
      <formula>"Towel"</formula>
    </cfRule>
    <cfRule type="cellIs" dxfId="8855" priority="7074" stopIfTrue="1" operator="equal">
      <formula>"Napkin Hs"</formula>
    </cfRule>
  </conditionalFormatting>
  <conditionalFormatting sqref="C42">
    <cfRule type="cellIs" dxfId="8854" priority="7075" stopIfTrue="1" operator="equal">
      <formula>"Towel"</formula>
    </cfRule>
  </conditionalFormatting>
  <conditionalFormatting sqref="C42">
    <cfRule type="cellIs" dxfId="8853" priority="7071" stopIfTrue="1" operator="equal">
      <formula>"Towel"</formula>
    </cfRule>
    <cfRule type="cellIs" dxfId="8852" priority="7072" stopIfTrue="1" operator="equal">
      <formula>"Napkin Hs"</formula>
    </cfRule>
  </conditionalFormatting>
  <conditionalFormatting sqref="C42">
    <cfRule type="cellIs" dxfId="8851" priority="7070" stopIfTrue="1" operator="equal">
      <formula>"Napkin Hs"</formula>
    </cfRule>
  </conditionalFormatting>
  <conditionalFormatting sqref="C42">
    <cfRule type="cellIs" dxfId="8850" priority="7067" stopIfTrue="1" operator="equal">
      <formula>"Towel"</formula>
    </cfRule>
    <cfRule type="cellIs" dxfId="8849" priority="7068" stopIfTrue="1" operator="equal">
      <formula>"Napkin Hs"</formula>
    </cfRule>
  </conditionalFormatting>
  <conditionalFormatting sqref="C42">
    <cfRule type="cellIs" dxfId="8848" priority="7069" stopIfTrue="1" operator="equal">
      <formula>"Towel"</formula>
    </cfRule>
  </conditionalFormatting>
  <conditionalFormatting sqref="C42">
    <cfRule type="cellIs" dxfId="8847" priority="7065" stopIfTrue="1" operator="equal">
      <formula>"Towel"</formula>
    </cfRule>
    <cfRule type="cellIs" dxfId="8846" priority="7066" stopIfTrue="1" operator="equal">
      <formula>"Napkin Hs"</formula>
    </cfRule>
  </conditionalFormatting>
  <conditionalFormatting sqref="C42">
    <cfRule type="cellIs" dxfId="8845" priority="7064" stopIfTrue="1" operator="equal">
      <formula>"Napkin Hs"</formula>
    </cfRule>
  </conditionalFormatting>
  <conditionalFormatting sqref="C42">
    <cfRule type="cellIs" dxfId="8844" priority="7061" stopIfTrue="1" operator="equal">
      <formula>"Towel"</formula>
    </cfRule>
    <cfRule type="cellIs" dxfId="8843" priority="7062" stopIfTrue="1" operator="equal">
      <formula>"Napkin Hs"</formula>
    </cfRule>
  </conditionalFormatting>
  <conditionalFormatting sqref="C42">
    <cfRule type="cellIs" dxfId="8842" priority="7063" stopIfTrue="1" operator="equal">
      <formula>"Towel"</formula>
    </cfRule>
  </conditionalFormatting>
  <conditionalFormatting sqref="C42">
    <cfRule type="cellIs" dxfId="8841" priority="7059" stopIfTrue="1" operator="equal">
      <formula>"Towel"</formula>
    </cfRule>
    <cfRule type="cellIs" dxfId="8840" priority="7060" stopIfTrue="1" operator="equal">
      <formula>"Napkin Hs"</formula>
    </cfRule>
  </conditionalFormatting>
  <conditionalFormatting sqref="C42">
    <cfRule type="cellIs" dxfId="8839" priority="7058" stopIfTrue="1" operator="equal">
      <formula>"Napkin Hs"</formula>
    </cfRule>
  </conditionalFormatting>
  <conditionalFormatting sqref="C42">
    <cfRule type="cellIs" dxfId="8838" priority="7057" stopIfTrue="1" operator="equal">
      <formula>"Towel"</formula>
    </cfRule>
  </conditionalFormatting>
  <conditionalFormatting sqref="C42">
    <cfRule type="cellIs" dxfId="8837" priority="7055" stopIfTrue="1" operator="equal">
      <formula>"Towel"</formula>
    </cfRule>
    <cfRule type="cellIs" dxfId="8836" priority="7056" stopIfTrue="1" operator="equal">
      <formula>"Napkin Hs"</formula>
    </cfRule>
  </conditionalFormatting>
  <conditionalFormatting sqref="C42">
    <cfRule type="cellIs" dxfId="8835" priority="7053" stopIfTrue="1" operator="equal">
      <formula>"Towel"</formula>
    </cfRule>
    <cfRule type="cellIs" dxfId="8834" priority="7054" stopIfTrue="1" operator="equal">
      <formula>"Napkin Hs"</formula>
    </cfRule>
  </conditionalFormatting>
  <conditionalFormatting sqref="C42">
    <cfRule type="cellIs" dxfId="8833" priority="7052" stopIfTrue="1" operator="equal">
      <formula>"Napkin Hs"</formula>
    </cfRule>
  </conditionalFormatting>
  <conditionalFormatting sqref="C42">
    <cfRule type="cellIs" dxfId="8832" priority="7051" stopIfTrue="1" operator="equal">
      <formula>"Towel"</formula>
    </cfRule>
  </conditionalFormatting>
  <conditionalFormatting sqref="C42">
    <cfRule type="cellIs" dxfId="8831" priority="7049" stopIfTrue="1" operator="equal">
      <formula>"Towel"</formula>
    </cfRule>
    <cfRule type="cellIs" dxfId="8830" priority="7050" stopIfTrue="1" operator="equal">
      <formula>"Napkin Hs"</formula>
    </cfRule>
  </conditionalFormatting>
  <conditionalFormatting sqref="C42">
    <cfRule type="cellIs" dxfId="8829" priority="7047" stopIfTrue="1" operator="equal">
      <formula>"Towel"</formula>
    </cfRule>
    <cfRule type="cellIs" dxfId="8828" priority="7048" stopIfTrue="1" operator="equal">
      <formula>"Napkin Hs"</formula>
    </cfRule>
  </conditionalFormatting>
  <conditionalFormatting sqref="C42">
    <cfRule type="cellIs" dxfId="8827" priority="7046" stopIfTrue="1" operator="equal">
      <formula>"Napkin Hs"</formula>
    </cfRule>
  </conditionalFormatting>
  <conditionalFormatting sqref="C42">
    <cfRule type="cellIs" dxfId="8826" priority="7043" stopIfTrue="1" operator="equal">
      <formula>"Towel"</formula>
    </cfRule>
    <cfRule type="cellIs" dxfId="8825" priority="7044" stopIfTrue="1" operator="equal">
      <formula>"Napkin Hs"</formula>
    </cfRule>
  </conditionalFormatting>
  <conditionalFormatting sqref="C42">
    <cfRule type="cellIs" dxfId="8824" priority="7045" stopIfTrue="1" operator="equal">
      <formula>"Towel"</formula>
    </cfRule>
  </conditionalFormatting>
  <conditionalFormatting sqref="C42">
    <cfRule type="cellIs" dxfId="8823" priority="7041" stopIfTrue="1" operator="equal">
      <formula>"Towel"</formula>
    </cfRule>
    <cfRule type="cellIs" dxfId="8822" priority="7042" stopIfTrue="1" operator="equal">
      <formula>"Napkin Hs"</formula>
    </cfRule>
  </conditionalFormatting>
  <conditionalFormatting sqref="C42">
    <cfRule type="cellIs" dxfId="8821" priority="7040" stopIfTrue="1" operator="equal">
      <formula>"Napkin Hs"</formula>
    </cfRule>
  </conditionalFormatting>
  <conditionalFormatting sqref="C42">
    <cfRule type="cellIs" dxfId="8820" priority="7037" stopIfTrue="1" operator="equal">
      <formula>"Towel"</formula>
    </cfRule>
    <cfRule type="cellIs" dxfId="8819" priority="7038" stopIfTrue="1" operator="equal">
      <formula>"Napkin Hs"</formula>
    </cfRule>
  </conditionalFormatting>
  <conditionalFormatting sqref="C42">
    <cfRule type="cellIs" dxfId="8818" priority="7039" stopIfTrue="1" operator="equal">
      <formula>"Towel"</formula>
    </cfRule>
  </conditionalFormatting>
  <conditionalFormatting sqref="C42">
    <cfRule type="cellIs" dxfId="8817" priority="7035" stopIfTrue="1" operator="equal">
      <formula>"Towel"</formula>
    </cfRule>
    <cfRule type="cellIs" dxfId="8816" priority="7036" stopIfTrue="1" operator="equal">
      <formula>"Napkin Hs"</formula>
    </cfRule>
  </conditionalFormatting>
  <conditionalFormatting sqref="C42">
    <cfRule type="cellIs" dxfId="8815" priority="7034" stopIfTrue="1" operator="equal">
      <formula>"Napkin Hs"</formula>
    </cfRule>
  </conditionalFormatting>
  <conditionalFormatting sqref="C42">
    <cfRule type="cellIs" dxfId="8814" priority="7031" stopIfTrue="1" operator="equal">
      <formula>"Towel"</formula>
    </cfRule>
    <cfRule type="cellIs" dxfId="8813" priority="7032" stopIfTrue="1" operator="equal">
      <formula>"Napkin Hs"</formula>
    </cfRule>
  </conditionalFormatting>
  <conditionalFormatting sqref="C42">
    <cfRule type="cellIs" dxfId="8812" priority="7033" stopIfTrue="1" operator="equal">
      <formula>"Towel"</formula>
    </cfRule>
  </conditionalFormatting>
  <conditionalFormatting sqref="C42">
    <cfRule type="cellIs" dxfId="8811" priority="7029" stopIfTrue="1" operator="equal">
      <formula>"Towel"</formula>
    </cfRule>
    <cfRule type="cellIs" dxfId="8810" priority="7030" stopIfTrue="1" operator="equal">
      <formula>"Napkin Hs"</formula>
    </cfRule>
  </conditionalFormatting>
  <conditionalFormatting sqref="C42">
    <cfRule type="cellIs" dxfId="8809" priority="7028" stopIfTrue="1" operator="equal">
      <formula>"Napkin Hs"</formula>
    </cfRule>
  </conditionalFormatting>
  <conditionalFormatting sqref="C42">
    <cfRule type="cellIs" dxfId="8808" priority="7025" stopIfTrue="1" operator="equal">
      <formula>"Towel"</formula>
    </cfRule>
    <cfRule type="cellIs" dxfId="8807" priority="7026" stopIfTrue="1" operator="equal">
      <formula>"Napkin Hs"</formula>
    </cfRule>
  </conditionalFormatting>
  <conditionalFormatting sqref="C42">
    <cfRule type="cellIs" dxfId="8806" priority="7027" stopIfTrue="1" operator="equal">
      <formula>"Towel"</formula>
    </cfRule>
  </conditionalFormatting>
  <conditionalFormatting sqref="C42">
    <cfRule type="cellIs" dxfId="8805" priority="7023" stopIfTrue="1" operator="equal">
      <formula>"Towel"</formula>
    </cfRule>
    <cfRule type="cellIs" dxfId="8804" priority="7024" stopIfTrue="1" operator="equal">
      <formula>"Napkin Hs"</formula>
    </cfRule>
  </conditionalFormatting>
  <conditionalFormatting sqref="C42">
    <cfRule type="cellIs" dxfId="8803" priority="7022" stopIfTrue="1" operator="equal">
      <formula>"Napkin Hs"</formula>
    </cfRule>
  </conditionalFormatting>
  <conditionalFormatting sqref="C42">
    <cfRule type="cellIs" dxfId="8802" priority="7019" stopIfTrue="1" operator="equal">
      <formula>"Towel"</formula>
    </cfRule>
    <cfRule type="cellIs" dxfId="8801" priority="7020" stopIfTrue="1" operator="equal">
      <formula>"Napkin Hs"</formula>
    </cfRule>
  </conditionalFormatting>
  <conditionalFormatting sqref="C42">
    <cfRule type="cellIs" dxfId="8800" priority="7021" stopIfTrue="1" operator="equal">
      <formula>"Towel"</formula>
    </cfRule>
  </conditionalFormatting>
  <conditionalFormatting sqref="C42">
    <cfRule type="cellIs" dxfId="8799" priority="7017" stopIfTrue="1" operator="equal">
      <formula>"Towel"</formula>
    </cfRule>
    <cfRule type="cellIs" dxfId="8798" priority="7018" stopIfTrue="1" operator="equal">
      <formula>"Napkin Hs"</formula>
    </cfRule>
  </conditionalFormatting>
  <conditionalFormatting sqref="C42">
    <cfRule type="cellIs" dxfId="8797" priority="7016" stopIfTrue="1" operator="equal">
      <formula>"Napkin Hs"</formula>
    </cfRule>
  </conditionalFormatting>
  <conditionalFormatting sqref="C42">
    <cfRule type="cellIs" dxfId="8796" priority="7013" stopIfTrue="1" operator="equal">
      <formula>"Towel"</formula>
    </cfRule>
    <cfRule type="cellIs" dxfId="8795" priority="7014" stopIfTrue="1" operator="equal">
      <formula>"Napkin Hs"</formula>
    </cfRule>
  </conditionalFormatting>
  <conditionalFormatting sqref="C42">
    <cfRule type="cellIs" dxfId="8794" priority="7015" stopIfTrue="1" operator="equal">
      <formula>"Towel"</formula>
    </cfRule>
  </conditionalFormatting>
  <conditionalFormatting sqref="C42">
    <cfRule type="cellIs" dxfId="8793" priority="7011" stopIfTrue="1" operator="equal">
      <formula>"Towel"</formula>
    </cfRule>
    <cfRule type="cellIs" dxfId="8792" priority="7012" stopIfTrue="1" operator="equal">
      <formula>"Napkin Hs"</formula>
    </cfRule>
  </conditionalFormatting>
  <conditionalFormatting sqref="C42">
    <cfRule type="cellIs" dxfId="8791" priority="7010" stopIfTrue="1" operator="equal">
      <formula>"Napkin Hs"</formula>
    </cfRule>
  </conditionalFormatting>
  <conditionalFormatting sqref="C42">
    <cfRule type="cellIs" dxfId="8790" priority="7007" stopIfTrue="1" operator="equal">
      <formula>"Towel"</formula>
    </cfRule>
    <cfRule type="cellIs" dxfId="8789" priority="7008" stopIfTrue="1" operator="equal">
      <formula>"Napkin Hs"</formula>
    </cfRule>
  </conditionalFormatting>
  <conditionalFormatting sqref="C42">
    <cfRule type="cellIs" dxfId="8788" priority="7009" stopIfTrue="1" operator="equal">
      <formula>"Towel"</formula>
    </cfRule>
  </conditionalFormatting>
  <conditionalFormatting sqref="C42">
    <cfRule type="cellIs" dxfId="8787" priority="7005" stopIfTrue="1" operator="equal">
      <formula>"Towel"</formula>
    </cfRule>
    <cfRule type="cellIs" dxfId="8786" priority="7006" stopIfTrue="1" operator="equal">
      <formula>"Napkin Hs"</formula>
    </cfRule>
  </conditionalFormatting>
  <conditionalFormatting sqref="C42">
    <cfRule type="cellIs" dxfId="8785" priority="7004" stopIfTrue="1" operator="equal">
      <formula>"Napkin Hs"</formula>
    </cfRule>
  </conditionalFormatting>
  <conditionalFormatting sqref="C42">
    <cfRule type="cellIs" dxfId="8784" priority="7001" stopIfTrue="1" operator="equal">
      <formula>"Towel"</formula>
    </cfRule>
    <cfRule type="cellIs" dxfId="8783" priority="7002" stopIfTrue="1" operator="equal">
      <formula>"Napkin Hs"</formula>
    </cfRule>
  </conditionalFormatting>
  <conditionalFormatting sqref="C42">
    <cfRule type="cellIs" dxfId="8782" priority="7003" stopIfTrue="1" operator="equal">
      <formula>"Towel"</formula>
    </cfRule>
  </conditionalFormatting>
  <conditionalFormatting sqref="C42">
    <cfRule type="cellIs" dxfId="8781" priority="6999" stopIfTrue="1" operator="equal">
      <formula>"Towel"</formula>
    </cfRule>
    <cfRule type="cellIs" dxfId="8780" priority="7000" stopIfTrue="1" operator="equal">
      <formula>"Napkin Hs"</formula>
    </cfRule>
  </conditionalFormatting>
  <conditionalFormatting sqref="C42">
    <cfRule type="cellIs" dxfId="8779" priority="6998" stopIfTrue="1" operator="equal">
      <formula>"Napkin Hs"</formula>
    </cfRule>
  </conditionalFormatting>
  <conditionalFormatting sqref="C42">
    <cfRule type="cellIs" dxfId="8778" priority="6995" stopIfTrue="1" operator="equal">
      <formula>"Towel"</formula>
    </cfRule>
    <cfRule type="cellIs" dxfId="8777" priority="6996" stopIfTrue="1" operator="equal">
      <formula>"Napkin Hs"</formula>
    </cfRule>
  </conditionalFormatting>
  <conditionalFormatting sqref="C42">
    <cfRule type="cellIs" dxfId="8776" priority="6997" stopIfTrue="1" operator="equal">
      <formula>"Towel"</formula>
    </cfRule>
  </conditionalFormatting>
  <conditionalFormatting sqref="B40:C40">
    <cfRule type="cellIs" dxfId="8775" priority="6993" stopIfTrue="1" operator="equal">
      <formula>"Towel"</formula>
    </cfRule>
    <cfRule type="cellIs" dxfId="8774" priority="6994" stopIfTrue="1" operator="equal">
      <formula>"Napkin Hs"</formula>
    </cfRule>
  </conditionalFormatting>
  <conditionalFormatting sqref="C40">
    <cfRule type="cellIs" dxfId="8773" priority="6992" stopIfTrue="1" operator="equal">
      <formula>"Napkin Hs"</formula>
    </cfRule>
  </conditionalFormatting>
  <conditionalFormatting sqref="C40">
    <cfRule type="cellIs" dxfId="8772" priority="6989" stopIfTrue="1" operator="equal">
      <formula>"Towel"</formula>
    </cfRule>
    <cfRule type="cellIs" dxfId="8771" priority="6990" stopIfTrue="1" operator="equal">
      <formula>"Napkin Hs"</formula>
    </cfRule>
  </conditionalFormatting>
  <conditionalFormatting sqref="C40">
    <cfRule type="cellIs" dxfId="8770" priority="6991" stopIfTrue="1" operator="equal">
      <formula>"Towel"</formula>
    </cfRule>
  </conditionalFormatting>
  <conditionalFormatting sqref="B40:C40">
    <cfRule type="cellIs" dxfId="8769" priority="6987" stopIfTrue="1" operator="equal">
      <formula>"Towel"</formula>
    </cfRule>
    <cfRule type="cellIs" dxfId="8768" priority="6988" stopIfTrue="1" operator="equal">
      <formula>"Napkin Hs"</formula>
    </cfRule>
  </conditionalFormatting>
  <conditionalFormatting sqref="C40">
    <cfRule type="cellIs" dxfId="8767" priority="6986" stopIfTrue="1" operator="equal">
      <formula>"Napkin Hs"</formula>
    </cfRule>
  </conditionalFormatting>
  <conditionalFormatting sqref="C40">
    <cfRule type="cellIs" dxfId="8766" priority="6985" stopIfTrue="1" operator="equal">
      <formula>"Towel"</formula>
    </cfRule>
  </conditionalFormatting>
  <conditionalFormatting sqref="C40">
    <cfRule type="cellIs" dxfId="8765" priority="6983" stopIfTrue="1" operator="equal">
      <formula>"Towel"</formula>
    </cfRule>
    <cfRule type="cellIs" dxfId="8764" priority="6984" stopIfTrue="1" operator="equal">
      <formula>"Napkin Hs"</formula>
    </cfRule>
  </conditionalFormatting>
  <conditionalFormatting sqref="B40:C40">
    <cfRule type="cellIs" dxfId="8763" priority="6981" stopIfTrue="1" operator="equal">
      <formula>"Towel"</formula>
    </cfRule>
    <cfRule type="cellIs" dxfId="8762" priority="6982" stopIfTrue="1" operator="equal">
      <formula>"Napkin Hs"</formula>
    </cfRule>
  </conditionalFormatting>
  <conditionalFormatting sqref="C40">
    <cfRule type="cellIs" dxfId="8761" priority="6980" stopIfTrue="1" operator="equal">
      <formula>"Napkin Hs"</formula>
    </cfRule>
  </conditionalFormatting>
  <conditionalFormatting sqref="C40">
    <cfRule type="cellIs" dxfId="8760" priority="6977" stopIfTrue="1" operator="equal">
      <formula>"Towel"</formula>
    </cfRule>
    <cfRule type="cellIs" dxfId="8759" priority="6978" stopIfTrue="1" operator="equal">
      <formula>"Napkin Hs"</formula>
    </cfRule>
  </conditionalFormatting>
  <conditionalFormatting sqref="C40">
    <cfRule type="cellIs" dxfId="8758" priority="6979" stopIfTrue="1" operator="equal">
      <formula>"Towel"</formula>
    </cfRule>
  </conditionalFormatting>
  <conditionalFormatting sqref="B40:C40">
    <cfRule type="cellIs" dxfId="8757" priority="6975" stopIfTrue="1" operator="equal">
      <formula>"Towel"</formula>
    </cfRule>
    <cfRule type="cellIs" dxfId="8756" priority="6976" stopIfTrue="1" operator="equal">
      <formula>"Napkin Hs"</formula>
    </cfRule>
  </conditionalFormatting>
  <conditionalFormatting sqref="C40">
    <cfRule type="cellIs" dxfId="8755" priority="6974" stopIfTrue="1" operator="equal">
      <formula>"Napkin Hs"</formula>
    </cfRule>
  </conditionalFormatting>
  <conditionalFormatting sqref="C40">
    <cfRule type="cellIs" dxfId="8754" priority="6971" stopIfTrue="1" operator="equal">
      <formula>"Towel"</formula>
    </cfRule>
    <cfRule type="cellIs" dxfId="8753" priority="6972" stopIfTrue="1" operator="equal">
      <formula>"Napkin Hs"</formula>
    </cfRule>
  </conditionalFormatting>
  <conditionalFormatting sqref="C40">
    <cfRule type="cellIs" dxfId="8752" priority="6973" stopIfTrue="1" operator="equal">
      <formula>"Towel"</formula>
    </cfRule>
  </conditionalFormatting>
  <conditionalFormatting sqref="B40:C40">
    <cfRule type="cellIs" dxfId="8751" priority="6969" stopIfTrue="1" operator="equal">
      <formula>"Towel"</formula>
    </cfRule>
    <cfRule type="cellIs" dxfId="8750" priority="6970" stopIfTrue="1" operator="equal">
      <formula>"Napkin Hs"</formula>
    </cfRule>
  </conditionalFormatting>
  <conditionalFormatting sqref="C40">
    <cfRule type="cellIs" dxfId="8749" priority="6968" stopIfTrue="1" operator="equal">
      <formula>"Napkin Hs"</formula>
    </cfRule>
  </conditionalFormatting>
  <conditionalFormatting sqref="C40">
    <cfRule type="cellIs" dxfId="8748" priority="6965" stopIfTrue="1" operator="equal">
      <formula>"Towel"</formula>
    </cfRule>
    <cfRule type="cellIs" dxfId="8747" priority="6966" stopIfTrue="1" operator="equal">
      <formula>"Napkin Hs"</formula>
    </cfRule>
  </conditionalFormatting>
  <conditionalFormatting sqref="C40">
    <cfRule type="cellIs" dxfId="8746" priority="6967" stopIfTrue="1" operator="equal">
      <formula>"Towel"</formula>
    </cfRule>
  </conditionalFormatting>
  <conditionalFormatting sqref="B40:C40">
    <cfRule type="cellIs" dxfId="8745" priority="6963" stopIfTrue="1" operator="equal">
      <formula>"Towel"</formula>
    </cfRule>
    <cfRule type="cellIs" dxfId="8744" priority="6964" stopIfTrue="1" operator="equal">
      <formula>"Napkin Hs"</formula>
    </cfRule>
  </conditionalFormatting>
  <conditionalFormatting sqref="C40">
    <cfRule type="cellIs" dxfId="8743" priority="6962" stopIfTrue="1" operator="equal">
      <formula>"Napkin Hs"</formula>
    </cfRule>
  </conditionalFormatting>
  <conditionalFormatting sqref="C40">
    <cfRule type="cellIs" dxfId="8742" priority="6959" stopIfTrue="1" operator="equal">
      <formula>"Towel"</formula>
    </cfRule>
    <cfRule type="cellIs" dxfId="8741" priority="6960" stopIfTrue="1" operator="equal">
      <formula>"Napkin Hs"</formula>
    </cfRule>
  </conditionalFormatting>
  <conditionalFormatting sqref="C40">
    <cfRule type="cellIs" dxfId="8740" priority="6961" stopIfTrue="1" operator="equal">
      <formula>"Towel"</formula>
    </cfRule>
  </conditionalFormatting>
  <conditionalFormatting sqref="B40:C40">
    <cfRule type="cellIs" dxfId="8739" priority="6957" stopIfTrue="1" operator="equal">
      <formula>"Towel"</formula>
    </cfRule>
    <cfRule type="cellIs" dxfId="8738" priority="6958" stopIfTrue="1" operator="equal">
      <formula>"Napkin Hs"</formula>
    </cfRule>
  </conditionalFormatting>
  <conditionalFormatting sqref="C40">
    <cfRule type="cellIs" dxfId="8737" priority="6956" stopIfTrue="1" operator="equal">
      <formula>"Napkin Hs"</formula>
    </cfRule>
  </conditionalFormatting>
  <conditionalFormatting sqref="C40">
    <cfRule type="cellIs" dxfId="8736" priority="6953" stopIfTrue="1" operator="equal">
      <formula>"Towel"</formula>
    </cfRule>
    <cfRule type="cellIs" dxfId="8735" priority="6954" stopIfTrue="1" operator="equal">
      <formula>"Napkin Hs"</formula>
    </cfRule>
  </conditionalFormatting>
  <conditionalFormatting sqref="C40">
    <cfRule type="cellIs" dxfId="8734" priority="6955" stopIfTrue="1" operator="equal">
      <formula>"Towel"</formula>
    </cfRule>
  </conditionalFormatting>
  <conditionalFormatting sqref="B40:C40">
    <cfRule type="cellIs" dxfId="8733" priority="6951" stopIfTrue="1" operator="equal">
      <formula>"Towel"</formula>
    </cfRule>
    <cfRule type="cellIs" dxfId="8732" priority="6952" stopIfTrue="1" operator="equal">
      <formula>"Napkin Hs"</formula>
    </cfRule>
  </conditionalFormatting>
  <conditionalFormatting sqref="C40">
    <cfRule type="cellIs" dxfId="8731" priority="6950" stopIfTrue="1" operator="equal">
      <formula>"Napkin Hs"</formula>
    </cfRule>
  </conditionalFormatting>
  <conditionalFormatting sqref="C40">
    <cfRule type="cellIs" dxfId="8730" priority="6947" stopIfTrue="1" operator="equal">
      <formula>"Towel"</formula>
    </cfRule>
    <cfRule type="cellIs" dxfId="8729" priority="6948" stopIfTrue="1" operator="equal">
      <formula>"Napkin Hs"</formula>
    </cfRule>
  </conditionalFormatting>
  <conditionalFormatting sqref="C40">
    <cfRule type="cellIs" dxfId="8728" priority="6949" stopIfTrue="1" operator="equal">
      <formula>"Towel"</formula>
    </cfRule>
  </conditionalFormatting>
  <conditionalFormatting sqref="B40:C40">
    <cfRule type="cellIs" dxfId="8727" priority="6945" stopIfTrue="1" operator="equal">
      <formula>"Towel"</formula>
    </cfRule>
    <cfRule type="cellIs" dxfId="8726" priority="6946" stopIfTrue="1" operator="equal">
      <formula>"Napkin Hs"</formula>
    </cfRule>
  </conditionalFormatting>
  <conditionalFormatting sqref="C40">
    <cfRule type="cellIs" dxfId="8725" priority="6944" stopIfTrue="1" operator="equal">
      <formula>"Napkin Hs"</formula>
    </cfRule>
  </conditionalFormatting>
  <conditionalFormatting sqref="C40">
    <cfRule type="cellIs" dxfId="8724" priority="6941" stopIfTrue="1" operator="equal">
      <formula>"Towel"</formula>
    </cfRule>
    <cfRule type="cellIs" dxfId="8723" priority="6942" stopIfTrue="1" operator="equal">
      <formula>"Napkin Hs"</formula>
    </cfRule>
  </conditionalFormatting>
  <conditionalFormatting sqref="C40">
    <cfRule type="cellIs" dxfId="8722" priority="6943" stopIfTrue="1" operator="equal">
      <formula>"Towel"</formula>
    </cfRule>
  </conditionalFormatting>
  <conditionalFormatting sqref="B40:C40">
    <cfRule type="cellIs" dxfId="8721" priority="6939" stopIfTrue="1" operator="equal">
      <formula>"Towel"</formula>
    </cfRule>
    <cfRule type="cellIs" dxfId="8720" priority="6940" stopIfTrue="1" operator="equal">
      <formula>"Napkin Hs"</formula>
    </cfRule>
  </conditionalFormatting>
  <conditionalFormatting sqref="C40">
    <cfRule type="cellIs" dxfId="8719" priority="6938" stopIfTrue="1" operator="equal">
      <formula>"Napkin Hs"</formula>
    </cfRule>
  </conditionalFormatting>
  <conditionalFormatting sqref="C40">
    <cfRule type="cellIs" dxfId="8718" priority="6935" stopIfTrue="1" operator="equal">
      <formula>"Towel"</formula>
    </cfRule>
    <cfRule type="cellIs" dxfId="8717" priority="6936" stopIfTrue="1" operator="equal">
      <formula>"Napkin Hs"</formula>
    </cfRule>
  </conditionalFormatting>
  <conditionalFormatting sqref="C40">
    <cfRule type="cellIs" dxfId="8716" priority="6937" stopIfTrue="1" operator="equal">
      <formula>"Towel"</formula>
    </cfRule>
  </conditionalFormatting>
  <conditionalFormatting sqref="B40:C40">
    <cfRule type="cellIs" dxfId="8715" priority="6933" stopIfTrue="1" operator="equal">
      <formula>"Towel"</formula>
    </cfRule>
    <cfRule type="cellIs" dxfId="8714" priority="6934" stopIfTrue="1" operator="equal">
      <formula>"Napkin Hs"</formula>
    </cfRule>
  </conditionalFormatting>
  <conditionalFormatting sqref="C40">
    <cfRule type="cellIs" dxfId="8713" priority="6932" stopIfTrue="1" operator="equal">
      <formula>"Napkin Hs"</formula>
    </cfRule>
  </conditionalFormatting>
  <conditionalFormatting sqref="C40">
    <cfRule type="cellIs" dxfId="8712" priority="6929" stopIfTrue="1" operator="equal">
      <formula>"Towel"</formula>
    </cfRule>
    <cfRule type="cellIs" dxfId="8711" priority="6930" stopIfTrue="1" operator="equal">
      <formula>"Napkin Hs"</formula>
    </cfRule>
  </conditionalFormatting>
  <conditionalFormatting sqref="C40">
    <cfRule type="cellIs" dxfId="8710" priority="6931" stopIfTrue="1" operator="equal">
      <formula>"Towel"</formula>
    </cfRule>
  </conditionalFormatting>
  <conditionalFormatting sqref="B40:C40">
    <cfRule type="cellIs" dxfId="8709" priority="6927" stopIfTrue="1" operator="equal">
      <formula>"Towel"</formula>
    </cfRule>
    <cfRule type="cellIs" dxfId="8708" priority="6928" stopIfTrue="1" operator="equal">
      <formula>"Napkin Hs"</formula>
    </cfRule>
  </conditionalFormatting>
  <conditionalFormatting sqref="C40">
    <cfRule type="cellIs" dxfId="8707" priority="6926" stopIfTrue="1" operator="equal">
      <formula>"Napkin Hs"</formula>
    </cfRule>
  </conditionalFormatting>
  <conditionalFormatting sqref="C40">
    <cfRule type="cellIs" dxfId="8706" priority="6923" stopIfTrue="1" operator="equal">
      <formula>"Towel"</formula>
    </cfRule>
    <cfRule type="cellIs" dxfId="8705" priority="6924" stopIfTrue="1" operator="equal">
      <formula>"Napkin Hs"</formula>
    </cfRule>
  </conditionalFormatting>
  <conditionalFormatting sqref="C40">
    <cfRule type="cellIs" dxfId="8704" priority="6925" stopIfTrue="1" operator="equal">
      <formula>"Towel"</formula>
    </cfRule>
  </conditionalFormatting>
  <conditionalFormatting sqref="B40:C40">
    <cfRule type="cellIs" dxfId="8703" priority="6921" stopIfTrue="1" operator="equal">
      <formula>"Towel"</formula>
    </cfRule>
    <cfRule type="cellIs" dxfId="8702" priority="6922" stopIfTrue="1" operator="equal">
      <formula>"Napkin Hs"</formula>
    </cfRule>
  </conditionalFormatting>
  <conditionalFormatting sqref="C40">
    <cfRule type="cellIs" dxfId="8701" priority="6920" stopIfTrue="1" operator="equal">
      <formula>"Napkin Hs"</formula>
    </cfRule>
  </conditionalFormatting>
  <conditionalFormatting sqref="C40">
    <cfRule type="cellIs" dxfId="8700" priority="6919" stopIfTrue="1" operator="equal">
      <formula>"Towel"</formula>
    </cfRule>
  </conditionalFormatting>
  <conditionalFormatting sqref="C40">
    <cfRule type="cellIs" dxfId="8699" priority="6917" stopIfTrue="1" operator="equal">
      <formula>"Towel"</formula>
    </cfRule>
    <cfRule type="cellIs" dxfId="8698" priority="6918" stopIfTrue="1" operator="equal">
      <formula>"Napkin Hs"</formula>
    </cfRule>
  </conditionalFormatting>
  <conditionalFormatting sqref="B40:C40">
    <cfRule type="cellIs" dxfId="8697" priority="6915" stopIfTrue="1" operator="equal">
      <formula>"Towel"</formula>
    </cfRule>
    <cfRule type="cellIs" dxfId="8696" priority="6916" stopIfTrue="1" operator="equal">
      <formula>"Napkin Hs"</formula>
    </cfRule>
  </conditionalFormatting>
  <conditionalFormatting sqref="C40">
    <cfRule type="cellIs" dxfId="8695" priority="6914" stopIfTrue="1" operator="equal">
      <formula>"Napkin Hs"</formula>
    </cfRule>
  </conditionalFormatting>
  <conditionalFormatting sqref="C40">
    <cfRule type="cellIs" dxfId="8694" priority="6911" stopIfTrue="1" operator="equal">
      <formula>"Towel"</formula>
    </cfRule>
    <cfRule type="cellIs" dxfId="8693" priority="6912" stopIfTrue="1" operator="equal">
      <formula>"Napkin Hs"</formula>
    </cfRule>
  </conditionalFormatting>
  <conditionalFormatting sqref="C40">
    <cfRule type="cellIs" dxfId="8692" priority="6913" stopIfTrue="1" operator="equal">
      <formula>"Towel"</formula>
    </cfRule>
  </conditionalFormatting>
  <conditionalFormatting sqref="B40:C40">
    <cfRule type="cellIs" dxfId="8691" priority="6909" stopIfTrue="1" operator="equal">
      <formula>"Towel"</formula>
    </cfRule>
    <cfRule type="cellIs" dxfId="8690" priority="6910" stopIfTrue="1" operator="equal">
      <formula>"Napkin Hs"</formula>
    </cfRule>
  </conditionalFormatting>
  <conditionalFormatting sqref="C40">
    <cfRule type="cellIs" dxfId="8689" priority="6908" stopIfTrue="1" operator="equal">
      <formula>"Napkin Hs"</formula>
    </cfRule>
  </conditionalFormatting>
  <conditionalFormatting sqref="C40">
    <cfRule type="cellIs" dxfId="8688" priority="6905" stopIfTrue="1" operator="equal">
      <formula>"Towel"</formula>
    </cfRule>
    <cfRule type="cellIs" dxfId="8687" priority="6906" stopIfTrue="1" operator="equal">
      <formula>"Napkin Hs"</formula>
    </cfRule>
  </conditionalFormatting>
  <conditionalFormatting sqref="C40">
    <cfRule type="cellIs" dxfId="8686" priority="6907" stopIfTrue="1" operator="equal">
      <formula>"Towel"</formula>
    </cfRule>
  </conditionalFormatting>
  <conditionalFormatting sqref="B40:C40">
    <cfRule type="cellIs" dxfId="8685" priority="6903" stopIfTrue="1" operator="equal">
      <formula>"Towel"</formula>
    </cfRule>
    <cfRule type="cellIs" dxfId="8684" priority="6904" stopIfTrue="1" operator="equal">
      <formula>"Napkin Hs"</formula>
    </cfRule>
  </conditionalFormatting>
  <conditionalFormatting sqref="C40">
    <cfRule type="cellIs" dxfId="8683" priority="6902" stopIfTrue="1" operator="equal">
      <formula>"Napkin Hs"</formula>
    </cfRule>
  </conditionalFormatting>
  <conditionalFormatting sqref="C40">
    <cfRule type="cellIs" dxfId="8682" priority="6899" stopIfTrue="1" operator="equal">
      <formula>"Towel"</formula>
    </cfRule>
    <cfRule type="cellIs" dxfId="8681" priority="6900" stopIfTrue="1" operator="equal">
      <formula>"Napkin Hs"</formula>
    </cfRule>
  </conditionalFormatting>
  <conditionalFormatting sqref="C40">
    <cfRule type="cellIs" dxfId="8680" priority="6901" stopIfTrue="1" operator="equal">
      <formula>"Towel"</formula>
    </cfRule>
  </conditionalFormatting>
  <conditionalFormatting sqref="B40:C40">
    <cfRule type="cellIs" dxfId="8679" priority="6897" stopIfTrue="1" operator="equal">
      <formula>"Towel"</formula>
    </cfRule>
    <cfRule type="cellIs" dxfId="8678" priority="6898" stopIfTrue="1" operator="equal">
      <formula>"Napkin Hs"</formula>
    </cfRule>
  </conditionalFormatting>
  <conditionalFormatting sqref="C40">
    <cfRule type="cellIs" dxfId="8677" priority="6896" stopIfTrue="1" operator="equal">
      <formula>"Napkin Hs"</formula>
    </cfRule>
  </conditionalFormatting>
  <conditionalFormatting sqref="C40">
    <cfRule type="cellIs" dxfId="8676" priority="6893" stopIfTrue="1" operator="equal">
      <formula>"Towel"</formula>
    </cfRule>
    <cfRule type="cellIs" dxfId="8675" priority="6894" stopIfTrue="1" operator="equal">
      <formula>"Napkin Hs"</formula>
    </cfRule>
  </conditionalFormatting>
  <conditionalFormatting sqref="C40">
    <cfRule type="cellIs" dxfId="8674" priority="6895" stopIfTrue="1" operator="equal">
      <formula>"Towel"</formula>
    </cfRule>
  </conditionalFormatting>
  <conditionalFormatting sqref="B40:C40">
    <cfRule type="cellIs" dxfId="8673" priority="6891" stopIfTrue="1" operator="equal">
      <formula>"Towel"</formula>
    </cfRule>
    <cfRule type="cellIs" dxfId="8672" priority="6892" stopIfTrue="1" operator="equal">
      <formula>"Napkin Hs"</formula>
    </cfRule>
  </conditionalFormatting>
  <conditionalFormatting sqref="C40">
    <cfRule type="cellIs" dxfId="8671" priority="6890" stopIfTrue="1" operator="equal">
      <formula>"Napkin Hs"</formula>
    </cfRule>
  </conditionalFormatting>
  <conditionalFormatting sqref="C40">
    <cfRule type="cellIs" dxfId="8670" priority="6887" stopIfTrue="1" operator="equal">
      <formula>"Towel"</formula>
    </cfRule>
    <cfRule type="cellIs" dxfId="8669" priority="6888" stopIfTrue="1" operator="equal">
      <formula>"Napkin Hs"</formula>
    </cfRule>
  </conditionalFormatting>
  <conditionalFormatting sqref="C40">
    <cfRule type="cellIs" dxfId="8668" priority="6889" stopIfTrue="1" operator="equal">
      <formula>"Towel"</formula>
    </cfRule>
  </conditionalFormatting>
  <conditionalFormatting sqref="B40:C40">
    <cfRule type="cellIs" dxfId="8667" priority="6885" stopIfTrue="1" operator="equal">
      <formula>"Towel"</formula>
    </cfRule>
    <cfRule type="cellIs" dxfId="8666" priority="6886" stopIfTrue="1" operator="equal">
      <formula>"Napkin Hs"</formula>
    </cfRule>
  </conditionalFormatting>
  <conditionalFormatting sqref="C40">
    <cfRule type="cellIs" dxfId="8665" priority="6884" stopIfTrue="1" operator="equal">
      <formula>"Napkin Hs"</formula>
    </cfRule>
  </conditionalFormatting>
  <conditionalFormatting sqref="C40">
    <cfRule type="cellIs" dxfId="8664" priority="6881" stopIfTrue="1" operator="equal">
      <formula>"Towel"</formula>
    </cfRule>
    <cfRule type="cellIs" dxfId="8663" priority="6882" stopIfTrue="1" operator="equal">
      <formula>"Napkin Hs"</formula>
    </cfRule>
  </conditionalFormatting>
  <conditionalFormatting sqref="C40">
    <cfRule type="cellIs" dxfId="8662" priority="6883" stopIfTrue="1" operator="equal">
      <formula>"Towel"</formula>
    </cfRule>
  </conditionalFormatting>
  <conditionalFormatting sqref="B40:C40">
    <cfRule type="cellIs" dxfId="8661" priority="6879" stopIfTrue="1" operator="equal">
      <formula>"Towel"</formula>
    </cfRule>
    <cfRule type="cellIs" dxfId="8660" priority="6880" stopIfTrue="1" operator="equal">
      <formula>"Napkin Hs"</formula>
    </cfRule>
  </conditionalFormatting>
  <conditionalFormatting sqref="C40">
    <cfRule type="cellIs" dxfId="8659" priority="6878" stopIfTrue="1" operator="equal">
      <formula>"Napkin Hs"</formula>
    </cfRule>
  </conditionalFormatting>
  <conditionalFormatting sqref="C40">
    <cfRule type="cellIs" dxfId="8658" priority="6875" stopIfTrue="1" operator="equal">
      <formula>"Towel"</formula>
    </cfRule>
    <cfRule type="cellIs" dxfId="8657" priority="6876" stopIfTrue="1" operator="equal">
      <formula>"Napkin Hs"</formula>
    </cfRule>
  </conditionalFormatting>
  <conditionalFormatting sqref="C40">
    <cfRule type="cellIs" dxfId="8656" priority="6877" stopIfTrue="1" operator="equal">
      <formula>"Towel"</formula>
    </cfRule>
  </conditionalFormatting>
  <conditionalFormatting sqref="B40:C40">
    <cfRule type="cellIs" dxfId="8655" priority="6873" stopIfTrue="1" operator="equal">
      <formula>"Towel"</formula>
    </cfRule>
    <cfRule type="cellIs" dxfId="8654" priority="6874" stopIfTrue="1" operator="equal">
      <formula>"Napkin Hs"</formula>
    </cfRule>
  </conditionalFormatting>
  <conditionalFormatting sqref="C40">
    <cfRule type="cellIs" dxfId="8653" priority="6872" stopIfTrue="1" operator="equal">
      <formula>"Napkin Hs"</formula>
    </cfRule>
  </conditionalFormatting>
  <conditionalFormatting sqref="C40">
    <cfRule type="cellIs" dxfId="8652" priority="6869" stopIfTrue="1" operator="equal">
      <formula>"Towel"</formula>
    </cfRule>
    <cfRule type="cellIs" dxfId="8651" priority="6870" stopIfTrue="1" operator="equal">
      <formula>"Napkin Hs"</formula>
    </cfRule>
  </conditionalFormatting>
  <conditionalFormatting sqref="C40">
    <cfRule type="cellIs" dxfId="8650" priority="6871" stopIfTrue="1" operator="equal">
      <formula>"Towel"</formula>
    </cfRule>
  </conditionalFormatting>
  <conditionalFormatting sqref="B40:C40">
    <cfRule type="cellIs" dxfId="8649" priority="6867" stopIfTrue="1" operator="equal">
      <formula>"Towel"</formula>
    </cfRule>
    <cfRule type="cellIs" dxfId="8648" priority="6868" stopIfTrue="1" operator="equal">
      <formula>"Napkin Hs"</formula>
    </cfRule>
  </conditionalFormatting>
  <conditionalFormatting sqref="C40">
    <cfRule type="cellIs" dxfId="8647" priority="6866" stopIfTrue="1" operator="equal">
      <formula>"Napkin Hs"</formula>
    </cfRule>
  </conditionalFormatting>
  <conditionalFormatting sqref="C40">
    <cfRule type="cellIs" dxfId="8646" priority="6863" stopIfTrue="1" operator="equal">
      <formula>"Towel"</formula>
    </cfRule>
    <cfRule type="cellIs" dxfId="8645" priority="6864" stopIfTrue="1" operator="equal">
      <formula>"Napkin Hs"</formula>
    </cfRule>
  </conditionalFormatting>
  <conditionalFormatting sqref="C40">
    <cfRule type="cellIs" dxfId="8644" priority="6865" stopIfTrue="1" operator="equal">
      <formula>"Towel"</formula>
    </cfRule>
  </conditionalFormatting>
  <conditionalFormatting sqref="B41:C41 B42">
    <cfRule type="cellIs" dxfId="8643" priority="6861" stopIfTrue="1" operator="equal">
      <formula>"Towel"</formula>
    </cfRule>
    <cfRule type="cellIs" dxfId="8642" priority="6862" stopIfTrue="1" operator="equal">
      <formula>"Napkin Hs"</formula>
    </cfRule>
  </conditionalFormatting>
  <conditionalFormatting sqref="C41">
    <cfRule type="cellIs" dxfId="8641" priority="6860" stopIfTrue="1" operator="equal">
      <formula>"Napkin Hs"</formula>
    </cfRule>
  </conditionalFormatting>
  <conditionalFormatting sqref="C41">
    <cfRule type="cellIs" dxfId="8640" priority="6857" stopIfTrue="1" operator="equal">
      <formula>"Towel"</formula>
    </cfRule>
    <cfRule type="cellIs" dxfId="8639" priority="6858" stopIfTrue="1" operator="equal">
      <formula>"Napkin Hs"</formula>
    </cfRule>
  </conditionalFormatting>
  <conditionalFormatting sqref="C41">
    <cfRule type="cellIs" dxfId="8638" priority="6859" stopIfTrue="1" operator="equal">
      <formula>"Towel"</formula>
    </cfRule>
  </conditionalFormatting>
  <conditionalFormatting sqref="B41:C41 B42">
    <cfRule type="cellIs" dxfId="8637" priority="6855" stopIfTrue="1" operator="equal">
      <formula>"Towel"</formula>
    </cfRule>
    <cfRule type="cellIs" dxfId="8636" priority="6856" stopIfTrue="1" operator="equal">
      <formula>"Napkin Hs"</formula>
    </cfRule>
  </conditionalFormatting>
  <conditionalFormatting sqref="C41">
    <cfRule type="cellIs" dxfId="8635" priority="6853" stopIfTrue="1" operator="equal">
      <formula>"Towel"</formula>
    </cfRule>
    <cfRule type="cellIs" dxfId="8634" priority="6854" stopIfTrue="1" operator="equal">
      <formula>"Napkin Hs"</formula>
    </cfRule>
  </conditionalFormatting>
  <conditionalFormatting sqref="C41">
    <cfRule type="cellIs" dxfId="8633" priority="6851" stopIfTrue="1" operator="equal">
      <formula>"Towel"</formula>
    </cfRule>
    <cfRule type="cellIs" dxfId="8632" priority="6852" stopIfTrue="1" operator="equal">
      <formula>"Napkin Hs"</formula>
    </cfRule>
  </conditionalFormatting>
  <conditionalFormatting sqref="B41:C41 B42">
    <cfRule type="cellIs" dxfId="8631" priority="6849" stopIfTrue="1" operator="equal">
      <formula>"Towel"</formula>
    </cfRule>
    <cfRule type="cellIs" dxfId="8630" priority="6850" stopIfTrue="1" operator="equal">
      <formula>"Napkin Hs"</formula>
    </cfRule>
  </conditionalFormatting>
  <conditionalFormatting sqref="C41">
    <cfRule type="cellIs" dxfId="8629" priority="6848" stopIfTrue="1" operator="equal">
      <formula>"Napkin Hs"</formula>
    </cfRule>
  </conditionalFormatting>
  <conditionalFormatting sqref="C41">
    <cfRule type="cellIs" dxfId="8628" priority="6845" stopIfTrue="1" operator="equal">
      <formula>"Towel"</formula>
    </cfRule>
    <cfRule type="cellIs" dxfId="8627" priority="6846" stopIfTrue="1" operator="equal">
      <formula>"Napkin Hs"</formula>
    </cfRule>
  </conditionalFormatting>
  <conditionalFormatting sqref="C41">
    <cfRule type="cellIs" dxfId="8626" priority="6847" stopIfTrue="1" operator="equal">
      <formula>"Towel"</formula>
    </cfRule>
  </conditionalFormatting>
  <conditionalFormatting sqref="B41:C41 B42">
    <cfRule type="cellIs" dxfId="8625" priority="6843" stopIfTrue="1" operator="equal">
      <formula>"Towel"</formula>
    </cfRule>
    <cfRule type="cellIs" dxfId="8624" priority="6844" stopIfTrue="1" operator="equal">
      <formula>"Napkin Hs"</formula>
    </cfRule>
  </conditionalFormatting>
  <conditionalFormatting sqref="C41">
    <cfRule type="cellIs" dxfId="8623" priority="6842" stopIfTrue="1" operator="equal">
      <formula>"Napkin Hs"</formula>
    </cfRule>
  </conditionalFormatting>
  <conditionalFormatting sqref="C41">
    <cfRule type="cellIs" dxfId="8622" priority="6841" stopIfTrue="1" operator="equal">
      <formula>"Towel"</formula>
    </cfRule>
  </conditionalFormatting>
  <conditionalFormatting sqref="C41">
    <cfRule type="cellIs" dxfId="8621" priority="6839" stopIfTrue="1" operator="equal">
      <formula>"Towel"</formula>
    </cfRule>
    <cfRule type="cellIs" dxfId="8620" priority="6840" stopIfTrue="1" operator="equal">
      <formula>"Napkin Hs"</formula>
    </cfRule>
  </conditionalFormatting>
  <conditionalFormatting sqref="B41:C41 B42">
    <cfRule type="cellIs" dxfId="8619" priority="6837" stopIfTrue="1" operator="equal">
      <formula>"Towel"</formula>
    </cfRule>
    <cfRule type="cellIs" dxfId="8618" priority="6838" stopIfTrue="1" operator="equal">
      <formula>"Napkin Hs"</formula>
    </cfRule>
  </conditionalFormatting>
  <conditionalFormatting sqref="C41">
    <cfRule type="cellIs" dxfId="8617" priority="6836" stopIfTrue="1" operator="equal">
      <formula>"Napkin Hs"</formula>
    </cfRule>
  </conditionalFormatting>
  <conditionalFormatting sqref="C41">
    <cfRule type="cellIs" dxfId="8616" priority="6833" stopIfTrue="1" operator="equal">
      <formula>"Towel"</formula>
    </cfRule>
    <cfRule type="cellIs" dxfId="8615" priority="6834" stopIfTrue="1" operator="equal">
      <formula>"Napkin Hs"</formula>
    </cfRule>
  </conditionalFormatting>
  <conditionalFormatting sqref="C41">
    <cfRule type="cellIs" dxfId="8614" priority="6835" stopIfTrue="1" operator="equal">
      <formula>"Towel"</formula>
    </cfRule>
  </conditionalFormatting>
  <conditionalFormatting sqref="B41:C41 B42">
    <cfRule type="cellIs" dxfId="8613" priority="6831" stopIfTrue="1" operator="equal">
      <formula>"Towel"</formula>
    </cfRule>
    <cfRule type="cellIs" dxfId="8612" priority="6832" stopIfTrue="1" operator="equal">
      <formula>"Napkin Hs"</formula>
    </cfRule>
  </conditionalFormatting>
  <conditionalFormatting sqref="C41">
    <cfRule type="cellIs" dxfId="8611" priority="6830" stopIfTrue="1" operator="equal">
      <formula>"Napkin Hs"</formula>
    </cfRule>
  </conditionalFormatting>
  <conditionalFormatting sqref="C41">
    <cfRule type="cellIs" dxfId="8610" priority="6827" stopIfTrue="1" operator="equal">
      <formula>"Towel"</formula>
    </cfRule>
    <cfRule type="cellIs" dxfId="8609" priority="6828" stopIfTrue="1" operator="equal">
      <formula>"Napkin Hs"</formula>
    </cfRule>
  </conditionalFormatting>
  <conditionalFormatting sqref="C41">
    <cfRule type="cellIs" dxfId="8608" priority="6829" stopIfTrue="1" operator="equal">
      <formula>"Towel"</formula>
    </cfRule>
  </conditionalFormatting>
  <conditionalFormatting sqref="B41:C41 B42">
    <cfRule type="cellIs" dxfId="8607" priority="6825" stopIfTrue="1" operator="equal">
      <formula>"Towel"</formula>
    </cfRule>
    <cfRule type="cellIs" dxfId="8606" priority="6826" stopIfTrue="1" operator="equal">
      <formula>"Napkin Hs"</formula>
    </cfRule>
  </conditionalFormatting>
  <conditionalFormatting sqref="C41">
    <cfRule type="cellIs" dxfId="8605" priority="6824" stopIfTrue="1" operator="equal">
      <formula>"Napkin Hs"</formula>
    </cfRule>
  </conditionalFormatting>
  <conditionalFormatting sqref="C41">
    <cfRule type="cellIs" dxfId="8604" priority="6821" stopIfTrue="1" operator="equal">
      <formula>"Towel"</formula>
    </cfRule>
    <cfRule type="cellIs" dxfId="8603" priority="6822" stopIfTrue="1" operator="equal">
      <formula>"Napkin Hs"</formula>
    </cfRule>
  </conditionalFormatting>
  <conditionalFormatting sqref="C41">
    <cfRule type="cellIs" dxfId="8602" priority="6823" stopIfTrue="1" operator="equal">
      <formula>"Towel"</formula>
    </cfRule>
  </conditionalFormatting>
  <conditionalFormatting sqref="B41:C41 B42">
    <cfRule type="cellIs" dxfId="8601" priority="6819" stopIfTrue="1" operator="equal">
      <formula>"Towel"</formula>
    </cfRule>
    <cfRule type="cellIs" dxfId="8600" priority="6820" stopIfTrue="1" operator="equal">
      <formula>"Napkin Hs"</formula>
    </cfRule>
  </conditionalFormatting>
  <conditionalFormatting sqref="C41">
    <cfRule type="cellIs" dxfId="8599" priority="6818" stopIfTrue="1" operator="equal">
      <formula>"Napkin Hs"</formula>
    </cfRule>
  </conditionalFormatting>
  <conditionalFormatting sqref="C41">
    <cfRule type="cellIs" dxfId="8598" priority="6815" stopIfTrue="1" operator="equal">
      <formula>"Towel"</formula>
    </cfRule>
    <cfRule type="cellIs" dxfId="8597" priority="6816" stopIfTrue="1" operator="equal">
      <formula>"Napkin Hs"</formula>
    </cfRule>
  </conditionalFormatting>
  <conditionalFormatting sqref="C41">
    <cfRule type="cellIs" dxfId="8596" priority="6817" stopIfTrue="1" operator="equal">
      <formula>"Towel"</formula>
    </cfRule>
  </conditionalFormatting>
  <conditionalFormatting sqref="B41:C41 B42">
    <cfRule type="cellIs" dxfId="8595" priority="6813" stopIfTrue="1" operator="equal">
      <formula>"Towel"</formula>
    </cfRule>
    <cfRule type="cellIs" dxfId="8594" priority="6814" stopIfTrue="1" operator="equal">
      <formula>"Napkin Hs"</formula>
    </cfRule>
  </conditionalFormatting>
  <conditionalFormatting sqref="C41">
    <cfRule type="cellIs" dxfId="8593" priority="6812" stopIfTrue="1" operator="equal">
      <formula>"Napkin Hs"</formula>
    </cfRule>
  </conditionalFormatting>
  <conditionalFormatting sqref="C41">
    <cfRule type="cellIs" dxfId="8592" priority="6809" stopIfTrue="1" operator="equal">
      <formula>"Towel"</formula>
    </cfRule>
    <cfRule type="cellIs" dxfId="8591" priority="6810" stopIfTrue="1" operator="equal">
      <formula>"Napkin Hs"</formula>
    </cfRule>
  </conditionalFormatting>
  <conditionalFormatting sqref="C41">
    <cfRule type="cellIs" dxfId="8590" priority="6811" stopIfTrue="1" operator="equal">
      <formula>"Towel"</formula>
    </cfRule>
  </conditionalFormatting>
  <conditionalFormatting sqref="B41:C41 B42">
    <cfRule type="cellIs" dxfId="8589" priority="6807" stopIfTrue="1" operator="equal">
      <formula>"Towel"</formula>
    </cfRule>
    <cfRule type="cellIs" dxfId="8588" priority="6808" stopIfTrue="1" operator="equal">
      <formula>"Napkin Hs"</formula>
    </cfRule>
  </conditionalFormatting>
  <conditionalFormatting sqref="C41">
    <cfRule type="cellIs" dxfId="8587" priority="6806" stopIfTrue="1" operator="equal">
      <formula>"Napkin Hs"</formula>
    </cfRule>
  </conditionalFormatting>
  <conditionalFormatting sqref="C41">
    <cfRule type="cellIs" dxfId="8586" priority="6803" stopIfTrue="1" operator="equal">
      <formula>"Towel"</formula>
    </cfRule>
    <cfRule type="cellIs" dxfId="8585" priority="6804" stopIfTrue="1" operator="equal">
      <formula>"Napkin Hs"</formula>
    </cfRule>
  </conditionalFormatting>
  <conditionalFormatting sqref="C41">
    <cfRule type="cellIs" dxfId="8584" priority="6805" stopIfTrue="1" operator="equal">
      <formula>"Towel"</formula>
    </cfRule>
  </conditionalFormatting>
  <conditionalFormatting sqref="B41:C41 B42">
    <cfRule type="cellIs" dxfId="8583" priority="6801" stopIfTrue="1" operator="equal">
      <formula>"Towel"</formula>
    </cfRule>
    <cfRule type="cellIs" dxfId="8582" priority="6802" stopIfTrue="1" operator="equal">
      <formula>"Napkin Hs"</formula>
    </cfRule>
  </conditionalFormatting>
  <conditionalFormatting sqref="C41">
    <cfRule type="cellIs" dxfId="8581" priority="6800" stopIfTrue="1" operator="equal">
      <formula>"Napkin Hs"</formula>
    </cfRule>
  </conditionalFormatting>
  <conditionalFormatting sqref="C41">
    <cfRule type="cellIs" dxfId="8580" priority="6797" stopIfTrue="1" operator="equal">
      <formula>"Towel"</formula>
    </cfRule>
    <cfRule type="cellIs" dxfId="8579" priority="6798" stopIfTrue="1" operator="equal">
      <formula>"Napkin Hs"</formula>
    </cfRule>
  </conditionalFormatting>
  <conditionalFormatting sqref="C41">
    <cfRule type="cellIs" dxfId="8578" priority="6799" stopIfTrue="1" operator="equal">
      <formula>"Towel"</formula>
    </cfRule>
  </conditionalFormatting>
  <conditionalFormatting sqref="B41:C41 B42">
    <cfRule type="cellIs" dxfId="8577" priority="6795" stopIfTrue="1" operator="equal">
      <formula>"Towel"</formula>
    </cfRule>
    <cfRule type="cellIs" dxfId="8576" priority="6796" stopIfTrue="1" operator="equal">
      <formula>"Napkin Hs"</formula>
    </cfRule>
  </conditionalFormatting>
  <conditionalFormatting sqref="C41">
    <cfRule type="cellIs" dxfId="8575" priority="6794" stopIfTrue="1" operator="equal">
      <formula>"Napkin Hs"</formula>
    </cfRule>
  </conditionalFormatting>
  <conditionalFormatting sqref="C41">
    <cfRule type="cellIs" dxfId="8574" priority="6791" stopIfTrue="1" operator="equal">
      <formula>"Towel"</formula>
    </cfRule>
    <cfRule type="cellIs" dxfId="8573" priority="6792" stopIfTrue="1" operator="equal">
      <formula>"Napkin Hs"</formula>
    </cfRule>
  </conditionalFormatting>
  <conditionalFormatting sqref="C41">
    <cfRule type="cellIs" dxfId="8572" priority="6793" stopIfTrue="1" operator="equal">
      <formula>"Towel"</formula>
    </cfRule>
  </conditionalFormatting>
  <conditionalFormatting sqref="B41:C41 B42">
    <cfRule type="cellIs" dxfId="8571" priority="6789" stopIfTrue="1" operator="equal">
      <formula>"Towel"</formula>
    </cfRule>
    <cfRule type="cellIs" dxfId="8570" priority="6790" stopIfTrue="1" operator="equal">
      <formula>"Napkin Hs"</formula>
    </cfRule>
  </conditionalFormatting>
  <conditionalFormatting sqref="C41">
    <cfRule type="cellIs" dxfId="8569" priority="6788" stopIfTrue="1" operator="equal">
      <formula>"Napkin Hs"</formula>
    </cfRule>
  </conditionalFormatting>
  <conditionalFormatting sqref="C41">
    <cfRule type="cellIs" dxfId="8568" priority="6785" stopIfTrue="1" operator="equal">
      <formula>"Towel"</formula>
    </cfRule>
    <cfRule type="cellIs" dxfId="8567" priority="6786" stopIfTrue="1" operator="equal">
      <formula>"Napkin Hs"</formula>
    </cfRule>
  </conditionalFormatting>
  <conditionalFormatting sqref="C41">
    <cfRule type="cellIs" dxfId="8566" priority="6787" stopIfTrue="1" operator="equal">
      <formula>"Towel"</formula>
    </cfRule>
  </conditionalFormatting>
  <conditionalFormatting sqref="B41:C41 B42">
    <cfRule type="cellIs" dxfId="8565" priority="6783" stopIfTrue="1" operator="equal">
      <formula>"Towel"</formula>
    </cfRule>
    <cfRule type="cellIs" dxfId="8564" priority="6784" stopIfTrue="1" operator="equal">
      <formula>"Napkin Hs"</formula>
    </cfRule>
  </conditionalFormatting>
  <conditionalFormatting sqref="C41">
    <cfRule type="cellIs" dxfId="8563" priority="6782" stopIfTrue="1" operator="equal">
      <formula>"Napkin Hs"</formula>
    </cfRule>
  </conditionalFormatting>
  <conditionalFormatting sqref="C41">
    <cfRule type="cellIs" dxfId="8562" priority="6779" stopIfTrue="1" operator="equal">
      <formula>"Towel"</formula>
    </cfRule>
    <cfRule type="cellIs" dxfId="8561" priority="6780" stopIfTrue="1" operator="equal">
      <formula>"Napkin Hs"</formula>
    </cfRule>
  </conditionalFormatting>
  <conditionalFormatting sqref="C41">
    <cfRule type="cellIs" dxfId="8560" priority="6781" stopIfTrue="1" operator="equal">
      <formula>"Towel"</formula>
    </cfRule>
  </conditionalFormatting>
  <conditionalFormatting sqref="B41:C41 B42">
    <cfRule type="cellIs" dxfId="8559" priority="6777" stopIfTrue="1" operator="equal">
      <formula>"Towel"</formula>
    </cfRule>
    <cfRule type="cellIs" dxfId="8558" priority="6778" stopIfTrue="1" operator="equal">
      <formula>"Napkin Hs"</formula>
    </cfRule>
  </conditionalFormatting>
  <conditionalFormatting sqref="C41">
    <cfRule type="cellIs" dxfId="8557" priority="6776" stopIfTrue="1" operator="equal">
      <formula>"Napkin Hs"</formula>
    </cfRule>
  </conditionalFormatting>
  <conditionalFormatting sqref="C41">
    <cfRule type="cellIs" dxfId="8556" priority="6775" stopIfTrue="1" operator="equal">
      <formula>"Towel"</formula>
    </cfRule>
  </conditionalFormatting>
  <conditionalFormatting sqref="C41">
    <cfRule type="cellIs" dxfId="8555" priority="6773" stopIfTrue="1" operator="equal">
      <formula>"Towel"</formula>
    </cfRule>
    <cfRule type="cellIs" dxfId="8554" priority="6774" stopIfTrue="1" operator="equal">
      <formula>"Napkin Hs"</formula>
    </cfRule>
  </conditionalFormatting>
  <conditionalFormatting sqref="B41:C41 B42">
    <cfRule type="cellIs" dxfId="8553" priority="6771" stopIfTrue="1" operator="equal">
      <formula>"Towel"</formula>
    </cfRule>
    <cfRule type="cellIs" dxfId="8552" priority="6772" stopIfTrue="1" operator="equal">
      <formula>"Napkin Hs"</formula>
    </cfRule>
  </conditionalFormatting>
  <conditionalFormatting sqref="C41">
    <cfRule type="cellIs" dxfId="8551" priority="6770" stopIfTrue="1" operator="equal">
      <formula>"Napkin Hs"</formula>
    </cfRule>
  </conditionalFormatting>
  <conditionalFormatting sqref="C41">
    <cfRule type="cellIs" dxfId="8550" priority="6767" stopIfTrue="1" operator="equal">
      <formula>"Towel"</formula>
    </cfRule>
    <cfRule type="cellIs" dxfId="8549" priority="6768" stopIfTrue="1" operator="equal">
      <formula>"Napkin Hs"</formula>
    </cfRule>
  </conditionalFormatting>
  <conditionalFormatting sqref="C41">
    <cfRule type="cellIs" dxfId="8548" priority="6769" stopIfTrue="1" operator="equal">
      <formula>"Towel"</formula>
    </cfRule>
  </conditionalFormatting>
  <conditionalFormatting sqref="B41:C41 B42">
    <cfRule type="cellIs" dxfId="8547" priority="6765" stopIfTrue="1" operator="equal">
      <formula>"Towel"</formula>
    </cfRule>
    <cfRule type="cellIs" dxfId="8546" priority="6766" stopIfTrue="1" operator="equal">
      <formula>"Napkin Hs"</formula>
    </cfRule>
  </conditionalFormatting>
  <conditionalFormatting sqref="C41">
    <cfRule type="cellIs" dxfId="8545" priority="6764" stopIfTrue="1" operator="equal">
      <formula>"Napkin Hs"</formula>
    </cfRule>
  </conditionalFormatting>
  <conditionalFormatting sqref="C41">
    <cfRule type="cellIs" dxfId="8544" priority="6761" stopIfTrue="1" operator="equal">
      <formula>"Towel"</formula>
    </cfRule>
    <cfRule type="cellIs" dxfId="8543" priority="6762" stopIfTrue="1" operator="equal">
      <formula>"Napkin Hs"</formula>
    </cfRule>
  </conditionalFormatting>
  <conditionalFormatting sqref="C41">
    <cfRule type="cellIs" dxfId="8542" priority="6763" stopIfTrue="1" operator="equal">
      <formula>"Towel"</formula>
    </cfRule>
  </conditionalFormatting>
  <conditionalFormatting sqref="B41:C41 B42">
    <cfRule type="cellIs" dxfId="8541" priority="6759" stopIfTrue="1" operator="equal">
      <formula>"Towel"</formula>
    </cfRule>
    <cfRule type="cellIs" dxfId="8540" priority="6760" stopIfTrue="1" operator="equal">
      <formula>"Napkin Hs"</formula>
    </cfRule>
  </conditionalFormatting>
  <conditionalFormatting sqref="C41">
    <cfRule type="cellIs" dxfId="8539" priority="6758" stopIfTrue="1" operator="equal">
      <formula>"Napkin Hs"</formula>
    </cfRule>
  </conditionalFormatting>
  <conditionalFormatting sqref="C41">
    <cfRule type="cellIs" dxfId="8538" priority="6755" stopIfTrue="1" operator="equal">
      <formula>"Towel"</formula>
    </cfRule>
    <cfRule type="cellIs" dxfId="8537" priority="6756" stopIfTrue="1" operator="equal">
      <formula>"Napkin Hs"</formula>
    </cfRule>
  </conditionalFormatting>
  <conditionalFormatting sqref="C41">
    <cfRule type="cellIs" dxfId="8536" priority="6757" stopIfTrue="1" operator="equal">
      <formula>"Towel"</formula>
    </cfRule>
  </conditionalFormatting>
  <conditionalFormatting sqref="B41:C41 B42">
    <cfRule type="cellIs" dxfId="8535" priority="6753" stopIfTrue="1" operator="equal">
      <formula>"Towel"</formula>
    </cfRule>
    <cfRule type="cellIs" dxfId="8534" priority="6754" stopIfTrue="1" operator="equal">
      <formula>"Napkin Hs"</formula>
    </cfRule>
  </conditionalFormatting>
  <conditionalFormatting sqref="C41">
    <cfRule type="cellIs" dxfId="8533" priority="6752" stopIfTrue="1" operator="equal">
      <formula>"Napkin Hs"</formula>
    </cfRule>
  </conditionalFormatting>
  <conditionalFormatting sqref="C41">
    <cfRule type="cellIs" dxfId="8532" priority="6749" stopIfTrue="1" operator="equal">
      <formula>"Towel"</formula>
    </cfRule>
    <cfRule type="cellIs" dxfId="8531" priority="6750" stopIfTrue="1" operator="equal">
      <formula>"Napkin Hs"</formula>
    </cfRule>
  </conditionalFormatting>
  <conditionalFormatting sqref="C41">
    <cfRule type="cellIs" dxfId="8530" priority="6751" stopIfTrue="1" operator="equal">
      <formula>"Towel"</formula>
    </cfRule>
  </conditionalFormatting>
  <conditionalFormatting sqref="B41:C41 B42">
    <cfRule type="cellIs" dxfId="8529" priority="6747" stopIfTrue="1" operator="equal">
      <formula>"Towel"</formula>
    </cfRule>
    <cfRule type="cellIs" dxfId="8528" priority="6748" stopIfTrue="1" operator="equal">
      <formula>"Napkin Hs"</formula>
    </cfRule>
  </conditionalFormatting>
  <conditionalFormatting sqref="C41">
    <cfRule type="cellIs" dxfId="8527" priority="6746" stopIfTrue="1" operator="equal">
      <formula>"Napkin Hs"</formula>
    </cfRule>
  </conditionalFormatting>
  <conditionalFormatting sqref="C41">
    <cfRule type="cellIs" dxfId="8526" priority="6743" stopIfTrue="1" operator="equal">
      <formula>"Towel"</formula>
    </cfRule>
    <cfRule type="cellIs" dxfId="8525" priority="6744" stopIfTrue="1" operator="equal">
      <formula>"Napkin Hs"</formula>
    </cfRule>
  </conditionalFormatting>
  <conditionalFormatting sqref="C41">
    <cfRule type="cellIs" dxfId="8524" priority="6745" stopIfTrue="1" operator="equal">
      <formula>"Towel"</formula>
    </cfRule>
  </conditionalFormatting>
  <conditionalFormatting sqref="B41:C41 B42">
    <cfRule type="cellIs" dxfId="8523" priority="6741" stopIfTrue="1" operator="equal">
      <formula>"Towel"</formula>
    </cfRule>
    <cfRule type="cellIs" dxfId="8522" priority="6742" stopIfTrue="1" operator="equal">
      <formula>"Napkin Hs"</formula>
    </cfRule>
  </conditionalFormatting>
  <conditionalFormatting sqref="C41">
    <cfRule type="cellIs" dxfId="8521" priority="6740" stopIfTrue="1" operator="equal">
      <formula>"Napkin Hs"</formula>
    </cfRule>
  </conditionalFormatting>
  <conditionalFormatting sqref="C41">
    <cfRule type="cellIs" dxfId="8520" priority="6737" stopIfTrue="1" operator="equal">
      <formula>"Towel"</formula>
    </cfRule>
    <cfRule type="cellIs" dxfId="8519" priority="6738" stopIfTrue="1" operator="equal">
      <formula>"Napkin Hs"</formula>
    </cfRule>
  </conditionalFormatting>
  <conditionalFormatting sqref="C41">
    <cfRule type="cellIs" dxfId="8518" priority="6739" stopIfTrue="1" operator="equal">
      <formula>"Towel"</formula>
    </cfRule>
  </conditionalFormatting>
  <conditionalFormatting sqref="B41:C41 B42">
    <cfRule type="cellIs" dxfId="8517" priority="6735" stopIfTrue="1" operator="equal">
      <formula>"Towel"</formula>
    </cfRule>
    <cfRule type="cellIs" dxfId="8516" priority="6736" stopIfTrue="1" operator="equal">
      <formula>"Napkin Hs"</formula>
    </cfRule>
  </conditionalFormatting>
  <conditionalFormatting sqref="C41">
    <cfRule type="cellIs" dxfId="8515" priority="6734" stopIfTrue="1" operator="equal">
      <formula>"Napkin Hs"</formula>
    </cfRule>
  </conditionalFormatting>
  <conditionalFormatting sqref="C41">
    <cfRule type="cellIs" dxfId="8514" priority="6731" stopIfTrue="1" operator="equal">
      <formula>"Towel"</formula>
    </cfRule>
    <cfRule type="cellIs" dxfId="8513" priority="6732" stopIfTrue="1" operator="equal">
      <formula>"Napkin Hs"</formula>
    </cfRule>
  </conditionalFormatting>
  <conditionalFormatting sqref="C41">
    <cfRule type="cellIs" dxfId="8512" priority="6733" stopIfTrue="1" operator="equal">
      <formula>"Towel"</formula>
    </cfRule>
  </conditionalFormatting>
  <conditionalFormatting sqref="B41:C41 B42">
    <cfRule type="cellIs" dxfId="8511" priority="6729" stopIfTrue="1" operator="equal">
      <formula>"Towel"</formula>
    </cfRule>
    <cfRule type="cellIs" dxfId="8510" priority="6730" stopIfTrue="1" operator="equal">
      <formula>"Napkin Hs"</formula>
    </cfRule>
  </conditionalFormatting>
  <conditionalFormatting sqref="C41">
    <cfRule type="cellIs" dxfId="8509" priority="6728" stopIfTrue="1" operator="equal">
      <formula>"Napkin Hs"</formula>
    </cfRule>
  </conditionalFormatting>
  <conditionalFormatting sqref="C41">
    <cfRule type="cellIs" dxfId="8508" priority="6725" stopIfTrue="1" operator="equal">
      <formula>"Towel"</formula>
    </cfRule>
    <cfRule type="cellIs" dxfId="8507" priority="6726" stopIfTrue="1" operator="equal">
      <formula>"Napkin Hs"</formula>
    </cfRule>
  </conditionalFormatting>
  <conditionalFormatting sqref="C41">
    <cfRule type="cellIs" dxfId="8506" priority="6727" stopIfTrue="1" operator="equal">
      <formula>"Towel"</formula>
    </cfRule>
  </conditionalFormatting>
  <conditionalFormatting sqref="B41:C41 B42">
    <cfRule type="cellIs" dxfId="8505" priority="6723" stopIfTrue="1" operator="equal">
      <formula>"Towel"</formula>
    </cfRule>
    <cfRule type="cellIs" dxfId="8504" priority="6724" stopIfTrue="1" operator="equal">
      <formula>"Napkin Hs"</formula>
    </cfRule>
  </conditionalFormatting>
  <conditionalFormatting sqref="C41">
    <cfRule type="cellIs" dxfId="8503" priority="6722" stopIfTrue="1" operator="equal">
      <formula>"Napkin Hs"</formula>
    </cfRule>
  </conditionalFormatting>
  <conditionalFormatting sqref="C41">
    <cfRule type="cellIs" dxfId="8502" priority="6719" stopIfTrue="1" operator="equal">
      <formula>"Towel"</formula>
    </cfRule>
    <cfRule type="cellIs" dxfId="8501" priority="6720" stopIfTrue="1" operator="equal">
      <formula>"Napkin Hs"</formula>
    </cfRule>
  </conditionalFormatting>
  <conditionalFormatting sqref="C41">
    <cfRule type="cellIs" dxfId="8500" priority="6721" stopIfTrue="1" operator="equal">
      <formula>"Towel"</formula>
    </cfRule>
  </conditionalFormatting>
  <conditionalFormatting sqref="B38:C38">
    <cfRule type="cellIs" dxfId="8499" priority="6717" stopIfTrue="1" operator="equal">
      <formula>"Towel"</formula>
    </cfRule>
    <cfRule type="cellIs" dxfId="8498" priority="6718" stopIfTrue="1" operator="equal">
      <formula>"Napkin Hs"</formula>
    </cfRule>
  </conditionalFormatting>
  <conditionalFormatting sqref="C38">
    <cfRule type="cellIs" dxfId="8497" priority="6716" stopIfTrue="1" operator="equal">
      <formula>"Napkin Hs"</formula>
    </cfRule>
  </conditionalFormatting>
  <conditionalFormatting sqref="C38">
    <cfRule type="cellIs" dxfId="8496" priority="6713" stopIfTrue="1" operator="equal">
      <formula>"Towel"</formula>
    </cfRule>
    <cfRule type="cellIs" dxfId="8495" priority="6714" stopIfTrue="1" operator="equal">
      <formula>"Napkin Hs"</formula>
    </cfRule>
  </conditionalFormatting>
  <conditionalFormatting sqref="C38">
    <cfRule type="cellIs" dxfId="8494" priority="6715" stopIfTrue="1" operator="equal">
      <formula>"Towel"</formula>
    </cfRule>
  </conditionalFormatting>
  <conditionalFormatting sqref="B38:C38">
    <cfRule type="cellIs" dxfId="8493" priority="6711" stopIfTrue="1" operator="equal">
      <formula>"Towel"</formula>
    </cfRule>
    <cfRule type="cellIs" dxfId="8492" priority="6712" stopIfTrue="1" operator="equal">
      <formula>"Napkin Hs"</formula>
    </cfRule>
  </conditionalFormatting>
  <conditionalFormatting sqref="C38">
    <cfRule type="cellIs" dxfId="8491" priority="6709" stopIfTrue="1" operator="equal">
      <formula>"Towel"</formula>
    </cfRule>
    <cfRule type="cellIs" dxfId="8490" priority="6710" stopIfTrue="1" operator="equal">
      <formula>"Napkin Hs"</formula>
    </cfRule>
  </conditionalFormatting>
  <conditionalFormatting sqref="C38">
    <cfRule type="cellIs" dxfId="8489" priority="6707" stopIfTrue="1" operator="equal">
      <formula>"Towel"</formula>
    </cfRule>
    <cfRule type="cellIs" dxfId="8488" priority="6708" stopIfTrue="1" operator="equal">
      <formula>"Napkin Hs"</formula>
    </cfRule>
  </conditionalFormatting>
  <conditionalFormatting sqref="B38:C38">
    <cfRule type="cellIs" dxfId="8487" priority="6705" stopIfTrue="1" operator="equal">
      <formula>"Towel"</formula>
    </cfRule>
    <cfRule type="cellIs" dxfId="8486" priority="6706" stopIfTrue="1" operator="equal">
      <formula>"Napkin Hs"</formula>
    </cfRule>
  </conditionalFormatting>
  <conditionalFormatting sqref="C38">
    <cfRule type="cellIs" dxfId="8485" priority="6704" stopIfTrue="1" operator="equal">
      <formula>"Napkin Hs"</formula>
    </cfRule>
  </conditionalFormatting>
  <conditionalFormatting sqref="C38">
    <cfRule type="cellIs" dxfId="8484" priority="6701" stopIfTrue="1" operator="equal">
      <formula>"Towel"</formula>
    </cfRule>
    <cfRule type="cellIs" dxfId="8483" priority="6702" stopIfTrue="1" operator="equal">
      <formula>"Napkin Hs"</formula>
    </cfRule>
  </conditionalFormatting>
  <conditionalFormatting sqref="C38">
    <cfRule type="cellIs" dxfId="8482" priority="6703" stopIfTrue="1" operator="equal">
      <formula>"Towel"</formula>
    </cfRule>
  </conditionalFormatting>
  <conditionalFormatting sqref="B38:C38">
    <cfRule type="cellIs" dxfId="8481" priority="6699" stopIfTrue="1" operator="equal">
      <formula>"Towel"</formula>
    </cfRule>
    <cfRule type="cellIs" dxfId="8480" priority="6700" stopIfTrue="1" operator="equal">
      <formula>"Napkin Hs"</formula>
    </cfRule>
  </conditionalFormatting>
  <conditionalFormatting sqref="C38">
    <cfRule type="cellIs" dxfId="8479" priority="6698" stopIfTrue="1" operator="equal">
      <formula>"Napkin Hs"</formula>
    </cfRule>
  </conditionalFormatting>
  <conditionalFormatting sqref="C38">
    <cfRule type="cellIs" dxfId="8478" priority="6697" stopIfTrue="1" operator="equal">
      <formula>"Towel"</formula>
    </cfRule>
  </conditionalFormatting>
  <conditionalFormatting sqref="C38">
    <cfRule type="cellIs" dxfId="8477" priority="6695" stopIfTrue="1" operator="equal">
      <formula>"Towel"</formula>
    </cfRule>
    <cfRule type="cellIs" dxfId="8476" priority="6696" stopIfTrue="1" operator="equal">
      <formula>"Napkin Hs"</formula>
    </cfRule>
  </conditionalFormatting>
  <conditionalFormatting sqref="B38:C38">
    <cfRule type="cellIs" dxfId="8475" priority="6693" stopIfTrue="1" operator="equal">
      <formula>"Towel"</formula>
    </cfRule>
    <cfRule type="cellIs" dxfId="8474" priority="6694" stopIfTrue="1" operator="equal">
      <formula>"Napkin Hs"</formula>
    </cfRule>
  </conditionalFormatting>
  <conditionalFormatting sqref="C38">
    <cfRule type="cellIs" dxfId="8473" priority="6692" stopIfTrue="1" operator="equal">
      <formula>"Napkin Hs"</formula>
    </cfRule>
  </conditionalFormatting>
  <conditionalFormatting sqref="C38">
    <cfRule type="cellIs" dxfId="8472" priority="6689" stopIfTrue="1" operator="equal">
      <formula>"Towel"</formula>
    </cfRule>
    <cfRule type="cellIs" dxfId="8471" priority="6690" stopIfTrue="1" operator="equal">
      <formula>"Napkin Hs"</formula>
    </cfRule>
  </conditionalFormatting>
  <conditionalFormatting sqref="C38">
    <cfRule type="cellIs" dxfId="8470" priority="6691" stopIfTrue="1" operator="equal">
      <formula>"Towel"</formula>
    </cfRule>
  </conditionalFormatting>
  <conditionalFormatting sqref="B38:C38">
    <cfRule type="cellIs" dxfId="8469" priority="6687" stopIfTrue="1" operator="equal">
      <formula>"Towel"</formula>
    </cfRule>
    <cfRule type="cellIs" dxfId="8468" priority="6688" stopIfTrue="1" operator="equal">
      <formula>"Napkin Hs"</formula>
    </cfRule>
  </conditionalFormatting>
  <conditionalFormatting sqref="C38">
    <cfRule type="cellIs" dxfId="8467" priority="6686" stopIfTrue="1" operator="equal">
      <formula>"Napkin Hs"</formula>
    </cfRule>
  </conditionalFormatting>
  <conditionalFormatting sqref="C38">
    <cfRule type="cellIs" dxfId="8466" priority="6683" stopIfTrue="1" operator="equal">
      <formula>"Towel"</formula>
    </cfRule>
    <cfRule type="cellIs" dxfId="8465" priority="6684" stopIfTrue="1" operator="equal">
      <formula>"Napkin Hs"</formula>
    </cfRule>
  </conditionalFormatting>
  <conditionalFormatting sqref="C38">
    <cfRule type="cellIs" dxfId="8464" priority="6685" stopIfTrue="1" operator="equal">
      <formula>"Towel"</formula>
    </cfRule>
  </conditionalFormatting>
  <conditionalFormatting sqref="B38:C38">
    <cfRule type="cellIs" dxfId="8463" priority="6681" stopIfTrue="1" operator="equal">
      <formula>"Towel"</formula>
    </cfRule>
    <cfRule type="cellIs" dxfId="8462" priority="6682" stopIfTrue="1" operator="equal">
      <formula>"Napkin Hs"</formula>
    </cfRule>
  </conditionalFormatting>
  <conditionalFormatting sqref="C38">
    <cfRule type="cellIs" dxfId="8461" priority="6680" stopIfTrue="1" operator="equal">
      <formula>"Napkin Hs"</formula>
    </cfRule>
  </conditionalFormatting>
  <conditionalFormatting sqref="C38">
    <cfRule type="cellIs" dxfId="8460" priority="6677" stopIfTrue="1" operator="equal">
      <formula>"Towel"</formula>
    </cfRule>
    <cfRule type="cellIs" dxfId="8459" priority="6678" stopIfTrue="1" operator="equal">
      <formula>"Napkin Hs"</formula>
    </cfRule>
  </conditionalFormatting>
  <conditionalFormatting sqref="C38">
    <cfRule type="cellIs" dxfId="8458" priority="6679" stopIfTrue="1" operator="equal">
      <formula>"Towel"</formula>
    </cfRule>
  </conditionalFormatting>
  <conditionalFormatting sqref="B38:C38">
    <cfRule type="cellIs" dxfId="8457" priority="6675" stopIfTrue="1" operator="equal">
      <formula>"Towel"</formula>
    </cfRule>
    <cfRule type="cellIs" dxfId="8456" priority="6676" stopIfTrue="1" operator="equal">
      <formula>"Napkin Hs"</formula>
    </cfRule>
  </conditionalFormatting>
  <conditionalFormatting sqref="C38">
    <cfRule type="cellIs" dxfId="8455" priority="6674" stopIfTrue="1" operator="equal">
      <formula>"Napkin Hs"</formula>
    </cfRule>
  </conditionalFormatting>
  <conditionalFormatting sqref="C38">
    <cfRule type="cellIs" dxfId="8454" priority="6671" stopIfTrue="1" operator="equal">
      <formula>"Towel"</formula>
    </cfRule>
    <cfRule type="cellIs" dxfId="8453" priority="6672" stopIfTrue="1" operator="equal">
      <formula>"Napkin Hs"</formula>
    </cfRule>
  </conditionalFormatting>
  <conditionalFormatting sqref="C38">
    <cfRule type="cellIs" dxfId="8452" priority="6673" stopIfTrue="1" operator="equal">
      <formula>"Towel"</formula>
    </cfRule>
  </conditionalFormatting>
  <conditionalFormatting sqref="B38:C38">
    <cfRule type="cellIs" dxfId="8451" priority="6669" stopIfTrue="1" operator="equal">
      <formula>"Towel"</formula>
    </cfRule>
    <cfRule type="cellIs" dxfId="8450" priority="6670" stopIfTrue="1" operator="equal">
      <formula>"Napkin Hs"</formula>
    </cfRule>
  </conditionalFormatting>
  <conditionalFormatting sqref="C38">
    <cfRule type="cellIs" dxfId="8449" priority="6668" stopIfTrue="1" operator="equal">
      <formula>"Napkin Hs"</formula>
    </cfRule>
  </conditionalFormatting>
  <conditionalFormatting sqref="C38">
    <cfRule type="cellIs" dxfId="8448" priority="6665" stopIfTrue="1" operator="equal">
      <formula>"Towel"</formula>
    </cfRule>
    <cfRule type="cellIs" dxfId="8447" priority="6666" stopIfTrue="1" operator="equal">
      <formula>"Napkin Hs"</formula>
    </cfRule>
  </conditionalFormatting>
  <conditionalFormatting sqref="C38">
    <cfRule type="cellIs" dxfId="8446" priority="6667" stopIfTrue="1" operator="equal">
      <formula>"Towel"</formula>
    </cfRule>
  </conditionalFormatting>
  <conditionalFormatting sqref="B38:C38">
    <cfRule type="cellIs" dxfId="8445" priority="6663" stopIfTrue="1" operator="equal">
      <formula>"Towel"</formula>
    </cfRule>
    <cfRule type="cellIs" dxfId="8444" priority="6664" stopIfTrue="1" operator="equal">
      <formula>"Napkin Hs"</formula>
    </cfRule>
  </conditionalFormatting>
  <conditionalFormatting sqref="C38">
    <cfRule type="cellIs" dxfId="8443" priority="6662" stopIfTrue="1" operator="equal">
      <formula>"Napkin Hs"</formula>
    </cfRule>
  </conditionalFormatting>
  <conditionalFormatting sqref="C38">
    <cfRule type="cellIs" dxfId="8442" priority="6659" stopIfTrue="1" operator="equal">
      <formula>"Towel"</formula>
    </cfRule>
    <cfRule type="cellIs" dxfId="8441" priority="6660" stopIfTrue="1" operator="equal">
      <formula>"Napkin Hs"</formula>
    </cfRule>
  </conditionalFormatting>
  <conditionalFormatting sqref="C38">
    <cfRule type="cellIs" dxfId="8440" priority="6661" stopIfTrue="1" operator="equal">
      <formula>"Towel"</formula>
    </cfRule>
  </conditionalFormatting>
  <conditionalFormatting sqref="B38:C38">
    <cfRule type="cellIs" dxfId="8439" priority="6657" stopIfTrue="1" operator="equal">
      <formula>"Towel"</formula>
    </cfRule>
    <cfRule type="cellIs" dxfId="8438" priority="6658" stopIfTrue="1" operator="equal">
      <formula>"Napkin Hs"</formula>
    </cfRule>
  </conditionalFormatting>
  <conditionalFormatting sqref="C38">
    <cfRule type="cellIs" dxfId="8437" priority="6656" stopIfTrue="1" operator="equal">
      <formula>"Napkin Hs"</formula>
    </cfRule>
  </conditionalFormatting>
  <conditionalFormatting sqref="C38">
    <cfRule type="cellIs" dxfId="8436" priority="6653" stopIfTrue="1" operator="equal">
      <formula>"Towel"</formula>
    </cfRule>
    <cfRule type="cellIs" dxfId="8435" priority="6654" stopIfTrue="1" operator="equal">
      <formula>"Napkin Hs"</formula>
    </cfRule>
  </conditionalFormatting>
  <conditionalFormatting sqref="C38">
    <cfRule type="cellIs" dxfId="8434" priority="6655" stopIfTrue="1" operator="equal">
      <formula>"Towel"</formula>
    </cfRule>
  </conditionalFormatting>
  <conditionalFormatting sqref="B38:C38">
    <cfRule type="cellIs" dxfId="8433" priority="6651" stopIfTrue="1" operator="equal">
      <formula>"Towel"</formula>
    </cfRule>
    <cfRule type="cellIs" dxfId="8432" priority="6652" stopIfTrue="1" operator="equal">
      <formula>"Napkin Hs"</formula>
    </cfRule>
  </conditionalFormatting>
  <conditionalFormatting sqref="C38">
    <cfRule type="cellIs" dxfId="8431" priority="6650" stopIfTrue="1" operator="equal">
      <formula>"Napkin Hs"</formula>
    </cfRule>
  </conditionalFormatting>
  <conditionalFormatting sqref="C38">
    <cfRule type="cellIs" dxfId="8430" priority="6647" stopIfTrue="1" operator="equal">
      <formula>"Towel"</formula>
    </cfRule>
    <cfRule type="cellIs" dxfId="8429" priority="6648" stopIfTrue="1" operator="equal">
      <formula>"Napkin Hs"</formula>
    </cfRule>
  </conditionalFormatting>
  <conditionalFormatting sqref="C38">
    <cfRule type="cellIs" dxfId="8428" priority="6649" stopIfTrue="1" operator="equal">
      <formula>"Towel"</formula>
    </cfRule>
  </conditionalFormatting>
  <conditionalFormatting sqref="B38:C38">
    <cfRule type="cellIs" dxfId="8427" priority="6645" stopIfTrue="1" operator="equal">
      <formula>"Towel"</formula>
    </cfRule>
    <cfRule type="cellIs" dxfId="8426" priority="6646" stopIfTrue="1" operator="equal">
      <formula>"Napkin Hs"</formula>
    </cfRule>
  </conditionalFormatting>
  <conditionalFormatting sqref="C38">
    <cfRule type="cellIs" dxfId="8425" priority="6644" stopIfTrue="1" operator="equal">
      <formula>"Napkin Hs"</formula>
    </cfRule>
  </conditionalFormatting>
  <conditionalFormatting sqref="C38">
    <cfRule type="cellIs" dxfId="8424" priority="6641" stopIfTrue="1" operator="equal">
      <formula>"Towel"</formula>
    </cfRule>
    <cfRule type="cellIs" dxfId="8423" priority="6642" stopIfTrue="1" operator="equal">
      <formula>"Napkin Hs"</formula>
    </cfRule>
  </conditionalFormatting>
  <conditionalFormatting sqref="C38">
    <cfRule type="cellIs" dxfId="8422" priority="6643" stopIfTrue="1" operator="equal">
      <formula>"Towel"</formula>
    </cfRule>
  </conditionalFormatting>
  <conditionalFormatting sqref="B38:C38">
    <cfRule type="cellIs" dxfId="8421" priority="6639" stopIfTrue="1" operator="equal">
      <formula>"Towel"</formula>
    </cfRule>
    <cfRule type="cellIs" dxfId="8420" priority="6640" stopIfTrue="1" operator="equal">
      <formula>"Napkin Hs"</formula>
    </cfRule>
  </conditionalFormatting>
  <conditionalFormatting sqref="C38">
    <cfRule type="cellIs" dxfId="8419" priority="6638" stopIfTrue="1" operator="equal">
      <formula>"Napkin Hs"</formula>
    </cfRule>
  </conditionalFormatting>
  <conditionalFormatting sqref="C38">
    <cfRule type="cellIs" dxfId="8418" priority="6635" stopIfTrue="1" operator="equal">
      <formula>"Towel"</formula>
    </cfRule>
    <cfRule type="cellIs" dxfId="8417" priority="6636" stopIfTrue="1" operator="equal">
      <formula>"Napkin Hs"</formula>
    </cfRule>
  </conditionalFormatting>
  <conditionalFormatting sqref="C38">
    <cfRule type="cellIs" dxfId="8416" priority="6637" stopIfTrue="1" operator="equal">
      <formula>"Towel"</formula>
    </cfRule>
  </conditionalFormatting>
  <conditionalFormatting sqref="B38:C38">
    <cfRule type="cellIs" dxfId="8415" priority="6633" stopIfTrue="1" operator="equal">
      <formula>"Towel"</formula>
    </cfRule>
    <cfRule type="cellIs" dxfId="8414" priority="6634" stopIfTrue="1" operator="equal">
      <formula>"Napkin Hs"</formula>
    </cfRule>
  </conditionalFormatting>
  <conditionalFormatting sqref="C38">
    <cfRule type="cellIs" dxfId="8413" priority="6632" stopIfTrue="1" operator="equal">
      <formula>"Napkin Hs"</formula>
    </cfRule>
  </conditionalFormatting>
  <conditionalFormatting sqref="C38">
    <cfRule type="cellIs" dxfId="8412" priority="6631" stopIfTrue="1" operator="equal">
      <formula>"Towel"</formula>
    </cfRule>
  </conditionalFormatting>
  <conditionalFormatting sqref="C38">
    <cfRule type="cellIs" dxfId="8411" priority="6629" stopIfTrue="1" operator="equal">
      <formula>"Towel"</formula>
    </cfRule>
    <cfRule type="cellIs" dxfId="8410" priority="6630" stopIfTrue="1" operator="equal">
      <formula>"Napkin Hs"</formula>
    </cfRule>
  </conditionalFormatting>
  <conditionalFormatting sqref="B38:C38">
    <cfRule type="cellIs" dxfId="8409" priority="6627" stopIfTrue="1" operator="equal">
      <formula>"Towel"</formula>
    </cfRule>
    <cfRule type="cellIs" dxfId="8408" priority="6628" stopIfTrue="1" operator="equal">
      <formula>"Napkin Hs"</formula>
    </cfRule>
  </conditionalFormatting>
  <conditionalFormatting sqref="C38">
    <cfRule type="cellIs" dxfId="8407" priority="6626" stopIfTrue="1" operator="equal">
      <formula>"Napkin Hs"</formula>
    </cfRule>
  </conditionalFormatting>
  <conditionalFormatting sqref="C38">
    <cfRule type="cellIs" dxfId="8406" priority="6623" stopIfTrue="1" operator="equal">
      <formula>"Towel"</formula>
    </cfRule>
    <cfRule type="cellIs" dxfId="8405" priority="6624" stopIfTrue="1" operator="equal">
      <formula>"Napkin Hs"</formula>
    </cfRule>
  </conditionalFormatting>
  <conditionalFormatting sqref="C38">
    <cfRule type="cellIs" dxfId="8404" priority="6625" stopIfTrue="1" operator="equal">
      <formula>"Towel"</formula>
    </cfRule>
  </conditionalFormatting>
  <conditionalFormatting sqref="B38:C38">
    <cfRule type="cellIs" dxfId="8403" priority="6621" stopIfTrue="1" operator="equal">
      <formula>"Towel"</formula>
    </cfRule>
    <cfRule type="cellIs" dxfId="8402" priority="6622" stopIfTrue="1" operator="equal">
      <formula>"Napkin Hs"</formula>
    </cfRule>
  </conditionalFormatting>
  <conditionalFormatting sqref="C38">
    <cfRule type="cellIs" dxfId="8401" priority="6620" stopIfTrue="1" operator="equal">
      <formula>"Napkin Hs"</formula>
    </cfRule>
  </conditionalFormatting>
  <conditionalFormatting sqref="C38">
    <cfRule type="cellIs" dxfId="8400" priority="6617" stopIfTrue="1" operator="equal">
      <formula>"Towel"</formula>
    </cfRule>
    <cfRule type="cellIs" dxfId="8399" priority="6618" stopIfTrue="1" operator="equal">
      <formula>"Napkin Hs"</formula>
    </cfRule>
  </conditionalFormatting>
  <conditionalFormatting sqref="C38">
    <cfRule type="cellIs" dxfId="8398" priority="6619" stopIfTrue="1" operator="equal">
      <formula>"Towel"</formula>
    </cfRule>
  </conditionalFormatting>
  <conditionalFormatting sqref="B38:C38">
    <cfRule type="cellIs" dxfId="8397" priority="6615" stopIfTrue="1" operator="equal">
      <formula>"Towel"</formula>
    </cfRule>
    <cfRule type="cellIs" dxfId="8396" priority="6616" stopIfTrue="1" operator="equal">
      <formula>"Napkin Hs"</formula>
    </cfRule>
  </conditionalFormatting>
  <conditionalFormatting sqref="C38">
    <cfRule type="cellIs" dxfId="8395" priority="6614" stopIfTrue="1" operator="equal">
      <formula>"Napkin Hs"</formula>
    </cfRule>
  </conditionalFormatting>
  <conditionalFormatting sqref="C38">
    <cfRule type="cellIs" dxfId="8394" priority="6611" stopIfTrue="1" operator="equal">
      <formula>"Towel"</formula>
    </cfRule>
    <cfRule type="cellIs" dxfId="8393" priority="6612" stopIfTrue="1" operator="equal">
      <formula>"Napkin Hs"</formula>
    </cfRule>
  </conditionalFormatting>
  <conditionalFormatting sqref="C38">
    <cfRule type="cellIs" dxfId="8392" priority="6613" stopIfTrue="1" operator="equal">
      <formula>"Towel"</formula>
    </cfRule>
  </conditionalFormatting>
  <conditionalFormatting sqref="B38:C38">
    <cfRule type="cellIs" dxfId="8391" priority="6609" stopIfTrue="1" operator="equal">
      <formula>"Towel"</formula>
    </cfRule>
    <cfRule type="cellIs" dxfId="8390" priority="6610" stopIfTrue="1" operator="equal">
      <formula>"Napkin Hs"</formula>
    </cfRule>
  </conditionalFormatting>
  <conditionalFormatting sqref="C38">
    <cfRule type="cellIs" dxfId="8389" priority="6608" stopIfTrue="1" operator="equal">
      <formula>"Napkin Hs"</formula>
    </cfRule>
  </conditionalFormatting>
  <conditionalFormatting sqref="C38">
    <cfRule type="cellIs" dxfId="8388" priority="6605" stopIfTrue="1" operator="equal">
      <formula>"Towel"</formula>
    </cfRule>
    <cfRule type="cellIs" dxfId="8387" priority="6606" stopIfTrue="1" operator="equal">
      <formula>"Napkin Hs"</formula>
    </cfRule>
  </conditionalFormatting>
  <conditionalFormatting sqref="C38">
    <cfRule type="cellIs" dxfId="8386" priority="6607" stopIfTrue="1" operator="equal">
      <formula>"Towel"</formula>
    </cfRule>
  </conditionalFormatting>
  <conditionalFormatting sqref="B38:C38">
    <cfRule type="cellIs" dxfId="8385" priority="6603" stopIfTrue="1" operator="equal">
      <formula>"Towel"</formula>
    </cfRule>
    <cfRule type="cellIs" dxfId="8384" priority="6604" stopIfTrue="1" operator="equal">
      <formula>"Napkin Hs"</formula>
    </cfRule>
  </conditionalFormatting>
  <conditionalFormatting sqref="C38">
    <cfRule type="cellIs" dxfId="8383" priority="6602" stopIfTrue="1" operator="equal">
      <formula>"Napkin Hs"</formula>
    </cfRule>
  </conditionalFormatting>
  <conditionalFormatting sqref="C38">
    <cfRule type="cellIs" dxfId="8382" priority="6599" stopIfTrue="1" operator="equal">
      <formula>"Towel"</formula>
    </cfRule>
    <cfRule type="cellIs" dxfId="8381" priority="6600" stopIfTrue="1" operator="equal">
      <formula>"Napkin Hs"</formula>
    </cfRule>
  </conditionalFormatting>
  <conditionalFormatting sqref="C38">
    <cfRule type="cellIs" dxfId="8380" priority="6601" stopIfTrue="1" operator="equal">
      <formula>"Towel"</formula>
    </cfRule>
  </conditionalFormatting>
  <conditionalFormatting sqref="B38:C38">
    <cfRule type="cellIs" dxfId="8379" priority="6597" stopIfTrue="1" operator="equal">
      <formula>"Towel"</formula>
    </cfRule>
    <cfRule type="cellIs" dxfId="8378" priority="6598" stopIfTrue="1" operator="equal">
      <formula>"Napkin Hs"</formula>
    </cfRule>
  </conditionalFormatting>
  <conditionalFormatting sqref="C38">
    <cfRule type="cellIs" dxfId="8377" priority="6596" stopIfTrue="1" operator="equal">
      <formula>"Napkin Hs"</formula>
    </cfRule>
  </conditionalFormatting>
  <conditionalFormatting sqref="C38">
    <cfRule type="cellIs" dxfId="8376" priority="6593" stopIfTrue="1" operator="equal">
      <formula>"Towel"</formula>
    </cfRule>
    <cfRule type="cellIs" dxfId="8375" priority="6594" stopIfTrue="1" operator="equal">
      <formula>"Napkin Hs"</formula>
    </cfRule>
  </conditionalFormatting>
  <conditionalFormatting sqref="C38">
    <cfRule type="cellIs" dxfId="8374" priority="6595" stopIfTrue="1" operator="equal">
      <formula>"Towel"</formula>
    </cfRule>
  </conditionalFormatting>
  <conditionalFormatting sqref="B38:C38">
    <cfRule type="cellIs" dxfId="8373" priority="6591" stopIfTrue="1" operator="equal">
      <formula>"Towel"</formula>
    </cfRule>
    <cfRule type="cellIs" dxfId="8372" priority="6592" stopIfTrue="1" operator="equal">
      <formula>"Napkin Hs"</formula>
    </cfRule>
  </conditionalFormatting>
  <conditionalFormatting sqref="C38">
    <cfRule type="cellIs" dxfId="8371" priority="6590" stopIfTrue="1" operator="equal">
      <formula>"Napkin Hs"</formula>
    </cfRule>
  </conditionalFormatting>
  <conditionalFormatting sqref="C38">
    <cfRule type="cellIs" dxfId="8370" priority="6587" stopIfTrue="1" operator="equal">
      <formula>"Towel"</formula>
    </cfRule>
    <cfRule type="cellIs" dxfId="8369" priority="6588" stopIfTrue="1" operator="equal">
      <formula>"Napkin Hs"</formula>
    </cfRule>
  </conditionalFormatting>
  <conditionalFormatting sqref="C38">
    <cfRule type="cellIs" dxfId="8368" priority="6589" stopIfTrue="1" operator="equal">
      <formula>"Towel"</formula>
    </cfRule>
  </conditionalFormatting>
  <conditionalFormatting sqref="B38:C38">
    <cfRule type="cellIs" dxfId="8367" priority="6585" stopIfTrue="1" operator="equal">
      <formula>"Towel"</formula>
    </cfRule>
    <cfRule type="cellIs" dxfId="8366" priority="6586" stopIfTrue="1" operator="equal">
      <formula>"Napkin Hs"</formula>
    </cfRule>
  </conditionalFormatting>
  <conditionalFormatting sqref="C38">
    <cfRule type="cellIs" dxfId="8365" priority="6584" stopIfTrue="1" operator="equal">
      <formula>"Napkin Hs"</formula>
    </cfRule>
  </conditionalFormatting>
  <conditionalFormatting sqref="C38">
    <cfRule type="cellIs" dxfId="8364" priority="6581" stopIfTrue="1" operator="equal">
      <formula>"Towel"</formula>
    </cfRule>
    <cfRule type="cellIs" dxfId="8363" priority="6582" stopIfTrue="1" operator="equal">
      <formula>"Napkin Hs"</formula>
    </cfRule>
  </conditionalFormatting>
  <conditionalFormatting sqref="C38">
    <cfRule type="cellIs" dxfId="8362" priority="6583" stopIfTrue="1" operator="equal">
      <formula>"Towel"</formula>
    </cfRule>
  </conditionalFormatting>
  <conditionalFormatting sqref="B38:C38">
    <cfRule type="cellIs" dxfId="8361" priority="6579" stopIfTrue="1" operator="equal">
      <formula>"Towel"</formula>
    </cfRule>
    <cfRule type="cellIs" dxfId="8360" priority="6580" stopIfTrue="1" operator="equal">
      <formula>"Napkin Hs"</formula>
    </cfRule>
  </conditionalFormatting>
  <conditionalFormatting sqref="C38">
    <cfRule type="cellIs" dxfId="8359" priority="6578" stopIfTrue="1" operator="equal">
      <formula>"Napkin Hs"</formula>
    </cfRule>
  </conditionalFormatting>
  <conditionalFormatting sqref="C38">
    <cfRule type="cellIs" dxfId="8358" priority="6575" stopIfTrue="1" operator="equal">
      <formula>"Towel"</formula>
    </cfRule>
    <cfRule type="cellIs" dxfId="8357" priority="6576" stopIfTrue="1" operator="equal">
      <formula>"Napkin Hs"</formula>
    </cfRule>
  </conditionalFormatting>
  <conditionalFormatting sqref="C38">
    <cfRule type="cellIs" dxfId="8356" priority="6577" stopIfTrue="1" operator="equal">
      <formula>"Towel"</formula>
    </cfRule>
  </conditionalFormatting>
  <conditionalFormatting sqref="B47:C47">
    <cfRule type="cellIs" dxfId="8355" priority="6573" stopIfTrue="1" operator="equal">
      <formula>"Towel"</formula>
    </cfRule>
    <cfRule type="cellIs" dxfId="8354" priority="6574" stopIfTrue="1" operator="equal">
      <formula>"Napkin Hs"</formula>
    </cfRule>
  </conditionalFormatting>
  <conditionalFormatting sqref="C47">
    <cfRule type="cellIs" dxfId="8353" priority="6569" stopIfTrue="1" operator="equal">
      <formula>"Towel"</formula>
    </cfRule>
    <cfRule type="cellIs" dxfId="8352" priority="6570" stopIfTrue="1" operator="equal">
      <formula>"Napkin Hs"</formula>
    </cfRule>
  </conditionalFormatting>
  <conditionalFormatting sqref="C47">
    <cfRule type="cellIs" dxfId="8351" priority="6571" stopIfTrue="1" operator="equal">
      <formula>"Towel"</formula>
    </cfRule>
    <cfRule type="cellIs" dxfId="8350" priority="6572" stopIfTrue="1" operator="equal">
      <formula>"Napkin Hs"</formula>
    </cfRule>
  </conditionalFormatting>
  <conditionalFormatting sqref="B45:C45 C46">
    <cfRule type="cellIs" dxfId="8349" priority="6565" stopIfTrue="1" operator="equal">
      <formula>"Towel"</formula>
    </cfRule>
    <cfRule type="cellIs" dxfId="8348" priority="6566" stopIfTrue="1" operator="equal">
      <formula>"Napkin Hs"</formula>
    </cfRule>
  </conditionalFormatting>
  <conditionalFormatting sqref="B46">
    <cfRule type="cellIs" dxfId="8347" priority="6567" stopIfTrue="1" operator="equal">
      <formula>"Towel"</formula>
    </cfRule>
    <cfRule type="cellIs" dxfId="8346" priority="6568" stopIfTrue="1" operator="equal">
      <formula>"Napkin Hs"</formula>
    </cfRule>
  </conditionalFormatting>
  <conditionalFormatting sqref="C45:C46">
    <cfRule type="cellIs" dxfId="8345" priority="6561" stopIfTrue="1" operator="equal">
      <formula>"Towel"</formula>
    </cfRule>
    <cfRule type="cellIs" dxfId="8344" priority="6562" stopIfTrue="1" operator="equal">
      <formula>"Napkin Hs"</formula>
    </cfRule>
  </conditionalFormatting>
  <conditionalFormatting sqref="C45:C46">
    <cfRule type="cellIs" dxfId="8343" priority="6563" stopIfTrue="1" operator="equal">
      <formula>"Towel"</formula>
    </cfRule>
    <cfRule type="cellIs" dxfId="8342" priority="6564" stopIfTrue="1" operator="equal">
      <formula>"Napkin Hs"</formula>
    </cfRule>
  </conditionalFormatting>
  <conditionalFormatting sqref="B47:C47">
    <cfRule type="cellIs" dxfId="8341" priority="6559" stopIfTrue="1" operator="equal">
      <formula>"Towel"</formula>
    </cfRule>
    <cfRule type="cellIs" dxfId="8340" priority="6560" stopIfTrue="1" operator="equal">
      <formula>"Napkin Hs"</formula>
    </cfRule>
  </conditionalFormatting>
  <conditionalFormatting sqref="C47">
    <cfRule type="cellIs" dxfId="8339" priority="6558" stopIfTrue="1" operator="equal">
      <formula>"Napkin Hs"</formula>
    </cfRule>
  </conditionalFormatting>
  <conditionalFormatting sqref="C47">
    <cfRule type="cellIs" dxfId="8338" priority="6555" stopIfTrue="1" operator="equal">
      <formula>"Towel"</formula>
    </cfRule>
    <cfRule type="cellIs" dxfId="8337" priority="6556" stopIfTrue="1" operator="equal">
      <formula>"Napkin Hs"</formula>
    </cfRule>
  </conditionalFormatting>
  <conditionalFormatting sqref="C47">
    <cfRule type="cellIs" dxfId="8336" priority="6557" stopIfTrue="1" operator="equal">
      <formula>"Towel"</formula>
    </cfRule>
  </conditionalFormatting>
  <conditionalFormatting sqref="B45:C46">
    <cfRule type="cellIs" dxfId="8335" priority="6553" stopIfTrue="1" operator="equal">
      <formula>"Towel"</formula>
    </cfRule>
    <cfRule type="cellIs" dxfId="8334" priority="6554" stopIfTrue="1" operator="equal">
      <formula>"Napkin Hs"</formula>
    </cfRule>
  </conditionalFormatting>
  <conditionalFormatting sqref="C45:C46">
    <cfRule type="cellIs" dxfId="8333" priority="6552" stopIfTrue="1" operator="equal">
      <formula>"Napkin Hs"</formula>
    </cfRule>
  </conditionalFormatting>
  <conditionalFormatting sqref="C45:C46">
    <cfRule type="cellIs" dxfId="8332" priority="6549" stopIfTrue="1" operator="equal">
      <formula>"Towel"</formula>
    </cfRule>
    <cfRule type="cellIs" dxfId="8331" priority="6550" stopIfTrue="1" operator="equal">
      <formula>"Napkin Hs"</formula>
    </cfRule>
  </conditionalFormatting>
  <conditionalFormatting sqref="C45:C46">
    <cfRule type="cellIs" dxfId="8330" priority="6551" stopIfTrue="1" operator="equal">
      <formula>"Towel"</formula>
    </cfRule>
  </conditionalFormatting>
  <conditionalFormatting sqref="B45:C46">
    <cfRule type="cellIs" dxfId="8329" priority="6547" stopIfTrue="1" operator="equal">
      <formula>"Towel"</formula>
    </cfRule>
    <cfRule type="cellIs" dxfId="8328" priority="6548" stopIfTrue="1" operator="equal">
      <formula>"Napkin Hs"</formula>
    </cfRule>
  </conditionalFormatting>
  <conditionalFormatting sqref="C45:C46">
    <cfRule type="cellIs" dxfId="8327" priority="6545" stopIfTrue="1" operator="equal">
      <formula>"Towel"</formula>
    </cfRule>
    <cfRule type="cellIs" dxfId="8326" priority="6546" stopIfTrue="1" operator="equal">
      <formula>"Napkin Hs"</formula>
    </cfRule>
  </conditionalFormatting>
  <conditionalFormatting sqref="C45:C46">
    <cfRule type="cellIs" dxfId="8325" priority="6543" stopIfTrue="1" operator="equal">
      <formula>"Towel"</formula>
    </cfRule>
    <cfRule type="cellIs" dxfId="8324" priority="6544" stopIfTrue="1" operator="equal">
      <formula>"Napkin Hs"</formula>
    </cfRule>
  </conditionalFormatting>
  <conditionalFormatting sqref="B45:C46">
    <cfRule type="cellIs" dxfId="8323" priority="6541" stopIfTrue="1" operator="equal">
      <formula>"Towel"</formula>
    </cfRule>
    <cfRule type="cellIs" dxfId="8322" priority="6542" stopIfTrue="1" operator="equal">
      <formula>"Napkin Hs"</formula>
    </cfRule>
  </conditionalFormatting>
  <conditionalFormatting sqref="C45:C46">
    <cfRule type="cellIs" dxfId="8321" priority="6540" stopIfTrue="1" operator="equal">
      <formula>"Napkin Hs"</formula>
    </cfRule>
  </conditionalFormatting>
  <conditionalFormatting sqref="C45:C46">
    <cfRule type="cellIs" dxfId="8320" priority="6537" stopIfTrue="1" operator="equal">
      <formula>"Towel"</formula>
    </cfRule>
    <cfRule type="cellIs" dxfId="8319" priority="6538" stopIfTrue="1" operator="equal">
      <formula>"Napkin Hs"</formula>
    </cfRule>
  </conditionalFormatting>
  <conditionalFormatting sqref="C45:C46">
    <cfRule type="cellIs" dxfId="8318" priority="6539" stopIfTrue="1" operator="equal">
      <formula>"Towel"</formula>
    </cfRule>
  </conditionalFormatting>
  <conditionalFormatting sqref="B45:C46">
    <cfRule type="cellIs" dxfId="8317" priority="6535" stopIfTrue="1" operator="equal">
      <formula>"Towel"</formula>
    </cfRule>
    <cfRule type="cellIs" dxfId="8316" priority="6536" stopIfTrue="1" operator="equal">
      <formula>"Napkin Hs"</formula>
    </cfRule>
  </conditionalFormatting>
  <conditionalFormatting sqref="C45:C46">
    <cfRule type="cellIs" dxfId="8315" priority="6534" stopIfTrue="1" operator="equal">
      <formula>"Napkin Hs"</formula>
    </cfRule>
  </conditionalFormatting>
  <conditionalFormatting sqref="C45:C46">
    <cfRule type="cellIs" dxfId="8314" priority="6533" stopIfTrue="1" operator="equal">
      <formula>"Towel"</formula>
    </cfRule>
  </conditionalFormatting>
  <conditionalFormatting sqref="C45:C46">
    <cfRule type="cellIs" dxfId="8313" priority="6531" stopIfTrue="1" operator="equal">
      <formula>"Towel"</formula>
    </cfRule>
    <cfRule type="cellIs" dxfId="8312" priority="6532" stopIfTrue="1" operator="equal">
      <formula>"Napkin Hs"</formula>
    </cfRule>
  </conditionalFormatting>
  <conditionalFormatting sqref="B45:C46">
    <cfRule type="cellIs" dxfId="8311" priority="6529" stopIfTrue="1" operator="equal">
      <formula>"Towel"</formula>
    </cfRule>
    <cfRule type="cellIs" dxfId="8310" priority="6530" stopIfTrue="1" operator="equal">
      <formula>"Napkin Hs"</formula>
    </cfRule>
  </conditionalFormatting>
  <conditionalFormatting sqref="C45:C46">
    <cfRule type="cellIs" dxfId="8309" priority="6528" stopIfTrue="1" operator="equal">
      <formula>"Napkin Hs"</formula>
    </cfRule>
  </conditionalFormatting>
  <conditionalFormatting sqref="C45:C46">
    <cfRule type="cellIs" dxfId="8308" priority="6525" stopIfTrue="1" operator="equal">
      <formula>"Towel"</formula>
    </cfRule>
    <cfRule type="cellIs" dxfId="8307" priority="6526" stopIfTrue="1" operator="equal">
      <formula>"Napkin Hs"</formula>
    </cfRule>
  </conditionalFormatting>
  <conditionalFormatting sqref="C45:C46">
    <cfRule type="cellIs" dxfId="8306" priority="6527" stopIfTrue="1" operator="equal">
      <formula>"Towel"</formula>
    </cfRule>
  </conditionalFormatting>
  <conditionalFormatting sqref="B45:C46">
    <cfRule type="cellIs" dxfId="8305" priority="6523" stopIfTrue="1" operator="equal">
      <formula>"Towel"</formula>
    </cfRule>
    <cfRule type="cellIs" dxfId="8304" priority="6524" stopIfTrue="1" operator="equal">
      <formula>"Napkin Hs"</formula>
    </cfRule>
  </conditionalFormatting>
  <conditionalFormatting sqref="C45:C46">
    <cfRule type="cellIs" dxfId="8303" priority="6522" stopIfTrue="1" operator="equal">
      <formula>"Napkin Hs"</formula>
    </cfRule>
  </conditionalFormatting>
  <conditionalFormatting sqref="C45:C46">
    <cfRule type="cellIs" dxfId="8302" priority="6519" stopIfTrue="1" operator="equal">
      <formula>"Towel"</formula>
    </cfRule>
    <cfRule type="cellIs" dxfId="8301" priority="6520" stopIfTrue="1" operator="equal">
      <formula>"Napkin Hs"</formula>
    </cfRule>
  </conditionalFormatting>
  <conditionalFormatting sqref="C45:C46">
    <cfRule type="cellIs" dxfId="8300" priority="6521" stopIfTrue="1" operator="equal">
      <formula>"Towel"</formula>
    </cfRule>
  </conditionalFormatting>
  <conditionalFormatting sqref="B45:C46">
    <cfRule type="cellIs" dxfId="8299" priority="6517" stopIfTrue="1" operator="equal">
      <formula>"Towel"</formula>
    </cfRule>
    <cfRule type="cellIs" dxfId="8298" priority="6518" stopIfTrue="1" operator="equal">
      <formula>"Napkin Hs"</formula>
    </cfRule>
  </conditionalFormatting>
  <conditionalFormatting sqref="C45:C46">
    <cfRule type="cellIs" dxfId="8297" priority="6516" stopIfTrue="1" operator="equal">
      <formula>"Napkin Hs"</formula>
    </cfRule>
  </conditionalFormatting>
  <conditionalFormatting sqref="C45:C46">
    <cfRule type="cellIs" dxfId="8296" priority="6513" stopIfTrue="1" operator="equal">
      <formula>"Towel"</formula>
    </cfRule>
    <cfRule type="cellIs" dxfId="8295" priority="6514" stopIfTrue="1" operator="equal">
      <formula>"Napkin Hs"</formula>
    </cfRule>
  </conditionalFormatting>
  <conditionalFormatting sqref="C45:C46">
    <cfRule type="cellIs" dxfId="8294" priority="6515" stopIfTrue="1" operator="equal">
      <formula>"Towel"</formula>
    </cfRule>
  </conditionalFormatting>
  <conditionalFormatting sqref="B45:C46">
    <cfRule type="cellIs" dxfId="8293" priority="6511" stopIfTrue="1" operator="equal">
      <formula>"Towel"</formula>
    </cfRule>
    <cfRule type="cellIs" dxfId="8292" priority="6512" stopIfTrue="1" operator="equal">
      <formula>"Napkin Hs"</formula>
    </cfRule>
  </conditionalFormatting>
  <conditionalFormatting sqref="C45:C46">
    <cfRule type="cellIs" dxfId="8291" priority="6510" stopIfTrue="1" operator="equal">
      <formula>"Napkin Hs"</formula>
    </cfRule>
  </conditionalFormatting>
  <conditionalFormatting sqref="C45:C46">
    <cfRule type="cellIs" dxfId="8290" priority="6507" stopIfTrue="1" operator="equal">
      <formula>"Towel"</formula>
    </cfRule>
    <cfRule type="cellIs" dxfId="8289" priority="6508" stopIfTrue="1" operator="equal">
      <formula>"Napkin Hs"</formula>
    </cfRule>
  </conditionalFormatting>
  <conditionalFormatting sqref="C45:C46">
    <cfRule type="cellIs" dxfId="8288" priority="6509" stopIfTrue="1" operator="equal">
      <formula>"Towel"</formula>
    </cfRule>
  </conditionalFormatting>
  <conditionalFormatting sqref="B45:C46">
    <cfRule type="cellIs" dxfId="8287" priority="6505" stopIfTrue="1" operator="equal">
      <formula>"Towel"</formula>
    </cfRule>
    <cfRule type="cellIs" dxfId="8286" priority="6506" stopIfTrue="1" operator="equal">
      <formula>"Napkin Hs"</formula>
    </cfRule>
  </conditionalFormatting>
  <conditionalFormatting sqref="C45:C46">
    <cfRule type="cellIs" dxfId="8285" priority="6504" stopIfTrue="1" operator="equal">
      <formula>"Napkin Hs"</formula>
    </cfRule>
  </conditionalFormatting>
  <conditionalFormatting sqref="C45:C46">
    <cfRule type="cellIs" dxfId="8284" priority="6501" stopIfTrue="1" operator="equal">
      <formula>"Towel"</formula>
    </cfRule>
    <cfRule type="cellIs" dxfId="8283" priority="6502" stopIfTrue="1" operator="equal">
      <formula>"Napkin Hs"</formula>
    </cfRule>
  </conditionalFormatting>
  <conditionalFormatting sqref="C45:C46">
    <cfRule type="cellIs" dxfId="8282" priority="6503" stopIfTrue="1" operator="equal">
      <formula>"Towel"</formula>
    </cfRule>
  </conditionalFormatting>
  <conditionalFormatting sqref="B45:C46">
    <cfRule type="cellIs" dxfId="8281" priority="6499" stopIfTrue="1" operator="equal">
      <formula>"Towel"</formula>
    </cfRule>
    <cfRule type="cellIs" dxfId="8280" priority="6500" stopIfTrue="1" operator="equal">
      <formula>"Napkin Hs"</formula>
    </cfRule>
  </conditionalFormatting>
  <conditionalFormatting sqref="C45:C46">
    <cfRule type="cellIs" dxfId="8279" priority="6498" stopIfTrue="1" operator="equal">
      <formula>"Napkin Hs"</formula>
    </cfRule>
  </conditionalFormatting>
  <conditionalFormatting sqref="C45:C46">
    <cfRule type="cellIs" dxfId="8278" priority="6495" stopIfTrue="1" operator="equal">
      <formula>"Towel"</formula>
    </cfRule>
    <cfRule type="cellIs" dxfId="8277" priority="6496" stopIfTrue="1" operator="equal">
      <formula>"Napkin Hs"</formula>
    </cfRule>
  </conditionalFormatting>
  <conditionalFormatting sqref="C45:C46">
    <cfRule type="cellIs" dxfId="8276" priority="6497" stopIfTrue="1" operator="equal">
      <formula>"Towel"</formula>
    </cfRule>
  </conditionalFormatting>
  <conditionalFormatting sqref="B45:C46">
    <cfRule type="cellIs" dxfId="8275" priority="6493" stopIfTrue="1" operator="equal">
      <formula>"Towel"</formula>
    </cfRule>
    <cfRule type="cellIs" dxfId="8274" priority="6494" stopIfTrue="1" operator="equal">
      <formula>"Napkin Hs"</formula>
    </cfRule>
  </conditionalFormatting>
  <conditionalFormatting sqref="C45:C46">
    <cfRule type="cellIs" dxfId="8273" priority="6492" stopIfTrue="1" operator="equal">
      <formula>"Napkin Hs"</formula>
    </cfRule>
  </conditionalFormatting>
  <conditionalFormatting sqref="C45:C46">
    <cfRule type="cellIs" dxfId="8272" priority="6489" stopIfTrue="1" operator="equal">
      <formula>"Towel"</formula>
    </cfRule>
    <cfRule type="cellIs" dxfId="8271" priority="6490" stopIfTrue="1" operator="equal">
      <formula>"Napkin Hs"</formula>
    </cfRule>
  </conditionalFormatting>
  <conditionalFormatting sqref="C45:C46">
    <cfRule type="cellIs" dxfId="8270" priority="6491" stopIfTrue="1" operator="equal">
      <formula>"Towel"</formula>
    </cfRule>
  </conditionalFormatting>
  <conditionalFormatting sqref="B45:C46">
    <cfRule type="cellIs" dxfId="8269" priority="6487" stopIfTrue="1" operator="equal">
      <formula>"Towel"</formula>
    </cfRule>
    <cfRule type="cellIs" dxfId="8268" priority="6488" stopIfTrue="1" operator="equal">
      <formula>"Napkin Hs"</formula>
    </cfRule>
  </conditionalFormatting>
  <conditionalFormatting sqref="C45:C46">
    <cfRule type="cellIs" dxfId="8267" priority="6486" stopIfTrue="1" operator="equal">
      <formula>"Napkin Hs"</formula>
    </cfRule>
  </conditionalFormatting>
  <conditionalFormatting sqref="C45:C46">
    <cfRule type="cellIs" dxfId="8266" priority="6483" stopIfTrue="1" operator="equal">
      <formula>"Towel"</formula>
    </cfRule>
    <cfRule type="cellIs" dxfId="8265" priority="6484" stopIfTrue="1" operator="equal">
      <formula>"Napkin Hs"</formula>
    </cfRule>
  </conditionalFormatting>
  <conditionalFormatting sqref="C45:C46">
    <cfRule type="cellIs" dxfId="8264" priority="6485" stopIfTrue="1" operator="equal">
      <formula>"Towel"</formula>
    </cfRule>
  </conditionalFormatting>
  <conditionalFormatting sqref="B45:C46">
    <cfRule type="cellIs" dxfId="8263" priority="6481" stopIfTrue="1" operator="equal">
      <formula>"Towel"</formula>
    </cfRule>
    <cfRule type="cellIs" dxfId="8262" priority="6482" stopIfTrue="1" operator="equal">
      <formula>"Napkin Hs"</formula>
    </cfRule>
  </conditionalFormatting>
  <conditionalFormatting sqref="C45:C46">
    <cfRule type="cellIs" dxfId="8261" priority="6480" stopIfTrue="1" operator="equal">
      <formula>"Napkin Hs"</formula>
    </cfRule>
  </conditionalFormatting>
  <conditionalFormatting sqref="C45:C46">
    <cfRule type="cellIs" dxfId="8260" priority="6477" stopIfTrue="1" operator="equal">
      <formula>"Towel"</formula>
    </cfRule>
    <cfRule type="cellIs" dxfId="8259" priority="6478" stopIfTrue="1" operator="equal">
      <formula>"Napkin Hs"</formula>
    </cfRule>
  </conditionalFormatting>
  <conditionalFormatting sqref="C45:C46">
    <cfRule type="cellIs" dxfId="8258" priority="6479" stopIfTrue="1" operator="equal">
      <formula>"Towel"</formula>
    </cfRule>
  </conditionalFormatting>
  <conditionalFormatting sqref="B45:C46">
    <cfRule type="cellIs" dxfId="8257" priority="6475" stopIfTrue="1" operator="equal">
      <formula>"Towel"</formula>
    </cfRule>
    <cfRule type="cellIs" dxfId="8256" priority="6476" stopIfTrue="1" operator="equal">
      <formula>"Napkin Hs"</formula>
    </cfRule>
  </conditionalFormatting>
  <conditionalFormatting sqref="C45:C46">
    <cfRule type="cellIs" dxfId="8255" priority="6474" stopIfTrue="1" operator="equal">
      <formula>"Napkin Hs"</formula>
    </cfRule>
  </conditionalFormatting>
  <conditionalFormatting sqref="C45:C46">
    <cfRule type="cellIs" dxfId="8254" priority="6471" stopIfTrue="1" operator="equal">
      <formula>"Towel"</formula>
    </cfRule>
    <cfRule type="cellIs" dxfId="8253" priority="6472" stopIfTrue="1" operator="equal">
      <formula>"Napkin Hs"</formula>
    </cfRule>
  </conditionalFormatting>
  <conditionalFormatting sqref="C45:C46">
    <cfRule type="cellIs" dxfId="8252" priority="6473" stopIfTrue="1" operator="equal">
      <formula>"Towel"</formula>
    </cfRule>
  </conditionalFormatting>
  <conditionalFormatting sqref="B45:C46">
    <cfRule type="cellIs" dxfId="8251" priority="6469" stopIfTrue="1" operator="equal">
      <formula>"Towel"</formula>
    </cfRule>
    <cfRule type="cellIs" dxfId="8250" priority="6470" stopIfTrue="1" operator="equal">
      <formula>"Napkin Hs"</formula>
    </cfRule>
  </conditionalFormatting>
  <conditionalFormatting sqref="C45:C46">
    <cfRule type="cellIs" dxfId="8249" priority="6468" stopIfTrue="1" operator="equal">
      <formula>"Napkin Hs"</formula>
    </cfRule>
  </conditionalFormatting>
  <conditionalFormatting sqref="C45:C46">
    <cfRule type="cellIs" dxfId="8248" priority="6467" stopIfTrue="1" operator="equal">
      <formula>"Towel"</formula>
    </cfRule>
  </conditionalFormatting>
  <conditionalFormatting sqref="C45:C46">
    <cfRule type="cellIs" dxfId="8247" priority="6465" stopIfTrue="1" operator="equal">
      <formula>"Towel"</formula>
    </cfRule>
    <cfRule type="cellIs" dxfId="8246" priority="6466" stopIfTrue="1" operator="equal">
      <formula>"Napkin Hs"</formula>
    </cfRule>
  </conditionalFormatting>
  <conditionalFormatting sqref="B45:C46">
    <cfRule type="cellIs" dxfId="8245" priority="6463" stopIfTrue="1" operator="equal">
      <formula>"Towel"</formula>
    </cfRule>
    <cfRule type="cellIs" dxfId="8244" priority="6464" stopIfTrue="1" operator="equal">
      <formula>"Napkin Hs"</formula>
    </cfRule>
  </conditionalFormatting>
  <conditionalFormatting sqref="C45:C46">
    <cfRule type="cellIs" dxfId="8243" priority="6462" stopIfTrue="1" operator="equal">
      <formula>"Napkin Hs"</formula>
    </cfRule>
  </conditionalFormatting>
  <conditionalFormatting sqref="C45:C46">
    <cfRule type="cellIs" dxfId="8242" priority="6459" stopIfTrue="1" operator="equal">
      <formula>"Towel"</formula>
    </cfRule>
    <cfRule type="cellIs" dxfId="8241" priority="6460" stopIfTrue="1" operator="equal">
      <formula>"Napkin Hs"</formula>
    </cfRule>
  </conditionalFormatting>
  <conditionalFormatting sqref="C45:C46">
    <cfRule type="cellIs" dxfId="8240" priority="6461" stopIfTrue="1" operator="equal">
      <formula>"Towel"</formula>
    </cfRule>
  </conditionalFormatting>
  <conditionalFormatting sqref="B45:C46">
    <cfRule type="cellIs" dxfId="8239" priority="6457" stopIfTrue="1" operator="equal">
      <formula>"Towel"</formula>
    </cfRule>
    <cfRule type="cellIs" dxfId="8238" priority="6458" stopIfTrue="1" operator="equal">
      <formula>"Napkin Hs"</formula>
    </cfRule>
  </conditionalFormatting>
  <conditionalFormatting sqref="C45:C46">
    <cfRule type="cellIs" dxfId="8237" priority="6456" stopIfTrue="1" operator="equal">
      <formula>"Napkin Hs"</formula>
    </cfRule>
  </conditionalFormatting>
  <conditionalFormatting sqref="C45:C46">
    <cfRule type="cellIs" dxfId="8236" priority="6453" stopIfTrue="1" operator="equal">
      <formula>"Towel"</formula>
    </cfRule>
    <cfRule type="cellIs" dxfId="8235" priority="6454" stopIfTrue="1" operator="equal">
      <formula>"Napkin Hs"</formula>
    </cfRule>
  </conditionalFormatting>
  <conditionalFormatting sqref="C45:C46">
    <cfRule type="cellIs" dxfId="8234" priority="6455" stopIfTrue="1" operator="equal">
      <formula>"Towel"</formula>
    </cfRule>
  </conditionalFormatting>
  <conditionalFormatting sqref="B45:C46">
    <cfRule type="cellIs" dxfId="8233" priority="6451" stopIfTrue="1" operator="equal">
      <formula>"Towel"</formula>
    </cfRule>
    <cfRule type="cellIs" dxfId="8232" priority="6452" stopIfTrue="1" operator="equal">
      <formula>"Napkin Hs"</formula>
    </cfRule>
  </conditionalFormatting>
  <conditionalFormatting sqref="C45:C46">
    <cfRule type="cellIs" dxfId="8231" priority="6450" stopIfTrue="1" operator="equal">
      <formula>"Napkin Hs"</formula>
    </cfRule>
  </conditionalFormatting>
  <conditionalFormatting sqref="C45:C46">
    <cfRule type="cellIs" dxfId="8230" priority="6447" stopIfTrue="1" operator="equal">
      <formula>"Towel"</formula>
    </cfRule>
    <cfRule type="cellIs" dxfId="8229" priority="6448" stopIfTrue="1" operator="equal">
      <formula>"Napkin Hs"</formula>
    </cfRule>
  </conditionalFormatting>
  <conditionalFormatting sqref="C45:C46">
    <cfRule type="cellIs" dxfId="8228" priority="6449" stopIfTrue="1" operator="equal">
      <formula>"Towel"</formula>
    </cfRule>
  </conditionalFormatting>
  <conditionalFormatting sqref="B45:C46">
    <cfRule type="cellIs" dxfId="8227" priority="6445" stopIfTrue="1" operator="equal">
      <formula>"Towel"</formula>
    </cfRule>
    <cfRule type="cellIs" dxfId="8226" priority="6446" stopIfTrue="1" operator="equal">
      <formula>"Napkin Hs"</formula>
    </cfRule>
  </conditionalFormatting>
  <conditionalFormatting sqref="C45:C46">
    <cfRule type="cellIs" dxfId="8225" priority="6444" stopIfTrue="1" operator="equal">
      <formula>"Napkin Hs"</formula>
    </cfRule>
  </conditionalFormatting>
  <conditionalFormatting sqref="C45:C46">
    <cfRule type="cellIs" dxfId="8224" priority="6441" stopIfTrue="1" operator="equal">
      <formula>"Towel"</formula>
    </cfRule>
    <cfRule type="cellIs" dxfId="8223" priority="6442" stopIfTrue="1" operator="equal">
      <formula>"Napkin Hs"</formula>
    </cfRule>
  </conditionalFormatting>
  <conditionalFormatting sqref="C45:C46">
    <cfRule type="cellIs" dxfId="8222" priority="6443" stopIfTrue="1" operator="equal">
      <formula>"Towel"</formula>
    </cfRule>
  </conditionalFormatting>
  <conditionalFormatting sqref="B45:C46">
    <cfRule type="cellIs" dxfId="8221" priority="6439" stopIfTrue="1" operator="equal">
      <formula>"Towel"</formula>
    </cfRule>
    <cfRule type="cellIs" dxfId="8220" priority="6440" stopIfTrue="1" operator="equal">
      <formula>"Napkin Hs"</formula>
    </cfRule>
  </conditionalFormatting>
  <conditionalFormatting sqref="C45:C46">
    <cfRule type="cellIs" dxfId="8219" priority="6438" stopIfTrue="1" operator="equal">
      <formula>"Napkin Hs"</formula>
    </cfRule>
  </conditionalFormatting>
  <conditionalFormatting sqref="C45:C46">
    <cfRule type="cellIs" dxfId="8218" priority="6435" stopIfTrue="1" operator="equal">
      <formula>"Towel"</formula>
    </cfRule>
    <cfRule type="cellIs" dxfId="8217" priority="6436" stopIfTrue="1" operator="equal">
      <formula>"Napkin Hs"</formula>
    </cfRule>
  </conditionalFormatting>
  <conditionalFormatting sqref="C45:C46">
    <cfRule type="cellIs" dxfId="8216" priority="6437" stopIfTrue="1" operator="equal">
      <formula>"Towel"</formula>
    </cfRule>
  </conditionalFormatting>
  <conditionalFormatting sqref="B45:C46">
    <cfRule type="cellIs" dxfId="8215" priority="6433" stopIfTrue="1" operator="equal">
      <formula>"Towel"</formula>
    </cfRule>
    <cfRule type="cellIs" dxfId="8214" priority="6434" stopIfTrue="1" operator="equal">
      <formula>"Napkin Hs"</formula>
    </cfRule>
  </conditionalFormatting>
  <conditionalFormatting sqref="C45:C46">
    <cfRule type="cellIs" dxfId="8213" priority="6432" stopIfTrue="1" operator="equal">
      <formula>"Napkin Hs"</formula>
    </cfRule>
  </conditionalFormatting>
  <conditionalFormatting sqref="C45:C46">
    <cfRule type="cellIs" dxfId="8212" priority="6429" stopIfTrue="1" operator="equal">
      <formula>"Towel"</formula>
    </cfRule>
    <cfRule type="cellIs" dxfId="8211" priority="6430" stopIfTrue="1" operator="equal">
      <formula>"Napkin Hs"</formula>
    </cfRule>
  </conditionalFormatting>
  <conditionalFormatting sqref="C45:C46">
    <cfRule type="cellIs" dxfId="8210" priority="6431" stopIfTrue="1" operator="equal">
      <formula>"Towel"</formula>
    </cfRule>
  </conditionalFormatting>
  <conditionalFormatting sqref="B45:C46">
    <cfRule type="cellIs" dxfId="8209" priority="6427" stopIfTrue="1" operator="equal">
      <formula>"Towel"</formula>
    </cfRule>
    <cfRule type="cellIs" dxfId="8208" priority="6428" stopIfTrue="1" operator="equal">
      <formula>"Napkin Hs"</formula>
    </cfRule>
  </conditionalFormatting>
  <conditionalFormatting sqref="C45:C46">
    <cfRule type="cellIs" dxfId="8207" priority="6426" stopIfTrue="1" operator="equal">
      <formula>"Napkin Hs"</formula>
    </cfRule>
  </conditionalFormatting>
  <conditionalFormatting sqref="C45:C46">
    <cfRule type="cellIs" dxfId="8206" priority="6423" stopIfTrue="1" operator="equal">
      <formula>"Towel"</formula>
    </cfRule>
    <cfRule type="cellIs" dxfId="8205" priority="6424" stopIfTrue="1" operator="equal">
      <formula>"Napkin Hs"</formula>
    </cfRule>
  </conditionalFormatting>
  <conditionalFormatting sqref="C45:C46">
    <cfRule type="cellIs" dxfId="8204" priority="6425" stopIfTrue="1" operator="equal">
      <formula>"Towel"</formula>
    </cfRule>
  </conditionalFormatting>
  <conditionalFormatting sqref="B45:C46">
    <cfRule type="cellIs" dxfId="8203" priority="6421" stopIfTrue="1" operator="equal">
      <formula>"Towel"</formula>
    </cfRule>
    <cfRule type="cellIs" dxfId="8202" priority="6422" stopIfTrue="1" operator="equal">
      <formula>"Napkin Hs"</formula>
    </cfRule>
  </conditionalFormatting>
  <conditionalFormatting sqref="C45:C46">
    <cfRule type="cellIs" dxfId="8201" priority="6420" stopIfTrue="1" operator="equal">
      <formula>"Napkin Hs"</formula>
    </cfRule>
  </conditionalFormatting>
  <conditionalFormatting sqref="C45:C46">
    <cfRule type="cellIs" dxfId="8200" priority="6417" stopIfTrue="1" operator="equal">
      <formula>"Towel"</formula>
    </cfRule>
    <cfRule type="cellIs" dxfId="8199" priority="6418" stopIfTrue="1" operator="equal">
      <formula>"Napkin Hs"</formula>
    </cfRule>
  </conditionalFormatting>
  <conditionalFormatting sqref="C45:C46">
    <cfRule type="cellIs" dxfId="8198" priority="6419" stopIfTrue="1" operator="equal">
      <formula>"Towel"</formula>
    </cfRule>
  </conditionalFormatting>
  <conditionalFormatting sqref="B45:C46">
    <cfRule type="cellIs" dxfId="8197" priority="6415" stopIfTrue="1" operator="equal">
      <formula>"Towel"</formula>
    </cfRule>
    <cfRule type="cellIs" dxfId="8196" priority="6416" stopIfTrue="1" operator="equal">
      <formula>"Napkin Hs"</formula>
    </cfRule>
  </conditionalFormatting>
  <conditionalFormatting sqref="C45:C46">
    <cfRule type="cellIs" dxfId="8195" priority="6414" stopIfTrue="1" operator="equal">
      <formula>"Napkin Hs"</formula>
    </cfRule>
  </conditionalFormatting>
  <conditionalFormatting sqref="C45:C46">
    <cfRule type="cellIs" dxfId="8194" priority="6411" stopIfTrue="1" operator="equal">
      <formula>"Towel"</formula>
    </cfRule>
    <cfRule type="cellIs" dxfId="8193" priority="6412" stopIfTrue="1" operator="equal">
      <formula>"Napkin Hs"</formula>
    </cfRule>
  </conditionalFormatting>
  <conditionalFormatting sqref="C45:C46">
    <cfRule type="cellIs" dxfId="8192" priority="6413" stopIfTrue="1" operator="equal">
      <formula>"Towel"</formula>
    </cfRule>
  </conditionalFormatting>
  <conditionalFormatting sqref="B44:C44">
    <cfRule type="cellIs" dxfId="8191" priority="6409" stopIfTrue="1" operator="equal">
      <formula>"Towel"</formula>
    </cfRule>
    <cfRule type="cellIs" dxfId="8190" priority="6410" stopIfTrue="1" operator="equal">
      <formula>"Napkin Hs"</formula>
    </cfRule>
  </conditionalFormatting>
  <conditionalFormatting sqref="C44">
    <cfRule type="cellIs" dxfId="8189" priority="6405" stopIfTrue="1" operator="equal">
      <formula>"Towel"</formula>
    </cfRule>
    <cfRule type="cellIs" dxfId="8188" priority="6406" stopIfTrue="1" operator="equal">
      <formula>"Napkin Hs"</formula>
    </cfRule>
  </conditionalFormatting>
  <conditionalFormatting sqref="C44">
    <cfRule type="cellIs" dxfId="8187" priority="6407" stopIfTrue="1" operator="equal">
      <formula>"Towel"</formula>
    </cfRule>
    <cfRule type="cellIs" dxfId="8186" priority="6408" stopIfTrue="1" operator="equal">
      <formula>"Napkin Hs"</formula>
    </cfRule>
  </conditionalFormatting>
  <conditionalFormatting sqref="B44:C44">
    <cfRule type="cellIs" dxfId="8185" priority="6403" stopIfTrue="1" operator="equal">
      <formula>"Towel"</formula>
    </cfRule>
    <cfRule type="cellIs" dxfId="8184" priority="6404" stopIfTrue="1" operator="equal">
      <formula>"Napkin Hs"</formula>
    </cfRule>
  </conditionalFormatting>
  <conditionalFormatting sqref="C44">
    <cfRule type="cellIs" dxfId="8183" priority="6402" stopIfTrue="1" operator="equal">
      <formula>"Napkin Hs"</formula>
    </cfRule>
  </conditionalFormatting>
  <conditionalFormatting sqref="C44">
    <cfRule type="cellIs" dxfId="8182" priority="6399" stopIfTrue="1" operator="equal">
      <formula>"Towel"</formula>
    </cfRule>
    <cfRule type="cellIs" dxfId="8181" priority="6400" stopIfTrue="1" operator="equal">
      <formula>"Napkin Hs"</formula>
    </cfRule>
  </conditionalFormatting>
  <conditionalFormatting sqref="C44">
    <cfRule type="cellIs" dxfId="8180" priority="6401" stopIfTrue="1" operator="equal">
      <formula>"Towel"</formula>
    </cfRule>
  </conditionalFormatting>
  <conditionalFormatting sqref="B44:C44">
    <cfRule type="cellIs" dxfId="8179" priority="6397" stopIfTrue="1" operator="equal">
      <formula>"Towel"</formula>
    </cfRule>
    <cfRule type="cellIs" dxfId="8178" priority="6398" stopIfTrue="1" operator="equal">
      <formula>"Napkin Hs"</formula>
    </cfRule>
  </conditionalFormatting>
  <conditionalFormatting sqref="C44">
    <cfRule type="cellIs" dxfId="8177" priority="6395" stopIfTrue="1" operator="equal">
      <formula>"Towel"</formula>
    </cfRule>
    <cfRule type="cellIs" dxfId="8176" priority="6396" stopIfTrue="1" operator="equal">
      <formula>"Napkin Hs"</formula>
    </cfRule>
  </conditionalFormatting>
  <conditionalFormatting sqref="C44">
    <cfRule type="cellIs" dxfId="8175" priority="6393" stopIfTrue="1" operator="equal">
      <formula>"Towel"</formula>
    </cfRule>
    <cfRule type="cellIs" dxfId="8174" priority="6394" stopIfTrue="1" operator="equal">
      <formula>"Napkin Hs"</formula>
    </cfRule>
  </conditionalFormatting>
  <conditionalFormatting sqref="B44:C44">
    <cfRule type="cellIs" dxfId="8173" priority="6391" stopIfTrue="1" operator="equal">
      <formula>"Towel"</formula>
    </cfRule>
    <cfRule type="cellIs" dxfId="8172" priority="6392" stopIfTrue="1" operator="equal">
      <formula>"Napkin Hs"</formula>
    </cfRule>
  </conditionalFormatting>
  <conditionalFormatting sqref="C44">
    <cfRule type="cellIs" dxfId="8171" priority="6390" stopIfTrue="1" operator="equal">
      <formula>"Napkin Hs"</formula>
    </cfRule>
  </conditionalFormatting>
  <conditionalFormatting sqref="C44">
    <cfRule type="cellIs" dxfId="8170" priority="6387" stopIfTrue="1" operator="equal">
      <formula>"Towel"</formula>
    </cfRule>
    <cfRule type="cellIs" dxfId="8169" priority="6388" stopIfTrue="1" operator="equal">
      <formula>"Napkin Hs"</formula>
    </cfRule>
  </conditionalFormatting>
  <conditionalFormatting sqref="C44">
    <cfRule type="cellIs" dxfId="8168" priority="6389" stopIfTrue="1" operator="equal">
      <formula>"Towel"</formula>
    </cfRule>
  </conditionalFormatting>
  <conditionalFormatting sqref="B44:C44">
    <cfRule type="cellIs" dxfId="8167" priority="6385" stopIfTrue="1" operator="equal">
      <formula>"Towel"</formula>
    </cfRule>
    <cfRule type="cellIs" dxfId="8166" priority="6386" stopIfTrue="1" operator="equal">
      <formula>"Napkin Hs"</formula>
    </cfRule>
  </conditionalFormatting>
  <conditionalFormatting sqref="C44">
    <cfRule type="cellIs" dxfId="8165" priority="6384" stopIfTrue="1" operator="equal">
      <formula>"Napkin Hs"</formula>
    </cfRule>
  </conditionalFormatting>
  <conditionalFormatting sqref="C44">
    <cfRule type="cellIs" dxfId="8164" priority="6383" stopIfTrue="1" operator="equal">
      <formula>"Towel"</formula>
    </cfRule>
  </conditionalFormatting>
  <conditionalFormatting sqref="C44">
    <cfRule type="cellIs" dxfId="8163" priority="6381" stopIfTrue="1" operator="equal">
      <formula>"Towel"</formula>
    </cfRule>
    <cfRule type="cellIs" dxfId="8162" priority="6382" stopIfTrue="1" operator="equal">
      <formula>"Napkin Hs"</formula>
    </cfRule>
  </conditionalFormatting>
  <conditionalFormatting sqref="B44:C44">
    <cfRule type="cellIs" dxfId="8161" priority="6379" stopIfTrue="1" operator="equal">
      <formula>"Towel"</formula>
    </cfRule>
    <cfRule type="cellIs" dxfId="8160" priority="6380" stopIfTrue="1" operator="equal">
      <formula>"Napkin Hs"</formula>
    </cfRule>
  </conditionalFormatting>
  <conditionalFormatting sqref="C44">
    <cfRule type="cellIs" dxfId="8159" priority="6378" stopIfTrue="1" operator="equal">
      <formula>"Napkin Hs"</formula>
    </cfRule>
  </conditionalFormatting>
  <conditionalFormatting sqref="C44">
    <cfRule type="cellIs" dxfId="8158" priority="6375" stopIfTrue="1" operator="equal">
      <formula>"Towel"</formula>
    </cfRule>
    <cfRule type="cellIs" dxfId="8157" priority="6376" stopIfTrue="1" operator="equal">
      <formula>"Napkin Hs"</formula>
    </cfRule>
  </conditionalFormatting>
  <conditionalFormatting sqref="C44">
    <cfRule type="cellIs" dxfId="8156" priority="6377" stopIfTrue="1" operator="equal">
      <formula>"Towel"</formula>
    </cfRule>
  </conditionalFormatting>
  <conditionalFormatting sqref="B44:C44">
    <cfRule type="cellIs" dxfId="8155" priority="6373" stopIfTrue="1" operator="equal">
      <formula>"Towel"</formula>
    </cfRule>
    <cfRule type="cellIs" dxfId="8154" priority="6374" stopIfTrue="1" operator="equal">
      <formula>"Napkin Hs"</formula>
    </cfRule>
  </conditionalFormatting>
  <conditionalFormatting sqref="C44">
    <cfRule type="cellIs" dxfId="8153" priority="6372" stopIfTrue="1" operator="equal">
      <formula>"Napkin Hs"</formula>
    </cfRule>
  </conditionalFormatting>
  <conditionalFormatting sqref="C44">
    <cfRule type="cellIs" dxfId="8152" priority="6369" stopIfTrue="1" operator="equal">
      <formula>"Towel"</formula>
    </cfRule>
    <cfRule type="cellIs" dxfId="8151" priority="6370" stopIfTrue="1" operator="equal">
      <formula>"Napkin Hs"</formula>
    </cfRule>
  </conditionalFormatting>
  <conditionalFormatting sqref="C44">
    <cfRule type="cellIs" dxfId="8150" priority="6371" stopIfTrue="1" operator="equal">
      <formula>"Towel"</formula>
    </cfRule>
  </conditionalFormatting>
  <conditionalFormatting sqref="B44:C44">
    <cfRule type="cellIs" dxfId="8149" priority="6367" stopIfTrue="1" operator="equal">
      <formula>"Towel"</formula>
    </cfRule>
    <cfRule type="cellIs" dxfId="8148" priority="6368" stopIfTrue="1" operator="equal">
      <formula>"Napkin Hs"</formula>
    </cfRule>
  </conditionalFormatting>
  <conditionalFormatting sqref="C44">
    <cfRule type="cellIs" dxfId="8147" priority="6366" stopIfTrue="1" operator="equal">
      <formula>"Napkin Hs"</formula>
    </cfRule>
  </conditionalFormatting>
  <conditionalFormatting sqref="C44">
    <cfRule type="cellIs" dxfId="8146" priority="6363" stopIfTrue="1" operator="equal">
      <formula>"Towel"</formula>
    </cfRule>
    <cfRule type="cellIs" dxfId="8145" priority="6364" stopIfTrue="1" operator="equal">
      <formula>"Napkin Hs"</formula>
    </cfRule>
  </conditionalFormatting>
  <conditionalFormatting sqref="C44">
    <cfRule type="cellIs" dxfId="8144" priority="6365" stopIfTrue="1" operator="equal">
      <formula>"Towel"</formula>
    </cfRule>
  </conditionalFormatting>
  <conditionalFormatting sqref="B44:C44">
    <cfRule type="cellIs" dxfId="8143" priority="6361" stopIfTrue="1" operator="equal">
      <formula>"Towel"</formula>
    </cfRule>
    <cfRule type="cellIs" dxfId="8142" priority="6362" stopIfTrue="1" operator="equal">
      <formula>"Napkin Hs"</formula>
    </cfRule>
  </conditionalFormatting>
  <conditionalFormatting sqref="C44">
    <cfRule type="cellIs" dxfId="8141" priority="6360" stopIfTrue="1" operator="equal">
      <formula>"Napkin Hs"</formula>
    </cfRule>
  </conditionalFormatting>
  <conditionalFormatting sqref="C44">
    <cfRule type="cellIs" dxfId="8140" priority="6357" stopIfTrue="1" operator="equal">
      <formula>"Towel"</formula>
    </cfRule>
    <cfRule type="cellIs" dxfId="8139" priority="6358" stopIfTrue="1" operator="equal">
      <formula>"Napkin Hs"</formula>
    </cfRule>
  </conditionalFormatting>
  <conditionalFormatting sqref="C44">
    <cfRule type="cellIs" dxfId="8138" priority="6359" stopIfTrue="1" operator="equal">
      <formula>"Towel"</formula>
    </cfRule>
  </conditionalFormatting>
  <conditionalFormatting sqref="B44:C44">
    <cfRule type="cellIs" dxfId="8137" priority="6355" stopIfTrue="1" operator="equal">
      <formula>"Towel"</formula>
    </cfRule>
    <cfRule type="cellIs" dxfId="8136" priority="6356" stopIfTrue="1" operator="equal">
      <formula>"Napkin Hs"</formula>
    </cfRule>
  </conditionalFormatting>
  <conditionalFormatting sqref="C44">
    <cfRule type="cellIs" dxfId="8135" priority="6354" stopIfTrue="1" operator="equal">
      <formula>"Napkin Hs"</formula>
    </cfRule>
  </conditionalFormatting>
  <conditionalFormatting sqref="C44">
    <cfRule type="cellIs" dxfId="8134" priority="6351" stopIfTrue="1" operator="equal">
      <formula>"Towel"</formula>
    </cfRule>
    <cfRule type="cellIs" dxfId="8133" priority="6352" stopIfTrue="1" operator="equal">
      <formula>"Napkin Hs"</formula>
    </cfRule>
  </conditionalFormatting>
  <conditionalFormatting sqref="C44">
    <cfRule type="cellIs" dxfId="8132" priority="6353" stopIfTrue="1" operator="equal">
      <formula>"Towel"</formula>
    </cfRule>
  </conditionalFormatting>
  <conditionalFormatting sqref="B44:C44">
    <cfRule type="cellIs" dxfId="8131" priority="6349" stopIfTrue="1" operator="equal">
      <formula>"Towel"</formula>
    </cfRule>
    <cfRule type="cellIs" dxfId="8130" priority="6350" stopIfTrue="1" operator="equal">
      <formula>"Napkin Hs"</formula>
    </cfRule>
  </conditionalFormatting>
  <conditionalFormatting sqref="C44">
    <cfRule type="cellIs" dxfId="8129" priority="6348" stopIfTrue="1" operator="equal">
      <formula>"Napkin Hs"</formula>
    </cfRule>
  </conditionalFormatting>
  <conditionalFormatting sqref="C44">
    <cfRule type="cellIs" dxfId="8128" priority="6345" stopIfTrue="1" operator="equal">
      <formula>"Towel"</formula>
    </cfRule>
    <cfRule type="cellIs" dxfId="8127" priority="6346" stopIfTrue="1" operator="equal">
      <formula>"Napkin Hs"</formula>
    </cfRule>
  </conditionalFormatting>
  <conditionalFormatting sqref="C44">
    <cfRule type="cellIs" dxfId="8126" priority="6347" stopIfTrue="1" operator="equal">
      <formula>"Towel"</formula>
    </cfRule>
  </conditionalFormatting>
  <conditionalFormatting sqref="B44:C44">
    <cfRule type="cellIs" dxfId="8125" priority="6343" stopIfTrue="1" operator="equal">
      <formula>"Towel"</formula>
    </cfRule>
    <cfRule type="cellIs" dxfId="8124" priority="6344" stopIfTrue="1" operator="equal">
      <formula>"Napkin Hs"</formula>
    </cfRule>
  </conditionalFormatting>
  <conditionalFormatting sqref="C44">
    <cfRule type="cellIs" dxfId="8123" priority="6342" stopIfTrue="1" operator="equal">
      <formula>"Napkin Hs"</formula>
    </cfRule>
  </conditionalFormatting>
  <conditionalFormatting sqref="C44">
    <cfRule type="cellIs" dxfId="8122" priority="6339" stopIfTrue="1" operator="equal">
      <formula>"Towel"</formula>
    </cfRule>
    <cfRule type="cellIs" dxfId="8121" priority="6340" stopIfTrue="1" operator="equal">
      <formula>"Napkin Hs"</formula>
    </cfRule>
  </conditionalFormatting>
  <conditionalFormatting sqref="C44">
    <cfRule type="cellIs" dxfId="8120" priority="6341" stopIfTrue="1" operator="equal">
      <formula>"Towel"</formula>
    </cfRule>
  </conditionalFormatting>
  <conditionalFormatting sqref="B44:C44">
    <cfRule type="cellIs" dxfId="8119" priority="6337" stopIfTrue="1" operator="equal">
      <formula>"Towel"</formula>
    </cfRule>
    <cfRule type="cellIs" dxfId="8118" priority="6338" stopIfTrue="1" operator="equal">
      <formula>"Napkin Hs"</formula>
    </cfRule>
  </conditionalFormatting>
  <conditionalFormatting sqref="C44">
    <cfRule type="cellIs" dxfId="8117" priority="6336" stopIfTrue="1" operator="equal">
      <formula>"Napkin Hs"</formula>
    </cfRule>
  </conditionalFormatting>
  <conditionalFormatting sqref="C44">
    <cfRule type="cellIs" dxfId="8116" priority="6333" stopIfTrue="1" operator="equal">
      <formula>"Towel"</formula>
    </cfRule>
    <cfRule type="cellIs" dxfId="8115" priority="6334" stopIfTrue="1" operator="equal">
      <formula>"Napkin Hs"</formula>
    </cfRule>
  </conditionalFormatting>
  <conditionalFormatting sqref="C44">
    <cfRule type="cellIs" dxfId="8114" priority="6335" stopIfTrue="1" operator="equal">
      <formula>"Towel"</formula>
    </cfRule>
  </conditionalFormatting>
  <conditionalFormatting sqref="B44:C44">
    <cfRule type="cellIs" dxfId="8113" priority="6331" stopIfTrue="1" operator="equal">
      <formula>"Towel"</formula>
    </cfRule>
    <cfRule type="cellIs" dxfId="8112" priority="6332" stopIfTrue="1" operator="equal">
      <formula>"Napkin Hs"</formula>
    </cfRule>
  </conditionalFormatting>
  <conditionalFormatting sqref="C44">
    <cfRule type="cellIs" dxfId="8111" priority="6330" stopIfTrue="1" operator="equal">
      <formula>"Napkin Hs"</formula>
    </cfRule>
  </conditionalFormatting>
  <conditionalFormatting sqref="C44">
    <cfRule type="cellIs" dxfId="8110" priority="6327" stopIfTrue="1" operator="equal">
      <formula>"Towel"</formula>
    </cfRule>
    <cfRule type="cellIs" dxfId="8109" priority="6328" stopIfTrue="1" operator="equal">
      <formula>"Napkin Hs"</formula>
    </cfRule>
  </conditionalFormatting>
  <conditionalFormatting sqref="C44">
    <cfRule type="cellIs" dxfId="8108" priority="6329" stopIfTrue="1" operator="equal">
      <formula>"Towel"</formula>
    </cfRule>
  </conditionalFormatting>
  <conditionalFormatting sqref="B44:C44">
    <cfRule type="cellIs" dxfId="8107" priority="6325" stopIfTrue="1" operator="equal">
      <formula>"Towel"</formula>
    </cfRule>
    <cfRule type="cellIs" dxfId="8106" priority="6326" stopIfTrue="1" operator="equal">
      <formula>"Napkin Hs"</formula>
    </cfRule>
  </conditionalFormatting>
  <conditionalFormatting sqref="C44">
    <cfRule type="cellIs" dxfId="8105" priority="6324" stopIfTrue="1" operator="equal">
      <formula>"Napkin Hs"</formula>
    </cfRule>
  </conditionalFormatting>
  <conditionalFormatting sqref="C44">
    <cfRule type="cellIs" dxfId="8104" priority="6321" stopIfTrue="1" operator="equal">
      <formula>"Towel"</formula>
    </cfRule>
    <cfRule type="cellIs" dxfId="8103" priority="6322" stopIfTrue="1" operator="equal">
      <formula>"Napkin Hs"</formula>
    </cfRule>
  </conditionalFormatting>
  <conditionalFormatting sqref="C44">
    <cfRule type="cellIs" dxfId="8102" priority="6323" stopIfTrue="1" operator="equal">
      <formula>"Towel"</formula>
    </cfRule>
  </conditionalFormatting>
  <conditionalFormatting sqref="B44:C44">
    <cfRule type="cellIs" dxfId="8101" priority="6319" stopIfTrue="1" operator="equal">
      <formula>"Towel"</formula>
    </cfRule>
    <cfRule type="cellIs" dxfId="8100" priority="6320" stopIfTrue="1" operator="equal">
      <formula>"Napkin Hs"</formula>
    </cfRule>
  </conditionalFormatting>
  <conditionalFormatting sqref="C44">
    <cfRule type="cellIs" dxfId="8099" priority="6318" stopIfTrue="1" operator="equal">
      <formula>"Napkin Hs"</formula>
    </cfRule>
  </conditionalFormatting>
  <conditionalFormatting sqref="C44">
    <cfRule type="cellIs" dxfId="8098" priority="6317" stopIfTrue="1" operator="equal">
      <formula>"Towel"</formula>
    </cfRule>
  </conditionalFormatting>
  <conditionalFormatting sqref="C44">
    <cfRule type="cellIs" dxfId="8097" priority="6315" stopIfTrue="1" operator="equal">
      <formula>"Towel"</formula>
    </cfRule>
    <cfRule type="cellIs" dxfId="8096" priority="6316" stopIfTrue="1" operator="equal">
      <formula>"Napkin Hs"</formula>
    </cfRule>
  </conditionalFormatting>
  <conditionalFormatting sqref="B44:C44">
    <cfRule type="cellIs" dxfId="8095" priority="6313" stopIfTrue="1" operator="equal">
      <formula>"Towel"</formula>
    </cfRule>
    <cfRule type="cellIs" dxfId="8094" priority="6314" stopIfTrue="1" operator="equal">
      <formula>"Napkin Hs"</formula>
    </cfRule>
  </conditionalFormatting>
  <conditionalFormatting sqref="C44">
    <cfRule type="cellIs" dxfId="8093" priority="6312" stopIfTrue="1" operator="equal">
      <formula>"Napkin Hs"</formula>
    </cfRule>
  </conditionalFormatting>
  <conditionalFormatting sqref="C44">
    <cfRule type="cellIs" dxfId="8092" priority="6309" stopIfTrue="1" operator="equal">
      <formula>"Towel"</formula>
    </cfRule>
    <cfRule type="cellIs" dxfId="8091" priority="6310" stopIfTrue="1" operator="equal">
      <formula>"Napkin Hs"</formula>
    </cfRule>
  </conditionalFormatting>
  <conditionalFormatting sqref="C44">
    <cfRule type="cellIs" dxfId="8090" priority="6311" stopIfTrue="1" operator="equal">
      <formula>"Towel"</formula>
    </cfRule>
  </conditionalFormatting>
  <conditionalFormatting sqref="B44:C44">
    <cfRule type="cellIs" dxfId="8089" priority="6307" stopIfTrue="1" operator="equal">
      <formula>"Towel"</formula>
    </cfRule>
    <cfRule type="cellIs" dxfId="8088" priority="6308" stopIfTrue="1" operator="equal">
      <formula>"Napkin Hs"</formula>
    </cfRule>
  </conditionalFormatting>
  <conditionalFormatting sqref="C44">
    <cfRule type="cellIs" dxfId="8087" priority="6306" stopIfTrue="1" operator="equal">
      <formula>"Napkin Hs"</formula>
    </cfRule>
  </conditionalFormatting>
  <conditionalFormatting sqref="C44">
    <cfRule type="cellIs" dxfId="8086" priority="6303" stopIfTrue="1" operator="equal">
      <formula>"Towel"</formula>
    </cfRule>
    <cfRule type="cellIs" dxfId="8085" priority="6304" stopIfTrue="1" operator="equal">
      <formula>"Napkin Hs"</formula>
    </cfRule>
  </conditionalFormatting>
  <conditionalFormatting sqref="C44">
    <cfRule type="cellIs" dxfId="8084" priority="6305" stopIfTrue="1" operator="equal">
      <formula>"Towel"</formula>
    </cfRule>
  </conditionalFormatting>
  <conditionalFormatting sqref="B44:C44">
    <cfRule type="cellIs" dxfId="8083" priority="6301" stopIfTrue="1" operator="equal">
      <formula>"Towel"</formula>
    </cfRule>
    <cfRule type="cellIs" dxfId="8082" priority="6302" stopIfTrue="1" operator="equal">
      <formula>"Napkin Hs"</formula>
    </cfRule>
  </conditionalFormatting>
  <conditionalFormatting sqref="C44">
    <cfRule type="cellIs" dxfId="8081" priority="6300" stopIfTrue="1" operator="equal">
      <formula>"Napkin Hs"</formula>
    </cfRule>
  </conditionalFormatting>
  <conditionalFormatting sqref="C44">
    <cfRule type="cellIs" dxfId="8080" priority="6297" stopIfTrue="1" operator="equal">
      <formula>"Towel"</formula>
    </cfRule>
    <cfRule type="cellIs" dxfId="8079" priority="6298" stopIfTrue="1" operator="equal">
      <formula>"Napkin Hs"</formula>
    </cfRule>
  </conditionalFormatting>
  <conditionalFormatting sqref="C44">
    <cfRule type="cellIs" dxfId="8078" priority="6299" stopIfTrue="1" operator="equal">
      <formula>"Towel"</formula>
    </cfRule>
  </conditionalFormatting>
  <conditionalFormatting sqref="B44:C44">
    <cfRule type="cellIs" dxfId="8077" priority="6295" stopIfTrue="1" operator="equal">
      <formula>"Towel"</formula>
    </cfRule>
    <cfRule type="cellIs" dxfId="8076" priority="6296" stopIfTrue="1" operator="equal">
      <formula>"Napkin Hs"</formula>
    </cfRule>
  </conditionalFormatting>
  <conditionalFormatting sqref="C44">
    <cfRule type="cellIs" dxfId="8075" priority="6294" stopIfTrue="1" operator="equal">
      <formula>"Napkin Hs"</formula>
    </cfRule>
  </conditionalFormatting>
  <conditionalFormatting sqref="C44">
    <cfRule type="cellIs" dxfId="8074" priority="6291" stopIfTrue="1" operator="equal">
      <formula>"Towel"</formula>
    </cfRule>
    <cfRule type="cellIs" dxfId="8073" priority="6292" stopIfTrue="1" operator="equal">
      <formula>"Napkin Hs"</formula>
    </cfRule>
  </conditionalFormatting>
  <conditionalFormatting sqref="C44">
    <cfRule type="cellIs" dxfId="8072" priority="6293" stopIfTrue="1" operator="equal">
      <formula>"Towel"</formula>
    </cfRule>
  </conditionalFormatting>
  <conditionalFormatting sqref="B44:C44">
    <cfRule type="cellIs" dxfId="8071" priority="6289" stopIfTrue="1" operator="equal">
      <formula>"Towel"</formula>
    </cfRule>
    <cfRule type="cellIs" dxfId="8070" priority="6290" stopIfTrue="1" operator="equal">
      <formula>"Napkin Hs"</formula>
    </cfRule>
  </conditionalFormatting>
  <conditionalFormatting sqref="C44">
    <cfRule type="cellIs" dxfId="8069" priority="6288" stopIfTrue="1" operator="equal">
      <formula>"Napkin Hs"</formula>
    </cfRule>
  </conditionalFormatting>
  <conditionalFormatting sqref="C44">
    <cfRule type="cellIs" dxfId="8068" priority="6285" stopIfTrue="1" operator="equal">
      <formula>"Towel"</formula>
    </cfRule>
    <cfRule type="cellIs" dxfId="8067" priority="6286" stopIfTrue="1" operator="equal">
      <formula>"Napkin Hs"</formula>
    </cfRule>
  </conditionalFormatting>
  <conditionalFormatting sqref="C44">
    <cfRule type="cellIs" dxfId="8066" priority="6287" stopIfTrue="1" operator="equal">
      <formula>"Towel"</formula>
    </cfRule>
  </conditionalFormatting>
  <conditionalFormatting sqref="B44:C44">
    <cfRule type="cellIs" dxfId="8065" priority="6283" stopIfTrue="1" operator="equal">
      <formula>"Towel"</formula>
    </cfRule>
    <cfRule type="cellIs" dxfId="8064" priority="6284" stopIfTrue="1" operator="equal">
      <formula>"Napkin Hs"</formula>
    </cfRule>
  </conditionalFormatting>
  <conditionalFormatting sqref="C44">
    <cfRule type="cellIs" dxfId="8063" priority="6282" stopIfTrue="1" operator="equal">
      <formula>"Napkin Hs"</formula>
    </cfRule>
  </conditionalFormatting>
  <conditionalFormatting sqref="C44">
    <cfRule type="cellIs" dxfId="8062" priority="6279" stopIfTrue="1" operator="equal">
      <formula>"Towel"</formula>
    </cfRule>
    <cfRule type="cellIs" dxfId="8061" priority="6280" stopIfTrue="1" operator="equal">
      <formula>"Napkin Hs"</formula>
    </cfRule>
  </conditionalFormatting>
  <conditionalFormatting sqref="C44">
    <cfRule type="cellIs" dxfId="8060" priority="6281" stopIfTrue="1" operator="equal">
      <formula>"Towel"</formula>
    </cfRule>
  </conditionalFormatting>
  <conditionalFormatting sqref="B44:C44">
    <cfRule type="cellIs" dxfId="8059" priority="6277" stopIfTrue="1" operator="equal">
      <formula>"Towel"</formula>
    </cfRule>
    <cfRule type="cellIs" dxfId="8058" priority="6278" stopIfTrue="1" operator="equal">
      <formula>"Napkin Hs"</formula>
    </cfRule>
  </conditionalFormatting>
  <conditionalFormatting sqref="C44">
    <cfRule type="cellIs" dxfId="8057" priority="6276" stopIfTrue="1" operator="equal">
      <formula>"Napkin Hs"</formula>
    </cfRule>
  </conditionalFormatting>
  <conditionalFormatting sqref="C44">
    <cfRule type="cellIs" dxfId="8056" priority="6273" stopIfTrue="1" operator="equal">
      <formula>"Towel"</formula>
    </cfRule>
    <cfRule type="cellIs" dxfId="8055" priority="6274" stopIfTrue="1" operator="equal">
      <formula>"Napkin Hs"</formula>
    </cfRule>
  </conditionalFormatting>
  <conditionalFormatting sqref="C44">
    <cfRule type="cellIs" dxfId="8054" priority="6275" stopIfTrue="1" operator="equal">
      <formula>"Towel"</formula>
    </cfRule>
  </conditionalFormatting>
  <conditionalFormatting sqref="B44:C44">
    <cfRule type="cellIs" dxfId="8053" priority="6271" stopIfTrue="1" operator="equal">
      <formula>"Towel"</formula>
    </cfRule>
    <cfRule type="cellIs" dxfId="8052" priority="6272" stopIfTrue="1" operator="equal">
      <formula>"Napkin Hs"</formula>
    </cfRule>
  </conditionalFormatting>
  <conditionalFormatting sqref="C44">
    <cfRule type="cellIs" dxfId="8051" priority="6270" stopIfTrue="1" operator="equal">
      <formula>"Napkin Hs"</formula>
    </cfRule>
  </conditionalFormatting>
  <conditionalFormatting sqref="C44">
    <cfRule type="cellIs" dxfId="8050" priority="6267" stopIfTrue="1" operator="equal">
      <formula>"Towel"</formula>
    </cfRule>
    <cfRule type="cellIs" dxfId="8049" priority="6268" stopIfTrue="1" operator="equal">
      <formula>"Napkin Hs"</formula>
    </cfRule>
  </conditionalFormatting>
  <conditionalFormatting sqref="C44">
    <cfRule type="cellIs" dxfId="8048" priority="6269" stopIfTrue="1" operator="equal">
      <formula>"Towel"</formula>
    </cfRule>
  </conditionalFormatting>
  <conditionalFormatting sqref="B44:C44">
    <cfRule type="cellIs" dxfId="8047" priority="6265" stopIfTrue="1" operator="equal">
      <formula>"Towel"</formula>
    </cfRule>
    <cfRule type="cellIs" dxfId="8046" priority="6266" stopIfTrue="1" operator="equal">
      <formula>"Napkin Hs"</formula>
    </cfRule>
  </conditionalFormatting>
  <conditionalFormatting sqref="C44">
    <cfRule type="cellIs" dxfId="8045" priority="6264" stopIfTrue="1" operator="equal">
      <formula>"Napkin Hs"</formula>
    </cfRule>
  </conditionalFormatting>
  <conditionalFormatting sqref="C44">
    <cfRule type="cellIs" dxfId="8044" priority="6261" stopIfTrue="1" operator="equal">
      <formula>"Towel"</formula>
    </cfRule>
    <cfRule type="cellIs" dxfId="8043" priority="6262" stopIfTrue="1" operator="equal">
      <formula>"Napkin Hs"</formula>
    </cfRule>
  </conditionalFormatting>
  <conditionalFormatting sqref="C44">
    <cfRule type="cellIs" dxfId="8042" priority="6263" stopIfTrue="1" operator="equal">
      <formula>"Towel"</formula>
    </cfRule>
  </conditionalFormatting>
  <conditionalFormatting sqref="B52:C52">
    <cfRule type="cellIs" dxfId="8041" priority="6259" stopIfTrue="1" operator="equal">
      <formula>"Towel"</formula>
    </cfRule>
    <cfRule type="cellIs" dxfId="8040" priority="6260" stopIfTrue="1" operator="equal">
      <formula>"Napkin Hs"</formula>
    </cfRule>
  </conditionalFormatting>
  <conditionalFormatting sqref="C52">
    <cfRule type="cellIs" dxfId="8039" priority="6258" stopIfTrue="1" operator="equal">
      <formula>"Napkin Hs"</formula>
    </cfRule>
  </conditionalFormatting>
  <conditionalFormatting sqref="C52">
    <cfRule type="cellIs" dxfId="8038" priority="6257" stopIfTrue="1" operator="equal">
      <formula>"Towel"</formula>
    </cfRule>
  </conditionalFormatting>
  <conditionalFormatting sqref="C52">
    <cfRule type="cellIs" dxfId="8037" priority="6255" stopIfTrue="1" operator="equal">
      <formula>"Towel"</formula>
    </cfRule>
    <cfRule type="cellIs" dxfId="8036" priority="6256" stopIfTrue="1" operator="equal">
      <formula>"Napkin Hs"</formula>
    </cfRule>
  </conditionalFormatting>
  <conditionalFormatting sqref="B49:C49 C50">
    <cfRule type="cellIs" dxfId="8035" priority="6251" stopIfTrue="1" operator="equal">
      <formula>"Towel"</formula>
    </cfRule>
    <cfRule type="cellIs" dxfId="8034" priority="6252" stopIfTrue="1" operator="equal">
      <formula>"Napkin Hs"</formula>
    </cfRule>
  </conditionalFormatting>
  <conditionalFormatting sqref="B50">
    <cfRule type="cellIs" dxfId="8033" priority="6253" stopIfTrue="1" operator="equal">
      <formula>"Towel"</formula>
    </cfRule>
    <cfRule type="cellIs" dxfId="8032" priority="6254" stopIfTrue="1" operator="equal">
      <formula>"Napkin Hs"</formula>
    </cfRule>
  </conditionalFormatting>
  <conditionalFormatting sqref="C49:C50">
    <cfRule type="cellIs" dxfId="8031" priority="6247" stopIfTrue="1" operator="equal">
      <formula>"Towel"</formula>
    </cfRule>
    <cfRule type="cellIs" dxfId="8030" priority="6248" stopIfTrue="1" operator="equal">
      <formula>"Napkin Hs"</formula>
    </cfRule>
  </conditionalFormatting>
  <conditionalFormatting sqref="C49:C50">
    <cfRule type="cellIs" dxfId="8029" priority="6249" stopIfTrue="1" operator="equal">
      <formula>"Towel"</formula>
    </cfRule>
    <cfRule type="cellIs" dxfId="8028" priority="6250" stopIfTrue="1" operator="equal">
      <formula>"Napkin Hs"</formula>
    </cfRule>
  </conditionalFormatting>
  <conditionalFormatting sqref="B49:C50">
    <cfRule type="cellIs" dxfId="8027" priority="6245" stopIfTrue="1" operator="equal">
      <formula>"Towel"</formula>
    </cfRule>
    <cfRule type="cellIs" dxfId="8026" priority="6246" stopIfTrue="1" operator="equal">
      <formula>"Napkin Hs"</formula>
    </cfRule>
  </conditionalFormatting>
  <conditionalFormatting sqref="C49:C50">
    <cfRule type="cellIs" dxfId="8025" priority="6244" stopIfTrue="1" operator="equal">
      <formula>"Napkin Hs"</formula>
    </cfRule>
  </conditionalFormatting>
  <conditionalFormatting sqref="C49:C50">
    <cfRule type="cellIs" dxfId="8024" priority="6241" stopIfTrue="1" operator="equal">
      <formula>"Towel"</formula>
    </cfRule>
    <cfRule type="cellIs" dxfId="8023" priority="6242" stopIfTrue="1" operator="equal">
      <formula>"Napkin Hs"</formula>
    </cfRule>
  </conditionalFormatting>
  <conditionalFormatting sqref="C49:C50">
    <cfRule type="cellIs" dxfId="8022" priority="6243" stopIfTrue="1" operator="equal">
      <formula>"Towel"</formula>
    </cfRule>
  </conditionalFormatting>
  <conditionalFormatting sqref="B49:C50">
    <cfRule type="cellIs" dxfId="8021" priority="6239" stopIfTrue="1" operator="equal">
      <formula>"Towel"</formula>
    </cfRule>
    <cfRule type="cellIs" dxfId="8020" priority="6240" stopIfTrue="1" operator="equal">
      <formula>"Napkin Hs"</formula>
    </cfRule>
  </conditionalFormatting>
  <conditionalFormatting sqref="C49:C50">
    <cfRule type="cellIs" dxfId="8019" priority="6237" stopIfTrue="1" operator="equal">
      <formula>"Towel"</formula>
    </cfRule>
    <cfRule type="cellIs" dxfId="8018" priority="6238" stopIfTrue="1" operator="equal">
      <formula>"Napkin Hs"</formula>
    </cfRule>
  </conditionalFormatting>
  <conditionalFormatting sqref="C49:C50">
    <cfRule type="cellIs" dxfId="8017" priority="6235" stopIfTrue="1" operator="equal">
      <formula>"Towel"</formula>
    </cfRule>
    <cfRule type="cellIs" dxfId="8016" priority="6236" stopIfTrue="1" operator="equal">
      <formula>"Napkin Hs"</formula>
    </cfRule>
  </conditionalFormatting>
  <conditionalFormatting sqref="B49:C50">
    <cfRule type="cellIs" dxfId="8015" priority="6233" stopIfTrue="1" operator="equal">
      <formula>"Towel"</formula>
    </cfRule>
    <cfRule type="cellIs" dxfId="8014" priority="6234" stopIfTrue="1" operator="equal">
      <formula>"Napkin Hs"</formula>
    </cfRule>
  </conditionalFormatting>
  <conditionalFormatting sqref="C49:C50">
    <cfRule type="cellIs" dxfId="8013" priority="6232" stopIfTrue="1" operator="equal">
      <formula>"Napkin Hs"</formula>
    </cfRule>
  </conditionalFormatting>
  <conditionalFormatting sqref="C49:C50">
    <cfRule type="cellIs" dxfId="8012" priority="6229" stopIfTrue="1" operator="equal">
      <formula>"Towel"</formula>
    </cfRule>
    <cfRule type="cellIs" dxfId="8011" priority="6230" stopIfTrue="1" operator="equal">
      <formula>"Napkin Hs"</formula>
    </cfRule>
  </conditionalFormatting>
  <conditionalFormatting sqref="C49:C50">
    <cfRule type="cellIs" dxfId="8010" priority="6231" stopIfTrue="1" operator="equal">
      <formula>"Towel"</formula>
    </cfRule>
  </conditionalFormatting>
  <conditionalFormatting sqref="B49:C50">
    <cfRule type="cellIs" dxfId="8009" priority="6227" stopIfTrue="1" operator="equal">
      <formula>"Towel"</formula>
    </cfRule>
    <cfRule type="cellIs" dxfId="8008" priority="6228" stopIfTrue="1" operator="equal">
      <formula>"Napkin Hs"</formula>
    </cfRule>
  </conditionalFormatting>
  <conditionalFormatting sqref="C49:C50">
    <cfRule type="cellIs" dxfId="8007" priority="6226" stopIfTrue="1" operator="equal">
      <formula>"Napkin Hs"</formula>
    </cfRule>
  </conditionalFormatting>
  <conditionalFormatting sqref="C49:C50">
    <cfRule type="cellIs" dxfId="8006" priority="6225" stopIfTrue="1" operator="equal">
      <formula>"Towel"</formula>
    </cfRule>
  </conditionalFormatting>
  <conditionalFormatting sqref="C49:C50">
    <cfRule type="cellIs" dxfId="8005" priority="6223" stopIfTrue="1" operator="equal">
      <formula>"Towel"</formula>
    </cfRule>
    <cfRule type="cellIs" dxfId="8004" priority="6224" stopIfTrue="1" operator="equal">
      <formula>"Napkin Hs"</formula>
    </cfRule>
  </conditionalFormatting>
  <conditionalFormatting sqref="B49:C50">
    <cfRule type="cellIs" dxfId="8003" priority="6221" stopIfTrue="1" operator="equal">
      <formula>"Towel"</formula>
    </cfRule>
    <cfRule type="cellIs" dxfId="8002" priority="6222" stopIfTrue="1" operator="equal">
      <formula>"Napkin Hs"</formula>
    </cfRule>
  </conditionalFormatting>
  <conditionalFormatting sqref="C49:C50">
    <cfRule type="cellIs" dxfId="8001" priority="6220" stopIfTrue="1" operator="equal">
      <formula>"Napkin Hs"</formula>
    </cfRule>
  </conditionalFormatting>
  <conditionalFormatting sqref="C49:C50">
    <cfRule type="cellIs" dxfId="8000" priority="6217" stopIfTrue="1" operator="equal">
      <formula>"Towel"</formula>
    </cfRule>
    <cfRule type="cellIs" dxfId="7999" priority="6218" stopIfTrue="1" operator="equal">
      <formula>"Napkin Hs"</formula>
    </cfRule>
  </conditionalFormatting>
  <conditionalFormatting sqref="C49:C50">
    <cfRule type="cellIs" dxfId="7998" priority="6219" stopIfTrue="1" operator="equal">
      <formula>"Towel"</formula>
    </cfRule>
  </conditionalFormatting>
  <conditionalFormatting sqref="B49:C50">
    <cfRule type="cellIs" dxfId="7997" priority="6215" stopIfTrue="1" operator="equal">
      <formula>"Towel"</formula>
    </cfRule>
    <cfRule type="cellIs" dxfId="7996" priority="6216" stopIfTrue="1" operator="equal">
      <formula>"Napkin Hs"</formula>
    </cfRule>
  </conditionalFormatting>
  <conditionalFormatting sqref="C49:C50">
    <cfRule type="cellIs" dxfId="7995" priority="6214" stopIfTrue="1" operator="equal">
      <formula>"Napkin Hs"</formula>
    </cfRule>
  </conditionalFormatting>
  <conditionalFormatting sqref="C49:C50">
    <cfRule type="cellIs" dxfId="7994" priority="6211" stopIfTrue="1" operator="equal">
      <formula>"Towel"</formula>
    </cfRule>
    <cfRule type="cellIs" dxfId="7993" priority="6212" stopIfTrue="1" operator="equal">
      <formula>"Napkin Hs"</formula>
    </cfRule>
  </conditionalFormatting>
  <conditionalFormatting sqref="C49:C50">
    <cfRule type="cellIs" dxfId="7992" priority="6213" stopIfTrue="1" operator="equal">
      <formula>"Towel"</formula>
    </cfRule>
  </conditionalFormatting>
  <conditionalFormatting sqref="B49:C50">
    <cfRule type="cellIs" dxfId="7991" priority="6209" stopIfTrue="1" operator="equal">
      <formula>"Towel"</formula>
    </cfRule>
    <cfRule type="cellIs" dxfId="7990" priority="6210" stopIfTrue="1" operator="equal">
      <formula>"Napkin Hs"</formula>
    </cfRule>
  </conditionalFormatting>
  <conditionalFormatting sqref="C49:C50">
    <cfRule type="cellIs" dxfId="7989" priority="6208" stopIfTrue="1" operator="equal">
      <formula>"Napkin Hs"</formula>
    </cfRule>
  </conditionalFormatting>
  <conditionalFormatting sqref="C49:C50">
    <cfRule type="cellIs" dxfId="7988" priority="6205" stopIfTrue="1" operator="equal">
      <formula>"Towel"</formula>
    </cfRule>
    <cfRule type="cellIs" dxfId="7987" priority="6206" stopIfTrue="1" operator="equal">
      <formula>"Napkin Hs"</formula>
    </cfRule>
  </conditionalFormatting>
  <conditionalFormatting sqref="C49:C50">
    <cfRule type="cellIs" dxfId="7986" priority="6207" stopIfTrue="1" operator="equal">
      <formula>"Towel"</formula>
    </cfRule>
  </conditionalFormatting>
  <conditionalFormatting sqref="B49:C50">
    <cfRule type="cellIs" dxfId="7985" priority="6203" stopIfTrue="1" operator="equal">
      <formula>"Towel"</formula>
    </cfRule>
    <cfRule type="cellIs" dxfId="7984" priority="6204" stopIfTrue="1" operator="equal">
      <formula>"Napkin Hs"</formula>
    </cfRule>
  </conditionalFormatting>
  <conditionalFormatting sqref="C49:C50">
    <cfRule type="cellIs" dxfId="7983" priority="6202" stopIfTrue="1" operator="equal">
      <formula>"Napkin Hs"</formula>
    </cfRule>
  </conditionalFormatting>
  <conditionalFormatting sqref="C49:C50">
    <cfRule type="cellIs" dxfId="7982" priority="6199" stopIfTrue="1" operator="equal">
      <formula>"Towel"</formula>
    </cfRule>
    <cfRule type="cellIs" dxfId="7981" priority="6200" stopIfTrue="1" operator="equal">
      <formula>"Napkin Hs"</formula>
    </cfRule>
  </conditionalFormatting>
  <conditionalFormatting sqref="C49:C50">
    <cfRule type="cellIs" dxfId="7980" priority="6201" stopIfTrue="1" operator="equal">
      <formula>"Towel"</formula>
    </cfRule>
  </conditionalFormatting>
  <conditionalFormatting sqref="B49:C50">
    <cfRule type="cellIs" dxfId="7979" priority="6197" stopIfTrue="1" operator="equal">
      <formula>"Towel"</formula>
    </cfRule>
    <cfRule type="cellIs" dxfId="7978" priority="6198" stopIfTrue="1" operator="equal">
      <formula>"Napkin Hs"</formula>
    </cfRule>
  </conditionalFormatting>
  <conditionalFormatting sqref="C49:C50">
    <cfRule type="cellIs" dxfId="7977" priority="6196" stopIfTrue="1" operator="equal">
      <formula>"Napkin Hs"</formula>
    </cfRule>
  </conditionalFormatting>
  <conditionalFormatting sqref="C49:C50">
    <cfRule type="cellIs" dxfId="7976" priority="6193" stopIfTrue="1" operator="equal">
      <formula>"Towel"</formula>
    </cfRule>
    <cfRule type="cellIs" dxfId="7975" priority="6194" stopIfTrue="1" operator="equal">
      <formula>"Napkin Hs"</formula>
    </cfRule>
  </conditionalFormatting>
  <conditionalFormatting sqref="C49:C50">
    <cfRule type="cellIs" dxfId="7974" priority="6195" stopIfTrue="1" operator="equal">
      <formula>"Towel"</formula>
    </cfRule>
  </conditionalFormatting>
  <conditionalFormatting sqref="B49:C50">
    <cfRule type="cellIs" dxfId="7973" priority="6191" stopIfTrue="1" operator="equal">
      <formula>"Towel"</formula>
    </cfRule>
    <cfRule type="cellIs" dxfId="7972" priority="6192" stopIfTrue="1" operator="equal">
      <formula>"Napkin Hs"</formula>
    </cfRule>
  </conditionalFormatting>
  <conditionalFormatting sqref="C49:C50">
    <cfRule type="cellIs" dxfId="7971" priority="6190" stopIfTrue="1" operator="equal">
      <formula>"Napkin Hs"</formula>
    </cfRule>
  </conditionalFormatting>
  <conditionalFormatting sqref="C49:C50">
    <cfRule type="cellIs" dxfId="7970" priority="6187" stopIfTrue="1" operator="equal">
      <formula>"Towel"</formula>
    </cfRule>
    <cfRule type="cellIs" dxfId="7969" priority="6188" stopIfTrue="1" operator="equal">
      <formula>"Napkin Hs"</formula>
    </cfRule>
  </conditionalFormatting>
  <conditionalFormatting sqref="C49:C50">
    <cfRule type="cellIs" dxfId="7968" priority="6189" stopIfTrue="1" operator="equal">
      <formula>"Towel"</formula>
    </cfRule>
  </conditionalFormatting>
  <conditionalFormatting sqref="B49:C50">
    <cfRule type="cellIs" dxfId="7967" priority="6185" stopIfTrue="1" operator="equal">
      <formula>"Towel"</formula>
    </cfRule>
    <cfRule type="cellIs" dxfId="7966" priority="6186" stopIfTrue="1" operator="equal">
      <formula>"Napkin Hs"</formula>
    </cfRule>
  </conditionalFormatting>
  <conditionalFormatting sqref="C49:C50">
    <cfRule type="cellIs" dxfId="7965" priority="6184" stopIfTrue="1" operator="equal">
      <formula>"Napkin Hs"</formula>
    </cfRule>
  </conditionalFormatting>
  <conditionalFormatting sqref="C49:C50">
    <cfRule type="cellIs" dxfId="7964" priority="6181" stopIfTrue="1" operator="equal">
      <formula>"Towel"</formula>
    </cfRule>
    <cfRule type="cellIs" dxfId="7963" priority="6182" stopIfTrue="1" operator="equal">
      <formula>"Napkin Hs"</formula>
    </cfRule>
  </conditionalFormatting>
  <conditionalFormatting sqref="C49:C50">
    <cfRule type="cellIs" dxfId="7962" priority="6183" stopIfTrue="1" operator="equal">
      <formula>"Towel"</formula>
    </cfRule>
  </conditionalFormatting>
  <conditionalFormatting sqref="B49:C50">
    <cfRule type="cellIs" dxfId="7961" priority="6179" stopIfTrue="1" operator="equal">
      <formula>"Towel"</formula>
    </cfRule>
    <cfRule type="cellIs" dxfId="7960" priority="6180" stopIfTrue="1" operator="equal">
      <formula>"Napkin Hs"</formula>
    </cfRule>
  </conditionalFormatting>
  <conditionalFormatting sqref="C49:C50">
    <cfRule type="cellIs" dxfId="7959" priority="6178" stopIfTrue="1" operator="equal">
      <formula>"Napkin Hs"</formula>
    </cfRule>
  </conditionalFormatting>
  <conditionalFormatting sqref="C49:C50">
    <cfRule type="cellIs" dxfId="7958" priority="6175" stopIfTrue="1" operator="equal">
      <formula>"Towel"</formula>
    </cfRule>
    <cfRule type="cellIs" dxfId="7957" priority="6176" stopIfTrue="1" operator="equal">
      <formula>"Napkin Hs"</formula>
    </cfRule>
  </conditionalFormatting>
  <conditionalFormatting sqref="C49:C50">
    <cfRule type="cellIs" dxfId="7956" priority="6177" stopIfTrue="1" operator="equal">
      <formula>"Towel"</formula>
    </cfRule>
  </conditionalFormatting>
  <conditionalFormatting sqref="B49:C50">
    <cfRule type="cellIs" dxfId="7955" priority="6173" stopIfTrue="1" operator="equal">
      <formula>"Towel"</formula>
    </cfRule>
    <cfRule type="cellIs" dxfId="7954" priority="6174" stopIfTrue="1" operator="equal">
      <formula>"Napkin Hs"</formula>
    </cfRule>
  </conditionalFormatting>
  <conditionalFormatting sqref="C49:C50">
    <cfRule type="cellIs" dxfId="7953" priority="6172" stopIfTrue="1" operator="equal">
      <formula>"Napkin Hs"</formula>
    </cfRule>
  </conditionalFormatting>
  <conditionalFormatting sqref="C49:C50">
    <cfRule type="cellIs" dxfId="7952" priority="6169" stopIfTrue="1" operator="equal">
      <formula>"Towel"</formula>
    </cfRule>
    <cfRule type="cellIs" dxfId="7951" priority="6170" stopIfTrue="1" operator="equal">
      <formula>"Napkin Hs"</formula>
    </cfRule>
  </conditionalFormatting>
  <conditionalFormatting sqref="C49:C50">
    <cfRule type="cellIs" dxfId="7950" priority="6171" stopIfTrue="1" operator="equal">
      <formula>"Towel"</formula>
    </cfRule>
  </conditionalFormatting>
  <conditionalFormatting sqref="B49:C50">
    <cfRule type="cellIs" dxfId="7949" priority="6167" stopIfTrue="1" operator="equal">
      <formula>"Towel"</formula>
    </cfRule>
    <cfRule type="cellIs" dxfId="7948" priority="6168" stopIfTrue="1" operator="equal">
      <formula>"Napkin Hs"</formula>
    </cfRule>
  </conditionalFormatting>
  <conditionalFormatting sqref="C49:C50">
    <cfRule type="cellIs" dxfId="7947" priority="6166" stopIfTrue="1" operator="equal">
      <formula>"Napkin Hs"</formula>
    </cfRule>
  </conditionalFormatting>
  <conditionalFormatting sqref="C49:C50">
    <cfRule type="cellIs" dxfId="7946" priority="6163" stopIfTrue="1" operator="equal">
      <formula>"Towel"</formula>
    </cfRule>
    <cfRule type="cellIs" dxfId="7945" priority="6164" stopIfTrue="1" operator="equal">
      <formula>"Napkin Hs"</formula>
    </cfRule>
  </conditionalFormatting>
  <conditionalFormatting sqref="C49:C50">
    <cfRule type="cellIs" dxfId="7944" priority="6165" stopIfTrue="1" operator="equal">
      <formula>"Towel"</formula>
    </cfRule>
  </conditionalFormatting>
  <conditionalFormatting sqref="B49:C50">
    <cfRule type="cellIs" dxfId="7943" priority="6161" stopIfTrue="1" operator="equal">
      <formula>"Towel"</formula>
    </cfRule>
    <cfRule type="cellIs" dxfId="7942" priority="6162" stopIfTrue="1" operator="equal">
      <formula>"Napkin Hs"</formula>
    </cfRule>
  </conditionalFormatting>
  <conditionalFormatting sqref="C49:C50">
    <cfRule type="cellIs" dxfId="7941" priority="6160" stopIfTrue="1" operator="equal">
      <formula>"Napkin Hs"</formula>
    </cfRule>
  </conditionalFormatting>
  <conditionalFormatting sqref="C49:C50">
    <cfRule type="cellIs" dxfId="7940" priority="6159" stopIfTrue="1" operator="equal">
      <formula>"Towel"</formula>
    </cfRule>
  </conditionalFormatting>
  <conditionalFormatting sqref="C49:C50">
    <cfRule type="cellIs" dxfId="7939" priority="6157" stopIfTrue="1" operator="equal">
      <formula>"Towel"</formula>
    </cfRule>
    <cfRule type="cellIs" dxfId="7938" priority="6158" stopIfTrue="1" operator="equal">
      <formula>"Napkin Hs"</formula>
    </cfRule>
  </conditionalFormatting>
  <conditionalFormatting sqref="B49:C50">
    <cfRule type="cellIs" dxfId="7937" priority="6155" stopIfTrue="1" operator="equal">
      <formula>"Towel"</formula>
    </cfRule>
    <cfRule type="cellIs" dxfId="7936" priority="6156" stopIfTrue="1" operator="equal">
      <formula>"Napkin Hs"</formula>
    </cfRule>
  </conditionalFormatting>
  <conditionalFormatting sqref="C49:C50">
    <cfRule type="cellIs" dxfId="7935" priority="6154" stopIfTrue="1" operator="equal">
      <formula>"Napkin Hs"</formula>
    </cfRule>
  </conditionalFormatting>
  <conditionalFormatting sqref="C49:C50">
    <cfRule type="cellIs" dxfId="7934" priority="6151" stopIfTrue="1" operator="equal">
      <formula>"Towel"</formula>
    </cfRule>
    <cfRule type="cellIs" dxfId="7933" priority="6152" stopIfTrue="1" operator="equal">
      <formula>"Napkin Hs"</formula>
    </cfRule>
  </conditionalFormatting>
  <conditionalFormatting sqref="C49:C50">
    <cfRule type="cellIs" dxfId="7932" priority="6153" stopIfTrue="1" operator="equal">
      <formula>"Towel"</formula>
    </cfRule>
  </conditionalFormatting>
  <conditionalFormatting sqref="B49:C50">
    <cfRule type="cellIs" dxfId="7931" priority="6149" stopIfTrue="1" operator="equal">
      <formula>"Towel"</formula>
    </cfRule>
    <cfRule type="cellIs" dxfId="7930" priority="6150" stopIfTrue="1" operator="equal">
      <formula>"Napkin Hs"</formula>
    </cfRule>
  </conditionalFormatting>
  <conditionalFormatting sqref="C49:C50">
    <cfRule type="cellIs" dxfId="7929" priority="6148" stopIfTrue="1" operator="equal">
      <formula>"Napkin Hs"</formula>
    </cfRule>
  </conditionalFormatting>
  <conditionalFormatting sqref="C49:C50">
    <cfRule type="cellIs" dxfId="7928" priority="6145" stopIfTrue="1" operator="equal">
      <formula>"Towel"</formula>
    </cfRule>
    <cfRule type="cellIs" dxfId="7927" priority="6146" stopIfTrue="1" operator="equal">
      <formula>"Napkin Hs"</formula>
    </cfRule>
  </conditionalFormatting>
  <conditionalFormatting sqref="C49:C50">
    <cfRule type="cellIs" dxfId="7926" priority="6147" stopIfTrue="1" operator="equal">
      <formula>"Towel"</formula>
    </cfRule>
  </conditionalFormatting>
  <conditionalFormatting sqref="B49:C50">
    <cfRule type="cellIs" dxfId="7925" priority="6143" stopIfTrue="1" operator="equal">
      <formula>"Towel"</formula>
    </cfRule>
    <cfRule type="cellIs" dxfId="7924" priority="6144" stopIfTrue="1" operator="equal">
      <formula>"Napkin Hs"</formula>
    </cfRule>
  </conditionalFormatting>
  <conditionalFormatting sqref="C49:C50">
    <cfRule type="cellIs" dxfId="7923" priority="6142" stopIfTrue="1" operator="equal">
      <formula>"Napkin Hs"</formula>
    </cfRule>
  </conditionalFormatting>
  <conditionalFormatting sqref="C49:C50">
    <cfRule type="cellIs" dxfId="7922" priority="6139" stopIfTrue="1" operator="equal">
      <formula>"Towel"</formula>
    </cfRule>
    <cfRule type="cellIs" dxfId="7921" priority="6140" stopIfTrue="1" operator="equal">
      <formula>"Napkin Hs"</formula>
    </cfRule>
  </conditionalFormatting>
  <conditionalFormatting sqref="C49:C50">
    <cfRule type="cellIs" dxfId="7920" priority="6141" stopIfTrue="1" operator="equal">
      <formula>"Towel"</formula>
    </cfRule>
  </conditionalFormatting>
  <conditionalFormatting sqref="B49:C50">
    <cfRule type="cellIs" dxfId="7919" priority="6137" stopIfTrue="1" operator="equal">
      <formula>"Towel"</formula>
    </cfRule>
    <cfRule type="cellIs" dxfId="7918" priority="6138" stopIfTrue="1" operator="equal">
      <formula>"Napkin Hs"</formula>
    </cfRule>
  </conditionalFormatting>
  <conditionalFormatting sqref="C49:C50">
    <cfRule type="cellIs" dxfId="7917" priority="6136" stopIfTrue="1" operator="equal">
      <formula>"Napkin Hs"</formula>
    </cfRule>
  </conditionalFormatting>
  <conditionalFormatting sqref="C49:C50">
    <cfRule type="cellIs" dxfId="7916" priority="6133" stopIfTrue="1" operator="equal">
      <formula>"Towel"</formula>
    </cfRule>
    <cfRule type="cellIs" dxfId="7915" priority="6134" stopIfTrue="1" operator="equal">
      <formula>"Napkin Hs"</formula>
    </cfRule>
  </conditionalFormatting>
  <conditionalFormatting sqref="C49:C50">
    <cfRule type="cellIs" dxfId="7914" priority="6135" stopIfTrue="1" operator="equal">
      <formula>"Towel"</formula>
    </cfRule>
  </conditionalFormatting>
  <conditionalFormatting sqref="B49:C50">
    <cfRule type="cellIs" dxfId="7913" priority="6131" stopIfTrue="1" operator="equal">
      <formula>"Towel"</formula>
    </cfRule>
    <cfRule type="cellIs" dxfId="7912" priority="6132" stopIfTrue="1" operator="equal">
      <formula>"Napkin Hs"</formula>
    </cfRule>
  </conditionalFormatting>
  <conditionalFormatting sqref="C49:C50">
    <cfRule type="cellIs" dxfId="7911" priority="6130" stopIfTrue="1" operator="equal">
      <formula>"Napkin Hs"</formula>
    </cfRule>
  </conditionalFormatting>
  <conditionalFormatting sqref="C49:C50">
    <cfRule type="cellIs" dxfId="7910" priority="6127" stopIfTrue="1" operator="equal">
      <formula>"Towel"</formula>
    </cfRule>
    <cfRule type="cellIs" dxfId="7909" priority="6128" stopIfTrue="1" operator="equal">
      <formula>"Napkin Hs"</formula>
    </cfRule>
  </conditionalFormatting>
  <conditionalFormatting sqref="C49:C50">
    <cfRule type="cellIs" dxfId="7908" priority="6129" stopIfTrue="1" operator="equal">
      <formula>"Towel"</formula>
    </cfRule>
  </conditionalFormatting>
  <conditionalFormatting sqref="B49:C50">
    <cfRule type="cellIs" dxfId="7907" priority="6125" stopIfTrue="1" operator="equal">
      <formula>"Towel"</formula>
    </cfRule>
    <cfRule type="cellIs" dxfId="7906" priority="6126" stopIfTrue="1" operator="equal">
      <formula>"Napkin Hs"</formula>
    </cfRule>
  </conditionalFormatting>
  <conditionalFormatting sqref="C49:C50">
    <cfRule type="cellIs" dxfId="7905" priority="6124" stopIfTrue="1" operator="equal">
      <formula>"Napkin Hs"</formula>
    </cfRule>
  </conditionalFormatting>
  <conditionalFormatting sqref="C49:C50">
    <cfRule type="cellIs" dxfId="7904" priority="6121" stopIfTrue="1" operator="equal">
      <formula>"Towel"</formula>
    </cfRule>
    <cfRule type="cellIs" dxfId="7903" priority="6122" stopIfTrue="1" operator="equal">
      <formula>"Napkin Hs"</formula>
    </cfRule>
  </conditionalFormatting>
  <conditionalFormatting sqref="C49:C50">
    <cfRule type="cellIs" dxfId="7902" priority="6123" stopIfTrue="1" operator="equal">
      <formula>"Towel"</formula>
    </cfRule>
  </conditionalFormatting>
  <conditionalFormatting sqref="B49:C50">
    <cfRule type="cellIs" dxfId="7901" priority="6119" stopIfTrue="1" operator="equal">
      <formula>"Towel"</formula>
    </cfRule>
    <cfRule type="cellIs" dxfId="7900" priority="6120" stopIfTrue="1" operator="equal">
      <formula>"Napkin Hs"</formula>
    </cfRule>
  </conditionalFormatting>
  <conditionalFormatting sqref="C49:C50">
    <cfRule type="cellIs" dxfId="7899" priority="6118" stopIfTrue="1" operator="equal">
      <formula>"Napkin Hs"</formula>
    </cfRule>
  </conditionalFormatting>
  <conditionalFormatting sqref="C49:C50">
    <cfRule type="cellIs" dxfId="7898" priority="6115" stopIfTrue="1" operator="equal">
      <formula>"Towel"</formula>
    </cfRule>
    <cfRule type="cellIs" dxfId="7897" priority="6116" stopIfTrue="1" operator="equal">
      <formula>"Napkin Hs"</formula>
    </cfRule>
  </conditionalFormatting>
  <conditionalFormatting sqref="C49:C50">
    <cfRule type="cellIs" dxfId="7896" priority="6117" stopIfTrue="1" operator="equal">
      <formula>"Towel"</formula>
    </cfRule>
  </conditionalFormatting>
  <conditionalFormatting sqref="B49:C50">
    <cfRule type="cellIs" dxfId="7895" priority="6113" stopIfTrue="1" operator="equal">
      <formula>"Towel"</formula>
    </cfRule>
    <cfRule type="cellIs" dxfId="7894" priority="6114" stopIfTrue="1" operator="equal">
      <formula>"Napkin Hs"</formula>
    </cfRule>
  </conditionalFormatting>
  <conditionalFormatting sqref="C49:C50">
    <cfRule type="cellIs" dxfId="7893" priority="6112" stopIfTrue="1" operator="equal">
      <formula>"Napkin Hs"</formula>
    </cfRule>
  </conditionalFormatting>
  <conditionalFormatting sqref="C49:C50">
    <cfRule type="cellIs" dxfId="7892" priority="6109" stopIfTrue="1" operator="equal">
      <formula>"Towel"</formula>
    </cfRule>
    <cfRule type="cellIs" dxfId="7891" priority="6110" stopIfTrue="1" operator="equal">
      <formula>"Napkin Hs"</formula>
    </cfRule>
  </conditionalFormatting>
  <conditionalFormatting sqref="C49:C50">
    <cfRule type="cellIs" dxfId="7890" priority="6111" stopIfTrue="1" operator="equal">
      <formula>"Towel"</formula>
    </cfRule>
  </conditionalFormatting>
  <conditionalFormatting sqref="B49:C50">
    <cfRule type="cellIs" dxfId="7889" priority="6107" stopIfTrue="1" operator="equal">
      <formula>"Towel"</formula>
    </cfRule>
    <cfRule type="cellIs" dxfId="7888" priority="6108" stopIfTrue="1" operator="equal">
      <formula>"Napkin Hs"</formula>
    </cfRule>
  </conditionalFormatting>
  <conditionalFormatting sqref="C49:C50">
    <cfRule type="cellIs" dxfId="7887" priority="6106" stopIfTrue="1" operator="equal">
      <formula>"Napkin Hs"</formula>
    </cfRule>
  </conditionalFormatting>
  <conditionalFormatting sqref="C49:C50">
    <cfRule type="cellIs" dxfId="7886" priority="6103" stopIfTrue="1" operator="equal">
      <formula>"Towel"</formula>
    </cfRule>
    <cfRule type="cellIs" dxfId="7885" priority="6104" stopIfTrue="1" operator="equal">
      <formula>"Napkin Hs"</formula>
    </cfRule>
  </conditionalFormatting>
  <conditionalFormatting sqref="C49:C50">
    <cfRule type="cellIs" dxfId="7884" priority="6105" stopIfTrue="1" operator="equal">
      <formula>"Towel"</formula>
    </cfRule>
  </conditionalFormatting>
  <conditionalFormatting sqref="C48">
    <cfRule type="cellIs" dxfId="7883" priority="6099" stopIfTrue="1" operator="equal">
      <formula>"Towel"</formula>
    </cfRule>
    <cfRule type="cellIs" dxfId="7882" priority="6100" stopIfTrue="1" operator="equal">
      <formula>"Napkin Hs"</formula>
    </cfRule>
  </conditionalFormatting>
  <conditionalFormatting sqref="B48">
    <cfRule type="cellIs" dxfId="7881" priority="6101" stopIfTrue="1" operator="equal">
      <formula>"Towel"</formula>
    </cfRule>
    <cfRule type="cellIs" dxfId="7880" priority="6102" stopIfTrue="1" operator="equal">
      <formula>"Napkin Hs"</formula>
    </cfRule>
  </conditionalFormatting>
  <conditionalFormatting sqref="C48">
    <cfRule type="cellIs" dxfId="7879" priority="6095" stopIfTrue="1" operator="equal">
      <formula>"Towel"</formula>
    </cfRule>
    <cfRule type="cellIs" dxfId="7878" priority="6096" stopIfTrue="1" operator="equal">
      <formula>"Napkin Hs"</formula>
    </cfRule>
  </conditionalFormatting>
  <conditionalFormatting sqref="C48">
    <cfRule type="cellIs" dxfId="7877" priority="6097" stopIfTrue="1" operator="equal">
      <formula>"Towel"</formula>
    </cfRule>
    <cfRule type="cellIs" dxfId="7876" priority="6098" stopIfTrue="1" operator="equal">
      <formula>"Napkin Hs"</formula>
    </cfRule>
  </conditionalFormatting>
  <conditionalFormatting sqref="B48:C48">
    <cfRule type="cellIs" dxfId="7875" priority="6093" stopIfTrue="1" operator="equal">
      <formula>"Towel"</formula>
    </cfRule>
    <cfRule type="cellIs" dxfId="7874" priority="6094" stopIfTrue="1" operator="equal">
      <formula>"Napkin Hs"</formula>
    </cfRule>
  </conditionalFormatting>
  <conditionalFormatting sqref="C48">
    <cfRule type="cellIs" dxfId="7873" priority="6092" stopIfTrue="1" operator="equal">
      <formula>"Napkin Hs"</formula>
    </cfRule>
  </conditionalFormatting>
  <conditionalFormatting sqref="C48">
    <cfRule type="cellIs" dxfId="7872" priority="6089" stopIfTrue="1" operator="equal">
      <formula>"Towel"</formula>
    </cfRule>
    <cfRule type="cellIs" dxfId="7871" priority="6090" stopIfTrue="1" operator="equal">
      <formula>"Napkin Hs"</formula>
    </cfRule>
  </conditionalFormatting>
  <conditionalFormatting sqref="C48">
    <cfRule type="cellIs" dxfId="7870" priority="6091" stopIfTrue="1" operator="equal">
      <formula>"Towel"</formula>
    </cfRule>
  </conditionalFormatting>
  <conditionalFormatting sqref="B48:C48">
    <cfRule type="cellIs" dxfId="7869" priority="6087" stopIfTrue="1" operator="equal">
      <formula>"Towel"</formula>
    </cfRule>
    <cfRule type="cellIs" dxfId="7868" priority="6088" stopIfTrue="1" operator="equal">
      <formula>"Napkin Hs"</formula>
    </cfRule>
  </conditionalFormatting>
  <conditionalFormatting sqref="C48">
    <cfRule type="cellIs" dxfId="7867" priority="6085" stopIfTrue="1" operator="equal">
      <formula>"Towel"</formula>
    </cfRule>
    <cfRule type="cellIs" dxfId="7866" priority="6086" stopIfTrue="1" operator="equal">
      <formula>"Napkin Hs"</formula>
    </cfRule>
  </conditionalFormatting>
  <conditionalFormatting sqref="C48">
    <cfRule type="cellIs" dxfId="7865" priority="6083" stopIfTrue="1" operator="equal">
      <formula>"Towel"</formula>
    </cfRule>
    <cfRule type="cellIs" dxfId="7864" priority="6084" stopIfTrue="1" operator="equal">
      <formula>"Napkin Hs"</formula>
    </cfRule>
  </conditionalFormatting>
  <conditionalFormatting sqref="B48:C48">
    <cfRule type="cellIs" dxfId="7863" priority="6081" stopIfTrue="1" operator="equal">
      <formula>"Towel"</formula>
    </cfRule>
    <cfRule type="cellIs" dxfId="7862" priority="6082" stopIfTrue="1" operator="equal">
      <formula>"Napkin Hs"</formula>
    </cfRule>
  </conditionalFormatting>
  <conditionalFormatting sqref="C48">
    <cfRule type="cellIs" dxfId="7861" priority="6080" stopIfTrue="1" operator="equal">
      <formula>"Napkin Hs"</formula>
    </cfRule>
  </conditionalFormatting>
  <conditionalFormatting sqref="C48">
    <cfRule type="cellIs" dxfId="7860" priority="6077" stopIfTrue="1" operator="equal">
      <formula>"Towel"</formula>
    </cfRule>
    <cfRule type="cellIs" dxfId="7859" priority="6078" stopIfTrue="1" operator="equal">
      <formula>"Napkin Hs"</formula>
    </cfRule>
  </conditionalFormatting>
  <conditionalFormatting sqref="C48">
    <cfRule type="cellIs" dxfId="7858" priority="6079" stopIfTrue="1" operator="equal">
      <formula>"Towel"</formula>
    </cfRule>
  </conditionalFormatting>
  <conditionalFormatting sqref="B48:C48">
    <cfRule type="cellIs" dxfId="7857" priority="6075" stopIfTrue="1" operator="equal">
      <formula>"Towel"</formula>
    </cfRule>
    <cfRule type="cellIs" dxfId="7856" priority="6076" stopIfTrue="1" operator="equal">
      <formula>"Napkin Hs"</formula>
    </cfRule>
  </conditionalFormatting>
  <conditionalFormatting sqref="C48">
    <cfRule type="cellIs" dxfId="7855" priority="6074" stopIfTrue="1" operator="equal">
      <formula>"Napkin Hs"</formula>
    </cfRule>
  </conditionalFormatting>
  <conditionalFormatting sqref="C48">
    <cfRule type="cellIs" dxfId="7854" priority="6073" stopIfTrue="1" operator="equal">
      <formula>"Towel"</formula>
    </cfRule>
  </conditionalFormatting>
  <conditionalFormatting sqref="C48">
    <cfRule type="cellIs" dxfId="7853" priority="6071" stopIfTrue="1" operator="equal">
      <formula>"Towel"</formula>
    </cfRule>
    <cfRule type="cellIs" dxfId="7852" priority="6072" stopIfTrue="1" operator="equal">
      <formula>"Napkin Hs"</formula>
    </cfRule>
  </conditionalFormatting>
  <conditionalFormatting sqref="B48:C48">
    <cfRule type="cellIs" dxfId="7851" priority="6069" stopIfTrue="1" operator="equal">
      <formula>"Towel"</formula>
    </cfRule>
    <cfRule type="cellIs" dxfId="7850" priority="6070" stopIfTrue="1" operator="equal">
      <formula>"Napkin Hs"</formula>
    </cfRule>
  </conditionalFormatting>
  <conditionalFormatting sqref="C48">
    <cfRule type="cellIs" dxfId="7849" priority="6068" stopIfTrue="1" operator="equal">
      <formula>"Napkin Hs"</formula>
    </cfRule>
  </conditionalFormatting>
  <conditionalFormatting sqref="C48">
    <cfRule type="cellIs" dxfId="7848" priority="6065" stopIfTrue="1" operator="equal">
      <formula>"Towel"</formula>
    </cfRule>
    <cfRule type="cellIs" dxfId="7847" priority="6066" stopIfTrue="1" operator="equal">
      <formula>"Napkin Hs"</formula>
    </cfRule>
  </conditionalFormatting>
  <conditionalFormatting sqref="C48">
    <cfRule type="cellIs" dxfId="7846" priority="6067" stopIfTrue="1" operator="equal">
      <formula>"Towel"</formula>
    </cfRule>
  </conditionalFormatting>
  <conditionalFormatting sqref="B48:C48">
    <cfRule type="cellIs" dxfId="7845" priority="6063" stopIfTrue="1" operator="equal">
      <formula>"Towel"</formula>
    </cfRule>
    <cfRule type="cellIs" dxfId="7844" priority="6064" stopIfTrue="1" operator="equal">
      <formula>"Napkin Hs"</formula>
    </cfRule>
  </conditionalFormatting>
  <conditionalFormatting sqref="C48">
    <cfRule type="cellIs" dxfId="7843" priority="6062" stopIfTrue="1" operator="equal">
      <formula>"Napkin Hs"</formula>
    </cfRule>
  </conditionalFormatting>
  <conditionalFormatting sqref="C48">
    <cfRule type="cellIs" dxfId="7842" priority="6059" stopIfTrue="1" operator="equal">
      <formula>"Towel"</formula>
    </cfRule>
    <cfRule type="cellIs" dxfId="7841" priority="6060" stopIfTrue="1" operator="equal">
      <formula>"Napkin Hs"</formula>
    </cfRule>
  </conditionalFormatting>
  <conditionalFormatting sqref="C48">
    <cfRule type="cellIs" dxfId="7840" priority="6061" stopIfTrue="1" operator="equal">
      <formula>"Towel"</formula>
    </cfRule>
  </conditionalFormatting>
  <conditionalFormatting sqref="B48:C48">
    <cfRule type="cellIs" dxfId="7839" priority="6057" stopIfTrue="1" operator="equal">
      <formula>"Towel"</formula>
    </cfRule>
    <cfRule type="cellIs" dxfId="7838" priority="6058" stopIfTrue="1" operator="equal">
      <formula>"Napkin Hs"</formula>
    </cfRule>
  </conditionalFormatting>
  <conditionalFormatting sqref="C48">
    <cfRule type="cellIs" dxfId="7837" priority="6056" stopIfTrue="1" operator="equal">
      <formula>"Napkin Hs"</formula>
    </cfRule>
  </conditionalFormatting>
  <conditionalFormatting sqref="C48">
    <cfRule type="cellIs" dxfId="7836" priority="6053" stopIfTrue="1" operator="equal">
      <formula>"Towel"</formula>
    </cfRule>
    <cfRule type="cellIs" dxfId="7835" priority="6054" stopIfTrue="1" operator="equal">
      <formula>"Napkin Hs"</formula>
    </cfRule>
  </conditionalFormatting>
  <conditionalFormatting sqref="C48">
    <cfRule type="cellIs" dxfId="7834" priority="6055" stopIfTrue="1" operator="equal">
      <formula>"Towel"</formula>
    </cfRule>
  </conditionalFormatting>
  <conditionalFormatting sqref="B48:C48">
    <cfRule type="cellIs" dxfId="7833" priority="6051" stopIfTrue="1" operator="equal">
      <formula>"Towel"</formula>
    </cfRule>
    <cfRule type="cellIs" dxfId="7832" priority="6052" stopIfTrue="1" operator="equal">
      <formula>"Napkin Hs"</formula>
    </cfRule>
  </conditionalFormatting>
  <conditionalFormatting sqref="C48">
    <cfRule type="cellIs" dxfId="7831" priority="6050" stopIfTrue="1" operator="equal">
      <formula>"Napkin Hs"</formula>
    </cfRule>
  </conditionalFormatting>
  <conditionalFormatting sqref="C48">
    <cfRule type="cellIs" dxfId="7830" priority="6047" stopIfTrue="1" operator="equal">
      <formula>"Towel"</formula>
    </cfRule>
    <cfRule type="cellIs" dxfId="7829" priority="6048" stopIfTrue="1" operator="equal">
      <formula>"Napkin Hs"</formula>
    </cfRule>
  </conditionalFormatting>
  <conditionalFormatting sqref="C48">
    <cfRule type="cellIs" dxfId="7828" priority="6049" stopIfTrue="1" operator="equal">
      <formula>"Towel"</formula>
    </cfRule>
  </conditionalFormatting>
  <conditionalFormatting sqref="B48:C48">
    <cfRule type="cellIs" dxfId="7827" priority="6045" stopIfTrue="1" operator="equal">
      <formula>"Towel"</formula>
    </cfRule>
    <cfRule type="cellIs" dxfId="7826" priority="6046" stopIfTrue="1" operator="equal">
      <formula>"Napkin Hs"</formula>
    </cfRule>
  </conditionalFormatting>
  <conditionalFormatting sqref="C48">
    <cfRule type="cellIs" dxfId="7825" priority="6044" stopIfTrue="1" operator="equal">
      <formula>"Napkin Hs"</formula>
    </cfRule>
  </conditionalFormatting>
  <conditionalFormatting sqref="C48">
    <cfRule type="cellIs" dxfId="7824" priority="6041" stopIfTrue="1" operator="equal">
      <formula>"Towel"</formula>
    </cfRule>
    <cfRule type="cellIs" dxfId="7823" priority="6042" stopIfTrue="1" operator="equal">
      <formula>"Napkin Hs"</formula>
    </cfRule>
  </conditionalFormatting>
  <conditionalFormatting sqref="C48">
    <cfRule type="cellIs" dxfId="7822" priority="6043" stopIfTrue="1" operator="equal">
      <formula>"Towel"</formula>
    </cfRule>
  </conditionalFormatting>
  <conditionalFormatting sqref="B48:C48">
    <cfRule type="cellIs" dxfId="7821" priority="6039" stopIfTrue="1" operator="equal">
      <formula>"Towel"</formula>
    </cfRule>
    <cfRule type="cellIs" dxfId="7820" priority="6040" stopIfTrue="1" operator="equal">
      <formula>"Napkin Hs"</formula>
    </cfRule>
  </conditionalFormatting>
  <conditionalFormatting sqref="C48">
    <cfRule type="cellIs" dxfId="7819" priority="6038" stopIfTrue="1" operator="equal">
      <formula>"Napkin Hs"</formula>
    </cfRule>
  </conditionalFormatting>
  <conditionalFormatting sqref="C48">
    <cfRule type="cellIs" dxfId="7818" priority="6035" stopIfTrue="1" operator="equal">
      <formula>"Towel"</formula>
    </cfRule>
    <cfRule type="cellIs" dxfId="7817" priority="6036" stopIfTrue="1" operator="equal">
      <formula>"Napkin Hs"</formula>
    </cfRule>
  </conditionalFormatting>
  <conditionalFormatting sqref="C48">
    <cfRule type="cellIs" dxfId="7816" priority="6037" stopIfTrue="1" operator="equal">
      <formula>"Towel"</formula>
    </cfRule>
  </conditionalFormatting>
  <conditionalFormatting sqref="B48:C48">
    <cfRule type="cellIs" dxfId="7815" priority="6033" stopIfTrue="1" operator="equal">
      <formula>"Towel"</formula>
    </cfRule>
    <cfRule type="cellIs" dxfId="7814" priority="6034" stopIfTrue="1" operator="equal">
      <formula>"Napkin Hs"</formula>
    </cfRule>
  </conditionalFormatting>
  <conditionalFormatting sqref="C48">
    <cfRule type="cellIs" dxfId="7813" priority="6032" stopIfTrue="1" operator="equal">
      <formula>"Napkin Hs"</formula>
    </cfRule>
  </conditionalFormatting>
  <conditionalFormatting sqref="C48">
    <cfRule type="cellIs" dxfId="7812" priority="6029" stopIfTrue="1" operator="equal">
      <formula>"Towel"</formula>
    </cfRule>
    <cfRule type="cellIs" dxfId="7811" priority="6030" stopIfTrue="1" operator="equal">
      <formula>"Napkin Hs"</formula>
    </cfRule>
  </conditionalFormatting>
  <conditionalFormatting sqref="C48">
    <cfRule type="cellIs" dxfId="7810" priority="6031" stopIfTrue="1" operator="equal">
      <formula>"Towel"</formula>
    </cfRule>
  </conditionalFormatting>
  <conditionalFormatting sqref="B48:C48">
    <cfRule type="cellIs" dxfId="7809" priority="6027" stopIfTrue="1" operator="equal">
      <formula>"Towel"</formula>
    </cfRule>
    <cfRule type="cellIs" dxfId="7808" priority="6028" stopIfTrue="1" operator="equal">
      <formula>"Napkin Hs"</formula>
    </cfRule>
  </conditionalFormatting>
  <conditionalFormatting sqref="C48">
    <cfRule type="cellIs" dxfId="7807" priority="6026" stopIfTrue="1" operator="equal">
      <formula>"Napkin Hs"</formula>
    </cfRule>
  </conditionalFormatting>
  <conditionalFormatting sqref="C48">
    <cfRule type="cellIs" dxfId="7806" priority="6023" stopIfTrue="1" operator="equal">
      <formula>"Towel"</formula>
    </cfRule>
    <cfRule type="cellIs" dxfId="7805" priority="6024" stopIfTrue="1" operator="equal">
      <formula>"Napkin Hs"</formula>
    </cfRule>
  </conditionalFormatting>
  <conditionalFormatting sqref="C48">
    <cfRule type="cellIs" dxfId="7804" priority="6025" stopIfTrue="1" operator="equal">
      <formula>"Towel"</formula>
    </cfRule>
  </conditionalFormatting>
  <conditionalFormatting sqref="B48:C48">
    <cfRule type="cellIs" dxfId="7803" priority="6021" stopIfTrue="1" operator="equal">
      <formula>"Towel"</formula>
    </cfRule>
    <cfRule type="cellIs" dxfId="7802" priority="6022" stopIfTrue="1" operator="equal">
      <formula>"Napkin Hs"</formula>
    </cfRule>
  </conditionalFormatting>
  <conditionalFormatting sqref="C48">
    <cfRule type="cellIs" dxfId="7801" priority="6020" stopIfTrue="1" operator="equal">
      <formula>"Napkin Hs"</formula>
    </cfRule>
  </conditionalFormatting>
  <conditionalFormatting sqref="C48">
    <cfRule type="cellIs" dxfId="7800" priority="6017" stopIfTrue="1" operator="equal">
      <formula>"Towel"</formula>
    </cfRule>
    <cfRule type="cellIs" dxfId="7799" priority="6018" stopIfTrue="1" operator="equal">
      <formula>"Napkin Hs"</formula>
    </cfRule>
  </conditionalFormatting>
  <conditionalFormatting sqref="C48">
    <cfRule type="cellIs" dxfId="7798" priority="6019" stopIfTrue="1" operator="equal">
      <formula>"Towel"</formula>
    </cfRule>
  </conditionalFormatting>
  <conditionalFormatting sqref="B48:C48">
    <cfRule type="cellIs" dxfId="7797" priority="6015" stopIfTrue="1" operator="equal">
      <formula>"Towel"</formula>
    </cfRule>
    <cfRule type="cellIs" dxfId="7796" priority="6016" stopIfTrue="1" operator="equal">
      <formula>"Napkin Hs"</formula>
    </cfRule>
  </conditionalFormatting>
  <conditionalFormatting sqref="C48">
    <cfRule type="cellIs" dxfId="7795" priority="6014" stopIfTrue="1" operator="equal">
      <formula>"Napkin Hs"</formula>
    </cfRule>
  </conditionalFormatting>
  <conditionalFormatting sqref="C48">
    <cfRule type="cellIs" dxfId="7794" priority="6011" stopIfTrue="1" operator="equal">
      <formula>"Towel"</formula>
    </cfRule>
    <cfRule type="cellIs" dxfId="7793" priority="6012" stopIfTrue="1" operator="equal">
      <formula>"Napkin Hs"</formula>
    </cfRule>
  </conditionalFormatting>
  <conditionalFormatting sqref="C48">
    <cfRule type="cellIs" dxfId="7792" priority="6013" stopIfTrue="1" operator="equal">
      <formula>"Towel"</formula>
    </cfRule>
  </conditionalFormatting>
  <conditionalFormatting sqref="B48:C48">
    <cfRule type="cellIs" dxfId="7791" priority="6009" stopIfTrue="1" operator="equal">
      <formula>"Towel"</formula>
    </cfRule>
    <cfRule type="cellIs" dxfId="7790" priority="6010" stopIfTrue="1" operator="equal">
      <formula>"Napkin Hs"</formula>
    </cfRule>
  </conditionalFormatting>
  <conditionalFormatting sqref="C48">
    <cfRule type="cellIs" dxfId="7789" priority="6008" stopIfTrue="1" operator="equal">
      <formula>"Napkin Hs"</formula>
    </cfRule>
  </conditionalFormatting>
  <conditionalFormatting sqref="C48">
    <cfRule type="cellIs" dxfId="7788" priority="6007" stopIfTrue="1" operator="equal">
      <formula>"Towel"</formula>
    </cfRule>
  </conditionalFormatting>
  <conditionalFormatting sqref="C48">
    <cfRule type="cellIs" dxfId="7787" priority="6005" stopIfTrue="1" operator="equal">
      <formula>"Towel"</formula>
    </cfRule>
    <cfRule type="cellIs" dxfId="7786" priority="6006" stopIfTrue="1" operator="equal">
      <formula>"Napkin Hs"</formula>
    </cfRule>
  </conditionalFormatting>
  <conditionalFormatting sqref="B48:C48">
    <cfRule type="cellIs" dxfId="7785" priority="6003" stopIfTrue="1" operator="equal">
      <formula>"Towel"</formula>
    </cfRule>
    <cfRule type="cellIs" dxfId="7784" priority="6004" stopIfTrue="1" operator="equal">
      <formula>"Napkin Hs"</formula>
    </cfRule>
  </conditionalFormatting>
  <conditionalFormatting sqref="C48">
    <cfRule type="cellIs" dxfId="7783" priority="6002" stopIfTrue="1" operator="equal">
      <formula>"Napkin Hs"</formula>
    </cfRule>
  </conditionalFormatting>
  <conditionalFormatting sqref="C48">
    <cfRule type="cellIs" dxfId="7782" priority="5999" stopIfTrue="1" operator="equal">
      <formula>"Towel"</formula>
    </cfRule>
    <cfRule type="cellIs" dxfId="7781" priority="6000" stopIfTrue="1" operator="equal">
      <formula>"Napkin Hs"</formula>
    </cfRule>
  </conditionalFormatting>
  <conditionalFormatting sqref="C48">
    <cfRule type="cellIs" dxfId="7780" priority="6001" stopIfTrue="1" operator="equal">
      <formula>"Towel"</formula>
    </cfRule>
  </conditionalFormatting>
  <conditionalFormatting sqref="B48:C48">
    <cfRule type="cellIs" dxfId="7779" priority="5997" stopIfTrue="1" operator="equal">
      <formula>"Towel"</formula>
    </cfRule>
    <cfRule type="cellIs" dxfId="7778" priority="5998" stopIfTrue="1" operator="equal">
      <formula>"Napkin Hs"</formula>
    </cfRule>
  </conditionalFormatting>
  <conditionalFormatting sqref="C48">
    <cfRule type="cellIs" dxfId="7777" priority="5996" stopIfTrue="1" operator="equal">
      <formula>"Napkin Hs"</formula>
    </cfRule>
  </conditionalFormatting>
  <conditionalFormatting sqref="C48">
    <cfRule type="cellIs" dxfId="7776" priority="5993" stopIfTrue="1" operator="equal">
      <formula>"Towel"</formula>
    </cfRule>
    <cfRule type="cellIs" dxfId="7775" priority="5994" stopIfTrue="1" operator="equal">
      <formula>"Napkin Hs"</formula>
    </cfRule>
  </conditionalFormatting>
  <conditionalFormatting sqref="C48">
    <cfRule type="cellIs" dxfId="7774" priority="5995" stopIfTrue="1" operator="equal">
      <formula>"Towel"</formula>
    </cfRule>
  </conditionalFormatting>
  <conditionalFormatting sqref="B48:C48">
    <cfRule type="cellIs" dxfId="7773" priority="5991" stopIfTrue="1" operator="equal">
      <formula>"Towel"</formula>
    </cfRule>
    <cfRule type="cellIs" dxfId="7772" priority="5992" stopIfTrue="1" operator="equal">
      <formula>"Napkin Hs"</formula>
    </cfRule>
  </conditionalFormatting>
  <conditionalFormatting sqref="C48">
    <cfRule type="cellIs" dxfId="7771" priority="5990" stopIfTrue="1" operator="equal">
      <formula>"Napkin Hs"</formula>
    </cfRule>
  </conditionalFormatting>
  <conditionalFormatting sqref="C48">
    <cfRule type="cellIs" dxfId="7770" priority="5987" stopIfTrue="1" operator="equal">
      <formula>"Towel"</formula>
    </cfRule>
    <cfRule type="cellIs" dxfId="7769" priority="5988" stopIfTrue="1" operator="equal">
      <formula>"Napkin Hs"</formula>
    </cfRule>
  </conditionalFormatting>
  <conditionalFormatting sqref="C48">
    <cfRule type="cellIs" dxfId="7768" priority="5989" stopIfTrue="1" operator="equal">
      <formula>"Towel"</formula>
    </cfRule>
  </conditionalFormatting>
  <conditionalFormatting sqref="B48:C48">
    <cfRule type="cellIs" dxfId="7767" priority="5985" stopIfTrue="1" operator="equal">
      <formula>"Towel"</formula>
    </cfRule>
    <cfRule type="cellIs" dxfId="7766" priority="5986" stopIfTrue="1" operator="equal">
      <formula>"Napkin Hs"</formula>
    </cfRule>
  </conditionalFormatting>
  <conditionalFormatting sqref="C48">
    <cfRule type="cellIs" dxfId="7765" priority="5984" stopIfTrue="1" operator="equal">
      <formula>"Napkin Hs"</formula>
    </cfRule>
  </conditionalFormatting>
  <conditionalFormatting sqref="C48">
    <cfRule type="cellIs" dxfId="7764" priority="5981" stopIfTrue="1" operator="equal">
      <formula>"Towel"</formula>
    </cfRule>
    <cfRule type="cellIs" dxfId="7763" priority="5982" stopIfTrue="1" operator="equal">
      <formula>"Napkin Hs"</formula>
    </cfRule>
  </conditionalFormatting>
  <conditionalFormatting sqref="C48">
    <cfRule type="cellIs" dxfId="7762" priority="5983" stopIfTrue="1" operator="equal">
      <formula>"Towel"</formula>
    </cfRule>
  </conditionalFormatting>
  <conditionalFormatting sqref="B48:C48">
    <cfRule type="cellIs" dxfId="7761" priority="5979" stopIfTrue="1" operator="equal">
      <formula>"Towel"</formula>
    </cfRule>
    <cfRule type="cellIs" dxfId="7760" priority="5980" stopIfTrue="1" operator="equal">
      <formula>"Napkin Hs"</formula>
    </cfRule>
  </conditionalFormatting>
  <conditionalFormatting sqref="C48">
    <cfRule type="cellIs" dxfId="7759" priority="5978" stopIfTrue="1" operator="equal">
      <formula>"Napkin Hs"</formula>
    </cfRule>
  </conditionalFormatting>
  <conditionalFormatting sqref="C48">
    <cfRule type="cellIs" dxfId="7758" priority="5975" stopIfTrue="1" operator="equal">
      <formula>"Towel"</formula>
    </cfRule>
    <cfRule type="cellIs" dxfId="7757" priority="5976" stopIfTrue="1" operator="equal">
      <formula>"Napkin Hs"</formula>
    </cfRule>
  </conditionalFormatting>
  <conditionalFormatting sqref="C48">
    <cfRule type="cellIs" dxfId="7756" priority="5977" stopIfTrue="1" operator="equal">
      <formula>"Towel"</formula>
    </cfRule>
  </conditionalFormatting>
  <conditionalFormatting sqref="B48:C48">
    <cfRule type="cellIs" dxfId="7755" priority="5973" stopIfTrue="1" operator="equal">
      <formula>"Towel"</formula>
    </cfRule>
    <cfRule type="cellIs" dxfId="7754" priority="5974" stopIfTrue="1" operator="equal">
      <formula>"Napkin Hs"</formula>
    </cfRule>
  </conditionalFormatting>
  <conditionalFormatting sqref="C48">
    <cfRule type="cellIs" dxfId="7753" priority="5972" stopIfTrue="1" operator="equal">
      <formula>"Napkin Hs"</formula>
    </cfRule>
  </conditionalFormatting>
  <conditionalFormatting sqref="C48">
    <cfRule type="cellIs" dxfId="7752" priority="5969" stopIfTrue="1" operator="equal">
      <formula>"Towel"</formula>
    </cfRule>
    <cfRule type="cellIs" dxfId="7751" priority="5970" stopIfTrue="1" operator="equal">
      <formula>"Napkin Hs"</formula>
    </cfRule>
  </conditionalFormatting>
  <conditionalFormatting sqref="C48">
    <cfRule type="cellIs" dxfId="7750" priority="5971" stopIfTrue="1" operator="equal">
      <formula>"Towel"</formula>
    </cfRule>
  </conditionalFormatting>
  <conditionalFormatting sqref="B48:C48">
    <cfRule type="cellIs" dxfId="7749" priority="5967" stopIfTrue="1" operator="equal">
      <formula>"Towel"</formula>
    </cfRule>
    <cfRule type="cellIs" dxfId="7748" priority="5968" stopIfTrue="1" operator="equal">
      <formula>"Napkin Hs"</formula>
    </cfRule>
  </conditionalFormatting>
  <conditionalFormatting sqref="C48">
    <cfRule type="cellIs" dxfId="7747" priority="5966" stopIfTrue="1" operator="equal">
      <formula>"Napkin Hs"</formula>
    </cfRule>
  </conditionalFormatting>
  <conditionalFormatting sqref="C48">
    <cfRule type="cellIs" dxfId="7746" priority="5963" stopIfTrue="1" operator="equal">
      <formula>"Towel"</formula>
    </cfRule>
    <cfRule type="cellIs" dxfId="7745" priority="5964" stopIfTrue="1" operator="equal">
      <formula>"Napkin Hs"</formula>
    </cfRule>
  </conditionalFormatting>
  <conditionalFormatting sqref="C48">
    <cfRule type="cellIs" dxfId="7744" priority="5965" stopIfTrue="1" operator="equal">
      <formula>"Towel"</formula>
    </cfRule>
  </conditionalFormatting>
  <conditionalFormatting sqref="B48:C48">
    <cfRule type="cellIs" dxfId="7743" priority="5961" stopIfTrue="1" operator="equal">
      <formula>"Towel"</formula>
    </cfRule>
    <cfRule type="cellIs" dxfId="7742" priority="5962" stopIfTrue="1" operator="equal">
      <formula>"Napkin Hs"</formula>
    </cfRule>
  </conditionalFormatting>
  <conditionalFormatting sqref="C48">
    <cfRule type="cellIs" dxfId="7741" priority="5960" stopIfTrue="1" operator="equal">
      <formula>"Napkin Hs"</formula>
    </cfRule>
  </conditionalFormatting>
  <conditionalFormatting sqref="C48">
    <cfRule type="cellIs" dxfId="7740" priority="5957" stopIfTrue="1" operator="equal">
      <formula>"Towel"</formula>
    </cfRule>
    <cfRule type="cellIs" dxfId="7739" priority="5958" stopIfTrue="1" operator="equal">
      <formula>"Napkin Hs"</formula>
    </cfRule>
  </conditionalFormatting>
  <conditionalFormatting sqref="C48">
    <cfRule type="cellIs" dxfId="7738" priority="5959" stopIfTrue="1" operator="equal">
      <formula>"Towel"</formula>
    </cfRule>
  </conditionalFormatting>
  <conditionalFormatting sqref="B48:C48">
    <cfRule type="cellIs" dxfId="7737" priority="5955" stopIfTrue="1" operator="equal">
      <formula>"Towel"</formula>
    </cfRule>
    <cfRule type="cellIs" dxfId="7736" priority="5956" stopIfTrue="1" operator="equal">
      <formula>"Napkin Hs"</formula>
    </cfRule>
  </conditionalFormatting>
  <conditionalFormatting sqref="C48">
    <cfRule type="cellIs" dxfId="7735" priority="5954" stopIfTrue="1" operator="equal">
      <formula>"Napkin Hs"</formula>
    </cfRule>
  </conditionalFormatting>
  <conditionalFormatting sqref="C48">
    <cfRule type="cellIs" dxfId="7734" priority="5951" stopIfTrue="1" operator="equal">
      <formula>"Towel"</formula>
    </cfRule>
    <cfRule type="cellIs" dxfId="7733" priority="5952" stopIfTrue="1" operator="equal">
      <formula>"Napkin Hs"</formula>
    </cfRule>
  </conditionalFormatting>
  <conditionalFormatting sqref="C48">
    <cfRule type="cellIs" dxfId="7732" priority="5953" stopIfTrue="1" operator="equal">
      <formula>"Towel"</formula>
    </cfRule>
  </conditionalFormatting>
  <conditionalFormatting sqref="B51:C51">
    <cfRule type="cellIs" dxfId="7731" priority="5949" stopIfTrue="1" operator="equal">
      <formula>"Towel"</formula>
    </cfRule>
    <cfRule type="cellIs" dxfId="7730" priority="5950" stopIfTrue="1" operator="equal">
      <formula>"Napkin Hs"</formula>
    </cfRule>
  </conditionalFormatting>
  <conditionalFormatting sqref="C51">
    <cfRule type="cellIs" dxfId="7729" priority="5945" stopIfTrue="1" operator="equal">
      <formula>"Towel"</formula>
    </cfRule>
    <cfRule type="cellIs" dxfId="7728" priority="5946" stopIfTrue="1" operator="equal">
      <formula>"Napkin Hs"</formula>
    </cfRule>
  </conditionalFormatting>
  <conditionalFormatting sqref="C51">
    <cfRule type="cellIs" dxfId="7727" priority="5947" stopIfTrue="1" operator="equal">
      <formula>"Towel"</formula>
    </cfRule>
    <cfRule type="cellIs" dxfId="7726" priority="5948" stopIfTrue="1" operator="equal">
      <formula>"Napkin Hs"</formula>
    </cfRule>
  </conditionalFormatting>
  <conditionalFormatting sqref="B51:C51">
    <cfRule type="cellIs" dxfId="7725" priority="5943" stopIfTrue="1" operator="equal">
      <formula>"Towel"</formula>
    </cfRule>
    <cfRule type="cellIs" dxfId="7724" priority="5944" stopIfTrue="1" operator="equal">
      <formula>"Napkin Hs"</formula>
    </cfRule>
  </conditionalFormatting>
  <conditionalFormatting sqref="C51">
    <cfRule type="cellIs" dxfId="7723" priority="5942" stopIfTrue="1" operator="equal">
      <formula>"Napkin Hs"</formula>
    </cfRule>
  </conditionalFormatting>
  <conditionalFormatting sqref="C51">
    <cfRule type="cellIs" dxfId="7722" priority="5939" stopIfTrue="1" operator="equal">
      <formula>"Towel"</formula>
    </cfRule>
    <cfRule type="cellIs" dxfId="7721" priority="5940" stopIfTrue="1" operator="equal">
      <formula>"Napkin Hs"</formula>
    </cfRule>
  </conditionalFormatting>
  <conditionalFormatting sqref="C51">
    <cfRule type="cellIs" dxfId="7720" priority="5941" stopIfTrue="1" operator="equal">
      <formula>"Towel"</formula>
    </cfRule>
  </conditionalFormatting>
  <conditionalFormatting sqref="B56:C56">
    <cfRule type="cellIs" dxfId="7719" priority="5937" stopIfTrue="1" operator="equal">
      <formula>"Towel"</formula>
    </cfRule>
    <cfRule type="cellIs" dxfId="7718" priority="5938" stopIfTrue="1" operator="equal">
      <formula>"Napkin Hs"</formula>
    </cfRule>
  </conditionalFormatting>
  <conditionalFormatting sqref="C56">
    <cfRule type="cellIs" dxfId="7717" priority="5933" stopIfTrue="1" operator="equal">
      <formula>"Towel"</formula>
    </cfRule>
    <cfRule type="cellIs" dxfId="7716" priority="5934" stopIfTrue="1" operator="equal">
      <formula>"Napkin Hs"</formula>
    </cfRule>
  </conditionalFormatting>
  <conditionalFormatting sqref="C56">
    <cfRule type="cellIs" dxfId="7715" priority="5935" stopIfTrue="1" operator="equal">
      <formula>"Towel"</formula>
    </cfRule>
    <cfRule type="cellIs" dxfId="7714" priority="5936" stopIfTrue="1" operator="equal">
      <formula>"Napkin Hs"</formula>
    </cfRule>
  </conditionalFormatting>
  <conditionalFormatting sqref="B54:C54 C55">
    <cfRule type="cellIs" dxfId="7713" priority="5929" stopIfTrue="1" operator="equal">
      <formula>"Towel"</formula>
    </cfRule>
    <cfRule type="cellIs" dxfId="7712" priority="5930" stopIfTrue="1" operator="equal">
      <formula>"Napkin Hs"</formula>
    </cfRule>
  </conditionalFormatting>
  <conditionalFormatting sqref="B55">
    <cfRule type="cellIs" dxfId="7711" priority="5931" stopIfTrue="1" operator="equal">
      <formula>"Towel"</formula>
    </cfRule>
    <cfRule type="cellIs" dxfId="7710" priority="5932" stopIfTrue="1" operator="equal">
      <formula>"Napkin Hs"</formula>
    </cfRule>
  </conditionalFormatting>
  <conditionalFormatting sqref="C54:C55">
    <cfRule type="cellIs" dxfId="7709" priority="5925" stopIfTrue="1" operator="equal">
      <formula>"Towel"</formula>
    </cfRule>
    <cfRule type="cellIs" dxfId="7708" priority="5926" stopIfTrue="1" operator="equal">
      <formula>"Napkin Hs"</formula>
    </cfRule>
  </conditionalFormatting>
  <conditionalFormatting sqref="C54:C55">
    <cfRule type="cellIs" dxfId="7707" priority="5927" stopIfTrue="1" operator="equal">
      <formula>"Towel"</formula>
    </cfRule>
    <cfRule type="cellIs" dxfId="7706" priority="5928" stopIfTrue="1" operator="equal">
      <formula>"Napkin Hs"</formula>
    </cfRule>
  </conditionalFormatting>
  <conditionalFormatting sqref="B56:C56">
    <cfRule type="cellIs" dxfId="7705" priority="5923" stopIfTrue="1" operator="equal">
      <formula>"Towel"</formula>
    </cfRule>
    <cfRule type="cellIs" dxfId="7704" priority="5924" stopIfTrue="1" operator="equal">
      <formula>"Napkin Hs"</formula>
    </cfRule>
  </conditionalFormatting>
  <conditionalFormatting sqref="C56">
    <cfRule type="cellIs" dxfId="7703" priority="5922" stopIfTrue="1" operator="equal">
      <formula>"Napkin Hs"</formula>
    </cfRule>
  </conditionalFormatting>
  <conditionalFormatting sqref="C56">
    <cfRule type="cellIs" dxfId="7702" priority="5919" stopIfTrue="1" operator="equal">
      <formula>"Towel"</formula>
    </cfRule>
    <cfRule type="cellIs" dxfId="7701" priority="5920" stopIfTrue="1" operator="equal">
      <formula>"Napkin Hs"</formula>
    </cfRule>
  </conditionalFormatting>
  <conditionalFormatting sqref="C56">
    <cfRule type="cellIs" dxfId="7700" priority="5921" stopIfTrue="1" operator="equal">
      <formula>"Towel"</formula>
    </cfRule>
  </conditionalFormatting>
  <conditionalFormatting sqref="B54:C55">
    <cfRule type="cellIs" dxfId="7699" priority="5917" stopIfTrue="1" operator="equal">
      <formula>"Towel"</formula>
    </cfRule>
    <cfRule type="cellIs" dxfId="7698" priority="5918" stopIfTrue="1" operator="equal">
      <formula>"Napkin Hs"</formula>
    </cfRule>
  </conditionalFormatting>
  <conditionalFormatting sqref="C54:C55">
    <cfRule type="cellIs" dxfId="7697" priority="5916" stopIfTrue="1" operator="equal">
      <formula>"Napkin Hs"</formula>
    </cfRule>
  </conditionalFormatting>
  <conditionalFormatting sqref="C54:C55">
    <cfRule type="cellIs" dxfId="7696" priority="5913" stopIfTrue="1" operator="equal">
      <formula>"Towel"</formula>
    </cfRule>
    <cfRule type="cellIs" dxfId="7695" priority="5914" stopIfTrue="1" operator="equal">
      <formula>"Napkin Hs"</formula>
    </cfRule>
  </conditionalFormatting>
  <conditionalFormatting sqref="C54:C55">
    <cfRule type="cellIs" dxfId="7694" priority="5915" stopIfTrue="1" operator="equal">
      <formula>"Towel"</formula>
    </cfRule>
  </conditionalFormatting>
  <conditionalFormatting sqref="B54:C55">
    <cfRule type="cellIs" dxfId="7693" priority="5911" stopIfTrue="1" operator="equal">
      <formula>"Towel"</formula>
    </cfRule>
    <cfRule type="cellIs" dxfId="7692" priority="5912" stopIfTrue="1" operator="equal">
      <formula>"Napkin Hs"</formula>
    </cfRule>
  </conditionalFormatting>
  <conditionalFormatting sqref="C54:C55">
    <cfRule type="cellIs" dxfId="7691" priority="5909" stopIfTrue="1" operator="equal">
      <formula>"Towel"</formula>
    </cfRule>
    <cfRule type="cellIs" dxfId="7690" priority="5910" stopIfTrue="1" operator="equal">
      <formula>"Napkin Hs"</formula>
    </cfRule>
  </conditionalFormatting>
  <conditionalFormatting sqref="C54:C55">
    <cfRule type="cellIs" dxfId="7689" priority="5907" stopIfTrue="1" operator="equal">
      <formula>"Towel"</formula>
    </cfRule>
    <cfRule type="cellIs" dxfId="7688" priority="5908" stopIfTrue="1" operator="equal">
      <formula>"Napkin Hs"</formula>
    </cfRule>
  </conditionalFormatting>
  <conditionalFormatting sqref="B54:C55">
    <cfRule type="cellIs" dxfId="7687" priority="5905" stopIfTrue="1" operator="equal">
      <formula>"Towel"</formula>
    </cfRule>
    <cfRule type="cellIs" dxfId="7686" priority="5906" stopIfTrue="1" operator="equal">
      <formula>"Napkin Hs"</formula>
    </cfRule>
  </conditionalFormatting>
  <conditionalFormatting sqref="C54:C55">
    <cfRule type="cellIs" dxfId="7685" priority="5904" stopIfTrue="1" operator="equal">
      <formula>"Napkin Hs"</formula>
    </cfRule>
  </conditionalFormatting>
  <conditionalFormatting sqref="C54:C55">
    <cfRule type="cellIs" dxfId="7684" priority="5901" stopIfTrue="1" operator="equal">
      <formula>"Towel"</formula>
    </cfRule>
    <cfRule type="cellIs" dxfId="7683" priority="5902" stopIfTrue="1" operator="equal">
      <formula>"Napkin Hs"</formula>
    </cfRule>
  </conditionalFormatting>
  <conditionalFormatting sqref="C54:C55">
    <cfRule type="cellIs" dxfId="7682" priority="5903" stopIfTrue="1" operator="equal">
      <formula>"Towel"</formula>
    </cfRule>
  </conditionalFormatting>
  <conditionalFormatting sqref="B54:C55">
    <cfRule type="cellIs" dxfId="7681" priority="5899" stopIfTrue="1" operator="equal">
      <formula>"Towel"</formula>
    </cfRule>
    <cfRule type="cellIs" dxfId="7680" priority="5900" stopIfTrue="1" operator="equal">
      <formula>"Napkin Hs"</formula>
    </cfRule>
  </conditionalFormatting>
  <conditionalFormatting sqref="C54:C55">
    <cfRule type="cellIs" dxfId="7679" priority="5898" stopIfTrue="1" operator="equal">
      <formula>"Napkin Hs"</formula>
    </cfRule>
  </conditionalFormatting>
  <conditionalFormatting sqref="C54:C55">
    <cfRule type="cellIs" dxfId="7678" priority="5897" stopIfTrue="1" operator="equal">
      <formula>"Towel"</formula>
    </cfRule>
  </conditionalFormatting>
  <conditionalFormatting sqref="C54:C55">
    <cfRule type="cellIs" dxfId="7677" priority="5895" stopIfTrue="1" operator="equal">
      <formula>"Towel"</formula>
    </cfRule>
    <cfRule type="cellIs" dxfId="7676" priority="5896" stopIfTrue="1" operator="equal">
      <formula>"Napkin Hs"</formula>
    </cfRule>
  </conditionalFormatting>
  <conditionalFormatting sqref="B54:C55">
    <cfRule type="cellIs" dxfId="7675" priority="5893" stopIfTrue="1" operator="equal">
      <formula>"Towel"</formula>
    </cfRule>
    <cfRule type="cellIs" dxfId="7674" priority="5894" stopIfTrue="1" operator="equal">
      <formula>"Napkin Hs"</formula>
    </cfRule>
  </conditionalFormatting>
  <conditionalFormatting sqref="C54:C55">
    <cfRule type="cellIs" dxfId="7673" priority="5892" stopIfTrue="1" operator="equal">
      <formula>"Napkin Hs"</formula>
    </cfRule>
  </conditionalFormatting>
  <conditionalFormatting sqref="C54:C55">
    <cfRule type="cellIs" dxfId="7672" priority="5889" stopIfTrue="1" operator="equal">
      <formula>"Towel"</formula>
    </cfRule>
    <cfRule type="cellIs" dxfId="7671" priority="5890" stopIfTrue="1" operator="equal">
      <formula>"Napkin Hs"</formula>
    </cfRule>
  </conditionalFormatting>
  <conditionalFormatting sqref="C54:C55">
    <cfRule type="cellIs" dxfId="7670" priority="5891" stopIfTrue="1" operator="equal">
      <formula>"Towel"</formula>
    </cfRule>
  </conditionalFormatting>
  <conditionalFormatting sqref="B54:C55">
    <cfRule type="cellIs" dxfId="7669" priority="5887" stopIfTrue="1" operator="equal">
      <formula>"Towel"</formula>
    </cfRule>
    <cfRule type="cellIs" dxfId="7668" priority="5888" stopIfTrue="1" operator="equal">
      <formula>"Napkin Hs"</formula>
    </cfRule>
  </conditionalFormatting>
  <conditionalFormatting sqref="C54:C55">
    <cfRule type="cellIs" dxfId="7667" priority="5886" stopIfTrue="1" operator="equal">
      <formula>"Napkin Hs"</formula>
    </cfRule>
  </conditionalFormatting>
  <conditionalFormatting sqref="C54:C55">
    <cfRule type="cellIs" dxfId="7666" priority="5883" stopIfTrue="1" operator="equal">
      <formula>"Towel"</formula>
    </cfRule>
    <cfRule type="cellIs" dxfId="7665" priority="5884" stopIfTrue="1" operator="equal">
      <formula>"Napkin Hs"</formula>
    </cfRule>
  </conditionalFormatting>
  <conditionalFormatting sqref="C54:C55">
    <cfRule type="cellIs" dxfId="7664" priority="5885" stopIfTrue="1" operator="equal">
      <formula>"Towel"</formula>
    </cfRule>
  </conditionalFormatting>
  <conditionalFormatting sqref="B54:C55">
    <cfRule type="cellIs" dxfId="7663" priority="5881" stopIfTrue="1" operator="equal">
      <formula>"Towel"</formula>
    </cfRule>
    <cfRule type="cellIs" dxfId="7662" priority="5882" stopIfTrue="1" operator="equal">
      <formula>"Napkin Hs"</formula>
    </cfRule>
  </conditionalFormatting>
  <conditionalFormatting sqref="C54:C55">
    <cfRule type="cellIs" dxfId="7661" priority="5880" stopIfTrue="1" operator="equal">
      <formula>"Napkin Hs"</formula>
    </cfRule>
  </conditionalFormatting>
  <conditionalFormatting sqref="C54:C55">
    <cfRule type="cellIs" dxfId="7660" priority="5877" stopIfTrue="1" operator="equal">
      <formula>"Towel"</formula>
    </cfRule>
    <cfRule type="cellIs" dxfId="7659" priority="5878" stopIfTrue="1" operator="equal">
      <formula>"Napkin Hs"</formula>
    </cfRule>
  </conditionalFormatting>
  <conditionalFormatting sqref="C54:C55">
    <cfRule type="cellIs" dxfId="7658" priority="5879" stopIfTrue="1" operator="equal">
      <formula>"Towel"</formula>
    </cfRule>
  </conditionalFormatting>
  <conditionalFormatting sqref="B54:C55">
    <cfRule type="cellIs" dxfId="7657" priority="5875" stopIfTrue="1" operator="equal">
      <formula>"Towel"</formula>
    </cfRule>
    <cfRule type="cellIs" dxfId="7656" priority="5876" stopIfTrue="1" operator="equal">
      <formula>"Napkin Hs"</formula>
    </cfRule>
  </conditionalFormatting>
  <conditionalFormatting sqref="C54:C55">
    <cfRule type="cellIs" dxfId="7655" priority="5874" stopIfTrue="1" operator="equal">
      <formula>"Napkin Hs"</formula>
    </cfRule>
  </conditionalFormatting>
  <conditionalFormatting sqref="C54:C55">
    <cfRule type="cellIs" dxfId="7654" priority="5871" stopIfTrue="1" operator="equal">
      <formula>"Towel"</formula>
    </cfRule>
    <cfRule type="cellIs" dxfId="7653" priority="5872" stopIfTrue="1" operator="equal">
      <formula>"Napkin Hs"</formula>
    </cfRule>
  </conditionalFormatting>
  <conditionalFormatting sqref="C54:C55">
    <cfRule type="cellIs" dxfId="7652" priority="5873" stopIfTrue="1" operator="equal">
      <formula>"Towel"</formula>
    </cfRule>
  </conditionalFormatting>
  <conditionalFormatting sqref="B54:C55">
    <cfRule type="cellIs" dxfId="7651" priority="5869" stopIfTrue="1" operator="equal">
      <formula>"Towel"</formula>
    </cfRule>
    <cfRule type="cellIs" dxfId="7650" priority="5870" stopIfTrue="1" operator="equal">
      <formula>"Napkin Hs"</formula>
    </cfRule>
  </conditionalFormatting>
  <conditionalFormatting sqref="C54:C55">
    <cfRule type="cellIs" dxfId="7649" priority="5868" stopIfTrue="1" operator="equal">
      <formula>"Napkin Hs"</formula>
    </cfRule>
  </conditionalFormatting>
  <conditionalFormatting sqref="C54:C55">
    <cfRule type="cellIs" dxfId="7648" priority="5865" stopIfTrue="1" operator="equal">
      <formula>"Towel"</formula>
    </cfRule>
    <cfRule type="cellIs" dxfId="7647" priority="5866" stopIfTrue="1" operator="equal">
      <formula>"Napkin Hs"</formula>
    </cfRule>
  </conditionalFormatting>
  <conditionalFormatting sqref="C54:C55">
    <cfRule type="cellIs" dxfId="7646" priority="5867" stopIfTrue="1" operator="equal">
      <formula>"Towel"</formula>
    </cfRule>
  </conditionalFormatting>
  <conditionalFormatting sqref="B54:C55">
    <cfRule type="cellIs" dxfId="7645" priority="5863" stopIfTrue="1" operator="equal">
      <formula>"Towel"</formula>
    </cfRule>
    <cfRule type="cellIs" dxfId="7644" priority="5864" stopIfTrue="1" operator="equal">
      <formula>"Napkin Hs"</formula>
    </cfRule>
  </conditionalFormatting>
  <conditionalFormatting sqref="C54:C55">
    <cfRule type="cellIs" dxfId="7643" priority="5862" stopIfTrue="1" operator="equal">
      <formula>"Napkin Hs"</formula>
    </cfRule>
  </conditionalFormatting>
  <conditionalFormatting sqref="C54:C55">
    <cfRule type="cellIs" dxfId="7642" priority="5859" stopIfTrue="1" operator="equal">
      <formula>"Towel"</formula>
    </cfRule>
    <cfRule type="cellIs" dxfId="7641" priority="5860" stopIfTrue="1" operator="equal">
      <formula>"Napkin Hs"</formula>
    </cfRule>
  </conditionalFormatting>
  <conditionalFormatting sqref="C54:C55">
    <cfRule type="cellIs" dxfId="7640" priority="5861" stopIfTrue="1" operator="equal">
      <formula>"Towel"</formula>
    </cfRule>
  </conditionalFormatting>
  <conditionalFormatting sqref="B54:C55">
    <cfRule type="cellIs" dxfId="7639" priority="5857" stopIfTrue="1" operator="equal">
      <formula>"Towel"</formula>
    </cfRule>
    <cfRule type="cellIs" dxfId="7638" priority="5858" stopIfTrue="1" operator="equal">
      <formula>"Napkin Hs"</formula>
    </cfRule>
  </conditionalFormatting>
  <conditionalFormatting sqref="C54:C55">
    <cfRule type="cellIs" dxfId="7637" priority="5856" stopIfTrue="1" operator="equal">
      <formula>"Napkin Hs"</formula>
    </cfRule>
  </conditionalFormatting>
  <conditionalFormatting sqref="C54:C55">
    <cfRule type="cellIs" dxfId="7636" priority="5853" stopIfTrue="1" operator="equal">
      <formula>"Towel"</formula>
    </cfRule>
    <cfRule type="cellIs" dxfId="7635" priority="5854" stopIfTrue="1" operator="equal">
      <formula>"Napkin Hs"</formula>
    </cfRule>
  </conditionalFormatting>
  <conditionalFormatting sqref="C54:C55">
    <cfRule type="cellIs" dxfId="7634" priority="5855" stopIfTrue="1" operator="equal">
      <formula>"Towel"</formula>
    </cfRule>
  </conditionalFormatting>
  <conditionalFormatting sqref="B54:C55">
    <cfRule type="cellIs" dxfId="7633" priority="5851" stopIfTrue="1" operator="equal">
      <formula>"Towel"</formula>
    </cfRule>
    <cfRule type="cellIs" dxfId="7632" priority="5852" stopIfTrue="1" operator="equal">
      <formula>"Napkin Hs"</formula>
    </cfRule>
  </conditionalFormatting>
  <conditionalFormatting sqref="C54:C55">
    <cfRule type="cellIs" dxfId="7631" priority="5850" stopIfTrue="1" operator="equal">
      <formula>"Napkin Hs"</formula>
    </cfRule>
  </conditionalFormatting>
  <conditionalFormatting sqref="C54:C55">
    <cfRule type="cellIs" dxfId="7630" priority="5847" stopIfTrue="1" operator="equal">
      <formula>"Towel"</formula>
    </cfRule>
    <cfRule type="cellIs" dxfId="7629" priority="5848" stopIfTrue="1" operator="equal">
      <formula>"Napkin Hs"</formula>
    </cfRule>
  </conditionalFormatting>
  <conditionalFormatting sqref="C54:C55">
    <cfRule type="cellIs" dxfId="7628" priority="5849" stopIfTrue="1" operator="equal">
      <formula>"Towel"</formula>
    </cfRule>
  </conditionalFormatting>
  <conditionalFormatting sqref="B54:C55">
    <cfRule type="cellIs" dxfId="7627" priority="5845" stopIfTrue="1" operator="equal">
      <formula>"Towel"</formula>
    </cfRule>
    <cfRule type="cellIs" dxfId="7626" priority="5846" stopIfTrue="1" operator="equal">
      <formula>"Napkin Hs"</formula>
    </cfRule>
  </conditionalFormatting>
  <conditionalFormatting sqref="C54:C55">
    <cfRule type="cellIs" dxfId="7625" priority="5844" stopIfTrue="1" operator="equal">
      <formula>"Napkin Hs"</formula>
    </cfRule>
  </conditionalFormatting>
  <conditionalFormatting sqref="C54:C55">
    <cfRule type="cellIs" dxfId="7624" priority="5841" stopIfTrue="1" operator="equal">
      <formula>"Towel"</formula>
    </cfRule>
    <cfRule type="cellIs" dxfId="7623" priority="5842" stopIfTrue="1" operator="equal">
      <formula>"Napkin Hs"</formula>
    </cfRule>
  </conditionalFormatting>
  <conditionalFormatting sqref="C54:C55">
    <cfRule type="cellIs" dxfId="7622" priority="5843" stopIfTrue="1" operator="equal">
      <formula>"Towel"</formula>
    </cfRule>
  </conditionalFormatting>
  <conditionalFormatting sqref="B54:C55">
    <cfRule type="cellIs" dxfId="7621" priority="5839" stopIfTrue="1" operator="equal">
      <formula>"Towel"</formula>
    </cfRule>
    <cfRule type="cellIs" dxfId="7620" priority="5840" stopIfTrue="1" operator="equal">
      <formula>"Napkin Hs"</formula>
    </cfRule>
  </conditionalFormatting>
  <conditionalFormatting sqref="C54:C55">
    <cfRule type="cellIs" dxfId="7619" priority="5838" stopIfTrue="1" operator="equal">
      <formula>"Napkin Hs"</formula>
    </cfRule>
  </conditionalFormatting>
  <conditionalFormatting sqref="C54:C55">
    <cfRule type="cellIs" dxfId="7618" priority="5835" stopIfTrue="1" operator="equal">
      <formula>"Towel"</formula>
    </cfRule>
    <cfRule type="cellIs" dxfId="7617" priority="5836" stopIfTrue="1" operator="equal">
      <formula>"Napkin Hs"</formula>
    </cfRule>
  </conditionalFormatting>
  <conditionalFormatting sqref="C54:C55">
    <cfRule type="cellIs" dxfId="7616" priority="5837" stopIfTrue="1" operator="equal">
      <formula>"Towel"</formula>
    </cfRule>
  </conditionalFormatting>
  <conditionalFormatting sqref="B54:C55">
    <cfRule type="cellIs" dxfId="7615" priority="5833" stopIfTrue="1" operator="equal">
      <formula>"Towel"</formula>
    </cfRule>
    <cfRule type="cellIs" dxfId="7614" priority="5834" stopIfTrue="1" operator="equal">
      <formula>"Napkin Hs"</formula>
    </cfRule>
  </conditionalFormatting>
  <conditionalFormatting sqref="C54:C55">
    <cfRule type="cellIs" dxfId="7613" priority="5832" stopIfTrue="1" operator="equal">
      <formula>"Napkin Hs"</formula>
    </cfRule>
  </conditionalFormatting>
  <conditionalFormatting sqref="C54:C55">
    <cfRule type="cellIs" dxfId="7612" priority="5831" stopIfTrue="1" operator="equal">
      <formula>"Towel"</formula>
    </cfRule>
  </conditionalFormatting>
  <conditionalFormatting sqref="C54:C55">
    <cfRule type="cellIs" dxfId="7611" priority="5829" stopIfTrue="1" operator="equal">
      <formula>"Towel"</formula>
    </cfRule>
    <cfRule type="cellIs" dxfId="7610" priority="5830" stopIfTrue="1" operator="equal">
      <formula>"Napkin Hs"</formula>
    </cfRule>
  </conditionalFormatting>
  <conditionalFormatting sqref="B54:C55">
    <cfRule type="cellIs" dxfId="7609" priority="5827" stopIfTrue="1" operator="equal">
      <formula>"Towel"</formula>
    </cfRule>
    <cfRule type="cellIs" dxfId="7608" priority="5828" stopIfTrue="1" operator="equal">
      <formula>"Napkin Hs"</formula>
    </cfRule>
  </conditionalFormatting>
  <conditionalFormatting sqref="C54:C55">
    <cfRule type="cellIs" dxfId="7607" priority="5826" stopIfTrue="1" operator="equal">
      <formula>"Napkin Hs"</formula>
    </cfRule>
  </conditionalFormatting>
  <conditionalFormatting sqref="C54:C55">
    <cfRule type="cellIs" dxfId="7606" priority="5823" stopIfTrue="1" operator="equal">
      <formula>"Towel"</formula>
    </cfRule>
    <cfRule type="cellIs" dxfId="7605" priority="5824" stopIfTrue="1" operator="equal">
      <formula>"Napkin Hs"</formula>
    </cfRule>
  </conditionalFormatting>
  <conditionalFormatting sqref="C54:C55">
    <cfRule type="cellIs" dxfId="7604" priority="5825" stopIfTrue="1" operator="equal">
      <formula>"Towel"</formula>
    </cfRule>
  </conditionalFormatting>
  <conditionalFormatting sqref="B54:C55">
    <cfRule type="cellIs" dxfId="7603" priority="5821" stopIfTrue="1" operator="equal">
      <formula>"Towel"</formula>
    </cfRule>
    <cfRule type="cellIs" dxfId="7602" priority="5822" stopIfTrue="1" operator="equal">
      <formula>"Napkin Hs"</formula>
    </cfRule>
  </conditionalFormatting>
  <conditionalFormatting sqref="C54:C55">
    <cfRule type="cellIs" dxfId="7601" priority="5820" stopIfTrue="1" operator="equal">
      <formula>"Napkin Hs"</formula>
    </cfRule>
  </conditionalFormatting>
  <conditionalFormatting sqref="C54:C55">
    <cfRule type="cellIs" dxfId="7600" priority="5817" stopIfTrue="1" operator="equal">
      <formula>"Towel"</formula>
    </cfRule>
    <cfRule type="cellIs" dxfId="7599" priority="5818" stopIfTrue="1" operator="equal">
      <formula>"Napkin Hs"</formula>
    </cfRule>
  </conditionalFormatting>
  <conditionalFormatting sqref="C54:C55">
    <cfRule type="cellIs" dxfId="7598" priority="5819" stopIfTrue="1" operator="equal">
      <formula>"Towel"</formula>
    </cfRule>
  </conditionalFormatting>
  <conditionalFormatting sqref="B54:C55">
    <cfRule type="cellIs" dxfId="7597" priority="5815" stopIfTrue="1" operator="equal">
      <formula>"Towel"</formula>
    </cfRule>
    <cfRule type="cellIs" dxfId="7596" priority="5816" stopIfTrue="1" operator="equal">
      <formula>"Napkin Hs"</formula>
    </cfRule>
  </conditionalFormatting>
  <conditionalFormatting sqref="C54:C55">
    <cfRule type="cellIs" dxfId="7595" priority="5814" stopIfTrue="1" operator="equal">
      <formula>"Napkin Hs"</formula>
    </cfRule>
  </conditionalFormatting>
  <conditionalFormatting sqref="C54:C55">
    <cfRule type="cellIs" dxfId="7594" priority="5811" stopIfTrue="1" operator="equal">
      <formula>"Towel"</formula>
    </cfRule>
    <cfRule type="cellIs" dxfId="7593" priority="5812" stopIfTrue="1" operator="equal">
      <formula>"Napkin Hs"</formula>
    </cfRule>
  </conditionalFormatting>
  <conditionalFormatting sqref="C54:C55">
    <cfRule type="cellIs" dxfId="7592" priority="5813" stopIfTrue="1" operator="equal">
      <formula>"Towel"</formula>
    </cfRule>
  </conditionalFormatting>
  <conditionalFormatting sqref="B54:C55">
    <cfRule type="cellIs" dxfId="7591" priority="5809" stopIfTrue="1" operator="equal">
      <formula>"Towel"</formula>
    </cfRule>
    <cfRule type="cellIs" dxfId="7590" priority="5810" stopIfTrue="1" operator="equal">
      <formula>"Napkin Hs"</formula>
    </cfRule>
  </conditionalFormatting>
  <conditionalFormatting sqref="C54:C55">
    <cfRule type="cellIs" dxfId="7589" priority="5808" stopIfTrue="1" operator="equal">
      <formula>"Napkin Hs"</formula>
    </cfRule>
  </conditionalFormatting>
  <conditionalFormatting sqref="C54:C55">
    <cfRule type="cellIs" dxfId="7588" priority="5805" stopIfTrue="1" operator="equal">
      <formula>"Towel"</formula>
    </cfRule>
    <cfRule type="cellIs" dxfId="7587" priority="5806" stopIfTrue="1" operator="equal">
      <formula>"Napkin Hs"</formula>
    </cfRule>
  </conditionalFormatting>
  <conditionalFormatting sqref="C54:C55">
    <cfRule type="cellIs" dxfId="7586" priority="5807" stopIfTrue="1" operator="equal">
      <formula>"Towel"</formula>
    </cfRule>
  </conditionalFormatting>
  <conditionalFormatting sqref="B54:C55">
    <cfRule type="cellIs" dxfId="7585" priority="5803" stopIfTrue="1" operator="equal">
      <formula>"Towel"</formula>
    </cfRule>
    <cfRule type="cellIs" dxfId="7584" priority="5804" stopIfTrue="1" operator="equal">
      <formula>"Napkin Hs"</formula>
    </cfRule>
  </conditionalFormatting>
  <conditionalFormatting sqref="C54:C55">
    <cfRule type="cellIs" dxfId="7583" priority="5802" stopIfTrue="1" operator="equal">
      <formula>"Napkin Hs"</formula>
    </cfRule>
  </conditionalFormatting>
  <conditionalFormatting sqref="C54:C55">
    <cfRule type="cellIs" dxfId="7582" priority="5799" stopIfTrue="1" operator="equal">
      <formula>"Towel"</formula>
    </cfRule>
    <cfRule type="cellIs" dxfId="7581" priority="5800" stopIfTrue="1" operator="equal">
      <formula>"Napkin Hs"</formula>
    </cfRule>
  </conditionalFormatting>
  <conditionalFormatting sqref="C54:C55">
    <cfRule type="cellIs" dxfId="7580" priority="5801" stopIfTrue="1" operator="equal">
      <formula>"Towel"</formula>
    </cfRule>
  </conditionalFormatting>
  <conditionalFormatting sqref="B54:C55">
    <cfRule type="cellIs" dxfId="7579" priority="5797" stopIfTrue="1" operator="equal">
      <formula>"Towel"</formula>
    </cfRule>
    <cfRule type="cellIs" dxfId="7578" priority="5798" stopIfTrue="1" operator="equal">
      <formula>"Napkin Hs"</formula>
    </cfRule>
  </conditionalFormatting>
  <conditionalFormatting sqref="C54:C55">
    <cfRule type="cellIs" dxfId="7577" priority="5796" stopIfTrue="1" operator="equal">
      <formula>"Napkin Hs"</formula>
    </cfRule>
  </conditionalFormatting>
  <conditionalFormatting sqref="C54:C55">
    <cfRule type="cellIs" dxfId="7576" priority="5793" stopIfTrue="1" operator="equal">
      <formula>"Towel"</formula>
    </cfRule>
    <cfRule type="cellIs" dxfId="7575" priority="5794" stopIfTrue="1" operator="equal">
      <formula>"Napkin Hs"</formula>
    </cfRule>
  </conditionalFormatting>
  <conditionalFormatting sqref="C54:C55">
    <cfRule type="cellIs" dxfId="7574" priority="5795" stopIfTrue="1" operator="equal">
      <formula>"Towel"</formula>
    </cfRule>
  </conditionalFormatting>
  <conditionalFormatting sqref="B54:C55">
    <cfRule type="cellIs" dxfId="7573" priority="5791" stopIfTrue="1" operator="equal">
      <formula>"Towel"</formula>
    </cfRule>
    <cfRule type="cellIs" dxfId="7572" priority="5792" stopIfTrue="1" operator="equal">
      <formula>"Napkin Hs"</formula>
    </cfRule>
  </conditionalFormatting>
  <conditionalFormatting sqref="C54:C55">
    <cfRule type="cellIs" dxfId="7571" priority="5790" stopIfTrue="1" operator="equal">
      <formula>"Napkin Hs"</formula>
    </cfRule>
  </conditionalFormatting>
  <conditionalFormatting sqref="C54:C55">
    <cfRule type="cellIs" dxfId="7570" priority="5787" stopIfTrue="1" operator="equal">
      <formula>"Towel"</formula>
    </cfRule>
    <cfRule type="cellIs" dxfId="7569" priority="5788" stopIfTrue="1" operator="equal">
      <formula>"Napkin Hs"</formula>
    </cfRule>
  </conditionalFormatting>
  <conditionalFormatting sqref="C54:C55">
    <cfRule type="cellIs" dxfId="7568" priority="5789" stopIfTrue="1" operator="equal">
      <formula>"Towel"</formula>
    </cfRule>
  </conditionalFormatting>
  <conditionalFormatting sqref="B54:C55">
    <cfRule type="cellIs" dxfId="7567" priority="5785" stopIfTrue="1" operator="equal">
      <formula>"Towel"</formula>
    </cfRule>
    <cfRule type="cellIs" dxfId="7566" priority="5786" stopIfTrue="1" operator="equal">
      <formula>"Napkin Hs"</formula>
    </cfRule>
  </conditionalFormatting>
  <conditionalFormatting sqref="C54:C55">
    <cfRule type="cellIs" dxfId="7565" priority="5784" stopIfTrue="1" operator="equal">
      <formula>"Napkin Hs"</formula>
    </cfRule>
  </conditionalFormatting>
  <conditionalFormatting sqref="C54:C55">
    <cfRule type="cellIs" dxfId="7564" priority="5781" stopIfTrue="1" operator="equal">
      <formula>"Towel"</formula>
    </cfRule>
    <cfRule type="cellIs" dxfId="7563" priority="5782" stopIfTrue="1" operator="equal">
      <formula>"Napkin Hs"</formula>
    </cfRule>
  </conditionalFormatting>
  <conditionalFormatting sqref="C54:C55">
    <cfRule type="cellIs" dxfId="7562" priority="5783" stopIfTrue="1" operator="equal">
      <formula>"Towel"</formula>
    </cfRule>
  </conditionalFormatting>
  <conditionalFormatting sqref="B54:C55">
    <cfRule type="cellIs" dxfId="7561" priority="5779" stopIfTrue="1" operator="equal">
      <formula>"Towel"</formula>
    </cfRule>
    <cfRule type="cellIs" dxfId="7560" priority="5780" stopIfTrue="1" operator="equal">
      <formula>"Napkin Hs"</formula>
    </cfRule>
  </conditionalFormatting>
  <conditionalFormatting sqref="C54:C55">
    <cfRule type="cellIs" dxfId="7559" priority="5778" stopIfTrue="1" operator="equal">
      <formula>"Napkin Hs"</formula>
    </cfRule>
  </conditionalFormatting>
  <conditionalFormatting sqref="C54:C55">
    <cfRule type="cellIs" dxfId="7558" priority="5775" stopIfTrue="1" operator="equal">
      <formula>"Towel"</formula>
    </cfRule>
    <cfRule type="cellIs" dxfId="7557" priority="5776" stopIfTrue="1" operator="equal">
      <formula>"Napkin Hs"</formula>
    </cfRule>
  </conditionalFormatting>
  <conditionalFormatting sqref="C54:C55">
    <cfRule type="cellIs" dxfId="7556" priority="5777" stopIfTrue="1" operator="equal">
      <formula>"Towel"</formula>
    </cfRule>
  </conditionalFormatting>
  <conditionalFormatting sqref="B53:C53">
    <cfRule type="cellIs" dxfId="7555" priority="5773" stopIfTrue="1" operator="equal">
      <formula>"Towel"</formula>
    </cfRule>
    <cfRule type="cellIs" dxfId="7554" priority="5774" stopIfTrue="1" operator="equal">
      <formula>"Napkin Hs"</formula>
    </cfRule>
  </conditionalFormatting>
  <conditionalFormatting sqref="C53">
    <cfRule type="cellIs" dxfId="7553" priority="5769" stopIfTrue="1" operator="equal">
      <formula>"Towel"</formula>
    </cfRule>
    <cfRule type="cellIs" dxfId="7552" priority="5770" stopIfTrue="1" operator="equal">
      <formula>"Napkin Hs"</formula>
    </cfRule>
  </conditionalFormatting>
  <conditionalFormatting sqref="C53">
    <cfRule type="cellIs" dxfId="7551" priority="5771" stopIfTrue="1" operator="equal">
      <formula>"Towel"</formula>
    </cfRule>
    <cfRule type="cellIs" dxfId="7550" priority="5772" stopIfTrue="1" operator="equal">
      <formula>"Napkin Hs"</formula>
    </cfRule>
  </conditionalFormatting>
  <conditionalFormatting sqref="B53:C53">
    <cfRule type="cellIs" dxfId="7549" priority="5767" stopIfTrue="1" operator="equal">
      <formula>"Towel"</formula>
    </cfRule>
    <cfRule type="cellIs" dxfId="7548" priority="5768" stopIfTrue="1" operator="equal">
      <formula>"Napkin Hs"</formula>
    </cfRule>
  </conditionalFormatting>
  <conditionalFormatting sqref="C53">
    <cfRule type="cellIs" dxfId="7547" priority="5766" stopIfTrue="1" operator="equal">
      <formula>"Napkin Hs"</formula>
    </cfRule>
  </conditionalFormatting>
  <conditionalFormatting sqref="C53">
    <cfRule type="cellIs" dxfId="7546" priority="5763" stopIfTrue="1" operator="equal">
      <formula>"Towel"</formula>
    </cfRule>
    <cfRule type="cellIs" dxfId="7545" priority="5764" stopIfTrue="1" operator="equal">
      <formula>"Napkin Hs"</formula>
    </cfRule>
  </conditionalFormatting>
  <conditionalFormatting sqref="C53">
    <cfRule type="cellIs" dxfId="7544" priority="5765" stopIfTrue="1" operator="equal">
      <formula>"Towel"</formula>
    </cfRule>
  </conditionalFormatting>
  <conditionalFormatting sqref="B53:C53">
    <cfRule type="cellIs" dxfId="7543" priority="5761" stopIfTrue="1" operator="equal">
      <formula>"Towel"</formula>
    </cfRule>
    <cfRule type="cellIs" dxfId="7542" priority="5762" stopIfTrue="1" operator="equal">
      <formula>"Napkin Hs"</formula>
    </cfRule>
  </conditionalFormatting>
  <conditionalFormatting sqref="C53">
    <cfRule type="cellIs" dxfId="7541" priority="5759" stopIfTrue="1" operator="equal">
      <formula>"Towel"</formula>
    </cfRule>
    <cfRule type="cellIs" dxfId="7540" priority="5760" stopIfTrue="1" operator="equal">
      <formula>"Napkin Hs"</formula>
    </cfRule>
  </conditionalFormatting>
  <conditionalFormatting sqref="C53">
    <cfRule type="cellIs" dxfId="7539" priority="5757" stopIfTrue="1" operator="equal">
      <formula>"Towel"</formula>
    </cfRule>
    <cfRule type="cellIs" dxfId="7538" priority="5758" stopIfTrue="1" operator="equal">
      <formula>"Napkin Hs"</formula>
    </cfRule>
  </conditionalFormatting>
  <conditionalFormatting sqref="B53:C53">
    <cfRule type="cellIs" dxfId="7537" priority="5755" stopIfTrue="1" operator="equal">
      <formula>"Towel"</formula>
    </cfRule>
    <cfRule type="cellIs" dxfId="7536" priority="5756" stopIfTrue="1" operator="equal">
      <formula>"Napkin Hs"</formula>
    </cfRule>
  </conditionalFormatting>
  <conditionalFormatting sqref="C53">
    <cfRule type="cellIs" dxfId="7535" priority="5754" stopIfTrue="1" operator="equal">
      <formula>"Napkin Hs"</formula>
    </cfRule>
  </conditionalFormatting>
  <conditionalFormatting sqref="C53">
    <cfRule type="cellIs" dxfId="7534" priority="5751" stopIfTrue="1" operator="equal">
      <formula>"Towel"</formula>
    </cfRule>
    <cfRule type="cellIs" dxfId="7533" priority="5752" stopIfTrue="1" operator="equal">
      <formula>"Napkin Hs"</formula>
    </cfRule>
  </conditionalFormatting>
  <conditionalFormatting sqref="C53">
    <cfRule type="cellIs" dxfId="7532" priority="5753" stopIfTrue="1" operator="equal">
      <formula>"Towel"</formula>
    </cfRule>
  </conditionalFormatting>
  <conditionalFormatting sqref="B53:C53">
    <cfRule type="cellIs" dxfId="7531" priority="5749" stopIfTrue="1" operator="equal">
      <formula>"Towel"</formula>
    </cfRule>
    <cfRule type="cellIs" dxfId="7530" priority="5750" stopIfTrue="1" operator="equal">
      <formula>"Napkin Hs"</formula>
    </cfRule>
  </conditionalFormatting>
  <conditionalFormatting sqref="C53">
    <cfRule type="cellIs" dxfId="7529" priority="5748" stopIfTrue="1" operator="equal">
      <formula>"Napkin Hs"</formula>
    </cfRule>
  </conditionalFormatting>
  <conditionalFormatting sqref="C53">
    <cfRule type="cellIs" dxfId="7528" priority="5747" stopIfTrue="1" operator="equal">
      <formula>"Towel"</formula>
    </cfRule>
  </conditionalFormatting>
  <conditionalFormatting sqref="C53">
    <cfRule type="cellIs" dxfId="7527" priority="5745" stopIfTrue="1" operator="equal">
      <formula>"Towel"</formula>
    </cfRule>
    <cfRule type="cellIs" dxfId="7526" priority="5746" stopIfTrue="1" operator="equal">
      <formula>"Napkin Hs"</formula>
    </cfRule>
  </conditionalFormatting>
  <conditionalFormatting sqref="B53:C53">
    <cfRule type="cellIs" dxfId="7525" priority="5743" stopIfTrue="1" operator="equal">
      <formula>"Towel"</formula>
    </cfRule>
    <cfRule type="cellIs" dxfId="7524" priority="5744" stopIfTrue="1" operator="equal">
      <formula>"Napkin Hs"</formula>
    </cfRule>
  </conditionalFormatting>
  <conditionalFormatting sqref="C53">
    <cfRule type="cellIs" dxfId="7523" priority="5742" stopIfTrue="1" operator="equal">
      <formula>"Napkin Hs"</formula>
    </cfRule>
  </conditionalFormatting>
  <conditionalFormatting sqref="C53">
    <cfRule type="cellIs" dxfId="7522" priority="5739" stopIfTrue="1" operator="equal">
      <formula>"Towel"</formula>
    </cfRule>
    <cfRule type="cellIs" dxfId="7521" priority="5740" stopIfTrue="1" operator="equal">
      <formula>"Napkin Hs"</formula>
    </cfRule>
  </conditionalFormatting>
  <conditionalFormatting sqref="C53">
    <cfRule type="cellIs" dxfId="7520" priority="5741" stopIfTrue="1" operator="equal">
      <formula>"Towel"</formula>
    </cfRule>
  </conditionalFormatting>
  <conditionalFormatting sqref="B53:C53">
    <cfRule type="cellIs" dxfId="7519" priority="5737" stopIfTrue="1" operator="equal">
      <formula>"Towel"</formula>
    </cfRule>
    <cfRule type="cellIs" dxfId="7518" priority="5738" stopIfTrue="1" operator="equal">
      <formula>"Napkin Hs"</formula>
    </cfRule>
  </conditionalFormatting>
  <conditionalFormatting sqref="C53">
    <cfRule type="cellIs" dxfId="7517" priority="5736" stopIfTrue="1" operator="equal">
      <formula>"Napkin Hs"</formula>
    </cfRule>
  </conditionalFormatting>
  <conditionalFormatting sqref="C53">
    <cfRule type="cellIs" dxfId="7516" priority="5733" stopIfTrue="1" operator="equal">
      <formula>"Towel"</formula>
    </cfRule>
    <cfRule type="cellIs" dxfId="7515" priority="5734" stopIfTrue="1" operator="equal">
      <formula>"Napkin Hs"</formula>
    </cfRule>
  </conditionalFormatting>
  <conditionalFormatting sqref="C53">
    <cfRule type="cellIs" dxfId="7514" priority="5735" stopIfTrue="1" operator="equal">
      <formula>"Towel"</formula>
    </cfRule>
  </conditionalFormatting>
  <conditionalFormatting sqref="B53:C53">
    <cfRule type="cellIs" dxfId="7513" priority="5731" stopIfTrue="1" operator="equal">
      <formula>"Towel"</formula>
    </cfRule>
    <cfRule type="cellIs" dxfId="7512" priority="5732" stopIfTrue="1" operator="equal">
      <formula>"Napkin Hs"</formula>
    </cfRule>
  </conditionalFormatting>
  <conditionalFormatting sqref="C53">
    <cfRule type="cellIs" dxfId="7511" priority="5730" stopIfTrue="1" operator="equal">
      <formula>"Napkin Hs"</formula>
    </cfRule>
  </conditionalFormatting>
  <conditionalFormatting sqref="C53">
    <cfRule type="cellIs" dxfId="7510" priority="5727" stopIfTrue="1" operator="equal">
      <formula>"Towel"</formula>
    </cfRule>
    <cfRule type="cellIs" dxfId="7509" priority="5728" stopIfTrue="1" operator="equal">
      <formula>"Napkin Hs"</formula>
    </cfRule>
  </conditionalFormatting>
  <conditionalFormatting sqref="C53">
    <cfRule type="cellIs" dxfId="7508" priority="5729" stopIfTrue="1" operator="equal">
      <formula>"Towel"</formula>
    </cfRule>
  </conditionalFormatting>
  <conditionalFormatting sqref="B53:C53">
    <cfRule type="cellIs" dxfId="7507" priority="5725" stopIfTrue="1" operator="equal">
      <formula>"Towel"</formula>
    </cfRule>
    <cfRule type="cellIs" dxfId="7506" priority="5726" stopIfTrue="1" operator="equal">
      <formula>"Napkin Hs"</formula>
    </cfRule>
  </conditionalFormatting>
  <conditionalFormatting sqref="C53">
    <cfRule type="cellIs" dxfId="7505" priority="5724" stopIfTrue="1" operator="equal">
      <formula>"Napkin Hs"</formula>
    </cfRule>
  </conditionalFormatting>
  <conditionalFormatting sqref="C53">
    <cfRule type="cellIs" dxfId="7504" priority="5721" stopIfTrue="1" operator="equal">
      <formula>"Towel"</formula>
    </cfRule>
    <cfRule type="cellIs" dxfId="7503" priority="5722" stopIfTrue="1" operator="equal">
      <formula>"Napkin Hs"</formula>
    </cfRule>
  </conditionalFormatting>
  <conditionalFormatting sqref="C53">
    <cfRule type="cellIs" dxfId="7502" priority="5723" stopIfTrue="1" operator="equal">
      <formula>"Towel"</formula>
    </cfRule>
  </conditionalFormatting>
  <conditionalFormatting sqref="B53:C53">
    <cfRule type="cellIs" dxfId="7501" priority="5719" stopIfTrue="1" operator="equal">
      <formula>"Towel"</formula>
    </cfRule>
    <cfRule type="cellIs" dxfId="7500" priority="5720" stopIfTrue="1" operator="equal">
      <formula>"Napkin Hs"</formula>
    </cfRule>
  </conditionalFormatting>
  <conditionalFormatting sqref="C53">
    <cfRule type="cellIs" dxfId="7499" priority="5718" stopIfTrue="1" operator="equal">
      <formula>"Napkin Hs"</formula>
    </cfRule>
  </conditionalFormatting>
  <conditionalFormatting sqref="C53">
    <cfRule type="cellIs" dxfId="7498" priority="5715" stopIfTrue="1" operator="equal">
      <formula>"Towel"</formula>
    </cfRule>
    <cfRule type="cellIs" dxfId="7497" priority="5716" stopIfTrue="1" operator="equal">
      <formula>"Napkin Hs"</formula>
    </cfRule>
  </conditionalFormatting>
  <conditionalFormatting sqref="C53">
    <cfRule type="cellIs" dxfId="7496" priority="5717" stopIfTrue="1" operator="equal">
      <formula>"Towel"</formula>
    </cfRule>
  </conditionalFormatting>
  <conditionalFormatting sqref="B53:C53">
    <cfRule type="cellIs" dxfId="7495" priority="5713" stopIfTrue="1" operator="equal">
      <formula>"Towel"</formula>
    </cfRule>
    <cfRule type="cellIs" dxfId="7494" priority="5714" stopIfTrue="1" operator="equal">
      <formula>"Napkin Hs"</formula>
    </cfRule>
  </conditionalFormatting>
  <conditionalFormatting sqref="C53">
    <cfRule type="cellIs" dxfId="7493" priority="5712" stopIfTrue="1" operator="equal">
      <formula>"Napkin Hs"</formula>
    </cfRule>
  </conditionalFormatting>
  <conditionalFormatting sqref="C53">
    <cfRule type="cellIs" dxfId="7492" priority="5709" stopIfTrue="1" operator="equal">
      <formula>"Towel"</formula>
    </cfRule>
    <cfRule type="cellIs" dxfId="7491" priority="5710" stopIfTrue="1" operator="equal">
      <formula>"Napkin Hs"</formula>
    </cfRule>
  </conditionalFormatting>
  <conditionalFormatting sqref="C53">
    <cfRule type="cellIs" dxfId="7490" priority="5711" stopIfTrue="1" operator="equal">
      <formula>"Towel"</formula>
    </cfRule>
  </conditionalFormatting>
  <conditionalFormatting sqref="B53:C53">
    <cfRule type="cellIs" dxfId="7489" priority="5707" stopIfTrue="1" operator="equal">
      <formula>"Towel"</formula>
    </cfRule>
    <cfRule type="cellIs" dxfId="7488" priority="5708" stopIfTrue="1" operator="equal">
      <formula>"Napkin Hs"</formula>
    </cfRule>
  </conditionalFormatting>
  <conditionalFormatting sqref="C53">
    <cfRule type="cellIs" dxfId="7487" priority="5706" stopIfTrue="1" operator="equal">
      <formula>"Napkin Hs"</formula>
    </cfRule>
  </conditionalFormatting>
  <conditionalFormatting sqref="C53">
    <cfRule type="cellIs" dxfId="7486" priority="5703" stopIfTrue="1" operator="equal">
      <formula>"Towel"</formula>
    </cfRule>
    <cfRule type="cellIs" dxfId="7485" priority="5704" stopIfTrue="1" operator="equal">
      <formula>"Napkin Hs"</formula>
    </cfRule>
  </conditionalFormatting>
  <conditionalFormatting sqref="C53">
    <cfRule type="cellIs" dxfId="7484" priority="5705" stopIfTrue="1" operator="equal">
      <formula>"Towel"</formula>
    </cfRule>
  </conditionalFormatting>
  <conditionalFormatting sqref="B53:C53">
    <cfRule type="cellIs" dxfId="7483" priority="5701" stopIfTrue="1" operator="equal">
      <formula>"Towel"</formula>
    </cfRule>
    <cfRule type="cellIs" dxfId="7482" priority="5702" stopIfTrue="1" operator="equal">
      <formula>"Napkin Hs"</formula>
    </cfRule>
  </conditionalFormatting>
  <conditionalFormatting sqref="C53">
    <cfRule type="cellIs" dxfId="7481" priority="5700" stopIfTrue="1" operator="equal">
      <formula>"Napkin Hs"</formula>
    </cfRule>
  </conditionalFormatting>
  <conditionalFormatting sqref="C53">
    <cfRule type="cellIs" dxfId="7480" priority="5697" stopIfTrue="1" operator="equal">
      <formula>"Towel"</formula>
    </cfRule>
    <cfRule type="cellIs" dxfId="7479" priority="5698" stopIfTrue="1" operator="equal">
      <formula>"Napkin Hs"</formula>
    </cfRule>
  </conditionalFormatting>
  <conditionalFormatting sqref="C53">
    <cfRule type="cellIs" dxfId="7478" priority="5699" stopIfTrue="1" operator="equal">
      <formula>"Towel"</formula>
    </cfRule>
  </conditionalFormatting>
  <conditionalFormatting sqref="B53:C53">
    <cfRule type="cellIs" dxfId="7477" priority="5695" stopIfTrue="1" operator="equal">
      <formula>"Towel"</formula>
    </cfRule>
    <cfRule type="cellIs" dxfId="7476" priority="5696" stopIfTrue="1" operator="equal">
      <formula>"Napkin Hs"</formula>
    </cfRule>
  </conditionalFormatting>
  <conditionalFormatting sqref="C53">
    <cfRule type="cellIs" dxfId="7475" priority="5694" stopIfTrue="1" operator="equal">
      <formula>"Napkin Hs"</formula>
    </cfRule>
  </conditionalFormatting>
  <conditionalFormatting sqref="C53">
    <cfRule type="cellIs" dxfId="7474" priority="5691" stopIfTrue="1" operator="equal">
      <formula>"Towel"</formula>
    </cfRule>
    <cfRule type="cellIs" dxfId="7473" priority="5692" stopIfTrue="1" operator="equal">
      <formula>"Napkin Hs"</formula>
    </cfRule>
  </conditionalFormatting>
  <conditionalFormatting sqref="C53">
    <cfRule type="cellIs" dxfId="7472" priority="5693" stopIfTrue="1" operator="equal">
      <formula>"Towel"</formula>
    </cfRule>
  </conditionalFormatting>
  <conditionalFormatting sqref="B53:C53">
    <cfRule type="cellIs" dxfId="7471" priority="5689" stopIfTrue="1" operator="equal">
      <formula>"Towel"</formula>
    </cfRule>
    <cfRule type="cellIs" dxfId="7470" priority="5690" stopIfTrue="1" operator="equal">
      <formula>"Napkin Hs"</formula>
    </cfRule>
  </conditionalFormatting>
  <conditionalFormatting sqref="C53">
    <cfRule type="cellIs" dxfId="7469" priority="5688" stopIfTrue="1" operator="equal">
      <formula>"Napkin Hs"</formula>
    </cfRule>
  </conditionalFormatting>
  <conditionalFormatting sqref="C53">
    <cfRule type="cellIs" dxfId="7468" priority="5685" stopIfTrue="1" operator="equal">
      <formula>"Towel"</formula>
    </cfRule>
    <cfRule type="cellIs" dxfId="7467" priority="5686" stopIfTrue="1" operator="equal">
      <formula>"Napkin Hs"</formula>
    </cfRule>
  </conditionalFormatting>
  <conditionalFormatting sqref="C53">
    <cfRule type="cellIs" dxfId="7466" priority="5687" stopIfTrue="1" operator="equal">
      <formula>"Towel"</formula>
    </cfRule>
  </conditionalFormatting>
  <conditionalFormatting sqref="B53:C53">
    <cfRule type="cellIs" dxfId="7465" priority="5683" stopIfTrue="1" operator="equal">
      <formula>"Towel"</formula>
    </cfRule>
    <cfRule type="cellIs" dxfId="7464" priority="5684" stopIfTrue="1" operator="equal">
      <formula>"Napkin Hs"</formula>
    </cfRule>
  </conditionalFormatting>
  <conditionalFormatting sqref="C53">
    <cfRule type="cellIs" dxfId="7463" priority="5682" stopIfTrue="1" operator="equal">
      <formula>"Napkin Hs"</formula>
    </cfRule>
  </conditionalFormatting>
  <conditionalFormatting sqref="C53">
    <cfRule type="cellIs" dxfId="7462" priority="5681" stopIfTrue="1" operator="equal">
      <formula>"Towel"</formula>
    </cfRule>
  </conditionalFormatting>
  <conditionalFormatting sqref="C53">
    <cfRule type="cellIs" dxfId="7461" priority="5679" stopIfTrue="1" operator="equal">
      <formula>"Towel"</formula>
    </cfRule>
    <cfRule type="cellIs" dxfId="7460" priority="5680" stopIfTrue="1" operator="equal">
      <formula>"Napkin Hs"</formula>
    </cfRule>
  </conditionalFormatting>
  <conditionalFormatting sqref="B53:C53">
    <cfRule type="cellIs" dxfId="7459" priority="5677" stopIfTrue="1" operator="equal">
      <formula>"Towel"</formula>
    </cfRule>
    <cfRule type="cellIs" dxfId="7458" priority="5678" stopIfTrue="1" operator="equal">
      <formula>"Napkin Hs"</formula>
    </cfRule>
  </conditionalFormatting>
  <conditionalFormatting sqref="C53">
    <cfRule type="cellIs" dxfId="7457" priority="5676" stopIfTrue="1" operator="equal">
      <formula>"Napkin Hs"</formula>
    </cfRule>
  </conditionalFormatting>
  <conditionalFormatting sqref="C53">
    <cfRule type="cellIs" dxfId="7456" priority="5673" stopIfTrue="1" operator="equal">
      <formula>"Towel"</formula>
    </cfRule>
    <cfRule type="cellIs" dxfId="7455" priority="5674" stopIfTrue="1" operator="equal">
      <formula>"Napkin Hs"</formula>
    </cfRule>
  </conditionalFormatting>
  <conditionalFormatting sqref="C53">
    <cfRule type="cellIs" dxfId="7454" priority="5675" stopIfTrue="1" operator="equal">
      <formula>"Towel"</formula>
    </cfRule>
  </conditionalFormatting>
  <conditionalFormatting sqref="B53:C53">
    <cfRule type="cellIs" dxfId="7453" priority="5671" stopIfTrue="1" operator="equal">
      <formula>"Towel"</formula>
    </cfRule>
    <cfRule type="cellIs" dxfId="7452" priority="5672" stopIfTrue="1" operator="equal">
      <formula>"Napkin Hs"</formula>
    </cfRule>
  </conditionalFormatting>
  <conditionalFormatting sqref="C53">
    <cfRule type="cellIs" dxfId="7451" priority="5670" stopIfTrue="1" operator="equal">
      <formula>"Napkin Hs"</formula>
    </cfRule>
  </conditionalFormatting>
  <conditionalFormatting sqref="C53">
    <cfRule type="cellIs" dxfId="7450" priority="5667" stopIfTrue="1" operator="equal">
      <formula>"Towel"</formula>
    </cfRule>
    <cfRule type="cellIs" dxfId="7449" priority="5668" stopIfTrue="1" operator="equal">
      <formula>"Napkin Hs"</formula>
    </cfRule>
  </conditionalFormatting>
  <conditionalFormatting sqref="C53">
    <cfRule type="cellIs" dxfId="7448" priority="5669" stopIfTrue="1" operator="equal">
      <formula>"Towel"</formula>
    </cfRule>
  </conditionalFormatting>
  <conditionalFormatting sqref="B53:C53">
    <cfRule type="cellIs" dxfId="7447" priority="5665" stopIfTrue="1" operator="equal">
      <formula>"Towel"</formula>
    </cfRule>
    <cfRule type="cellIs" dxfId="7446" priority="5666" stopIfTrue="1" operator="equal">
      <formula>"Napkin Hs"</formula>
    </cfRule>
  </conditionalFormatting>
  <conditionalFormatting sqref="C53">
    <cfRule type="cellIs" dxfId="7445" priority="5664" stopIfTrue="1" operator="equal">
      <formula>"Napkin Hs"</formula>
    </cfRule>
  </conditionalFormatting>
  <conditionalFormatting sqref="C53">
    <cfRule type="cellIs" dxfId="7444" priority="5661" stopIfTrue="1" operator="equal">
      <formula>"Towel"</formula>
    </cfRule>
    <cfRule type="cellIs" dxfId="7443" priority="5662" stopIfTrue="1" operator="equal">
      <formula>"Napkin Hs"</formula>
    </cfRule>
  </conditionalFormatting>
  <conditionalFormatting sqref="C53">
    <cfRule type="cellIs" dxfId="7442" priority="5663" stopIfTrue="1" operator="equal">
      <formula>"Towel"</formula>
    </cfRule>
  </conditionalFormatting>
  <conditionalFormatting sqref="B53:C53">
    <cfRule type="cellIs" dxfId="7441" priority="5659" stopIfTrue="1" operator="equal">
      <formula>"Towel"</formula>
    </cfRule>
    <cfRule type="cellIs" dxfId="7440" priority="5660" stopIfTrue="1" operator="equal">
      <formula>"Napkin Hs"</formula>
    </cfRule>
  </conditionalFormatting>
  <conditionalFormatting sqref="C53">
    <cfRule type="cellIs" dxfId="7439" priority="5658" stopIfTrue="1" operator="equal">
      <formula>"Napkin Hs"</formula>
    </cfRule>
  </conditionalFormatting>
  <conditionalFormatting sqref="C53">
    <cfRule type="cellIs" dxfId="7438" priority="5655" stopIfTrue="1" operator="equal">
      <formula>"Towel"</formula>
    </cfRule>
    <cfRule type="cellIs" dxfId="7437" priority="5656" stopIfTrue="1" operator="equal">
      <formula>"Napkin Hs"</formula>
    </cfRule>
  </conditionalFormatting>
  <conditionalFormatting sqref="C53">
    <cfRule type="cellIs" dxfId="7436" priority="5657" stopIfTrue="1" operator="equal">
      <formula>"Towel"</formula>
    </cfRule>
  </conditionalFormatting>
  <conditionalFormatting sqref="B53:C53">
    <cfRule type="cellIs" dxfId="7435" priority="5653" stopIfTrue="1" operator="equal">
      <formula>"Towel"</formula>
    </cfRule>
    <cfRule type="cellIs" dxfId="7434" priority="5654" stopIfTrue="1" operator="equal">
      <formula>"Napkin Hs"</formula>
    </cfRule>
  </conditionalFormatting>
  <conditionalFormatting sqref="C53">
    <cfRule type="cellIs" dxfId="7433" priority="5652" stopIfTrue="1" operator="equal">
      <formula>"Napkin Hs"</formula>
    </cfRule>
  </conditionalFormatting>
  <conditionalFormatting sqref="C53">
    <cfRule type="cellIs" dxfId="7432" priority="5649" stopIfTrue="1" operator="equal">
      <formula>"Towel"</formula>
    </cfRule>
    <cfRule type="cellIs" dxfId="7431" priority="5650" stopIfTrue="1" operator="equal">
      <formula>"Napkin Hs"</formula>
    </cfRule>
  </conditionalFormatting>
  <conditionalFormatting sqref="C53">
    <cfRule type="cellIs" dxfId="7430" priority="5651" stopIfTrue="1" operator="equal">
      <formula>"Towel"</formula>
    </cfRule>
  </conditionalFormatting>
  <conditionalFormatting sqref="B53:C53">
    <cfRule type="cellIs" dxfId="7429" priority="5647" stopIfTrue="1" operator="equal">
      <formula>"Towel"</formula>
    </cfRule>
    <cfRule type="cellIs" dxfId="7428" priority="5648" stopIfTrue="1" operator="equal">
      <formula>"Napkin Hs"</formula>
    </cfRule>
  </conditionalFormatting>
  <conditionalFormatting sqref="C53">
    <cfRule type="cellIs" dxfId="7427" priority="5646" stopIfTrue="1" operator="equal">
      <formula>"Napkin Hs"</formula>
    </cfRule>
  </conditionalFormatting>
  <conditionalFormatting sqref="C53">
    <cfRule type="cellIs" dxfId="7426" priority="5643" stopIfTrue="1" operator="equal">
      <formula>"Towel"</formula>
    </cfRule>
    <cfRule type="cellIs" dxfId="7425" priority="5644" stopIfTrue="1" operator="equal">
      <formula>"Napkin Hs"</formula>
    </cfRule>
  </conditionalFormatting>
  <conditionalFormatting sqref="C53">
    <cfRule type="cellIs" dxfId="7424" priority="5645" stopIfTrue="1" operator="equal">
      <formula>"Towel"</formula>
    </cfRule>
  </conditionalFormatting>
  <conditionalFormatting sqref="B53:C53">
    <cfRule type="cellIs" dxfId="7423" priority="5641" stopIfTrue="1" operator="equal">
      <formula>"Towel"</formula>
    </cfRule>
    <cfRule type="cellIs" dxfId="7422" priority="5642" stopIfTrue="1" operator="equal">
      <formula>"Napkin Hs"</formula>
    </cfRule>
  </conditionalFormatting>
  <conditionalFormatting sqref="C53">
    <cfRule type="cellIs" dxfId="7421" priority="5640" stopIfTrue="1" operator="equal">
      <formula>"Napkin Hs"</formula>
    </cfRule>
  </conditionalFormatting>
  <conditionalFormatting sqref="C53">
    <cfRule type="cellIs" dxfId="7420" priority="5637" stopIfTrue="1" operator="equal">
      <formula>"Towel"</formula>
    </cfRule>
    <cfRule type="cellIs" dxfId="7419" priority="5638" stopIfTrue="1" operator="equal">
      <formula>"Napkin Hs"</formula>
    </cfRule>
  </conditionalFormatting>
  <conditionalFormatting sqref="C53">
    <cfRule type="cellIs" dxfId="7418" priority="5639" stopIfTrue="1" operator="equal">
      <formula>"Towel"</formula>
    </cfRule>
  </conditionalFormatting>
  <conditionalFormatting sqref="B53:C53">
    <cfRule type="cellIs" dxfId="7417" priority="5635" stopIfTrue="1" operator="equal">
      <formula>"Towel"</formula>
    </cfRule>
    <cfRule type="cellIs" dxfId="7416" priority="5636" stopIfTrue="1" operator="equal">
      <formula>"Napkin Hs"</formula>
    </cfRule>
  </conditionalFormatting>
  <conditionalFormatting sqref="C53">
    <cfRule type="cellIs" dxfId="7415" priority="5634" stopIfTrue="1" operator="equal">
      <formula>"Napkin Hs"</formula>
    </cfRule>
  </conditionalFormatting>
  <conditionalFormatting sqref="C53">
    <cfRule type="cellIs" dxfId="7414" priority="5631" stopIfTrue="1" operator="equal">
      <formula>"Towel"</formula>
    </cfRule>
    <cfRule type="cellIs" dxfId="7413" priority="5632" stopIfTrue="1" operator="equal">
      <formula>"Napkin Hs"</formula>
    </cfRule>
  </conditionalFormatting>
  <conditionalFormatting sqref="C53">
    <cfRule type="cellIs" dxfId="7412" priority="5633" stopIfTrue="1" operator="equal">
      <formula>"Towel"</formula>
    </cfRule>
  </conditionalFormatting>
  <conditionalFormatting sqref="B53:C53">
    <cfRule type="cellIs" dxfId="7411" priority="5629" stopIfTrue="1" operator="equal">
      <formula>"Towel"</formula>
    </cfRule>
    <cfRule type="cellIs" dxfId="7410" priority="5630" stopIfTrue="1" operator="equal">
      <formula>"Napkin Hs"</formula>
    </cfRule>
  </conditionalFormatting>
  <conditionalFormatting sqref="C53">
    <cfRule type="cellIs" dxfId="7409" priority="5628" stopIfTrue="1" operator="equal">
      <formula>"Napkin Hs"</formula>
    </cfRule>
  </conditionalFormatting>
  <conditionalFormatting sqref="C53">
    <cfRule type="cellIs" dxfId="7408" priority="5625" stopIfTrue="1" operator="equal">
      <formula>"Towel"</formula>
    </cfRule>
    <cfRule type="cellIs" dxfId="7407" priority="5626" stopIfTrue="1" operator="equal">
      <formula>"Napkin Hs"</formula>
    </cfRule>
  </conditionalFormatting>
  <conditionalFormatting sqref="C53">
    <cfRule type="cellIs" dxfId="7406" priority="5627" stopIfTrue="1" operator="equal">
      <formula>"Towel"</formula>
    </cfRule>
  </conditionalFormatting>
  <conditionalFormatting sqref="B64:C64">
    <cfRule type="cellIs" dxfId="7405" priority="5623" stopIfTrue="1" operator="equal">
      <formula>"Towel"</formula>
    </cfRule>
    <cfRule type="cellIs" dxfId="7404" priority="5624" stopIfTrue="1" operator="equal">
      <formula>"Napkin Hs"</formula>
    </cfRule>
  </conditionalFormatting>
  <conditionalFormatting sqref="C64">
    <cfRule type="cellIs" dxfId="7403" priority="5622" stopIfTrue="1" operator="equal">
      <formula>"Napkin Hs"</formula>
    </cfRule>
  </conditionalFormatting>
  <conditionalFormatting sqref="C64">
    <cfRule type="cellIs" dxfId="7402" priority="5619" stopIfTrue="1" operator="equal">
      <formula>"Towel"</formula>
    </cfRule>
    <cfRule type="cellIs" dxfId="7401" priority="5620" stopIfTrue="1" operator="equal">
      <formula>"Napkin Hs"</formula>
    </cfRule>
  </conditionalFormatting>
  <conditionalFormatting sqref="C64">
    <cfRule type="cellIs" dxfId="7400" priority="5621" stopIfTrue="1" operator="equal">
      <formula>"Towel"</formula>
    </cfRule>
  </conditionalFormatting>
  <conditionalFormatting sqref="B60:C60">
    <cfRule type="cellIs" dxfId="7399" priority="5617" stopIfTrue="1" operator="equal">
      <formula>"Towel"</formula>
    </cfRule>
    <cfRule type="cellIs" dxfId="7398" priority="5618" stopIfTrue="1" operator="equal">
      <formula>"Napkin Hs"</formula>
    </cfRule>
  </conditionalFormatting>
  <conditionalFormatting sqref="C60">
    <cfRule type="cellIs" dxfId="7397" priority="5613" stopIfTrue="1" operator="equal">
      <formula>"Towel"</formula>
    </cfRule>
    <cfRule type="cellIs" dxfId="7396" priority="5614" stopIfTrue="1" operator="equal">
      <formula>"Napkin Hs"</formula>
    </cfRule>
  </conditionalFormatting>
  <conditionalFormatting sqref="C60">
    <cfRule type="cellIs" dxfId="7395" priority="5615" stopIfTrue="1" operator="equal">
      <formula>"Towel"</formula>
    </cfRule>
    <cfRule type="cellIs" dxfId="7394" priority="5616" stopIfTrue="1" operator="equal">
      <formula>"Napkin Hs"</formula>
    </cfRule>
  </conditionalFormatting>
  <conditionalFormatting sqref="C58:C59">
    <cfRule type="cellIs" dxfId="7393" priority="5609" stopIfTrue="1" operator="equal">
      <formula>"Towel"</formula>
    </cfRule>
    <cfRule type="cellIs" dxfId="7392" priority="5610" stopIfTrue="1" operator="equal">
      <formula>"Napkin Hs"</formula>
    </cfRule>
  </conditionalFormatting>
  <conditionalFormatting sqref="B59">
    <cfRule type="cellIs" dxfId="7391" priority="5611" stopIfTrue="1" operator="equal">
      <formula>"Towel"</formula>
    </cfRule>
    <cfRule type="cellIs" dxfId="7390" priority="5612" stopIfTrue="1" operator="equal">
      <formula>"Napkin Hs"</formula>
    </cfRule>
  </conditionalFormatting>
  <conditionalFormatting sqref="C58:C59">
    <cfRule type="cellIs" dxfId="7389" priority="5605" stopIfTrue="1" operator="equal">
      <formula>"Towel"</formula>
    </cfRule>
    <cfRule type="cellIs" dxfId="7388" priority="5606" stopIfTrue="1" operator="equal">
      <formula>"Napkin Hs"</formula>
    </cfRule>
  </conditionalFormatting>
  <conditionalFormatting sqref="C58:C59">
    <cfRule type="cellIs" dxfId="7387" priority="5607" stopIfTrue="1" operator="equal">
      <formula>"Towel"</formula>
    </cfRule>
    <cfRule type="cellIs" dxfId="7386" priority="5608" stopIfTrue="1" operator="equal">
      <formula>"Napkin Hs"</formula>
    </cfRule>
  </conditionalFormatting>
  <conditionalFormatting sqref="B60:C60">
    <cfRule type="cellIs" dxfId="7385" priority="5603" stopIfTrue="1" operator="equal">
      <formula>"Towel"</formula>
    </cfRule>
    <cfRule type="cellIs" dxfId="7384" priority="5604" stopIfTrue="1" operator="equal">
      <formula>"Napkin Hs"</formula>
    </cfRule>
  </conditionalFormatting>
  <conditionalFormatting sqref="C60">
    <cfRule type="cellIs" dxfId="7383" priority="5602" stopIfTrue="1" operator="equal">
      <formula>"Napkin Hs"</formula>
    </cfRule>
  </conditionalFormatting>
  <conditionalFormatting sqref="C60">
    <cfRule type="cellIs" dxfId="7382" priority="5599" stopIfTrue="1" operator="equal">
      <formula>"Towel"</formula>
    </cfRule>
    <cfRule type="cellIs" dxfId="7381" priority="5600" stopIfTrue="1" operator="equal">
      <formula>"Napkin Hs"</formula>
    </cfRule>
  </conditionalFormatting>
  <conditionalFormatting sqref="C60">
    <cfRule type="cellIs" dxfId="7380" priority="5601" stopIfTrue="1" operator="equal">
      <formula>"Towel"</formula>
    </cfRule>
  </conditionalFormatting>
  <conditionalFormatting sqref="B59:C59 C58">
    <cfRule type="cellIs" dxfId="7379" priority="5597" stopIfTrue="1" operator="equal">
      <formula>"Towel"</formula>
    </cfRule>
    <cfRule type="cellIs" dxfId="7378" priority="5598" stopIfTrue="1" operator="equal">
      <formula>"Napkin Hs"</formula>
    </cfRule>
  </conditionalFormatting>
  <conditionalFormatting sqref="C58:C59">
    <cfRule type="cellIs" dxfId="7377" priority="5596" stopIfTrue="1" operator="equal">
      <formula>"Napkin Hs"</formula>
    </cfRule>
  </conditionalFormatting>
  <conditionalFormatting sqref="C58:C59">
    <cfRule type="cellIs" dxfId="7376" priority="5593" stopIfTrue="1" operator="equal">
      <formula>"Towel"</formula>
    </cfRule>
    <cfRule type="cellIs" dxfId="7375" priority="5594" stopIfTrue="1" operator="equal">
      <formula>"Napkin Hs"</formula>
    </cfRule>
  </conditionalFormatting>
  <conditionalFormatting sqref="C58:C59">
    <cfRule type="cellIs" dxfId="7374" priority="5595" stopIfTrue="1" operator="equal">
      <formula>"Towel"</formula>
    </cfRule>
  </conditionalFormatting>
  <conditionalFormatting sqref="B59:C59 C58">
    <cfRule type="cellIs" dxfId="7373" priority="5591" stopIfTrue="1" operator="equal">
      <formula>"Towel"</formula>
    </cfRule>
    <cfRule type="cellIs" dxfId="7372" priority="5592" stopIfTrue="1" operator="equal">
      <formula>"Napkin Hs"</formula>
    </cfRule>
  </conditionalFormatting>
  <conditionalFormatting sqref="C58:C59">
    <cfRule type="cellIs" dxfId="7371" priority="5589" stopIfTrue="1" operator="equal">
      <formula>"Towel"</formula>
    </cfRule>
    <cfRule type="cellIs" dxfId="7370" priority="5590" stopIfTrue="1" operator="equal">
      <formula>"Napkin Hs"</formula>
    </cfRule>
  </conditionalFormatting>
  <conditionalFormatting sqref="C58:C59">
    <cfRule type="cellIs" dxfId="7369" priority="5587" stopIfTrue="1" operator="equal">
      <formula>"Towel"</formula>
    </cfRule>
    <cfRule type="cellIs" dxfId="7368" priority="5588" stopIfTrue="1" operator="equal">
      <formula>"Napkin Hs"</formula>
    </cfRule>
  </conditionalFormatting>
  <conditionalFormatting sqref="B59:C59 C58">
    <cfRule type="cellIs" dxfId="7367" priority="5585" stopIfTrue="1" operator="equal">
      <formula>"Towel"</formula>
    </cfRule>
    <cfRule type="cellIs" dxfId="7366" priority="5586" stopIfTrue="1" operator="equal">
      <formula>"Napkin Hs"</formula>
    </cfRule>
  </conditionalFormatting>
  <conditionalFormatting sqref="C58:C59">
    <cfRule type="cellIs" dxfId="7365" priority="5584" stopIfTrue="1" operator="equal">
      <formula>"Napkin Hs"</formula>
    </cfRule>
  </conditionalFormatting>
  <conditionalFormatting sqref="C58:C59">
    <cfRule type="cellIs" dxfId="7364" priority="5581" stopIfTrue="1" operator="equal">
      <formula>"Towel"</formula>
    </cfRule>
    <cfRule type="cellIs" dxfId="7363" priority="5582" stopIfTrue="1" operator="equal">
      <formula>"Napkin Hs"</formula>
    </cfRule>
  </conditionalFormatting>
  <conditionalFormatting sqref="C58:C59">
    <cfRule type="cellIs" dxfId="7362" priority="5583" stopIfTrue="1" operator="equal">
      <formula>"Towel"</formula>
    </cfRule>
  </conditionalFormatting>
  <conditionalFormatting sqref="B59:C59 C58">
    <cfRule type="cellIs" dxfId="7361" priority="5579" stopIfTrue="1" operator="equal">
      <formula>"Towel"</formula>
    </cfRule>
    <cfRule type="cellIs" dxfId="7360" priority="5580" stopIfTrue="1" operator="equal">
      <formula>"Napkin Hs"</formula>
    </cfRule>
  </conditionalFormatting>
  <conditionalFormatting sqref="C58:C59">
    <cfRule type="cellIs" dxfId="7359" priority="5578" stopIfTrue="1" operator="equal">
      <formula>"Napkin Hs"</formula>
    </cfRule>
  </conditionalFormatting>
  <conditionalFormatting sqref="C58:C59">
    <cfRule type="cellIs" dxfId="7358" priority="5577" stopIfTrue="1" operator="equal">
      <formula>"Towel"</formula>
    </cfRule>
  </conditionalFormatting>
  <conditionalFormatting sqref="C58:C59">
    <cfRule type="cellIs" dxfId="7357" priority="5575" stopIfTrue="1" operator="equal">
      <formula>"Towel"</formula>
    </cfRule>
    <cfRule type="cellIs" dxfId="7356" priority="5576" stopIfTrue="1" operator="equal">
      <formula>"Napkin Hs"</formula>
    </cfRule>
  </conditionalFormatting>
  <conditionalFormatting sqref="B59:C59 C58">
    <cfRule type="cellIs" dxfId="7355" priority="5573" stopIfTrue="1" operator="equal">
      <formula>"Towel"</formula>
    </cfRule>
    <cfRule type="cellIs" dxfId="7354" priority="5574" stopIfTrue="1" operator="equal">
      <formula>"Napkin Hs"</formula>
    </cfRule>
  </conditionalFormatting>
  <conditionalFormatting sqref="C58:C59">
    <cfRule type="cellIs" dxfId="7353" priority="5572" stopIfTrue="1" operator="equal">
      <formula>"Napkin Hs"</formula>
    </cfRule>
  </conditionalFormatting>
  <conditionalFormatting sqref="C58:C59">
    <cfRule type="cellIs" dxfId="7352" priority="5569" stopIfTrue="1" operator="equal">
      <formula>"Towel"</formula>
    </cfRule>
    <cfRule type="cellIs" dxfId="7351" priority="5570" stopIfTrue="1" operator="equal">
      <formula>"Napkin Hs"</formula>
    </cfRule>
  </conditionalFormatting>
  <conditionalFormatting sqref="C58:C59">
    <cfRule type="cellIs" dxfId="7350" priority="5571" stopIfTrue="1" operator="equal">
      <formula>"Towel"</formula>
    </cfRule>
  </conditionalFormatting>
  <conditionalFormatting sqref="B59:C59 C58">
    <cfRule type="cellIs" dxfId="7349" priority="5567" stopIfTrue="1" operator="equal">
      <formula>"Towel"</formula>
    </cfRule>
    <cfRule type="cellIs" dxfId="7348" priority="5568" stopIfTrue="1" operator="equal">
      <formula>"Napkin Hs"</formula>
    </cfRule>
  </conditionalFormatting>
  <conditionalFormatting sqref="C58:C59">
    <cfRule type="cellIs" dxfId="7347" priority="5566" stopIfTrue="1" operator="equal">
      <formula>"Napkin Hs"</formula>
    </cfRule>
  </conditionalFormatting>
  <conditionalFormatting sqref="C58:C59">
    <cfRule type="cellIs" dxfId="7346" priority="5563" stopIfTrue="1" operator="equal">
      <formula>"Towel"</formula>
    </cfRule>
    <cfRule type="cellIs" dxfId="7345" priority="5564" stopIfTrue="1" operator="equal">
      <formula>"Napkin Hs"</formula>
    </cfRule>
  </conditionalFormatting>
  <conditionalFormatting sqref="C58:C59">
    <cfRule type="cellIs" dxfId="7344" priority="5565" stopIfTrue="1" operator="equal">
      <formula>"Towel"</formula>
    </cfRule>
  </conditionalFormatting>
  <conditionalFormatting sqref="B59:C59 C58">
    <cfRule type="cellIs" dxfId="7343" priority="5561" stopIfTrue="1" operator="equal">
      <formula>"Towel"</formula>
    </cfRule>
    <cfRule type="cellIs" dxfId="7342" priority="5562" stopIfTrue="1" operator="equal">
      <formula>"Napkin Hs"</formula>
    </cfRule>
  </conditionalFormatting>
  <conditionalFormatting sqref="C58:C59">
    <cfRule type="cellIs" dxfId="7341" priority="5560" stopIfTrue="1" operator="equal">
      <formula>"Napkin Hs"</formula>
    </cfRule>
  </conditionalFormatting>
  <conditionalFormatting sqref="C58:C59">
    <cfRule type="cellIs" dxfId="7340" priority="5557" stopIfTrue="1" operator="equal">
      <formula>"Towel"</formula>
    </cfRule>
    <cfRule type="cellIs" dxfId="7339" priority="5558" stopIfTrue="1" operator="equal">
      <formula>"Napkin Hs"</formula>
    </cfRule>
  </conditionalFormatting>
  <conditionalFormatting sqref="C58:C59">
    <cfRule type="cellIs" dxfId="7338" priority="5559" stopIfTrue="1" operator="equal">
      <formula>"Towel"</formula>
    </cfRule>
  </conditionalFormatting>
  <conditionalFormatting sqref="B59:C59 C58">
    <cfRule type="cellIs" dxfId="7337" priority="5555" stopIfTrue="1" operator="equal">
      <formula>"Towel"</formula>
    </cfRule>
    <cfRule type="cellIs" dxfId="7336" priority="5556" stopIfTrue="1" operator="equal">
      <formula>"Napkin Hs"</formula>
    </cfRule>
  </conditionalFormatting>
  <conditionalFormatting sqref="C58:C59">
    <cfRule type="cellIs" dxfId="7335" priority="5554" stopIfTrue="1" operator="equal">
      <formula>"Napkin Hs"</formula>
    </cfRule>
  </conditionalFormatting>
  <conditionalFormatting sqref="C58:C59">
    <cfRule type="cellIs" dxfId="7334" priority="5551" stopIfTrue="1" operator="equal">
      <formula>"Towel"</formula>
    </cfRule>
    <cfRule type="cellIs" dxfId="7333" priority="5552" stopIfTrue="1" operator="equal">
      <formula>"Napkin Hs"</formula>
    </cfRule>
  </conditionalFormatting>
  <conditionalFormatting sqref="C58:C59">
    <cfRule type="cellIs" dxfId="7332" priority="5553" stopIfTrue="1" operator="equal">
      <formula>"Towel"</formula>
    </cfRule>
  </conditionalFormatting>
  <conditionalFormatting sqref="B59:C59 C58">
    <cfRule type="cellIs" dxfId="7331" priority="5549" stopIfTrue="1" operator="equal">
      <formula>"Towel"</formula>
    </cfRule>
    <cfRule type="cellIs" dxfId="7330" priority="5550" stopIfTrue="1" operator="equal">
      <formula>"Napkin Hs"</formula>
    </cfRule>
  </conditionalFormatting>
  <conditionalFormatting sqref="C58:C59">
    <cfRule type="cellIs" dxfId="7329" priority="5548" stopIfTrue="1" operator="equal">
      <formula>"Napkin Hs"</formula>
    </cfRule>
  </conditionalFormatting>
  <conditionalFormatting sqref="C58:C59">
    <cfRule type="cellIs" dxfId="7328" priority="5545" stopIfTrue="1" operator="equal">
      <formula>"Towel"</formula>
    </cfRule>
    <cfRule type="cellIs" dxfId="7327" priority="5546" stopIfTrue="1" operator="equal">
      <formula>"Napkin Hs"</formula>
    </cfRule>
  </conditionalFormatting>
  <conditionalFormatting sqref="C58:C59">
    <cfRule type="cellIs" dxfId="7326" priority="5547" stopIfTrue="1" operator="equal">
      <formula>"Towel"</formula>
    </cfRule>
  </conditionalFormatting>
  <conditionalFormatting sqref="B59:C59 C58">
    <cfRule type="cellIs" dxfId="7325" priority="5543" stopIfTrue="1" operator="equal">
      <formula>"Towel"</formula>
    </cfRule>
    <cfRule type="cellIs" dxfId="7324" priority="5544" stopIfTrue="1" operator="equal">
      <formula>"Napkin Hs"</formula>
    </cfRule>
  </conditionalFormatting>
  <conditionalFormatting sqref="C58:C59">
    <cfRule type="cellIs" dxfId="7323" priority="5542" stopIfTrue="1" operator="equal">
      <formula>"Napkin Hs"</formula>
    </cfRule>
  </conditionalFormatting>
  <conditionalFormatting sqref="C58:C59">
    <cfRule type="cellIs" dxfId="7322" priority="5539" stopIfTrue="1" operator="equal">
      <formula>"Towel"</formula>
    </cfRule>
    <cfRule type="cellIs" dxfId="7321" priority="5540" stopIfTrue="1" operator="equal">
      <formula>"Napkin Hs"</formula>
    </cfRule>
  </conditionalFormatting>
  <conditionalFormatting sqref="C58:C59">
    <cfRule type="cellIs" dxfId="7320" priority="5541" stopIfTrue="1" operator="equal">
      <formula>"Towel"</formula>
    </cfRule>
  </conditionalFormatting>
  <conditionalFormatting sqref="B59:C59 C58">
    <cfRule type="cellIs" dxfId="7319" priority="5537" stopIfTrue="1" operator="equal">
      <formula>"Towel"</formula>
    </cfRule>
    <cfRule type="cellIs" dxfId="7318" priority="5538" stopIfTrue="1" operator="equal">
      <formula>"Napkin Hs"</formula>
    </cfRule>
  </conditionalFormatting>
  <conditionalFormatting sqref="C58:C59">
    <cfRule type="cellIs" dxfId="7317" priority="5536" stopIfTrue="1" operator="equal">
      <formula>"Napkin Hs"</formula>
    </cfRule>
  </conditionalFormatting>
  <conditionalFormatting sqref="C58:C59">
    <cfRule type="cellIs" dxfId="7316" priority="5533" stopIfTrue="1" operator="equal">
      <formula>"Towel"</formula>
    </cfRule>
    <cfRule type="cellIs" dxfId="7315" priority="5534" stopIfTrue="1" operator="equal">
      <formula>"Napkin Hs"</formula>
    </cfRule>
  </conditionalFormatting>
  <conditionalFormatting sqref="C58:C59">
    <cfRule type="cellIs" dxfId="7314" priority="5535" stopIfTrue="1" operator="equal">
      <formula>"Towel"</formula>
    </cfRule>
  </conditionalFormatting>
  <conditionalFormatting sqref="B59:C59 C58">
    <cfRule type="cellIs" dxfId="7313" priority="5531" stopIfTrue="1" operator="equal">
      <formula>"Towel"</formula>
    </cfRule>
    <cfRule type="cellIs" dxfId="7312" priority="5532" stopIfTrue="1" operator="equal">
      <formula>"Napkin Hs"</formula>
    </cfRule>
  </conditionalFormatting>
  <conditionalFormatting sqref="C58:C59">
    <cfRule type="cellIs" dxfId="7311" priority="5530" stopIfTrue="1" operator="equal">
      <formula>"Napkin Hs"</formula>
    </cfRule>
  </conditionalFormatting>
  <conditionalFormatting sqref="C58:C59">
    <cfRule type="cellIs" dxfId="7310" priority="5527" stopIfTrue="1" operator="equal">
      <formula>"Towel"</formula>
    </cfRule>
    <cfRule type="cellIs" dxfId="7309" priority="5528" stopIfTrue="1" operator="equal">
      <formula>"Napkin Hs"</formula>
    </cfRule>
  </conditionalFormatting>
  <conditionalFormatting sqref="C58:C59">
    <cfRule type="cellIs" dxfId="7308" priority="5529" stopIfTrue="1" operator="equal">
      <formula>"Towel"</formula>
    </cfRule>
  </conditionalFormatting>
  <conditionalFormatting sqref="B59:C59 C58">
    <cfRule type="cellIs" dxfId="7307" priority="5525" stopIfTrue="1" operator="equal">
      <formula>"Towel"</formula>
    </cfRule>
    <cfRule type="cellIs" dxfId="7306" priority="5526" stopIfTrue="1" operator="equal">
      <formula>"Napkin Hs"</formula>
    </cfRule>
  </conditionalFormatting>
  <conditionalFormatting sqref="C58:C59">
    <cfRule type="cellIs" dxfId="7305" priority="5524" stopIfTrue="1" operator="equal">
      <formula>"Napkin Hs"</formula>
    </cfRule>
  </conditionalFormatting>
  <conditionalFormatting sqref="C58:C59">
    <cfRule type="cellIs" dxfId="7304" priority="5521" stopIfTrue="1" operator="equal">
      <formula>"Towel"</formula>
    </cfRule>
    <cfRule type="cellIs" dxfId="7303" priority="5522" stopIfTrue="1" operator="equal">
      <formula>"Napkin Hs"</formula>
    </cfRule>
  </conditionalFormatting>
  <conditionalFormatting sqref="C58:C59">
    <cfRule type="cellIs" dxfId="7302" priority="5523" stopIfTrue="1" operator="equal">
      <formula>"Towel"</formula>
    </cfRule>
  </conditionalFormatting>
  <conditionalFormatting sqref="B59:C59 C58">
    <cfRule type="cellIs" dxfId="7301" priority="5519" stopIfTrue="1" operator="equal">
      <formula>"Towel"</formula>
    </cfRule>
    <cfRule type="cellIs" dxfId="7300" priority="5520" stopIfTrue="1" operator="equal">
      <formula>"Napkin Hs"</formula>
    </cfRule>
  </conditionalFormatting>
  <conditionalFormatting sqref="C58:C59">
    <cfRule type="cellIs" dxfId="7299" priority="5518" stopIfTrue="1" operator="equal">
      <formula>"Napkin Hs"</formula>
    </cfRule>
  </conditionalFormatting>
  <conditionalFormatting sqref="C58:C59">
    <cfRule type="cellIs" dxfId="7298" priority="5515" stopIfTrue="1" operator="equal">
      <formula>"Towel"</formula>
    </cfRule>
    <cfRule type="cellIs" dxfId="7297" priority="5516" stopIfTrue="1" operator="equal">
      <formula>"Napkin Hs"</formula>
    </cfRule>
  </conditionalFormatting>
  <conditionalFormatting sqref="C58:C59">
    <cfRule type="cellIs" dxfId="7296" priority="5517" stopIfTrue="1" operator="equal">
      <formula>"Towel"</formula>
    </cfRule>
  </conditionalFormatting>
  <conditionalFormatting sqref="B59:C59 C58">
    <cfRule type="cellIs" dxfId="7295" priority="5513" stopIfTrue="1" operator="equal">
      <formula>"Towel"</formula>
    </cfRule>
    <cfRule type="cellIs" dxfId="7294" priority="5514" stopIfTrue="1" operator="equal">
      <formula>"Napkin Hs"</formula>
    </cfRule>
  </conditionalFormatting>
  <conditionalFormatting sqref="C58:C59">
    <cfRule type="cellIs" dxfId="7293" priority="5512" stopIfTrue="1" operator="equal">
      <formula>"Napkin Hs"</formula>
    </cfRule>
  </conditionalFormatting>
  <conditionalFormatting sqref="C58:C59">
    <cfRule type="cellIs" dxfId="7292" priority="5511" stopIfTrue="1" operator="equal">
      <formula>"Towel"</formula>
    </cfRule>
  </conditionalFormatting>
  <conditionalFormatting sqref="C58:C59">
    <cfRule type="cellIs" dxfId="7291" priority="5509" stopIfTrue="1" operator="equal">
      <formula>"Towel"</formula>
    </cfRule>
    <cfRule type="cellIs" dxfId="7290" priority="5510" stopIfTrue="1" operator="equal">
      <formula>"Napkin Hs"</formula>
    </cfRule>
  </conditionalFormatting>
  <conditionalFormatting sqref="B59:C59 C58">
    <cfRule type="cellIs" dxfId="7289" priority="5507" stopIfTrue="1" operator="equal">
      <formula>"Towel"</formula>
    </cfRule>
    <cfRule type="cellIs" dxfId="7288" priority="5508" stopIfTrue="1" operator="equal">
      <formula>"Napkin Hs"</formula>
    </cfRule>
  </conditionalFormatting>
  <conditionalFormatting sqref="C58:C59">
    <cfRule type="cellIs" dxfId="7287" priority="5506" stopIfTrue="1" operator="equal">
      <formula>"Napkin Hs"</formula>
    </cfRule>
  </conditionalFormatting>
  <conditionalFormatting sqref="C58:C59">
    <cfRule type="cellIs" dxfId="7286" priority="5503" stopIfTrue="1" operator="equal">
      <formula>"Towel"</formula>
    </cfRule>
    <cfRule type="cellIs" dxfId="7285" priority="5504" stopIfTrue="1" operator="equal">
      <formula>"Napkin Hs"</formula>
    </cfRule>
  </conditionalFormatting>
  <conditionalFormatting sqref="C58:C59">
    <cfRule type="cellIs" dxfId="7284" priority="5505" stopIfTrue="1" operator="equal">
      <formula>"Towel"</formula>
    </cfRule>
  </conditionalFormatting>
  <conditionalFormatting sqref="B59:C59 C58">
    <cfRule type="cellIs" dxfId="7283" priority="5501" stopIfTrue="1" operator="equal">
      <formula>"Towel"</formula>
    </cfRule>
    <cfRule type="cellIs" dxfId="7282" priority="5502" stopIfTrue="1" operator="equal">
      <formula>"Napkin Hs"</formula>
    </cfRule>
  </conditionalFormatting>
  <conditionalFormatting sqref="C58:C59">
    <cfRule type="cellIs" dxfId="7281" priority="5500" stopIfTrue="1" operator="equal">
      <formula>"Napkin Hs"</formula>
    </cfRule>
  </conditionalFormatting>
  <conditionalFormatting sqref="C58:C59">
    <cfRule type="cellIs" dxfId="7280" priority="5497" stopIfTrue="1" operator="equal">
      <formula>"Towel"</formula>
    </cfRule>
    <cfRule type="cellIs" dxfId="7279" priority="5498" stopIfTrue="1" operator="equal">
      <formula>"Napkin Hs"</formula>
    </cfRule>
  </conditionalFormatting>
  <conditionalFormatting sqref="C58:C59">
    <cfRule type="cellIs" dxfId="7278" priority="5499" stopIfTrue="1" operator="equal">
      <formula>"Towel"</formula>
    </cfRule>
  </conditionalFormatting>
  <conditionalFormatting sqref="B59:C59 C58">
    <cfRule type="cellIs" dxfId="7277" priority="5495" stopIfTrue="1" operator="equal">
      <formula>"Towel"</formula>
    </cfRule>
    <cfRule type="cellIs" dxfId="7276" priority="5496" stopIfTrue="1" operator="equal">
      <formula>"Napkin Hs"</formula>
    </cfRule>
  </conditionalFormatting>
  <conditionalFormatting sqref="C58:C59">
    <cfRule type="cellIs" dxfId="7275" priority="5494" stopIfTrue="1" operator="equal">
      <formula>"Napkin Hs"</formula>
    </cfRule>
  </conditionalFormatting>
  <conditionalFormatting sqref="C58:C59">
    <cfRule type="cellIs" dxfId="7274" priority="5491" stopIfTrue="1" operator="equal">
      <formula>"Towel"</formula>
    </cfRule>
    <cfRule type="cellIs" dxfId="7273" priority="5492" stopIfTrue="1" operator="equal">
      <formula>"Napkin Hs"</formula>
    </cfRule>
  </conditionalFormatting>
  <conditionalFormatting sqref="C58:C59">
    <cfRule type="cellIs" dxfId="7272" priority="5493" stopIfTrue="1" operator="equal">
      <formula>"Towel"</formula>
    </cfRule>
  </conditionalFormatting>
  <conditionalFormatting sqref="B59:C59 C58">
    <cfRule type="cellIs" dxfId="7271" priority="5489" stopIfTrue="1" operator="equal">
      <formula>"Towel"</formula>
    </cfRule>
    <cfRule type="cellIs" dxfId="7270" priority="5490" stopIfTrue="1" operator="equal">
      <formula>"Napkin Hs"</formula>
    </cfRule>
  </conditionalFormatting>
  <conditionalFormatting sqref="C58:C59">
    <cfRule type="cellIs" dxfId="7269" priority="5488" stopIfTrue="1" operator="equal">
      <formula>"Napkin Hs"</formula>
    </cfRule>
  </conditionalFormatting>
  <conditionalFormatting sqref="C58:C59">
    <cfRule type="cellIs" dxfId="7268" priority="5485" stopIfTrue="1" operator="equal">
      <formula>"Towel"</formula>
    </cfRule>
    <cfRule type="cellIs" dxfId="7267" priority="5486" stopIfTrue="1" operator="equal">
      <formula>"Napkin Hs"</formula>
    </cfRule>
  </conditionalFormatting>
  <conditionalFormatting sqref="C58:C59">
    <cfRule type="cellIs" dxfId="7266" priority="5487" stopIfTrue="1" operator="equal">
      <formula>"Towel"</formula>
    </cfRule>
  </conditionalFormatting>
  <conditionalFormatting sqref="B59:C59 C58">
    <cfRule type="cellIs" dxfId="7265" priority="5483" stopIfTrue="1" operator="equal">
      <formula>"Towel"</formula>
    </cfRule>
    <cfRule type="cellIs" dxfId="7264" priority="5484" stopIfTrue="1" operator="equal">
      <formula>"Napkin Hs"</formula>
    </cfRule>
  </conditionalFormatting>
  <conditionalFormatting sqref="C58:C59">
    <cfRule type="cellIs" dxfId="7263" priority="5482" stopIfTrue="1" operator="equal">
      <formula>"Napkin Hs"</formula>
    </cfRule>
  </conditionalFormatting>
  <conditionalFormatting sqref="C58:C59">
    <cfRule type="cellIs" dxfId="7262" priority="5479" stopIfTrue="1" operator="equal">
      <formula>"Towel"</formula>
    </cfRule>
    <cfRule type="cellIs" dxfId="7261" priority="5480" stopIfTrue="1" operator="equal">
      <formula>"Napkin Hs"</formula>
    </cfRule>
  </conditionalFormatting>
  <conditionalFormatting sqref="C58:C59">
    <cfRule type="cellIs" dxfId="7260" priority="5481" stopIfTrue="1" operator="equal">
      <formula>"Towel"</formula>
    </cfRule>
  </conditionalFormatting>
  <conditionalFormatting sqref="B59:C59 C58">
    <cfRule type="cellIs" dxfId="7259" priority="5477" stopIfTrue="1" operator="equal">
      <formula>"Towel"</formula>
    </cfRule>
    <cfRule type="cellIs" dxfId="7258" priority="5478" stopIfTrue="1" operator="equal">
      <formula>"Napkin Hs"</formula>
    </cfRule>
  </conditionalFormatting>
  <conditionalFormatting sqref="C58:C59">
    <cfRule type="cellIs" dxfId="7257" priority="5476" stopIfTrue="1" operator="equal">
      <formula>"Napkin Hs"</formula>
    </cfRule>
  </conditionalFormatting>
  <conditionalFormatting sqref="C58:C59">
    <cfRule type="cellIs" dxfId="7256" priority="5473" stopIfTrue="1" operator="equal">
      <formula>"Towel"</formula>
    </cfRule>
    <cfRule type="cellIs" dxfId="7255" priority="5474" stopIfTrue="1" operator="equal">
      <formula>"Napkin Hs"</formula>
    </cfRule>
  </conditionalFormatting>
  <conditionalFormatting sqref="C58:C59">
    <cfRule type="cellIs" dxfId="7254" priority="5475" stopIfTrue="1" operator="equal">
      <formula>"Towel"</formula>
    </cfRule>
  </conditionalFormatting>
  <conditionalFormatting sqref="B59:C59 C58">
    <cfRule type="cellIs" dxfId="7253" priority="5471" stopIfTrue="1" operator="equal">
      <formula>"Towel"</formula>
    </cfRule>
    <cfRule type="cellIs" dxfId="7252" priority="5472" stopIfTrue="1" operator="equal">
      <formula>"Napkin Hs"</formula>
    </cfRule>
  </conditionalFormatting>
  <conditionalFormatting sqref="C58:C59">
    <cfRule type="cellIs" dxfId="7251" priority="5470" stopIfTrue="1" operator="equal">
      <formula>"Napkin Hs"</formula>
    </cfRule>
  </conditionalFormatting>
  <conditionalFormatting sqref="C58:C59">
    <cfRule type="cellIs" dxfId="7250" priority="5467" stopIfTrue="1" operator="equal">
      <formula>"Towel"</formula>
    </cfRule>
    <cfRule type="cellIs" dxfId="7249" priority="5468" stopIfTrue="1" operator="equal">
      <formula>"Napkin Hs"</formula>
    </cfRule>
  </conditionalFormatting>
  <conditionalFormatting sqref="C58:C59">
    <cfRule type="cellIs" dxfId="7248" priority="5469" stopIfTrue="1" operator="equal">
      <formula>"Towel"</formula>
    </cfRule>
  </conditionalFormatting>
  <conditionalFormatting sqref="B59:C59 C58">
    <cfRule type="cellIs" dxfId="7247" priority="5465" stopIfTrue="1" operator="equal">
      <formula>"Towel"</formula>
    </cfRule>
    <cfRule type="cellIs" dxfId="7246" priority="5466" stopIfTrue="1" operator="equal">
      <formula>"Napkin Hs"</formula>
    </cfRule>
  </conditionalFormatting>
  <conditionalFormatting sqref="C58:C59">
    <cfRule type="cellIs" dxfId="7245" priority="5464" stopIfTrue="1" operator="equal">
      <formula>"Napkin Hs"</formula>
    </cfRule>
  </conditionalFormatting>
  <conditionalFormatting sqref="C58:C59">
    <cfRule type="cellIs" dxfId="7244" priority="5461" stopIfTrue="1" operator="equal">
      <formula>"Towel"</formula>
    </cfRule>
    <cfRule type="cellIs" dxfId="7243" priority="5462" stopIfTrue="1" operator="equal">
      <formula>"Napkin Hs"</formula>
    </cfRule>
  </conditionalFormatting>
  <conditionalFormatting sqref="C58:C59">
    <cfRule type="cellIs" dxfId="7242" priority="5463" stopIfTrue="1" operator="equal">
      <formula>"Towel"</formula>
    </cfRule>
  </conditionalFormatting>
  <conditionalFormatting sqref="B59:C59 C58">
    <cfRule type="cellIs" dxfId="7241" priority="5459" stopIfTrue="1" operator="equal">
      <formula>"Towel"</formula>
    </cfRule>
    <cfRule type="cellIs" dxfId="7240" priority="5460" stopIfTrue="1" operator="equal">
      <formula>"Napkin Hs"</formula>
    </cfRule>
  </conditionalFormatting>
  <conditionalFormatting sqref="C58:C59">
    <cfRule type="cellIs" dxfId="7239" priority="5458" stopIfTrue="1" operator="equal">
      <formula>"Napkin Hs"</formula>
    </cfRule>
  </conditionalFormatting>
  <conditionalFormatting sqref="C58:C59">
    <cfRule type="cellIs" dxfId="7238" priority="5455" stopIfTrue="1" operator="equal">
      <formula>"Towel"</formula>
    </cfRule>
    <cfRule type="cellIs" dxfId="7237" priority="5456" stopIfTrue="1" operator="equal">
      <formula>"Napkin Hs"</formula>
    </cfRule>
  </conditionalFormatting>
  <conditionalFormatting sqref="C58:C59">
    <cfRule type="cellIs" dxfId="7236" priority="5457" stopIfTrue="1" operator="equal">
      <formula>"Towel"</formula>
    </cfRule>
  </conditionalFormatting>
  <conditionalFormatting sqref="B57:C57 B58">
    <cfRule type="cellIs" dxfId="7235" priority="5453" stopIfTrue="1" operator="equal">
      <formula>"Towel"</formula>
    </cfRule>
    <cfRule type="cellIs" dxfId="7234" priority="5454" stopIfTrue="1" operator="equal">
      <formula>"Napkin Hs"</formula>
    </cfRule>
  </conditionalFormatting>
  <conditionalFormatting sqref="C57">
    <cfRule type="cellIs" dxfId="7233" priority="5449" stopIfTrue="1" operator="equal">
      <formula>"Towel"</formula>
    </cfRule>
    <cfRule type="cellIs" dxfId="7232" priority="5450" stopIfTrue="1" operator="equal">
      <formula>"Napkin Hs"</formula>
    </cfRule>
  </conditionalFormatting>
  <conditionalFormatting sqref="C57">
    <cfRule type="cellIs" dxfId="7231" priority="5451" stopIfTrue="1" operator="equal">
      <formula>"Towel"</formula>
    </cfRule>
    <cfRule type="cellIs" dxfId="7230" priority="5452" stopIfTrue="1" operator="equal">
      <formula>"Napkin Hs"</formula>
    </cfRule>
  </conditionalFormatting>
  <conditionalFormatting sqref="B57:C57 B58">
    <cfRule type="cellIs" dxfId="7229" priority="5447" stopIfTrue="1" operator="equal">
      <formula>"Towel"</formula>
    </cfRule>
    <cfRule type="cellIs" dxfId="7228" priority="5448" stopIfTrue="1" operator="equal">
      <formula>"Napkin Hs"</formula>
    </cfRule>
  </conditionalFormatting>
  <conditionalFormatting sqref="C57">
    <cfRule type="cellIs" dxfId="7227" priority="5446" stopIfTrue="1" operator="equal">
      <formula>"Napkin Hs"</formula>
    </cfRule>
  </conditionalFormatting>
  <conditionalFormatting sqref="C57">
    <cfRule type="cellIs" dxfId="7226" priority="5443" stopIfTrue="1" operator="equal">
      <formula>"Towel"</formula>
    </cfRule>
    <cfRule type="cellIs" dxfId="7225" priority="5444" stopIfTrue="1" operator="equal">
      <formula>"Napkin Hs"</formula>
    </cfRule>
  </conditionalFormatting>
  <conditionalFormatting sqref="C57">
    <cfRule type="cellIs" dxfId="7224" priority="5445" stopIfTrue="1" operator="equal">
      <formula>"Towel"</formula>
    </cfRule>
  </conditionalFormatting>
  <conditionalFormatting sqref="B57:C57 B58">
    <cfRule type="cellIs" dxfId="7223" priority="5441" stopIfTrue="1" operator="equal">
      <formula>"Towel"</formula>
    </cfRule>
    <cfRule type="cellIs" dxfId="7222" priority="5442" stopIfTrue="1" operator="equal">
      <formula>"Napkin Hs"</formula>
    </cfRule>
  </conditionalFormatting>
  <conditionalFormatting sqref="C57">
    <cfRule type="cellIs" dxfId="7221" priority="5439" stopIfTrue="1" operator="equal">
      <formula>"Towel"</formula>
    </cfRule>
    <cfRule type="cellIs" dxfId="7220" priority="5440" stopIfTrue="1" operator="equal">
      <formula>"Napkin Hs"</formula>
    </cfRule>
  </conditionalFormatting>
  <conditionalFormatting sqref="C57">
    <cfRule type="cellIs" dxfId="7219" priority="5437" stopIfTrue="1" operator="equal">
      <formula>"Towel"</formula>
    </cfRule>
    <cfRule type="cellIs" dxfId="7218" priority="5438" stopIfTrue="1" operator="equal">
      <formula>"Napkin Hs"</formula>
    </cfRule>
  </conditionalFormatting>
  <conditionalFormatting sqref="B57:C57 B58">
    <cfRule type="cellIs" dxfId="7217" priority="5435" stopIfTrue="1" operator="equal">
      <formula>"Towel"</formula>
    </cfRule>
    <cfRule type="cellIs" dxfId="7216" priority="5436" stopIfTrue="1" operator="equal">
      <formula>"Napkin Hs"</formula>
    </cfRule>
  </conditionalFormatting>
  <conditionalFormatting sqref="C57">
    <cfRule type="cellIs" dxfId="7215" priority="5434" stopIfTrue="1" operator="equal">
      <formula>"Napkin Hs"</formula>
    </cfRule>
  </conditionalFormatting>
  <conditionalFormatting sqref="C57">
    <cfRule type="cellIs" dxfId="7214" priority="5431" stopIfTrue="1" operator="equal">
      <formula>"Towel"</formula>
    </cfRule>
    <cfRule type="cellIs" dxfId="7213" priority="5432" stopIfTrue="1" operator="equal">
      <formula>"Napkin Hs"</formula>
    </cfRule>
  </conditionalFormatting>
  <conditionalFormatting sqref="C57">
    <cfRule type="cellIs" dxfId="7212" priority="5433" stopIfTrue="1" operator="equal">
      <formula>"Towel"</formula>
    </cfRule>
  </conditionalFormatting>
  <conditionalFormatting sqref="B57:C57 B58">
    <cfRule type="cellIs" dxfId="7211" priority="5429" stopIfTrue="1" operator="equal">
      <formula>"Towel"</formula>
    </cfRule>
    <cfRule type="cellIs" dxfId="7210" priority="5430" stopIfTrue="1" operator="equal">
      <formula>"Napkin Hs"</formula>
    </cfRule>
  </conditionalFormatting>
  <conditionalFormatting sqref="C57">
    <cfRule type="cellIs" dxfId="7209" priority="5428" stopIfTrue="1" operator="equal">
      <formula>"Napkin Hs"</formula>
    </cfRule>
  </conditionalFormatting>
  <conditionalFormatting sqref="C57">
    <cfRule type="cellIs" dxfId="7208" priority="5427" stopIfTrue="1" operator="equal">
      <formula>"Towel"</formula>
    </cfRule>
  </conditionalFormatting>
  <conditionalFormatting sqref="C57">
    <cfRule type="cellIs" dxfId="7207" priority="5425" stopIfTrue="1" operator="equal">
      <formula>"Towel"</formula>
    </cfRule>
    <cfRule type="cellIs" dxfId="7206" priority="5426" stopIfTrue="1" operator="equal">
      <formula>"Napkin Hs"</formula>
    </cfRule>
  </conditionalFormatting>
  <conditionalFormatting sqref="B57:C57 B58">
    <cfRule type="cellIs" dxfId="7205" priority="5423" stopIfTrue="1" operator="equal">
      <formula>"Towel"</formula>
    </cfRule>
    <cfRule type="cellIs" dxfId="7204" priority="5424" stopIfTrue="1" operator="equal">
      <formula>"Napkin Hs"</formula>
    </cfRule>
  </conditionalFormatting>
  <conditionalFormatting sqref="C57">
    <cfRule type="cellIs" dxfId="7203" priority="5422" stopIfTrue="1" operator="equal">
      <formula>"Napkin Hs"</formula>
    </cfRule>
  </conditionalFormatting>
  <conditionalFormatting sqref="C57">
    <cfRule type="cellIs" dxfId="7202" priority="5419" stopIfTrue="1" operator="equal">
      <formula>"Towel"</formula>
    </cfRule>
    <cfRule type="cellIs" dxfId="7201" priority="5420" stopIfTrue="1" operator="equal">
      <formula>"Napkin Hs"</formula>
    </cfRule>
  </conditionalFormatting>
  <conditionalFormatting sqref="C57">
    <cfRule type="cellIs" dxfId="7200" priority="5421" stopIfTrue="1" operator="equal">
      <formula>"Towel"</formula>
    </cfRule>
  </conditionalFormatting>
  <conditionalFormatting sqref="B57:C57 B58">
    <cfRule type="cellIs" dxfId="7199" priority="5417" stopIfTrue="1" operator="equal">
      <formula>"Towel"</formula>
    </cfRule>
    <cfRule type="cellIs" dxfId="7198" priority="5418" stopIfTrue="1" operator="equal">
      <formula>"Napkin Hs"</formula>
    </cfRule>
  </conditionalFormatting>
  <conditionalFormatting sqref="C57">
    <cfRule type="cellIs" dxfId="7197" priority="5416" stopIfTrue="1" operator="equal">
      <formula>"Napkin Hs"</formula>
    </cfRule>
  </conditionalFormatting>
  <conditionalFormatting sqref="C57">
    <cfRule type="cellIs" dxfId="7196" priority="5413" stopIfTrue="1" operator="equal">
      <formula>"Towel"</formula>
    </cfRule>
    <cfRule type="cellIs" dxfId="7195" priority="5414" stopIfTrue="1" operator="equal">
      <formula>"Napkin Hs"</formula>
    </cfRule>
  </conditionalFormatting>
  <conditionalFormatting sqref="C57">
    <cfRule type="cellIs" dxfId="7194" priority="5415" stopIfTrue="1" operator="equal">
      <formula>"Towel"</formula>
    </cfRule>
  </conditionalFormatting>
  <conditionalFormatting sqref="B57:C57 B58">
    <cfRule type="cellIs" dxfId="7193" priority="5411" stopIfTrue="1" operator="equal">
      <formula>"Towel"</formula>
    </cfRule>
    <cfRule type="cellIs" dxfId="7192" priority="5412" stopIfTrue="1" operator="equal">
      <formula>"Napkin Hs"</formula>
    </cfRule>
  </conditionalFormatting>
  <conditionalFormatting sqref="C57">
    <cfRule type="cellIs" dxfId="7191" priority="5410" stopIfTrue="1" operator="equal">
      <formula>"Napkin Hs"</formula>
    </cfRule>
  </conditionalFormatting>
  <conditionalFormatting sqref="C57">
    <cfRule type="cellIs" dxfId="7190" priority="5407" stopIfTrue="1" operator="equal">
      <formula>"Towel"</formula>
    </cfRule>
    <cfRule type="cellIs" dxfId="7189" priority="5408" stopIfTrue="1" operator="equal">
      <formula>"Napkin Hs"</formula>
    </cfRule>
  </conditionalFormatting>
  <conditionalFormatting sqref="C57">
    <cfRule type="cellIs" dxfId="7188" priority="5409" stopIfTrue="1" operator="equal">
      <formula>"Towel"</formula>
    </cfRule>
  </conditionalFormatting>
  <conditionalFormatting sqref="B57:C57 B58">
    <cfRule type="cellIs" dxfId="7187" priority="5405" stopIfTrue="1" operator="equal">
      <formula>"Towel"</formula>
    </cfRule>
    <cfRule type="cellIs" dxfId="7186" priority="5406" stopIfTrue="1" operator="equal">
      <formula>"Napkin Hs"</formula>
    </cfRule>
  </conditionalFormatting>
  <conditionalFormatting sqref="C57">
    <cfRule type="cellIs" dxfId="7185" priority="5404" stopIfTrue="1" operator="equal">
      <formula>"Napkin Hs"</formula>
    </cfRule>
  </conditionalFormatting>
  <conditionalFormatting sqref="C57">
    <cfRule type="cellIs" dxfId="7184" priority="5401" stopIfTrue="1" operator="equal">
      <formula>"Towel"</formula>
    </cfRule>
    <cfRule type="cellIs" dxfId="7183" priority="5402" stopIfTrue="1" operator="equal">
      <formula>"Napkin Hs"</formula>
    </cfRule>
  </conditionalFormatting>
  <conditionalFormatting sqref="C57">
    <cfRule type="cellIs" dxfId="7182" priority="5403" stopIfTrue="1" operator="equal">
      <formula>"Towel"</formula>
    </cfRule>
  </conditionalFormatting>
  <conditionalFormatting sqref="B57:C57 B58">
    <cfRule type="cellIs" dxfId="7181" priority="5399" stopIfTrue="1" operator="equal">
      <formula>"Towel"</formula>
    </cfRule>
    <cfRule type="cellIs" dxfId="7180" priority="5400" stopIfTrue="1" operator="equal">
      <formula>"Napkin Hs"</formula>
    </cfRule>
  </conditionalFormatting>
  <conditionalFormatting sqref="C57">
    <cfRule type="cellIs" dxfId="7179" priority="5398" stopIfTrue="1" operator="equal">
      <formula>"Napkin Hs"</formula>
    </cfRule>
  </conditionalFormatting>
  <conditionalFormatting sqref="C57">
    <cfRule type="cellIs" dxfId="7178" priority="5395" stopIfTrue="1" operator="equal">
      <formula>"Towel"</formula>
    </cfRule>
    <cfRule type="cellIs" dxfId="7177" priority="5396" stopIfTrue="1" operator="equal">
      <formula>"Napkin Hs"</formula>
    </cfRule>
  </conditionalFormatting>
  <conditionalFormatting sqref="C57">
    <cfRule type="cellIs" dxfId="7176" priority="5397" stopIfTrue="1" operator="equal">
      <formula>"Towel"</formula>
    </cfRule>
  </conditionalFormatting>
  <conditionalFormatting sqref="B57:C57 B58">
    <cfRule type="cellIs" dxfId="7175" priority="5393" stopIfTrue="1" operator="equal">
      <formula>"Towel"</formula>
    </cfRule>
    <cfRule type="cellIs" dxfId="7174" priority="5394" stopIfTrue="1" operator="equal">
      <formula>"Napkin Hs"</formula>
    </cfRule>
  </conditionalFormatting>
  <conditionalFormatting sqref="C57">
    <cfRule type="cellIs" dxfId="7173" priority="5392" stopIfTrue="1" operator="equal">
      <formula>"Napkin Hs"</formula>
    </cfRule>
  </conditionalFormatting>
  <conditionalFormatting sqref="C57">
    <cfRule type="cellIs" dxfId="7172" priority="5389" stopIfTrue="1" operator="equal">
      <formula>"Towel"</formula>
    </cfRule>
    <cfRule type="cellIs" dxfId="7171" priority="5390" stopIfTrue="1" operator="equal">
      <formula>"Napkin Hs"</formula>
    </cfRule>
  </conditionalFormatting>
  <conditionalFormatting sqref="C57">
    <cfRule type="cellIs" dxfId="7170" priority="5391" stopIfTrue="1" operator="equal">
      <formula>"Towel"</formula>
    </cfRule>
  </conditionalFormatting>
  <conditionalFormatting sqref="B57:C57 B58">
    <cfRule type="cellIs" dxfId="7169" priority="5387" stopIfTrue="1" operator="equal">
      <formula>"Towel"</formula>
    </cfRule>
    <cfRule type="cellIs" dxfId="7168" priority="5388" stopIfTrue="1" operator="equal">
      <formula>"Napkin Hs"</formula>
    </cfRule>
  </conditionalFormatting>
  <conditionalFormatting sqref="C57">
    <cfRule type="cellIs" dxfId="7167" priority="5386" stopIfTrue="1" operator="equal">
      <formula>"Napkin Hs"</formula>
    </cfRule>
  </conditionalFormatting>
  <conditionalFormatting sqref="C57">
    <cfRule type="cellIs" dxfId="7166" priority="5383" stopIfTrue="1" operator="equal">
      <formula>"Towel"</formula>
    </cfRule>
    <cfRule type="cellIs" dxfId="7165" priority="5384" stopIfTrue="1" operator="equal">
      <formula>"Napkin Hs"</formula>
    </cfRule>
  </conditionalFormatting>
  <conditionalFormatting sqref="C57">
    <cfRule type="cellIs" dxfId="7164" priority="5385" stopIfTrue="1" operator="equal">
      <formula>"Towel"</formula>
    </cfRule>
  </conditionalFormatting>
  <conditionalFormatting sqref="B57:C57 B58">
    <cfRule type="cellIs" dxfId="7163" priority="5381" stopIfTrue="1" operator="equal">
      <formula>"Towel"</formula>
    </cfRule>
    <cfRule type="cellIs" dxfId="7162" priority="5382" stopIfTrue="1" operator="equal">
      <formula>"Napkin Hs"</formula>
    </cfRule>
  </conditionalFormatting>
  <conditionalFormatting sqref="C57">
    <cfRule type="cellIs" dxfId="7161" priority="5380" stopIfTrue="1" operator="equal">
      <formula>"Napkin Hs"</formula>
    </cfRule>
  </conditionalFormatting>
  <conditionalFormatting sqref="C57">
    <cfRule type="cellIs" dxfId="7160" priority="5377" stopIfTrue="1" operator="equal">
      <formula>"Towel"</formula>
    </cfRule>
    <cfRule type="cellIs" dxfId="7159" priority="5378" stopIfTrue="1" operator="equal">
      <formula>"Napkin Hs"</formula>
    </cfRule>
  </conditionalFormatting>
  <conditionalFormatting sqref="C57">
    <cfRule type="cellIs" dxfId="7158" priority="5379" stopIfTrue="1" operator="equal">
      <formula>"Towel"</formula>
    </cfRule>
  </conditionalFormatting>
  <conditionalFormatting sqref="B57:C57 B58">
    <cfRule type="cellIs" dxfId="7157" priority="5375" stopIfTrue="1" operator="equal">
      <formula>"Towel"</formula>
    </cfRule>
    <cfRule type="cellIs" dxfId="7156" priority="5376" stopIfTrue="1" operator="equal">
      <formula>"Napkin Hs"</formula>
    </cfRule>
  </conditionalFormatting>
  <conditionalFormatting sqref="C57">
    <cfRule type="cellIs" dxfId="7155" priority="5374" stopIfTrue="1" operator="equal">
      <formula>"Napkin Hs"</formula>
    </cfRule>
  </conditionalFormatting>
  <conditionalFormatting sqref="C57">
    <cfRule type="cellIs" dxfId="7154" priority="5371" stopIfTrue="1" operator="equal">
      <formula>"Towel"</formula>
    </cfRule>
    <cfRule type="cellIs" dxfId="7153" priority="5372" stopIfTrue="1" operator="equal">
      <formula>"Napkin Hs"</formula>
    </cfRule>
  </conditionalFormatting>
  <conditionalFormatting sqref="C57">
    <cfRule type="cellIs" dxfId="7152" priority="5373" stopIfTrue="1" operator="equal">
      <formula>"Towel"</formula>
    </cfRule>
  </conditionalFormatting>
  <conditionalFormatting sqref="B57:C57 B58">
    <cfRule type="cellIs" dxfId="7151" priority="5369" stopIfTrue="1" operator="equal">
      <formula>"Towel"</formula>
    </cfRule>
    <cfRule type="cellIs" dxfId="7150" priority="5370" stopIfTrue="1" operator="equal">
      <formula>"Napkin Hs"</formula>
    </cfRule>
  </conditionalFormatting>
  <conditionalFormatting sqref="C57">
    <cfRule type="cellIs" dxfId="7149" priority="5368" stopIfTrue="1" operator="equal">
      <formula>"Napkin Hs"</formula>
    </cfRule>
  </conditionalFormatting>
  <conditionalFormatting sqref="C57">
    <cfRule type="cellIs" dxfId="7148" priority="5365" stopIfTrue="1" operator="equal">
      <formula>"Towel"</formula>
    </cfRule>
    <cfRule type="cellIs" dxfId="7147" priority="5366" stopIfTrue="1" operator="equal">
      <formula>"Napkin Hs"</formula>
    </cfRule>
  </conditionalFormatting>
  <conditionalFormatting sqref="C57">
    <cfRule type="cellIs" dxfId="7146" priority="5367" stopIfTrue="1" operator="equal">
      <formula>"Towel"</formula>
    </cfRule>
  </conditionalFormatting>
  <conditionalFormatting sqref="B57:C57 B58">
    <cfRule type="cellIs" dxfId="7145" priority="5363" stopIfTrue="1" operator="equal">
      <formula>"Towel"</formula>
    </cfRule>
    <cfRule type="cellIs" dxfId="7144" priority="5364" stopIfTrue="1" operator="equal">
      <formula>"Napkin Hs"</formula>
    </cfRule>
  </conditionalFormatting>
  <conditionalFormatting sqref="C57">
    <cfRule type="cellIs" dxfId="7143" priority="5362" stopIfTrue="1" operator="equal">
      <formula>"Napkin Hs"</formula>
    </cfRule>
  </conditionalFormatting>
  <conditionalFormatting sqref="C57">
    <cfRule type="cellIs" dxfId="7142" priority="5361" stopIfTrue="1" operator="equal">
      <formula>"Towel"</formula>
    </cfRule>
  </conditionalFormatting>
  <conditionalFormatting sqref="C57">
    <cfRule type="cellIs" dxfId="7141" priority="5359" stopIfTrue="1" operator="equal">
      <formula>"Towel"</formula>
    </cfRule>
    <cfRule type="cellIs" dxfId="7140" priority="5360" stopIfTrue="1" operator="equal">
      <formula>"Napkin Hs"</formula>
    </cfRule>
  </conditionalFormatting>
  <conditionalFormatting sqref="B57:C57 B58">
    <cfRule type="cellIs" dxfId="7139" priority="5357" stopIfTrue="1" operator="equal">
      <formula>"Towel"</formula>
    </cfRule>
    <cfRule type="cellIs" dxfId="7138" priority="5358" stopIfTrue="1" operator="equal">
      <formula>"Napkin Hs"</formula>
    </cfRule>
  </conditionalFormatting>
  <conditionalFormatting sqref="C57">
    <cfRule type="cellIs" dxfId="7137" priority="5356" stopIfTrue="1" operator="equal">
      <formula>"Napkin Hs"</formula>
    </cfRule>
  </conditionalFormatting>
  <conditionalFormatting sqref="C57">
    <cfRule type="cellIs" dxfId="7136" priority="5353" stopIfTrue="1" operator="equal">
      <formula>"Towel"</formula>
    </cfRule>
    <cfRule type="cellIs" dxfId="7135" priority="5354" stopIfTrue="1" operator="equal">
      <formula>"Napkin Hs"</formula>
    </cfRule>
  </conditionalFormatting>
  <conditionalFormatting sqref="C57">
    <cfRule type="cellIs" dxfId="7134" priority="5355" stopIfTrue="1" operator="equal">
      <formula>"Towel"</formula>
    </cfRule>
  </conditionalFormatting>
  <conditionalFormatting sqref="B57:C57 B58">
    <cfRule type="cellIs" dxfId="7133" priority="5351" stopIfTrue="1" operator="equal">
      <formula>"Towel"</formula>
    </cfRule>
    <cfRule type="cellIs" dxfId="7132" priority="5352" stopIfTrue="1" operator="equal">
      <formula>"Napkin Hs"</formula>
    </cfRule>
  </conditionalFormatting>
  <conditionalFormatting sqref="C57">
    <cfRule type="cellIs" dxfId="7131" priority="5350" stopIfTrue="1" operator="equal">
      <formula>"Napkin Hs"</formula>
    </cfRule>
  </conditionalFormatting>
  <conditionalFormatting sqref="C57">
    <cfRule type="cellIs" dxfId="7130" priority="5347" stopIfTrue="1" operator="equal">
      <formula>"Towel"</formula>
    </cfRule>
    <cfRule type="cellIs" dxfId="7129" priority="5348" stopIfTrue="1" operator="equal">
      <formula>"Napkin Hs"</formula>
    </cfRule>
  </conditionalFormatting>
  <conditionalFormatting sqref="C57">
    <cfRule type="cellIs" dxfId="7128" priority="5349" stopIfTrue="1" operator="equal">
      <formula>"Towel"</formula>
    </cfRule>
  </conditionalFormatting>
  <conditionalFormatting sqref="B57:C57 B58">
    <cfRule type="cellIs" dxfId="7127" priority="5345" stopIfTrue="1" operator="equal">
      <formula>"Towel"</formula>
    </cfRule>
    <cfRule type="cellIs" dxfId="7126" priority="5346" stopIfTrue="1" operator="equal">
      <formula>"Napkin Hs"</formula>
    </cfRule>
  </conditionalFormatting>
  <conditionalFormatting sqref="C57">
    <cfRule type="cellIs" dxfId="7125" priority="5344" stopIfTrue="1" operator="equal">
      <formula>"Napkin Hs"</formula>
    </cfRule>
  </conditionalFormatting>
  <conditionalFormatting sqref="C57">
    <cfRule type="cellIs" dxfId="7124" priority="5341" stopIfTrue="1" operator="equal">
      <formula>"Towel"</formula>
    </cfRule>
    <cfRule type="cellIs" dxfId="7123" priority="5342" stopIfTrue="1" operator="equal">
      <formula>"Napkin Hs"</formula>
    </cfRule>
  </conditionalFormatting>
  <conditionalFormatting sqref="C57">
    <cfRule type="cellIs" dxfId="7122" priority="5343" stopIfTrue="1" operator="equal">
      <formula>"Towel"</formula>
    </cfRule>
  </conditionalFormatting>
  <conditionalFormatting sqref="B57:C57 B58">
    <cfRule type="cellIs" dxfId="7121" priority="5339" stopIfTrue="1" operator="equal">
      <formula>"Towel"</formula>
    </cfRule>
    <cfRule type="cellIs" dxfId="7120" priority="5340" stopIfTrue="1" operator="equal">
      <formula>"Napkin Hs"</formula>
    </cfRule>
  </conditionalFormatting>
  <conditionalFormatting sqref="C57">
    <cfRule type="cellIs" dxfId="7119" priority="5338" stopIfTrue="1" operator="equal">
      <formula>"Napkin Hs"</formula>
    </cfRule>
  </conditionalFormatting>
  <conditionalFormatting sqref="C57">
    <cfRule type="cellIs" dxfId="7118" priority="5335" stopIfTrue="1" operator="equal">
      <formula>"Towel"</formula>
    </cfRule>
    <cfRule type="cellIs" dxfId="7117" priority="5336" stopIfTrue="1" operator="equal">
      <formula>"Napkin Hs"</formula>
    </cfRule>
  </conditionalFormatting>
  <conditionalFormatting sqref="C57">
    <cfRule type="cellIs" dxfId="7116" priority="5337" stopIfTrue="1" operator="equal">
      <formula>"Towel"</formula>
    </cfRule>
  </conditionalFormatting>
  <conditionalFormatting sqref="B57:C57 B58">
    <cfRule type="cellIs" dxfId="7115" priority="5333" stopIfTrue="1" operator="equal">
      <formula>"Towel"</formula>
    </cfRule>
    <cfRule type="cellIs" dxfId="7114" priority="5334" stopIfTrue="1" operator="equal">
      <formula>"Napkin Hs"</formula>
    </cfRule>
  </conditionalFormatting>
  <conditionalFormatting sqref="C57">
    <cfRule type="cellIs" dxfId="7113" priority="5332" stopIfTrue="1" operator="equal">
      <formula>"Napkin Hs"</formula>
    </cfRule>
  </conditionalFormatting>
  <conditionalFormatting sqref="C57">
    <cfRule type="cellIs" dxfId="7112" priority="5329" stopIfTrue="1" operator="equal">
      <formula>"Towel"</formula>
    </cfRule>
    <cfRule type="cellIs" dxfId="7111" priority="5330" stopIfTrue="1" operator="equal">
      <formula>"Napkin Hs"</formula>
    </cfRule>
  </conditionalFormatting>
  <conditionalFormatting sqref="C57">
    <cfRule type="cellIs" dxfId="7110" priority="5331" stopIfTrue="1" operator="equal">
      <formula>"Towel"</formula>
    </cfRule>
  </conditionalFormatting>
  <conditionalFormatting sqref="B57:C57 B58">
    <cfRule type="cellIs" dxfId="7109" priority="5327" stopIfTrue="1" operator="equal">
      <formula>"Towel"</formula>
    </cfRule>
    <cfRule type="cellIs" dxfId="7108" priority="5328" stopIfTrue="1" operator="equal">
      <formula>"Napkin Hs"</formula>
    </cfRule>
  </conditionalFormatting>
  <conditionalFormatting sqref="C57">
    <cfRule type="cellIs" dxfId="7107" priority="5326" stopIfTrue="1" operator="equal">
      <formula>"Napkin Hs"</formula>
    </cfRule>
  </conditionalFormatting>
  <conditionalFormatting sqref="C57">
    <cfRule type="cellIs" dxfId="7106" priority="5323" stopIfTrue="1" operator="equal">
      <formula>"Towel"</formula>
    </cfRule>
    <cfRule type="cellIs" dxfId="7105" priority="5324" stopIfTrue="1" operator="equal">
      <formula>"Napkin Hs"</formula>
    </cfRule>
  </conditionalFormatting>
  <conditionalFormatting sqref="C57">
    <cfRule type="cellIs" dxfId="7104" priority="5325" stopIfTrue="1" operator="equal">
      <formula>"Towel"</formula>
    </cfRule>
  </conditionalFormatting>
  <conditionalFormatting sqref="B57:C57 B58">
    <cfRule type="cellIs" dxfId="7103" priority="5321" stopIfTrue="1" operator="equal">
      <formula>"Towel"</formula>
    </cfRule>
    <cfRule type="cellIs" dxfId="7102" priority="5322" stopIfTrue="1" operator="equal">
      <formula>"Napkin Hs"</formula>
    </cfRule>
  </conditionalFormatting>
  <conditionalFormatting sqref="C57">
    <cfRule type="cellIs" dxfId="7101" priority="5320" stopIfTrue="1" operator="equal">
      <formula>"Napkin Hs"</formula>
    </cfRule>
  </conditionalFormatting>
  <conditionalFormatting sqref="C57">
    <cfRule type="cellIs" dxfId="7100" priority="5317" stopIfTrue="1" operator="equal">
      <formula>"Towel"</formula>
    </cfRule>
    <cfRule type="cellIs" dxfId="7099" priority="5318" stopIfTrue="1" operator="equal">
      <formula>"Napkin Hs"</formula>
    </cfRule>
  </conditionalFormatting>
  <conditionalFormatting sqref="C57">
    <cfRule type="cellIs" dxfId="7098" priority="5319" stopIfTrue="1" operator="equal">
      <formula>"Towel"</formula>
    </cfRule>
  </conditionalFormatting>
  <conditionalFormatting sqref="B57:C57 B58">
    <cfRule type="cellIs" dxfId="7097" priority="5315" stopIfTrue="1" operator="equal">
      <formula>"Towel"</formula>
    </cfRule>
    <cfRule type="cellIs" dxfId="7096" priority="5316" stopIfTrue="1" operator="equal">
      <formula>"Napkin Hs"</formula>
    </cfRule>
  </conditionalFormatting>
  <conditionalFormatting sqref="C57">
    <cfRule type="cellIs" dxfId="7095" priority="5314" stopIfTrue="1" operator="equal">
      <formula>"Napkin Hs"</formula>
    </cfRule>
  </conditionalFormatting>
  <conditionalFormatting sqref="C57">
    <cfRule type="cellIs" dxfId="7094" priority="5311" stopIfTrue="1" operator="equal">
      <formula>"Towel"</formula>
    </cfRule>
    <cfRule type="cellIs" dxfId="7093" priority="5312" stopIfTrue="1" operator="equal">
      <formula>"Napkin Hs"</formula>
    </cfRule>
  </conditionalFormatting>
  <conditionalFormatting sqref="C57">
    <cfRule type="cellIs" dxfId="7092" priority="5313" stopIfTrue="1" operator="equal">
      <formula>"Towel"</formula>
    </cfRule>
  </conditionalFormatting>
  <conditionalFormatting sqref="B57:C57 B58">
    <cfRule type="cellIs" dxfId="7091" priority="5309" stopIfTrue="1" operator="equal">
      <formula>"Towel"</formula>
    </cfRule>
    <cfRule type="cellIs" dxfId="7090" priority="5310" stopIfTrue="1" operator="equal">
      <formula>"Napkin Hs"</formula>
    </cfRule>
  </conditionalFormatting>
  <conditionalFormatting sqref="C57">
    <cfRule type="cellIs" dxfId="7089" priority="5308" stopIfTrue="1" operator="equal">
      <formula>"Napkin Hs"</formula>
    </cfRule>
  </conditionalFormatting>
  <conditionalFormatting sqref="C57">
    <cfRule type="cellIs" dxfId="7088" priority="5305" stopIfTrue="1" operator="equal">
      <formula>"Towel"</formula>
    </cfRule>
    <cfRule type="cellIs" dxfId="7087" priority="5306" stopIfTrue="1" operator="equal">
      <formula>"Napkin Hs"</formula>
    </cfRule>
  </conditionalFormatting>
  <conditionalFormatting sqref="C57">
    <cfRule type="cellIs" dxfId="7086" priority="5307" stopIfTrue="1" operator="equal">
      <formula>"Towel"</formula>
    </cfRule>
  </conditionalFormatting>
  <conditionalFormatting sqref="B61:C63">
    <cfRule type="cellIs" dxfId="7085" priority="5303" stopIfTrue="1" operator="equal">
      <formula>"Towel"</formula>
    </cfRule>
    <cfRule type="cellIs" dxfId="7084" priority="5304" stopIfTrue="1" operator="equal">
      <formula>"Napkin Hs"</formula>
    </cfRule>
  </conditionalFormatting>
  <conditionalFormatting sqref="C61:C63">
    <cfRule type="cellIs" dxfId="7083" priority="5299" stopIfTrue="1" operator="equal">
      <formula>"Towel"</formula>
    </cfRule>
    <cfRule type="cellIs" dxfId="7082" priority="5300" stopIfTrue="1" operator="equal">
      <formula>"Napkin Hs"</formula>
    </cfRule>
  </conditionalFormatting>
  <conditionalFormatting sqref="C61:C63">
    <cfRule type="cellIs" dxfId="7081" priority="5301" stopIfTrue="1" operator="equal">
      <formula>"Towel"</formula>
    </cfRule>
    <cfRule type="cellIs" dxfId="7080" priority="5302" stopIfTrue="1" operator="equal">
      <formula>"Napkin Hs"</formula>
    </cfRule>
  </conditionalFormatting>
  <conditionalFormatting sqref="B61:C63">
    <cfRule type="cellIs" dxfId="7079" priority="5297" stopIfTrue="1" operator="equal">
      <formula>"Towel"</formula>
    </cfRule>
    <cfRule type="cellIs" dxfId="7078" priority="5298" stopIfTrue="1" operator="equal">
      <formula>"Napkin Hs"</formula>
    </cfRule>
  </conditionalFormatting>
  <conditionalFormatting sqref="C61:C63">
    <cfRule type="cellIs" dxfId="7077" priority="5296" stopIfTrue="1" operator="equal">
      <formula>"Napkin Hs"</formula>
    </cfRule>
  </conditionalFormatting>
  <conditionalFormatting sqref="C61:C63">
    <cfRule type="cellIs" dxfId="7076" priority="5293" stopIfTrue="1" operator="equal">
      <formula>"Towel"</formula>
    </cfRule>
    <cfRule type="cellIs" dxfId="7075" priority="5294" stopIfTrue="1" operator="equal">
      <formula>"Napkin Hs"</formula>
    </cfRule>
  </conditionalFormatting>
  <conditionalFormatting sqref="C61:C63">
    <cfRule type="cellIs" dxfId="7074" priority="5295" stopIfTrue="1" operator="equal">
      <formula>"Towel"</formula>
    </cfRule>
  </conditionalFormatting>
  <conditionalFormatting sqref="B61:C63">
    <cfRule type="cellIs" dxfId="7073" priority="5291" stopIfTrue="1" operator="equal">
      <formula>"Towel"</formula>
    </cfRule>
    <cfRule type="cellIs" dxfId="7072" priority="5292" stopIfTrue="1" operator="equal">
      <formula>"Napkin Hs"</formula>
    </cfRule>
  </conditionalFormatting>
  <conditionalFormatting sqref="C61:C63">
    <cfRule type="cellIs" dxfId="7071" priority="5289" stopIfTrue="1" operator="equal">
      <formula>"Towel"</formula>
    </cfRule>
    <cfRule type="cellIs" dxfId="7070" priority="5290" stopIfTrue="1" operator="equal">
      <formula>"Napkin Hs"</formula>
    </cfRule>
  </conditionalFormatting>
  <conditionalFormatting sqref="C61:C63">
    <cfRule type="cellIs" dxfId="7069" priority="5287" stopIfTrue="1" operator="equal">
      <formula>"Towel"</formula>
    </cfRule>
    <cfRule type="cellIs" dxfId="7068" priority="5288" stopIfTrue="1" operator="equal">
      <formula>"Napkin Hs"</formula>
    </cfRule>
  </conditionalFormatting>
  <conditionalFormatting sqref="B61:C63">
    <cfRule type="cellIs" dxfId="7067" priority="5285" stopIfTrue="1" operator="equal">
      <formula>"Towel"</formula>
    </cfRule>
    <cfRule type="cellIs" dxfId="7066" priority="5286" stopIfTrue="1" operator="equal">
      <formula>"Napkin Hs"</formula>
    </cfRule>
  </conditionalFormatting>
  <conditionalFormatting sqref="C61:C63">
    <cfRule type="cellIs" dxfId="7065" priority="5284" stopIfTrue="1" operator="equal">
      <formula>"Napkin Hs"</formula>
    </cfRule>
  </conditionalFormatting>
  <conditionalFormatting sqref="C61:C63">
    <cfRule type="cellIs" dxfId="7064" priority="5281" stopIfTrue="1" operator="equal">
      <formula>"Towel"</formula>
    </cfRule>
    <cfRule type="cellIs" dxfId="7063" priority="5282" stopIfTrue="1" operator="equal">
      <formula>"Napkin Hs"</formula>
    </cfRule>
  </conditionalFormatting>
  <conditionalFormatting sqref="C61:C63">
    <cfRule type="cellIs" dxfId="7062" priority="5283" stopIfTrue="1" operator="equal">
      <formula>"Towel"</formula>
    </cfRule>
  </conditionalFormatting>
  <conditionalFormatting sqref="B61:C63">
    <cfRule type="cellIs" dxfId="7061" priority="5279" stopIfTrue="1" operator="equal">
      <formula>"Towel"</formula>
    </cfRule>
    <cfRule type="cellIs" dxfId="7060" priority="5280" stopIfTrue="1" operator="equal">
      <formula>"Napkin Hs"</formula>
    </cfRule>
  </conditionalFormatting>
  <conditionalFormatting sqref="C61:C63">
    <cfRule type="cellIs" dxfId="7059" priority="5278" stopIfTrue="1" operator="equal">
      <formula>"Napkin Hs"</formula>
    </cfRule>
  </conditionalFormatting>
  <conditionalFormatting sqref="C61:C63">
    <cfRule type="cellIs" dxfId="7058" priority="5277" stopIfTrue="1" operator="equal">
      <formula>"Towel"</formula>
    </cfRule>
  </conditionalFormatting>
  <conditionalFormatting sqref="C61:C63">
    <cfRule type="cellIs" dxfId="7057" priority="5275" stopIfTrue="1" operator="equal">
      <formula>"Towel"</formula>
    </cfRule>
    <cfRule type="cellIs" dxfId="7056" priority="5276" stopIfTrue="1" operator="equal">
      <formula>"Napkin Hs"</formula>
    </cfRule>
  </conditionalFormatting>
  <conditionalFormatting sqref="B61:C63">
    <cfRule type="cellIs" dxfId="7055" priority="5273" stopIfTrue="1" operator="equal">
      <formula>"Towel"</formula>
    </cfRule>
    <cfRule type="cellIs" dxfId="7054" priority="5274" stopIfTrue="1" operator="equal">
      <formula>"Napkin Hs"</formula>
    </cfRule>
  </conditionalFormatting>
  <conditionalFormatting sqref="C61:C63">
    <cfRule type="cellIs" dxfId="7053" priority="5272" stopIfTrue="1" operator="equal">
      <formula>"Napkin Hs"</formula>
    </cfRule>
  </conditionalFormatting>
  <conditionalFormatting sqref="C61:C63">
    <cfRule type="cellIs" dxfId="7052" priority="5269" stopIfTrue="1" operator="equal">
      <formula>"Towel"</formula>
    </cfRule>
    <cfRule type="cellIs" dxfId="7051" priority="5270" stopIfTrue="1" operator="equal">
      <formula>"Napkin Hs"</formula>
    </cfRule>
  </conditionalFormatting>
  <conditionalFormatting sqref="C61:C63">
    <cfRule type="cellIs" dxfId="7050" priority="5271" stopIfTrue="1" operator="equal">
      <formula>"Towel"</formula>
    </cfRule>
  </conditionalFormatting>
  <conditionalFormatting sqref="B61:C63">
    <cfRule type="cellIs" dxfId="7049" priority="5267" stopIfTrue="1" operator="equal">
      <formula>"Towel"</formula>
    </cfRule>
    <cfRule type="cellIs" dxfId="7048" priority="5268" stopIfTrue="1" operator="equal">
      <formula>"Napkin Hs"</formula>
    </cfRule>
  </conditionalFormatting>
  <conditionalFormatting sqref="C61:C63">
    <cfRule type="cellIs" dxfId="7047" priority="5266" stopIfTrue="1" operator="equal">
      <formula>"Napkin Hs"</formula>
    </cfRule>
  </conditionalFormatting>
  <conditionalFormatting sqref="C61:C63">
    <cfRule type="cellIs" dxfId="7046" priority="5263" stopIfTrue="1" operator="equal">
      <formula>"Towel"</formula>
    </cfRule>
    <cfRule type="cellIs" dxfId="7045" priority="5264" stopIfTrue="1" operator="equal">
      <formula>"Napkin Hs"</formula>
    </cfRule>
  </conditionalFormatting>
  <conditionalFormatting sqref="C61:C63">
    <cfRule type="cellIs" dxfId="7044" priority="5265" stopIfTrue="1" operator="equal">
      <formula>"Towel"</formula>
    </cfRule>
  </conditionalFormatting>
  <conditionalFormatting sqref="B61:C63">
    <cfRule type="cellIs" dxfId="7043" priority="5261" stopIfTrue="1" operator="equal">
      <formula>"Towel"</formula>
    </cfRule>
    <cfRule type="cellIs" dxfId="7042" priority="5262" stopIfTrue="1" operator="equal">
      <formula>"Napkin Hs"</formula>
    </cfRule>
  </conditionalFormatting>
  <conditionalFormatting sqref="C61:C63">
    <cfRule type="cellIs" dxfId="7041" priority="5260" stopIfTrue="1" operator="equal">
      <formula>"Napkin Hs"</formula>
    </cfRule>
  </conditionalFormatting>
  <conditionalFormatting sqref="C61:C63">
    <cfRule type="cellIs" dxfId="7040" priority="5257" stopIfTrue="1" operator="equal">
      <formula>"Towel"</formula>
    </cfRule>
    <cfRule type="cellIs" dxfId="7039" priority="5258" stopIfTrue="1" operator="equal">
      <formula>"Napkin Hs"</formula>
    </cfRule>
  </conditionalFormatting>
  <conditionalFormatting sqref="C61:C63">
    <cfRule type="cellIs" dxfId="7038" priority="5259" stopIfTrue="1" operator="equal">
      <formula>"Towel"</formula>
    </cfRule>
  </conditionalFormatting>
  <conditionalFormatting sqref="B61:C63">
    <cfRule type="cellIs" dxfId="7037" priority="5255" stopIfTrue="1" operator="equal">
      <formula>"Towel"</formula>
    </cfRule>
    <cfRule type="cellIs" dxfId="7036" priority="5256" stopIfTrue="1" operator="equal">
      <formula>"Napkin Hs"</formula>
    </cfRule>
  </conditionalFormatting>
  <conditionalFormatting sqref="C61:C63">
    <cfRule type="cellIs" dxfId="7035" priority="5254" stopIfTrue="1" operator="equal">
      <formula>"Napkin Hs"</formula>
    </cfRule>
  </conditionalFormatting>
  <conditionalFormatting sqref="C61:C63">
    <cfRule type="cellIs" dxfId="7034" priority="5251" stopIfTrue="1" operator="equal">
      <formula>"Towel"</formula>
    </cfRule>
    <cfRule type="cellIs" dxfId="7033" priority="5252" stopIfTrue="1" operator="equal">
      <formula>"Napkin Hs"</formula>
    </cfRule>
  </conditionalFormatting>
  <conditionalFormatting sqref="C61:C63">
    <cfRule type="cellIs" dxfId="7032" priority="5253" stopIfTrue="1" operator="equal">
      <formula>"Towel"</formula>
    </cfRule>
  </conditionalFormatting>
  <conditionalFormatting sqref="B61:C63">
    <cfRule type="cellIs" dxfId="7031" priority="5249" stopIfTrue="1" operator="equal">
      <formula>"Towel"</formula>
    </cfRule>
    <cfRule type="cellIs" dxfId="7030" priority="5250" stopIfTrue="1" operator="equal">
      <formula>"Napkin Hs"</formula>
    </cfRule>
  </conditionalFormatting>
  <conditionalFormatting sqref="C61:C63">
    <cfRule type="cellIs" dxfId="7029" priority="5248" stopIfTrue="1" operator="equal">
      <formula>"Napkin Hs"</formula>
    </cfRule>
  </conditionalFormatting>
  <conditionalFormatting sqref="C61:C63">
    <cfRule type="cellIs" dxfId="7028" priority="5245" stopIfTrue="1" operator="equal">
      <formula>"Towel"</formula>
    </cfRule>
    <cfRule type="cellIs" dxfId="7027" priority="5246" stopIfTrue="1" operator="equal">
      <formula>"Napkin Hs"</formula>
    </cfRule>
  </conditionalFormatting>
  <conditionalFormatting sqref="C61:C63">
    <cfRule type="cellIs" dxfId="7026" priority="5247" stopIfTrue="1" operator="equal">
      <formula>"Towel"</formula>
    </cfRule>
  </conditionalFormatting>
  <conditionalFormatting sqref="B61:C63">
    <cfRule type="cellIs" dxfId="7025" priority="5243" stopIfTrue="1" operator="equal">
      <formula>"Towel"</formula>
    </cfRule>
    <cfRule type="cellIs" dxfId="7024" priority="5244" stopIfTrue="1" operator="equal">
      <formula>"Napkin Hs"</formula>
    </cfRule>
  </conditionalFormatting>
  <conditionalFormatting sqref="C61:C63">
    <cfRule type="cellIs" dxfId="7023" priority="5242" stopIfTrue="1" operator="equal">
      <formula>"Napkin Hs"</formula>
    </cfRule>
  </conditionalFormatting>
  <conditionalFormatting sqref="C61:C63">
    <cfRule type="cellIs" dxfId="7022" priority="5239" stopIfTrue="1" operator="equal">
      <formula>"Towel"</formula>
    </cfRule>
    <cfRule type="cellIs" dxfId="7021" priority="5240" stopIfTrue="1" operator="equal">
      <formula>"Napkin Hs"</formula>
    </cfRule>
  </conditionalFormatting>
  <conditionalFormatting sqref="C61:C63">
    <cfRule type="cellIs" dxfId="7020" priority="5241" stopIfTrue="1" operator="equal">
      <formula>"Towel"</formula>
    </cfRule>
  </conditionalFormatting>
  <conditionalFormatting sqref="B61:C63">
    <cfRule type="cellIs" dxfId="7019" priority="5237" stopIfTrue="1" operator="equal">
      <formula>"Towel"</formula>
    </cfRule>
    <cfRule type="cellIs" dxfId="7018" priority="5238" stopIfTrue="1" operator="equal">
      <formula>"Napkin Hs"</formula>
    </cfRule>
  </conditionalFormatting>
  <conditionalFormatting sqref="C61:C63">
    <cfRule type="cellIs" dxfId="7017" priority="5236" stopIfTrue="1" operator="equal">
      <formula>"Napkin Hs"</formula>
    </cfRule>
  </conditionalFormatting>
  <conditionalFormatting sqref="C61:C63">
    <cfRule type="cellIs" dxfId="7016" priority="5233" stopIfTrue="1" operator="equal">
      <formula>"Towel"</formula>
    </cfRule>
    <cfRule type="cellIs" dxfId="7015" priority="5234" stopIfTrue="1" operator="equal">
      <formula>"Napkin Hs"</formula>
    </cfRule>
  </conditionalFormatting>
  <conditionalFormatting sqref="C61:C63">
    <cfRule type="cellIs" dxfId="7014" priority="5235" stopIfTrue="1" operator="equal">
      <formula>"Towel"</formula>
    </cfRule>
  </conditionalFormatting>
  <conditionalFormatting sqref="B61:C63">
    <cfRule type="cellIs" dxfId="7013" priority="5231" stopIfTrue="1" operator="equal">
      <formula>"Towel"</formula>
    </cfRule>
    <cfRule type="cellIs" dxfId="7012" priority="5232" stopIfTrue="1" operator="equal">
      <formula>"Napkin Hs"</formula>
    </cfRule>
  </conditionalFormatting>
  <conditionalFormatting sqref="C61:C63">
    <cfRule type="cellIs" dxfId="7011" priority="5230" stopIfTrue="1" operator="equal">
      <formula>"Napkin Hs"</formula>
    </cfRule>
  </conditionalFormatting>
  <conditionalFormatting sqref="C61:C63">
    <cfRule type="cellIs" dxfId="7010" priority="5227" stopIfTrue="1" operator="equal">
      <formula>"Towel"</formula>
    </cfRule>
    <cfRule type="cellIs" dxfId="7009" priority="5228" stopIfTrue="1" operator="equal">
      <formula>"Napkin Hs"</formula>
    </cfRule>
  </conditionalFormatting>
  <conditionalFormatting sqref="C61:C63">
    <cfRule type="cellIs" dxfId="7008" priority="5229" stopIfTrue="1" operator="equal">
      <formula>"Towel"</formula>
    </cfRule>
  </conditionalFormatting>
  <conditionalFormatting sqref="B61:C63">
    <cfRule type="cellIs" dxfId="7007" priority="5225" stopIfTrue="1" operator="equal">
      <formula>"Towel"</formula>
    </cfRule>
    <cfRule type="cellIs" dxfId="7006" priority="5226" stopIfTrue="1" operator="equal">
      <formula>"Napkin Hs"</formula>
    </cfRule>
  </conditionalFormatting>
  <conditionalFormatting sqref="C61:C63">
    <cfRule type="cellIs" dxfId="7005" priority="5224" stopIfTrue="1" operator="equal">
      <formula>"Napkin Hs"</formula>
    </cfRule>
  </conditionalFormatting>
  <conditionalFormatting sqref="C61:C63">
    <cfRule type="cellIs" dxfId="7004" priority="5221" stopIfTrue="1" operator="equal">
      <formula>"Towel"</formula>
    </cfRule>
    <cfRule type="cellIs" dxfId="7003" priority="5222" stopIfTrue="1" operator="equal">
      <formula>"Napkin Hs"</formula>
    </cfRule>
  </conditionalFormatting>
  <conditionalFormatting sqref="C61:C63">
    <cfRule type="cellIs" dxfId="7002" priority="5223" stopIfTrue="1" operator="equal">
      <formula>"Towel"</formula>
    </cfRule>
  </conditionalFormatting>
  <conditionalFormatting sqref="B61:C63">
    <cfRule type="cellIs" dxfId="7001" priority="5219" stopIfTrue="1" operator="equal">
      <formula>"Towel"</formula>
    </cfRule>
    <cfRule type="cellIs" dxfId="7000" priority="5220" stopIfTrue="1" operator="equal">
      <formula>"Napkin Hs"</formula>
    </cfRule>
  </conditionalFormatting>
  <conditionalFormatting sqref="C61:C63">
    <cfRule type="cellIs" dxfId="6999" priority="5218" stopIfTrue="1" operator="equal">
      <formula>"Napkin Hs"</formula>
    </cfRule>
  </conditionalFormatting>
  <conditionalFormatting sqref="C61:C63">
    <cfRule type="cellIs" dxfId="6998" priority="5215" stopIfTrue="1" operator="equal">
      <formula>"Towel"</formula>
    </cfRule>
    <cfRule type="cellIs" dxfId="6997" priority="5216" stopIfTrue="1" operator="equal">
      <formula>"Napkin Hs"</formula>
    </cfRule>
  </conditionalFormatting>
  <conditionalFormatting sqref="C61:C63">
    <cfRule type="cellIs" dxfId="6996" priority="5217" stopIfTrue="1" operator="equal">
      <formula>"Towel"</formula>
    </cfRule>
  </conditionalFormatting>
  <conditionalFormatting sqref="B61:C63">
    <cfRule type="cellIs" dxfId="6995" priority="5213" stopIfTrue="1" operator="equal">
      <formula>"Towel"</formula>
    </cfRule>
    <cfRule type="cellIs" dxfId="6994" priority="5214" stopIfTrue="1" operator="equal">
      <formula>"Napkin Hs"</formula>
    </cfRule>
  </conditionalFormatting>
  <conditionalFormatting sqref="C61:C63">
    <cfRule type="cellIs" dxfId="6993" priority="5212" stopIfTrue="1" operator="equal">
      <formula>"Napkin Hs"</formula>
    </cfRule>
  </conditionalFormatting>
  <conditionalFormatting sqref="C61:C63">
    <cfRule type="cellIs" dxfId="6992" priority="5211" stopIfTrue="1" operator="equal">
      <formula>"Towel"</formula>
    </cfRule>
  </conditionalFormatting>
  <conditionalFormatting sqref="C61:C63">
    <cfRule type="cellIs" dxfId="6991" priority="5209" stopIfTrue="1" operator="equal">
      <formula>"Towel"</formula>
    </cfRule>
    <cfRule type="cellIs" dxfId="6990" priority="5210" stopIfTrue="1" operator="equal">
      <formula>"Napkin Hs"</formula>
    </cfRule>
  </conditionalFormatting>
  <conditionalFormatting sqref="B61:C63">
    <cfRule type="cellIs" dxfId="6989" priority="5207" stopIfTrue="1" operator="equal">
      <formula>"Towel"</formula>
    </cfRule>
    <cfRule type="cellIs" dxfId="6988" priority="5208" stopIfTrue="1" operator="equal">
      <formula>"Napkin Hs"</formula>
    </cfRule>
  </conditionalFormatting>
  <conditionalFormatting sqref="C61:C63">
    <cfRule type="cellIs" dxfId="6987" priority="5206" stopIfTrue="1" operator="equal">
      <formula>"Napkin Hs"</formula>
    </cfRule>
  </conditionalFormatting>
  <conditionalFormatting sqref="C61:C63">
    <cfRule type="cellIs" dxfId="6986" priority="5203" stopIfTrue="1" operator="equal">
      <formula>"Towel"</formula>
    </cfRule>
    <cfRule type="cellIs" dxfId="6985" priority="5204" stopIfTrue="1" operator="equal">
      <formula>"Napkin Hs"</formula>
    </cfRule>
  </conditionalFormatting>
  <conditionalFormatting sqref="C61:C63">
    <cfRule type="cellIs" dxfId="6984" priority="5205" stopIfTrue="1" operator="equal">
      <formula>"Towel"</formula>
    </cfRule>
  </conditionalFormatting>
  <conditionalFormatting sqref="B61:C63">
    <cfRule type="cellIs" dxfId="6983" priority="5201" stopIfTrue="1" operator="equal">
      <formula>"Towel"</formula>
    </cfRule>
    <cfRule type="cellIs" dxfId="6982" priority="5202" stopIfTrue="1" operator="equal">
      <formula>"Napkin Hs"</formula>
    </cfRule>
  </conditionalFormatting>
  <conditionalFormatting sqref="C61:C63">
    <cfRule type="cellIs" dxfId="6981" priority="5200" stopIfTrue="1" operator="equal">
      <formula>"Napkin Hs"</formula>
    </cfRule>
  </conditionalFormatting>
  <conditionalFormatting sqref="C61:C63">
    <cfRule type="cellIs" dxfId="6980" priority="5197" stopIfTrue="1" operator="equal">
      <formula>"Towel"</formula>
    </cfRule>
    <cfRule type="cellIs" dxfId="6979" priority="5198" stopIfTrue="1" operator="equal">
      <formula>"Napkin Hs"</formula>
    </cfRule>
  </conditionalFormatting>
  <conditionalFormatting sqref="C61:C63">
    <cfRule type="cellIs" dxfId="6978" priority="5199" stopIfTrue="1" operator="equal">
      <formula>"Towel"</formula>
    </cfRule>
  </conditionalFormatting>
  <conditionalFormatting sqref="B61:C63">
    <cfRule type="cellIs" dxfId="6977" priority="5195" stopIfTrue="1" operator="equal">
      <formula>"Towel"</formula>
    </cfRule>
    <cfRule type="cellIs" dxfId="6976" priority="5196" stopIfTrue="1" operator="equal">
      <formula>"Napkin Hs"</formula>
    </cfRule>
  </conditionalFormatting>
  <conditionalFormatting sqref="C61:C63">
    <cfRule type="cellIs" dxfId="6975" priority="5194" stopIfTrue="1" operator="equal">
      <formula>"Napkin Hs"</formula>
    </cfRule>
  </conditionalFormatting>
  <conditionalFormatting sqref="C61:C63">
    <cfRule type="cellIs" dxfId="6974" priority="5191" stopIfTrue="1" operator="equal">
      <formula>"Towel"</formula>
    </cfRule>
    <cfRule type="cellIs" dxfId="6973" priority="5192" stopIfTrue="1" operator="equal">
      <formula>"Napkin Hs"</formula>
    </cfRule>
  </conditionalFormatting>
  <conditionalFormatting sqref="C61:C63">
    <cfRule type="cellIs" dxfId="6972" priority="5193" stopIfTrue="1" operator="equal">
      <formula>"Towel"</formula>
    </cfRule>
  </conditionalFormatting>
  <conditionalFormatting sqref="B61:C63">
    <cfRule type="cellIs" dxfId="6971" priority="5189" stopIfTrue="1" operator="equal">
      <formula>"Towel"</formula>
    </cfRule>
    <cfRule type="cellIs" dxfId="6970" priority="5190" stopIfTrue="1" operator="equal">
      <formula>"Napkin Hs"</formula>
    </cfRule>
  </conditionalFormatting>
  <conditionalFormatting sqref="C61:C63">
    <cfRule type="cellIs" dxfId="6969" priority="5188" stopIfTrue="1" operator="equal">
      <formula>"Napkin Hs"</formula>
    </cfRule>
  </conditionalFormatting>
  <conditionalFormatting sqref="C61:C63">
    <cfRule type="cellIs" dxfId="6968" priority="5185" stopIfTrue="1" operator="equal">
      <formula>"Towel"</formula>
    </cfRule>
    <cfRule type="cellIs" dxfId="6967" priority="5186" stopIfTrue="1" operator="equal">
      <formula>"Napkin Hs"</formula>
    </cfRule>
  </conditionalFormatting>
  <conditionalFormatting sqref="C61:C63">
    <cfRule type="cellIs" dxfId="6966" priority="5187" stopIfTrue="1" operator="equal">
      <formula>"Towel"</formula>
    </cfRule>
  </conditionalFormatting>
  <conditionalFormatting sqref="B61:C63">
    <cfRule type="cellIs" dxfId="6965" priority="5183" stopIfTrue="1" operator="equal">
      <formula>"Towel"</formula>
    </cfRule>
    <cfRule type="cellIs" dxfId="6964" priority="5184" stopIfTrue="1" operator="equal">
      <formula>"Napkin Hs"</formula>
    </cfRule>
  </conditionalFormatting>
  <conditionalFormatting sqref="C61:C63">
    <cfRule type="cellIs" dxfId="6963" priority="5182" stopIfTrue="1" operator="equal">
      <formula>"Napkin Hs"</formula>
    </cfRule>
  </conditionalFormatting>
  <conditionalFormatting sqref="C61:C63">
    <cfRule type="cellIs" dxfId="6962" priority="5179" stopIfTrue="1" operator="equal">
      <formula>"Towel"</formula>
    </cfRule>
    <cfRule type="cellIs" dxfId="6961" priority="5180" stopIfTrue="1" operator="equal">
      <formula>"Napkin Hs"</formula>
    </cfRule>
  </conditionalFormatting>
  <conditionalFormatting sqref="C61:C63">
    <cfRule type="cellIs" dxfId="6960" priority="5181" stopIfTrue="1" operator="equal">
      <formula>"Towel"</formula>
    </cfRule>
  </conditionalFormatting>
  <conditionalFormatting sqref="B61:C63">
    <cfRule type="cellIs" dxfId="6959" priority="5177" stopIfTrue="1" operator="equal">
      <formula>"Towel"</formula>
    </cfRule>
    <cfRule type="cellIs" dxfId="6958" priority="5178" stopIfTrue="1" operator="equal">
      <formula>"Napkin Hs"</formula>
    </cfRule>
  </conditionalFormatting>
  <conditionalFormatting sqref="C61:C63">
    <cfRule type="cellIs" dxfId="6957" priority="5176" stopIfTrue="1" operator="equal">
      <formula>"Napkin Hs"</formula>
    </cfRule>
  </conditionalFormatting>
  <conditionalFormatting sqref="C61:C63">
    <cfRule type="cellIs" dxfId="6956" priority="5173" stopIfTrue="1" operator="equal">
      <formula>"Towel"</formula>
    </cfRule>
    <cfRule type="cellIs" dxfId="6955" priority="5174" stopIfTrue="1" operator="equal">
      <formula>"Napkin Hs"</formula>
    </cfRule>
  </conditionalFormatting>
  <conditionalFormatting sqref="C61:C63">
    <cfRule type="cellIs" dxfId="6954" priority="5175" stopIfTrue="1" operator="equal">
      <formula>"Towel"</formula>
    </cfRule>
  </conditionalFormatting>
  <conditionalFormatting sqref="B61:C63">
    <cfRule type="cellIs" dxfId="6953" priority="5171" stopIfTrue="1" operator="equal">
      <formula>"Towel"</formula>
    </cfRule>
    <cfRule type="cellIs" dxfId="6952" priority="5172" stopIfTrue="1" operator="equal">
      <formula>"Napkin Hs"</formula>
    </cfRule>
  </conditionalFormatting>
  <conditionalFormatting sqref="C61:C63">
    <cfRule type="cellIs" dxfId="6951" priority="5170" stopIfTrue="1" operator="equal">
      <formula>"Napkin Hs"</formula>
    </cfRule>
  </conditionalFormatting>
  <conditionalFormatting sqref="C61:C63">
    <cfRule type="cellIs" dxfId="6950" priority="5167" stopIfTrue="1" operator="equal">
      <formula>"Towel"</formula>
    </cfRule>
    <cfRule type="cellIs" dxfId="6949" priority="5168" stopIfTrue="1" operator="equal">
      <formula>"Napkin Hs"</formula>
    </cfRule>
  </conditionalFormatting>
  <conditionalFormatting sqref="C61:C63">
    <cfRule type="cellIs" dxfId="6948" priority="5169" stopIfTrue="1" operator="equal">
      <formula>"Towel"</formula>
    </cfRule>
  </conditionalFormatting>
  <conditionalFormatting sqref="B61:C63">
    <cfRule type="cellIs" dxfId="6947" priority="5165" stopIfTrue="1" operator="equal">
      <formula>"Towel"</formula>
    </cfRule>
    <cfRule type="cellIs" dxfId="6946" priority="5166" stopIfTrue="1" operator="equal">
      <formula>"Napkin Hs"</formula>
    </cfRule>
  </conditionalFormatting>
  <conditionalFormatting sqref="C61:C63">
    <cfRule type="cellIs" dxfId="6945" priority="5164" stopIfTrue="1" operator="equal">
      <formula>"Napkin Hs"</formula>
    </cfRule>
  </conditionalFormatting>
  <conditionalFormatting sqref="C61:C63">
    <cfRule type="cellIs" dxfId="6944" priority="5161" stopIfTrue="1" operator="equal">
      <formula>"Towel"</formula>
    </cfRule>
    <cfRule type="cellIs" dxfId="6943" priority="5162" stopIfTrue="1" operator="equal">
      <formula>"Napkin Hs"</formula>
    </cfRule>
  </conditionalFormatting>
  <conditionalFormatting sqref="C61:C63">
    <cfRule type="cellIs" dxfId="6942" priority="5163" stopIfTrue="1" operator="equal">
      <formula>"Towel"</formula>
    </cfRule>
  </conditionalFormatting>
  <conditionalFormatting sqref="B61:C63">
    <cfRule type="cellIs" dxfId="6941" priority="5159" stopIfTrue="1" operator="equal">
      <formula>"Towel"</formula>
    </cfRule>
    <cfRule type="cellIs" dxfId="6940" priority="5160" stopIfTrue="1" operator="equal">
      <formula>"Napkin Hs"</formula>
    </cfRule>
  </conditionalFormatting>
  <conditionalFormatting sqref="C61:C63">
    <cfRule type="cellIs" dxfId="6939" priority="5158" stopIfTrue="1" operator="equal">
      <formula>"Napkin Hs"</formula>
    </cfRule>
  </conditionalFormatting>
  <conditionalFormatting sqref="C61:C63">
    <cfRule type="cellIs" dxfId="6938" priority="5155" stopIfTrue="1" operator="equal">
      <formula>"Towel"</formula>
    </cfRule>
    <cfRule type="cellIs" dxfId="6937" priority="5156" stopIfTrue="1" operator="equal">
      <formula>"Napkin Hs"</formula>
    </cfRule>
  </conditionalFormatting>
  <conditionalFormatting sqref="C61:C63">
    <cfRule type="cellIs" dxfId="6936" priority="5157" stopIfTrue="1" operator="equal">
      <formula>"Towel"</formula>
    </cfRule>
  </conditionalFormatting>
  <conditionalFormatting sqref="B70:C70">
    <cfRule type="cellIs" dxfId="6935" priority="5153" stopIfTrue="1" operator="equal">
      <formula>"Towel"</formula>
    </cfRule>
    <cfRule type="cellIs" dxfId="6934" priority="5154" stopIfTrue="1" operator="equal">
      <formula>"Napkin Hs"</formula>
    </cfRule>
  </conditionalFormatting>
  <conditionalFormatting sqref="C70">
    <cfRule type="cellIs" dxfId="6933" priority="5149" stopIfTrue="1" operator="equal">
      <formula>"Towel"</formula>
    </cfRule>
    <cfRule type="cellIs" dxfId="6932" priority="5150" stopIfTrue="1" operator="equal">
      <formula>"Napkin Hs"</formula>
    </cfRule>
  </conditionalFormatting>
  <conditionalFormatting sqref="C70">
    <cfRule type="cellIs" dxfId="6931" priority="5151" stopIfTrue="1" operator="equal">
      <formula>"Towel"</formula>
    </cfRule>
    <cfRule type="cellIs" dxfId="6930" priority="5152" stopIfTrue="1" operator="equal">
      <formula>"Napkin Hs"</formula>
    </cfRule>
  </conditionalFormatting>
  <conditionalFormatting sqref="B67:C69">
    <cfRule type="cellIs" dxfId="6929" priority="5147" stopIfTrue="1" operator="equal">
      <formula>"Towel"</formula>
    </cfRule>
    <cfRule type="cellIs" dxfId="6928" priority="5148" stopIfTrue="1" operator="equal">
      <formula>"Napkin Hs"</formula>
    </cfRule>
  </conditionalFormatting>
  <conditionalFormatting sqref="C67:C69">
    <cfRule type="cellIs" dxfId="6927" priority="5146" stopIfTrue="1" operator="equal">
      <formula>"Napkin Hs"</formula>
    </cfRule>
  </conditionalFormatting>
  <conditionalFormatting sqref="C67:C69">
    <cfRule type="cellIs" dxfId="6926" priority="5143" stopIfTrue="1" operator="equal">
      <formula>"Towel"</formula>
    </cfRule>
    <cfRule type="cellIs" dxfId="6925" priority="5144" stopIfTrue="1" operator="equal">
      <formula>"Napkin Hs"</formula>
    </cfRule>
  </conditionalFormatting>
  <conditionalFormatting sqref="C67:C69">
    <cfRule type="cellIs" dxfId="6924" priority="5145" stopIfTrue="1" operator="equal">
      <formula>"Towel"</formula>
    </cfRule>
  </conditionalFormatting>
  <conditionalFormatting sqref="B71:C72">
    <cfRule type="cellIs" dxfId="6923" priority="5141" stopIfTrue="1" operator="equal">
      <formula>"Towel"</formula>
    </cfRule>
    <cfRule type="cellIs" dxfId="6922" priority="5142" stopIfTrue="1" operator="equal">
      <formula>"Napkin Hs"</formula>
    </cfRule>
  </conditionalFormatting>
  <conditionalFormatting sqref="C71:C72">
    <cfRule type="cellIs" dxfId="6921" priority="5140" stopIfTrue="1" operator="equal">
      <formula>"Napkin Hs"</formula>
    </cfRule>
  </conditionalFormatting>
  <conditionalFormatting sqref="C71:C72">
    <cfRule type="cellIs" dxfId="6920" priority="5137" stopIfTrue="1" operator="equal">
      <formula>"Towel"</formula>
    </cfRule>
    <cfRule type="cellIs" dxfId="6919" priority="5138" stopIfTrue="1" operator="equal">
      <formula>"Napkin Hs"</formula>
    </cfRule>
  </conditionalFormatting>
  <conditionalFormatting sqref="C71:C72">
    <cfRule type="cellIs" dxfId="6918" priority="5139" stopIfTrue="1" operator="equal">
      <formula>"Towel"</formula>
    </cfRule>
  </conditionalFormatting>
  <conditionalFormatting sqref="B70:C70">
    <cfRule type="cellIs" dxfId="6917" priority="5133" stopIfTrue="1" operator="equal">
      <formula>"Towel"</formula>
    </cfRule>
    <cfRule type="cellIs" dxfId="6916" priority="5134" stopIfTrue="1" operator="equal">
      <formula>"Napkin Hs"</formula>
    </cfRule>
  </conditionalFormatting>
  <conditionalFormatting sqref="C70">
    <cfRule type="cellIs" dxfId="6915" priority="5135" stopIfTrue="1" operator="equal">
      <formula>"Towel"</formula>
    </cfRule>
    <cfRule type="cellIs" dxfId="6914" priority="5136" stopIfTrue="1" operator="equal">
      <formula>"Napkin Hs"</formula>
    </cfRule>
  </conditionalFormatting>
  <conditionalFormatting sqref="C70">
    <cfRule type="cellIs" dxfId="6913" priority="5131" stopIfTrue="1" operator="equal">
      <formula>"Towel"</formula>
    </cfRule>
    <cfRule type="cellIs" dxfId="6912" priority="5132" stopIfTrue="1" operator="equal">
      <formula>"Napkin Hs"</formula>
    </cfRule>
  </conditionalFormatting>
  <conditionalFormatting sqref="B68:C69">
    <cfRule type="cellIs" dxfId="6911" priority="5129" stopIfTrue="1" operator="equal">
      <formula>"Towel"</formula>
    </cfRule>
    <cfRule type="cellIs" dxfId="6910" priority="5130" stopIfTrue="1" operator="equal">
      <formula>"Napkin Hs"</formula>
    </cfRule>
  </conditionalFormatting>
  <conditionalFormatting sqref="C68:C69">
    <cfRule type="cellIs" dxfId="6909" priority="5128" stopIfTrue="1" operator="equal">
      <formula>"Napkin Hs"</formula>
    </cfRule>
  </conditionalFormatting>
  <conditionalFormatting sqref="C68:C69">
    <cfRule type="cellIs" dxfId="6908" priority="5125" stopIfTrue="1" operator="equal">
      <formula>"Towel"</formula>
    </cfRule>
    <cfRule type="cellIs" dxfId="6907" priority="5126" stopIfTrue="1" operator="equal">
      <formula>"Napkin Hs"</formula>
    </cfRule>
  </conditionalFormatting>
  <conditionalFormatting sqref="C68:C69">
    <cfRule type="cellIs" dxfId="6906" priority="5127" stopIfTrue="1" operator="equal">
      <formula>"Towel"</formula>
    </cfRule>
  </conditionalFormatting>
  <conditionalFormatting sqref="B67:C67">
    <cfRule type="cellIs" dxfId="6905" priority="5123" stopIfTrue="1" operator="equal">
      <formula>"Towel"</formula>
    </cfRule>
    <cfRule type="cellIs" dxfId="6904" priority="5124" stopIfTrue="1" operator="equal">
      <formula>"Napkin Hs"</formula>
    </cfRule>
  </conditionalFormatting>
  <conditionalFormatting sqref="C67">
    <cfRule type="cellIs" dxfId="6903" priority="5119" stopIfTrue="1" operator="equal">
      <formula>"Towel"</formula>
    </cfRule>
    <cfRule type="cellIs" dxfId="6902" priority="5120" stopIfTrue="1" operator="equal">
      <formula>"Napkin Hs"</formula>
    </cfRule>
  </conditionalFormatting>
  <conditionalFormatting sqref="C67">
    <cfRule type="cellIs" dxfId="6901" priority="5121" stopIfTrue="1" operator="equal">
      <formula>"Towel"</formula>
    </cfRule>
    <cfRule type="cellIs" dxfId="6900" priority="5122" stopIfTrue="1" operator="equal">
      <formula>"Napkin Hs"</formula>
    </cfRule>
  </conditionalFormatting>
  <conditionalFormatting sqref="B67:C67">
    <cfRule type="cellIs" dxfId="6899" priority="5117" stopIfTrue="1" operator="equal">
      <formula>"Towel"</formula>
    </cfRule>
    <cfRule type="cellIs" dxfId="6898" priority="5118" stopIfTrue="1" operator="equal">
      <formula>"Napkin Hs"</formula>
    </cfRule>
  </conditionalFormatting>
  <conditionalFormatting sqref="C67">
    <cfRule type="cellIs" dxfId="6897" priority="5116" stopIfTrue="1" operator="equal">
      <formula>"Napkin Hs"</formula>
    </cfRule>
  </conditionalFormatting>
  <conditionalFormatting sqref="C67">
    <cfRule type="cellIs" dxfId="6896" priority="5113" stopIfTrue="1" operator="equal">
      <formula>"Towel"</formula>
    </cfRule>
    <cfRule type="cellIs" dxfId="6895" priority="5114" stopIfTrue="1" operator="equal">
      <formula>"Napkin Hs"</formula>
    </cfRule>
  </conditionalFormatting>
  <conditionalFormatting sqref="C67">
    <cfRule type="cellIs" dxfId="6894" priority="5115" stopIfTrue="1" operator="equal">
      <formula>"Towel"</formula>
    </cfRule>
  </conditionalFormatting>
  <conditionalFormatting sqref="B67:C67">
    <cfRule type="cellIs" dxfId="6893" priority="5111" stopIfTrue="1" operator="equal">
      <formula>"Towel"</formula>
    </cfRule>
    <cfRule type="cellIs" dxfId="6892" priority="5112" stopIfTrue="1" operator="equal">
      <formula>"Napkin Hs"</formula>
    </cfRule>
  </conditionalFormatting>
  <conditionalFormatting sqref="C67">
    <cfRule type="cellIs" dxfId="6891" priority="5109" stopIfTrue="1" operator="equal">
      <formula>"Towel"</formula>
    </cfRule>
    <cfRule type="cellIs" dxfId="6890" priority="5110" stopIfTrue="1" operator="equal">
      <formula>"Napkin Hs"</formula>
    </cfRule>
  </conditionalFormatting>
  <conditionalFormatting sqref="C67">
    <cfRule type="cellIs" dxfId="6889" priority="5107" stopIfTrue="1" operator="equal">
      <formula>"Towel"</formula>
    </cfRule>
    <cfRule type="cellIs" dxfId="6888" priority="5108" stopIfTrue="1" operator="equal">
      <formula>"Napkin Hs"</formula>
    </cfRule>
  </conditionalFormatting>
  <conditionalFormatting sqref="B67:C67">
    <cfRule type="cellIs" dxfId="6887" priority="5105" stopIfTrue="1" operator="equal">
      <formula>"Towel"</formula>
    </cfRule>
    <cfRule type="cellIs" dxfId="6886" priority="5106" stopIfTrue="1" operator="equal">
      <formula>"Napkin Hs"</formula>
    </cfRule>
  </conditionalFormatting>
  <conditionalFormatting sqref="C67">
    <cfRule type="cellIs" dxfId="6885" priority="5104" stopIfTrue="1" operator="equal">
      <formula>"Napkin Hs"</formula>
    </cfRule>
  </conditionalFormatting>
  <conditionalFormatting sqref="C67">
    <cfRule type="cellIs" dxfId="6884" priority="5101" stopIfTrue="1" operator="equal">
      <formula>"Towel"</formula>
    </cfRule>
    <cfRule type="cellIs" dxfId="6883" priority="5102" stopIfTrue="1" operator="equal">
      <formula>"Napkin Hs"</formula>
    </cfRule>
  </conditionalFormatting>
  <conditionalFormatting sqref="C67">
    <cfRule type="cellIs" dxfId="6882" priority="5103" stopIfTrue="1" operator="equal">
      <formula>"Towel"</formula>
    </cfRule>
  </conditionalFormatting>
  <conditionalFormatting sqref="B67:C67">
    <cfRule type="cellIs" dxfId="6881" priority="5099" stopIfTrue="1" operator="equal">
      <formula>"Towel"</formula>
    </cfRule>
    <cfRule type="cellIs" dxfId="6880" priority="5100" stopIfTrue="1" operator="equal">
      <formula>"Napkin Hs"</formula>
    </cfRule>
  </conditionalFormatting>
  <conditionalFormatting sqref="C67">
    <cfRule type="cellIs" dxfId="6879" priority="5098" stopIfTrue="1" operator="equal">
      <formula>"Napkin Hs"</formula>
    </cfRule>
  </conditionalFormatting>
  <conditionalFormatting sqref="C67">
    <cfRule type="cellIs" dxfId="6878" priority="5097" stopIfTrue="1" operator="equal">
      <formula>"Towel"</formula>
    </cfRule>
  </conditionalFormatting>
  <conditionalFormatting sqref="C67">
    <cfRule type="cellIs" dxfId="6877" priority="5095" stopIfTrue="1" operator="equal">
      <formula>"Towel"</formula>
    </cfRule>
    <cfRule type="cellIs" dxfId="6876" priority="5096" stopIfTrue="1" operator="equal">
      <formula>"Napkin Hs"</formula>
    </cfRule>
  </conditionalFormatting>
  <conditionalFormatting sqref="B67:C67">
    <cfRule type="cellIs" dxfId="6875" priority="5093" stopIfTrue="1" operator="equal">
      <formula>"Towel"</formula>
    </cfRule>
    <cfRule type="cellIs" dxfId="6874" priority="5094" stopIfTrue="1" operator="equal">
      <formula>"Napkin Hs"</formula>
    </cfRule>
  </conditionalFormatting>
  <conditionalFormatting sqref="C67">
    <cfRule type="cellIs" dxfId="6873" priority="5092" stopIfTrue="1" operator="equal">
      <formula>"Napkin Hs"</formula>
    </cfRule>
  </conditionalFormatting>
  <conditionalFormatting sqref="C67">
    <cfRule type="cellIs" dxfId="6872" priority="5089" stopIfTrue="1" operator="equal">
      <formula>"Towel"</formula>
    </cfRule>
    <cfRule type="cellIs" dxfId="6871" priority="5090" stopIfTrue="1" operator="equal">
      <formula>"Napkin Hs"</formula>
    </cfRule>
  </conditionalFormatting>
  <conditionalFormatting sqref="C67">
    <cfRule type="cellIs" dxfId="6870" priority="5091" stopIfTrue="1" operator="equal">
      <formula>"Towel"</formula>
    </cfRule>
  </conditionalFormatting>
  <conditionalFormatting sqref="B67:C67">
    <cfRule type="cellIs" dxfId="6869" priority="5087" stopIfTrue="1" operator="equal">
      <formula>"Towel"</formula>
    </cfRule>
    <cfRule type="cellIs" dxfId="6868" priority="5088" stopIfTrue="1" operator="equal">
      <formula>"Napkin Hs"</formula>
    </cfRule>
  </conditionalFormatting>
  <conditionalFormatting sqref="C67">
    <cfRule type="cellIs" dxfId="6867" priority="5086" stopIfTrue="1" operator="equal">
      <formula>"Napkin Hs"</formula>
    </cfRule>
  </conditionalFormatting>
  <conditionalFormatting sqref="C67">
    <cfRule type="cellIs" dxfId="6866" priority="5083" stopIfTrue="1" operator="equal">
      <formula>"Towel"</formula>
    </cfRule>
    <cfRule type="cellIs" dxfId="6865" priority="5084" stopIfTrue="1" operator="equal">
      <formula>"Napkin Hs"</formula>
    </cfRule>
  </conditionalFormatting>
  <conditionalFormatting sqref="C67">
    <cfRule type="cellIs" dxfId="6864" priority="5085" stopIfTrue="1" operator="equal">
      <formula>"Towel"</formula>
    </cfRule>
  </conditionalFormatting>
  <conditionalFormatting sqref="B67:C67">
    <cfRule type="cellIs" dxfId="6863" priority="5081" stopIfTrue="1" operator="equal">
      <formula>"Towel"</formula>
    </cfRule>
    <cfRule type="cellIs" dxfId="6862" priority="5082" stopIfTrue="1" operator="equal">
      <formula>"Napkin Hs"</formula>
    </cfRule>
  </conditionalFormatting>
  <conditionalFormatting sqref="C67">
    <cfRule type="cellIs" dxfId="6861" priority="5080" stopIfTrue="1" operator="equal">
      <formula>"Napkin Hs"</formula>
    </cfRule>
  </conditionalFormatting>
  <conditionalFormatting sqref="C67">
    <cfRule type="cellIs" dxfId="6860" priority="5077" stopIfTrue="1" operator="equal">
      <formula>"Towel"</formula>
    </cfRule>
    <cfRule type="cellIs" dxfId="6859" priority="5078" stopIfTrue="1" operator="equal">
      <formula>"Napkin Hs"</formula>
    </cfRule>
  </conditionalFormatting>
  <conditionalFormatting sqref="C67">
    <cfRule type="cellIs" dxfId="6858" priority="5079" stopIfTrue="1" operator="equal">
      <formula>"Towel"</formula>
    </cfRule>
  </conditionalFormatting>
  <conditionalFormatting sqref="B67:C67">
    <cfRule type="cellIs" dxfId="6857" priority="5075" stopIfTrue="1" operator="equal">
      <formula>"Towel"</formula>
    </cfRule>
    <cfRule type="cellIs" dxfId="6856" priority="5076" stopIfTrue="1" operator="equal">
      <formula>"Napkin Hs"</formula>
    </cfRule>
  </conditionalFormatting>
  <conditionalFormatting sqref="C67">
    <cfRule type="cellIs" dxfId="6855" priority="5074" stopIfTrue="1" operator="equal">
      <formula>"Napkin Hs"</formula>
    </cfRule>
  </conditionalFormatting>
  <conditionalFormatting sqref="C67">
    <cfRule type="cellIs" dxfId="6854" priority="5071" stopIfTrue="1" operator="equal">
      <formula>"Towel"</formula>
    </cfRule>
    <cfRule type="cellIs" dxfId="6853" priority="5072" stopIfTrue="1" operator="equal">
      <formula>"Napkin Hs"</formula>
    </cfRule>
  </conditionalFormatting>
  <conditionalFormatting sqref="C67">
    <cfRule type="cellIs" dxfId="6852" priority="5073" stopIfTrue="1" operator="equal">
      <formula>"Towel"</formula>
    </cfRule>
  </conditionalFormatting>
  <conditionalFormatting sqref="B67:C67">
    <cfRule type="cellIs" dxfId="6851" priority="5069" stopIfTrue="1" operator="equal">
      <formula>"Towel"</formula>
    </cfRule>
    <cfRule type="cellIs" dxfId="6850" priority="5070" stopIfTrue="1" operator="equal">
      <formula>"Napkin Hs"</formula>
    </cfRule>
  </conditionalFormatting>
  <conditionalFormatting sqref="C67">
    <cfRule type="cellIs" dxfId="6849" priority="5068" stopIfTrue="1" operator="equal">
      <formula>"Napkin Hs"</formula>
    </cfRule>
  </conditionalFormatting>
  <conditionalFormatting sqref="C67">
    <cfRule type="cellIs" dxfId="6848" priority="5065" stopIfTrue="1" operator="equal">
      <formula>"Towel"</formula>
    </cfRule>
    <cfRule type="cellIs" dxfId="6847" priority="5066" stopIfTrue="1" operator="equal">
      <formula>"Napkin Hs"</formula>
    </cfRule>
  </conditionalFormatting>
  <conditionalFormatting sqref="C67">
    <cfRule type="cellIs" dxfId="6846" priority="5067" stopIfTrue="1" operator="equal">
      <formula>"Towel"</formula>
    </cfRule>
  </conditionalFormatting>
  <conditionalFormatting sqref="B67:C67">
    <cfRule type="cellIs" dxfId="6845" priority="5063" stopIfTrue="1" operator="equal">
      <formula>"Towel"</formula>
    </cfRule>
    <cfRule type="cellIs" dxfId="6844" priority="5064" stopIfTrue="1" operator="equal">
      <formula>"Napkin Hs"</formula>
    </cfRule>
  </conditionalFormatting>
  <conditionalFormatting sqref="C67">
    <cfRule type="cellIs" dxfId="6843" priority="5062" stopIfTrue="1" operator="equal">
      <formula>"Napkin Hs"</formula>
    </cfRule>
  </conditionalFormatting>
  <conditionalFormatting sqref="C67">
    <cfRule type="cellIs" dxfId="6842" priority="5059" stopIfTrue="1" operator="equal">
      <formula>"Towel"</formula>
    </cfRule>
    <cfRule type="cellIs" dxfId="6841" priority="5060" stopIfTrue="1" operator="equal">
      <formula>"Napkin Hs"</formula>
    </cfRule>
  </conditionalFormatting>
  <conditionalFormatting sqref="C67">
    <cfRule type="cellIs" dxfId="6840" priority="5061" stopIfTrue="1" operator="equal">
      <formula>"Towel"</formula>
    </cfRule>
  </conditionalFormatting>
  <conditionalFormatting sqref="B67:C67">
    <cfRule type="cellIs" dxfId="6839" priority="5057" stopIfTrue="1" operator="equal">
      <formula>"Towel"</formula>
    </cfRule>
    <cfRule type="cellIs" dxfId="6838" priority="5058" stopIfTrue="1" operator="equal">
      <formula>"Napkin Hs"</formula>
    </cfRule>
  </conditionalFormatting>
  <conditionalFormatting sqref="C67">
    <cfRule type="cellIs" dxfId="6837" priority="5056" stopIfTrue="1" operator="equal">
      <formula>"Napkin Hs"</formula>
    </cfRule>
  </conditionalFormatting>
  <conditionalFormatting sqref="C67">
    <cfRule type="cellIs" dxfId="6836" priority="5053" stopIfTrue="1" operator="equal">
      <formula>"Towel"</formula>
    </cfRule>
    <cfRule type="cellIs" dxfId="6835" priority="5054" stopIfTrue="1" operator="equal">
      <formula>"Napkin Hs"</formula>
    </cfRule>
  </conditionalFormatting>
  <conditionalFormatting sqref="C67">
    <cfRule type="cellIs" dxfId="6834" priority="5055" stopIfTrue="1" operator="equal">
      <formula>"Towel"</formula>
    </cfRule>
  </conditionalFormatting>
  <conditionalFormatting sqref="B67:C67">
    <cfRule type="cellIs" dxfId="6833" priority="5051" stopIfTrue="1" operator="equal">
      <formula>"Towel"</formula>
    </cfRule>
    <cfRule type="cellIs" dxfId="6832" priority="5052" stopIfTrue="1" operator="equal">
      <formula>"Napkin Hs"</formula>
    </cfRule>
  </conditionalFormatting>
  <conditionalFormatting sqref="C67">
    <cfRule type="cellIs" dxfId="6831" priority="5050" stopIfTrue="1" operator="equal">
      <formula>"Napkin Hs"</formula>
    </cfRule>
  </conditionalFormatting>
  <conditionalFormatting sqref="C67">
    <cfRule type="cellIs" dxfId="6830" priority="5047" stopIfTrue="1" operator="equal">
      <formula>"Towel"</formula>
    </cfRule>
    <cfRule type="cellIs" dxfId="6829" priority="5048" stopIfTrue="1" operator="equal">
      <formula>"Napkin Hs"</formula>
    </cfRule>
  </conditionalFormatting>
  <conditionalFormatting sqref="C67">
    <cfRule type="cellIs" dxfId="6828" priority="5049" stopIfTrue="1" operator="equal">
      <formula>"Towel"</formula>
    </cfRule>
  </conditionalFormatting>
  <conditionalFormatting sqref="B67:C67">
    <cfRule type="cellIs" dxfId="6827" priority="5045" stopIfTrue="1" operator="equal">
      <formula>"Towel"</formula>
    </cfRule>
    <cfRule type="cellIs" dxfId="6826" priority="5046" stopIfTrue="1" operator="equal">
      <formula>"Napkin Hs"</formula>
    </cfRule>
  </conditionalFormatting>
  <conditionalFormatting sqref="C67">
    <cfRule type="cellIs" dxfId="6825" priority="5044" stopIfTrue="1" operator="equal">
      <formula>"Napkin Hs"</formula>
    </cfRule>
  </conditionalFormatting>
  <conditionalFormatting sqref="C67">
    <cfRule type="cellIs" dxfId="6824" priority="5041" stopIfTrue="1" operator="equal">
      <formula>"Towel"</formula>
    </cfRule>
    <cfRule type="cellIs" dxfId="6823" priority="5042" stopIfTrue="1" operator="equal">
      <formula>"Napkin Hs"</formula>
    </cfRule>
  </conditionalFormatting>
  <conditionalFormatting sqref="C67">
    <cfRule type="cellIs" dxfId="6822" priority="5043" stopIfTrue="1" operator="equal">
      <formula>"Towel"</formula>
    </cfRule>
  </conditionalFormatting>
  <conditionalFormatting sqref="B67:C67">
    <cfRule type="cellIs" dxfId="6821" priority="5039" stopIfTrue="1" operator="equal">
      <formula>"Towel"</formula>
    </cfRule>
    <cfRule type="cellIs" dxfId="6820" priority="5040" stopIfTrue="1" operator="equal">
      <formula>"Napkin Hs"</formula>
    </cfRule>
  </conditionalFormatting>
  <conditionalFormatting sqref="C67">
    <cfRule type="cellIs" dxfId="6819" priority="5038" stopIfTrue="1" operator="equal">
      <formula>"Napkin Hs"</formula>
    </cfRule>
  </conditionalFormatting>
  <conditionalFormatting sqref="C67">
    <cfRule type="cellIs" dxfId="6818" priority="5035" stopIfTrue="1" operator="equal">
      <formula>"Towel"</formula>
    </cfRule>
    <cfRule type="cellIs" dxfId="6817" priority="5036" stopIfTrue="1" operator="equal">
      <formula>"Napkin Hs"</formula>
    </cfRule>
  </conditionalFormatting>
  <conditionalFormatting sqref="C67">
    <cfRule type="cellIs" dxfId="6816" priority="5037" stopIfTrue="1" operator="equal">
      <formula>"Towel"</formula>
    </cfRule>
  </conditionalFormatting>
  <conditionalFormatting sqref="B67:C67">
    <cfRule type="cellIs" dxfId="6815" priority="5033" stopIfTrue="1" operator="equal">
      <formula>"Towel"</formula>
    </cfRule>
    <cfRule type="cellIs" dxfId="6814" priority="5034" stopIfTrue="1" operator="equal">
      <formula>"Napkin Hs"</formula>
    </cfRule>
  </conditionalFormatting>
  <conditionalFormatting sqref="C67">
    <cfRule type="cellIs" dxfId="6813" priority="5032" stopIfTrue="1" operator="equal">
      <formula>"Napkin Hs"</formula>
    </cfRule>
  </conditionalFormatting>
  <conditionalFormatting sqref="C67">
    <cfRule type="cellIs" dxfId="6812" priority="5031" stopIfTrue="1" operator="equal">
      <formula>"Towel"</formula>
    </cfRule>
  </conditionalFormatting>
  <conditionalFormatting sqref="C67">
    <cfRule type="cellIs" dxfId="6811" priority="5029" stopIfTrue="1" operator="equal">
      <formula>"Towel"</formula>
    </cfRule>
    <cfRule type="cellIs" dxfId="6810" priority="5030" stopIfTrue="1" operator="equal">
      <formula>"Napkin Hs"</formula>
    </cfRule>
  </conditionalFormatting>
  <conditionalFormatting sqref="B67:C67">
    <cfRule type="cellIs" dxfId="6809" priority="5027" stopIfTrue="1" operator="equal">
      <formula>"Towel"</formula>
    </cfRule>
    <cfRule type="cellIs" dxfId="6808" priority="5028" stopIfTrue="1" operator="equal">
      <formula>"Napkin Hs"</formula>
    </cfRule>
  </conditionalFormatting>
  <conditionalFormatting sqref="C67">
    <cfRule type="cellIs" dxfId="6807" priority="5026" stopIfTrue="1" operator="equal">
      <formula>"Napkin Hs"</formula>
    </cfRule>
  </conditionalFormatting>
  <conditionalFormatting sqref="C67">
    <cfRule type="cellIs" dxfId="6806" priority="5023" stopIfTrue="1" operator="equal">
      <formula>"Towel"</formula>
    </cfRule>
    <cfRule type="cellIs" dxfId="6805" priority="5024" stopIfTrue="1" operator="equal">
      <formula>"Napkin Hs"</formula>
    </cfRule>
  </conditionalFormatting>
  <conditionalFormatting sqref="C67">
    <cfRule type="cellIs" dxfId="6804" priority="5025" stopIfTrue="1" operator="equal">
      <formula>"Towel"</formula>
    </cfRule>
  </conditionalFormatting>
  <conditionalFormatting sqref="B67:C67">
    <cfRule type="cellIs" dxfId="6803" priority="5021" stopIfTrue="1" operator="equal">
      <formula>"Towel"</formula>
    </cfRule>
    <cfRule type="cellIs" dxfId="6802" priority="5022" stopIfTrue="1" operator="equal">
      <formula>"Napkin Hs"</formula>
    </cfRule>
  </conditionalFormatting>
  <conditionalFormatting sqref="C67">
    <cfRule type="cellIs" dxfId="6801" priority="5020" stopIfTrue="1" operator="equal">
      <formula>"Napkin Hs"</formula>
    </cfRule>
  </conditionalFormatting>
  <conditionalFormatting sqref="C67">
    <cfRule type="cellIs" dxfId="6800" priority="5017" stopIfTrue="1" operator="equal">
      <formula>"Towel"</formula>
    </cfRule>
    <cfRule type="cellIs" dxfId="6799" priority="5018" stopIfTrue="1" operator="equal">
      <formula>"Napkin Hs"</formula>
    </cfRule>
  </conditionalFormatting>
  <conditionalFormatting sqref="C67">
    <cfRule type="cellIs" dxfId="6798" priority="5019" stopIfTrue="1" operator="equal">
      <formula>"Towel"</formula>
    </cfRule>
  </conditionalFormatting>
  <conditionalFormatting sqref="B67:C67">
    <cfRule type="cellIs" dxfId="6797" priority="5015" stopIfTrue="1" operator="equal">
      <formula>"Towel"</formula>
    </cfRule>
    <cfRule type="cellIs" dxfId="6796" priority="5016" stopIfTrue="1" operator="equal">
      <formula>"Napkin Hs"</formula>
    </cfRule>
  </conditionalFormatting>
  <conditionalFormatting sqref="C67">
    <cfRule type="cellIs" dxfId="6795" priority="5014" stopIfTrue="1" operator="equal">
      <formula>"Napkin Hs"</formula>
    </cfRule>
  </conditionalFormatting>
  <conditionalFormatting sqref="C67">
    <cfRule type="cellIs" dxfId="6794" priority="5011" stopIfTrue="1" operator="equal">
      <formula>"Towel"</formula>
    </cfRule>
    <cfRule type="cellIs" dxfId="6793" priority="5012" stopIfTrue="1" operator="equal">
      <formula>"Napkin Hs"</formula>
    </cfRule>
  </conditionalFormatting>
  <conditionalFormatting sqref="C67">
    <cfRule type="cellIs" dxfId="6792" priority="5013" stopIfTrue="1" operator="equal">
      <formula>"Towel"</formula>
    </cfRule>
  </conditionalFormatting>
  <conditionalFormatting sqref="B67:C67">
    <cfRule type="cellIs" dxfId="6791" priority="5009" stopIfTrue="1" operator="equal">
      <formula>"Towel"</formula>
    </cfRule>
    <cfRule type="cellIs" dxfId="6790" priority="5010" stopIfTrue="1" operator="equal">
      <formula>"Napkin Hs"</formula>
    </cfRule>
  </conditionalFormatting>
  <conditionalFormatting sqref="C67">
    <cfRule type="cellIs" dxfId="6789" priority="5008" stopIfTrue="1" operator="equal">
      <formula>"Napkin Hs"</formula>
    </cfRule>
  </conditionalFormatting>
  <conditionalFormatting sqref="C67">
    <cfRule type="cellIs" dxfId="6788" priority="5005" stopIfTrue="1" operator="equal">
      <formula>"Towel"</formula>
    </cfRule>
    <cfRule type="cellIs" dxfId="6787" priority="5006" stopIfTrue="1" operator="equal">
      <formula>"Napkin Hs"</formula>
    </cfRule>
  </conditionalFormatting>
  <conditionalFormatting sqref="C67">
    <cfRule type="cellIs" dxfId="6786" priority="5007" stopIfTrue="1" operator="equal">
      <formula>"Towel"</formula>
    </cfRule>
  </conditionalFormatting>
  <conditionalFormatting sqref="B67:C67">
    <cfRule type="cellIs" dxfId="6785" priority="5003" stopIfTrue="1" operator="equal">
      <formula>"Towel"</formula>
    </cfRule>
    <cfRule type="cellIs" dxfId="6784" priority="5004" stopIfTrue="1" operator="equal">
      <formula>"Napkin Hs"</formula>
    </cfRule>
  </conditionalFormatting>
  <conditionalFormatting sqref="C67">
    <cfRule type="cellIs" dxfId="6783" priority="5002" stopIfTrue="1" operator="equal">
      <formula>"Napkin Hs"</formula>
    </cfRule>
  </conditionalFormatting>
  <conditionalFormatting sqref="C67">
    <cfRule type="cellIs" dxfId="6782" priority="4999" stopIfTrue="1" operator="equal">
      <formula>"Towel"</formula>
    </cfRule>
    <cfRule type="cellIs" dxfId="6781" priority="5000" stopIfTrue="1" operator="equal">
      <formula>"Napkin Hs"</formula>
    </cfRule>
  </conditionalFormatting>
  <conditionalFormatting sqref="C67">
    <cfRule type="cellIs" dxfId="6780" priority="5001" stopIfTrue="1" operator="equal">
      <formula>"Towel"</formula>
    </cfRule>
  </conditionalFormatting>
  <conditionalFormatting sqref="B67:C67">
    <cfRule type="cellIs" dxfId="6779" priority="4997" stopIfTrue="1" operator="equal">
      <formula>"Towel"</formula>
    </cfRule>
    <cfRule type="cellIs" dxfId="6778" priority="4998" stopIfTrue="1" operator="equal">
      <formula>"Napkin Hs"</formula>
    </cfRule>
  </conditionalFormatting>
  <conditionalFormatting sqref="C67">
    <cfRule type="cellIs" dxfId="6777" priority="4996" stopIfTrue="1" operator="equal">
      <formula>"Napkin Hs"</formula>
    </cfRule>
  </conditionalFormatting>
  <conditionalFormatting sqref="C67">
    <cfRule type="cellIs" dxfId="6776" priority="4993" stopIfTrue="1" operator="equal">
      <formula>"Towel"</formula>
    </cfRule>
    <cfRule type="cellIs" dxfId="6775" priority="4994" stopIfTrue="1" operator="equal">
      <formula>"Napkin Hs"</formula>
    </cfRule>
  </conditionalFormatting>
  <conditionalFormatting sqref="C67">
    <cfRule type="cellIs" dxfId="6774" priority="4995" stopIfTrue="1" operator="equal">
      <formula>"Towel"</formula>
    </cfRule>
  </conditionalFormatting>
  <conditionalFormatting sqref="B67:C67">
    <cfRule type="cellIs" dxfId="6773" priority="4991" stopIfTrue="1" operator="equal">
      <formula>"Towel"</formula>
    </cfRule>
    <cfRule type="cellIs" dxfId="6772" priority="4992" stopIfTrue="1" operator="equal">
      <formula>"Napkin Hs"</formula>
    </cfRule>
  </conditionalFormatting>
  <conditionalFormatting sqref="C67">
    <cfRule type="cellIs" dxfId="6771" priority="4990" stopIfTrue="1" operator="equal">
      <formula>"Napkin Hs"</formula>
    </cfRule>
  </conditionalFormatting>
  <conditionalFormatting sqref="C67">
    <cfRule type="cellIs" dxfId="6770" priority="4987" stopIfTrue="1" operator="equal">
      <formula>"Towel"</formula>
    </cfRule>
    <cfRule type="cellIs" dxfId="6769" priority="4988" stopIfTrue="1" operator="equal">
      <formula>"Napkin Hs"</formula>
    </cfRule>
  </conditionalFormatting>
  <conditionalFormatting sqref="C67">
    <cfRule type="cellIs" dxfId="6768" priority="4989" stopIfTrue="1" operator="equal">
      <formula>"Towel"</formula>
    </cfRule>
  </conditionalFormatting>
  <conditionalFormatting sqref="B67:C67">
    <cfRule type="cellIs" dxfId="6767" priority="4985" stopIfTrue="1" operator="equal">
      <formula>"Towel"</formula>
    </cfRule>
    <cfRule type="cellIs" dxfId="6766" priority="4986" stopIfTrue="1" operator="equal">
      <formula>"Napkin Hs"</formula>
    </cfRule>
  </conditionalFormatting>
  <conditionalFormatting sqref="C67">
    <cfRule type="cellIs" dxfId="6765" priority="4984" stopIfTrue="1" operator="equal">
      <formula>"Napkin Hs"</formula>
    </cfRule>
  </conditionalFormatting>
  <conditionalFormatting sqref="C67">
    <cfRule type="cellIs" dxfId="6764" priority="4981" stopIfTrue="1" operator="equal">
      <formula>"Towel"</formula>
    </cfRule>
    <cfRule type="cellIs" dxfId="6763" priority="4982" stopIfTrue="1" operator="equal">
      <formula>"Napkin Hs"</formula>
    </cfRule>
  </conditionalFormatting>
  <conditionalFormatting sqref="C67">
    <cfRule type="cellIs" dxfId="6762" priority="4983" stopIfTrue="1" operator="equal">
      <formula>"Towel"</formula>
    </cfRule>
  </conditionalFormatting>
  <conditionalFormatting sqref="B67:C67">
    <cfRule type="cellIs" dxfId="6761" priority="4979" stopIfTrue="1" operator="equal">
      <formula>"Towel"</formula>
    </cfRule>
    <cfRule type="cellIs" dxfId="6760" priority="4980" stopIfTrue="1" operator="equal">
      <formula>"Napkin Hs"</formula>
    </cfRule>
  </conditionalFormatting>
  <conditionalFormatting sqref="C67">
    <cfRule type="cellIs" dxfId="6759" priority="4978" stopIfTrue="1" operator="equal">
      <formula>"Napkin Hs"</formula>
    </cfRule>
  </conditionalFormatting>
  <conditionalFormatting sqref="C67">
    <cfRule type="cellIs" dxfId="6758" priority="4975" stopIfTrue="1" operator="equal">
      <formula>"Towel"</formula>
    </cfRule>
    <cfRule type="cellIs" dxfId="6757" priority="4976" stopIfTrue="1" operator="equal">
      <formula>"Napkin Hs"</formula>
    </cfRule>
  </conditionalFormatting>
  <conditionalFormatting sqref="C67">
    <cfRule type="cellIs" dxfId="6756" priority="4977" stopIfTrue="1" operator="equal">
      <formula>"Towel"</formula>
    </cfRule>
  </conditionalFormatting>
  <conditionalFormatting sqref="B65:C65">
    <cfRule type="cellIs" dxfId="6755" priority="4973" stopIfTrue="1" operator="equal">
      <formula>"Towel"</formula>
    </cfRule>
    <cfRule type="cellIs" dxfId="6754" priority="4974" stopIfTrue="1" operator="equal">
      <formula>"Napkin Hs"</formula>
    </cfRule>
  </conditionalFormatting>
  <conditionalFormatting sqref="C65">
    <cfRule type="cellIs" dxfId="6753" priority="4972" stopIfTrue="1" operator="equal">
      <formula>"Napkin Hs"</formula>
    </cfRule>
  </conditionalFormatting>
  <conditionalFormatting sqref="C65">
    <cfRule type="cellIs" dxfId="6752" priority="4969" stopIfTrue="1" operator="equal">
      <formula>"Towel"</formula>
    </cfRule>
    <cfRule type="cellIs" dxfId="6751" priority="4970" stopIfTrue="1" operator="equal">
      <formula>"Napkin Hs"</formula>
    </cfRule>
  </conditionalFormatting>
  <conditionalFormatting sqref="C65">
    <cfRule type="cellIs" dxfId="6750" priority="4971" stopIfTrue="1" operator="equal">
      <formula>"Towel"</formula>
    </cfRule>
  </conditionalFormatting>
  <conditionalFormatting sqref="B65:C65">
    <cfRule type="cellIs" dxfId="6749" priority="4967" stopIfTrue="1" operator="equal">
      <formula>"Towel"</formula>
    </cfRule>
    <cfRule type="cellIs" dxfId="6748" priority="4968" stopIfTrue="1" operator="equal">
      <formula>"Napkin Hs"</formula>
    </cfRule>
  </conditionalFormatting>
  <conditionalFormatting sqref="C65">
    <cfRule type="cellIs" dxfId="6747" priority="4963" stopIfTrue="1" operator="equal">
      <formula>"Towel"</formula>
    </cfRule>
    <cfRule type="cellIs" dxfId="6746" priority="4964" stopIfTrue="1" operator="equal">
      <formula>"Napkin Hs"</formula>
    </cfRule>
  </conditionalFormatting>
  <conditionalFormatting sqref="C65">
    <cfRule type="cellIs" dxfId="6745" priority="4965" stopIfTrue="1" operator="equal">
      <formula>"Towel"</formula>
    </cfRule>
    <cfRule type="cellIs" dxfId="6744" priority="4966" stopIfTrue="1" operator="equal">
      <formula>"Napkin Hs"</formula>
    </cfRule>
  </conditionalFormatting>
  <conditionalFormatting sqref="B65:C65">
    <cfRule type="cellIs" dxfId="6743" priority="4961" stopIfTrue="1" operator="equal">
      <formula>"Towel"</formula>
    </cfRule>
    <cfRule type="cellIs" dxfId="6742" priority="4962" stopIfTrue="1" operator="equal">
      <formula>"Napkin Hs"</formula>
    </cfRule>
  </conditionalFormatting>
  <conditionalFormatting sqref="C65">
    <cfRule type="cellIs" dxfId="6741" priority="4960" stopIfTrue="1" operator="equal">
      <formula>"Napkin Hs"</formula>
    </cfRule>
  </conditionalFormatting>
  <conditionalFormatting sqref="C65">
    <cfRule type="cellIs" dxfId="6740" priority="4957" stopIfTrue="1" operator="equal">
      <formula>"Towel"</formula>
    </cfRule>
    <cfRule type="cellIs" dxfId="6739" priority="4958" stopIfTrue="1" operator="equal">
      <formula>"Napkin Hs"</formula>
    </cfRule>
  </conditionalFormatting>
  <conditionalFormatting sqref="C65">
    <cfRule type="cellIs" dxfId="6738" priority="4959" stopIfTrue="1" operator="equal">
      <formula>"Towel"</formula>
    </cfRule>
  </conditionalFormatting>
  <conditionalFormatting sqref="B65:C65">
    <cfRule type="cellIs" dxfId="6737" priority="4955" stopIfTrue="1" operator="equal">
      <formula>"Towel"</formula>
    </cfRule>
    <cfRule type="cellIs" dxfId="6736" priority="4956" stopIfTrue="1" operator="equal">
      <formula>"Napkin Hs"</formula>
    </cfRule>
  </conditionalFormatting>
  <conditionalFormatting sqref="C65">
    <cfRule type="cellIs" dxfId="6735" priority="4953" stopIfTrue="1" operator="equal">
      <formula>"Towel"</formula>
    </cfRule>
    <cfRule type="cellIs" dxfId="6734" priority="4954" stopIfTrue="1" operator="equal">
      <formula>"Napkin Hs"</formula>
    </cfRule>
  </conditionalFormatting>
  <conditionalFormatting sqref="C65">
    <cfRule type="cellIs" dxfId="6733" priority="4951" stopIfTrue="1" operator="equal">
      <formula>"Towel"</formula>
    </cfRule>
    <cfRule type="cellIs" dxfId="6732" priority="4952" stopIfTrue="1" operator="equal">
      <formula>"Napkin Hs"</formula>
    </cfRule>
  </conditionalFormatting>
  <conditionalFormatting sqref="B65:C65">
    <cfRule type="cellIs" dxfId="6731" priority="4949" stopIfTrue="1" operator="equal">
      <formula>"Towel"</formula>
    </cfRule>
    <cfRule type="cellIs" dxfId="6730" priority="4950" stopIfTrue="1" operator="equal">
      <formula>"Napkin Hs"</formula>
    </cfRule>
  </conditionalFormatting>
  <conditionalFormatting sqref="C65">
    <cfRule type="cellIs" dxfId="6729" priority="4948" stopIfTrue="1" operator="equal">
      <formula>"Napkin Hs"</formula>
    </cfRule>
  </conditionalFormatting>
  <conditionalFormatting sqref="C65">
    <cfRule type="cellIs" dxfId="6728" priority="4945" stopIfTrue="1" operator="equal">
      <formula>"Towel"</formula>
    </cfRule>
    <cfRule type="cellIs" dxfId="6727" priority="4946" stopIfTrue="1" operator="equal">
      <formula>"Napkin Hs"</formula>
    </cfRule>
  </conditionalFormatting>
  <conditionalFormatting sqref="C65">
    <cfRule type="cellIs" dxfId="6726" priority="4947" stopIfTrue="1" operator="equal">
      <formula>"Towel"</formula>
    </cfRule>
  </conditionalFormatting>
  <conditionalFormatting sqref="B65:C65">
    <cfRule type="cellIs" dxfId="6725" priority="4943" stopIfTrue="1" operator="equal">
      <formula>"Towel"</formula>
    </cfRule>
    <cfRule type="cellIs" dxfId="6724" priority="4944" stopIfTrue="1" operator="equal">
      <formula>"Napkin Hs"</formula>
    </cfRule>
  </conditionalFormatting>
  <conditionalFormatting sqref="C65">
    <cfRule type="cellIs" dxfId="6723" priority="4942" stopIfTrue="1" operator="equal">
      <formula>"Napkin Hs"</formula>
    </cfRule>
  </conditionalFormatting>
  <conditionalFormatting sqref="C65">
    <cfRule type="cellIs" dxfId="6722" priority="4941" stopIfTrue="1" operator="equal">
      <formula>"Towel"</formula>
    </cfRule>
  </conditionalFormatting>
  <conditionalFormatting sqref="C65">
    <cfRule type="cellIs" dxfId="6721" priority="4939" stopIfTrue="1" operator="equal">
      <formula>"Towel"</formula>
    </cfRule>
    <cfRule type="cellIs" dxfId="6720" priority="4940" stopIfTrue="1" operator="equal">
      <formula>"Napkin Hs"</formula>
    </cfRule>
  </conditionalFormatting>
  <conditionalFormatting sqref="B65:C65">
    <cfRule type="cellIs" dxfId="6719" priority="4937" stopIfTrue="1" operator="equal">
      <formula>"Towel"</formula>
    </cfRule>
    <cfRule type="cellIs" dxfId="6718" priority="4938" stopIfTrue="1" operator="equal">
      <formula>"Napkin Hs"</formula>
    </cfRule>
  </conditionalFormatting>
  <conditionalFormatting sqref="C65">
    <cfRule type="cellIs" dxfId="6717" priority="4936" stopIfTrue="1" operator="equal">
      <formula>"Napkin Hs"</formula>
    </cfRule>
  </conditionalFormatting>
  <conditionalFormatting sqref="C65">
    <cfRule type="cellIs" dxfId="6716" priority="4933" stopIfTrue="1" operator="equal">
      <formula>"Towel"</formula>
    </cfRule>
    <cfRule type="cellIs" dxfId="6715" priority="4934" stopIfTrue="1" operator="equal">
      <formula>"Napkin Hs"</formula>
    </cfRule>
  </conditionalFormatting>
  <conditionalFormatting sqref="C65">
    <cfRule type="cellIs" dxfId="6714" priority="4935" stopIfTrue="1" operator="equal">
      <formula>"Towel"</formula>
    </cfRule>
  </conditionalFormatting>
  <conditionalFormatting sqref="B65:C65">
    <cfRule type="cellIs" dxfId="6713" priority="4931" stopIfTrue="1" operator="equal">
      <formula>"Towel"</formula>
    </cfRule>
    <cfRule type="cellIs" dxfId="6712" priority="4932" stopIfTrue="1" operator="equal">
      <formula>"Napkin Hs"</formula>
    </cfRule>
  </conditionalFormatting>
  <conditionalFormatting sqref="C65">
    <cfRule type="cellIs" dxfId="6711" priority="4930" stopIfTrue="1" operator="equal">
      <formula>"Napkin Hs"</formula>
    </cfRule>
  </conditionalFormatting>
  <conditionalFormatting sqref="C65">
    <cfRule type="cellIs" dxfId="6710" priority="4927" stopIfTrue="1" operator="equal">
      <formula>"Towel"</formula>
    </cfRule>
    <cfRule type="cellIs" dxfId="6709" priority="4928" stopIfTrue="1" operator="equal">
      <formula>"Napkin Hs"</formula>
    </cfRule>
  </conditionalFormatting>
  <conditionalFormatting sqref="C65">
    <cfRule type="cellIs" dxfId="6708" priority="4929" stopIfTrue="1" operator="equal">
      <formula>"Towel"</formula>
    </cfRule>
  </conditionalFormatting>
  <conditionalFormatting sqref="B65:C65">
    <cfRule type="cellIs" dxfId="6707" priority="4925" stopIfTrue="1" operator="equal">
      <formula>"Towel"</formula>
    </cfRule>
    <cfRule type="cellIs" dxfId="6706" priority="4926" stopIfTrue="1" operator="equal">
      <formula>"Napkin Hs"</formula>
    </cfRule>
  </conditionalFormatting>
  <conditionalFormatting sqref="C65">
    <cfRule type="cellIs" dxfId="6705" priority="4924" stopIfTrue="1" operator="equal">
      <formula>"Napkin Hs"</formula>
    </cfRule>
  </conditionalFormatting>
  <conditionalFormatting sqref="C65">
    <cfRule type="cellIs" dxfId="6704" priority="4921" stopIfTrue="1" operator="equal">
      <formula>"Towel"</formula>
    </cfRule>
    <cfRule type="cellIs" dxfId="6703" priority="4922" stopIfTrue="1" operator="equal">
      <formula>"Napkin Hs"</formula>
    </cfRule>
  </conditionalFormatting>
  <conditionalFormatting sqref="C65">
    <cfRule type="cellIs" dxfId="6702" priority="4923" stopIfTrue="1" operator="equal">
      <formula>"Towel"</formula>
    </cfRule>
  </conditionalFormatting>
  <conditionalFormatting sqref="B65:C65">
    <cfRule type="cellIs" dxfId="6701" priority="4919" stopIfTrue="1" operator="equal">
      <formula>"Towel"</formula>
    </cfRule>
    <cfRule type="cellIs" dxfId="6700" priority="4920" stopIfTrue="1" operator="equal">
      <formula>"Napkin Hs"</formula>
    </cfRule>
  </conditionalFormatting>
  <conditionalFormatting sqref="C65">
    <cfRule type="cellIs" dxfId="6699" priority="4918" stopIfTrue="1" operator="equal">
      <formula>"Napkin Hs"</formula>
    </cfRule>
  </conditionalFormatting>
  <conditionalFormatting sqref="C65">
    <cfRule type="cellIs" dxfId="6698" priority="4915" stopIfTrue="1" operator="equal">
      <formula>"Towel"</formula>
    </cfRule>
    <cfRule type="cellIs" dxfId="6697" priority="4916" stopIfTrue="1" operator="equal">
      <formula>"Napkin Hs"</formula>
    </cfRule>
  </conditionalFormatting>
  <conditionalFormatting sqref="C65">
    <cfRule type="cellIs" dxfId="6696" priority="4917" stopIfTrue="1" operator="equal">
      <formula>"Towel"</formula>
    </cfRule>
  </conditionalFormatting>
  <conditionalFormatting sqref="B65:C65">
    <cfRule type="cellIs" dxfId="6695" priority="4913" stopIfTrue="1" operator="equal">
      <formula>"Towel"</formula>
    </cfRule>
    <cfRule type="cellIs" dxfId="6694" priority="4914" stopIfTrue="1" operator="equal">
      <formula>"Napkin Hs"</formula>
    </cfRule>
  </conditionalFormatting>
  <conditionalFormatting sqref="C65">
    <cfRule type="cellIs" dxfId="6693" priority="4912" stopIfTrue="1" operator="equal">
      <formula>"Napkin Hs"</formula>
    </cfRule>
  </conditionalFormatting>
  <conditionalFormatting sqref="C65">
    <cfRule type="cellIs" dxfId="6692" priority="4909" stopIfTrue="1" operator="equal">
      <formula>"Towel"</formula>
    </cfRule>
    <cfRule type="cellIs" dxfId="6691" priority="4910" stopIfTrue="1" operator="equal">
      <formula>"Napkin Hs"</formula>
    </cfRule>
  </conditionalFormatting>
  <conditionalFormatting sqref="C65">
    <cfRule type="cellIs" dxfId="6690" priority="4911" stopIfTrue="1" operator="equal">
      <formula>"Towel"</formula>
    </cfRule>
  </conditionalFormatting>
  <conditionalFormatting sqref="B65:C65">
    <cfRule type="cellIs" dxfId="6689" priority="4907" stopIfTrue="1" operator="equal">
      <formula>"Towel"</formula>
    </cfRule>
    <cfRule type="cellIs" dxfId="6688" priority="4908" stopIfTrue="1" operator="equal">
      <formula>"Napkin Hs"</formula>
    </cfRule>
  </conditionalFormatting>
  <conditionalFormatting sqref="C65">
    <cfRule type="cellIs" dxfId="6687" priority="4906" stopIfTrue="1" operator="equal">
      <formula>"Napkin Hs"</formula>
    </cfRule>
  </conditionalFormatting>
  <conditionalFormatting sqref="C65">
    <cfRule type="cellIs" dxfId="6686" priority="4903" stopIfTrue="1" operator="equal">
      <formula>"Towel"</formula>
    </cfRule>
    <cfRule type="cellIs" dxfId="6685" priority="4904" stopIfTrue="1" operator="equal">
      <formula>"Napkin Hs"</formula>
    </cfRule>
  </conditionalFormatting>
  <conditionalFormatting sqref="C65">
    <cfRule type="cellIs" dxfId="6684" priority="4905" stopIfTrue="1" operator="equal">
      <formula>"Towel"</formula>
    </cfRule>
  </conditionalFormatting>
  <conditionalFormatting sqref="B65:C65">
    <cfRule type="cellIs" dxfId="6683" priority="4901" stopIfTrue="1" operator="equal">
      <formula>"Towel"</formula>
    </cfRule>
    <cfRule type="cellIs" dxfId="6682" priority="4902" stopIfTrue="1" operator="equal">
      <formula>"Napkin Hs"</formula>
    </cfRule>
  </conditionalFormatting>
  <conditionalFormatting sqref="C65">
    <cfRule type="cellIs" dxfId="6681" priority="4900" stopIfTrue="1" operator="equal">
      <formula>"Napkin Hs"</formula>
    </cfRule>
  </conditionalFormatting>
  <conditionalFormatting sqref="C65">
    <cfRule type="cellIs" dxfId="6680" priority="4897" stopIfTrue="1" operator="equal">
      <formula>"Towel"</formula>
    </cfRule>
    <cfRule type="cellIs" dxfId="6679" priority="4898" stopIfTrue="1" operator="equal">
      <formula>"Napkin Hs"</formula>
    </cfRule>
  </conditionalFormatting>
  <conditionalFormatting sqref="C65">
    <cfRule type="cellIs" dxfId="6678" priority="4899" stopIfTrue="1" operator="equal">
      <formula>"Towel"</formula>
    </cfRule>
  </conditionalFormatting>
  <conditionalFormatting sqref="B65:C65">
    <cfRule type="cellIs" dxfId="6677" priority="4895" stopIfTrue="1" operator="equal">
      <formula>"Towel"</formula>
    </cfRule>
    <cfRule type="cellIs" dxfId="6676" priority="4896" stopIfTrue="1" operator="equal">
      <formula>"Napkin Hs"</formula>
    </cfRule>
  </conditionalFormatting>
  <conditionalFormatting sqref="C65">
    <cfRule type="cellIs" dxfId="6675" priority="4894" stopIfTrue="1" operator="equal">
      <formula>"Napkin Hs"</formula>
    </cfRule>
  </conditionalFormatting>
  <conditionalFormatting sqref="C65">
    <cfRule type="cellIs" dxfId="6674" priority="4891" stopIfTrue="1" operator="equal">
      <formula>"Towel"</formula>
    </cfRule>
    <cfRule type="cellIs" dxfId="6673" priority="4892" stopIfTrue="1" operator="equal">
      <formula>"Napkin Hs"</formula>
    </cfRule>
  </conditionalFormatting>
  <conditionalFormatting sqref="C65">
    <cfRule type="cellIs" dxfId="6672" priority="4893" stopIfTrue="1" operator="equal">
      <formula>"Towel"</formula>
    </cfRule>
  </conditionalFormatting>
  <conditionalFormatting sqref="B65:C65">
    <cfRule type="cellIs" dxfId="6671" priority="4889" stopIfTrue="1" operator="equal">
      <formula>"Towel"</formula>
    </cfRule>
    <cfRule type="cellIs" dxfId="6670" priority="4890" stopIfTrue="1" operator="equal">
      <formula>"Napkin Hs"</formula>
    </cfRule>
  </conditionalFormatting>
  <conditionalFormatting sqref="C65">
    <cfRule type="cellIs" dxfId="6669" priority="4888" stopIfTrue="1" operator="equal">
      <formula>"Napkin Hs"</formula>
    </cfRule>
  </conditionalFormatting>
  <conditionalFormatting sqref="C65">
    <cfRule type="cellIs" dxfId="6668" priority="4885" stopIfTrue="1" operator="equal">
      <formula>"Towel"</formula>
    </cfRule>
    <cfRule type="cellIs" dxfId="6667" priority="4886" stopIfTrue="1" operator="equal">
      <formula>"Napkin Hs"</formula>
    </cfRule>
  </conditionalFormatting>
  <conditionalFormatting sqref="C65">
    <cfRule type="cellIs" dxfId="6666" priority="4887" stopIfTrue="1" operator="equal">
      <formula>"Towel"</formula>
    </cfRule>
  </conditionalFormatting>
  <conditionalFormatting sqref="B65:C65">
    <cfRule type="cellIs" dxfId="6665" priority="4883" stopIfTrue="1" operator="equal">
      <formula>"Towel"</formula>
    </cfRule>
    <cfRule type="cellIs" dxfId="6664" priority="4884" stopIfTrue="1" operator="equal">
      <formula>"Napkin Hs"</formula>
    </cfRule>
  </conditionalFormatting>
  <conditionalFormatting sqref="C65">
    <cfRule type="cellIs" dxfId="6663" priority="4882" stopIfTrue="1" operator="equal">
      <formula>"Napkin Hs"</formula>
    </cfRule>
  </conditionalFormatting>
  <conditionalFormatting sqref="C65">
    <cfRule type="cellIs" dxfId="6662" priority="4879" stopIfTrue="1" operator="equal">
      <formula>"Towel"</formula>
    </cfRule>
    <cfRule type="cellIs" dxfId="6661" priority="4880" stopIfTrue="1" operator="equal">
      <formula>"Napkin Hs"</formula>
    </cfRule>
  </conditionalFormatting>
  <conditionalFormatting sqref="C65">
    <cfRule type="cellIs" dxfId="6660" priority="4881" stopIfTrue="1" operator="equal">
      <formula>"Towel"</formula>
    </cfRule>
  </conditionalFormatting>
  <conditionalFormatting sqref="B65:C65">
    <cfRule type="cellIs" dxfId="6659" priority="4877" stopIfTrue="1" operator="equal">
      <formula>"Towel"</formula>
    </cfRule>
    <cfRule type="cellIs" dxfId="6658" priority="4878" stopIfTrue="1" operator="equal">
      <formula>"Napkin Hs"</formula>
    </cfRule>
  </conditionalFormatting>
  <conditionalFormatting sqref="C65">
    <cfRule type="cellIs" dxfId="6657" priority="4876" stopIfTrue="1" operator="equal">
      <formula>"Napkin Hs"</formula>
    </cfRule>
  </conditionalFormatting>
  <conditionalFormatting sqref="C65">
    <cfRule type="cellIs" dxfId="6656" priority="4875" stopIfTrue="1" operator="equal">
      <formula>"Towel"</formula>
    </cfRule>
  </conditionalFormatting>
  <conditionalFormatting sqref="C65">
    <cfRule type="cellIs" dxfId="6655" priority="4873" stopIfTrue="1" operator="equal">
      <formula>"Towel"</formula>
    </cfRule>
    <cfRule type="cellIs" dxfId="6654" priority="4874" stopIfTrue="1" operator="equal">
      <formula>"Napkin Hs"</formula>
    </cfRule>
  </conditionalFormatting>
  <conditionalFormatting sqref="B65:C65">
    <cfRule type="cellIs" dxfId="6653" priority="4871" stopIfTrue="1" operator="equal">
      <formula>"Towel"</formula>
    </cfRule>
    <cfRule type="cellIs" dxfId="6652" priority="4872" stopIfTrue="1" operator="equal">
      <formula>"Napkin Hs"</formula>
    </cfRule>
  </conditionalFormatting>
  <conditionalFormatting sqref="C65">
    <cfRule type="cellIs" dxfId="6651" priority="4870" stopIfTrue="1" operator="equal">
      <formula>"Napkin Hs"</formula>
    </cfRule>
  </conditionalFormatting>
  <conditionalFormatting sqref="C65">
    <cfRule type="cellIs" dxfId="6650" priority="4867" stopIfTrue="1" operator="equal">
      <formula>"Towel"</formula>
    </cfRule>
    <cfRule type="cellIs" dxfId="6649" priority="4868" stopIfTrue="1" operator="equal">
      <formula>"Napkin Hs"</formula>
    </cfRule>
  </conditionalFormatting>
  <conditionalFormatting sqref="C65">
    <cfRule type="cellIs" dxfId="6648" priority="4869" stopIfTrue="1" operator="equal">
      <formula>"Towel"</formula>
    </cfRule>
  </conditionalFormatting>
  <conditionalFormatting sqref="B65:C65">
    <cfRule type="cellIs" dxfId="6647" priority="4865" stopIfTrue="1" operator="equal">
      <formula>"Towel"</formula>
    </cfRule>
    <cfRule type="cellIs" dxfId="6646" priority="4866" stopIfTrue="1" operator="equal">
      <formula>"Napkin Hs"</formula>
    </cfRule>
  </conditionalFormatting>
  <conditionalFormatting sqref="C65">
    <cfRule type="cellIs" dxfId="6645" priority="4864" stopIfTrue="1" operator="equal">
      <formula>"Napkin Hs"</formula>
    </cfRule>
  </conditionalFormatting>
  <conditionalFormatting sqref="C65">
    <cfRule type="cellIs" dxfId="6644" priority="4861" stopIfTrue="1" operator="equal">
      <formula>"Towel"</formula>
    </cfRule>
    <cfRule type="cellIs" dxfId="6643" priority="4862" stopIfTrue="1" operator="equal">
      <formula>"Napkin Hs"</formula>
    </cfRule>
  </conditionalFormatting>
  <conditionalFormatting sqref="C65">
    <cfRule type="cellIs" dxfId="6642" priority="4863" stopIfTrue="1" operator="equal">
      <formula>"Towel"</formula>
    </cfRule>
  </conditionalFormatting>
  <conditionalFormatting sqref="B65:C65">
    <cfRule type="cellIs" dxfId="6641" priority="4859" stopIfTrue="1" operator="equal">
      <formula>"Towel"</formula>
    </cfRule>
    <cfRule type="cellIs" dxfId="6640" priority="4860" stopIfTrue="1" operator="equal">
      <formula>"Napkin Hs"</formula>
    </cfRule>
  </conditionalFormatting>
  <conditionalFormatting sqref="C65">
    <cfRule type="cellIs" dxfId="6639" priority="4858" stopIfTrue="1" operator="equal">
      <formula>"Napkin Hs"</formula>
    </cfRule>
  </conditionalFormatting>
  <conditionalFormatting sqref="C65">
    <cfRule type="cellIs" dxfId="6638" priority="4855" stopIfTrue="1" operator="equal">
      <formula>"Towel"</formula>
    </cfRule>
    <cfRule type="cellIs" dxfId="6637" priority="4856" stopIfTrue="1" operator="equal">
      <formula>"Napkin Hs"</formula>
    </cfRule>
  </conditionalFormatting>
  <conditionalFormatting sqref="C65">
    <cfRule type="cellIs" dxfId="6636" priority="4857" stopIfTrue="1" operator="equal">
      <formula>"Towel"</formula>
    </cfRule>
  </conditionalFormatting>
  <conditionalFormatting sqref="B65:C65">
    <cfRule type="cellIs" dxfId="6635" priority="4853" stopIfTrue="1" operator="equal">
      <formula>"Towel"</formula>
    </cfRule>
    <cfRule type="cellIs" dxfId="6634" priority="4854" stopIfTrue="1" operator="equal">
      <formula>"Napkin Hs"</formula>
    </cfRule>
  </conditionalFormatting>
  <conditionalFormatting sqref="C65">
    <cfRule type="cellIs" dxfId="6633" priority="4852" stopIfTrue="1" operator="equal">
      <formula>"Napkin Hs"</formula>
    </cfRule>
  </conditionalFormatting>
  <conditionalFormatting sqref="C65">
    <cfRule type="cellIs" dxfId="6632" priority="4849" stopIfTrue="1" operator="equal">
      <formula>"Towel"</formula>
    </cfRule>
    <cfRule type="cellIs" dxfId="6631" priority="4850" stopIfTrue="1" operator="equal">
      <formula>"Napkin Hs"</formula>
    </cfRule>
  </conditionalFormatting>
  <conditionalFormatting sqref="C65">
    <cfRule type="cellIs" dxfId="6630" priority="4851" stopIfTrue="1" operator="equal">
      <formula>"Towel"</formula>
    </cfRule>
  </conditionalFormatting>
  <conditionalFormatting sqref="B65:C65">
    <cfRule type="cellIs" dxfId="6629" priority="4847" stopIfTrue="1" operator="equal">
      <formula>"Towel"</formula>
    </cfRule>
    <cfRule type="cellIs" dxfId="6628" priority="4848" stopIfTrue="1" operator="equal">
      <formula>"Napkin Hs"</formula>
    </cfRule>
  </conditionalFormatting>
  <conditionalFormatting sqref="C65">
    <cfRule type="cellIs" dxfId="6627" priority="4846" stopIfTrue="1" operator="equal">
      <formula>"Napkin Hs"</formula>
    </cfRule>
  </conditionalFormatting>
  <conditionalFormatting sqref="C65">
    <cfRule type="cellIs" dxfId="6626" priority="4843" stopIfTrue="1" operator="equal">
      <formula>"Towel"</formula>
    </cfRule>
    <cfRule type="cellIs" dxfId="6625" priority="4844" stopIfTrue="1" operator="equal">
      <formula>"Napkin Hs"</formula>
    </cfRule>
  </conditionalFormatting>
  <conditionalFormatting sqref="C65">
    <cfRule type="cellIs" dxfId="6624" priority="4845" stopIfTrue="1" operator="equal">
      <formula>"Towel"</formula>
    </cfRule>
  </conditionalFormatting>
  <conditionalFormatting sqref="B65:C65">
    <cfRule type="cellIs" dxfId="6623" priority="4841" stopIfTrue="1" operator="equal">
      <formula>"Towel"</formula>
    </cfRule>
    <cfRule type="cellIs" dxfId="6622" priority="4842" stopIfTrue="1" operator="equal">
      <formula>"Napkin Hs"</formula>
    </cfRule>
  </conditionalFormatting>
  <conditionalFormatting sqref="C65">
    <cfRule type="cellIs" dxfId="6621" priority="4840" stopIfTrue="1" operator="equal">
      <formula>"Napkin Hs"</formula>
    </cfRule>
  </conditionalFormatting>
  <conditionalFormatting sqref="C65">
    <cfRule type="cellIs" dxfId="6620" priority="4837" stopIfTrue="1" operator="equal">
      <formula>"Towel"</formula>
    </cfRule>
    <cfRule type="cellIs" dxfId="6619" priority="4838" stopIfTrue="1" operator="equal">
      <formula>"Napkin Hs"</formula>
    </cfRule>
  </conditionalFormatting>
  <conditionalFormatting sqref="C65">
    <cfRule type="cellIs" dxfId="6618" priority="4839" stopIfTrue="1" operator="equal">
      <formula>"Towel"</formula>
    </cfRule>
  </conditionalFormatting>
  <conditionalFormatting sqref="B65:C65">
    <cfRule type="cellIs" dxfId="6617" priority="4835" stopIfTrue="1" operator="equal">
      <formula>"Towel"</formula>
    </cfRule>
    <cfRule type="cellIs" dxfId="6616" priority="4836" stopIfTrue="1" operator="equal">
      <formula>"Napkin Hs"</formula>
    </cfRule>
  </conditionalFormatting>
  <conditionalFormatting sqref="C65">
    <cfRule type="cellIs" dxfId="6615" priority="4834" stopIfTrue="1" operator="equal">
      <formula>"Napkin Hs"</formula>
    </cfRule>
  </conditionalFormatting>
  <conditionalFormatting sqref="C65">
    <cfRule type="cellIs" dxfId="6614" priority="4831" stopIfTrue="1" operator="equal">
      <formula>"Towel"</formula>
    </cfRule>
    <cfRule type="cellIs" dxfId="6613" priority="4832" stopIfTrue="1" operator="equal">
      <formula>"Napkin Hs"</formula>
    </cfRule>
  </conditionalFormatting>
  <conditionalFormatting sqref="C65">
    <cfRule type="cellIs" dxfId="6612" priority="4833" stopIfTrue="1" operator="equal">
      <formula>"Towel"</formula>
    </cfRule>
  </conditionalFormatting>
  <conditionalFormatting sqref="B65:C65">
    <cfRule type="cellIs" dxfId="6611" priority="4829" stopIfTrue="1" operator="equal">
      <formula>"Towel"</formula>
    </cfRule>
    <cfRule type="cellIs" dxfId="6610" priority="4830" stopIfTrue="1" operator="equal">
      <formula>"Napkin Hs"</formula>
    </cfRule>
  </conditionalFormatting>
  <conditionalFormatting sqref="C65">
    <cfRule type="cellIs" dxfId="6609" priority="4828" stopIfTrue="1" operator="equal">
      <formula>"Napkin Hs"</formula>
    </cfRule>
  </conditionalFormatting>
  <conditionalFormatting sqref="C65">
    <cfRule type="cellIs" dxfId="6608" priority="4825" stopIfTrue="1" operator="equal">
      <formula>"Towel"</formula>
    </cfRule>
    <cfRule type="cellIs" dxfId="6607" priority="4826" stopIfTrue="1" operator="equal">
      <formula>"Napkin Hs"</formula>
    </cfRule>
  </conditionalFormatting>
  <conditionalFormatting sqref="C65">
    <cfRule type="cellIs" dxfId="6606" priority="4827" stopIfTrue="1" operator="equal">
      <formula>"Towel"</formula>
    </cfRule>
  </conditionalFormatting>
  <conditionalFormatting sqref="B65:C65">
    <cfRule type="cellIs" dxfId="6605" priority="4823" stopIfTrue="1" operator="equal">
      <formula>"Towel"</formula>
    </cfRule>
    <cfRule type="cellIs" dxfId="6604" priority="4824" stopIfTrue="1" operator="equal">
      <formula>"Napkin Hs"</formula>
    </cfRule>
  </conditionalFormatting>
  <conditionalFormatting sqref="C65">
    <cfRule type="cellIs" dxfId="6603" priority="4822" stopIfTrue="1" operator="equal">
      <formula>"Napkin Hs"</formula>
    </cfRule>
  </conditionalFormatting>
  <conditionalFormatting sqref="C65">
    <cfRule type="cellIs" dxfId="6602" priority="4819" stopIfTrue="1" operator="equal">
      <formula>"Towel"</formula>
    </cfRule>
    <cfRule type="cellIs" dxfId="6601" priority="4820" stopIfTrue="1" operator="equal">
      <formula>"Napkin Hs"</formula>
    </cfRule>
  </conditionalFormatting>
  <conditionalFormatting sqref="C65">
    <cfRule type="cellIs" dxfId="6600" priority="4821" stopIfTrue="1" operator="equal">
      <formula>"Towel"</formula>
    </cfRule>
  </conditionalFormatting>
  <conditionalFormatting sqref="B66:C66">
    <cfRule type="cellIs" dxfId="6599" priority="4817" stopIfTrue="1" operator="equal">
      <formula>"Towel"</formula>
    </cfRule>
    <cfRule type="cellIs" dxfId="6598" priority="4818" stopIfTrue="1" operator="equal">
      <formula>"Napkin Hs"</formula>
    </cfRule>
  </conditionalFormatting>
  <conditionalFormatting sqref="C66">
    <cfRule type="cellIs" dxfId="6597" priority="4816" stopIfTrue="1" operator="equal">
      <formula>"Napkin Hs"</formula>
    </cfRule>
  </conditionalFormatting>
  <conditionalFormatting sqref="C66">
    <cfRule type="cellIs" dxfId="6596" priority="4813" stopIfTrue="1" operator="equal">
      <formula>"Towel"</formula>
    </cfRule>
    <cfRule type="cellIs" dxfId="6595" priority="4814" stopIfTrue="1" operator="equal">
      <formula>"Napkin Hs"</formula>
    </cfRule>
  </conditionalFormatting>
  <conditionalFormatting sqref="C66">
    <cfRule type="cellIs" dxfId="6594" priority="4815" stopIfTrue="1" operator="equal">
      <formula>"Towel"</formula>
    </cfRule>
  </conditionalFormatting>
  <conditionalFormatting sqref="B66:C66">
    <cfRule type="cellIs" dxfId="6593" priority="4811" stopIfTrue="1" operator="equal">
      <formula>"Towel"</formula>
    </cfRule>
    <cfRule type="cellIs" dxfId="6592" priority="4812" stopIfTrue="1" operator="equal">
      <formula>"Napkin Hs"</formula>
    </cfRule>
  </conditionalFormatting>
  <conditionalFormatting sqref="C66">
    <cfRule type="cellIs" dxfId="6591" priority="4807" stopIfTrue="1" operator="equal">
      <formula>"Towel"</formula>
    </cfRule>
    <cfRule type="cellIs" dxfId="6590" priority="4808" stopIfTrue="1" operator="equal">
      <formula>"Napkin Hs"</formula>
    </cfRule>
  </conditionalFormatting>
  <conditionalFormatting sqref="C66">
    <cfRule type="cellIs" dxfId="6589" priority="4809" stopIfTrue="1" operator="equal">
      <formula>"Towel"</formula>
    </cfRule>
    <cfRule type="cellIs" dxfId="6588" priority="4810" stopIfTrue="1" operator="equal">
      <formula>"Napkin Hs"</formula>
    </cfRule>
  </conditionalFormatting>
  <conditionalFormatting sqref="B66:C66">
    <cfRule type="cellIs" dxfId="6587" priority="4805" stopIfTrue="1" operator="equal">
      <formula>"Towel"</formula>
    </cfRule>
    <cfRule type="cellIs" dxfId="6586" priority="4806" stopIfTrue="1" operator="equal">
      <formula>"Napkin Hs"</formula>
    </cfRule>
  </conditionalFormatting>
  <conditionalFormatting sqref="C66">
    <cfRule type="cellIs" dxfId="6585" priority="4804" stopIfTrue="1" operator="equal">
      <formula>"Napkin Hs"</formula>
    </cfRule>
  </conditionalFormatting>
  <conditionalFormatting sqref="C66">
    <cfRule type="cellIs" dxfId="6584" priority="4801" stopIfTrue="1" operator="equal">
      <formula>"Towel"</formula>
    </cfRule>
    <cfRule type="cellIs" dxfId="6583" priority="4802" stopIfTrue="1" operator="equal">
      <formula>"Napkin Hs"</formula>
    </cfRule>
  </conditionalFormatting>
  <conditionalFormatting sqref="C66">
    <cfRule type="cellIs" dxfId="6582" priority="4803" stopIfTrue="1" operator="equal">
      <formula>"Towel"</formula>
    </cfRule>
  </conditionalFormatting>
  <conditionalFormatting sqref="B66:C66">
    <cfRule type="cellIs" dxfId="6581" priority="4799" stopIfTrue="1" operator="equal">
      <formula>"Towel"</formula>
    </cfRule>
    <cfRule type="cellIs" dxfId="6580" priority="4800" stopIfTrue="1" operator="equal">
      <formula>"Napkin Hs"</formula>
    </cfRule>
  </conditionalFormatting>
  <conditionalFormatting sqref="C66">
    <cfRule type="cellIs" dxfId="6579" priority="4797" stopIfTrue="1" operator="equal">
      <formula>"Towel"</formula>
    </cfRule>
    <cfRule type="cellIs" dxfId="6578" priority="4798" stopIfTrue="1" operator="equal">
      <formula>"Napkin Hs"</formula>
    </cfRule>
  </conditionalFormatting>
  <conditionalFormatting sqref="C66">
    <cfRule type="cellIs" dxfId="6577" priority="4795" stopIfTrue="1" operator="equal">
      <formula>"Towel"</formula>
    </cfRule>
    <cfRule type="cellIs" dxfId="6576" priority="4796" stopIfTrue="1" operator="equal">
      <formula>"Napkin Hs"</formula>
    </cfRule>
  </conditionalFormatting>
  <conditionalFormatting sqref="B66:C66">
    <cfRule type="cellIs" dxfId="6575" priority="4793" stopIfTrue="1" operator="equal">
      <formula>"Towel"</formula>
    </cfRule>
    <cfRule type="cellIs" dxfId="6574" priority="4794" stopIfTrue="1" operator="equal">
      <formula>"Napkin Hs"</formula>
    </cfRule>
  </conditionalFormatting>
  <conditionalFormatting sqref="C66">
    <cfRule type="cellIs" dxfId="6573" priority="4792" stopIfTrue="1" operator="equal">
      <formula>"Napkin Hs"</formula>
    </cfRule>
  </conditionalFormatting>
  <conditionalFormatting sqref="C66">
    <cfRule type="cellIs" dxfId="6572" priority="4789" stopIfTrue="1" operator="equal">
      <formula>"Towel"</formula>
    </cfRule>
    <cfRule type="cellIs" dxfId="6571" priority="4790" stopIfTrue="1" operator="equal">
      <formula>"Napkin Hs"</formula>
    </cfRule>
  </conditionalFormatting>
  <conditionalFormatting sqref="C66">
    <cfRule type="cellIs" dxfId="6570" priority="4791" stopIfTrue="1" operator="equal">
      <formula>"Towel"</formula>
    </cfRule>
  </conditionalFormatting>
  <conditionalFormatting sqref="B66:C66">
    <cfRule type="cellIs" dxfId="6569" priority="4787" stopIfTrue="1" operator="equal">
      <formula>"Towel"</formula>
    </cfRule>
    <cfRule type="cellIs" dxfId="6568" priority="4788" stopIfTrue="1" operator="equal">
      <formula>"Napkin Hs"</formula>
    </cfRule>
  </conditionalFormatting>
  <conditionalFormatting sqref="C66">
    <cfRule type="cellIs" dxfId="6567" priority="4786" stopIfTrue="1" operator="equal">
      <formula>"Napkin Hs"</formula>
    </cfRule>
  </conditionalFormatting>
  <conditionalFormatting sqref="C66">
    <cfRule type="cellIs" dxfId="6566" priority="4785" stopIfTrue="1" operator="equal">
      <formula>"Towel"</formula>
    </cfRule>
  </conditionalFormatting>
  <conditionalFormatting sqref="C66">
    <cfRule type="cellIs" dxfId="6565" priority="4783" stopIfTrue="1" operator="equal">
      <formula>"Towel"</formula>
    </cfRule>
    <cfRule type="cellIs" dxfId="6564" priority="4784" stopIfTrue="1" operator="equal">
      <formula>"Napkin Hs"</formula>
    </cfRule>
  </conditionalFormatting>
  <conditionalFormatting sqref="B66:C66">
    <cfRule type="cellIs" dxfId="6563" priority="4781" stopIfTrue="1" operator="equal">
      <formula>"Towel"</formula>
    </cfRule>
    <cfRule type="cellIs" dxfId="6562" priority="4782" stopIfTrue="1" operator="equal">
      <formula>"Napkin Hs"</formula>
    </cfRule>
  </conditionalFormatting>
  <conditionalFormatting sqref="C66">
    <cfRule type="cellIs" dxfId="6561" priority="4780" stopIfTrue="1" operator="equal">
      <formula>"Napkin Hs"</formula>
    </cfRule>
  </conditionalFormatting>
  <conditionalFormatting sqref="C66">
    <cfRule type="cellIs" dxfId="6560" priority="4777" stopIfTrue="1" operator="equal">
      <formula>"Towel"</formula>
    </cfRule>
    <cfRule type="cellIs" dxfId="6559" priority="4778" stopIfTrue="1" operator="equal">
      <formula>"Napkin Hs"</formula>
    </cfRule>
  </conditionalFormatting>
  <conditionalFormatting sqref="C66">
    <cfRule type="cellIs" dxfId="6558" priority="4779" stopIfTrue="1" operator="equal">
      <formula>"Towel"</formula>
    </cfRule>
  </conditionalFormatting>
  <conditionalFormatting sqref="B66:C66">
    <cfRule type="cellIs" dxfId="6557" priority="4775" stopIfTrue="1" operator="equal">
      <formula>"Towel"</formula>
    </cfRule>
    <cfRule type="cellIs" dxfId="6556" priority="4776" stopIfTrue="1" operator="equal">
      <formula>"Napkin Hs"</formula>
    </cfRule>
  </conditionalFormatting>
  <conditionalFormatting sqref="C66">
    <cfRule type="cellIs" dxfId="6555" priority="4774" stopIfTrue="1" operator="equal">
      <formula>"Napkin Hs"</formula>
    </cfRule>
  </conditionalFormatting>
  <conditionalFormatting sqref="C66">
    <cfRule type="cellIs" dxfId="6554" priority="4771" stopIfTrue="1" operator="equal">
      <formula>"Towel"</formula>
    </cfRule>
    <cfRule type="cellIs" dxfId="6553" priority="4772" stopIfTrue="1" operator="equal">
      <formula>"Napkin Hs"</formula>
    </cfRule>
  </conditionalFormatting>
  <conditionalFormatting sqref="C66">
    <cfRule type="cellIs" dxfId="6552" priority="4773" stopIfTrue="1" operator="equal">
      <formula>"Towel"</formula>
    </cfRule>
  </conditionalFormatting>
  <conditionalFormatting sqref="B66:C66">
    <cfRule type="cellIs" dxfId="6551" priority="4769" stopIfTrue="1" operator="equal">
      <formula>"Towel"</formula>
    </cfRule>
    <cfRule type="cellIs" dxfId="6550" priority="4770" stopIfTrue="1" operator="equal">
      <formula>"Napkin Hs"</formula>
    </cfRule>
  </conditionalFormatting>
  <conditionalFormatting sqref="C66">
    <cfRule type="cellIs" dxfId="6549" priority="4768" stopIfTrue="1" operator="equal">
      <formula>"Napkin Hs"</formula>
    </cfRule>
  </conditionalFormatting>
  <conditionalFormatting sqref="C66">
    <cfRule type="cellIs" dxfId="6548" priority="4765" stopIfTrue="1" operator="equal">
      <formula>"Towel"</formula>
    </cfRule>
    <cfRule type="cellIs" dxfId="6547" priority="4766" stopIfTrue="1" operator="equal">
      <formula>"Napkin Hs"</formula>
    </cfRule>
  </conditionalFormatting>
  <conditionalFormatting sqref="C66">
    <cfRule type="cellIs" dxfId="6546" priority="4767" stopIfTrue="1" operator="equal">
      <formula>"Towel"</formula>
    </cfRule>
  </conditionalFormatting>
  <conditionalFormatting sqref="B66:C66">
    <cfRule type="cellIs" dxfId="6545" priority="4763" stopIfTrue="1" operator="equal">
      <formula>"Towel"</formula>
    </cfRule>
    <cfRule type="cellIs" dxfId="6544" priority="4764" stopIfTrue="1" operator="equal">
      <formula>"Napkin Hs"</formula>
    </cfRule>
  </conditionalFormatting>
  <conditionalFormatting sqref="C66">
    <cfRule type="cellIs" dxfId="6543" priority="4762" stopIfTrue="1" operator="equal">
      <formula>"Napkin Hs"</formula>
    </cfRule>
  </conditionalFormatting>
  <conditionalFormatting sqref="C66">
    <cfRule type="cellIs" dxfId="6542" priority="4759" stopIfTrue="1" operator="equal">
      <formula>"Towel"</formula>
    </cfRule>
    <cfRule type="cellIs" dxfId="6541" priority="4760" stopIfTrue="1" operator="equal">
      <formula>"Napkin Hs"</formula>
    </cfRule>
  </conditionalFormatting>
  <conditionalFormatting sqref="C66">
    <cfRule type="cellIs" dxfId="6540" priority="4761" stopIfTrue="1" operator="equal">
      <formula>"Towel"</formula>
    </cfRule>
  </conditionalFormatting>
  <conditionalFormatting sqref="B66:C66">
    <cfRule type="cellIs" dxfId="6539" priority="4757" stopIfTrue="1" operator="equal">
      <formula>"Towel"</formula>
    </cfRule>
    <cfRule type="cellIs" dxfId="6538" priority="4758" stopIfTrue="1" operator="equal">
      <formula>"Napkin Hs"</formula>
    </cfRule>
  </conditionalFormatting>
  <conditionalFormatting sqref="C66">
    <cfRule type="cellIs" dxfId="6537" priority="4756" stopIfTrue="1" operator="equal">
      <formula>"Napkin Hs"</formula>
    </cfRule>
  </conditionalFormatting>
  <conditionalFormatting sqref="C66">
    <cfRule type="cellIs" dxfId="6536" priority="4753" stopIfTrue="1" operator="equal">
      <formula>"Towel"</formula>
    </cfRule>
    <cfRule type="cellIs" dxfId="6535" priority="4754" stopIfTrue="1" operator="equal">
      <formula>"Napkin Hs"</formula>
    </cfRule>
  </conditionalFormatting>
  <conditionalFormatting sqref="C66">
    <cfRule type="cellIs" dxfId="6534" priority="4755" stopIfTrue="1" operator="equal">
      <formula>"Towel"</formula>
    </cfRule>
  </conditionalFormatting>
  <conditionalFormatting sqref="B66:C66">
    <cfRule type="cellIs" dxfId="6533" priority="4751" stopIfTrue="1" operator="equal">
      <formula>"Towel"</formula>
    </cfRule>
    <cfRule type="cellIs" dxfId="6532" priority="4752" stopIfTrue="1" operator="equal">
      <formula>"Napkin Hs"</formula>
    </cfRule>
  </conditionalFormatting>
  <conditionalFormatting sqref="C66">
    <cfRule type="cellIs" dxfId="6531" priority="4750" stopIfTrue="1" operator="equal">
      <formula>"Napkin Hs"</formula>
    </cfRule>
  </conditionalFormatting>
  <conditionalFormatting sqref="C66">
    <cfRule type="cellIs" dxfId="6530" priority="4747" stopIfTrue="1" operator="equal">
      <formula>"Towel"</formula>
    </cfRule>
    <cfRule type="cellIs" dxfId="6529" priority="4748" stopIfTrue="1" operator="equal">
      <formula>"Napkin Hs"</formula>
    </cfRule>
  </conditionalFormatting>
  <conditionalFormatting sqref="C66">
    <cfRule type="cellIs" dxfId="6528" priority="4749" stopIfTrue="1" operator="equal">
      <formula>"Towel"</formula>
    </cfRule>
  </conditionalFormatting>
  <conditionalFormatting sqref="B66:C66">
    <cfRule type="cellIs" dxfId="6527" priority="4745" stopIfTrue="1" operator="equal">
      <formula>"Towel"</formula>
    </cfRule>
    <cfRule type="cellIs" dxfId="6526" priority="4746" stopIfTrue="1" operator="equal">
      <formula>"Napkin Hs"</formula>
    </cfRule>
  </conditionalFormatting>
  <conditionalFormatting sqref="C66">
    <cfRule type="cellIs" dxfId="6525" priority="4744" stopIfTrue="1" operator="equal">
      <formula>"Napkin Hs"</formula>
    </cfRule>
  </conditionalFormatting>
  <conditionalFormatting sqref="C66">
    <cfRule type="cellIs" dxfId="6524" priority="4741" stopIfTrue="1" operator="equal">
      <formula>"Towel"</formula>
    </cfRule>
    <cfRule type="cellIs" dxfId="6523" priority="4742" stopIfTrue="1" operator="equal">
      <formula>"Napkin Hs"</formula>
    </cfRule>
  </conditionalFormatting>
  <conditionalFormatting sqref="C66">
    <cfRule type="cellIs" dxfId="6522" priority="4743" stopIfTrue="1" operator="equal">
      <formula>"Towel"</formula>
    </cfRule>
  </conditionalFormatting>
  <conditionalFormatting sqref="B66:C66">
    <cfRule type="cellIs" dxfId="6521" priority="4739" stopIfTrue="1" operator="equal">
      <formula>"Towel"</formula>
    </cfRule>
    <cfRule type="cellIs" dxfId="6520" priority="4740" stopIfTrue="1" operator="equal">
      <formula>"Napkin Hs"</formula>
    </cfRule>
  </conditionalFormatting>
  <conditionalFormatting sqref="C66">
    <cfRule type="cellIs" dxfId="6519" priority="4738" stopIfTrue="1" operator="equal">
      <formula>"Napkin Hs"</formula>
    </cfRule>
  </conditionalFormatting>
  <conditionalFormatting sqref="C66">
    <cfRule type="cellIs" dxfId="6518" priority="4735" stopIfTrue="1" operator="equal">
      <formula>"Towel"</formula>
    </cfRule>
    <cfRule type="cellIs" dxfId="6517" priority="4736" stopIfTrue="1" operator="equal">
      <formula>"Napkin Hs"</formula>
    </cfRule>
  </conditionalFormatting>
  <conditionalFormatting sqref="C66">
    <cfRule type="cellIs" dxfId="6516" priority="4737" stopIfTrue="1" operator="equal">
      <formula>"Towel"</formula>
    </cfRule>
  </conditionalFormatting>
  <conditionalFormatting sqref="B66:C66">
    <cfRule type="cellIs" dxfId="6515" priority="4733" stopIfTrue="1" operator="equal">
      <formula>"Towel"</formula>
    </cfRule>
    <cfRule type="cellIs" dxfId="6514" priority="4734" stopIfTrue="1" operator="equal">
      <formula>"Napkin Hs"</formula>
    </cfRule>
  </conditionalFormatting>
  <conditionalFormatting sqref="C66">
    <cfRule type="cellIs" dxfId="6513" priority="4732" stopIfTrue="1" operator="equal">
      <formula>"Napkin Hs"</formula>
    </cfRule>
  </conditionalFormatting>
  <conditionalFormatting sqref="C66">
    <cfRule type="cellIs" dxfId="6512" priority="4729" stopIfTrue="1" operator="equal">
      <formula>"Towel"</formula>
    </cfRule>
    <cfRule type="cellIs" dxfId="6511" priority="4730" stopIfTrue="1" operator="equal">
      <formula>"Napkin Hs"</formula>
    </cfRule>
  </conditionalFormatting>
  <conditionalFormatting sqref="C66">
    <cfRule type="cellIs" dxfId="6510" priority="4731" stopIfTrue="1" operator="equal">
      <formula>"Towel"</formula>
    </cfRule>
  </conditionalFormatting>
  <conditionalFormatting sqref="B66:C66">
    <cfRule type="cellIs" dxfId="6509" priority="4727" stopIfTrue="1" operator="equal">
      <formula>"Towel"</formula>
    </cfRule>
    <cfRule type="cellIs" dxfId="6508" priority="4728" stopIfTrue="1" operator="equal">
      <formula>"Napkin Hs"</formula>
    </cfRule>
  </conditionalFormatting>
  <conditionalFormatting sqref="C66">
    <cfRule type="cellIs" dxfId="6507" priority="4726" stopIfTrue="1" operator="equal">
      <formula>"Napkin Hs"</formula>
    </cfRule>
  </conditionalFormatting>
  <conditionalFormatting sqref="C66">
    <cfRule type="cellIs" dxfId="6506" priority="4723" stopIfTrue="1" operator="equal">
      <formula>"Towel"</formula>
    </cfRule>
    <cfRule type="cellIs" dxfId="6505" priority="4724" stopIfTrue="1" operator="equal">
      <formula>"Napkin Hs"</formula>
    </cfRule>
  </conditionalFormatting>
  <conditionalFormatting sqref="C66">
    <cfRule type="cellIs" dxfId="6504" priority="4725" stopIfTrue="1" operator="equal">
      <formula>"Towel"</formula>
    </cfRule>
  </conditionalFormatting>
  <conditionalFormatting sqref="B66:C66">
    <cfRule type="cellIs" dxfId="6503" priority="4721" stopIfTrue="1" operator="equal">
      <formula>"Towel"</formula>
    </cfRule>
    <cfRule type="cellIs" dxfId="6502" priority="4722" stopIfTrue="1" operator="equal">
      <formula>"Napkin Hs"</formula>
    </cfRule>
  </conditionalFormatting>
  <conditionalFormatting sqref="C66">
    <cfRule type="cellIs" dxfId="6501" priority="4720" stopIfTrue="1" operator="equal">
      <formula>"Napkin Hs"</formula>
    </cfRule>
  </conditionalFormatting>
  <conditionalFormatting sqref="C66">
    <cfRule type="cellIs" dxfId="6500" priority="4719" stopIfTrue="1" operator="equal">
      <formula>"Towel"</formula>
    </cfRule>
  </conditionalFormatting>
  <conditionalFormatting sqref="C66">
    <cfRule type="cellIs" dxfId="6499" priority="4717" stopIfTrue="1" operator="equal">
      <formula>"Towel"</formula>
    </cfRule>
    <cfRule type="cellIs" dxfId="6498" priority="4718" stopIfTrue="1" operator="equal">
      <formula>"Napkin Hs"</formula>
    </cfRule>
  </conditionalFormatting>
  <conditionalFormatting sqref="B66:C66">
    <cfRule type="cellIs" dxfId="6497" priority="4715" stopIfTrue="1" operator="equal">
      <formula>"Towel"</formula>
    </cfRule>
    <cfRule type="cellIs" dxfId="6496" priority="4716" stopIfTrue="1" operator="equal">
      <formula>"Napkin Hs"</formula>
    </cfRule>
  </conditionalFormatting>
  <conditionalFormatting sqref="C66">
    <cfRule type="cellIs" dxfId="6495" priority="4714" stopIfTrue="1" operator="equal">
      <formula>"Napkin Hs"</formula>
    </cfRule>
  </conditionalFormatting>
  <conditionalFormatting sqref="C66">
    <cfRule type="cellIs" dxfId="6494" priority="4711" stopIfTrue="1" operator="equal">
      <formula>"Towel"</formula>
    </cfRule>
    <cfRule type="cellIs" dxfId="6493" priority="4712" stopIfTrue="1" operator="equal">
      <formula>"Napkin Hs"</formula>
    </cfRule>
  </conditionalFormatting>
  <conditionalFormatting sqref="C66">
    <cfRule type="cellIs" dxfId="6492" priority="4713" stopIfTrue="1" operator="equal">
      <formula>"Towel"</formula>
    </cfRule>
  </conditionalFormatting>
  <conditionalFormatting sqref="B66:C66">
    <cfRule type="cellIs" dxfId="6491" priority="4709" stopIfTrue="1" operator="equal">
      <formula>"Towel"</formula>
    </cfRule>
    <cfRule type="cellIs" dxfId="6490" priority="4710" stopIfTrue="1" operator="equal">
      <formula>"Napkin Hs"</formula>
    </cfRule>
  </conditionalFormatting>
  <conditionalFormatting sqref="C66">
    <cfRule type="cellIs" dxfId="6489" priority="4708" stopIfTrue="1" operator="equal">
      <formula>"Napkin Hs"</formula>
    </cfRule>
  </conditionalFormatting>
  <conditionalFormatting sqref="C66">
    <cfRule type="cellIs" dxfId="6488" priority="4705" stopIfTrue="1" operator="equal">
      <formula>"Towel"</formula>
    </cfRule>
    <cfRule type="cellIs" dxfId="6487" priority="4706" stopIfTrue="1" operator="equal">
      <formula>"Napkin Hs"</formula>
    </cfRule>
  </conditionalFormatting>
  <conditionalFormatting sqref="C66">
    <cfRule type="cellIs" dxfId="6486" priority="4707" stopIfTrue="1" operator="equal">
      <formula>"Towel"</formula>
    </cfRule>
  </conditionalFormatting>
  <conditionalFormatting sqref="B66:C66">
    <cfRule type="cellIs" dxfId="6485" priority="4703" stopIfTrue="1" operator="equal">
      <formula>"Towel"</formula>
    </cfRule>
    <cfRule type="cellIs" dxfId="6484" priority="4704" stopIfTrue="1" operator="equal">
      <formula>"Napkin Hs"</formula>
    </cfRule>
  </conditionalFormatting>
  <conditionalFormatting sqref="C66">
    <cfRule type="cellIs" dxfId="6483" priority="4702" stopIfTrue="1" operator="equal">
      <formula>"Napkin Hs"</formula>
    </cfRule>
  </conditionalFormatting>
  <conditionalFormatting sqref="C66">
    <cfRule type="cellIs" dxfId="6482" priority="4699" stopIfTrue="1" operator="equal">
      <formula>"Towel"</formula>
    </cfRule>
    <cfRule type="cellIs" dxfId="6481" priority="4700" stopIfTrue="1" operator="equal">
      <formula>"Napkin Hs"</formula>
    </cfRule>
  </conditionalFormatting>
  <conditionalFormatting sqref="C66">
    <cfRule type="cellIs" dxfId="6480" priority="4701" stopIfTrue="1" operator="equal">
      <formula>"Towel"</formula>
    </cfRule>
  </conditionalFormatting>
  <conditionalFormatting sqref="B66:C66">
    <cfRule type="cellIs" dxfId="6479" priority="4697" stopIfTrue="1" operator="equal">
      <formula>"Towel"</formula>
    </cfRule>
    <cfRule type="cellIs" dxfId="6478" priority="4698" stopIfTrue="1" operator="equal">
      <formula>"Napkin Hs"</formula>
    </cfRule>
  </conditionalFormatting>
  <conditionalFormatting sqref="C66">
    <cfRule type="cellIs" dxfId="6477" priority="4696" stopIfTrue="1" operator="equal">
      <formula>"Napkin Hs"</formula>
    </cfRule>
  </conditionalFormatting>
  <conditionalFormatting sqref="C66">
    <cfRule type="cellIs" dxfId="6476" priority="4693" stopIfTrue="1" operator="equal">
      <formula>"Towel"</formula>
    </cfRule>
    <cfRule type="cellIs" dxfId="6475" priority="4694" stopIfTrue="1" operator="equal">
      <formula>"Napkin Hs"</formula>
    </cfRule>
  </conditionalFormatting>
  <conditionalFormatting sqref="C66">
    <cfRule type="cellIs" dxfId="6474" priority="4695" stopIfTrue="1" operator="equal">
      <formula>"Towel"</formula>
    </cfRule>
  </conditionalFormatting>
  <conditionalFormatting sqref="B66:C66">
    <cfRule type="cellIs" dxfId="6473" priority="4691" stopIfTrue="1" operator="equal">
      <formula>"Towel"</formula>
    </cfRule>
    <cfRule type="cellIs" dxfId="6472" priority="4692" stopIfTrue="1" operator="equal">
      <formula>"Napkin Hs"</formula>
    </cfRule>
  </conditionalFormatting>
  <conditionalFormatting sqref="C66">
    <cfRule type="cellIs" dxfId="6471" priority="4690" stopIfTrue="1" operator="equal">
      <formula>"Napkin Hs"</formula>
    </cfRule>
  </conditionalFormatting>
  <conditionalFormatting sqref="C66">
    <cfRule type="cellIs" dxfId="6470" priority="4687" stopIfTrue="1" operator="equal">
      <formula>"Towel"</formula>
    </cfRule>
    <cfRule type="cellIs" dxfId="6469" priority="4688" stopIfTrue="1" operator="equal">
      <formula>"Napkin Hs"</formula>
    </cfRule>
  </conditionalFormatting>
  <conditionalFormatting sqref="C66">
    <cfRule type="cellIs" dxfId="6468" priority="4689" stopIfTrue="1" operator="equal">
      <formula>"Towel"</formula>
    </cfRule>
  </conditionalFormatting>
  <conditionalFormatting sqref="B66:C66">
    <cfRule type="cellIs" dxfId="6467" priority="4685" stopIfTrue="1" operator="equal">
      <formula>"Towel"</formula>
    </cfRule>
    <cfRule type="cellIs" dxfId="6466" priority="4686" stopIfTrue="1" operator="equal">
      <formula>"Napkin Hs"</formula>
    </cfRule>
  </conditionalFormatting>
  <conditionalFormatting sqref="C66">
    <cfRule type="cellIs" dxfId="6465" priority="4684" stopIfTrue="1" operator="equal">
      <formula>"Napkin Hs"</formula>
    </cfRule>
  </conditionalFormatting>
  <conditionalFormatting sqref="C66">
    <cfRule type="cellIs" dxfId="6464" priority="4681" stopIfTrue="1" operator="equal">
      <formula>"Towel"</formula>
    </cfRule>
    <cfRule type="cellIs" dxfId="6463" priority="4682" stopIfTrue="1" operator="equal">
      <formula>"Napkin Hs"</formula>
    </cfRule>
  </conditionalFormatting>
  <conditionalFormatting sqref="C66">
    <cfRule type="cellIs" dxfId="6462" priority="4683" stopIfTrue="1" operator="equal">
      <formula>"Towel"</formula>
    </cfRule>
  </conditionalFormatting>
  <conditionalFormatting sqref="B66:C66">
    <cfRule type="cellIs" dxfId="6461" priority="4679" stopIfTrue="1" operator="equal">
      <formula>"Towel"</formula>
    </cfRule>
    <cfRule type="cellIs" dxfId="6460" priority="4680" stopIfTrue="1" operator="equal">
      <formula>"Napkin Hs"</formula>
    </cfRule>
  </conditionalFormatting>
  <conditionalFormatting sqref="C66">
    <cfRule type="cellIs" dxfId="6459" priority="4678" stopIfTrue="1" operator="equal">
      <formula>"Napkin Hs"</formula>
    </cfRule>
  </conditionalFormatting>
  <conditionalFormatting sqref="C66">
    <cfRule type="cellIs" dxfId="6458" priority="4675" stopIfTrue="1" operator="equal">
      <formula>"Towel"</formula>
    </cfRule>
    <cfRule type="cellIs" dxfId="6457" priority="4676" stopIfTrue="1" operator="equal">
      <formula>"Napkin Hs"</formula>
    </cfRule>
  </conditionalFormatting>
  <conditionalFormatting sqref="C66">
    <cfRule type="cellIs" dxfId="6456" priority="4677" stopIfTrue="1" operator="equal">
      <formula>"Towel"</formula>
    </cfRule>
  </conditionalFormatting>
  <conditionalFormatting sqref="B66:C66">
    <cfRule type="cellIs" dxfId="6455" priority="4673" stopIfTrue="1" operator="equal">
      <formula>"Towel"</formula>
    </cfRule>
    <cfRule type="cellIs" dxfId="6454" priority="4674" stopIfTrue="1" operator="equal">
      <formula>"Napkin Hs"</formula>
    </cfRule>
  </conditionalFormatting>
  <conditionalFormatting sqref="C66">
    <cfRule type="cellIs" dxfId="6453" priority="4672" stopIfTrue="1" operator="equal">
      <formula>"Napkin Hs"</formula>
    </cfRule>
  </conditionalFormatting>
  <conditionalFormatting sqref="C66">
    <cfRule type="cellIs" dxfId="6452" priority="4669" stopIfTrue="1" operator="equal">
      <formula>"Towel"</formula>
    </cfRule>
    <cfRule type="cellIs" dxfId="6451" priority="4670" stopIfTrue="1" operator="equal">
      <formula>"Napkin Hs"</formula>
    </cfRule>
  </conditionalFormatting>
  <conditionalFormatting sqref="C66">
    <cfRule type="cellIs" dxfId="6450" priority="4671" stopIfTrue="1" operator="equal">
      <formula>"Towel"</formula>
    </cfRule>
  </conditionalFormatting>
  <conditionalFormatting sqref="B66:C66">
    <cfRule type="cellIs" dxfId="6449" priority="4667" stopIfTrue="1" operator="equal">
      <formula>"Towel"</formula>
    </cfRule>
    <cfRule type="cellIs" dxfId="6448" priority="4668" stopIfTrue="1" operator="equal">
      <formula>"Napkin Hs"</formula>
    </cfRule>
  </conditionalFormatting>
  <conditionalFormatting sqref="C66">
    <cfRule type="cellIs" dxfId="6447" priority="4666" stopIfTrue="1" operator="equal">
      <formula>"Napkin Hs"</formula>
    </cfRule>
  </conditionalFormatting>
  <conditionalFormatting sqref="C66">
    <cfRule type="cellIs" dxfId="6446" priority="4663" stopIfTrue="1" operator="equal">
      <formula>"Towel"</formula>
    </cfRule>
    <cfRule type="cellIs" dxfId="6445" priority="4664" stopIfTrue="1" operator="equal">
      <formula>"Napkin Hs"</formula>
    </cfRule>
  </conditionalFormatting>
  <conditionalFormatting sqref="C66">
    <cfRule type="cellIs" dxfId="6444" priority="4665" stopIfTrue="1" operator="equal">
      <formula>"Towel"</formula>
    </cfRule>
  </conditionalFormatting>
  <conditionalFormatting sqref="B71:C72">
    <cfRule type="cellIs" dxfId="6443" priority="4661" stopIfTrue="1" operator="equal">
      <formula>"Towel"</formula>
    </cfRule>
    <cfRule type="cellIs" dxfId="6442" priority="4662" stopIfTrue="1" operator="equal">
      <formula>"Napkin Hs"</formula>
    </cfRule>
  </conditionalFormatting>
  <conditionalFormatting sqref="C71:C72">
    <cfRule type="cellIs" dxfId="6441" priority="4660" stopIfTrue="1" operator="equal">
      <formula>"Napkin Hs"</formula>
    </cfRule>
  </conditionalFormatting>
  <conditionalFormatting sqref="C71:C72">
    <cfRule type="cellIs" dxfId="6440" priority="4657" stopIfTrue="1" operator="equal">
      <formula>"Towel"</formula>
    </cfRule>
    <cfRule type="cellIs" dxfId="6439" priority="4658" stopIfTrue="1" operator="equal">
      <formula>"Napkin Hs"</formula>
    </cfRule>
  </conditionalFormatting>
  <conditionalFormatting sqref="C71:C72">
    <cfRule type="cellIs" dxfId="6438" priority="4659" stopIfTrue="1" operator="equal">
      <formula>"Towel"</formula>
    </cfRule>
  </conditionalFormatting>
  <conditionalFormatting sqref="B72:C72">
    <cfRule type="cellIs" dxfId="6437" priority="4655" stopIfTrue="1" operator="equal">
      <formula>"Towel"</formula>
    </cfRule>
    <cfRule type="cellIs" dxfId="6436" priority="4656" stopIfTrue="1" operator="equal">
      <formula>"Napkin Hs"</formula>
    </cfRule>
  </conditionalFormatting>
  <conditionalFormatting sqref="C72">
    <cfRule type="cellIs" dxfId="6435" priority="4654" stopIfTrue="1" operator="equal">
      <formula>"Napkin Hs"</formula>
    </cfRule>
  </conditionalFormatting>
  <conditionalFormatting sqref="C72">
    <cfRule type="cellIs" dxfId="6434" priority="4651" stopIfTrue="1" operator="equal">
      <formula>"Towel"</formula>
    </cfRule>
    <cfRule type="cellIs" dxfId="6433" priority="4652" stopIfTrue="1" operator="equal">
      <formula>"Napkin Hs"</formula>
    </cfRule>
  </conditionalFormatting>
  <conditionalFormatting sqref="C72">
    <cfRule type="cellIs" dxfId="6432" priority="4653" stopIfTrue="1" operator="equal">
      <formula>"Towel"</formula>
    </cfRule>
  </conditionalFormatting>
  <conditionalFormatting sqref="B71:C71">
    <cfRule type="cellIs" dxfId="6431" priority="4649" stopIfTrue="1" operator="equal">
      <formula>"Towel"</formula>
    </cfRule>
    <cfRule type="cellIs" dxfId="6430" priority="4650" stopIfTrue="1" operator="equal">
      <formula>"Napkin Hs"</formula>
    </cfRule>
  </conditionalFormatting>
  <conditionalFormatting sqref="C71">
    <cfRule type="cellIs" dxfId="6429" priority="4645" stopIfTrue="1" operator="equal">
      <formula>"Towel"</formula>
    </cfRule>
    <cfRule type="cellIs" dxfId="6428" priority="4646" stopIfTrue="1" operator="equal">
      <formula>"Napkin Hs"</formula>
    </cfRule>
  </conditionalFormatting>
  <conditionalFormatting sqref="C71">
    <cfRule type="cellIs" dxfId="6427" priority="4647" stopIfTrue="1" operator="equal">
      <formula>"Towel"</formula>
    </cfRule>
    <cfRule type="cellIs" dxfId="6426" priority="4648" stopIfTrue="1" operator="equal">
      <formula>"Napkin Hs"</formula>
    </cfRule>
  </conditionalFormatting>
  <conditionalFormatting sqref="B71:C71">
    <cfRule type="cellIs" dxfId="6425" priority="4643" stopIfTrue="1" operator="equal">
      <formula>"Towel"</formula>
    </cfRule>
    <cfRule type="cellIs" dxfId="6424" priority="4644" stopIfTrue="1" operator="equal">
      <formula>"Napkin Hs"</formula>
    </cfRule>
  </conditionalFormatting>
  <conditionalFormatting sqref="C71">
    <cfRule type="cellIs" dxfId="6423" priority="4642" stopIfTrue="1" operator="equal">
      <formula>"Napkin Hs"</formula>
    </cfRule>
  </conditionalFormatting>
  <conditionalFormatting sqref="C71">
    <cfRule type="cellIs" dxfId="6422" priority="4639" stopIfTrue="1" operator="equal">
      <formula>"Towel"</formula>
    </cfRule>
    <cfRule type="cellIs" dxfId="6421" priority="4640" stopIfTrue="1" operator="equal">
      <formula>"Napkin Hs"</formula>
    </cfRule>
  </conditionalFormatting>
  <conditionalFormatting sqref="C71">
    <cfRule type="cellIs" dxfId="6420" priority="4641" stopIfTrue="1" operator="equal">
      <formula>"Towel"</formula>
    </cfRule>
  </conditionalFormatting>
  <conditionalFormatting sqref="B71:C71">
    <cfRule type="cellIs" dxfId="6419" priority="4637" stopIfTrue="1" operator="equal">
      <formula>"Towel"</formula>
    </cfRule>
    <cfRule type="cellIs" dxfId="6418" priority="4638" stopIfTrue="1" operator="equal">
      <formula>"Napkin Hs"</formula>
    </cfRule>
  </conditionalFormatting>
  <conditionalFormatting sqref="C71">
    <cfRule type="cellIs" dxfId="6417" priority="4635" stopIfTrue="1" operator="equal">
      <formula>"Towel"</formula>
    </cfRule>
    <cfRule type="cellIs" dxfId="6416" priority="4636" stopIfTrue="1" operator="equal">
      <formula>"Napkin Hs"</formula>
    </cfRule>
  </conditionalFormatting>
  <conditionalFormatting sqref="C71">
    <cfRule type="cellIs" dxfId="6415" priority="4633" stopIfTrue="1" operator="equal">
      <formula>"Towel"</formula>
    </cfRule>
    <cfRule type="cellIs" dxfId="6414" priority="4634" stopIfTrue="1" operator="equal">
      <formula>"Napkin Hs"</formula>
    </cfRule>
  </conditionalFormatting>
  <conditionalFormatting sqref="B71:C71">
    <cfRule type="cellIs" dxfId="6413" priority="4631" stopIfTrue="1" operator="equal">
      <formula>"Towel"</formula>
    </cfRule>
    <cfRule type="cellIs" dxfId="6412" priority="4632" stopIfTrue="1" operator="equal">
      <formula>"Napkin Hs"</formula>
    </cfRule>
  </conditionalFormatting>
  <conditionalFormatting sqref="C71">
    <cfRule type="cellIs" dxfId="6411" priority="4630" stopIfTrue="1" operator="equal">
      <formula>"Napkin Hs"</formula>
    </cfRule>
  </conditionalFormatting>
  <conditionalFormatting sqref="C71">
    <cfRule type="cellIs" dxfId="6410" priority="4627" stopIfTrue="1" operator="equal">
      <formula>"Towel"</formula>
    </cfRule>
    <cfRule type="cellIs" dxfId="6409" priority="4628" stopIfTrue="1" operator="equal">
      <formula>"Napkin Hs"</formula>
    </cfRule>
  </conditionalFormatting>
  <conditionalFormatting sqref="C71">
    <cfRule type="cellIs" dxfId="6408" priority="4629" stopIfTrue="1" operator="equal">
      <formula>"Towel"</formula>
    </cfRule>
  </conditionalFormatting>
  <conditionalFormatting sqref="B71:C71">
    <cfRule type="cellIs" dxfId="6407" priority="4625" stopIfTrue="1" operator="equal">
      <formula>"Towel"</formula>
    </cfRule>
    <cfRule type="cellIs" dxfId="6406" priority="4626" stopIfTrue="1" operator="equal">
      <formula>"Napkin Hs"</formula>
    </cfRule>
  </conditionalFormatting>
  <conditionalFormatting sqref="C71">
    <cfRule type="cellIs" dxfId="6405" priority="4624" stopIfTrue="1" operator="equal">
      <formula>"Napkin Hs"</formula>
    </cfRule>
  </conditionalFormatting>
  <conditionalFormatting sqref="C71">
    <cfRule type="cellIs" dxfId="6404" priority="4623" stopIfTrue="1" operator="equal">
      <formula>"Towel"</formula>
    </cfRule>
  </conditionalFormatting>
  <conditionalFormatting sqref="C71">
    <cfRule type="cellIs" dxfId="6403" priority="4621" stopIfTrue="1" operator="equal">
      <formula>"Towel"</formula>
    </cfRule>
    <cfRule type="cellIs" dxfId="6402" priority="4622" stopIfTrue="1" operator="equal">
      <formula>"Napkin Hs"</formula>
    </cfRule>
  </conditionalFormatting>
  <conditionalFormatting sqref="B71:C71">
    <cfRule type="cellIs" dxfId="6401" priority="4619" stopIfTrue="1" operator="equal">
      <formula>"Towel"</formula>
    </cfRule>
    <cfRule type="cellIs" dxfId="6400" priority="4620" stopIfTrue="1" operator="equal">
      <formula>"Napkin Hs"</formula>
    </cfRule>
  </conditionalFormatting>
  <conditionalFormatting sqref="C71">
    <cfRule type="cellIs" dxfId="6399" priority="4618" stopIfTrue="1" operator="equal">
      <formula>"Napkin Hs"</formula>
    </cfRule>
  </conditionalFormatting>
  <conditionalFormatting sqref="C71">
    <cfRule type="cellIs" dxfId="6398" priority="4615" stopIfTrue="1" operator="equal">
      <formula>"Towel"</formula>
    </cfRule>
    <cfRule type="cellIs" dxfId="6397" priority="4616" stopIfTrue="1" operator="equal">
      <formula>"Napkin Hs"</formula>
    </cfRule>
  </conditionalFormatting>
  <conditionalFormatting sqref="C71">
    <cfRule type="cellIs" dxfId="6396" priority="4617" stopIfTrue="1" operator="equal">
      <formula>"Towel"</formula>
    </cfRule>
  </conditionalFormatting>
  <conditionalFormatting sqref="B71:C71">
    <cfRule type="cellIs" dxfId="6395" priority="4613" stopIfTrue="1" operator="equal">
      <formula>"Towel"</formula>
    </cfRule>
    <cfRule type="cellIs" dxfId="6394" priority="4614" stopIfTrue="1" operator="equal">
      <formula>"Napkin Hs"</formula>
    </cfRule>
  </conditionalFormatting>
  <conditionalFormatting sqref="C71">
    <cfRule type="cellIs" dxfId="6393" priority="4612" stopIfTrue="1" operator="equal">
      <formula>"Napkin Hs"</formula>
    </cfRule>
  </conditionalFormatting>
  <conditionalFormatting sqref="C71">
    <cfRule type="cellIs" dxfId="6392" priority="4609" stopIfTrue="1" operator="equal">
      <formula>"Towel"</formula>
    </cfRule>
    <cfRule type="cellIs" dxfId="6391" priority="4610" stopIfTrue="1" operator="equal">
      <formula>"Napkin Hs"</formula>
    </cfRule>
  </conditionalFormatting>
  <conditionalFormatting sqref="C71">
    <cfRule type="cellIs" dxfId="6390" priority="4611" stopIfTrue="1" operator="equal">
      <formula>"Towel"</formula>
    </cfRule>
  </conditionalFormatting>
  <conditionalFormatting sqref="B71:C71">
    <cfRule type="cellIs" dxfId="6389" priority="4607" stopIfTrue="1" operator="equal">
      <formula>"Towel"</formula>
    </cfRule>
    <cfRule type="cellIs" dxfId="6388" priority="4608" stopIfTrue="1" operator="equal">
      <formula>"Napkin Hs"</formula>
    </cfRule>
  </conditionalFormatting>
  <conditionalFormatting sqref="C71">
    <cfRule type="cellIs" dxfId="6387" priority="4606" stopIfTrue="1" operator="equal">
      <formula>"Napkin Hs"</formula>
    </cfRule>
  </conditionalFormatting>
  <conditionalFormatting sqref="C71">
    <cfRule type="cellIs" dxfId="6386" priority="4603" stopIfTrue="1" operator="equal">
      <formula>"Towel"</formula>
    </cfRule>
    <cfRule type="cellIs" dxfId="6385" priority="4604" stopIfTrue="1" operator="equal">
      <formula>"Napkin Hs"</formula>
    </cfRule>
  </conditionalFormatting>
  <conditionalFormatting sqref="C71">
    <cfRule type="cellIs" dxfId="6384" priority="4605" stopIfTrue="1" operator="equal">
      <formula>"Towel"</formula>
    </cfRule>
  </conditionalFormatting>
  <conditionalFormatting sqref="B71:C71">
    <cfRule type="cellIs" dxfId="6383" priority="4601" stopIfTrue="1" operator="equal">
      <formula>"Towel"</formula>
    </cfRule>
    <cfRule type="cellIs" dxfId="6382" priority="4602" stopIfTrue="1" operator="equal">
      <formula>"Napkin Hs"</formula>
    </cfRule>
  </conditionalFormatting>
  <conditionalFormatting sqref="C71">
    <cfRule type="cellIs" dxfId="6381" priority="4600" stopIfTrue="1" operator="equal">
      <formula>"Napkin Hs"</formula>
    </cfRule>
  </conditionalFormatting>
  <conditionalFormatting sqref="C71">
    <cfRule type="cellIs" dxfId="6380" priority="4597" stopIfTrue="1" operator="equal">
      <formula>"Towel"</formula>
    </cfRule>
    <cfRule type="cellIs" dxfId="6379" priority="4598" stopIfTrue="1" operator="equal">
      <formula>"Napkin Hs"</formula>
    </cfRule>
  </conditionalFormatting>
  <conditionalFormatting sqref="C71">
    <cfRule type="cellIs" dxfId="6378" priority="4599" stopIfTrue="1" operator="equal">
      <formula>"Towel"</formula>
    </cfRule>
  </conditionalFormatting>
  <conditionalFormatting sqref="B71:C71">
    <cfRule type="cellIs" dxfId="6377" priority="4595" stopIfTrue="1" operator="equal">
      <formula>"Towel"</formula>
    </cfRule>
    <cfRule type="cellIs" dxfId="6376" priority="4596" stopIfTrue="1" operator="equal">
      <formula>"Napkin Hs"</formula>
    </cfRule>
  </conditionalFormatting>
  <conditionalFormatting sqref="C71">
    <cfRule type="cellIs" dxfId="6375" priority="4594" stopIfTrue="1" operator="equal">
      <formula>"Napkin Hs"</formula>
    </cfRule>
  </conditionalFormatting>
  <conditionalFormatting sqref="C71">
    <cfRule type="cellIs" dxfId="6374" priority="4591" stopIfTrue="1" operator="equal">
      <formula>"Towel"</formula>
    </cfRule>
    <cfRule type="cellIs" dxfId="6373" priority="4592" stopIfTrue="1" operator="equal">
      <formula>"Napkin Hs"</formula>
    </cfRule>
  </conditionalFormatting>
  <conditionalFormatting sqref="C71">
    <cfRule type="cellIs" dxfId="6372" priority="4593" stopIfTrue="1" operator="equal">
      <formula>"Towel"</formula>
    </cfRule>
  </conditionalFormatting>
  <conditionalFormatting sqref="B71:C71">
    <cfRule type="cellIs" dxfId="6371" priority="4589" stopIfTrue="1" operator="equal">
      <formula>"Towel"</formula>
    </cfRule>
    <cfRule type="cellIs" dxfId="6370" priority="4590" stopIfTrue="1" operator="equal">
      <formula>"Napkin Hs"</formula>
    </cfRule>
  </conditionalFormatting>
  <conditionalFormatting sqref="C71">
    <cfRule type="cellIs" dxfId="6369" priority="4588" stopIfTrue="1" operator="equal">
      <formula>"Napkin Hs"</formula>
    </cfRule>
  </conditionalFormatting>
  <conditionalFormatting sqref="C71">
    <cfRule type="cellIs" dxfId="6368" priority="4585" stopIfTrue="1" operator="equal">
      <formula>"Towel"</formula>
    </cfRule>
    <cfRule type="cellIs" dxfId="6367" priority="4586" stopIfTrue="1" operator="equal">
      <formula>"Napkin Hs"</formula>
    </cfRule>
  </conditionalFormatting>
  <conditionalFormatting sqref="C71">
    <cfRule type="cellIs" dxfId="6366" priority="4587" stopIfTrue="1" operator="equal">
      <formula>"Towel"</formula>
    </cfRule>
  </conditionalFormatting>
  <conditionalFormatting sqref="B71:C71">
    <cfRule type="cellIs" dxfId="6365" priority="4583" stopIfTrue="1" operator="equal">
      <formula>"Towel"</formula>
    </cfRule>
    <cfRule type="cellIs" dxfId="6364" priority="4584" stopIfTrue="1" operator="equal">
      <formula>"Napkin Hs"</formula>
    </cfRule>
  </conditionalFormatting>
  <conditionalFormatting sqref="C71">
    <cfRule type="cellIs" dxfId="6363" priority="4582" stopIfTrue="1" operator="equal">
      <formula>"Napkin Hs"</formula>
    </cfRule>
  </conditionalFormatting>
  <conditionalFormatting sqref="C71">
    <cfRule type="cellIs" dxfId="6362" priority="4579" stopIfTrue="1" operator="equal">
      <formula>"Towel"</formula>
    </cfRule>
    <cfRule type="cellIs" dxfId="6361" priority="4580" stopIfTrue="1" operator="equal">
      <formula>"Napkin Hs"</formula>
    </cfRule>
  </conditionalFormatting>
  <conditionalFormatting sqref="C71">
    <cfRule type="cellIs" dxfId="6360" priority="4581" stopIfTrue="1" operator="equal">
      <formula>"Towel"</formula>
    </cfRule>
  </conditionalFormatting>
  <conditionalFormatting sqref="B71:C71">
    <cfRule type="cellIs" dxfId="6359" priority="4577" stopIfTrue="1" operator="equal">
      <formula>"Towel"</formula>
    </cfRule>
    <cfRule type="cellIs" dxfId="6358" priority="4578" stopIfTrue="1" operator="equal">
      <formula>"Napkin Hs"</formula>
    </cfRule>
  </conditionalFormatting>
  <conditionalFormatting sqref="C71">
    <cfRule type="cellIs" dxfId="6357" priority="4576" stopIfTrue="1" operator="equal">
      <formula>"Napkin Hs"</formula>
    </cfRule>
  </conditionalFormatting>
  <conditionalFormatting sqref="C71">
    <cfRule type="cellIs" dxfId="6356" priority="4573" stopIfTrue="1" operator="equal">
      <formula>"Towel"</formula>
    </cfRule>
    <cfRule type="cellIs" dxfId="6355" priority="4574" stopIfTrue="1" operator="equal">
      <formula>"Napkin Hs"</formula>
    </cfRule>
  </conditionalFormatting>
  <conditionalFormatting sqref="C71">
    <cfRule type="cellIs" dxfId="6354" priority="4575" stopIfTrue="1" operator="equal">
      <formula>"Towel"</formula>
    </cfRule>
  </conditionalFormatting>
  <conditionalFormatting sqref="B71:C71">
    <cfRule type="cellIs" dxfId="6353" priority="4571" stopIfTrue="1" operator="equal">
      <formula>"Towel"</formula>
    </cfRule>
    <cfRule type="cellIs" dxfId="6352" priority="4572" stopIfTrue="1" operator="equal">
      <formula>"Napkin Hs"</formula>
    </cfRule>
  </conditionalFormatting>
  <conditionalFormatting sqref="C71">
    <cfRule type="cellIs" dxfId="6351" priority="4570" stopIfTrue="1" operator="equal">
      <formula>"Napkin Hs"</formula>
    </cfRule>
  </conditionalFormatting>
  <conditionalFormatting sqref="C71">
    <cfRule type="cellIs" dxfId="6350" priority="4567" stopIfTrue="1" operator="equal">
      <formula>"Towel"</formula>
    </cfRule>
    <cfRule type="cellIs" dxfId="6349" priority="4568" stopIfTrue="1" operator="equal">
      <formula>"Napkin Hs"</formula>
    </cfRule>
  </conditionalFormatting>
  <conditionalFormatting sqref="C71">
    <cfRule type="cellIs" dxfId="6348" priority="4569" stopIfTrue="1" operator="equal">
      <formula>"Towel"</formula>
    </cfRule>
  </conditionalFormatting>
  <conditionalFormatting sqref="B71:C71">
    <cfRule type="cellIs" dxfId="6347" priority="4565" stopIfTrue="1" operator="equal">
      <formula>"Towel"</formula>
    </cfRule>
    <cfRule type="cellIs" dxfId="6346" priority="4566" stopIfTrue="1" operator="equal">
      <formula>"Napkin Hs"</formula>
    </cfRule>
  </conditionalFormatting>
  <conditionalFormatting sqref="C71">
    <cfRule type="cellIs" dxfId="6345" priority="4564" stopIfTrue="1" operator="equal">
      <formula>"Napkin Hs"</formula>
    </cfRule>
  </conditionalFormatting>
  <conditionalFormatting sqref="C71">
    <cfRule type="cellIs" dxfId="6344" priority="4561" stopIfTrue="1" operator="equal">
      <formula>"Towel"</formula>
    </cfRule>
    <cfRule type="cellIs" dxfId="6343" priority="4562" stopIfTrue="1" operator="equal">
      <formula>"Napkin Hs"</formula>
    </cfRule>
  </conditionalFormatting>
  <conditionalFormatting sqref="C71">
    <cfRule type="cellIs" dxfId="6342" priority="4563" stopIfTrue="1" operator="equal">
      <formula>"Towel"</formula>
    </cfRule>
  </conditionalFormatting>
  <conditionalFormatting sqref="B71:C71">
    <cfRule type="cellIs" dxfId="6341" priority="4559" stopIfTrue="1" operator="equal">
      <formula>"Towel"</formula>
    </cfRule>
    <cfRule type="cellIs" dxfId="6340" priority="4560" stopIfTrue="1" operator="equal">
      <formula>"Napkin Hs"</formula>
    </cfRule>
  </conditionalFormatting>
  <conditionalFormatting sqref="C71">
    <cfRule type="cellIs" dxfId="6339" priority="4558" stopIfTrue="1" operator="equal">
      <formula>"Napkin Hs"</formula>
    </cfRule>
  </conditionalFormatting>
  <conditionalFormatting sqref="C71">
    <cfRule type="cellIs" dxfId="6338" priority="4557" stopIfTrue="1" operator="equal">
      <formula>"Towel"</formula>
    </cfRule>
  </conditionalFormatting>
  <conditionalFormatting sqref="C71">
    <cfRule type="cellIs" dxfId="6337" priority="4555" stopIfTrue="1" operator="equal">
      <formula>"Towel"</formula>
    </cfRule>
    <cfRule type="cellIs" dxfId="6336" priority="4556" stopIfTrue="1" operator="equal">
      <formula>"Napkin Hs"</formula>
    </cfRule>
  </conditionalFormatting>
  <conditionalFormatting sqref="B71:C71">
    <cfRule type="cellIs" dxfId="6335" priority="4553" stopIfTrue="1" operator="equal">
      <formula>"Towel"</formula>
    </cfRule>
    <cfRule type="cellIs" dxfId="6334" priority="4554" stopIfTrue="1" operator="equal">
      <formula>"Napkin Hs"</formula>
    </cfRule>
  </conditionalFormatting>
  <conditionalFormatting sqref="C71">
    <cfRule type="cellIs" dxfId="6333" priority="4552" stopIfTrue="1" operator="equal">
      <formula>"Napkin Hs"</formula>
    </cfRule>
  </conditionalFormatting>
  <conditionalFormatting sqref="C71">
    <cfRule type="cellIs" dxfId="6332" priority="4549" stopIfTrue="1" operator="equal">
      <formula>"Towel"</formula>
    </cfRule>
    <cfRule type="cellIs" dxfId="6331" priority="4550" stopIfTrue="1" operator="equal">
      <formula>"Napkin Hs"</formula>
    </cfRule>
  </conditionalFormatting>
  <conditionalFormatting sqref="C71">
    <cfRule type="cellIs" dxfId="6330" priority="4551" stopIfTrue="1" operator="equal">
      <formula>"Towel"</formula>
    </cfRule>
  </conditionalFormatting>
  <conditionalFormatting sqref="B71:C71">
    <cfRule type="cellIs" dxfId="6329" priority="4547" stopIfTrue="1" operator="equal">
      <formula>"Towel"</formula>
    </cfRule>
    <cfRule type="cellIs" dxfId="6328" priority="4548" stopIfTrue="1" operator="equal">
      <formula>"Napkin Hs"</formula>
    </cfRule>
  </conditionalFormatting>
  <conditionalFormatting sqref="C71">
    <cfRule type="cellIs" dxfId="6327" priority="4546" stopIfTrue="1" operator="equal">
      <formula>"Napkin Hs"</formula>
    </cfRule>
  </conditionalFormatting>
  <conditionalFormatting sqref="C71">
    <cfRule type="cellIs" dxfId="6326" priority="4543" stopIfTrue="1" operator="equal">
      <formula>"Towel"</formula>
    </cfRule>
    <cfRule type="cellIs" dxfId="6325" priority="4544" stopIfTrue="1" operator="equal">
      <formula>"Napkin Hs"</formula>
    </cfRule>
  </conditionalFormatting>
  <conditionalFormatting sqref="C71">
    <cfRule type="cellIs" dxfId="6324" priority="4545" stopIfTrue="1" operator="equal">
      <formula>"Towel"</formula>
    </cfRule>
  </conditionalFormatting>
  <conditionalFormatting sqref="B71:C71">
    <cfRule type="cellIs" dxfId="6323" priority="4541" stopIfTrue="1" operator="equal">
      <formula>"Towel"</formula>
    </cfRule>
    <cfRule type="cellIs" dxfId="6322" priority="4542" stopIfTrue="1" operator="equal">
      <formula>"Napkin Hs"</formula>
    </cfRule>
  </conditionalFormatting>
  <conditionalFormatting sqref="C71">
    <cfRule type="cellIs" dxfId="6321" priority="4540" stopIfTrue="1" operator="equal">
      <formula>"Napkin Hs"</formula>
    </cfRule>
  </conditionalFormatting>
  <conditionalFormatting sqref="C71">
    <cfRule type="cellIs" dxfId="6320" priority="4537" stopIfTrue="1" operator="equal">
      <formula>"Towel"</formula>
    </cfRule>
    <cfRule type="cellIs" dxfId="6319" priority="4538" stopIfTrue="1" operator="equal">
      <formula>"Napkin Hs"</formula>
    </cfRule>
  </conditionalFormatting>
  <conditionalFormatting sqref="C71">
    <cfRule type="cellIs" dxfId="6318" priority="4539" stopIfTrue="1" operator="equal">
      <formula>"Towel"</formula>
    </cfRule>
  </conditionalFormatting>
  <conditionalFormatting sqref="B71:C71">
    <cfRule type="cellIs" dxfId="6317" priority="4535" stopIfTrue="1" operator="equal">
      <formula>"Towel"</formula>
    </cfRule>
    <cfRule type="cellIs" dxfId="6316" priority="4536" stopIfTrue="1" operator="equal">
      <formula>"Napkin Hs"</formula>
    </cfRule>
  </conditionalFormatting>
  <conditionalFormatting sqref="C71">
    <cfRule type="cellIs" dxfId="6315" priority="4534" stopIfTrue="1" operator="equal">
      <formula>"Napkin Hs"</formula>
    </cfRule>
  </conditionalFormatting>
  <conditionalFormatting sqref="C71">
    <cfRule type="cellIs" dxfId="6314" priority="4531" stopIfTrue="1" operator="equal">
      <formula>"Towel"</formula>
    </cfRule>
    <cfRule type="cellIs" dxfId="6313" priority="4532" stopIfTrue="1" operator="equal">
      <formula>"Napkin Hs"</formula>
    </cfRule>
  </conditionalFormatting>
  <conditionalFormatting sqref="C71">
    <cfRule type="cellIs" dxfId="6312" priority="4533" stopIfTrue="1" operator="equal">
      <formula>"Towel"</formula>
    </cfRule>
  </conditionalFormatting>
  <conditionalFormatting sqref="B71:C71">
    <cfRule type="cellIs" dxfId="6311" priority="4529" stopIfTrue="1" operator="equal">
      <formula>"Towel"</formula>
    </cfRule>
    <cfRule type="cellIs" dxfId="6310" priority="4530" stopIfTrue="1" operator="equal">
      <formula>"Napkin Hs"</formula>
    </cfRule>
  </conditionalFormatting>
  <conditionalFormatting sqref="C71">
    <cfRule type="cellIs" dxfId="6309" priority="4528" stopIfTrue="1" operator="equal">
      <formula>"Napkin Hs"</formula>
    </cfRule>
  </conditionalFormatting>
  <conditionalFormatting sqref="C71">
    <cfRule type="cellIs" dxfId="6308" priority="4525" stopIfTrue="1" operator="equal">
      <formula>"Towel"</formula>
    </cfRule>
    <cfRule type="cellIs" dxfId="6307" priority="4526" stopIfTrue="1" operator="equal">
      <formula>"Napkin Hs"</formula>
    </cfRule>
  </conditionalFormatting>
  <conditionalFormatting sqref="C71">
    <cfRule type="cellIs" dxfId="6306" priority="4527" stopIfTrue="1" operator="equal">
      <formula>"Towel"</formula>
    </cfRule>
  </conditionalFormatting>
  <conditionalFormatting sqref="B71:C71">
    <cfRule type="cellIs" dxfId="6305" priority="4523" stopIfTrue="1" operator="equal">
      <formula>"Towel"</formula>
    </cfRule>
    <cfRule type="cellIs" dxfId="6304" priority="4524" stopIfTrue="1" operator="equal">
      <formula>"Napkin Hs"</formula>
    </cfRule>
  </conditionalFormatting>
  <conditionalFormatting sqref="C71">
    <cfRule type="cellIs" dxfId="6303" priority="4522" stopIfTrue="1" operator="equal">
      <formula>"Napkin Hs"</formula>
    </cfRule>
  </conditionalFormatting>
  <conditionalFormatting sqref="C71">
    <cfRule type="cellIs" dxfId="6302" priority="4519" stopIfTrue="1" operator="equal">
      <formula>"Towel"</formula>
    </cfRule>
    <cfRule type="cellIs" dxfId="6301" priority="4520" stopIfTrue="1" operator="equal">
      <formula>"Napkin Hs"</formula>
    </cfRule>
  </conditionalFormatting>
  <conditionalFormatting sqref="C71">
    <cfRule type="cellIs" dxfId="6300" priority="4521" stopIfTrue="1" operator="equal">
      <formula>"Towel"</formula>
    </cfRule>
  </conditionalFormatting>
  <conditionalFormatting sqref="B71:C71">
    <cfRule type="cellIs" dxfId="6299" priority="4517" stopIfTrue="1" operator="equal">
      <formula>"Towel"</formula>
    </cfRule>
    <cfRule type="cellIs" dxfId="6298" priority="4518" stopIfTrue="1" operator="equal">
      <formula>"Napkin Hs"</formula>
    </cfRule>
  </conditionalFormatting>
  <conditionalFormatting sqref="C71">
    <cfRule type="cellIs" dxfId="6297" priority="4516" stopIfTrue="1" operator="equal">
      <formula>"Napkin Hs"</formula>
    </cfRule>
  </conditionalFormatting>
  <conditionalFormatting sqref="C71">
    <cfRule type="cellIs" dxfId="6296" priority="4513" stopIfTrue="1" operator="equal">
      <formula>"Towel"</formula>
    </cfRule>
    <cfRule type="cellIs" dxfId="6295" priority="4514" stopIfTrue="1" operator="equal">
      <formula>"Napkin Hs"</formula>
    </cfRule>
  </conditionalFormatting>
  <conditionalFormatting sqref="C71">
    <cfRule type="cellIs" dxfId="6294" priority="4515" stopIfTrue="1" operator="equal">
      <formula>"Towel"</formula>
    </cfRule>
  </conditionalFormatting>
  <conditionalFormatting sqref="B71:C71">
    <cfRule type="cellIs" dxfId="6293" priority="4511" stopIfTrue="1" operator="equal">
      <formula>"Towel"</formula>
    </cfRule>
    <cfRule type="cellIs" dxfId="6292" priority="4512" stopIfTrue="1" operator="equal">
      <formula>"Napkin Hs"</formula>
    </cfRule>
  </conditionalFormatting>
  <conditionalFormatting sqref="C71">
    <cfRule type="cellIs" dxfId="6291" priority="4510" stopIfTrue="1" operator="equal">
      <formula>"Napkin Hs"</formula>
    </cfRule>
  </conditionalFormatting>
  <conditionalFormatting sqref="C71">
    <cfRule type="cellIs" dxfId="6290" priority="4507" stopIfTrue="1" operator="equal">
      <formula>"Towel"</formula>
    </cfRule>
    <cfRule type="cellIs" dxfId="6289" priority="4508" stopIfTrue="1" operator="equal">
      <formula>"Napkin Hs"</formula>
    </cfRule>
  </conditionalFormatting>
  <conditionalFormatting sqref="C71">
    <cfRule type="cellIs" dxfId="6288" priority="4509" stopIfTrue="1" operator="equal">
      <formula>"Towel"</formula>
    </cfRule>
  </conditionalFormatting>
  <conditionalFormatting sqref="B71:C71">
    <cfRule type="cellIs" dxfId="6287" priority="4505" stopIfTrue="1" operator="equal">
      <formula>"Towel"</formula>
    </cfRule>
    <cfRule type="cellIs" dxfId="6286" priority="4506" stopIfTrue="1" operator="equal">
      <formula>"Napkin Hs"</formula>
    </cfRule>
  </conditionalFormatting>
  <conditionalFormatting sqref="C71">
    <cfRule type="cellIs" dxfId="6285" priority="4504" stopIfTrue="1" operator="equal">
      <formula>"Napkin Hs"</formula>
    </cfRule>
  </conditionalFormatting>
  <conditionalFormatting sqref="C71">
    <cfRule type="cellIs" dxfId="6284" priority="4501" stopIfTrue="1" operator="equal">
      <formula>"Towel"</formula>
    </cfRule>
    <cfRule type="cellIs" dxfId="6283" priority="4502" stopIfTrue="1" operator="equal">
      <formula>"Napkin Hs"</formula>
    </cfRule>
  </conditionalFormatting>
  <conditionalFormatting sqref="C71">
    <cfRule type="cellIs" dxfId="6282" priority="4503" stopIfTrue="1" operator="equal">
      <formula>"Towel"</formula>
    </cfRule>
  </conditionalFormatting>
  <conditionalFormatting sqref="B69:C69">
    <cfRule type="cellIs" dxfId="6281" priority="4499" stopIfTrue="1" operator="equal">
      <formula>"Towel"</formula>
    </cfRule>
    <cfRule type="cellIs" dxfId="6280" priority="4500" stopIfTrue="1" operator="equal">
      <formula>"Napkin Hs"</formula>
    </cfRule>
  </conditionalFormatting>
  <conditionalFormatting sqref="C69">
    <cfRule type="cellIs" dxfId="6279" priority="4498" stopIfTrue="1" operator="equal">
      <formula>"Napkin Hs"</formula>
    </cfRule>
  </conditionalFormatting>
  <conditionalFormatting sqref="C69">
    <cfRule type="cellIs" dxfId="6278" priority="4495" stopIfTrue="1" operator="equal">
      <formula>"Towel"</formula>
    </cfRule>
    <cfRule type="cellIs" dxfId="6277" priority="4496" stopIfTrue="1" operator="equal">
      <formula>"Napkin Hs"</formula>
    </cfRule>
  </conditionalFormatting>
  <conditionalFormatting sqref="C69">
    <cfRule type="cellIs" dxfId="6276" priority="4497" stopIfTrue="1" operator="equal">
      <formula>"Towel"</formula>
    </cfRule>
  </conditionalFormatting>
  <conditionalFormatting sqref="B69:C69">
    <cfRule type="cellIs" dxfId="6275" priority="4493" stopIfTrue="1" operator="equal">
      <formula>"Towel"</formula>
    </cfRule>
    <cfRule type="cellIs" dxfId="6274" priority="4494" stopIfTrue="1" operator="equal">
      <formula>"Napkin Hs"</formula>
    </cfRule>
  </conditionalFormatting>
  <conditionalFormatting sqref="C69">
    <cfRule type="cellIs" dxfId="6273" priority="4489" stopIfTrue="1" operator="equal">
      <formula>"Towel"</formula>
    </cfRule>
    <cfRule type="cellIs" dxfId="6272" priority="4490" stopIfTrue="1" operator="equal">
      <formula>"Napkin Hs"</formula>
    </cfRule>
  </conditionalFormatting>
  <conditionalFormatting sqref="C69">
    <cfRule type="cellIs" dxfId="6271" priority="4491" stopIfTrue="1" operator="equal">
      <formula>"Towel"</formula>
    </cfRule>
    <cfRule type="cellIs" dxfId="6270" priority="4492" stopIfTrue="1" operator="equal">
      <formula>"Napkin Hs"</formula>
    </cfRule>
  </conditionalFormatting>
  <conditionalFormatting sqref="B69:C69">
    <cfRule type="cellIs" dxfId="6269" priority="4487" stopIfTrue="1" operator="equal">
      <formula>"Towel"</formula>
    </cfRule>
    <cfRule type="cellIs" dxfId="6268" priority="4488" stopIfTrue="1" operator="equal">
      <formula>"Napkin Hs"</formula>
    </cfRule>
  </conditionalFormatting>
  <conditionalFormatting sqref="C69">
    <cfRule type="cellIs" dxfId="6267" priority="4486" stopIfTrue="1" operator="equal">
      <formula>"Napkin Hs"</formula>
    </cfRule>
  </conditionalFormatting>
  <conditionalFormatting sqref="C69">
    <cfRule type="cellIs" dxfId="6266" priority="4483" stopIfTrue="1" operator="equal">
      <formula>"Towel"</formula>
    </cfRule>
    <cfRule type="cellIs" dxfId="6265" priority="4484" stopIfTrue="1" operator="equal">
      <formula>"Napkin Hs"</formula>
    </cfRule>
  </conditionalFormatting>
  <conditionalFormatting sqref="C69">
    <cfRule type="cellIs" dxfId="6264" priority="4485" stopIfTrue="1" operator="equal">
      <formula>"Towel"</formula>
    </cfRule>
  </conditionalFormatting>
  <conditionalFormatting sqref="B69:C69">
    <cfRule type="cellIs" dxfId="6263" priority="4481" stopIfTrue="1" operator="equal">
      <formula>"Towel"</formula>
    </cfRule>
    <cfRule type="cellIs" dxfId="6262" priority="4482" stopIfTrue="1" operator="equal">
      <formula>"Napkin Hs"</formula>
    </cfRule>
  </conditionalFormatting>
  <conditionalFormatting sqref="C69">
    <cfRule type="cellIs" dxfId="6261" priority="4479" stopIfTrue="1" operator="equal">
      <formula>"Towel"</formula>
    </cfRule>
    <cfRule type="cellIs" dxfId="6260" priority="4480" stopIfTrue="1" operator="equal">
      <formula>"Napkin Hs"</formula>
    </cfRule>
  </conditionalFormatting>
  <conditionalFormatting sqref="C69">
    <cfRule type="cellIs" dxfId="6259" priority="4477" stopIfTrue="1" operator="equal">
      <formula>"Towel"</formula>
    </cfRule>
    <cfRule type="cellIs" dxfId="6258" priority="4478" stopIfTrue="1" operator="equal">
      <formula>"Napkin Hs"</formula>
    </cfRule>
  </conditionalFormatting>
  <conditionalFormatting sqref="B69:C69">
    <cfRule type="cellIs" dxfId="6257" priority="4475" stopIfTrue="1" operator="equal">
      <formula>"Towel"</formula>
    </cfRule>
    <cfRule type="cellIs" dxfId="6256" priority="4476" stopIfTrue="1" operator="equal">
      <formula>"Napkin Hs"</formula>
    </cfRule>
  </conditionalFormatting>
  <conditionalFormatting sqref="C69">
    <cfRule type="cellIs" dxfId="6255" priority="4474" stopIfTrue="1" operator="equal">
      <formula>"Napkin Hs"</formula>
    </cfRule>
  </conditionalFormatting>
  <conditionalFormatting sqref="C69">
    <cfRule type="cellIs" dxfId="6254" priority="4471" stopIfTrue="1" operator="equal">
      <formula>"Towel"</formula>
    </cfRule>
    <cfRule type="cellIs" dxfId="6253" priority="4472" stopIfTrue="1" operator="equal">
      <formula>"Napkin Hs"</formula>
    </cfRule>
  </conditionalFormatting>
  <conditionalFormatting sqref="C69">
    <cfRule type="cellIs" dxfId="6252" priority="4473" stopIfTrue="1" operator="equal">
      <formula>"Towel"</formula>
    </cfRule>
  </conditionalFormatting>
  <conditionalFormatting sqref="B69:C69">
    <cfRule type="cellIs" dxfId="6251" priority="4469" stopIfTrue="1" operator="equal">
      <formula>"Towel"</formula>
    </cfRule>
    <cfRule type="cellIs" dxfId="6250" priority="4470" stopIfTrue="1" operator="equal">
      <formula>"Napkin Hs"</formula>
    </cfRule>
  </conditionalFormatting>
  <conditionalFormatting sqref="C69">
    <cfRule type="cellIs" dxfId="6249" priority="4468" stopIfTrue="1" operator="equal">
      <formula>"Napkin Hs"</formula>
    </cfRule>
  </conditionalFormatting>
  <conditionalFormatting sqref="C69">
    <cfRule type="cellIs" dxfId="6248" priority="4467" stopIfTrue="1" operator="equal">
      <formula>"Towel"</formula>
    </cfRule>
  </conditionalFormatting>
  <conditionalFormatting sqref="C69">
    <cfRule type="cellIs" dxfId="6247" priority="4465" stopIfTrue="1" operator="equal">
      <formula>"Towel"</formula>
    </cfRule>
    <cfRule type="cellIs" dxfId="6246" priority="4466" stopIfTrue="1" operator="equal">
      <formula>"Napkin Hs"</formula>
    </cfRule>
  </conditionalFormatting>
  <conditionalFormatting sqref="B69:C69">
    <cfRule type="cellIs" dxfId="6245" priority="4463" stopIfTrue="1" operator="equal">
      <formula>"Towel"</formula>
    </cfRule>
    <cfRule type="cellIs" dxfId="6244" priority="4464" stopIfTrue="1" operator="equal">
      <formula>"Napkin Hs"</formula>
    </cfRule>
  </conditionalFormatting>
  <conditionalFormatting sqref="C69">
    <cfRule type="cellIs" dxfId="6243" priority="4462" stopIfTrue="1" operator="equal">
      <formula>"Napkin Hs"</formula>
    </cfRule>
  </conditionalFormatting>
  <conditionalFormatting sqref="C69">
    <cfRule type="cellIs" dxfId="6242" priority="4459" stopIfTrue="1" operator="equal">
      <formula>"Towel"</formula>
    </cfRule>
    <cfRule type="cellIs" dxfId="6241" priority="4460" stopIfTrue="1" operator="equal">
      <formula>"Napkin Hs"</formula>
    </cfRule>
  </conditionalFormatting>
  <conditionalFormatting sqref="C69">
    <cfRule type="cellIs" dxfId="6240" priority="4461" stopIfTrue="1" operator="equal">
      <formula>"Towel"</formula>
    </cfRule>
  </conditionalFormatting>
  <conditionalFormatting sqref="B69:C69">
    <cfRule type="cellIs" dxfId="6239" priority="4457" stopIfTrue="1" operator="equal">
      <formula>"Towel"</formula>
    </cfRule>
    <cfRule type="cellIs" dxfId="6238" priority="4458" stopIfTrue="1" operator="equal">
      <formula>"Napkin Hs"</formula>
    </cfRule>
  </conditionalFormatting>
  <conditionalFormatting sqref="C69">
    <cfRule type="cellIs" dxfId="6237" priority="4456" stopIfTrue="1" operator="equal">
      <formula>"Napkin Hs"</formula>
    </cfRule>
  </conditionalFormatting>
  <conditionalFormatting sqref="C69">
    <cfRule type="cellIs" dxfId="6236" priority="4453" stopIfTrue="1" operator="equal">
      <formula>"Towel"</formula>
    </cfRule>
    <cfRule type="cellIs" dxfId="6235" priority="4454" stopIfTrue="1" operator="equal">
      <formula>"Napkin Hs"</formula>
    </cfRule>
  </conditionalFormatting>
  <conditionalFormatting sqref="C69">
    <cfRule type="cellIs" dxfId="6234" priority="4455" stopIfTrue="1" operator="equal">
      <formula>"Towel"</formula>
    </cfRule>
  </conditionalFormatting>
  <conditionalFormatting sqref="B69:C69">
    <cfRule type="cellIs" dxfId="6233" priority="4451" stopIfTrue="1" operator="equal">
      <formula>"Towel"</formula>
    </cfRule>
    <cfRule type="cellIs" dxfId="6232" priority="4452" stopIfTrue="1" operator="equal">
      <formula>"Napkin Hs"</formula>
    </cfRule>
  </conditionalFormatting>
  <conditionalFormatting sqref="C69">
    <cfRule type="cellIs" dxfId="6231" priority="4450" stopIfTrue="1" operator="equal">
      <formula>"Napkin Hs"</formula>
    </cfRule>
  </conditionalFormatting>
  <conditionalFormatting sqref="C69">
    <cfRule type="cellIs" dxfId="6230" priority="4447" stopIfTrue="1" operator="equal">
      <formula>"Towel"</formula>
    </cfRule>
    <cfRule type="cellIs" dxfId="6229" priority="4448" stopIfTrue="1" operator="equal">
      <formula>"Napkin Hs"</formula>
    </cfRule>
  </conditionalFormatting>
  <conditionalFormatting sqref="C69">
    <cfRule type="cellIs" dxfId="6228" priority="4449" stopIfTrue="1" operator="equal">
      <formula>"Towel"</formula>
    </cfRule>
  </conditionalFormatting>
  <conditionalFormatting sqref="B69:C69">
    <cfRule type="cellIs" dxfId="6227" priority="4445" stopIfTrue="1" operator="equal">
      <formula>"Towel"</formula>
    </cfRule>
    <cfRule type="cellIs" dxfId="6226" priority="4446" stopIfTrue="1" operator="equal">
      <formula>"Napkin Hs"</formula>
    </cfRule>
  </conditionalFormatting>
  <conditionalFormatting sqref="C69">
    <cfRule type="cellIs" dxfId="6225" priority="4444" stopIfTrue="1" operator="equal">
      <formula>"Napkin Hs"</formula>
    </cfRule>
  </conditionalFormatting>
  <conditionalFormatting sqref="C69">
    <cfRule type="cellIs" dxfId="6224" priority="4441" stopIfTrue="1" operator="equal">
      <formula>"Towel"</formula>
    </cfRule>
    <cfRule type="cellIs" dxfId="6223" priority="4442" stopIfTrue="1" operator="equal">
      <formula>"Napkin Hs"</formula>
    </cfRule>
  </conditionalFormatting>
  <conditionalFormatting sqref="C69">
    <cfRule type="cellIs" dxfId="6222" priority="4443" stopIfTrue="1" operator="equal">
      <formula>"Towel"</formula>
    </cfRule>
  </conditionalFormatting>
  <conditionalFormatting sqref="B69:C69">
    <cfRule type="cellIs" dxfId="6221" priority="4439" stopIfTrue="1" operator="equal">
      <formula>"Towel"</formula>
    </cfRule>
    <cfRule type="cellIs" dxfId="6220" priority="4440" stopIfTrue="1" operator="equal">
      <formula>"Napkin Hs"</formula>
    </cfRule>
  </conditionalFormatting>
  <conditionalFormatting sqref="C69">
    <cfRule type="cellIs" dxfId="6219" priority="4438" stopIfTrue="1" operator="equal">
      <formula>"Napkin Hs"</formula>
    </cfRule>
  </conditionalFormatting>
  <conditionalFormatting sqref="C69">
    <cfRule type="cellIs" dxfId="6218" priority="4435" stopIfTrue="1" operator="equal">
      <formula>"Towel"</formula>
    </cfRule>
    <cfRule type="cellIs" dxfId="6217" priority="4436" stopIfTrue="1" operator="equal">
      <formula>"Napkin Hs"</formula>
    </cfRule>
  </conditionalFormatting>
  <conditionalFormatting sqref="C69">
    <cfRule type="cellIs" dxfId="6216" priority="4437" stopIfTrue="1" operator="equal">
      <formula>"Towel"</formula>
    </cfRule>
  </conditionalFormatting>
  <conditionalFormatting sqref="B69:C69">
    <cfRule type="cellIs" dxfId="6215" priority="4433" stopIfTrue="1" operator="equal">
      <formula>"Towel"</formula>
    </cfRule>
    <cfRule type="cellIs" dxfId="6214" priority="4434" stopIfTrue="1" operator="equal">
      <formula>"Napkin Hs"</formula>
    </cfRule>
  </conditionalFormatting>
  <conditionalFormatting sqref="C69">
    <cfRule type="cellIs" dxfId="6213" priority="4432" stopIfTrue="1" operator="equal">
      <formula>"Napkin Hs"</formula>
    </cfRule>
  </conditionalFormatting>
  <conditionalFormatting sqref="C69">
    <cfRule type="cellIs" dxfId="6212" priority="4429" stopIfTrue="1" operator="equal">
      <formula>"Towel"</formula>
    </cfRule>
    <cfRule type="cellIs" dxfId="6211" priority="4430" stopIfTrue="1" operator="equal">
      <formula>"Napkin Hs"</formula>
    </cfRule>
  </conditionalFormatting>
  <conditionalFormatting sqref="C69">
    <cfRule type="cellIs" dxfId="6210" priority="4431" stopIfTrue="1" operator="equal">
      <formula>"Towel"</formula>
    </cfRule>
  </conditionalFormatting>
  <conditionalFormatting sqref="B69:C69">
    <cfRule type="cellIs" dxfId="6209" priority="4427" stopIfTrue="1" operator="equal">
      <formula>"Towel"</formula>
    </cfRule>
    <cfRule type="cellIs" dxfId="6208" priority="4428" stopIfTrue="1" operator="equal">
      <formula>"Napkin Hs"</formula>
    </cfRule>
  </conditionalFormatting>
  <conditionalFormatting sqref="C69">
    <cfRule type="cellIs" dxfId="6207" priority="4426" stopIfTrue="1" operator="equal">
      <formula>"Napkin Hs"</formula>
    </cfRule>
  </conditionalFormatting>
  <conditionalFormatting sqref="C69">
    <cfRule type="cellIs" dxfId="6206" priority="4423" stopIfTrue="1" operator="equal">
      <formula>"Towel"</formula>
    </cfRule>
    <cfRule type="cellIs" dxfId="6205" priority="4424" stopIfTrue="1" operator="equal">
      <formula>"Napkin Hs"</formula>
    </cfRule>
  </conditionalFormatting>
  <conditionalFormatting sqref="C69">
    <cfRule type="cellIs" dxfId="6204" priority="4425" stopIfTrue="1" operator="equal">
      <formula>"Towel"</formula>
    </cfRule>
  </conditionalFormatting>
  <conditionalFormatting sqref="B69:C69">
    <cfRule type="cellIs" dxfId="6203" priority="4421" stopIfTrue="1" operator="equal">
      <formula>"Towel"</formula>
    </cfRule>
    <cfRule type="cellIs" dxfId="6202" priority="4422" stopIfTrue="1" operator="equal">
      <formula>"Napkin Hs"</formula>
    </cfRule>
  </conditionalFormatting>
  <conditionalFormatting sqref="C69">
    <cfRule type="cellIs" dxfId="6201" priority="4420" stopIfTrue="1" operator="equal">
      <formula>"Napkin Hs"</formula>
    </cfRule>
  </conditionalFormatting>
  <conditionalFormatting sqref="C69">
    <cfRule type="cellIs" dxfId="6200" priority="4417" stopIfTrue="1" operator="equal">
      <formula>"Towel"</formula>
    </cfRule>
    <cfRule type="cellIs" dxfId="6199" priority="4418" stopIfTrue="1" operator="equal">
      <formula>"Napkin Hs"</formula>
    </cfRule>
  </conditionalFormatting>
  <conditionalFormatting sqref="C69">
    <cfRule type="cellIs" dxfId="6198" priority="4419" stopIfTrue="1" operator="equal">
      <formula>"Towel"</formula>
    </cfRule>
  </conditionalFormatting>
  <conditionalFormatting sqref="B69:C69">
    <cfRule type="cellIs" dxfId="6197" priority="4415" stopIfTrue="1" operator="equal">
      <formula>"Towel"</formula>
    </cfRule>
    <cfRule type="cellIs" dxfId="6196" priority="4416" stopIfTrue="1" operator="equal">
      <formula>"Napkin Hs"</formula>
    </cfRule>
  </conditionalFormatting>
  <conditionalFormatting sqref="C69">
    <cfRule type="cellIs" dxfId="6195" priority="4414" stopIfTrue="1" operator="equal">
      <formula>"Napkin Hs"</formula>
    </cfRule>
  </conditionalFormatting>
  <conditionalFormatting sqref="C69">
    <cfRule type="cellIs" dxfId="6194" priority="4411" stopIfTrue="1" operator="equal">
      <formula>"Towel"</formula>
    </cfRule>
    <cfRule type="cellIs" dxfId="6193" priority="4412" stopIfTrue="1" operator="equal">
      <formula>"Napkin Hs"</formula>
    </cfRule>
  </conditionalFormatting>
  <conditionalFormatting sqref="C69">
    <cfRule type="cellIs" dxfId="6192" priority="4413" stopIfTrue="1" operator="equal">
      <formula>"Towel"</formula>
    </cfRule>
  </conditionalFormatting>
  <conditionalFormatting sqref="B69:C69">
    <cfRule type="cellIs" dxfId="6191" priority="4409" stopIfTrue="1" operator="equal">
      <formula>"Towel"</formula>
    </cfRule>
    <cfRule type="cellIs" dxfId="6190" priority="4410" stopIfTrue="1" operator="equal">
      <formula>"Napkin Hs"</formula>
    </cfRule>
  </conditionalFormatting>
  <conditionalFormatting sqref="C69">
    <cfRule type="cellIs" dxfId="6189" priority="4408" stopIfTrue="1" operator="equal">
      <formula>"Napkin Hs"</formula>
    </cfRule>
  </conditionalFormatting>
  <conditionalFormatting sqref="C69">
    <cfRule type="cellIs" dxfId="6188" priority="4405" stopIfTrue="1" operator="equal">
      <formula>"Towel"</formula>
    </cfRule>
    <cfRule type="cellIs" dxfId="6187" priority="4406" stopIfTrue="1" operator="equal">
      <formula>"Napkin Hs"</formula>
    </cfRule>
  </conditionalFormatting>
  <conditionalFormatting sqref="C69">
    <cfRule type="cellIs" dxfId="6186" priority="4407" stopIfTrue="1" operator="equal">
      <formula>"Towel"</formula>
    </cfRule>
  </conditionalFormatting>
  <conditionalFormatting sqref="B69:C69">
    <cfRule type="cellIs" dxfId="6185" priority="4403" stopIfTrue="1" operator="equal">
      <formula>"Towel"</formula>
    </cfRule>
    <cfRule type="cellIs" dxfId="6184" priority="4404" stopIfTrue="1" operator="equal">
      <formula>"Napkin Hs"</formula>
    </cfRule>
  </conditionalFormatting>
  <conditionalFormatting sqref="C69">
    <cfRule type="cellIs" dxfId="6183" priority="4402" stopIfTrue="1" operator="equal">
      <formula>"Napkin Hs"</formula>
    </cfRule>
  </conditionalFormatting>
  <conditionalFormatting sqref="C69">
    <cfRule type="cellIs" dxfId="6182" priority="4401" stopIfTrue="1" operator="equal">
      <formula>"Towel"</formula>
    </cfRule>
  </conditionalFormatting>
  <conditionalFormatting sqref="C69">
    <cfRule type="cellIs" dxfId="6181" priority="4399" stopIfTrue="1" operator="equal">
      <formula>"Towel"</formula>
    </cfRule>
    <cfRule type="cellIs" dxfId="6180" priority="4400" stopIfTrue="1" operator="equal">
      <formula>"Napkin Hs"</formula>
    </cfRule>
  </conditionalFormatting>
  <conditionalFormatting sqref="B69:C69">
    <cfRule type="cellIs" dxfId="6179" priority="4397" stopIfTrue="1" operator="equal">
      <formula>"Towel"</formula>
    </cfRule>
    <cfRule type="cellIs" dxfId="6178" priority="4398" stopIfTrue="1" operator="equal">
      <formula>"Napkin Hs"</formula>
    </cfRule>
  </conditionalFormatting>
  <conditionalFormatting sqref="C69">
    <cfRule type="cellIs" dxfId="6177" priority="4396" stopIfTrue="1" operator="equal">
      <formula>"Napkin Hs"</formula>
    </cfRule>
  </conditionalFormatting>
  <conditionalFormatting sqref="C69">
    <cfRule type="cellIs" dxfId="6176" priority="4393" stopIfTrue="1" operator="equal">
      <formula>"Towel"</formula>
    </cfRule>
    <cfRule type="cellIs" dxfId="6175" priority="4394" stopIfTrue="1" operator="equal">
      <formula>"Napkin Hs"</formula>
    </cfRule>
  </conditionalFormatting>
  <conditionalFormatting sqref="C69">
    <cfRule type="cellIs" dxfId="6174" priority="4395" stopIfTrue="1" operator="equal">
      <formula>"Towel"</formula>
    </cfRule>
  </conditionalFormatting>
  <conditionalFormatting sqref="B69:C69">
    <cfRule type="cellIs" dxfId="6173" priority="4391" stopIfTrue="1" operator="equal">
      <formula>"Towel"</formula>
    </cfRule>
    <cfRule type="cellIs" dxfId="6172" priority="4392" stopIfTrue="1" operator="equal">
      <formula>"Napkin Hs"</formula>
    </cfRule>
  </conditionalFormatting>
  <conditionalFormatting sqref="C69">
    <cfRule type="cellIs" dxfId="6171" priority="4390" stopIfTrue="1" operator="equal">
      <formula>"Napkin Hs"</formula>
    </cfRule>
  </conditionalFormatting>
  <conditionalFormatting sqref="C69">
    <cfRule type="cellIs" dxfId="6170" priority="4387" stopIfTrue="1" operator="equal">
      <formula>"Towel"</formula>
    </cfRule>
    <cfRule type="cellIs" dxfId="6169" priority="4388" stopIfTrue="1" operator="equal">
      <formula>"Napkin Hs"</formula>
    </cfRule>
  </conditionalFormatting>
  <conditionalFormatting sqref="C69">
    <cfRule type="cellIs" dxfId="6168" priority="4389" stopIfTrue="1" operator="equal">
      <formula>"Towel"</formula>
    </cfRule>
  </conditionalFormatting>
  <conditionalFormatting sqref="B69:C69">
    <cfRule type="cellIs" dxfId="6167" priority="4385" stopIfTrue="1" operator="equal">
      <formula>"Towel"</formula>
    </cfRule>
    <cfRule type="cellIs" dxfId="6166" priority="4386" stopIfTrue="1" operator="equal">
      <formula>"Napkin Hs"</formula>
    </cfRule>
  </conditionalFormatting>
  <conditionalFormatting sqref="C69">
    <cfRule type="cellIs" dxfId="6165" priority="4384" stopIfTrue="1" operator="equal">
      <formula>"Napkin Hs"</formula>
    </cfRule>
  </conditionalFormatting>
  <conditionalFormatting sqref="C69">
    <cfRule type="cellIs" dxfId="6164" priority="4381" stopIfTrue="1" operator="equal">
      <formula>"Towel"</formula>
    </cfRule>
    <cfRule type="cellIs" dxfId="6163" priority="4382" stopIfTrue="1" operator="equal">
      <formula>"Napkin Hs"</formula>
    </cfRule>
  </conditionalFormatting>
  <conditionalFormatting sqref="C69">
    <cfRule type="cellIs" dxfId="6162" priority="4383" stopIfTrue="1" operator="equal">
      <formula>"Towel"</formula>
    </cfRule>
  </conditionalFormatting>
  <conditionalFormatting sqref="B69:C69">
    <cfRule type="cellIs" dxfId="6161" priority="4379" stopIfTrue="1" operator="equal">
      <formula>"Towel"</formula>
    </cfRule>
    <cfRule type="cellIs" dxfId="6160" priority="4380" stopIfTrue="1" operator="equal">
      <formula>"Napkin Hs"</formula>
    </cfRule>
  </conditionalFormatting>
  <conditionalFormatting sqref="C69">
    <cfRule type="cellIs" dxfId="6159" priority="4378" stopIfTrue="1" operator="equal">
      <formula>"Napkin Hs"</formula>
    </cfRule>
  </conditionalFormatting>
  <conditionalFormatting sqref="C69">
    <cfRule type="cellIs" dxfId="6158" priority="4375" stopIfTrue="1" operator="equal">
      <formula>"Towel"</formula>
    </cfRule>
    <cfRule type="cellIs" dxfId="6157" priority="4376" stopIfTrue="1" operator="equal">
      <formula>"Napkin Hs"</formula>
    </cfRule>
  </conditionalFormatting>
  <conditionalFormatting sqref="C69">
    <cfRule type="cellIs" dxfId="6156" priority="4377" stopIfTrue="1" operator="equal">
      <formula>"Towel"</formula>
    </cfRule>
  </conditionalFormatting>
  <conditionalFormatting sqref="B69:C69">
    <cfRule type="cellIs" dxfId="6155" priority="4373" stopIfTrue="1" operator="equal">
      <formula>"Towel"</formula>
    </cfRule>
    <cfRule type="cellIs" dxfId="6154" priority="4374" stopIfTrue="1" operator="equal">
      <formula>"Napkin Hs"</formula>
    </cfRule>
  </conditionalFormatting>
  <conditionalFormatting sqref="C69">
    <cfRule type="cellIs" dxfId="6153" priority="4372" stopIfTrue="1" operator="equal">
      <formula>"Napkin Hs"</formula>
    </cfRule>
  </conditionalFormatting>
  <conditionalFormatting sqref="C69">
    <cfRule type="cellIs" dxfId="6152" priority="4369" stopIfTrue="1" operator="equal">
      <formula>"Towel"</formula>
    </cfRule>
    <cfRule type="cellIs" dxfId="6151" priority="4370" stopIfTrue="1" operator="equal">
      <formula>"Napkin Hs"</formula>
    </cfRule>
  </conditionalFormatting>
  <conditionalFormatting sqref="C69">
    <cfRule type="cellIs" dxfId="6150" priority="4371" stopIfTrue="1" operator="equal">
      <formula>"Towel"</formula>
    </cfRule>
  </conditionalFormatting>
  <conditionalFormatting sqref="B69:C69">
    <cfRule type="cellIs" dxfId="6149" priority="4367" stopIfTrue="1" operator="equal">
      <formula>"Towel"</formula>
    </cfRule>
    <cfRule type="cellIs" dxfId="6148" priority="4368" stopIfTrue="1" operator="equal">
      <formula>"Napkin Hs"</formula>
    </cfRule>
  </conditionalFormatting>
  <conditionalFormatting sqref="C69">
    <cfRule type="cellIs" dxfId="6147" priority="4366" stopIfTrue="1" operator="equal">
      <formula>"Napkin Hs"</formula>
    </cfRule>
  </conditionalFormatting>
  <conditionalFormatting sqref="C69">
    <cfRule type="cellIs" dxfId="6146" priority="4363" stopIfTrue="1" operator="equal">
      <formula>"Towel"</formula>
    </cfRule>
    <cfRule type="cellIs" dxfId="6145" priority="4364" stopIfTrue="1" operator="equal">
      <formula>"Napkin Hs"</formula>
    </cfRule>
  </conditionalFormatting>
  <conditionalFormatting sqref="C69">
    <cfRule type="cellIs" dxfId="6144" priority="4365" stopIfTrue="1" operator="equal">
      <formula>"Towel"</formula>
    </cfRule>
  </conditionalFormatting>
  <conditionalFormatting sqref="B69:C69">
    <cfRule type="cellIs" dxfId="6143" priority="4361" stopIfTrue="1" operator="equal">
      <formula>"Towel"</formula>
    </cfRule>
    <cfRule type="cellIs" dxfId="6142" priority="4362" stopIfTrue="1" operator="equal">
      <formula>"Napkin Hs"</formula>
    </cfRule>
  </conditionalFormatting>
  <conditionalFormatting sqref="C69">
    <cfRule type="cellIs" dxfId="6141" priority="4360" stopIfTrue="1" operator="equal">
      <formula>"Napkin Hs"</formula>
    </cfRule>
  </conditionalFormatting>
  <conditionalFormatting sqref="C69">
    <cfRule type="cellIs" dxfId="6140" priority="4357" stopIfTrue="1" operator="equal">
      <formula>"Towel"</formula>
    </cfRule>
    <cfRule type="cellIs" dxfId="6139" priority="4358" stopIfTrue="1" operator="equal">
      <formula>"Napkin Hs"</formula>
    </cfRule>
  </conditionalFormatting>
  <conditionalFormatting sqref="C69">
    <cfRule type="cellIs" dxfId="6138" priority="4359" stopIfTrue="1" operator="equal">
      <formula>"Towel"</formula>
    </cfRule>
  </conditionalFormatting>
  <conditionalFormatting sqref="B69:C69">
    <cfRule type="cellIs" dxfId="6137" priority="4355" stopIfTrue="1" operator="equal">
      <formula>"Towel"</formula>
    </cfRule>
    <cfRule type="cellIs" dxfId="6136" priority="4356" stopIfTrue="1" operator="equal">
      <formula>"Napkin Hs"</formula>
    </cfRule>
  </conditionalFormatting>
  <conditionalFormatting sqref="C69">
    <cfRule type="cellIs" dxfId="6135" priority="4354" stopIfTrue="1" operator="equal">
      <formula>"Napkin Hs"</formula>
    </cfRule>
  </conditionalFormatting>
  <conditionalFormatting sqref="C69">
    <cfRule type="cellIs" dxfId="6134" priority="4351" stopIfTrue="1" operator="equal">
      <formula>"Towel"</formula>
    </cfRule>
    <cfRule type="cellIs" dxfId="6133" priority="4352" stopIfTrue="1" operator="equal">
      <formula>"Napkin Hs"</formula>
    </cfRule>
  </conditionalFormatting>
  <conditionalFormatting sqref="C69">
    <cfRule type="cellIs" dxfId="6132" priority="4353" stopIfTrue="1" operator="equal">
      <formula>"Towel"</formula>
    </cfRule>
  </conditionalFormatting>
  <conditionalFormatting sqref="B69:C69">
    <cfRule type="cellIs" dxfId="6131" priority="4349" stopIfTrue="1" operator="equal">
      <formula>"Towel"</formula>
    </cfRule>
    <cfRule type="cellIs" dxfId="6130" priority="4350" stopIfTrue="1" operator="equal">
      <formula>"Napkin Hs"</formula>
    </cfRule>
  </conditionalFormatting>
  <conditionalFormatting sqref="C69">
    <cfRule type="cellIs" dxfId="6129" priority="4348" stopIfTrue="1" operator="equal">
      <formula>"Napkin Hs"</formula>
    </cfRule>
  </conditionalFormatting>
  <conditionalFormatting sqref="C69">
    <cfRule type="cellIs" dxfId="6128" priority="4345" stopIfTrue="1" operator="equal">
      <formula>"Towel"</formula>
    </cfRule>
    <cfRule type="cellIs" dxfId="6127" priority="4346" stopIfTrue="1" operator="equal">
      <formula>"Napkin Hs"</formula>
    </cfRule>
  </conditionalFormatting>
  <conditionalFormatting sqref="C69">
    <cfRule type="cellIs" dxfId="6126" priority="4347" stopIfTrue="1" operator="equal">
      <formula>"Towel"</formula>
    </cfRule>
  </conditionalFormatting>
  <conditionalFormatting sqref="B70:C70">
    <cfRule type="cellIs" dxfId="6125" priority="4343" stopIfTrue="1" operator="equal">
      <formula>"Towel"</formula>
    </cfRule>
    <cfRule type="cellIs" dxfId="6124" priority="4344" stopIfTrue="1" operator="equal">
      <formula>"Napkin Hs"</formula>
    </cfRule>
  </conditionalFormatting>
  <conditionalFormatting sqref="C70">
    <cfRule type="cellIs" dxfId="6123" priority="4342" stopIfTrue="1" operator="equal">
      <formula>"Napkin Hs"</formula>
    </cfRule>
  </conditionalFormatting>
  <conditionalFormatting sqref="C70">
    <cfRule type="cellIs" dxfId="6122" priority="4339" stopIfTrue="1" operator="equal">
      <formula>"Towel"</formula>
    </cfRule>
    <cfRule type="cellIs" dxfId="6121" priority="4340" stopIfTrue="1" operator="equal">
      <formula>"Napkin Hs"</formula>
    </cfRule>
  </conditionalFormatting>
  <conditionalFormatting sqref="C70">
    <cfRule type="cellIs" dxfId="6120" priority="4341" stopIfTrue="1" operator="equal">
      <formula>"Towel"</formula>
    </cfRule>
  </conditionalFormatting>
  <conditionalFormatting sqref="B70:C70">
    <cfRule type="cellIs" dxfId="6119" priority="4337" stopIfTrue="1" operator="equal">
      <formula>"Towel"</formula>
    </cfRule>
    <cfRule type="cellIs" dxfId="6118" priority="4338" stopIfTrue="1" operator="equal">
      <formula>"Napkin Hs"</formula>
    </cfRule>
  </conditionalFormatting>
  <conditionalFormatting sqref="C70">
    <cfRule type="cellIs" dxfId="6117" priority="4333" stopIfTrue="1" operator="equal">
      <formula>"Towel"</formula>
    </cfRule>
    <cfRule type="cellIs" dxfId="6116" priority="4334" stopIfTrue="1" operator="equal">
      <formula>"Napkin Hs"</formula>
    </cfRule>
  </conditionalFormatting>
  <conditionalFormatting sqref="C70">
    <cfRule type="cellIs" dxfId="6115" priority="4335" stopIfTrue="1" operator="equal">
      <formula>"Towel"</formula>
    </cfRule>
    <cfRule type="cellIs" dxfId="6114" priority="4336" stopIfTrue="1" operator="equal">
      <formula>"Napkin Hs"</formula>
    </cfRule>
  </conditionalFormatting>
  <conditionalFormatting sqref="B70:C70">
    <cfRule type="cellIs" dxfId="6113" priority="4331" stopIfTrue="1" operator="equal">
      <formula>"Towel"</formula>
    </cfRule>
    <cfRule type="cellIs" dxfId="6112" priority="4332" stopIfTrue="1" operator="equal">
      <formula>"Napkin Hs"</formula>
    </cfRule>
  </conditionalFormatting>
  <conditionalFormatting sqref="C70">
    <cfRule type="cellIs" dxfId="6111" priority="4330" stopIfTrue="1" operator="equal">
      <formula>"Napkin Hs"</formula>
    </cfRule>
  </conditionalFormatting>
  <conditionalFormatting sqref="C70">
    <cfRule type="cellIs" dxfId="6110" priority="4327" stopIfTrue="1" operator="equal">
      <formula>"Towel"</formula>
    </cfRule>
    <cfRule type="cellIs" dxfId="6109" priority="4328" stopIfTrue="1" operator="equal">
      <formula>"Napkin Hs"</formula>
    </cfRule>
  </conditionalFormatting>
  <conditionalFormatting sqref="C70">
    <cfRule type="cellIs" dxfId="6108" priority="4329" stopIfTrue="1" operator="equal">
      <formula>"Towel"</formula>
    </cfRule>
  </conditionalFormatting>
  <conditionalFormatting sqref="B70:C70">
    <cfRule type="cellIs" dxfId="6107" priority="4325" stopIfTrue="1" operator="equal">
      <formula>"Towel"</formula>
    </cfRule>
    <cfRule type="cellIs" dxfId="6106" priority="4326" stopIfTrue="1" operator="equal">
      <formula>"Napkin Hs"</formula>
    </cfRule>
  </conditionalFormatting>
  <conditionalFormatting sqref="C70">
    <cfRule type="cellIs" dxfId="6105" priority="4323" stopIfTrue="1" operator="equal">
      <formula>"Towel"</formula>
    </cfRule>
    <cfRule type="cellIs" dxfId="6104" priority="4324" stopIfTrue="1" operator="equal">
      <formula>"Napkin Hs"</formula>
    </cfRule>
  </conditionalFormatting>
  <conditionalFormatting sqref="C70">
    <cfRule type="cellIs" dxfId="6103" priority="4321" stopIfTrue="1" operator="equal">
      <formula>"Towel"</formula>
    </cfRule>
    <cfRule type="cellIs" dxfId="6102" priority="4322" stopIfTrue="1" operator="equal">
      <formula>"Napkin Hs"</formula>
    </cfRule>
  </conditionalFormatting>
  <conditionalFormatting sqref="B70:C70">
    <cfRule type="cellIs" dxfId="6101" priority="4319" stopIfTrue="1" operator="equal">
      <formula>"Towel"</formula>
    </cfRule>
    <cfRule type="cellIs" dxfId="6100" priority="4320" stopIfTrue="1" operator="equal">
      <formula>"Napkin Hs"</formula>
    </cfRule>
  </conditionalFormatting>
  <conditionalFormatting sqref="C70">
    <cfRule type="cellIs" dxfId="6099" priority="4318" stopIfTrue="1" operator="equal">
      <formula>"Napkin Hs"</formula>
    </cfRule>
  </conditionalFormatting>
  <conditionalFormatting sqref="C70">
    <cfRule type="cellIs" dxfId="6098" priority="4315" stopIfTrue="1" operator="equal">
      <formula>"Towel"</formula>
    </cfRule>
    <cfRule type="cellIs" dxfId="6097" priority="4316" stopIfTrue="1" operator="equal">
      <formula>"Napkin Hs"</formula>
    </cfRule>
  </conditionalFormatting>
  <conditionalFormatting sqref="C70">
    <cfRule type="cellIs" dxfId="6096" priority="4317" stopIfTrue="1" operator="equal">
      <formula>"Towel"</formula>
    </cfRule>
  </conditionalFormatting>
  <conditionalFormatting sqref="B70:C70">
    <cfRule type="cellIs" dxfId="6095" priority="4313" stopIfTrue="1" operator="equal">
      <formula>"Towel"</formula>
    </cfRule>
    <cfRule type="cellIs" dxfId="6094" priority="4314" stopIfTrue="1" operator="equal">
      <formula>"Napkin Hs"</formula>
    </cfRule>
  </conditionalFormatting>
  <conditionalFormatting sqref="C70">
    <cfRule type="cellIs" dxfId="6093" priority="4312" stopIfTrue="1" operator="equal">
      <formula>"Napkin Hs"</formula>
    </cfRule>
  </conditionalFormatting>
  <conditionalFormatting sqref="C70">
    <cfRule type="cellIs" dxfId="6092" priority="4311" stopIfTrue="1" operator="equal">
      <formula>"Towel"</formula>
    </cfRule>
  </conditionalFormatting>
  <conditionalFormatting sqref="C70">
    <cfRule type="cellIs" dxfId="6091" priority="4309" stopIfTrue="1" operator="equal">
      <formula>"Towel"</formula>
    </cfRule>
    <cfRule type="cellIs" dxfId="6090" priority="4310" stopIfTrue="1" operator="equal">
      <formula>"Napkin Hs"</formula>
    </cfRule>
  </conditionalFormatting>
  <conditionalFormatting sqref="B70:C70">
    <cfRule type="cellIs" dxfId="6089" priority="4307" stopIfTrue="1" operator="equal">
      <formula>"Towel"</formula>
    </cfRule>
    <cfRule type="cellIs" dxfId="6088" priority="4308" stopIfTrue="1" operator="equal">
      <formula>"Napkin Hs"</formula>
    </cfRule>
  </conditionalFormatting>
  <conditionalFormatting sqref="C70">
    <cfRule type="cellIs" dxfId="6087" priority="4306" stopIfTrue="1" operator="equal">
      <formula>"Napkin Hs"</formula>
    </cfRule>
  </conditionalFormatting>
  <conditionalFormatting sqref="C70">
    <cfRule type="cellIs" dxfId="6086" priority="4303" stopIfTrue="1" operator="equal">
      <formula>"Towel"</formula>
    </cfRule>
    <cfRule type="cellIs" dxfId="6085" priority="4304" stopIfTrue="1" operator="equal">
      <formula>"Napkin Hs"</formula>
    </cfRule>
  </conditionalFormatting>
  <conditionalFormatting sqref="C70">
    <cfRule type="cellIs" dxfId="6084" priority="4305" stopIfTrue="1" operator="equal">
      <formula>"Towel"</formula>
    </cfRule>
  </conditionalFormatting>
  <conditionalFormatting sqref="B70:C70">
    <cfRule type="cellIs" dxfId="6083" priority="4301" stopIfTrue="1" operator="equal">
      <formula>"Towel"</formula>
    </cfRule>
    <cfRule type="cellIs" dxfId="6082" priority="4302" stopIfTrue="1" operator="equal">
      <formula>"Napkin Hs"</formula>
    </cfRule>
  </conditionalFormatting>
  <conditionalFormatting sqref="C70">
    <cfRule type="cellIs" dxfId="6081" priority="4300" stopIfTrue="1" operator="equal">
      <formula>"Napkin Hs"</formula>
    </cfRule>
  </conditionalFormatting>
  <conditionalFormatting sqref="C70">
    <cfRule type="cellIs" dxfId="6080" priority="4297" stopIfTrue="1" operator="equal">
      <formula>"Towel"</formula>
    </cfRule>
    <cfRule type="cellIs" dxfId="6079" priority="4298" stopIfTrue="1" operator="equal">
      <formula>"Napkin Hs"</formula>
    </cfRule>
  </conditionalFormatting>
  <conditionalFormatting sqref="C70">
    <cfRule type="cellIs" dxfId="6078" priority="4299" stopIfTrue="1" operator="equal">
      <formula>"Towel"</formula>
    </cfRule>
  </conditionalFormatting>
  <conditionalFormatting sqref="B70:C70">
    <cfRule type="cellIs" dxfId="6077" priority="4295" stopIfTrue="1" operator="equal">
      <formula>"Towel"</formula>
    </cfRule>
    <cfRule type="cellIs" dxfId="6076" priority="4296" stopIfTrue="1" operator="equal">
      <formula>"Napkin Hs"</formula>
    </cfRule>
  </conditionalFormatting>
  <conditionalFormatting sqref="C70">
    <cfRule type="cellIs" dxfId="6075" priority="4294" stopIfTrue="1" operator="equal">
      <formula>"Napkin Hs"</formula>
    </cfRule>
  </conditionalFormatting>
  <conditionalFormatting sqref="C70">
    <cfRule type="cellIs" dxfId="6074" priority="4291" stopIfTrue="1" operator="equal">
      <formula>"Towel"</formula>
    </cfRule>
    <cfRule type="cellIs" dxfId="6073" priority="4292" stopIfTrue="1" operator="equal">
      <formula>"Napkin Hs"</formula>
    </cfRule>
  </conditionalFormatting>
  <conditionalFormatting sqref="C70">
    <cfRule type="cellIs" dxfId="6072" priority="4293" stopIfTrue="1" operator="equal">
      <formula>"Towel"</formula>
    </cfRule>
  </conditionalFormatting>
  <conditionalFormatting sqref="B70:C70">
    <cfRule type="cellIs" dxfId="6071" priority="4289" stopIfTrue="1" operator="equal">
      <formula>"Towel"</formula>
    </cfRule>
    <cfRule type="cellIs" dxfId="6070" priority="4290" stopIfTrue="1" operator="equal">
      <formula>"Napkin Hs"</formula>
    </cfRule>
  </conditionalFormatting>
  <conditionalFormatting sqref="C70">
    <cfRule type="cellIs" dxfId="6069" priority="4288" stopIfTrue="1" operator="equal">
      <formula>"Napkin Hs"</formula>
    </cfRule>
  </conditionalFormatting>
  <conditionalFormatting sqref="C70">
    <cfRule type="cellIs" dxfId="6068" priority="4285" stopIfTrue="1" operator="equal">
      <formula>"Towel"</formula>
    </cfRule>
    <cfRule type="cellIs" dxfId="6067" priority="4286" stopIfTrue="1" operator="equal">
      <formula>"Napkin Hs"</formula>
    </cfRule>
  </conditionalFormatting>
  <conditionalFormatting sqref="C70">
    <cfRule type="cellIs" dxfId="6066" priority="4287" stopIfTrue="1" operator="equal">
      <formula>"Towel"</formula>
    </cfRule>
  </conditionalFormatting>
  <conditionalFormatting sqref="B70:C70">
    <cfRule type="cellIs" dxfId="6065" priority="4283" stopIfTrue="1" operator="equal">
      <formula>"Towel"</formula>
    </cfRule>
    <cfRule type="cellIs" dxfId="6064" priority="4284" stopIfTrue="1" operator="equal">
      <formula>"Napkin Hs"</formula>
    </cfRule>
  </conditionalFormatting>
  <conditionalFormatting sqref="C70">
    <cfRule type="cellIs" dxfId="6063" priority="4282" stopIfTrue="1" operator="equal">
      <formula>"Napkin Hs"</formula>
    </cfRule>
  </conditionalFormatting>
  <conditionalFormatting sqref="C70">
    <cfRule type="cellIs" dxfId="6062" priority="4279" stopIfTrue="1" operator="equal">
      <formula>"Towel"</formula>
    </cfRule>
    <cfRule type="cellIs" dxfId="6061" priority="4280" stopIfTrue="1" operator="equal">
      <formula>"Napkin Hs"</formula>
    </cfRule>
  </conditionalFormatting>
  <conditionalFormatting sqref="C70">
    <cfRule type="cellIs" dxfId="6060" priority="4281" stopIfTrue="1" operator="equal">
      <formula>"Towel"</formula>
    </cfRule>
  </conditionalFormatting>
  <conditionalFormatting sqref="B70:C70">
    <cfRule type="cellIs" dxfId="6059" priority="4277" stopIfTrue="1" operator="equal">
      <formula>"Towel"</formula>
    </cfRule>
    <cfRule type="cellIs" dxfId="6058" priority="4278" stopIfTrue="1" operator="equal">
      <formula>"Napkin Hs"</formula>
    </cfRule>
  </conditionalFormatting>
  <conditionalFormatting sqref="C70">
    <cfRule type="cellIs" dxfId="6057" priority="4276" stopIfTrue="1" operator="equal">
      <formula>"Napkin Hs"</formula>
    </cfRule>
  </conditionalFormatting>
  <conditionalFormatting sqref="C70">
    <cfRule type="cellIs" dxfId="6056" priority="4273" stopIfTrue="1" operator="equal">
      <formula>"Towel"</formula>
    </cfRule>
    <cfRule type="cellIs" dxfId="6055" priority="4274" stopIfTrue="1" operator="equal">
      <formula>"Napkin Hs"</formula>
    </cfRule>
  </conditionalFormatting>
  <conditionalFormatting sqref="C70">
    <cfRule type="cellIs" dxfId="6054" priority="4275" stopIfTrue="1" operator="equal">
      <formula>"Towel"</formula>
    </cfRule>
  </conditionalFormatting>
  <conditionalFormatting sqref="B70:C70">
    <cfRule type="cellIs" dxfId="6053" priority="4271" stopIfTrue="1" operator="equal">
      <formula>"Towel"</formula>
    </cfRule>
    <cfRule type="cellIs" dxfId="6052" priority="4272" stopIfTrue="1" operator="equal">
      <formula>"Napkin Hs"</formula>
    </cfRule>
  </conditionalFormatting>
  <conditionalFormatting sqref="C70">
    <cfRule type="cellIs" dxfId="6051" priority="4270" stopIfTrue="1" operator="equal">
      <formula>"Napkin Hs"</formula>
    </cfRule>
  </conditionalFormatting>
  <conditionalFormatting sqref="C70">
    <cfRule type="cellIs" dxfId="6050" priority="4267" stopIfTrue="1" operator="equal">
      <formula>"Towel"</formula>
    </cfRule>
    <cfRule type="cellIs" dxfId="6049" priority="4268" stopIfTrue="1" operator="equal">
      <formula>"Napkin Hs"</formula>
    </cfRule>
  </conditionalFormatting>
  <conditionalFormatting sqref="C70">
    <cfRule type="cellIs" dxfId="6048" priority="4269" stopIfTrue="1" operator="equal">
      <formula>"Towel"</formula>
    </cfRule>
  </conditionalFormatting>
  <conditionalFormatting sqref="B70:C70">
    <cfRule type="cellIs" dxfId="6047" priority="4265" stopIfTrue="1" operator="equal">
      <formula>"Towel"</formula>
    </cfRule>
    <cfRule type="cellIs" dxfId="6046" priority="4266" stopIfTrue="1" operator="equal">
      <formula>"Napkin Hs"</formula>
    </cfRule>
  </conditionalFormatting>
  <conditionalFormatting sqref="C70">
    <cfRule type="cellIs" dxfId="6045" priority="4264" stopIfTrue="1" operator="equal">
      <formula>"Napkin Hs"</formula>
    </cfRule>
  </conditionalFormatting>
  <conditionalFormatting sqref="C70">
    <cfRule type="cellIs" dxfId="6044" priority="4261" stopIfTrue="1" operator="equal">
      <formula>"Towel"</formula>
    </cfRule>
    <cfRule type="cellIs" dxfId="6043" priority="4262" stopIfTrue="1" operator="equal">
      <formula>"Napkin Hs"</formula>
    </cfRule>
  </conditionalFormatting>
  <conditionalFormatting sqref="C70">
    <cfRule type="cellIs" dxfId="6042" priority="4263" stopIfTrue="1" operator="equal">
      <formula>"Towel"</formula>
    </cfRule>
  </conditionalFormatting>
  <conditionalFormatting sqref="B70:C70">
    <cfRule type="cellIs" dxfId="6041" priority="4259" stopIfTrue="1" operator="equal">
      <formula>"Towel"</formula>
    </cfRule>
    <cfRule type="cellIs" dxfId="6040" priority="4260" stopIfTrue="1" operator="equal">
      <formula>"Napkin Hs"</formula>
    </cfRule>
  </conditionalFormatting>
  <conditionalFormatting sqref="C70">
    <cfRule type="cellIs" dxfId="6039" priority="4258" stopIfTrue="1" operator="equal">
      <formula>"Napkin Hs"</formula>
    </cfRule>
  </conditionalFormatting>
  <conditionalFormatting sqref="C70">
    <cfRule type="cellIs" dxfId="6038" priority="4255" stopIfTrue="1" operator="equal">
      <formula>"Towel"</formula>
    </cfRule>
    <cfRule type="cellIs" dxfId="6037" priority="4256" stopIfTrue="1" operator="equal">
      <formula>"Napkin Hs"</formula>
    </cfRule>
  </conditionalFormatting>
  <conditionalFormatting sqref="C70">
    <cfRule type="cellIs" dxfId="6036" priority="4257" stopIfTrue="1" operator="equal">
      <formula>"Towel"</formula>
    </cfRule>
  </conditionalFormatting>
  <conditionalFormatting sqref="B70:C70">
    <cfRule type="cellIs" dxfId="6035" priority="4253" stopIfTrue="1" operator="equal">
      <formula>"Towel"</formula>
    </cfRule>
    <cfRule type="cellIs" dxfId="6034" priority="4254" stopIfTrue="1" operator="equal">
      <formula>"Napkin Hs"</formula>
    </cfRule>
  </conditionalFormatting>
  <conditionalFormatting sqref="C70">
    <cfRule type="cellIs" dxfId="6033" priority="4252" stopIfTrue="1" operator="equal">
      <formula>"Napkin Hs"</formula>
    </cfRule>
  </conditionalFormatting>
  <conditionalFormatting sqref="C70">
    <cfRule type="cellIs" dxfId="6032" priority="4249" stopIfTrue="1" operator="equal">
      <formula>"Towel"</formula>
    </cfRule>
    <cfRule type="cellIs" dxfId="6031" priority="4250" stopIfTrue="1" operator="equal">
      <formula>"Napkin Hs"</formula>
    </cfRule>
  </conditionalFormatting>
  <conditionalFormatting sqref="C70">
    <cfRule type="cellIs" dxfId="6030" priority="4251" stopIfTrue="1" operator="equal">
      <formula>"Towel"</formula>
    </cfRule>
  </conditionalFormatting>
  <conditionalFormatting sqref="B70:C70">
    <cfRule type="cellIs" dxfId="6029" priority="4247" stopIfTrue="1" operator="equal">
      <formula>"Towel"</formula>
    </cfRule>
    <cfRule type="cellIs" dxfId="6028" priority="4248" stopIfTrue="1" operator="equal">
      <formula>"Napkin Hs"</formula>
    </cfRule>
  </conditionalFormatting>
  <conditionalFormatting sqref="C70">
    <cfRule type="cellIs" dxfId="6027" priority="4246" stopIfTrue="1" operator="equal">
      <formula>"Napkin Hs"</formula>
    </cfRule>
  </conditionalFormatting>
  <conditionalFormatting sqref="C70">
    <cfRule type="cellIs" dxfId="6026" priority="4245" stopIfTrue="1" operator="equal">
      <formula>"Towel"</formula>
    </cfRule>
  </conditionalFormatting>
  <conditionalFormatting sqref="C70">
    <cfRule type="cellIs" dxfId="6025" priority="4243" stopIfTrue="1" operator="equal">
      <formula>"Towel"</formula>
    </cfRule>
    <cfRule type="cellIs" dxfId="6024" priority="4244" stopIfTrue="1" operator="equal">
      <formula>"Napkin Hs"</formula>
    </cfRule>
  </conditionalFormatting>
  <conditionalFormatting sqref="B70:C70">
    <cfRule type="cellIs" dxfId="6023" priority="4241" stopIfTrue="1" operator="equal">
      <formula>"Towel"</formula>
    </cfRule>
    <cfRule type="cellIs" dxfId="6022" priority="4242" stopIfTrue="1" operator="equal">
      <formula>"Napkin Hs"</formula>
    </cfRule>
  </conditionalFormatting>
  <conditionalFormatting sqref="C70">
    <cfRule type="cellIs" dxfId="6021" priority="4240" stopIfTrue="1" operator="equal">
      <formula>"Napkin Hs"</formula>
    </cfRule>
  </conditionalFormatting>
  <conditionalFormatting sqref="C70">
    <cfRule type="cellIs" dxfId="6020" priority="4237" stopIfTrue="1" operator="equal">
      <formula>"Towel"</formula>
    </cfRule>
    <cfRule type="cellIs" dxfId="6019" priority="4238" stopIfTrue="1" operator="equal">
      <formula>"Napkin Hs"</formula>
    </cfRule>
  </conditionalFormatting>
  <conditionalFormatting sqref="C70">
    <cfRule type="cellIs" dxfId="6018" priority="4239" stopIfTrue="1" operator="equal">
      <formula>"Towel"</formula>
    </cfRule>
  </conditionalFormatting>
  <conditionalFormatting sqref="B70:C70">
    <cfRule type="cellIs" dxfId="6017" priority="4235" stopIfTrue="1" operator="equal">
      <formula>"Towel"</formula>
    </cfRule>
    <cfRule type="cellIs" dxfId="6016" priority="4236" stopIfTrue="1" operator="equal">
      <formula>"Napkin Hs"</formula>
    </cfRule>
  </conditionalFormatting>
  <conditionalFormatting sqref="C70">
    <cfRule type="cellIs" dxfId="6015" priority="4234" stopIfTrue="1" operator="equal">
      <formula>"Napkin Hs"</formula>
    </cfRule>
  </conditionalFormatting>
  <conditionalFormatting sqref="C70">
    <cfRule type="cellIs" dxfId="6014" priority="4231" stopIfTrue="1" operator="equal">
      <formula>"Towel"</formula>
    </cfRule>
    <cfRule type="cellIs" dxfId="6013" priority="4232" stopIfTrue="1" operator="equal">
      <formula>"Napkin Hs"</formula>
    </cfRule>
  </conditionalFormatting>
  <conditionalFormatting sqref="C70">
    <cfRule type="cellIs" dxfId="6012" priority="4233" stopIfTrue="1" operator="equal">
      <formula>"Towel"</formula>
    </cfRule>
  </conditionalFormatting>
  <conditionalFormatting sqref="B70:C70">
    <cfRule type="cellIs" dxfId="6011" priority="4229" stopIfTrue="1" operator="equal">
      <formula>"Towel"</formula>
    </cfRule>
    <cfRule type="cellIs" dxfId="6010" priority="4230" stopIfTrue="1" operator="equal">
      <formula>"Napkin Hs"</formula>
    </cfRule>
  </conditionalFormatting>
  <conditionalFormatting sqref="C70">
    <cfRule type="cellIs" dxfId="6009" priority="4228" stopIfTrue="1" operator="equal">
      <formula>"Napkin Hs"</formula>
    </cfRule>
  </conditionalFormatting>
  <conditionalFormatting sqref="C70">
    <cfRule type="cellIs" dxfId="6008" priority="4225" stopIfTrue="1" operator="equal">
      <formula>"Towel"</formula>
    </cfRule>
    <cfRule type="cellIs" dxfId="6007" priority="4226" stopIfTrue="1" operator="equal">
      <formula>"Napkin Hs"</formula>
    </cfRule>
  </conditionalFormatting>
  <conditionalFormatting sqref="C70">
    <cfRule type="cellIs" dxfId="6006" priority="4227" stopIfTrue="1" operator="equal">
      <formula>"Towel"</formula>
    </cfRule>
  </conditionalFormatting>
  <conditionalFormatting sqref="B70:C70">
    <cfRule type="cellIs" dxfId="6005" priority="4223" stopIfTrue="1" operator="equal">
      <formula>"Towel"</formula>
    </cfRule>
    <cfRule type="cellIs" dxfId="6004" priority="4224" stopIfTrue="1" operator="equal">
      <formula>"Napkin Hs"</formula>
    </cfRule>
  </conditionalFormatting>
  <conditionalFormatting sqref="C70">
    <cfRule type="cellIs" dxfId="6003" priority="4222" stopIfTrue="1" operator="equal">
      <formula>"Napkin Hs"</formula>
    </cfRule>
  </conditionalFormatting>
  <conditionalFormatting sqref="C70">
    <cfRule type="cellIs" dxfId="6002" priority="4219" stopIfTrue="1" operator="equal">
      <formula>"Towel"</formula>
    </cfRule>
    <cfRule type="cellIs" dxfId="6001" priority="4220" stopIfTrue="1" operator="equal">
      <formula>"Napkin Hs"</formula>
    </cfRule>
  </conditionalFormatting>
  <conditionalFormatting sqref="C70">
    <cfRule type="cellIs" dxfId="6000" priority="4221" stopIfTrue="1" operator="equal">
      <formula>"Towel"</formula>
    </cfRule>
  </conditionalFormatting>
  <conditionalFormatting sqref="B70:C70">
    <cfRule type="cellIs" dxfId="5999" priority="4217" stopIfTrue="1" operator="equal">
      <formula>"Towel"</formula>
    </cfRule>
    <cfRule type="cellIs" dxfId="5998" priority="4218" stopIfTrue="1" operator="equal">
      <formula>"Napkin Hs"</formula>
    </cfRule>
  </conditionalFormatting>
  <conditionalFormatting sqref="C70">
    <cfRule type="cellIs" dxfId="5997" priority="4216" stopIfTrue="1" operator="equal">
      <formula>"Napkin Hs"</formula>
    </cfRule>
  </conditionalFormatting>
  <conditionalFormatting sqref="C70">
    <cfRule type="cellIs" dxfId="5996" priority="4213" stopIfTrue="1" operator="equal">
      <formula>"Towel"</formula>
    </cfRule>
    <cfRule type="cellIs" dxfId="5995" priority="4214" stopIfTrue="1" operator="equal">
      <formula>"Napkin Hs"</formula>
    </cfRule>
  </conditionalFormatting>
  <conditionalFormatting sqref="C70">
    <cfRule type="cellIs" dxfId="5994" priority="4215" stopIfTrue="1" operator="equal">
      <formula>"Towel"</formula>
    </cfRule>
  </conditionalFormatting>
  <conditionalFormatting sqref="B70:C70">
    <cfRule type="cellIs" dxfId="5993" priority="4211" stopIfTrue="1" operator="equal">
      <formula>"Towel"</formula>
    </cfRule>
    <cfRule type="cellIs" dxfId="5992" priority="4212" stopIfTrue="1" operator="equal">
      <formula>"Napkin Hs"</formula>
    </cfRule>
  </conditionalFormatting>
  <conditionalFormatting sqref="C70">
    <cfRule type="cellIs" dxfId="5991" priority="4210" stopIfTrue="1" operator="equal">
      <formula>"Napkin Hs"</formula>
    </cfRule>
  </conditionalFormatting>
  <conditionalFormatting sqref="C70">
    <cfRule type="cellIs" dxfId="5990" priority="4207" stopIfTrue="1" operator="equal">
      <formula>"Towel"</formula>
    </cfRule>
    <cfRule type="cellIs" dxfId="5989" priority="4208" stopIfTrue="1" operator="equal">
      <formula>"Napkin Hs"</formula>
    </cfRule>
  </conditionalFormatting>
  <conditionalFormatting sqref="C70">
    <cfRule type="cellIs" dxfId="5988" priority="4209" stopIfTrue="1" operator="equal">
      <formula>"Towel"</formula>
    </cfRule>
  </conditionalFormatting>
  <conditionalFormatting sqref="B70:C70">
    <cfRule type="cellIs" dxfId="5987" priority="4205" stopIfTrue="1" operator="equal">
      <formula>"Towel"</formula>
    </cfRule>
    <cfRule type="cellIs" dxfId="5986" priority="4206" stopIfTrue="1" operator="equal">
      <formula>"Napkin Hs"</formula>
    </cfRule>
  </conditionalFormatting>
  <conditionalFormatting sqref="C70">
    <cfRule type="cellIs" dxfId="5985" priority="4204" stopIfTrue="1" operator="equal">
      <formula>"Napkin Hs"</formula>
    </cfRule>
  </conditionalFormatting>
  <conditionalFormatting sqref="C70">
    <cfRule type="cellIs" dxfId="5984" priority="4201" stopIfTrue="1" operator="equal">
      <formula>"Towel"</formula>
    </cfRule>
    <cfRule type="cellIs" dxfId="5983" priority="4202" stopIfTrue="1" operator="equal">
      <formula>"Napkin Hs"</formula>
    </cfRule>
  </conditionalFormatting>
  <conditionalFormatting sqref="C70">
    <cfRule type="cellIs" dxfId="5982" priority="4203" stopIfTrue="1" operator="equal">
      <formula>"Towel"</formula>
    </cfRule>
  </conditionalFormatting>
  <conditionalFormatting sqref="B70:C70">
    <cfRule type="cellIs" dxfId="5981" priority="4199" stopIfTrue="1" operator="equal">
      <formula>"Towel"</formula>
    </cfRule>
    <cfRule type="cellIs" dxfId="5980" priority="4200" stopIfTrue="1" operator="equal">
      <formula>"Napkin Hs"</formula>
    </cfRule>
  </conditionalFormatting>
  <conditionalFormatting sqref="C70">
    <cfRule type="cellIs" dxfId="5979" priority="4198" stopIfTrue="1" operator="equal">
      <formula>"Napkin Hs"</formula>
    </cfRule>
  </conditionalFormatting>
  <conditionalFormatting sqref="C70">
    <cfRule type="cellIs" dxfId="5978" priority="4195" stopIfTrue="1" operator="equal">
      <formula>"Towel"</formula>
    </cfRule>
    <cfRule type="cellIs" dxfId="5977" priority="4196" stopIfTrue="1" operator="equal">
      <formula>"Napkin Hs"</formula>
    </cfRule>
  </conditionalFormatting>
  <conditionalFormatting sqref="C70">
    <cfRule type="cellIs" dxfId="5976" priority="4197" stopIfTrue="1" operator="equal">
      <formula>"Towel"</formula>
    </cfRule>
  </conditionalFormatting>
  <conditionalFormatting sqref="B70:C70">
    <cfRule type="cellIs" dxfId="5975" priority="4193" stopIfTrue="1" operator="equal">
      <formula>"Towel"</formula>
    </cfRule>
    <cfRule type="cellIs" dxfId="5974" priority="4194" stopIfTrue="1" operator="equal">
      <formula>"Napkin Hs"</formula>
    </cfRule>
  </conditionalFormatting>
  <conditionalFormatting sqref="C70">
    <cfRule type="cellIs" dxfId="5973" priority="4192" stopIfTrue="1" operator="equal">
      <formula>"Napkin Hs"</formula>
    </cfRule>
  </conditionalFormatting>
  <conditionalFormatting sqref="C70">
    <cfRule type="cellIs" dxfId="5972" priority="4189" stopIfTrue="1" operator="equal">
      <formula>"Towel"</formula>
    </cfRule>
    <cfRule type="cellIs" dxfId="5971" priority="4190" stopIfTrue="1" operator="equal">
      <formula>"Napkin Hs"</formula>
    </cfRule>
  </conditionalFormatting>
  <conditionalFormatting sqref="C70">
    <cfRule type="cellIs" dxfId="5970" priority="4191" stopIfTrue="1" operator="equal">
      <formula>"Towel"</formula>
    </cfRule>
  </conditionalFormatting>
  <conditionalFormatting sqref="B75:C76">
    <cfRule type="cellIs" dxfId="5969" priority="4187" stopIfTrue="1" operator="equal">
      <formula>"Towel"</formula>
    </cfRule>
    <cfRule type="cellIs" dxfId="5968" priority="4188" stopIfTrue="1" operator="equal">
      <formula>"Napkin Hs"</formula>
    </cfRule>
  </conditionalFormatting>
  <conditionalFormatting sqref="C75:C76">
    <cfRule type="cellIs" dxfId="5967" priority="4186" stopIfTrue="1" operator="equal">
      <formula>"Napkin Hs"</formula>
    </cfRule>
  </conditionalFormatting>
  <conditionalFormatting sqref="C75:C76">
    <cfRule type="cellIs" dxfId="5966" priority="4183" stopIfTrue="1" operator="equal">
      <formula>"Towel"</formula>
    </cfRule>
    <cfRule type="cellIs" dxfId="5965" priority="4184" stopIfTrue="1" operator="equal">
      <formula>"Napkin Hs"</formula>
    </cfRule>
  </conditionalFormatting>
  <conditionalFormatting sqref="C75:C76">
    <cfRule type="cellIs" dxfId="5964" priority="4185" stopIfTrue="1" operator="equal">
      <formula>"Towel"</formula>
    </cfRule>
  </conditionalFormatting>
  <conditionalFormatting sqref="B74:C74">
    <cfRule type="cellIs" dxfId="5963" priority="4181" stopIfTrue="1" operator="equal">
      <formula>"Towel"</formula>
    </cfRule>
    <cfRule type="cellIs" dxfId="5962" priority="4182" stopIfTrue="1" operator="equal">
      <formula>"Napkin Hs"</formula>
    </cfRule>
  </conditionalFormatting>
  <conditionalFormatting sqref="C74">
    <cfRule type="cellIs" dxfId="5961" priority="4177" stopIfTrue="1" operator="equal">
      <formula>"Towel"</formula>
    </cfRule>
    <cfRule type="cellIs" dxfId="5960" priority="4178" stopIfTrue="1" operator="equal">
      <formula>"Napkin Hs"</formula>
    </cfRule>
  </conditionalFormatting>
  <conditionalFormatting sqref="C74">
    <cfRule type="cellIs" dxfId="5959" priority="4179" stopIfTrue="1" operator="equal">
      <formula>"Towel"</formula>
    </cfRule>
    <cfRule type="cellIs" dxfId="5958" priority="4180" stopIfTrue="1" operator="equal">
      <formula>"Napkin Hs"</formula>
    </cfRule>
  </conditionalFormatting>
  <conditionalFormatting sqref="B74:C74">
    <cfRule type="cellIs" dxfId="5957" priority="4175" stopIfTrue="1" operator="equal">
      <formula>"Towel"</formula>
    </cfRule>
    <cfRule type="cellIs" dxfId="5956" priority="4176" stopIfTrue="1" operator="equal">
      <formula>"Napkin Hs"</formula>
    </cfRule>
  </conditionalFormatting>
  <conditionalFormatting sqref="C74">
    <cfRule type="cellIs" dxfId="5955" priority="4171" stopIfTrue="1" operator="equal">
      <formula>"Towel"</formula>
    </cfRule>
    <cfRule type="cellIs" dxfId="5954" priority="4172" stopIfTrue="1" operator="equal">
      <formula>"Napkin Hs"</formula>
    </cfRule>
  </conditionalFormatting>
  <conditionalFormatting sqref="C74">
    <cfRule type="cellIs" dxfId="5953" priority="4173" stopIfTrue="1" operator="equal">
      <formula>"Towel"</formula>
    </cfRule>
    <cfRule type="cellIs" dxfId="5952" priority="4174" stopIfTrue="1" operator="equal">
      <formula>"Napkin Hs"</formula>
    </cfRule>
  </conditionalFormatting>
  <conditionalFormatting sqref="B75:C76">
    <cfRule type="cellIs" dxfId="5951" priority="4169" stopIfTrue="1" operator="equal">
      <formula>"Towel"</formula>
    </cfRule>
    <cfRule type="cellIs" dxfId="5950" priority="4170" stopIfTrue="1" operator="equal">
      <formula>"Napkin Hs"</formula>
    </cfRule>
  </conditionalFormatting>
  <conditionalFormatting sqref="C75:C76">
    <cfRule type="cellIs" dxfId="5949" priority="4168" stopIfTrue="1" operator="equal">
      <formula>"Napkin Hs"</formula>
    </cfRule>
  </conditionalFormatting>
  <conditionalFormatting sqref="C75:C76">
    <cfRule type="cellIs" dxfId="5948" priority="4165" stopIfTrue="1" operator="equal">
      <formula>"Towel"</formula>
    </cfRule>
    <cfRule type="cellIs" dxfId="5947" priority="4166" stopIfTrue="1" operator="equal">
      <formula>"Napkin Hs"</formula>
    </cfRule>
  </conditionalFormatting>
  <conditionalFormatting sqref="C75:C76">
    <cfRule type="cellIs" dxfId="5946" priority="4167" stopIfTrue="1" operator="equal">
      <formula>"Towel"</formula>
    </cfRule>
  </conditionalFormatting>
  <conditionalFormatting sqref="B74:C74">
    <cfRule type="cellIs" dxfId="5945" priority="4161" stopIfTrue="1" operator="equal">
      <formula>"Towel"</formula>
    </cfRule>
    <cfRule type="cellIs" dxfId="5944" priority="4162" stopIfTrue="1" operator="equal">
      <formula>"Napkin Hs"</formula>
    </cfRule>
  </conditionalFormatting>
  <conditionalFormatting sqref="C74">
    <cfRule type="cellIs" dxfId="5943" priority="4163" stopIfTrue="1" operator="equal">
      <formula>"Towel"</formula>
    </cfRule>
    <cfRule type="cellIs" dxfId="5942" priority="4164" stopIfTrue="1" operator="equal">
      <formula>"Napkin Hs"</formula>
    </cfRule>
  </conditionalFormatting>
  <conditionalFormatting sqref="C74">
    <cfRule type="cellIs" dxfId="5941" priority="4159" stopIfTrue="1" operator="equal">
      <formula>"Towel"</formula>
    </cfRule>
    <cfRule type="cellIs" dxfId="5940" priority="4160" stopIfTrue="1" operator="equal">
      <formula>"Napkin Hs"</formula>
    </cfRule>
  </conditionalFormatting>
  <conditionalFormatting sqref="B75:C76">
    <cfRule type="cellIs" dxfId="5939" priority="4157" stopIfTrue="1" operator="equal">
      <formula>"Towel"</formula>
    </cfRule>
    <cfRule type="cellIs" dxfId="5938" priority="4158" stopIfTrue="1" operator="equal">
      <formula>"Napkin Hs"</formula>
    </cfRule>
  </conditionalFormatting>
  <conditionalFormatting sqref="C75:C76">
    <cfRule type="cellIs" dxfId="5937" priority="4156" stopIfTrue="1" operator="equal">
      <formula>"Napkin Hs"</formula>
    </cfRule>
  </conditionalFormatting>
  <conditionalFormatting sqref="C75:C76">
    <cfRule type="cellIs" dxfId="5936" priority="4153" stopIfTrue="1" operator="equal">
      <formula>"Towel"</formula>
    </cfRule>
    <cfRule type="cellIs" dxfId="5935" priority="4154" stopIfTrue="1" operator="equal">
      <formula>"Napkin Hs"</formula>
    </cfRule>
  </conditionalFormatting>
  <conditionalFormatting sqref="C75:C76">
    <cfRule type="cellIs" dxfId="5934" priority="4155" stopIfTrue="1" operator="equal">
      <formula>"Towel"</formula>
    </cfRule>
  </conditionalFormatting>
  <conditionalFormatting sqref="B76:C76">
    <cfRule type="cellIs" dxfId="5933" priority="4151" stopIfTrue="1" operator="equal">
      <formula>"Towel"</formula>
    </cfRule>
    <cfRule type="cellIs" dxfId="5932" priority="4152" stopIfTrue="1" operator="equal">
      <formula>"Napkin Hs"</formula>
    </cfRule>
  </conditionalFormatting>
  <conditionalFormatting sqref="C76">
    <cfRule type="cellIs" dxfId="5931" priority="4150" stopIfTrue="1" operator="equal">
      <formula>"Napkin Hs"</formula>
    </cfRule>
  </conditionalFormatting>
  <conditionalFormatting sqref="C76">
    <cfRule type="cellIs" dxfId="5930" priority="4147" stopIfTrue="1" operator="equal">
      <formula>"Towel"</formula>
    </cfRule>
    <cfRule type="cellIs" dxfId="5929" priority="4148" stopIfTrue="1" operator="equal">
      <formula>"Napkin Hs"</formula>
    </cfRule>
  </conditionalFormatting>
  <conditionalFormatting sqref="C76">
    <cfRule type="cellIs" dxfId="5928" priority="4149" stopIfTrue="1" operator="equal">
      <formula>"Towel"</formula>
    </cfRule>
  </conditionalFormatting>
  <conditionalFormatting sqref="B75:C75">
    <cfRule type="cellIs" dxfId="5927" priority="4145" stopIfTrue="1" operator="equal">
      <formula>"Towel"</formula>
    </cfRule>
    <cfRule type="cellIs" dxfId="5926" priority="4146" stopIfTrue="1" operator="equal">
      <formula>"Napkin Hs"</formula>
    </cfRule>
  </conditionalFormatting>
  <conditionalFormatting sqref="C75">
    <cfRule type="cellIs" dxfId="5925" priority="4141" stopIfTrue="1" operator="equal">
      <formula>"Towel"</formula>
    </cfRule>
    <cfRule type="cellIs" dxfId="5924" priority="4142" stopIfTrue="1" operator="equal">
      <formula>"Napkin Hs"</formula>
    </cfRule>
  </conditionalFormatting>
  <conditionalFormatting sqref="C75">
    <cfRule type="cellIs" dxfId="5923" priority="4143" stopIfTrue="1" operator="equal">
      <formula>"Towel"</formula>
    </cfRule>
    <cfRule type="cellIs" dxfId="5922" priority="4144" stopIfTrue="1" operator="equal">
      <formula>"Napkin Hs"</formula>
    </cfRule>
  </conditionalFormatting>
  <conditionalFormatting sqref="B75:C75">
    <cfRule type="cellIs" dxfId="5921" priority="4139" stopIfTrue="1" operator="equal">
      <formula>"Towel"</formula>
    </cfRule>
    <cfRule type="cellIs" dxfId="5920" priority="4140" stopIfTrue="1" operator="equal">
      <formula>"Napkin Hs"</formula>
    </cfRule>
  </conditionalFormatting>
  <conditionalFormatting sqref="C75">
    <cfRule type="cellIs" dxfId="5919" priority="4138" stopIfTrue="1" operator="equal">
      <formula>"Napkin Hs"</formula>
    </cfRule>
  </conditionalFormatting>
  <conditionalFormatting sqref="C75">
    <cfRule type="cellIs" dxfId="5918" priority="4135" stopIfTrue="1" operator="equal">
      <formula>"Towel"</formula>
    </cfRule>
    <cfRule type="cellIs" dxfId="5917" priority="4136" stopIfTrue="1" operator="equal">
      <formula>"Napkin Hs"</formula>
    </cfRule>
  </conditionalFormatting>
  <conditionalFormatting sqref="C75">
    <cfRule type="cellIs" dxfId="5916" priority="4137" stopIfTrue="1" operator="equal">
      <formula>"Towel"</formula>
    </cfRule>
  </conditionalFormatting>
  <conditionalFormatting sqref="B75:C75">
    <cfRule type="cellIs" dxfId="5915" priority="4133" stopIfTrue="1" operator="equal">
      <formula>"Towel"</formula>
    </cfRule>
    <cfRule type="cellIs" dxfId="5914" priority="4134" stopIfTrue="1" operator="equal">
      <formula>"Napkin Hs"</formula>
    </cfRule>
  </conditionalFormatting>
  <conditionalFormatting sqref="C75">
    <cfRule type="cellIs" dxfId="5913" priority="4131" stopIfTrue="1" operator="equal">
      <formula>"Towel"</formula>
    </cfRule>
    <cfRule type="cellIs" dxfId="5912" priority="4132" stopIfTrue="1" operator="equal">
      <formula>"Napkin Hs"</formula>
    </cfRule>
  </conditionalFormatting>
  <conditionalFormatting sqref="C75">
    <cfRule type="cellIs" dxfId="5911" priority="4129" stopIfTrue="1" operator="equal">
      <formula>"Towel"</formula>
    </cfRule>
    <cfRule type="cellIs" dxfId="5910" priority="4130" stopIfTrue="1" operator="equal">
      <formula>"Napkin Hs"</formula>
    </cfRule>
  </conditionalFormatting>
  <conditionalFormatting sqref="B75:C75">
    <cfRule type="cellIs" dxfId="5909" priority="4127" stopIfTrue="1" operator="equal">
      <formula>"Towel"</formula>
    </cfRule>
    <cfRule type="cellIs" dxfId="5908" priority="4128" stopIfTrue="1" operator="equal">
      <formula>"Napkin Hs"</formula>
    </cfRule>
  </conditionalFormatting>
  <conditionalFormatting sqref="C75">
    <cfRule type="cellIs" dxfId="5907" priority="4126" stopIfTrue="1" operator="equal">
      <formula>"Napkin Hs"</formula>
    </cfRule>
  </conditionalFormatting>
  <conditionalFormatting sqref="C75">
    <cfRule type="cellIs" dxfId="5906" priority="4123" stopIfTrue="1" operator="equal">
      <formula>"Towel"</formula>
    </cfRule>
    <cfRule type="cellIs" dxfId="5905" priority="4124" stopIfTrue="1" operator="equal">
      <formula>"Napkin Hs"</formula>
    </cfRule>
  </conditionalFormatting>
  <conditionalFormatting sqref="C75">
    <cfRule type="cellIs" dxfId="5904" priority="4125" stopIfTrue="1" operator="equal">
      <formula>"Towel"</formula>
    </cfRule>
  </conditionalFormatting>
  <conditionalFormatting sqref="B75:C75">
    <cfRule type="cellIs" dxfId="5903" priority="4121" stopIfTrue="1" operator="equal">
      <formula>"Towel"</formula>
    </cfRule>
    <cfRule type="cellIs" dxfId="5902" priority="4122" stopIfTrue="1" operator="equal">
      <formula>"Napkin Hs"</formula>
    </cfRule>
  </conditionalFormatting>
  <conditionalFormatting sqref="C75">
    <cfRule type="cellIs" dxfId="5901" priority="4120" stopIfTrue="1" operator="equal">
      <formula>"Napkin Hs"</formula>
    </cfRule>
  </conditionalFormatting>
  <conditionalFormatting sqref="C75">
    <cfRule type="cellIs" dxfId="5900" priority="4119" stopIfTrue="1" operator="equal">
      <formula>"Towel"</formula>
    </cfRule>
  </conditionalFormatting>
  <conditionalFormatting sqref="C75">
    <cfRule type="cellIs" dxfId="5899" priority="4117" stopIfTrue="1" operator="equal">
      <formula>"Towel"</formula>
    </cfRule>
    <cfRule type="cellIs" dxfId="5898" priority="4118" stopIfTrue="1" operator="equal">
      <formula>"Napkin Hs"</formula>
    </cfRule>
  </conditionalFormatting>
  <conditionalFormatting sqref="B75:C75">
    <cfRule type="cellIs" dxfId="5897" priority="4115" stopIfTrue="1" operator="equal">
      <formula>"Towel"</formula>
    </cfRule>
    <cfRule type="cellIs" dxfId="5896" priority="4116" stopIfTrue="1" operator="equal">
      <formula>"Napkin Hs"</formula>
    </cfRule>
  </conditionalFormatting>
  <conditionalFormatting sqref="C75">
    <cfRule type="cellIs" dxfId="5895" priority="4114" stopIfTrue="1" operator="equal">
      <formula>"Napkin Hs"</formula>
    </cfRule>
  </conditionalFormatting>
  <conditionalFormatting sqref="C75">
    <cfRule type="cellIs" dxfId="5894" priority="4111" stopIfTrue="1" operator="equal">
      <formula>"Towel"</formula>
    </cfRule>
    <cfRule type="cellIs" dxfId="5893" priority="4112" stopIfTrue="1" operator="equal">
      <formula>"Napkin Hs"</formula>
    </cfRule>
  </conditionalFormatting>
  <conditionalFormatting sqref="C75">
    <cfRule type="cellIs" dxfId="5892" priority="4113" stopIfTrue="1" operator="equal">
      <formula>"Towel"</formula>
    </cfRule>
  </conditionalFormatting>
  <conditionalFormatting sqref="B75:C75">
    <cfRule type="cellIs" dxfId="5891" priority="4109" stopIfTrue="1" operator="equal">
      <formula>"Towel"</formula>
    </cfRule>
    <cfRule type="cellIs" dxfId="5890" priority="4110" stopIfTrue="1" operator="equal">
      <formula>"Napkin Hs"</formula>
    </cfRule>
  </conditionalFormatting>
  <conditionalFormatting sqref="C75">
    <cfRule type="cellIs" dxfId="5889" priority="4108" stopIfTrue="1" operator="equal">
      <formula>"Napkin Hs"</formula>
    </cfRule>
  </conditionalFormatting>
  <conditionalFormatting sqref="C75">
    <cfRule type="cellIs" dxfId="5888" priority="4105" stopIfTrue="1" operator="equal">
      <formula>"Towel"</formula>
    </cfRule>
    <cfRule type="cellIs" dxfId="5887" priority="4106" stopIfTrue="1" operator="equal">
      <formula>"Napkin Hs"</formula>
    </cfRule>
  </conditionalFormatting>
  <conditionalFormatting sqref="C75">
    <cfRule type="cellIs" dxfId="5886" priority="4107" stopIfTrue="1" operator="equal">
      <formula>"Towel"</formula>
    </cfRule>
  </conditionalFormatting>
  <conditionalFormatting sqref="B75:C75">
    <cfRule type="cellIs" dxfId="5885" priority="4103" stopIfTrue="1" operator="equal">
      <formula>"Towel"</formula>
    </cfRule>
    <cfRule type="cellIs" dxfId="5884" priority="4104" stopIfTrue="1" operator="equal">
      <formula>"Napkin Hs"</formula>
    </cfRule>
  </conditionalFormatting>
  <conditionalFormatting sqref="C75">
    <cfRule type="cellIs" dxfId="5883" priority="4102" stopIfTrue="1" operator="equal">
      <formula>"Napkin Hs"</formula>
    </cfRule>
  </conditionalFormatting>
  <conditionalFormatting sqref="C75">
    <cfRule type="cellIs" dxfId="5882" priority="4099" stopIfTrue="1" operator="equal">
      <formula>"Towel"</formula>
    </cfRule>
    <cfRule type="cellIs" dxfId="5881" priority="4100" stopIfTrue="1" operator="equal">
      <formula>"Napkin Hs"</formula>
    </cfRule>
  </conditionalFormatting>
  <conditionalFormatting sqref="C75">
    <cfRule type="cellIs" dxfId="5880" priority="4101" stopIfTrue="1" operator="equal">
      <formula>"Towel"</formula>
    </cfRule>
  </conditionalFormatting>
  <conditionalFormatting sqref="B75:C75">
    <cfRule type="cellIs" dxfId="5879" priority="4097" stopIfTrue="1" operator="equal">
      <formula>"Towel"</formula>
    </cfRule>
    <cfRule type="cellIs" dxfId="5878" priority="4098" stopIfTrue="1" operator="equal">
      <formula>"Napkin Hs"</formula>
    </cfRule>
  </conditionalFormatting>
  <conditionalFormatting sqref="C75">
    <cfRule type="cellIs" dxfId="5877" priority="4096" stopIfTrue="1" operator="equal">
      <formula>"Napkin Hs"</formula>
    </cfRule>
  </conditionalFormatting>
  <conditionalFormatting sqref="C75">
    <cfRule type="cellIs" dxfId="5876" priority="4093" stopIfTrue="1" operator="equal">
      <formula>"Towel"</formula>
    </cfRule>
    <cfRule type="cellIs" dxfId="5875" priority="4094" stopIfTrue="1" operator="equal">
      <formula>"Napkin Hs"</formula>
    </cfRule>
  </conditionalFormatting>
  <conditionalFormatting sqref="C75">
    <cfRule type="cellIs" dxfId="5874" priority="4095" stopIfTrue="1" operator="equal">
      <formula>"Towel"</formula>
    </cfRule>
  </conditionalFormatting>
  <conditionalFormatting sqref="B75:C75">
    <cfRule type="cellIs" dxfId="5873" priority="4091" stopIfTrue="1" operator="equal">
      <formula>"Towel"</formula>
    </cfRule>
    <cfRule type="cellIs" dxfId="5872" priority="4092" stopIfTrue="1" operator="equal">
      <formula>"Napkin Hs"</formula>
    </cfRule>
  </conditionalFormatting>
  <conditionalFormatting sqref="C75">
    <cfRule type="cellIs" dxfId="5871" priority="4090" stopIfTrue="1" operator="equal">
      <formula>"Napkin Hs"</formula>
    </cfRule>
  </conditionalFormatting>
  <conditionalFormatting sqref="C75">
    <cfRule type="cellIs" dxfId="5870" priority="4087" stopIfTrue="1" operator="equal">
      <formula>"Towel"</formula>
    </cfRule>
    <cfRule type="cellIs" dxfId="5869" priority="4088" stopIfTrue="1" operator="equal">
      <formula>"Napkin Hs"</formula>
    </cfRule>
  </conditionalFormatting>
  <conditionalFormatting sqref="C75">
    <cfRule type="cellIs" dxfId="5868" priority="4089" stopIfTrue="1" operator="equal">
      <formula>"Towel"</formula>
    </cfRule>
  </conditionalFormatting>
  <conditionalFormatting sqref="B75:C75">
    <cfRule type="cellIs" dxfId="5867" priority="4085" stopIfTrue="1" operator="equal">
      <formula>"Towel"</formula>
    </cfRule>
    <cfRule type="cellIs" dxfId="5866" priority="4086" stopIfTrue="1" operator="equal">
      <formula>"Napkin Hs"</formula>
    </cfRule>
  </conditionalFormatting>
  <conditionalFormatting sqref="C75">
    <cfRule type="cellIs" dxfId="5865" priority="4084" stopIfTrue="1" operator="equal">
      <formula>"Napkin Hs"</formula>
    </cfRule>
  </conditionalFormatting>
  <conditionalFormatting sqref="C75">
    <cfRule type="cellIs" dxfId="5864" priority="4081" stopIfTrue="1" operator="equal">
      <formula>"Towel"</formula>
    </cfRule>
    <cfRule type="cellIs" dxfId="5863" priority="4082" stopIfTrue="1" operator="equal">
      <formula>"Napkin Hs"</formula>
    </cfRule>
  </conditionalFormatting>
  <conditionalFormatting sqref="C75">
    <cfRule type="cellIs" dxfId="5862" priority="4083" stopIfTrue="1" operator="equal">
      <formula>"Towel"</formula>
    </cfRule>
  </conditionalFormatting>
  <conditionalFormatting sqref="B75:C75">
    <cfRule type="cellIs" dxfId="5861" priority="4079" stopIfTrue="1" operator="equal">
      <formula>"Towel"</formula>
    </cfRule>
    <cfRule type="cellIs" dxfId="5860" priority="4080" stopIfTrue="1" operator="equal">
      <formula>"Napkin Hs"</formula>
    </cfRule>
  </conditionalFormatting>
  <conditionalFormatting sqref="C75">
    <cfRule type="cellIs" dxfId="5859" priority="4078" stopIfTrue="1" operator="equal">
      <formula>"Napkin Hs"</formula>
    </cfRule>
  </conditionalFormatting>
  <conditionalFormatting sqref="C75">
    <cfRule type="cellIs" dxfId="5858" priority="4075" stopIfTrue="1" operator="equal">
      <formula>"Towel"</formula>
    </cfRule>
    <cfRule type="cellIs" dxfId="5857" priority="4076" stopIfTrue="1" operator="equal">
      <formula>"Napkin Hs"</formula>
    </cfRule>
  </conditionalFormatting>
  <conditionalFormatting sqref="C75">
    <cfRule type="cellIs" dxfId="5856" priority="4077" stopIfTrue="1" operator="equal">
      <formula>"Towel"</formula>
    </cfRule>
  </conditionalFormatting>
  <conditionalFormatting sqref="B75:C75">
    <cfRule type="cellIs" dxfId="5855" priority="4073" stopIfTrue="1" operator="equal">
      <formula>"Towel"</formula>
    </cfRule>
    <cfRule type="cellIs" dxfId="5854" priority="4074" stopIfTrue="1" operator="equal">
      <formula>"Napkin Hs"</formula>
    </cfRule>
  </conditionalFormatting>
  <conditionalFormatting sqref="C75">
    <cfRule type="cellIs" dxfId="5853" priority="4072" stopIfTrue="1" operator="equal">
      <formula>"Napkin Hs"</formula>
    </cfRule>
  </conditionalFormatting>
  <conditionalFormatting sqref="C75">
    <cfRule type="cellIs" dxfId="5852" priority="4069" stopIfTrue="1" operator="equal">
      <formula>"Towel"</formula>
    </cfRule>
    <cfRule type="cellIs" dxfId="5851" priority="4070" stopIfTrue="1" operator="equal">
      <formula>"Napkin Hs"</formula>
    </cfRule>
  </conditionalFormatting>
  <conditionalFormatting sqref="C75">
    <cfRule type="cellIs" dxfId="5850" priority="4071" stopIfTrue="1" operator="equal">
      <formula>"Towel"</formula>
    </cfRule>
  </conditionalFormatting>
  <conditionalFormatting sqref="B75:C75">
    <cfRule type="cellIs" dxfId="5849" priority="4067" stopIfTrue="1" operator="equal">
      <formula>"Towel"</formula>
    </cfRule>
    <cfRule type="cellIs" dxfId="5848" priority="4068" stopIfTrue="1" operator="equal">
      <formula>"Napkin Hs"</formula>
    </cfRule>
  </conditionalFormatting>
  <conditionalFormatting sqref="C75">
    <cfRule type="cellIs" dxfId="5847" priority="4066" stopIfTrue="1" operator="equal">
      <formula>"Napkin Hs"</formula>
    </cfRule>
  </conditionalFormatting>
  <conditionalFormatting sqref="C75">
    <cfRule type="cellIs" dxfId="5846" priority="4063" stopIfTrue="1" operator="equal">
      <formula>"Towel"</formula>
    </cfRule>
    <cfRule type="cellIs" dxfId="5845" priority="4064" stopIfTrue="1" operator="equal">
      <formula>"Napkin Hs"</formula>
    </cfRule>
  </conditionalFormatting>
  <conditionalFormatting sqref="C75">
    <cfRule type="cellIs" dxfId="5844" priority="4065" stopIfTrue="1" operator="equal">
      <formula>"Towel"</formula>
    </cfRule>
  </conditionalFormatting>
  <conditionalFormatting sqref="B75:C75">
    <cfRule type="cellIs" dxfId="5843" priority="4061" stopIfTrue="1" operator="equal">
      <formula>"Towel"</formula>
    </cfRule>
    <cfRule type="cellIs" dxfId="5842" priority="4062" stopIfTrue="1" operator="equal">
      <formula>"Napkin Hs"</formula>
    </cfRule>
  </conditionalFormatting>
  <conditionalFormatting sqref="C75">
    <cfRule type="cellIs" dxfId="5841" priority="4060" stopIfTrue="1" operator="equal">
      <formula>"Napkin Hs"</formula>
    </cfRule>
  </conditionalFormatting>
  <conditionalFormatting sqref="C75">
    <cfRule type="cellIs" dxfId="5840" priority="4057" stopIfTrue="1" operator="equal">
      <formula>"Towel"</formula>
    </cfRule>
    <cfRule type="cellIs" dxfId="5839" priority="4058" stopIfTrue="1" operator="equal">
      <formula>"Napkin Hs"</formula>
    </cfRule>
  </conditionalFormatting>
  <conditionalFormatting sqref="C75">
    <cfRule type="cellIs" dxfId="5838" priority="4059" stopIfTrue="1" operator="equal">
      <formula>"Towel"</formula>
    </cfRule>
  </conditionalFormatting>
  <conditionalFormatting sqref="B75:C75">
    <cfRule type="cellIs" dxfId="5837" priority="4055" stopIfTrue="1" operator="equal">
      <formula>"Towel"</formula>
    </cfRule>
    <cfRule type="cellIs" dxfId="5836" priority="4056" stopIfTrue="1" operator="equal">
      <formula>"Napkin Hs"</formula>
    </cfRule>
  </conditionalFormatting>
  <conditionalFormatting sqref="C75">
    <cfRule type="cellIs" dxfId="5835" priority="4054" stopIfTrue="1" operator="equal">
      <formula>"Napkin Hs"</formula>
    </cfRule>
  </conditionalFormatting>
  <conditionalFormatting sqref="C75">
    <cfRule type="cellIs" dxfId="5834" priority="4053" stopIfTrue="1" operator="equal">
      <formula>"Towel"</formula>
    </cfRule>
  </conditionalFormatting>
  <conditionalFormatting sqref="C75">
    <cfRule type="cellIs" dxfId="5833" priority="4051" stopIfTrue="1" operator="equal">
      <formula>"Towel"</formula>
    </cfRule>
    <cfRule type="cellIs" dxfId="5832" priority="4052" stopIfTrue="1" operator="equal">
      <formula>"Napkin Hs"</formula>
    </cfRule>
  </conditionalFormatting>
  <conditionalFormatting sqref="B75:C75">
    <cfRule type="cellIs" dxfId="5831" priority="4049" stopIfTrue="1" operator="equal">
      <formula>"Towel"</formula>
    </cfRule>
    <cfRule type="cellIs" dxfId="5830" priority="4050" stopIfTrue="1" operator="equal">
      <formula>"Napkin Hs"</formula>
    </cfRule>
  </conditionalFormatting>
  <conditionalFormatting sqref="C75">
    <cfRule type="cellIs" dxfId="5829" priority="4048" stopIfTrue="1" operator="equal">
      <formula>"Napkin Hs"</formula>
    </cfRule>
  </conditionalFormatting>
  <conditionalFormatting sqref="C75">
    <cfRule type="cellIs" dxfId="5828" priority="4045" stopIfTrue="1" operator="equal">
      <formula>"Towel"</formula>
    </cfRule>
    <cfRule type="cellIs" dxfId="5827" priority="4046" stopIfTrue="1" operator="equal">
      <formula>"Napkin Hs"</formula>
    </cfRule>
  </conditionalFormatting>
  <conditionalFormatting sqref="C75">
    <cfRule type="cellIs" dxfId="5826" priority="4047" stopIfTrue="1" operator="equal">
      <formula>"Towel"</formula>
    </cfRule>
  </conditionalFormatting>
  <conditionalFormatting sqref="B75:C75">
    <cfRule type="cellIs" dxfId="5825" priority="4043" stopIfTrue="1" operator="equal">
      <formula>"Towel"</formula>
    </cfRule>
    <cfRule type="cellIs" dxfId="5824" priority="4044" stopIfTrue="1" operator="equal">
      <formula>"Napkin Hs"</formula>
    </cfRule>
  </conditionalFormatting>
  <conditionalFormatting sqref="C75">
    <cfRule type="cellIs" dxfId="5823" priority="4042" stopIfTrue="1" operator="equal">
      <formula>"Napkin Hs"</formula>
    </cfRule>
  </conditionalFormatting>
  <conditionalFormatting sqref="C75">
    <cfRule type="cellIs" dxfId="5822" priority="4039" stopIfTrue="1" operator="equal">
      <formula>"Towel"</formula>
    </cfRule>
    <cfRule type="cellIs" dxfId="5821" priority="4040" stopIfTrue="1" operator="equal">
      <formula>"Napkin Hs"</formula>
    </cfRule>
  </conditionalFormatting>
  <conditionalFormatting sqref="C75">
    <cfRule type="cellIs" dxfId="5820" priority="4041" stopIfTrue="1" operator="equal">
      <formula>"Towel"</formula>
    </cfRule>
  </conditionalFormatting>
  <conditionalFormatting sqref="B75:C75">
    <cfRule type="cellIs" dxfId="5819" priority="4037" stopIfTrue="1" operator="equal">
      <formula>"Towel"</formula>
    </cfRule>
    <cfRule type="cellIs" dxfId="5818" priority="4038" stopIfTrue="1" operator="equal">
      <formula>"Napkin Hs"</formula>
    </cfRule>
  </conditionalFormatting>
  <conditionalFormatting sqref="C75">
    <cfRule type="cellIs" dxfId="5817" priority="4036" stopIfTrue="1" operator="equal">
      <formula>"Napkin Hs"</formula>
    </cfRule>
  </conditionalFormatting>
  <conditionalFormatting sqref="C75">
    <cfRule type="cellIs" dxfId="5816" priority="4033" stopIfTrue="1" operator="equal">
      <formula>"Towel"</formula>
    </cfRule>
    <cfRule type="cellIs" dxfId="5815" priority="4034" stopIfTrue="1" operator="equal">
      <formula>"Napkin Hs"</formula>
    </cfRule>
  </conditionalFormatting>
  <conditionalFormatting sqref="C75">
    <cfRule type="cellIs" dxfId="5814" priority="4035" stopIfTrue="1" operator="equal">
      <formula>"Towel"</formula>
    </cfRule>
  </conditionalFormatting>
  <conditionalFormatting sqref="B75:C75">
    <cfRule type="cellIs" dxfId="5813" priority="4031" stopIfTrue="1" operator="equal">
      <formula>"Towel"</formula>
    </cfRule>
    <cfRule type="cellIs" dxfId="5812" priority="4032" stopIfTrue="1" operator="equal">
      <formula>"Napkin Hs"</formula>
    </cfRule>
  </conditionalFormatting>
  <conditionalFormatting sqref="C75">
    <cfRule type="cellIs" dxfId="5811" priority="4030" stopIfTrue="1" operator="equal">
      <formula>"Napkin Hs"</formula>
    </cfRule>
  </conditionalFormatting>
  <conditionalFormatting sqref="C75">
    <cfRule type="cellIs" dxfId="5810" priority="4027" stopIfTrue="1" operator="equal">
      <formula>"Towel"</formula>
    </cfRule>
    <cfRule type="cellIs" dxfId="5809" priority="4028" stopIfTrue="1" operator="equal">
      <formula>"Napkin Hs"</formula>
    </cfRule>
  </conditionalFormatting>
  <conditionalFormatting sqref="C75">
    <cfRule type="cellIs" dxfId="5808" priority="4029" stopIfTrue="1" operator="equal">
      <formula>"Towel"</formula>
    </cfRule>
  </conditionalFormatting>
  <conditionalFormatting sqref="B75:C75">
    <cfRule type="cellIs" dxfId="5807" priority="4025" stopIfTrue="1" operator="equal">
      <formula>"Towel"</formula>
    </cfRule>
    <cfRule type="cellIs" dxfId="5806" priority="4026" stopIfTrue="1" operator="equal">
      <formula>"Napkin Hs"</formula>
    </cfRule>
  </conditionalFormatting>
  <conditionalFormatting sqref="C75">
    <cfRule type="cellIs" dxfId="5805" priority="4024" stopIfTrue="1" operator="equal">
      <formula>"Napkin Hs"</formula>
    </cfRule>
  </conditionalFormatting>
  <conditionalFormatting sqref="C75">
    <cfRule type="cellIs" dxfId="5804" priority="4021" stopIfTrue="1" operator="equal">
      <formula>"Towel"</formula>
    </cfRule>
    <cfRule type="cellIs" dxfId="5803" priority="4022" stopIfTrue="1" operator="equal">
      <formula>"Napkin Hs"</formula>
    </cfRule>
  </conditionalFormatting>
  <conditionalFormatting sqref="C75">
    <cfRule type="cellIs" dxfId="5802" priority="4023" stopIfTrue="1" operator="equal">
      <formula>"Towel"</formula>
    </cfRule>
  </conditionalFormatting>
  <conditionalFormatting sqref="B75:C75">
    <cfRule type="cellIs" dxfId="5801" priority="4019" stopIfTrue="1" operator="equal">
      <formula>"Towel"</formula>
    </cfRule>
    <cfRule type="cellIs" dxfId="5800" priority="4020" stopIfTrue="1" operator="equal">
      <formula>"Napkin Hs"</formula>
    </cfRule>
  </conditionalFormatting>
  <conditionalFormatting sqref="C75">
    <cfRule type="cellIs" dxfId="5799" priority="4018" stopIfTrue="1" operator="equal">
      <formula>"Napkin Hs"</formula>
    </cfRule>
  </conditionalFormatting>
  <conditionalFormatting sqref="C75">
    <cfRule type="cellIs" dxfId="5798" priority="4015" stopIfTrue="1" operator="equal">
      <formula>"Towel"</formula>
    </cfRule>
    <cfRule type="cellIs" dxfId="5797" priority="4016" stopIfTrue="1" operator="equal">
      <formula>"Napkin Hs"</formula>
    </cfRule>
  </conditionalFormatting>
  <conditionalFormatting sqref="C75">
    <cfRule type="cellIs" dxfId="5796" priority="4017" stopIfTrue="1" operator="equal">
      <formula>"Towel"</formula>
    </cfRule>
  </conditionalFormatting>
  <conditionalFormatting sqref="B75:C75">
    <cfRule type="cellIs" dxfId="5795" priority="4013" stopIfTrue="1" operator="equal">
      <formula>"Towel"</formula>
    </cfRule>
    <cfRule type="cellIs" dxfId="5794" priority="4014" stopIfTrue="1" operator="equal">
      <formula>"Napkin Hs"</formula>
    </cfRule>
  </conditionalFormatting>
  <conditionalFormatting sqref="C75">
    <cfRule type="cellIs" dxfId="5793" priority="4012" stopIfTrue="1" operator="equal">
      <formula>"Napkin Hs"</formula>
    </cfRule>
  </conditionalFormatting>
  <conditionalFormatting sqref="C75">
    <cfRule type="cellIs" dxfId="5792" priority="4009" stopIfTrue="1" operator="equal">
      <formula>"Towel"</formula>
    </cfRule>
    <cfRule type="cellIs" dxfId="5791" priority="4010" stopIfTrue="1" operator="equal">
      <formula>"Napkin Hs"</formula>
    </cfRule>
  </conditionalFormatting>
  <conditionalFormatting sqref="C75">
    <cfRule type="cellIs" dxfId="5790" priority="4011" stopIfTrue="1" operator="equal">
      <formula>"Towel"</formula>
    </cfRule>
  </conditionalFormatting>
  <conditionalFormatting sqref="B75:C75">
    <cfRule type="cellIs" dxfId="5789" priority="4007" stopIfTrue="1" operator="equal">
      <formula>"Towel"</formula>
    </cfRule>
    <cfRule type="cellIs" dxfId="5788" priority="4008" stopIfTrue="1" operator="equal">
      <formula>"Napkin Hs"</formula>
    </cfRule>
  </conditionalFormatting>
  <conditionalFormatting sqref="C75">
    <cfRule type="cellIs" dxfId="5787" priority="4006" stopIfTrue="1" operator="equal">
      <formula>"Napkin Hs"</formula>
    </cfRule>
  </conditionalFormatting>
  <conditionalFormatting sqref="C75">
    <cfRule type="cellIs" dxfId="5786" priority="4003" stopIfTrue="1" operator="equal">
      <formula>"Towel"</formula>
    </cfRule>
    <cfRule type="cellIs" dxfId="5785" priority="4004" stopIfTrue="1" operator="equal">
      <formula>"Napkin Hs"</formula>
    </cfRule>
  </conditionalFormatting>
  <conditionalFormatting sqref="C75">
    <cfRule type="cellIs" dxfId="5784" priority="4005" stopIfTrue="1" operator="equal">
      <formula>"Towel"</formula>
    </cfRule>
  </conditionalFormatting>
  <conditionalFormatting sqref="B75:C75">
    <cfRule type="cellIs" dxfId="5783" priority="4001" stopIfTrue="1" operator="equal">
      <formula>"Towel"</formula>
    </cfRule>
    <cfRule type="cellIs" dxfId="5782" priority="4002" stopIfTrue="1" operator="equal">
      <formula>"Napkin Hs"</formula>
    </cfRule>
  </conditionalFormatting>
  <conditionalFormatting sqref="C75">
    <cfRule type="cellIs" dxfId="5781" priority="4000" stopIfTrue="1" operator="equal">
      <formula>"Napkin Hs"</formula>
    </cfRule>
  </conditionalFormatting>
  <conditionalFormatting sqref="C75">
    <cfRule type="cellIs" dxfId="5780" priority="3997" stopIfTrue="1" operator="equal">
      <formula>"Towel"</formula>
    </cfRule>
    <cfRule type="cellIs" dxfId="5779" priority="3998" stopIfTrue="1" operator="equal">
      <formula>"Napkin Hs"</formula>
    </cfRule>
  </conditionalFormatting>
  <conditionalFormatting sqref="C75">
    <cfRule type="cellIs" dxfId="5778" priority="3999" stopIfTrue="1" operator="equal">
      <formula>"Towel"</formula>
    </cfRule>
  </conditionalFormatting>
  <conditionalFormatting sqref="B74:C74">
    <cfRule type="cellIs" dxfId="5777" priority="3995" stopIfTrue="1" operator="equal">
      <formula>"Towel"</formula>
    </cfRule>
    <cfRule type="cellIs" dxfId="5776" priority="3996" stopIfTrue="1" operator="equal">
      <formula>"Napkin Hs"</formula>
    </cfRule>
  </conditionalFormatting>
  <conditionalFormatting sqref="C74">
    <cfRule type="cellIs" dxfId="5775" priority="3994" stopIfTrue="1" operator="equal">
      <formula>"Napkin Hs"</formula>
    </cfRule>
  </conditionalFormatting>
  <conditionalFormatting sqref="C74">
    <cfRule type="cellIs" dxfId="5774" priority="3991" stopIfTrue="1" operator="equal">
      <formula>"Towel"</formula>
    </cfRule>
    <cfRule type="cellIs" dxfId="5773" priority="3992" stopIfTrue="1" operator="equal">
      <formula>"Napkin Hs"</formula>
    </cfRule>
  </conditionalFormatting>
  <conditionalFormatting sqref="C74">
    <cfRule type="cellIs" dxfId="5772" priority="3993" stopIfTrue="1" operator="equal">
      <formula>"Towel"</formula>
    </cfRule>
  </conditionalFormatting>
  <conditionalFormatting sqref="B74:C74">
    <cfRule type="cellIs" dxfId="5771" priority="3989" stopIfTrue="1" operator="equal">
      <formula>"Towel"</formula>
    </cfRule>
    <cfRule type="cellIs" dxfId="5770" priority="3990" stopIfTrue="1" operator="equal">
      <formula>"Napkin Hs"</formula>
    </cfRule>
  </conditionalFormatting>
  <conditionalFormatting sqref="C74">
    <cfRule type="cellIs" dxfId="5769" priority="3985" stopIfTrue="1" operator="equal">
      <formula>"Towel"</formula>
    </cfRule>
    <cfRule type="cellIs" dxfId="5768" priority="3986" stopIfTrue="1" operator="equal">
      <formula>"Napkin Hs"</formula>
    </cfRule>
  </conditionalFormatting>
  <conditionalFormatting sqref="C74">
    <cfRule type="cellIs" dxfId="5767" priority="3987" stopIfTrue="1" operator="equal">
      <formula>"Towel"</formula>
    </cfRule>
    <cfRule type="cellIs" dxfId="5766" priority="3988" stopIfTrue="1" operator="equal">
      <formula>"Napkin Hs"</formula>
    </cfRule>
  </conditionalFormatting>
  <conditionalFormatting sqref="B74:C74">
    <cfRule type="cellIs" dxfId="5765" priority="3983" stopIfTrue="1" operator="equal">
      <formula>"Towel"</formula>
    </cfRule>
    <cfRule type="cellIs" dxfId="5764" priority="3984" stopIfTrue="1" operator="equal">
      <formula>"Napkin Hs"</formula>
    </cfRule>
  </conditionalFormatting>
  <conditionalFormatting sqref="C74">
    <cfRule type="cellIs" dxfId="5763" priority="3982" stopIfTrue="1" operator="equal">
      <formula>"Napkin Hs"</formula>
    </cfRule>
  </conditionalFormatting>
  <conditionalFormatting sqref="C74">
    <cfRule type="cellIs" dxfId="5762" priority="3979" stopIfTrue="1" operator="equal">
      <formula>"Towel"</formula>
    </cfRule>
    <cfRule type="cellIs" dxfId="5761" priority="3980" stopIfTrue="1" operator="equal">
      <formula>"Napkin Hs"</formula>
    </cfRule>
  </conditionalFormatting>
  <conditionalFormatting sqref="C74">
    <cfRule type="cellIs" dxfId="5760" priority="3981" stopIfTrue="1" operator="equal">
      <formula>"Towel"</formula>
    </cfRule>
  </conditionalFormatting>
  <conditionalFormatting sqref="B74:C74">
    <cfRule type="cellIs" dxfId="5759" priority="3977" stopIfTrue="1" operator="equal">
      <formula>"Towel"</formula>
    </cfRule>
    <cfRule type="cellIs" dxfId="5758" priority="3978" stopIfTrue="1" operator="equal">
      <formula>"Napkin Hs"</formula>
    </cfRule>
  </conditionalFormatting>
  <conditionalFormatting sqref="C74">
    <cfRule type="cellIs" dxfId="5757" priority="3975" stopIfTrue="1" operator="equal">
      <formula>"Towel"</formula>
    </cfRule>
    <cfRule type="cellIs" dxfId="5756" priority="3976" stopIfTrue="1" operator="equal">
      <formula>"Napkin Hs"</formula>
    </cfRule>
  </conditionalFormatting>
  <conditionalFormatting sqref="C74">
    <cfRule type="cellIs" dxfId="5755" priority="3973" stopIfTrue="1" operator="equal">
      <formula>"Towel"</formula>
    </cfRule>
    <cfRule type="cellIs" dxfId="5754" priority="3974" stopIfTrue="1" operator="equal">
      <formula>"Napkin Hs"</formula>
    </cfRule>
  </conditionalFormatting>
  <conditionalFormatting sqref="B74:C74">
    <cfRule type="cellIs" dxfId="5753" priority="3971" stopIfTrue="1" operator="equal">
      <formula>"Towel"</formula>
    </cfRule>
    <cfRule type="cellIs" dxfId="5752" priority="3972" stopIfTrue="1" operator="equal">
      <formula>"Napkin Hs"</formula>
    </cfRule>
  </conditionalFormatting>
  <conditionalFormatting sqref="C74">
    <cfRule type="cellIs" dxfId="5751" priority="3970" stopIfTrue="1" operator="equal">
      <formula>"Napkin Hs"</formula>
    </cfRule>
  </conditionalFormatting>
  <conditionalFormatting sqref="C74">
    <cfRule type="cellIs" dxfId="5750" priority="3967" stopIfTrue="1" operator="equal">
      <formula>"Towel"</formula>
    </cfRule>
    <cfRule type="cellIs" dxfId="5749" priority="3968" stopIfTrue="1" operator="equal">
      <formula>"Napkin Hs"</formula>
    </cfRule>
  </conditionalFormatting>
  <conditionalFormatting sqref="C74">
    <cfRule type="cellIs" dxfId="5748" priority="3969" stopIfTrue="1" operator="equal">
      <formula>"Towel"</formula>
    </cfRule>
  </conditionalFormatting>
  <conditionalFormatting sqref="B74:C74">
    <cfRule type="cellIs" dxfId="5747" priority="3965" stopIfTrue="1" operator="equal">
      <formula>"Towel"</formula>
    </cfRule>
    <cfRule type="cellIs" dxfId="5746" priority="3966" stopIfTrue="1" operator="equal">
      <formula>"Napkin Hs"</formula>
    </cfRule>
  </conditionalFormatting>
  <conditionalFormatting sqref="C74">
    <cfRule type="cellIs" dxfId="5745" priority="3964" stopIfTrue="1" operator="equal">
      <formula>"Napkin Hs"</formula>
    </cfRule>
  </conditionalFormatting>
  <conditionalFormatting sqref="C74">
    <cfRule type="cellIs" dxfId="5744" priority="3963" stopIfTrue="1" operator="equal">
      <formula>"Towel"</formula>
    </cfRule>
  </conditionalFormatting>
  <conditionalFormatting sqref="C74">
    <cfRule type="cellIs" dxfId="5743" priority="3961" stopIfTrue="1" operator="equal">
      <formula>"Towel"</formula>
    </cfRule>
    <cfRule type="cellIs" dxfId="5742" priority="3962" stopIfTrue="1" operator="equal">
      <formula>"Napkin Hs"</formula>
    </cfRule>
  </conditionalFormatting>
  <conditionalFormatting sqref="B74:C74">
    <cfRule type="cellIs" dxfId="5741" priority="3959" stopIfTrue="1" operator="equal">
      <formula>"Towel"</formula>
    </cfRule>
    <cfRule type="cellIs" dxfId="5740" priority="3960" stopIfTrue="1" operator="equal">
      <formula>"Napkin Hs"</formula>
    </cfRule>
  </conditionalFormatting>
  <conditionalFormatting sqref="C74">
    <cfRule type="cellIs" dxfId="5739" priority="3958" stopIfTrue="1" operator="equal">
      <formula>"Napkin Hs"</formula>
    </cfRule>
  </conditionalFormatting>
  <conditionalFormatting sqref="C74">
    <cfRule type="cellIs" dxfId="5738" priority="3955" stopIfTrue="1" operator="equal">
      <formula>"Towel"</formula>
    </cfRule>
    <cfRule type="cellIs" dxfId="5737" priority="3956" stopIfTrue="1" operator="equal">
      <formula>"Napkin Hs"</formula>
    </cfRule>
  </conditionalFormatting>
  <conditionalFormatting sqref="C74">
    <cfRule type="cellIs" dxfId="5736" priority="3957" stopIfTrue="1" operator="equal">
      <formula>"Towel"</formula>
    </cfRule>
  </conditionalFormatting>
  <conditionalFormatting sqref="B74:C74">
    <cfRule type="cellIs" dxfId="5735" priority="3953" stopIfTrue="1" operator="equal">
      <formula>"Towel"</formula>
    </cfRule>
    <cfRule type="cellIs" dxfId="5734" priority="3954" stopIfTrue="1" operator="equal">
      <formula>"Napkin Hs"</formula>
    </cfRule>
  </conditionalFormatting>
  <conditionalFormatting sqref="C74">
    <cfRule type="cellIs" dxfId="5733" priority="3952" stopIfTrue="1" operator="equal">
      <formula>"Napkin Hs"</formula>
    </cfRule>
  </conditionalFormatting>
  <conditionalFormatting sqref="C74">
    <cfRule type="cellIs" dxfId="5732" priority="3949" stopIfTrue="1" operator="equal">
      <formula>"Towel"</formula>
    </cfRule>
    <cfRule type="cellIs" dxfId="5731" priority="3950" stopIfTrue="1" operator="equal">
      <formula>"Napkin Hs"</formula>
    </cfRule>
  </conditionalFormatting>
  <conditionalFormatting sqref="C74">
    <cfRule type="cellIs" dxfId="5730" priority="3951" stopIfTrue="1" operator="equal">
      <formula>"Towel"</formula>
    </cfRule>
  </conditionalFormatting>
  <conditionalFormatting sqref="B74:C74">
    <cfRule type="cellIs" dxfId="5729" priority="3947" stopIfTrue="1" operator="equal">
      <formula>"Towel"</formula>
    </cfRule>
    <cfRule type="cellIs" dxfId="5728" priority="3948" stopIfTrue="1" operator="equal">
      <formula>"Napkin Hs"</formula>
    </cfRule>
  </conditionalFormatting>
  <conditionalFormatting sqref="C74">
    <cfRule type="cellIs" dxfId="5727" priority="3946" stopIfTrue="1" operator="equal">
      <formula>"Napkin Hs"</formula>
    </cfRule>
  </conditionalFormatting>
  <conditionalFormatting sqref="C74">
    <cfRule type="cellIs" dxfId="5726" priority="3943" stopIfTrue="1" operator="equal">
      <formula>"Towel"</formula>
    </cfRule>
    <cfRule type="cellIs" dxfId="5725" priority="3944" stopIfTrue="1" operator="equal">
      <formula>"Napkin Hs"</formula>
    </cfRule>
  </conditionalFormatting>
  <conditionalFormatting sqref="C74">
    <cfRule type="cellIs" dxfId="5724" priority="3945" stopIfTrue="1" operator="equal">
      <formula>"Towel"</formula>
    </cfRule>
  </conditionalFormatting>
  <conditionalFormatting sqref="B74:C74">
    <cfRule type="cellIs" dxfId="5723" priority="3941" stopIfTrue="1" operator="equal">
      <formula>"Towel"</formula>
    </cfRule>
    <cfRule type="cellIs" dxfId="5722" priority="3942" stopIfTrue="1" operator="equal">
      <formula>"Napkin Hs"</formula>
    </cfRule>
  </conditionalFormatting>
  <conditionalFormatting sqref="C74">
    <cfRule type="cellIs" dxfId="5721" priority="3940" stopIfTrue="1" operator="equal">
      <formula>"Napkin Hs"</formula>
    </cfRule>
  </conditionalFormatting>
  <conditionalFormatting sqref="C74">
    <cfRule type="cellIs" dxfId="5720" priority="3937" stopIfTrue="1" operator="equal">
      <formula>"Towel"</formula>
    </cfRule>
    <cfRule type="cellIs" dxfId="5719" priority="3938" stopIfTrue="1" operator="equal">
      <formula>"Napkin Hs"</formula>
    </cfRule>
  </conditionalFormatting>
  <conditionalFormatting sqref="C74">
    <cfRule type="cellIs" dxfId="5718" priority="3939" stopIfTrue="1" operator="equal">
      <formula>"Towel"</formula>
    </cfRule>
  </conditionalFormatting>
  <conditionalFormatting sqref="B74:C74">
    <cfRule type="cellIs" dxfId="5717" priority="3935" stopIfTrue="1" operator="equal">
      <formula>"Towel"</formula>
    </cfRule>
    <cfRule type="cellIs" dxfId="5716" priority="3936" stopIfTrue="1" operator="equal">
      <formula>"Napkin Hs"</formula>
    </cfRule>
  </conditionalFormatting>
  <conditionalFormatting sqref="C74">
    <cfRule type="cellIs" dxfId="5715" priority="3934" stopIfTrue="1" operator="equal">
      <formula>"Napkin Hs"</formula>
    </cfRule>
  </conditionalFormatting>
  <conditionalFormatting sqref="C74">
    <cfRule type="cellIs" dxfId="5714" priority="3931" stopIfTrue="1" operator="equal">
      <formula>"Towel"</formula>
    </cfRule>
    <cfRule type="cellIs" dxfId="5713" priority="3932" stopIfTrue="1" operator="equal">
      <formula>"Napkin Hs"</formula>
    </cfRule>
  </conditionalFormatting>
  <conditionalFormatting sqref="C74">
    <cfRule type="cellIs" dxfId="5712" priority="3933" stopIfTrue="1" operator="equal">
      <formula>"Towel"</formula>
    </cfRule>
  </conditionalFormatting>
  <conditionalFormatting sqref="B74:C74">
    <cfRule type="cellIs" dxfId="5711" priority="3929" stopIfTrue="1" operator="equal">
      <formula>"Towel"</formula>
    </cfRule>
    <cfRule type="cellIs" dxfId="5710" priority="3930" stopIfTrue="1" operator="equal">
      <formula>"Napkin Hs"</formula>
    </cfRule>
  </conditionalFormatting>
  <conditionalFormatting sqref="C74">
    <cfRule type="cellIs" dxfId="5709" priority="3928" stopIfTrue="1" operator="equal">
      <formula>"Napkin Hs"</formula>
    </cfRule>
  </conditionalFormatting>
  <conditionalFormatting sqref="C74">
    <cfRule type="cellIs" dxfId="5708" priority="3925" stopIfTrue="1" operator="equal">
      <formula>"Towel"</formula>
    </cfRule>
    <cfRule type="cellIs" dxfId="5707" priority="3926" stopIfTrue="1" operator="equal">
      <formula>"Napkin Hs"</formula>
    </cfRule>
  </conditionalFormatting>
  <conditionalFormatting sqref="C74">
    <cfRule type="cellIs" dxfId="5706" priority="3927" stopIfTrue="1" operator="equal">
      <formula>"Towel"</formula>
    </cfRule>
  </conditionalFormatting>
  <conditionalFormatting sqref="B74:C74">
    <cfRule type="cellIs" dxfId="5705" priority="3923" stopIfTrue="1" operator="equal">
      <formula>"Towel"</formula>
    </cfRule>
    <cfRule type="cellIs" dxfId="5704" priority="3924" stopIfTrue="1" operator="equal">
      <formula>"Napkin Hs"</formula>
    </cfRule>
  </conditionalFormatting>
  <conditionalFormatting sqref="C74">
    <cfRule type="cellIs" dxfId="5703" priority="3922" stopIfTrue="1" operator="equal">
      <formula>"Napkin Hs"</formula>
    </cfRule>
  </conditionalFormatting>
  <conditionalFormatting sqref="C74">
    <cfRule type="cellIs" dxfId="5702" priority="3919" stopIfTrue="1" operator="equal">
      <formula>"Towel"</formula>
    </cfRule>
    <cfRule type="cellIs" dxfId="5701" priority="3920" stopIfTrue="1" operator="equal">
      <formula>"Napkin Hs"</formula>
    </cfRule>
  </conditionalFormatting>
  <conditionalFormatting sqref="C74">
    <cfRule type="cellIs" dxfId="5700" priority="3921" stopIfTrue="1" operator="equal">
      <formula>"Towel"</formula>
    </cfRule>
  </conditionalFormatting>
  <conditionalFormatting sqref="B74:C74">
    <cfRule type="cellIs" dxfId="5699" priority="3917" stopIfTrue="1" operator="equal">
      <formula>"Towel"</formula>
    </cfRule>
    <cfRule type="cellIs" dxfId="5698" priority="3918" stopIfTrue="1" operator="equal">
      <formula>"Napkin Hs"</formula>
    </cfRule>
  </conditionalFormatting>
  <conditionalFormatting sqref="C74">
    <cfRule type="cellIs" dxfId="5697" priority="3916" stopIfTrue="1" operator="equal">
      <formula>"Napkin Hs"</formula>
    </cfRule>
  </conditionalFormatting>
  <conditionalFormatting sqref="C74">
    <cfRule type="cellIs" dxfId="5696" priority="3913" stopIfTrue="1" operator="equal">
      <formula>"Towel"</formula>
    </cfRule>
    <cfRule type="cellIs" dxfId="5695" priority="3914" stopIfTrue="1" operator="equal">
      <formula>"Napkin Hs"</formula>
    </cfRule>
  </conditionalFormatting>
  <conditionalFormatting sqref="C74">
    <cfRule type="cellIs" dxfId="5694" priority="3915" stopIfTrue="1" operator="equal">
      <formula>"Towel"</formula>
    </cfRule>
  </conditionalFormatting>
  <conditionalFormatting sqref="B74:C74">
    <cfRule type="cellIs" dxfId="5693" priority="3911" stopIfTrue="1" operator="equal">
      <formula>"Towel"</formula>
    </cfRule>
    <cfRule type="cellIs" dxfId="5692" priority="3912" stopIfTrue="1" operator="equal">
      <formula>"Napkin Hs"</formula>
    </cfRule>
  </conditionalFormatting>
  <conditionalFormatting sqref="C74">
    <cfRule type="cellIs" dxfId="5691" priority="3910" stopIfTrue="1" operator="equal">
      <formula>"Napkin Hs"</formula>
    </cfRule>
  </conditionalFormatting>
  <conditionalFormatting sqref="C74">
    <cfRule type="cellIs" dxfId="5690" priority="3907" stopIfTrue="1" operator="equal">
      <formula>"Towel"</formula>
    </cfRule>
    <cfRule type="cellIs" dxfId="5689" priority="3908" stopIfTrue="1" operator="equal">
      <formula>"Napkin Hs"</formula>
    </cfRule>
  </conditionalFormatting>
  <conditionalFormatting sqref="C74">
    <cfRule type="cellIs" dxfId="5688" priority="3909" stopIfTrue="1" operator="equal">
      <formula>"Towel"</formula>
    </cfRule>
  </conditionalFormatting>
  <conditionalFormatting sqref="B74:C74">
    <cfRule type="cellIs" dxfId="5687" priority="3905" stopIfTrue="1" operator="equal">
      <formula>"Towel"</formula>
    </cfRule>
    <cfRule type="cellIs" dxfId="5686" priority="3906" stopIfTrue="1" operator="equal">
      <formula>"Napkin Hs"</formula>
    </cfRule>
  </conditionalFormatting>
  <conditionalFormatting sqref="C74">
    <cfRule type="cellIs" dxfId="5685" priority="3904" stopIfTrue="1" operator="equal">
      <formula>"Napkin Hs"</formula>
    </cfRule>
  </conditionalFormatting>
  <conditionalFormatting sqref="C74">
    <cfRule type="cellIs" dxfId="5684" priority="3901" stopIfTrue="1" operator="equal">
      <formula>"Towel"</formula>
    </cfRule>
    <cfRule type="cellIs" dxfId="5683" priority="3902" stopIfTrue="1" operator="equal">
      <formula>"Napkin Hs"</formula>
    </cfRule>
  </conditionalFormatting>
  <conditionalFormatting sqref="C74">
    <cfRule type="cellIs" dxfId="5682" priority="3903" stopIfTrue="1" operator="equal">
      <formula>"Towel"</formula>
    </cfRule>
  </conditionalFormatting>
  <conditionalFormatting sqref="B74:C74">
    <cfRule type="cellIs" dxfId="5681" priority="3899" stopIfTrue="1" operator="equal">
      <formula>"Towel"</formula>
    </cfRule>
    <cfRule type="cellIs" dxfId="5680" priority="3900" stopIfTrue="1" operator="equal">
      <formula>"Napkin Hs"</formula>
    </cfRule>
  </conditionalFormatting>
  <conditionalFormatting sqref="C74">
    <cfRule type="cellIs" dxfId="5679" priority="3898" stopIfTrue="1" operator="equal">
      <formula>"Napkin Hs"</formula>
    </cfRule>
  </conditionalFormatting>
  <conditionalFormatting sqref="C74">
    <cfRule type="cellIs" dxfId="5678" priority="3897" stopIfTrue="1" operator="equal">
      <formula>"Towel"</formula>
    </cfRule>
  </conditionalFormatting>
  <conditionalFormatting sqref="C74">
    <cfRule type="cellIs" dxfId="5677" priority="3895" stopIfTrue="1" operator="equal">
      <formula>"Towel"</formula>
    </cfRule>
    <cfRule type="cellIs" dxfId="5676" priority="3896" stopIfTrue="1" operator="equal">
      <formula>"Napkin Hs"</formula>
    </cfRule>
  </conditionalFormatting>
  <conditionalFormatting sqref="B74:C74">
    <cfRule type="cellIs" dxfId="5675" priority="3893" stopIfTrue="1" operator="equal">
      <formula>"Towel"</formula>
    </cfRule>
    <cfRule type="cellIs" dxfId="5674" priority="3894" stopIfTrue="1" operator="equal">
      <formula>"Napkin Hs"</formula>
    </cfRule>
  </conditionalFormatting>
  <conditionalFormatting sqref="C74">
    <cfRule type="cellIs" dxfId="5673" priority="3892" stopIfTrue="1" operator="equal">
      <formula>"Napkin Hs"</formula>
    </cfRule>
  </conditionalFormatting>
  <conditionalFormatting sqref="C74">
    <cfRule type="cellIs" dxfId="5672" priority="3889" stopIfTrue="1" operator="equal">
      <formula>"Towel"</formula>
    </cfRule>
    <cfRule type="cellIs" dxfId="5671" priority="3890" stopIfTrue="1" operator="equal">
      <formula>"Napkin Hs"</formula>
    </cfRule>
  </conditionalFormatting>
  <conditionalFormatting sqref="C74">
    <cfRule type="cellIs" dxfId="5670" priority="3891" stopIfTrue="1" operator="equal">
      <formula>"Towel"</formula>
    </cfRule>
  </conditionalFormatting>
  <conditionalFormatting sqref="B74:C74">
    <cfRule type="cellIs" dxfId="5669" priority="3887" stopIfTrue="1" operator="equal">
      <formula>"Towel"</formula>
    </cfRule>
    <cfRule type="cellIs" dxfId="5668" priority="3888" stopIfTrue="1" operator="equal">
      <formula>"Napkin Hs"</formula>
    </cfRule>
  </conditionalFormatting>
  <conditionalFormatting sqref="C74">
    <cfRule type="cellIs" dxfId="5667" priority="3886" stopIfTrue="1" operator="equal">
      <formula>"Napkin Hs"</formula>
    </cfRule>
  </conditionalFormatting>
  <conditionalFormatting sqref="C74">
    <cfRule type="cellIs" dxfId="5666" priority="3883" stopIfTrue="1" operator="equal">
      <formula>"Towel"</formula>
    </cfRule>
    <cfRule type="cellIs" dxfId="5665" priority="3884" stopIfTrue="1" operator="equal">
      <formula>"Napkin Hs"</formula>
    </cfRule>
  </conditionalFormatting>
  <conditionalFormatting sqref="C74">
    <cfRule type="cellIs" dxfId="5664" priority="3885" stopIfTrue="1" operator="equal">
      <formula>"Towel"</formula>
    </cfRule>
  </conditionalFormatting>
  <conditionalFormatting sqref="B74:C74">
    <cfRule type="cellIs" dxfId="5663" priority="3881" stopIfTrue="1" operator="equal">
      <formula>"Towel"</formula>
    </cfRule>
    <cfRule type="cellIs" dxfId="5662" priority="3882" stopIfTrue="1" operator="equal">
      <formula>"Napkin Hs"</formula>
    </cfRule>
  </conditionalFormatting>
  <conditionalFormatting sqref="C74">
    <cfRule type="cellIs" dxfId="5661" priority="3880" stopIfTrue="1" operator="equal">
      <formula>"Napkin Hs"</formula>
    </cfRule>
  </conditionalFormatting>
  <conditionalFormatting sqref="C74">
    <cfRule type="cellIs" dxfId="5660" priority="3877" stopIfTrue="1" operator="equal">
      <formula>"Towel"</formula>
    </cfRule>
    <cfRule type="cellIs" dxfId="5659" priority="3878" stopIfTrue="1" operator="equal">
      <formula>"Napkin Hs"</formula>
    </cfRule>
  </conditionalFormatting>
  <conditionalFormatting sqref="C74">
    <cfRule type="cellIs" dxfId="5658" priority="3879" stopIfTrue="1" operator="equal">
      <formula>"Towel"</formula>
    </cfRule>
  </conditionalFormatting>
  <conditionalFormatting sqref="B74:C74">
    <cfRule type="cellIs" dxfId="5657" priority="3875" stopIfTrue="1" operator="equal">
      <formula>"Towel"</formula>
    </cfRule>
    <cfRule type="cellIs" dxfId="5656" priority="3876" stopIfTrue="1" operator="equal">
      <formula>"Napkin Hs"</formula>
    </cfRule>
  </conditionalFormatting>
  <conditionalFormatting sqref="C74">
    <cfRule type="cellIs" dxfId="5655" priority="3874" stopIfTrue="1" operator="equal">
      <formula>"Napkin Hs"</formula>
    </cfRule>
  </conditionalFormatting>
  <conditionalFormatting sqref="C74">
    <cfRule type="cellIs" dxfId="5654" priority="3871" stopIfTrue="1" operator="equal">
      <formula>"Towel"</formula>
    </cfRule>
    <cfRule type="cellIs" dxfId="5653" priority="3872" stopIfTrue="1" operator="equal">
      <formula>"Napkin Hs"</formula>
    </cfRule>
  </conditionalFormatting>
  <conditionalFormatting sqref="C74">
    <cfRule type="cellIs" dxfId="5652" priority="3873" stopIfTrue="1" operator="equal">
      <formula>"Towel"</formula>
    </cfRule>
  </conditionalFormatting>
  <conditionalFormatting sqref="B74:C74">
    <cfRule type="cellIs" dxfId="5651" priority="3869" stopIfTrue="1" operator="equal">
      <formula>"Towel"</formula>
    </cfRule>
    <cfRule type="cellIs" dxfId="5650" priority="3870" stopIfTrue="1" operator="equal">
      <formula>"Napkin Hs"</formula>
    </cfRule>
  </conditionalFormatting>
  <conditionalFormatting sqref="C74">
    <cfRule type="cellIs" dxfId="5649" priority="3868" stopIfTrue="1" operator="equal">
      <formula>"Napkin Hs"</formula>
    </cfRule>
  </conditionalFormatting>
  <conditionalFormatting sqref="C74">
    <cfRule type="cellIs" dxfId="5648" priority="3865" stopIfTrue="1" operator="equal">
      <formula>"Towel"</formula>
    </cfRule>
    <cfRule type="cellIs" dxfId="5647" priority="3866" stopIfTrue="1" operator="equal">
      <formula>"Napkin Hs"</formula>
    </cfRule>
  </conditionalFormatting>
  <conditionalFormatting sqref="C74">
    <cfRule type="cellIs" dxfId="5646" priority="3867" stopIfTrue="1" operator="equal">
      <formula>"Towel"</formula>
    </cfRule>
  </conditionalFormatting>
  <conditionalFormatting sqref="B74:C74">
    <cfRule type="cellIs" dxfId="5645" priority="3863" stopIfTrue="1" operator="equal">
      <formula>"Towel"</formula>
    </cfRule>
    <cfRule type="cellIs" dxfId="5644" priority="3864" stopIfTrue="1" operator="equal">
      <formula>"Napkin Hs"</formula>
    </cfRule>
  </conditionalFormatting>
  <conditionalFormatting sqref="C74">
    <cfRule type="cellIs" dxfId="5643" priority="3862" stopIfTrue="1" operator="equal">
      <formula>"Napkin Hs"</formula>
    </cfRule>
  </conditionalFormatting>
  <conditionalFormatting sqref="C74">
    <cfRule type="cellIs" dxfId="5642" priority="3859" stopIfTrue="1" operator="equal">
      <formula>"Towel"</formula>
    </cfRule>
    <cfRule type="cellIs" dxfId="5641" priority="3860" stopIfTrue="1" operator="equal">
      <formula>"Napkin Hs"</formula>
    </cfRule>
  </conditionalFormatting>
  <conditionalFormatting sqref="C74">
    <cfRule type="cellIs" dxfId="5640" priority="3861" stopIfTrue="1" operator="equal">
      <formula>"Towel"</formula>
    </cfRule>
  </conditionalFormatting>
  <conditionalFormatting sqref="B74:C74">
    <cfRule type="cellIs" dxfId="5639" priority="3857" stopIfTrue="1" operator="equal">
      <formula>"Towel"</formula>
    </cfRule>
    <cfRule type="cellIs" dxfId="5638" priority="3858" stopIfTrue="1" operator="equal">
      <formula>"Napkin Hs"</formula>
    </cfRule>
  </conditionalFormatting>
  <conditionalFormatting sqref="C74">
    <cfRule type="cellIs" dxfId="5637" priority="3856" stopIfTrue="1" operator="equal">
      <formula>"Napkin Hs"</formula>
    </cfRule>
  </conditionalFormatting>
  <conditionalFormatting sqref="C74">
    <cfRule type="cellIs" dxfId="5636" priority="3853" stopIfTrue="1" operator="equal">
      <formula>"Towel"</formula>
    </cfRule>
    <cfRule type="cellIs" dxfId="5635" priority="3854" stopIfTrue="1" operator="equal">
      <formula>"Napkin Hs"</formula>
    </cfRule>
  </conditionalFormatting>
  <conditionalFormatting sqref="C74">
    <cfRule type="cellIs" dxfId="5634" priority="3855" stopIfTrue="1" operator="equal">
      <formula>"Towel"</formula>
    </cfRule>
  </conditionalFormatting>
  <conditionalFormatting sqref="B74:C74">
    <cfRule type="cellIs" dxfId="5633" priority="3851" stopIfTrue="1" operator="equal">
      <formula>"Towel"</formula>
    </cfRule>
    <cfRule type="cellIs" dxfId="5632" priority="3852" stopIfTrue="1" operator="equal">
      <formula>"Napkin Hs"</formula>
    </cfRule>
  </conditionalFormatting>
  <conditionalFormatting sqref="C74">
    <cfRule type="cellIs" dxfId="5631" priority="3850" stopIfTrue="1" operator="equal">
      <formula>"Napkin Hs"</formula>
    </cfRule>
  </conditionalFormatting>
  <conditionalFormatting sqref="C74">
    <cfRule type="cellIs" dxfId="5630" priority="3847" stopIfTrue="1" operator="equal">
      <formula>"Towel"</formula>
    </cfRule>
    <cfRule type="cellIs" dxfId="5629" priority="3848" stopIfTrue="1" operator="equal">
      <formula>"Napkin Hs"</formula>
    </cfRule>
  </conditionalFormatting>
  <conditionalFormatting sqref="C74">
    <cfRule type="cellIs" dxfId="5628" priority="3849" stopIfTrue="1" operator="equal">
      <formula>"Towel"</formula>
    </cfRule>
  </conditionalFormatting>
  <conditionalFormatting sqref="B74:C74">
    <cfRule type="cellIs" dxfId="5627" priority="3845" stopIfTrue="1" operator="equal">
      <formula>"Towel"</formula>
    </cfRule>
    <cfRule type="cellIs" dxfId="5626" priority="3846" stopIfTrue="1" operator="equal">
      <formula>"Napkin Hs"</formula>
    </cfRule>
  </conditionalFormatting>
  <conditionalFormatting sqref="C74">
    <cfRule type="cellIs" dxfId="5625" priority="3844" stopIfTrue="1" operator="equal">
      <formula>"Napkin Hs"</formula>
    </cfRule>
  </conditionalFormatting>
  <conditionalFormatting sqref="C74">
    <cfRule type="cellIs" dxfId="5624" priority="3841" stopIfTrue="1" operator="equal">
      <formula>"Towel"</formula>
    </cfRule>
    <cfRule type="cellIs" dxfId="5623" priority="3842" stopIfTrue="1" operator="equal">
      <formula>"Napkin Hs"</formula>
    </cfRule>
  </conditionalFormatting>
  <conditionalFormatting sqref="C74">
    <cfRule type="cellIs" dxfId="5622" priority="3843" stopIfTrue="1" operator="equal">
      <formula>"Towel"</formula>
    </cfRule>
  </conditionalFormatting>
  <conditionalFormatting sqref="B73:C73">
    <cfRule type="cellIs" dxfId="5621" priority="3839" stopIfTrue="1" operator="equal">
      <formula>"Towel"</formula>
    </cfRule>
    <cfRule type="cellIs" dxfId="5620" priority="3840" stopIfTrue="1" operator="equal">
      <formula>"Napkin Hs"</formula>
    </cfRule>
  </conditionalFormatting>
  <conditionalFormatting sqref="C73">
    <cfRule type="cellIs" dxfId="5619" priority="3835" stopIfTrue="1" operator="equal">
      <formula>"Towel"</formula>
    </cfRule>
    <cfRule type="cellIs" dxfId="5618" priority="3836" stopIfTrue="1" operator="equal">
      <formula>"Napkin Hs"</formula>
    </cfRule>
  </conditionalFormatting>
  <conditionalFormatting sqref="C73">
    <cfRule type="cellIs" dxfId="5617" priority="3837" stopIfTrue="1" operator="equal">
      <formula>"Towel"</formula>
    </cfRule>
    <cfRule type="cellIs" dxfId="5616" priority="3838" stopIfTrue="1" operator="equal">
      <formula>"Napkin Hs"</formula>
    </cfRule>
  </conditionalFormatting>
  <conditionalFormatting sqref="B73:C73">
    <cfRule type="cellIs" dxfId="5615" priority="3833" stopIfTrue="1" operator="equal">
      <formula>"Towel"</formula>
    </cfRule>
    <cfRule type="cellIs" dxfId="5614" priority="3834" stopIfTrue="1" operator="equal">
      <formula>"Napkin Hs"</formula>
    </cfRule>
  </conditionalFormatting>
  <conditionalFormatting sqref="C73">
    <cfRule type="cellIs" dxfId="5613" priority="3829" stopIfTrue="1" operator="equal">
      <formula>"Towel"</formula>
    </cfRule>
    <cfRule type="cellIs" dxfId="5612" priority="3830" stopIfTrue="1" operator="equal">
      <formula>"Napkin Hs"</formula>
    </cfRule>
  </conditionalFormatting>
  <conditionalFormatting sqref="C73">
    <cfRule type="cellIs" dxfId="5611" priority="3831" stopIfTrue="1" operator="equal">
      <formula>"Towel"</formula>
    </cfRule>
    <cfRule type="cellIs" dxfId="5610" priority="3832" stopIfTrue="1" operator="equal">
      <formula>"Napkin Hs"</formula>
    </cfRule>
  </conditionalFormatting>
  <conditionalFormatting sqref="B73:C73">
    <cfRule type="cellIs" dxfId="5609" priority="3825" stopIfTrue="1" operator="equal">
      <formula>"Towel"</formula>
    </cfRule>
    <cfRule type="cellIs" dxfId="5608" priority="3826" stopIfTrue="1" operator="equal">
      <formula>"Napkin Hs"</formula>
    </cfRule>
  </conditionalFormatting>
  <conditionalFormatting sqref="C73">
    <cfRule type="cellIs" dxfId="5607" priority="3827" stopIfTrue="1" operator="equal">
      <formula>"Towel"</formula>
    </cfRule>
    <cfRule type="cellIs" dxfId="5606" priority="3828" stopIfTrue="1" operator="equal">
      <formula>"Napkin Hs"</formula>
    </cfRule>
  </conditionalFormatting>
  <conditionalFormatting sqref="C73">
    <cfRule type="cellIs" dxfId="5605" priority="3823" stopIfTrue="1" operator="equal">
      <formula>"Towel"</formula>
    </cfRule>
    <cfRule type="cellIs" dxfId="5604" priority="3824" stopIfTrue="1" operator="equal">
      <formula>"Napkin Hs"</formula>
    </cfRule>
  </conditionalFormatting>
  <conditionalFormatting sqref="B73:C73">
    <cfRule type="cellIs" dxfId="5603" priority="3821" stopIfTrue="1" operator="equal">
      <formula>"Towel"</formula>
    </cfRule>
    <cfRule type="cellIs" dxfId="5602" priority="3822" stopIfTrue="1" operator="equal">
      <formula>"Napkin Hs"</formula>
    </cfRule>
  </conditionalFormatting>
  <conditionalFormatting sqref="C73">
    <cfRule type="cellIs" dxfId="5601" priority="3820" stopIfTrue="1" operator="equal">
      <formula>"Napkin Hs"</formula>
    </cfRule>
  </conditionalFormatting>
  <conditionalFormatting sqref="C73">
    <cfRule type="cellIs" dxfId="5600" priority="3817" stopIfTrue="1" operator="equal">
      <formula>"Towel"</formula>
    </cfRule>
    <cfRule type="cellIs" dxfId="5599" priority="3818" stopIfTrue="1" operator="equal">
      <formula>"Napkin Hs"</formula>
    </cfRule>
  </conditionalFormatting>
  <conditionalFormatting sqref="C73">
    <cfRule type="cellIs" dxfId="5598" priority="3819" stopIfTrue="1" operator="equal">
      <formula>"Towel"</formula>
    </cfRule>
  </conditionalFormatting>
  <conditionalFormatting sqref="B73:C73">
    <cfRule type="cellIs" dxfId="5597" priority="3815" stopIfTrue="1" operator="equal">
      <formula>"Towel"</formula>
    </cfRule>
    <cfRule type="cellIs" dxfId="5596" priority="3816" stopIfTrue="1" operator="equal">
      <formula>"Napkin Hs"</formula>
    </cfRule>
  </conditionalFormatting>
  <conditionalFormatting sqref="C73">
    <cfRule type="cellIs" dxfId="5595" priority="3811" stopIfTrue="1" operator="equal">
      <formula>"Towel"</formula>
    </cfRule>
    <cfRule type="cellIs" dxfId="5594" priority="3812" stopIfTrue="1" operator="equal">
      <formula>"Napkin Hs"</formula>
    </cfRule>
  </conditionalFormatting>
  <conditionalFormatting sqref="C73">
    <cfRule type="cellIs" dxfId="5593" priority="3813" stopIfTrue="1" operator="equal">
      <formula>"Towel"</formula>
    </cfRule>
    <cfRule type="cellIs" dxfId="5592" priority="3814" stopIfTrue="1" operator="equal">
      <formula>"Napkin Hs"</formula>
    </cfRule>
  </conditionalFormatting>
  <conditionalFormatting sqref="B73:C73">
    <cfRule type="cellIs" dxfId="5591" priority="3809" stopIfTrue="1" operator="equal">
      <formula>"Towel"</formula>
    </cfRule>
    <cfRule type="cellIs" dxfId="5590" priority="3810" stopIfTrue="1" operator="equal">
      <formula>"Napkin Hs"</formula>
    </cfRule>
  </conditionalFormatting>
  <conditionalFormatting sqref="C73">
    <cfRule type="cellIs" dxfId="5589" priority="3808" stopIfTrue="1" operator="equal">
      <formula>"Napkin Hs"</formula>
    </cfRule>
  </conditionalFormatting>
  <conditionalFormatting sqref="C73">
    <cfRule type="cellIs" dxfId="5588" priority="3805" stopIfTrue="1" operator="equal">
      <formula>"Towel"</formula>
    </cfRule>
    <cfRule type="cellIs" dxfId="5587" priority="3806" stopIfTrue="1" operator="equal">
      <formula>"Napkin Hs"</formula>
    </cfRule>
  </conditionalFormatting>
  <conditionalFormatting sqref="C73">
    <cfRule type="cellIs" dxfId="5586" priority="3807" stopIfTrue="1" operator="equal">
      <formula>"Towel"</formula>
    </cfRule>
  </conditionalFormatting>
  <conditionalFormatting sqref="B73:C73">
    <cfRule type="cellIs" dxfId="5585" priority="3803" stopIfTrue="1" operator="equal">
      <formula>"Towel"</formula>
    </cfRule>
    <cfRule type="cellIs" dxfId="5584" priority="3804" stopIfTrue="1" operator="equal">
      <formula>"Napkin Hs"</formula>
    </cfRule>
  </conditionalFormatting>
  <conditionalFormatting sqref="C73">
    <cfRule type="cellIs" dxfId="5583" priority="3801" stopIfTrue="1" operator="equal">
      <formula>"Towel"</formula>
    </cfRule>
    <cfRule type="cellIs" dxfId="5582" priority="3802" stopIfTrue="1" operator="equal">
      <formula>"Napkin Hs"</formula>
    </cfRule>
  </conditionalFormatting>
  <conditionalFormatting sqref="C73">
    <cfRule type="cellIs" dxfId="5581" priority="3799" stopIfTrue="1" operator="equal">
      <formula>"Towel"</formula>
    </cfRule>
    <cfRule type="cellIs" dxfId="5580" priority="3800" stopIfTrue="1" operator="equal">
      <formula>"Napkin Hs"</formula>
    </cfRule>
  </conditionalFormatting>
  <conditionalFormatting sqref="B73:C73">
    <cfRule type="cellIs" dxfId="5579" priority="3797" stopIfTrue="1" operator="equal">
      <formula>"Towel"</formula>
    </cfRule>
    <cfRule type="cellIs" dxfId="5578" priority="3798" stopIfTrue="1" operator="equal">
      <formula>"Napkin Hs"</formula>
    </cfRule>
  </conditionalFormatting>
  <conditionalFormatting sqref="C73">
    <cfRule type="cellIs" dxfId="5577" priority="3796" stopIfTrue="1" operator="equal">
      <formula>"Napkin Hs"</formula>
    </cfRule>
  </conditionalFormatting>
  <conditionalFormatting sqref="C73">
    <cfRule type="cellIs" dxfId="5576" priority="3793" stopIfTrue="1" operator="equal">
      <formula>"Towel"</formula>
    </cfRule>
    <cfRule type="cellIs" dxfId="5575" priority="3794" stopIfTrue="1" operator="equal">
      <formula>"Napkin Hs"</formula>
    </cfRule>
  </conditionalFormatting>
  <conditionalFormatting sqref="C73">
    <cfRule type="cellIs" dxfId="5574" priority="3795" stopIfTrue="1" operator="equal">
      <formula>"Towel"</formula>
    </cfRule>
  </conditionalFormatting>
  <conditionalFormatting sqref="B73:C73">
    <cfRule type="cellIs" dxfId="5573" priority="3791" stopIfTrue="1" operator="equal">
      <formula>"Towel"</formula>
    </cfRule>
    <cfRule type="cellIs" dxfId="5572" priority="3792" stopIfTrue="1" operator="equal">
      <formula>"Napkin Hs"</formula>
    </cfRule>
  </conditionalFormatting>
  <conditionalFormatting sqref="C73">
    <cfRule type="cellIs" dxfId="5571" priority="3790" stopIfTrue="1" operator="equal">
      <formula>"Napkin Hs"</formula>
    </cfRule>
  </conditionalFormatting>
  <conditionalFormatting sqref="C73">
    <cfRule type="cellIs" dxfId="5570" priority="3789" stopIfTrue="1" operator="equal">
      <formula>"Towel"</formula>
    </cfRule>
  </conditionalFormatting>
  <conditionalFormatting sqref="C73">
    <cfRule type="cellIs" dxfId="5569" priority="3787" stopIfTrue="1" operator="equal">
      <formula>"Towel"</formula>
    </cfRule>
    <cfRule type="cellIs" dxfId="5568" priority="3788" stopIfTrue="1" operator="equal">
      <formula>"Napkin Hs"</formula>
    </cfRule>
  </conditionalFormatting>
  <conditionalFormatting sqref="B73:C73">
    <cfRule type="cellIs" dxfId="5567" priority="3785" stopIfTrue="1" operator="equal">
      <formula>"Towel"</formula>
    </cfRule>
    <cfRule type="cellIs" dxfId="5566" priority="3786" stopIfTrue="1" operator="equal">
      <formula>"Napkin Hs"</formula>
    </cfRule>
  </conditionalFormatting>
  <conditionalFormatting sqref="C73">
    <cfRule type="cellIs" dxfId="5565" priority="3784" stopIfTrue="1" operator="equal">
      <formula>"Napkin Hs"</formula>
    </cfRule>
  </conditionalFormatting>
  <conditionalFormatting sqref="C73">
    <cfRule type="cellIs" dxfId="5564" priority="3781" stopIfTrue="1" operator="equal">
      <formula>"Towel"</formula>
    </cfRule>
    <cfRule type="cellIs" dxfId="5563" priority="3782" stopIfTrue="1" operator="equal">
      <formula>"Napkin Hs"</formula>
    </cfRule>
  </conditionalFormatting>
  <conditionalFormatting sqref="C73">
    <cfRule type="cellIs" dxfId="5562" priority="3783" stopIfTrue="1" operator="equal">
      <formula>"Towel"</formula>
    </cfRule>
  </conditionalFormatting>
  <conditionalFormatting sqref="B73:C73">
    <cfRule type="cellIs" dxfId="5561" priority="3779" stopIfTrue="1" operator="equal">
      <formula>"Towel"</formula>
    </cfRule>
    <cfRule type="cellIs" dxfId="5560" priority="3780" stopIfTrue="1" operator="equal">
      <formula>"Napkin Hs"</formula>
    </cfRule>
  </conditionalFormatting>
  <conditionalFormatting sqref="C73">
    <cfRule type="cellIs" dxfId="5559" priority="3778" stopIfTrue="1" operator="equal">
      <formula>"Napkin Hs"</formula>
    </cfRule>
  </conditionalFormatting>
  <conditionalFormatting sqref="C73">
    <cfRule type="cellIs" dxfId="5558" priority="3775" stopIfTrue="1" operator="equal">
      <formula>"Towel"</formula>
    </cfRule>
    <cfRule type="cellIs" dxfId="5557" priority="3776" stopIfTrue="1" operator="equal">
      <formula>"Napkin Hs"</formula>
    </cfRule>
  </conditionalFormatting>
  <conditionalFormatting sqref="C73">
    <cfRule type="cellIs" dxfId="5556" priority="3777" stopIfTrue="1" operator="equal">
      <formula>"Towel"</formula>
    </cfRule>
  </conditionalFormatting>
  <conditionalFormatting sqref="B73:C73">
    <cfRule type="cellIs" dxfId="5555" priority="3773" stopIfTrue="1" operator="equal">
      <formula>"Towel"</formula>
    </cfRule>
    <cfRule type="cellIs" dxfId="5554" priority="3774" stopIfTrue="1" operator="equal">
      <formula>"Napkin Hs"</formula>
    </cfRule>
  </conditionalFormatting>
  <conditionalFormatting sqref="C73">
    <cfRule type="cellIs" dxfId="5553" priority="3772" stopIfTrue="1" operator="equal">
      <formula>"Napkin Hs"</formula>
    </cfRule>
  </conditionalFormatting>
  <conditionalFormatting sqref="C73">
    <cfRule type="cellIs" dxfId="5552" priority="3769" stopIfTrue="1" operator="equal">
      <formula>"Towel"</formula>
    </cfRule>
    <cfRule type="cellIs" dxfId="5551" priority="3770" stopIfTrue="1" operator="equal">
      <formula>"Napkin Hs"</formula>
    </cfRule>
  </conditionalFormatting>
  <conditionalFormatting sqref="C73">
    <cfRule type="cellIs" dxfId="5550" priority="3771" stopIfTrue="1" operator="equal">
      <formula>"Towel"</formula>
    </cfRule>
  </conditionalFormatting>
  <conditionalFormatting sqref="B73:C73">
    <cfRule type="cellIs" dxfId="5549" priority="3767" stopIfTrue="1" operator="equal">
      <formula>"Towel"</formula>
    </cfRule>
    <cfRule type="cellIs" dxfId="5548" priority="3768" stopIfTrue="1" operator="equal">
      <formula>"Napkin Hs"</formula>
    </cfRule>
  </conditionalFormatting>
  <conditionalFormatting sqref="C73">
    <cfRule type="cellIs" dxfId="5547" priority="3766" stopIfTrue="1" operator="equal">
      <formula>"Napkin Hs"</formula>
    </cfRule>
  </conditionalFormatting>
  <conditionalFormatting sqref="C73">
    <cfRule type="cellIs" dxfId="5546" priority="3763" stopIfTrue="1" operator="equal">
      <formula>"Towel"</formula>
    </cfRule>
    <cfRule type="cellIs" dxfId="5545" priority="3764" stopIfTrue="1" operator="equal">
      <formula>"Napkin Hs"</formula>
    </cfRule>
  </conditionalFormatting>
  <conditionalFormatting sqref="C73">
    <cfRule type="cellIs" dxfId="5544" priority="3765" stopIfTrue="1" operator="equal">
      <formula>"Towel"</formula>
    </cfRule>
  </conditionalFormatting>
  <conditionalFormatting sqref="B73:C73">
    <cfRule type="cellIs" dxfId="5543" priority="3761" stopIfTrue="1" operator="equal">
      <formula>"Towel"</formula>
    </cfRule>
    <cfRule type="cellIs" dxfId="5542" priority="3762" stopIfTrue="1" operator="equal">
      <formula>"Napkin Hs"</formula>
    </cfRule>
  </conditionalFormatting>
  <conditionalFormatting sqref="C73">
    <cfRule type="cellIs" dxfId="5541" priority="3760" stopIfTrue="1" operator="equal">
      <formula>"Napkin Hs"</formula>
    </cfRule>
  </conditionalFormatting>
  <conditionalFormatting sqref="C73">
    <cfRule type="cellIs" dxfId="5540" priority="3757" stopIfTrue="1" operator="equal">
      <formula>"Towel"</formula>
    </cfRule>
    <cfRule type="cellIs" dxfId="5539" priority="3758" stopIfTrue="1" operator="equal">
      <formula>"Napkin Hs"</formula>
    </cfRule>
  </conditionalFormatting>
  <conditionalFormatting sqref="C73">
    <cfRule type="cellIs" dxfId="5538" priority="3759" stopIfTrue="1" operator="equal">
      <formula>"Towel"</formula>
    </cfRule>
  </conditionalFormatting>
  <conditionalFormatting sqref="B73:C73">
    <cfRule type="cellIs" dxfId="5537" priority="3755" stopIfTrue="1" operator="equal">
      <formula>"Towel"</formula>
    </cfRule>
    <cfRule type="cellIs" dxfId="5536" priority="3756" stopIfTrue="1" operator="equal">
      <formula>"Napkin Hs"</formula>
    </cfRule>
  </conditionalFormatting>
  <conditionalFormatting sqref="C73">
    <cfRule type="cellIs" dxfId="5535" priority="3754" stopIfTrue="1" operator="equal">
      <formula>"Napkin Hs"</formula>
    </cfRule>
  </conditionalFormatting>
  <conditionalFormatting sqref="C73">
    <cfRule type="cellIs" dxfId="5534" priority="3751" stopIfTrue="1" operator="equal">
      <formula>"Towel"</formula>
    </cfRule>
    <cfRule type="cellIs" dxfId="5533" priority="3752" stopIfTrue="1" operator="equal">
      <formula>"Napkin Hs"</formula>
    </cfRule>
  </conditionalFormatting>
  <conditionalFormatting sqref="C73">
    <cfRule type="cellIs" dxfId="5532" priority="3753" stopIfTrue="1" operator="equal">
      <formula>"Towel"</formula>
    </cfRule>
  </conditionalFormatting>
  <conditionalFormatting sqref="B73:C73">
    <cfRule type="cellIs" dxfId="5531" priority="3749" stopIfTrue="1" operator="equal">
      <formula>"Towel"</formula>
    </cfRule>
    <cfRule type="cellIs" dxfId="5530" priority="3750" stopIfTrue="1" operator="equal">
      <formula>"Napkin Hs"</formula>
    </cfRule>
  </conditionalFormatting>
  <conditionalFormatting sqref="C73">
    <cfRule type="cellIs" dxfId="5529" priority="3748" stopIfTrue="1" operator="equal">
      <formula>"Napkin Hs"</formula>
    </cfRule>
  </conditionalFormatting>
  <conditionalFormatting sqref="C73">
    <cfRule type="cellIs" dxfId="5528" priority="3745" stopIfTrue="1" operator="equal">
      <formula>"Towel"</formula>
    </cfRule>
    <cfRule type="cellIs" dxfId="5527" priority="3746" stopIfTrue="1" operator="equal">
      <formula>"Napkin Hs"</formula>
    </cfRule>
  </conditionalFormatting>
  <conditionalFormatting sqref="C73">
    <cfRule type="cellIs" dxfId="5526" priority="3747" stopIfTrue="1" operator="equal">
      <formula>"Towel"</formula>
    </cfRule>
  </conditionalFormatting>
  <conditionalFormatting sqref="B73:C73">
    <cfRule type="cellIs" dxfId="5525" priority="3743" stopIfTrue="1" operator="equal">
      <formula>"Towel"</formula>
    </cfRule>
    <cfRule type="cellIs" dxfId="5524" priority="3744" stopIfTrue="1" operator="equal">
      <formula>"Napkin Hs"</formula>
    </cfRule>
  </conditionalFormatting>
  <conditionalFormatting sqref="C73">
    <cfRule type="cellIs" dxfId="5523" priority="3742" stopIfTrue="1" operator="equal">
      <formula>"Napkin Hs"</formula>
    </cfRule>
  </conditionalFormatting>
  <conditionalFormatting sqref="C73">
    <cfRule type="cellIs" dxfId="5522" priority="3739" stopIfTrue="1" operator="equal">
      <formula>"Towel"</formula>
    </cfRule>
    <cfRule type="cellIs" dxfId="5521" priority="3740" stopIfTrue="1" operator="equal">
      <formula>"Napkin Hs"</formula>
    </cfRule>
  </conditionalFormatting>
  <conditionalFormatting sqref="C73">
    <cfRule type="cellIs" dxfId="5520" priority="3741" stopIfTrue="1" operator="equal">
      <formula>"Towel"</formula>
    </cfRule>
  </conditionalFormatting>
  <conditionalFormatting sqref="B73:C73">
    <cfRule type="cellIs" dxfId="5519" priority="3737" stopIfTrue="1" operator="equal">
      <formula>"Towel"</formula>
    </cfRule>
    <cfRule type="cellIs" dxfId="5518" priority="3738" stopIfTrue="1" operator="equal">
      <formula>"Napkin Hs"</formula>
    </cfRule>
  </conditionalFormatting>
  <conditionalFormatting sqref="C73">
    <cfRule type="cellIs" dxfId="5517" priority="3736" stopIfTrue="1" operator="equal">
      <formula>"Napkin Hs"</formula>
    </cfRule>
  </conditionalFormatting>
  <conditionalFormatting sqref="C73">
    <cfRule type="cellIs" dxfId="5516" priority="3733" stopIfTrue="1" operator="equal">
      <formula>"Towel"</formula>
    </cfRule>
    <cfRule type="cellIs" dxfId="5515" priority="3734" stopIfTrue="1" operator="equal">
      <formula>"Napkin Hs"</formula>
    </cfRule>
  </conditionalFormatting>
  <conditionalFormatting sqref="C73">
    <cfRule type="cellIs" dxfId="5514" priority="3735" stopIfTrue="1" operator="equal">
      <formula>"Towel"</formula>
    </cfRule>
  </conditionalFormatting>
  <conditionalFormatting sqref="B73:C73">
    <cfRule type="cellIs" dxfId="5513" priority="3731" stopIfTrue="1" operator="equal">
      <formula>"Towel"</formula>
    </cfRule>
    <cfRule type="cellIs" dxfId="5512" priority="3732" stopIfTrue="1" operator="equal">
      <formula>"Napkin Hs"</formula>
    </cfRule>
  </conditionalFormatting>
  <conditionalFormatting sqref="C73">
    <cfRule type="cellIs" dxfId="5511" priority="3730" stopIfTrue="1" operator="equal">
      <formula>"Napkin Hs"</formula>
    </cfRule>
  </conditionalFormatting>
  <conditionalFormatting sqref="C73">
    <cfRule type="cellIs" dxfId="5510" priority="3727" stopIfTrue="1" operator="equal">
      <formula>"Towel"</formula>
    </cfRule>
    <cfRule type="cellIs" dxfId="5509" priority="3728" stopIfTrue="1" operator="equal">
      <formula>"Napkin Hs"</formula>
    </cfRule>
  </conditionalFormatting>
  <conditionalFormatting sqref="C73">
    <cfRule type="cellIs" dxfId="5508" priority="3729" stopIfTrue="1" operator="equal">
      <formula>"Towel"</formula>
    </cfRule>
  </conditionalFormatting>
  <conditionalFormatting sqref="B73:C73">
    <cfRule type="cellIs" dxfId="5507" priority="3725" stopIfTrue="1" operator="equal">
      <formula>"Towel"</formula>
    </cfRule>
    <cfRule type="cellIs" dxfId="5506" priority="3726" stopIfTrue="1" operator="equal">
      <formula>"Napkin Hs"</formula>
    </cfRule>
  </conditionalFormatting>
  <conditionalFormatting sqref="C73">
    <cfRule type="cellIs" dxfId="5505" priority="3724" stopIfTrue="1" operator="equal">
      <formula>"Napkin Hs"</formula>
    </cfRule>
  </conditionalFormatting>
  <conditionalFormatting sqref="C73">
    <cfRule type="cellIs" dxfId="5504" priority="3723" stopIfTrue="1" operator="equal">
      <formula>"Towel"</formula>
    </cfRule>
  </conditionalFormatting>
  <conditionalFormatting sqref="C73">
    <cfRule type="cellIs" dxfId="5503" priority="3721" stopIfTrue="1" operator="equal">
      <formula>"Towel"</formula>
    </cfRule>
    <cfRule type="cellIs" dxfId="5502" priority="3722" stopIfTrue="1" operator="equal">
      <formula>"Napkin Hs"</formula>
    </cfRule>
  </conditionalFormatting>
  <conditionalFormatting sqref="B73:C73">
    <cfRule type="cellIs" dxfId="5501" priority="3719" stopIfTrue="1" operator="equal">
      <formula>"Towel"</formula>
    </cfRule>
    <cfRule type="cellIs" dxfId="5500" priority="3720" stopIfTrue="1" operator="equal">
      <formula>"Napkin Hs"</formula>
    </cfRule>
  </conditionalFormatting>
  <conditionalFormatting sqref="C73">
    <cfRule type="cellIs" dxfId="5499" priority="3718" stopIfTrue="1" operator="equal">
      <formula>"Napkin Hs"</formula>
    </cfRule>
  </conditionalFormatting>
  <conditionalFormatting sqref="C73">
    <cfRule type="cellIs" dxfId="5498" priority="3715" stopIfTrue="1" operator="equal">
      <formula>"Towel"</formula>
    </cfRule>
    <cfRule type="cellIs" dxfId="5497" priority="3716" stopIfTrue="1" operator="equal">
      <formula>"Napkin Hs"</formula>
    </cfRule>
  </conditionalFormatting>
  <conditionalFormatting sqref="C73">
    <cfRule type="cellIs" dxfId="5496" priority="3717" stopIfTrue="1" operator="equal">
      <formula>"Towel"</formula>
    </cfRule>
  </conditionalFormatting>
  <conditionalFormatting sqref="B73:C73">
    <cfRule type="cellIs" dxfId="5495" priority="3713" stopIfTrue="1" operator="equal">
      <formula>"Towel"</formula>
    </cfRule>
    <cfRule type="cellIs" dxfId="5494" priority="3714" stopIfTrue="1" operator="equal">
      <formula>"Napkin Hs"</formula>
    </cfRule>
  </conditionalFormatting>
  <conditionalFormatting sqref="C73">
    <cfRule type="cellIs" dxfId="5493" priority="3712" stopIfTrue="1" operator="equal">
      <formula>"Napkin Hs"</formula>
    </cfRule>
  </conditionalFormatting>
  <conditionalFormatting sqref="C73">
    <cfRule type="cellIs" dxfId="5492" priority="3709" stopIfTrue="1" operator="equal">
      <formula>"Towel"</formula>
    </cfRule>
    <cfRule type="cellIs" dxfId="5491" priority="3710" stopIfTrue="1" operator="equal">
      <formula>"Napkin Hs"</formula>
    </cfRule>
  </conditionalFormatting>
  <conditionalFormatting sqref="C73">
    <cfRule type="cellIs" dxfId="5490" priority="3711" stopIfTrue="1" operator="equal">
      <formula>"Towel"</formula>
    </cfRule>
  </conditionalFormatting>
  <conditionalFormatting sqref="B73:C73">
    <cfRule type="cellIs" dxfId="5489" priority="3707" stopIfTrue="1" operator="equal">
      <formula>"Towel"</formula>
    </cfRule>
    <cfRule type="cellIs" dxfId="5488" priority="3708" stopIfTrue="1" operator="equal">
      <formula>"Napkin Hs"</formula>
    </cfRule>
  </conditionalFormatting>
  <conditionalFormatting sqref="C73">
    <cfRule type="cellIs" dxfId="5487" priority="3706" stopIfTrue="1" operator="equal">
      <formula>"Napkin Hs"</formula>
    </cfRule>
  </conditionalFormatting>
  <conditionalFormatting sqref="C73">
    <cfRule type="cellIs" dxfId="5486" priority="3703" stopIfTrue="1" operator="equal">
      <formula>"Towel"</formula>
    </cfRule>
    <cfRule type="cellIs" dxfId="5485" priority="3704" stopIfTrue="1" operator="equal">
      <formula>"Napkin Hs"</formula>
    </cfRule>
  </conditionalFormatting>
  <conditionalFormatting sqref="C73">
    <cfRule type="cellIs" dxfId="5484" priority="3705" stopIfTrue="1" operator="equal">
      <formula>"Towel"</formula>
    </cfRule>
  </conditionalFormatting>
  <conditionalFormatting sqref="B73:C73">
    <cfRule type="cellIs" dxfId="5483" priority="3701" stopIfTrue="1" operator="equal">
      <formula>"Towel"</formula>
    </cfRule>
    <cfRule type="cellIs" dxfId="5482" priority="3702" stopIfTrue="1" operator="equal">
      <formula>"Napkin Hs"</formula>
    </cfRule>
  </conditionalFormatting>
  <conditionalFormatting sqref="C73">
    <cfRule type="cellIs" dxfId="5481" priority="3700" stopIfTrue="1" operator="equal">
      <formula>"Napkin Hs"</formula>
    </cfRule>
  </conditionalFormatting>
  <conditionalFormatting sqref="C73">
    <cfRule type="cellIs" dxfId="5480" priority="3697" stopIfTrue="1" operator="equal">
      <formula>"Towel"</formula>
    </cfRule>
    <cfRule type="cellIs" dxfId="5479" priority="3698" stopIfTrue="1" operator="equal">
      <formula>"Napkin Hs"</formula>
    </cfRule>
  </conditionalFormatting>
  <conditionalFormatting sqref="C73">
    <cfRule type="cellIs" dxfId="5478" priority="3699" stopIfTrue="1" operator="equal">
      <formula>"Towel"</formula>
    </cfRule>
  </conditionalFormatting>
  <conditionalFormatting sqref="B73:C73">
    <cfRule type="cellIs" dxfId="5477" priority="3695" stopIfTrue="1" operator="equal">
      <formula>"Towel"</formula>
    </cfRule>
    <cfRule type="cellIs" dxfId="5476" priority="3696" stopIfTrue="1" operator="equal">
      <formula>"Napkin Hs"</formula>
    </cfRule>
  </conditionalFormatting>
  <conditionalFormatting sqref="C73">
    <cfRule type="cellIs" dxfId="5475" priority="3694" stopIfTrue="1" operator="equal">
      <formula>"Napkin Hs"</formula>
    </cfRule>
  </conditionalFormatting>
  <conditionalFormatting sqref="C73">
    <cfRule type="cellIs" dxfId="5474" priority="3691" stopIfTrue="1" operator="equal">
      <formula>"Towel"</formula>
    </cfRule>
    <cfRule type="cellIs" dxfId="5473" priority="3692" stopIfTrue="1" operator="equal">
      <formula>"Napkin Hs"</formula>
    </cfRule>
  </conditionalFormatting>
  <conditionalFormatting sqref="C73">
    <cfRule type="cellIs" dxfId="5472" priority="3693" stopIfTrue="1" operator="equal">
      <formula>"Towel"</formula>
    </cfRule>
  </conditionalFormatting>
  <conditionalFormatting sqref="B73:C73">
    <cfRule type="cellIs" dxfId="5471" priority="3689" stopIfTrue="1" operator="equal">
      <formula>"Towel"</formula>
    </cfRule>
    <cfRule type="cellIs" dxfId="5470" priority="3690" stopIfTrue="1" operator="equal">
      <formula>"Napkin Hs"</formula>
    </cfRule>
  </conditionalFormatting>
  <conditionalFormatting sqref="C73">
    <cfRule type="cellIs" dxfId="5469" priority="3688" stopIfTrue="1" operator="equal">
      <formula>"Napkin Hs"</formula>
    </cfRule>
  </conditionalFormatting>
  <conditionalFormatting sqref="C73">
    <cfRule type="cellIs" dxfId="5468" priority="3685" stopIfTrue="1" operator="equal">
      <formula>"Towel"</formula>
    </cfRule>
    <cfRule type="cellIs" dxfId="5467" priority="3686" stopIfTrue="1" operator="equal">
      <formula>"Napkin Hs"</formula>
    </cfRule>
  </conditionalFormatting>
  <conditionalFormatting sqref="C73">
    <cfRule type="cellIs" dxfId="5466" priority="3687" stopIfTrue="1" operator="equal">
      <formula>"Towel"</formula>
    </cfRule>
  </conditionalFormatting>
  <conditionalFormatting sqref="B73:C73">
    <cfRule type="cellIs" dxfId="5465" priority="3683" stopIfTrue="1" operator="equal">
      <formula>"Towel"</formula>
    </cfRule>
    <cfRule type="cellIs" dxfId="5464" priority="3684" stopIfTrue="1" operator="equal">
      <formula>"Napkin Hs"</formula>
    </cfRule>
  </conditionalFormatting>
  <conditionalFormatting sqref="C73">
    <cfRule type="cellIs" dxfId="5463" priority="3682" stopIfTrue="1" operator="equal">
      <formula>"Napkin Hs"</formula>
    </cfRule>
  </conditionalFormatting>
  <conditionalFormatting sqref="C73">
    <cfRule type="cellIs" dxfId="5462" priority="3679" stopIfTrue="1" operator="equal">
      <formula>"Towel"</formula>
    </cfRule>
    <cfRule type="cellIs" dxfId="5461" priority="3680" stopIfTrue="1" operator="equal">
      <formula>"Napkin Hs"</formula>
    </cfRule>
  </conditionalFormatting>
  <conditionalFormatting sqref="C73">
    <cfRule type="cellIs" dxfId="5460" priority="3681" stopIfTrue="1" operator="equal">
      <formula>"Towel"</formula>
    </cfRule>
  </conditionalFormatting>
  <conditionalFormatting sqref="B73:C73">
    <cfRule type="cellIs" dxfId="5459" priority="3677" stopIfTrue="1" operator="equal">
      <formula>"Towel"</formula>
    </cfRule>
    <cfRule type="cellIs" dxfId="5458" priority="3678" stopIfTrue="1" operator="equal">
      <formula>"Napkin Hs"</formula>
    </cfRule>
  </conditionalFormatting>
  <conditionalFormatting sqref="C73">
    <cfRule type="cellIs" dxfId="5457" priority="3676" stopIfTrue="1" operator="equal">
      <formula>"Napkin Hs"</formula>
    </cfRule>
  </conditionalFormatting>
  <conditionalFormatting sqref="C73">
    <cfRule type="cellIs" dxfId="5456" priority="3673" stopIfTrue="1" operator="equal">
      <formula>"Towel"</formula>
    </cfRule>
    <cfRule type="cellIs" dxfId="5455" priority="3674" stopIfTrue="1" operator="equal">
      <formula>"Napkin Hs"</formula>
    </cfRule>
  </conditionalFormatting>
  <conditionalFormatting sqref="C73">
    <cfRule type="cellIs" dxfId="5454" priority="3675" stopIfTrue="1" operator="equal">
      <formula>"Towel"</formula>
    </cfRule>
  </conditionalFormatting>
  <conditionalFormatting sqref="B73:C73">
    <cfRule type="cellIs" dxfId="5453" priority="3671" stopIfTrue="1" operator="equal">
      <formula>"Towel"</formula>
    </cfRule>
    <cfRule type="cellIs" dxfId="5452" priority="3672" stopIfTrue="1" operator="equal">
      <formula>"Napkin Hs"</formula>
    </cfRule>
  </conditionalFormatting>
  <conditionalFormatting sqref="C73">
    <cfRule type="cellIs" dxfId="5451" priority="3670" stopIfTrue="1" operator="equal">
      <formula>"Napkin Hs"</formula>
    </cfRule>
  </conditionalFormatting>
  <conditionalFormatting sqref="C73">
    <cfRule type="cellIs" dxfId="5450" priority="3667" stopIfTrue="1" operator="equal">
      <formula>"Towel"</formula>
    </cfRule>
    <cfRule type="cellIs" dxfId="5449" priority="3668" stopIfTrue="1" operator="equal">
      <formula>"Napkin Hs"</formula>
    </cfRule>
  </conditionalFormatting>
  <conditionalFormatting sqref="C73">
    <cfRule type="cellIs" dxfId="5448" priority="3669" stopIfTrue="1" operator="equal">
      <formula>"Towel"</formula>
    </cfRule>
  </conditionalFormatting>
  <conditionalFormatting sqref="B79:C79">
    <cfRule type="cellIs" dxfId="5447" priority="3665" stopIfTrue="1" operator="equal">
      <formula>"Towel"</formula>
    </cfRule>
    <cfRule type="cellIs" dxfId="5446" priority="3666" stopIfTrue="1" operator="equal">
      <formula>"Napkin Hs"</formula>
    </cfRule>
  </conditionalFormatting>
  <conditionalFormatting sqref="C79">
    <cfRule type="cellIs" dxfId="5445" priority="3661" stopIfTrue="1" operator="equal">
      <formula>"Towel"</formula>
    </cfRule>
    <cfRule type="cellIs" dxfId="5444" priority="3662" stopIfTrue="1" operator="equal">
      <formula>"Napkin Hs"</formula>
    </cfRule>
  </conditionalFormatting>
  <conditionalFormatting sqref="C79">
    <cfRule type="cellIs" dxfId="5443" priority="3663" stopIfTrue="1" operator="equal">
      <formula>"Towel"</formula>
    </cfRule>
    <cfRule type="cellIs" dxfId="5442" priority="3664" stopIfTrue="1" operator="equal">
      <formula>"Napkin Hs"</formula>
    </cfRule>
  </conditionalFormatting>
  <conditionalFormatting sqref="B77:C77">
    <cfRule type="cellIs" dxfId="5441" priority="3659" stopIfTrue="1" operator="equal">
      <formula>"Towel"</formula>
    </cfRule>
    <cfRule type="cellIs" dxfId="5440" priority="3660" stopIfTrue="1" operator="equal">
      <formula>"Napkin Hs"</formula>
    </cfRule>
  </conditionalFormatting>
  <conditionalFormatting sqref="C77">
    <cfRule type="cellIs" dxfId="5439" priority="3658" stopIfTrue="1" operator="equal">
      <formula>"Napkin Hs"</formula>
    </cfRule>
  </conditionalFormatting>
  <conditionalFormatting sqref="C77">
    <cfRule type="cellIs" dxfId="5438" priority="3655" stopIfTrue="1" operator="equal">
      <formula>"Towel"</formula>
    </cfRule>
    <cfRule type="cellIs" dxfId="5437" priority="3656" stopIfTrue="1" operator="equal">
      <formula>"Napkin Hs"</formula>
    </cfRule>
  </conditionalFormatting>
  <conditionalFormatting sqref="C77">
    <cfRule type="cellIs" dxfId="5436" priority="3657" stopIfTrue="1" operator="equal">
      <formula>"Towel"</formula>
    </cfRule>
  </conditionalFormatting>
  <conditionalFormatting sqref="B80:C80">
    <cfRule type="cellIs" dxfId="5435" priority="3653" stopIfTrue="1" operator="equal">
      <formula>"Towel"</formula>
    </cfRule>
    <cfRule type="cellIs" dxfId="5434" priority="3654" stopIfTrue="1" operator="equal">
      <formula>"Napkin Hs"</formula>
    </cfRule>
  </conditionalFormatting>
  <conditionalFormatting sqref="C80">
    <cfRule type="cellIs" dxfId="5433" priority="3652" stopIfTrue="1" operator="equal">
      <formula>"Napkin Hs"</formula>
    </cfRule>
  </conditionalFormatting>
  <conditionalFormatting sqref="C80">
    <cfRule type="cellIs" dxfId="5432" priority="3649" stopIfTrue="1" operator="equal">
      <formula>"Towel"</formula>
    </cfRule>
    <cfRule type="cellIs" dxfId="5431" priority="3650" stopIfTrue="1" operator="equal">
      <formula>"Napkin Hs"</formula>
    </cfRule>
  </conditionalFormatting>
  <conditionalFormatting sqref="C80">
    <cfRule type="cellIs" dxfId="5430" priority="3651" stopIfTrue="1" operator="equal">
      <formula>"Towel"</formula>
    </cfRule>
  </conditionalFormatting>
  <conditionalFormatting sqref="B79:C79">
    <cfRule type="cellIs" dxfId="5429" priority="3647" stopIfTrue="1" operator="equal">
      <formula>"Towel"</formula>
    </cfRule>
    <cfRule type="cellIs" dxfId="5428" priority="3648" stopIfTrue="1" operator="equal">
      <formula>"Napkin Hs"</formula>
    </cfRule>
  </conditionalFormatting>
  <conditionalFormatting sqref="C79">
    <cfRule type="cellIs" dxfId="5427" priority="3646" stopIfTrue="1" operator="equal">
      <formula>"Napkin Hs"</formula>
    </cfRule>
  </conditionalFormatting>
  <conditionalFormatting sqref="C79">
    <cfRule type="cellIs" dxfId="5426" priority="3643" stopIfTrue="1" operator="equal">
      <formula>"Towel"</formula>
    </cfRule>
    <cfRule type="cellIs" dxfId="5425" priority="3644" stopIfTrue="1" operator="equal">
      <formula>"Napkin Hs"</formula>
    </cfRule>
  </conditionalFormatting>
  <conditionalFormatting sqref="C79">
    <cfRule type="cellIs" dxfId="5424" priority="3645" stopIfTrue="1" operator="equal">
      <formula>"Towel"</formula>
    </cfRule>
  </conditionalFormatting>
  <conditionalFormatting sqref="B77:C77">
    <cfRule type="cellIs" dxfId="5423" priority="3641" stopIfTrue="1" operator="equal">
      <formula>"Towel"</formula>
    </cfRule>
    <cfRule type="cellIs" dxfId="5422" priority="3642" stopIfTrue="1" operator="equal">
      <formula>"Napkin Hs"</formula>
    </cfRule>
  </conditionalFormatting>
  <conditionalFormatting sqref="C77">
    <cfRule type="cellIs" dxfId="5421" priority="3640" stopIfTrue="1" operator="equal">
      <formula>"Napkin Hs"</formula>
    </cfRule>
  </conditionalFormatting>
  <conditionalFormatting sqref="C77">
    <cfRule type="cellIs" dxfId="5420" priority="3637" stopIfTrue="1" operator="equal">
      <formula>"Towel"</formula>
    </cfRule>
    <cfRule type="cellIs" dxfId="5419" priority="3638" stopIfTrue="1" operator="equal">
      <formula>"Napkin Hs"</formula>
    </cfRule>
  </conditionalFormatting>
  <conditionalFormatting sqref="C77">
    <cfRule type="cellIs" dxfId="5418" priority="3639" stopIfTrue="1" operator="equal">
      <formula>"Towel"</formula>
    </cfRule>
  </conditionalFormatting>
  <conditionalFormatting sqref="B79:C80">
    <cfRule type="cellIs" dxfId="5417" priority="3635" stopIfTrue="1" operator="equal">
      <formula>"Towel"</formula>
    </cfRule>
    <cfRule type="cellIs" dxfId="5416" priority="3636" stopIfTrue="1" operator="equal">
      <formula>"Napkin Hs"</formula>
    </cfRule>
  </conditionalFormatting>
  <conditionalFormatting sqref="C79:C80">
    <cfRule type="cellIs" dxfId="5415" priority="3634" stopIfTrue="1" operator="equal">
      <formula>"Napkin Hs"</formula>
    </cfRule>
  </conditionalFormatting>
  <conditionalFormatting sqref="C79:C80">
    <cfRule type="cellIs" dxfId="5414" priority="3631" stopIfTrue="1" operator="equal">
      <formula>"Towel"</formula>
    </cfRule>
    <cfRule type="cellIs" dxfId="5413" priority="3632" stopIfTrue="1" operator="equal">
      <formula>"Napkin Hs"</formula>
    </cfRule>
  </conditionalFormatting>
  <conditionalFormatting sqref="C79:C80">
    <cfRule type="cellIs" dxfId="5412" priority="3633" stopIfTrue="1" operator="equal">
      <formula>"Towel"</formula>
    </cfRule>
  </conditionalFormatting>
  <conditionalFormatting sqref="B79:C80">
    <cfRule type="cellIs" dxfId="5411" priority="3629" stopIfTrue="1" operator="equal">
      <formula>"Towel"</formula>
    </cfRule>
    <cfRule type="cellIs" dxfId="5410" priority="3630" stopIfTrue="1" operator="equal">
      <formula>"Napkin Hs"</formula>
    </cfRule>
  </conditionalFormatting>
  <conditionalFormatting sqref="C79:C80">
    <cfRule type="cellIs" dxfId="5409" priority="3628" stopIfTrue="1" operator="equal">
      <formula>"Napkin Hs"</formula>
    </cfRule>
  </conditionalFormatting>
  <conditionalFormatting sqref="C79:C80">
    <cfRule type="cellIs" dxfId="5408" priority="3625" stopIfTrue="1" operator="equal">
      <formula>"Towel"</formula>
    </cfRule>
    <cfRule type="cellIs" dxfId="5407" priority="3626" stopIfTrue="1" operator="equal">
      <formula>"Napkin Hs"</formula>
    </cfRule>
  </conditionalFormatting>
  <conditionalFormatting sqref="C79:C80">
    <cfRule type="cellIs" dxfId="5406" priority="3627" stopIfTrue="1" operator="equal">
      <formula>"Towel"</formula>
    </cfRule>
  </conditionalFormatting>
  <conditionalFormatting sqref="B79:C80">
    <cfRule type="cellIs" dxfId="5405" priority="3623" stopIfTrue="1" operator="equal">
      <formula>"Towel"</formula>
    </cfRule>
    <cfRule type="cellIs" dxfId="5404" priority="3624" stopIfTrue="1" operator="equal">
      <formula>"Napkin Hs"</formula>
    </cfRule>
  </conditionalFormatting>
  <conditionalFormatting sqref="C79:C80">
    <cfRule type="cellIs" dxfId="5403" priority="3622" stopIfTrue="1" operator="equal">
      <formula>"Napkin Hs"</formula>
    </cfRule>
  </conditionalFormatting>
  <conditionalFormatting sqref="C79:C80">
    <cfRule type="cellIs" dxfId="5402" priority="3619" stopIfTrue="1" operator="equal">
      <formula>"Towel"</formula>
    </cfRule>
    <cfRule type="cellIs" dxfId="5401" priority="3620" stopIfTrue="1" operator="equal">
      <formula>"Napkin Hs"</formula>
    </cfRule>
  </conditionalFormatting>
  <conditionalFormatting sqref="C79:C80">
    <cfRule type="cellIs" dxfId="5400" priority="3621" stopIfTrue="1" operator="equal">
      <formula>"Towel"</formula>
    </cfRule>
  </conditionalFormatting>
  <conditionalFormatting sqref="B80:C80">
    <cfRule type="cellIs" dxfId="5399" priority="3617" stopIfTrue="1" operator="equal">
      <formula>"Towel"</formula>
    </cfRule>
    <cfRule type="cellIs" dxfId="5398" priority="3618" stopIfTrue="1" operator="equal">
      <formula>"Napkin Hs"</formula>
    </cfRule>
  </conditionalFormatting>
  <conditionalFormatting sqref="C80">
    <cfRule type="cellIs" dxfId="5397" priority="3616" stopIfTrue="1" operator="equal">
      <formula>"Napkin Hs"</formula>
    </cfRule>
  </conditionalFormatting>
  <conditionalFormatting sqref="C80">
    <cfRule type="cellIs" dxfId="5396" priority="3613" stopIfTrue="1" operator="equal">
      <formula>"Towel"</formula>
    </cfRule>
    <cfRule type="cellIs" dxfId="5395" priority="3614" stopIfTrue="1" operator="equal">
      <formula>"Napkin Hs"</formula>
    </cfRule>
  </conditionalFormatting>
  <conditionalFormatting sqref="C80">
    <cfRule type="cellIs" dxfId="5394" priority="3615" stopIfTrue="1" operator="equal">
      <formula>"Towel"</formula>
    </cfRule>
  </conditionalFormatting>
  <conditionalFormatting sqref="B79:C79">
    <cfRule type="cellIs" dxfId="5393" priority="3611" stopIfTrue="1" operator="equal">
      <formula>"Towel"</formula>
    </cfRule>
    <cfRule type="cellIs" dxfId="5392" priority="3612" stopIfTrue="1" operator="equal">
      <formula>"Napkin Hs"</formula>
    </cfRule>
  </conditionalFormatting>
  <conditionalFormatting sqref="C79">
    <cfRule type="cellIs" dxfId="5391" priority="3607" stopIfTrue="1" operator="equal">
      <formula>"Towel"</formula>
    </cfRule>
    <cfRule type="cellIs" dxfId="5390" priority="3608" stopIfTrue="1" operator="equal">
      <formula>"Napkin Hs"</formula>
    </cfRule>
  </conditionalFormatting>
  <conditionalFormatting sqref="C79">
    <cfRule type="cellIs" dxfId="5389" priority="3609" stopIfTrue="1" operator="equal">
      <formula>"Towel"</formula>
    </cfRule>
    <cfRule type="cellIs" dxfId="5388" priority="3610" stopIfTrue="1" operator="equal">
      <formula>"Napkin Hs"</formula>
    </cfRule>
  </conditionalFormatting>
  <conditionalFormatting sqref="B79:C79">
    <cfRule type="cellIs" dxfId="5387" priority="3605" stopIfTrue="1" operator="equal">
      <formula>"Towel"</formula>
    </cfRule>
    <cfRule type="cellIs" dxfId="5386" priority="3606" stopIfTrue="1" operator="equal">
      <formula>"Napkin Hs"</formula>
    </cfRule>
  </conditionalFormatting>
  <conditionalFormatting sqref="C79">
    <cfRule type="cellIs" dxfId="5385" priority="3604" stopIfTrue="1" operator="equal">
      <formula>"Napkin Hs"</formula>
    </cfRule>
  </conditionalFormatting>
  <conditionalFormatting sqref="C79">
    <cfRule type="cellIs" dxfId="5384" priority="3601" stopIfTrue="1" operator="equal">
      <formula>"Towel"</formula>
    </cfRule>
    <cfRule type="cellIs" dxfId="5383" priority="3602" stopIfTrue="1" operator="equal">
      <formula>"Napkin Hs"</formula>
    </cfRule>
  </conditionalFormatting>
  <conditionalFormatting sqref="C79">
    <cfRule type="cellIs" dxfId="5382" priority="3603" stopIfTrue="1" operator="equal">
      <formula>"Towel"</formula>
    </cfRule>
  </conditionalFormatting>
  <conditionalFormatting sqref="B79:C79">
    <cfRule type="cellIs" dxfId="5381" priority="3599" stopIfTrue="1" operator="equal">
      <formula>"Towel"</formula>
    </cfRule>
    <cfRule type="cellIs" dxfId="5380" priority="3600" stopIfTrue="1" operator="equal">
      <formula>"Napkin Hs"</formula>
    </cfRule>
  </conditionalFormatting>
  <conditionalFormatting sqref="C79">
    <cfRule type="cellIs" dxfId="5379" priority="3597" stopIfTrue="1" operator="equal">
      <formula>"Towel"</formula>
    </cfRule>
    <cfRule type="cellIs" dxfId="5378" priority="3598" stopIfTrue="1" operator="equal">
      <formula>"Napkin Hs"</formula>
    </cfRule>
  </conditionalFormatting>
  <conditionalFormatting sqref="C79">
    <cfRule type="cellIs" dxfId="5377" priority="3595" stopIfTrue="1" operator="equal">
      <formula>"Towel"</formula>
    </cfRule>
    <cfRule type="cellIs" dxfId="5376" priority="3596" stopIfTrue="1" operator="equal">
      <formula>"Napkin Hs"</formula>
    </cfRule>
  </conditionalFormatting>
  <conditionalFormatting sqref="B79:C79">
    <cfRule type="cellIs" dxfId="5375" priority="3593" stopIfTrue="1" operator="equal">
      <formula>"Towel"</formula>
    </cfRule>
    <cfRule type="cellIs" dxfId="5374" priority="3594" stopIfTrue="1" operator="equal">
      <formula>"Napkin Hs"</formula>
    </cfRule>
  </conditionalFormatting>
  <conditionalFormatting sqref="C79">
    <cfRule type="cellIs" dxfId="5373" priority="3592" stopIfTrue="1" operator="equal">
      <formula>"Napkin Hs"</formula>
    </cfRule>
  </conditionalFormatting>
  <conditionalFormatting sqref="C79">
    <cfRule type="cellIs" dxfId="5372" priority="3589" stopIfTrue="1" operator="equal">
      <formula>"Towel"</formula>
    </cfRule>
    <cfRule type="cellIs" dxfId="5371" priority="3590" stopIfTrue="1" operator="equal">
      <formula>"Napkin Hs"</formula>
    </cfRule>
  </conditionalFormatting>
  <conditionalFormatting sqref="C79">
    <cfRule type="cellIs" dxfId="5370" priority="3591" stopIfTrue="1" operator="equal">
      <formula>"Towel"</formula>
    </cfRule>
  </conditionalFormatting>
  <conditionalFormatting sqref="B79:C79">
    <cfRule type="cellIs" dxfId="5369" priority="3587" stopIfTrue="1" operator="equal">
      <formula>"Towel"</formula>
    </cfRule>
    <cfRule type="cellIs" dxfId="5368" priority="3588" stopIfTrue="1" operator="equal">
      <formula>"Napkin Hs"</formula>
    </cfRule>
  </conditionalFormatting>
  <conditionalFormatting sqref="C79">
    <cfRule type="cellIs" dxfId="5367" priority="3586" stopIfTrue="1" operator="equal">
      <formula>"Napkin Hs"</formula>
    </cfRule>
  </conditionalFormatting>
  <conditionalFormatting sqref="C79">
    <cfRule type="cellIs" dxfId="5366" priority="3585" stopIfTrue="1" operator="equal">
      <formula>"Towel"</formula>
    </cfRule>
  </conditionalFormatting>
  <conditionalFormatting sqref="C79">
    <cfRule type="cellIs" dxfId="5365" priority="3583" stopIfTrue="1" operator="equal">
      <formula>"Towel"</formula>
    </cfRule>
    <cfRule type="cellIs" dxfId="5364" priority="3584" stopIfTrue="1" operator="equal">
      <formula>"Napkin Hs"</formula>
    </cfRule>
  </conditionalFormatting>
  <conditionalFormatting sqref="B79:C79">
    <cfRule type="cellIs" dxfId="5363" priority="3581" stopIfTrue="1" operator="equal">
      <formula>"Towel"</formula>
    </cfRule>
    <cfRule type="cellIs" dxfId="5362" priority="3582" stopIfTrue="1" operator="equal">
      <formula>"Napkin Hs"</formula>
    </cfRule>
  </conditionalFormatting>
  <conditionalFormatting sqref="C79">
    <cfRule type="cellIs" dxfId="5361" priority="3580" stopIfTrue="1" operator="equal">
      <formula>"Napkin Hs"</formula>
    </cfRule>
  </conditionalFormatting>
  <conditionalFormatting sqref="C79">
    <cfRule type="cellIs" dxfId="5360" priority="3577" stopIfTrue="1" operator="equal">
      <formula>"Towel"</formula>
    </cfRule>
    <cfRule type="cellIs" dxfId="5359" priority="3578" stopIfTrue="1" operator="equal">
      <formula>"Napkin Hs"</formula>
    </cfRule>
  </conditionalFormatting>
  <conditionalFormatting sqref="C79">
    <cfRule type="cellIs" dxfId="5358" priority="3579" stopIfTrue="1" operator="equal">
      <formula>"Towel"</formula>
    </cfRule>
  </conditionalFormatting>
  <conditionalFormatting sqref="B79:C79">
    <cfRule type="cellIs" dxfId="5357" priority="3575" stopIfTrue="1" operator="equal">
      <formula>"Towel"</formula>
    </cfRule>
    <cfRule type="cellIs" dxfId="5356" priority="3576" stopIfTrue="1" operator="equal">
      <formula>"Napkin Hs"</formula>
    </cfRule>
  </conditionalFormatting>
  <conditionalFormatting sqref="C79">
    <cfRule type="cellIs" dxfId="5355" priority="3574" stopIfTrue="1" operator="equal">
      <formula>"Napkin Hs"</formula>
    </cfRule>
  </conditionalFormatting>
  <conditionalFormatting sqref="C79">
    <cfRule type="cellIs" dxfId="5354" priority="3571" stopIfTrue="1" operator="equal">
      <formula>"Towel"</formula>
    </cfRule>
    <cfRule type="cellIs" dxfId="5353" priority="3572" stopIfTrue="1" operator="equal">
      <formula>"Napkin Hs"</formula>
    </cfRule>
  </conditionalFormatting>
  <conditionalFormatting sqref="C79">
    <cfRule type="cellIs" dxfId="5352" priority="3573" stopIfTrue="1" operator="equal">
      <formula>"Towel"</formula>
    </cfRule>
  </conditionalFormatting>
  <conditionalFormatting sqref="B79:C79">
    <cfRule type="cellIs" dxfId="5351" priority="3569" stopIfTrue="1" operator="equal">
      <formula>"Towel"</formula>
    </cfRule>
    <cfRule type="cellIs" dxfId="5350" priority="3570" stopIfTrue="1" operator="equal">
      <formula>"Napkin Hs"</formula>
    </cfRule>
  </conditionalFormatting>
  <conditionalFormatting sqref="C79">
    <cfRule type="cellIs" dxfId="5349" priority="3568" stopIfTrue="1" operator="equal">
      <formula>"Napkin Hs"</formula>
    </cfRule>
  </conditionalFormatting>
  <conditionalFormatting sqref="C79">
    <cfRule type="cellIs" dxfId="5348" priority="3565" stopIfTrue="1" operator="equal">
      <formula>"Towel"</formula>
    </cfRule>
    <cfRule type="cellIs" dxfId="5347" priority="3566" stopIfTrue="1" operator="equal">
      <formula>"Napkin Hs"</formula>
    </cfRule>
  </conditionalFormatting>
  <conditionalFormatting sqref="C79">
    <cfRule type="cellIs" dxfId="5346" priority="3567" stopIfTrue="1" operator="equal">
      <formula>"Towel"</formula>
    </cfRule>
  </conditionalFormatting>
  <conditionalFormatting sqref="B79:C79">
    <cfRule type="cellIs" dxfId="5345" priority="3563" stopIfTrue="1" operator="equal">
      <formula>"Towel"</formula>
    </cfRule>
    <cfRule type="cellIs" dxfId="5344" priority="3564" stopIfTrue="1" operator="equal">
      <formula>"Napkin Hs"</formula>
    </cfRule>
  </conditionalFormatting>
  <conditionalFormatting sqref="C79">
    <cfRule type="cellIs" dxfId="5343" priority="3562" stopIfTrue="1" operator="equal">
      <formula>"Napkin Hs"</formula>
    </cfRule>
  </conditionalFormatting>
  <conditionalFormatting sqref="C79">
    <cfRule type="cellIs" dxfId="5342" priority="3559" stopIfTrue="1" operator="equal">
      <formula>"Towel"</formula>
    </cfRule>
    <cfRule type="cellIs" dxfId="5341" priority="3560" stopIfTrue="1" operator="equal">
      <formula>"Napkin Hs"</formula>
    </cfRule>
  </conditionalFormatting>
  <conditionalFormatting sqref="C79">
    <cfRule type="cellIs" dxfId="5340" priority="3561" stopIfTrue="1" operator="equal">
      <formula>"Towel"</formula>
    </cfRule>
  </conditionalFormatting>
  <conditionalFormatting sqref="B79:C79">
    <cfRule type="cellIs" dxfId="5339" priority="3557" stopIfTrue="1" operator="equal">
      <formula>"Towel"</formula>
    </cfRule>
    <cfRule type="cellIs" dxfId="5338" priority="3558" stopIfTrue="1" operator="equal">
      <formula>"Napkin Hs"</formula>
    </cfRule>
  </conditionalFormatting>
  <conditionalFormatting sqref="C79">
    <cfRule type="cellIs" dxfId="5337" priority="3556" stopIfTrue="1" operator="equal">
      <formula>"Napkin Hs"</formula>
    </cfRule>
  </conditionalFormatting>
  <conditionalFormatting sqref="C79">
    <cfRule type="cellIs" dxfId="5336" priority="3553" stopIfTrue="1" operator="equal">
      <formula>"Towel"</formula>
    </cfRule>
    <cfRule type="cellIs" dxfId="5335" priority="3554" stopIfTrue="1" operator="equal">
      <formula>"Napkin Hs"</formula>
    </cfRule>
  </conditionalFormatting>
  <conditionalFormatting sqref="C79">
    <cfRule type="cellIs" dxfId="5334" priority="3555" stopIfTrue="1" operator="equal">
      <formula>"Towel"</formula>
    </cfRule>
  </conditionalFormatting>
  <conditionalFormatting sqref="B79:C79">
    <cfRule type="cellIs" dxfId="5333" priority="3551" stopIfTrue="1" operator="equal">
      <formula>"Towel"</formula>
    </cfRule>
    <cfRule type="cellIs" dxfId="5332" priority="3552" stopIfTrue="1" operator="equal">
      <formula>"Napkin Hs"</formula>
    </cfRule>
  </conditionalFormatting>
  <conditionalFormatting sqref="C79">
    <cfRule type="cellIs" dxfId="5331" priority="3550" stopIfTrue="1" operator="equal">
      <formula>"Napkin Hs"</formula>
    </cfRule>
  </conditionalFormatting>
  <conditionalFormatting sqref="C79">
    <cfRule type="cellIs" dxfId="5330" priority="3547" stopIfTrue="1" operator="equal">
      <formula>"Towel"</formula>
    </cfRule>
    <cfRule type="cellIs" dxfId="5329" priority="3548" stopIfTrue="1" operator="equal">
      <formula>"Napkin Hs"</formula>
    </cfRule>
  </conditionalFormatting>
  <conditionalFormatting sqref="C79">
    <cfRule type="cellIs" dxfId="5328" priority="3549" stopIfTrue="1" operator="equal">
      <formula>"Towel"</formula>
    </cfRule>
  </conditionalFormatting>
  <conditionalFormatting sqref="B79:C79">
    <cfRule type="cellIs" dxfId="5327" priority="3545" stopIfTrue="1" operator="equal">
      <formula>"Towel"</formula>
    </cfRule>
    <cfRule type="cellIs" dxfId="5326" priority="3546" stopIfTrue="1" operator="equal">
      <formula>"Napkin Hs"</formula>
    </cfRule>
  </conditionalFormatting>
  <conditionalFormatting sqref="C79">
    <cfRule type="cellIs" dxfId="5325" priority="3544" stopIfTrue="1" operator="equal">
      <formula>"Napkin Hs"</formula>
    </cfRule>
  </conditionalFormatting>
  <conditionalFormatting sqref="C79">
    <cfRule type="cellIs" dxfId="5324" priority="3541" stopIfTrue="1" operator="equal">
      <formula>"Towel"</formula>
    </cfRule>
    <cfRule type="cellIs" dxfId="5323" priority="3542" stopIfTrue="1" operator="equal">
      <formula>"Napkin Hs"</formula>
    </cfRule>
  </conditionalFormatting>
  <conditionalFormatting sqref="C79">
    <cfRule type="cellIs" dxfId="5322" priority="3543" stopIfTrue="1" operator="equal">
      <formula>"Towel"</formula>
    </cfRule>
  </conditionalFormatting>
  <conditionalFormatting sqref="B79:C79">
    <cfRule type="cellIs" dxfId="5321" priority="3539" stopIfTrue="1" operator="equal">
      <formula>"Towel"</formula>
    </cfRule>
    <cfRule type="cellIs" dxfId="5320" priority="3540" stopIfTrue="1" operator="equal">
      <formula>"Napkin Hs"</formula>
    </cfRule>
  </conditionalFormatting>
  <conditionalFormatting sqref="C79">
    <cfRule type="cellIs" dxfId="5319" priority="3538" stopIfTrue="1" operator="equal">
      <formula>"Napkin Hs"</formula>
    </cfRule>
  </conditionalFormatting>
  <conditionalFormatting sqref="C79">
    <cfRule type="cellIs" dxfId="5318" priority="3535" stopIfTrue="1" operator="equal">
      <formula>"Towel"</formula>
    </cfRule>
    <cfRule type="cellIs" dxfId="5317" priority="3536" stopIfTrue="1" operator="equal">
      <formula>"Napkin Hs"</formula>
    </cfRule>
  </conditionalFormatting>
  <conditionalFormatting sqref="C79">
    <cfRule type="cellIs" dxfId="5316" priority="3537" stopIfTrue="1" operator="equal">
      <formula>"Towel"</formula>
    </cfRule>
  </conditionalFormatting>
  <conditionalFormatting sqref="B79:C79">
    <cfRule type="cellIs" dxfId="5315" priority="3533" stopIfTrue="1" operator="equal">
      <formula>"Towel"</formula>
    </cfRule>
    <cfRule type="cellIs" dxfId="5314" priority="3534" stopIfTrue="1" operator="equal">
      <formula>"Napkin Hs"</formula>
    </cfRule>
  </conditionalFormatting>
  <conditionalFormatting sqref="C79">
    <cfRule type="cellIs" dxfId="5313" priority="3532" stopIfTrue="1" operator="equal">
      <formula>"Napkin Hs"</formula>
    </cfRule>
  </conditionalFormatting>
  <conditionalFormatting sqref="C79">
    <cfRule type="cellIs" dxfId="5312" priority="3529" stopIfTrue="1" operator="equal">
      <formula>"Towel"</formula>
    </cfRule>
    <cfRule type="cellIs" dxfId="5311" priority="3530" stopIfTrue="1" operator="equal">
      <formula>"Napkin Hs"</formula>
    </cfRule>
  </conditionalFormatting>
  <conditionalFormatting sqref="C79">
    <cfRule type="cellIs" dxfId="5310" priority="3531" stopIfTrue="1" operator="equal">
      <formula>"Towel"</formula>
    </cfRule>
  </conditionalFormatting>
  <conditionalFormatting sqref="B79:C79">
    <cfRule type="cellIs" dxfId="5309" priority="3527" stopIfTrue="1" operator="equal">
      <formula>"Towel"</formula>
    </cfRule>
    <cfRule type="cellIs" dxfId="5308" priority="3528" stopIfTrue="1" operator="equal">
      <formula>"Napkin Hs"</formula>
    </cfRule>
  </conditionalFormatting>
  <conditionalFormatting sqref="C79">
    <cfRule type="cellIs" dxfId="5307" priority="3526" stopIfTrue="1" operator="equal">
      <formula>"Napkin Hs"</formula>
    </cfRule>
  </conditionalFormatting>
  <conditionalFormatting sqref="C79">
    <cfRule type="cellIs" dxfId="5306" priority="3523" stopIfTrue="1" operator="equal">
      <formula>"Towel"</formula>
    </cfRule>
    <cfRule type="cellIs" dxfId="5305" priority="3524" stopIfTrue="1" operator="equal">
      <formula>"Napkin Hs"</formula>
    </cfRule>
  </conditionalFormatting>
  <conditionalFormatting sqref="C79">
    <cfRule type="cellIs" dxfId="5304" priority="3525" stopIfTrue="1" operator="equal">
      <formula>"Towel"</formula>
    </cfRule>
  </conditionalFormatting>
  <conditionalFormatting sqref="B79:C79">
    <cfRule type="cellIs" dxfId="5303" priority="3521" stopIfTrue="1" operator="equal">
      <formula>"Towel"</formula>
    </cfRule>
    <cfRule type="cellIs" dxfId="5302" priority="3522" stopIfTrue="1" operator="equal">
      <formula>"Napkin Hs"</formula>
    </cfRule>
  </conditionalFormatting>
  <conditionalFormatting sqref="C79">
    <cfRule type="cellIs" dxfId="5301" priority="3520" stopIfTrue="1" operator="equal">
      <formula>"Napkin Hs"</formula>
    </cfRule>
  </conditionalFormatting>
  <conditionalFormatting sqref="C79">
    <cfRule type="cellIs" dxfId="5300" priority="3519" stopIfTrue="1" operator="equal">
      <formula>"Towel"</formula>
    </cfRule>
  </conditionalFormatting>
  <conditionalFormatting sqref="C79">
    <cfRule type="cellIs" dxfId="5299" priority="3517" stopIfTrue="1" operator="equal">
      <formula>"Towel"</formula>
    </cfRule>
    <cfRule type="cellIs" dxfId="5298" priority="3518" stopIfTrue="1" operator="equal">
      <formula>"Napkin Hs"</formula>
    </cfRule>
  </conditionalFormatting>
  <conditionalFormatting sqref="B79:C79">
    <cfRule type="cellIs" dxfId="5297" priority="3515" stopIfTrue="1" operator="equal">
      <formula>"Towel"</formula>
    </cfRule>
    <cfRule type="cellIs" dxfId="5296" priority="3516" stopIfTrue="1" operator="equal">
      <formula>"Napkin Hs"</formula>
    </cfRule>
  </conditionalFormatting>
  <conditionalFormatting sqref="C79">
    <cfRule type="cellIs" dxfId="5295" priority="3514" stopIfTrue="1" operator="equal">
      <formula>"Napkin Hs"</formula>
    </cfRule>
  </conditionalFormatting>
  <conditionalFormatting sqref="C79">
    <cfRule type="cellIs" dxfId="5294" priority="3511" stopIfTrue="1" operator="equal">
      <formula>"Towel"</formula>
    </cfRule>
    <cfRule type="cellIs" dxfId="5293" priority="3512" stopIfTrue="1" operator="equal">
      <formula>"Napkin Hs"</formula>
    </cfRule>
  </conditionalFormatting>
  <conditionalFormatting sqref="C79">
    <cfRule type="cellIs" dxfId="5292" priority="3513" stopIfTrue="1" operator="equal">
      <formula>"Towel"</formula>
    </cfRule>
  </conditionalFormatting>
  <conditionalFormatting sqref="B79:C79">
    <cfRule type="cellIs" dxfId="5291" priority="3509" stopIfTrue="1" operator="equal">
      <formula>"Towel"</formula>
    </cfRule>
    <cfRule type="cellIs" dxfId="5290" priority="3510" stopIfTrue="1" operator="equal">
      <formula>"Napkin Hs"</formula>
    </cfRule>
  </conditionalFormatting>
  <conditionalFormatting sqref="C79">
    <cfRule type="cellIs" dxfId="5289" priority="3508" stopIfTrue="1" operator="equal">
      <formula>"Napkin Hs"</formula>
    </cfRule>
  </conditionalFormatting>
  <conditionalFormatting sqref="C79">
    <cfRule type="cellIs" dxfId="5288" priority="3505" stopIfTrue="1" operator="equal">
      <formula>"Towel"</formula>
    </cfRule>
    <cfRule type="cellIs" dxfId="5287" priority="3506" stopIfTrue="1" operator="equal">
      <formula>"Napkin Hs"</formula>
    </cfRule>
  </conditionalFormatting>
  <conditionalFormatting sqref="C79">
    <cfRule type="cellIs" dxfId="5286" priority="3507" stopIfTrue="1" operator="equal">
      <formula>"Towel"</formula>
    </cfRule>
  </conditionalFormatting>
  <conditionalFormatting sqref="B79:C79">
    <cfRule type="cellIs" dxfId="5285" priority="3503" stopIfTrue="1" operator="equal">
      <formula>"Towel"</formula>
    </cfRule>
    <cfRule type="cellIs" dxfId="5284" priority="3504" stopIfTrue="1" operator="equal">
      <formula>"Napkin Hs"</formula>
    </cfRule>
  </conditionalFormatting>
  <conditionalFormatting sqref="C79">
    <cfRule type="cellIs" dxfId="5283" priority="3502" stopIfTrue="1" operator="equal">
      <formula>"Napkin Hs"</formula>
    </cfRule>
  </conditionalFormatting>
  <conditionalFormatting sqref="C79">
    <cfRule type="cellIs" dxfId="5282" priority="3499" stopIfTrue="1" operator="equal">
      <formula>"Towel"</formula>
    </cfRule>
    <cfRule type="cellIs" dxfId="5281" priority="3500" stopIfTrue="1" operator="equal">
      <formula>"Napkin Hs"</formula>
    </cfRule>
  </conditionalFormatting>
  <conditionalFormatting sqref="C79">
    <cfRule type="cellIs" dxfId="5280" priority="3501" stopIfTrue="1" operator="equal">
      <formula>"Towel"</formula>
    </cfRule>
  </conditionalFormatting>
  <conditionalFormatting sqref="B79:C79">
    <cfRule type="cellIs" dxfId="5279" priority="3497" stopIfTrue="1" operator="equal">
      <formula>"Towel"</formula>
    </cfRule>
    <cfRule type="cellIs" dxfId="5278" priority="3498" stopIfTrue="1" operator="equal">
      <formula>"Napkin Hs"</formula>
    </cfRule>
  </conditionalFormatting>
  <conditionalFormatting sqref="C79">
    <cfRule type="cellIs" dxfId="5277" priority="3496" stopIfTrue="1" operator="equal">
      <formula>"Napkin Hs"</formula>
    </cfRule>
  </conditionalFormatting>
  <conditionalFormatting sqref="C79">
    <cfRule type="cellIs" dxfId="5276" priority="3493" stopIfTrue="1" operator="equal">
      <formula>"Towel"</formula>
    </cfRule>
    <cfRule type="cellIs" dxfId="5275" priority="3494" stopIfTrue="1" operator="equal">
      <formula>"Napkin Hs"</formula>
    </cfRule>
  </conditionalFormatting>
  <conditionalFormatting sqref="C79">
    <cfRule type="cellIs" dxfId="5274" priority="3495" stopIfTrue="1" operator="equal">
      <formula>"Towel"</formula>
    </cfRule>
  </conditionalFormatting>
  <conditionalFormatting sqref="B79:C79">
    <cfRule type="cellIs" dxfId="5273" priority="3491" stopIfTrue="1" operator="equal">
      <formula>"Towel"</formula>
    </cfRule>
    <cfRule type="cellIs" dxfId="5272" priority="3492" stopIfTrue="1" operator="equal">
      <formula>"Napkin Hs"</formula>
    </cfRule>
  </conditionalFormatting>
  <conditionalFormatting sqref="C79">
    <cfRule type="cellIs" dxfId="5271" priority="3490" stopIfTrue="1" operator="equal">
      <formula>"Napkin Hs"</formula>
    </cfRule>
  </conditionalFormatting>
  <conditionalFormatting sqref="C79">
    <cfRule type="cellIs" dxfId="5270" priority="3487" stopIfTrue="1" operator="equal">
      <formula>"Towel"</formula>
    </cfRule>
    <cfRule type="cellIs" dxfId="5269" priority="3488" stopIfTrue="1" operator="equal">
      <formula>"Napkin Hs"</formula>
    </cfRule>
  </conditionalFormatting>
  <conditionalFormatting sqref="C79">
    <cfRule type="cellIs" dxfId="5268" priority="3489" stopIfTrue="1" operator="equal">
      <formula>"Towel"</formula>
    </cfRule>
  </conditionalFormatting>
  <conditionalFormatting sqref="B79:C79">
    <cfRule type="cellIs" dxfId="5267" priority="3485" stopIfTrue="1" operator="equal">
      <formula>"Towel"</formula>
    </cfRule>
    <cfRule type="cellIs" dxfId="5266" priority="3486" stopIfTrue="1" operator="equal">
      <formula>"Napkin Hs"</formula>
    </cfRule>
  </conditionalFormatting>
  <conditionalFormatting sqref="C79">
    <cfRule type="cellIs" dxfId="5265" priority="3484" stopIfTrue="1" operator="equal">
      <formula>"Napkin Hs"</formula>
    </cfRule>
  </conditionalFormatting>
  <conditionalFormatting sqref="C79">
    <cfRule type="cellIs" dxfId="5264" priority="3481" stopIfTrue="1" operator="equal">
      <formula>"Towel"</formula>
    </cfRule>
    <cfRule type="cellIs" dxfId="5263" priority="3482" stopIfTrue="1" operator="equal">
      <formula>"Napkin Hs"</formula>
    </cfRule>
  </conditionalFormatting>
  <conditionalFormatting sqref="C79">
    <cfRule type="cellIs" dxfId="5262" priority="3483" stopIfTrue="1" operator="equal">
      <formula>"Towel"</formula>
    </cfRule>
  </conditionalFormatting>
  <conditionalFormatting sqref="B79:C79">
    <cfRule type="cellIs" dxfId="5261" priority="3479" stopIfTrue="1" operator="equal">
      <formula>"Towel"</formula>
    </cfRule>
    <cfRule type="cellIs" dxfId="5260" priority="3480" stopIfTrue="1" operator="equal">
      <formula>"Napkin Hs"</formula>
    </cfRule>
  </conditionalFormatting>
  <conditionalFormatting sqref="C79">
    <cfRule type="cellIs" dxfId="5259" priority="3478" stopIfTrue="1" operator="equal">
      <formula>"Napkin Hs"</formula>
    </cfRule>
  </conditionalFormatting>
  <conditionalFormatting sqref="C79">
    <cfRule type="cellIs" dxfId="5258" priority="3475" stopIfTrue="1" operator="equal">
      <formula>"Towel"</formula>
    </cfRule>
    <cfRule type="cellIs" dxfId="5257" priority="3476" stopIfTrue="1" operator="equal">
      <formula>"Napkin Hs"</formula>
    </cfRule>
  </conditionalFormatting>
  <conditionalFormatting sqref="C79">
    <cfRule type="cellIs" dxfId="5256" priority="3477" stopIfTrue="1" operator="equal">
      <formula>"Towel"</formula>
    </cfRule>
  </conditionalFormatting>
  <conditionalFormatting sqref="B79:C79">
    <cfRule type="cellIs" dxfId="5255" priority="3473" stopIfTrue="1" operator="equal">
      <formula>"Towel"</formula>
    </cfRule>
    <cfRule type="cellIs" dxfId="5254" priority="3474" stopIfTrue="1" operator="equal">
      <formula>"Napkin Hs"</formula>
    </cfRule>
  </conditionalFormatting>
  <conditionalFormatting sqref="C79">
    <cfRule type="cellIs" dxfId="5253" priority="3472" stopIfTrue="1" operator="equal">
      <formula>"Napkin Hs"</formula>
    </cfRule>
  </conditionalFormatting>
  <conditionalFormatting sqref="C79">
    <cfRule type="cellIs" dxfId="5252" priority="3469" stopIfTrue="1" operator="equal">
      <formula>"Towel"</formula>
    </cfRule>
    <cfRule type="cellIs" dxfId="5251" priority="3470" stopIfTrue="1" operator="equal">
      <formula>"Napkin Hs"</formula>
    </cfRule>
  </conditionalFormatting>
  <conditionalFormatting sqref="C79">
    <cfRule type="cellIs" dxfId="5250" priority="3471" stopIfTrue="1" operator="equal">
      <formula>"Towel"</formula>
    </cfRule>
  </conditionalFormatting>
  <conditionalFormatting sqref="B79:C79">
    <cfRule type="cellIs" dxfId="5249" priority="3467" stopIfTrue="1" operator="equal">
      <formula>"Towel"</formula>
    </cfRule>
    <cfRule type="cellIs" dxfId="5248" priority="3468" stopIfTrue="1" operator="equal">
      <formula>"Napkin Hs"</formula>
    </cfRule>
  </conditionalFormatting>
  <conditionalFormatting sqref="C79">
    <cfRule type="cellIs" dxfId="5247" priority="3466" stopIfTrue="1" operator="equal">
      <formula>"Napkin Hs"</formula>
    </cfRule>
  </conditionalFormatting>
  <conditionalFormatting sqref="C79">
    <cfRule type="cellIs" dxfId="5246" priority="3463" stopIfTrue="1" operator="equal">
      <formula>"Towel"</formula>
    </cfRule>
    <cfRule type="cellIs" dxfId="5245" priority="3464" stopIfTrue="1" operator="equal">
      <formula>"Napkin Hs"</formula>
    </cfRule>
  </conditionalFormatting>
  <conditionalFormatting sqref="C79">
    <cfRule type="cellIs" dxfId="5244" priority="3465" stopIfTrue="1" operator="equal">
      <formula>"Towel"</formula>
    </cfRule>
  </conditionalFormatting>
  <conditionalFormatting sqref="B77:C77">
    <cfRule type="cellIs" dxfId="5243" priority="3461" stopIfTrue="1" operator="equal">
      <formula>"Towel"</formula>
    </cfRule>
    <cfRule type="cellIs" dxfId="5242" priority="3462" stopIfTrue="1" operator="equal">
      <formula>"Napkin Hs"</formula>
    </cfRule>
  </conditionalFormatting>
  <conditionalFormatting sqref="C77">
    <cfRule type="cellIs" dxfId="5241" priority="3457" stopIfTrue="1" operator="equal">
      <formula>"Towel"</formula>
    </cfRule>
    <cfRule type="cellIs" dxfId="5240" priority="3458" stopIfTrue="1" operator="equal">
      <formula>"Napkin Hs"</formula>
    </cfRule>
  </conditionalFormatting>
  <conditionalFormatting sqref="C77">
    <cfRule type="cellIs" dxfId="5239" priority="3459" stopIfTrue="1" operator="equal">
      <formula>"Towel"</formula>
    </cfRule>
    <cfRule type="cellIs" dxfId="5238" priority="3460" stopIfTrue="1" operator="equal">
      <formula>"Napkin Hs"</formula>
    </cfRule>
  </conditionalFormatting>
  <conditionalFormatting sqref="B77:C77">
    <cfRule type="cellIs" dxfId="5237" priority="3455" stopIfTrue="1" operator="equal">
      <formula>"Towel"</formula>
    </cfRule>
    <cfRule type="cellIs" dxfId="5236" priority="3456" stopIfTrue="1" operator="equal">
      <formula>"Napkin Hs"</formula>
    </cfRule>
  </conditionalFormatting>
  <conditionalFormatting sqref="C77">
    <cfRule type="cellIs" dxfId="5235" priority="3451" stopIfTrue="1" operator="equal">
      <formula>"Towel"</formula>
    </cfRule>
    <cfRule type="cellIs" dxfId="5234" priority="3452" stopIfTrue="1" operator="equal">
      <formula>"Napkin Hs"</formula>
    </cfRule>
  </conditionalFormatting>
  <conditionalFormatting sqref="C77">
    <cfRule type="cellIs" dxfId="5233" priority="3453" stopIfTrue="1" operator="equal">
      <formula>"Towel"</formula>
    </cfRule>
    <cfRule type="cellIs" dxfId="5232" priority="3454" stopIfTrue="1" operator="equal">
      <formula>"Napkin Hs"</formula>
    </cfRule>
  </conditionalFormatting>
  <conditionalFormatting sqref="B77:C77">
    <cfRule type="cellIs" dxfId="5231" priority="3447" stopIfTrue="1" operator="equal">
      <formula>"Towel"</formula>
    </cfRule>
    <cfRule type="cellIs" dxfId="5230" priority="3448" stopIfTrue="1" operator="equal">
      <formula>"Napkin Hs"</formula>
    </cfRule>
  </conditionalFormatting>
  <conditionalFormatting sqref="C77">
    <cfRule type="cellIs" dxfId="5229" priority="3449" stopIfTrue="1" operator="equal">
      <formula>"Towel"</formula>
    </cfRule>
    <cfRule type="cellIs" dxfId="5228" priority="3450" stopIfTrue="1" operator="equal">
      <formula>"Napkin Hs"</formula>
    </cfRule>
  </conditionalFormatting>
  <conditionalFormatting sqref="C77">
    <cfRule type="cellIs" dxfId="5227" priority="3445" stopIfTrue="1" operator="equal">
      <formula>"Towel"</formula>
    </cfRule>
    <cfRule type="cellIs" dxfId="5226" priority="3446" stopIfTrue="1" operator="equal">
      <formula>"Napkin Hs"</formula>
    </cfRule>
  </conditionalFormatting>
  <conditionalFormatting sqref="B77:C77">
    <cfRule type="cellIs" dxfId="5225" priority="3443" stopIfTrue="1" operator="equal">
      <formula>"Towel"</formula>
    </cfRule>
    <cfRule type="cellIs" dxfId="5224" priority="3444" stopIfTrue="1" operator="equal">
      <formula>"Napkin Hs"</formula>
    </cfRule>
  </conditionalFormatting>
  <conditionalFormatting sqref="C77">
    <cfRule type="cellIs" dxfId="5223" priority="3442" stopIfTrue="1" operator="equal">
      <formula>"Napkin Hs"</formula>
    </cfRule>
  </conditionalFormatting>
  <conditionalFormatting sqref="C77">
    <cfRule type="cellIs" dxfId="5222" priority="3439" stopIfTrue="1" operator="equal">
      <formula>"Towel"</formula>
    </cfRule>
    <cfRule type="cellIs" dxfId="5221" priority="3440" stopIfTrue="1" operator="equal">
      <formula>"Napkin Hs"</formula>
    </cfRule>
  </conditionalFormatting>
  <conditionalFormatting sqref="C77">
    <cfRule type="cellIs" dxfId="5220" priority="3441" stopIfTrue="1" operator="equal">
      <formula>"Towel"</formula>
    </cfRule>
  </conditionalFormatting>
  <conditionalFormatting sqref="B77:C77">
    <cfRule type="cellIs" dxfId="5219" priority="3437" stopIfTrue="1" operator="equal">
      <formula>"Towel"</formula>
    </cfRule>
    <cfRule type="cellIs" dxfId="5218" priority="3438" stopIfTrue="1" operator="equal">
      <formula>"Napkin Hs"</formula>
    </cfRule>
  </conditionalFormatting>
  <conditionalFormatting sqref="C77">
    <cfRule type="cellIs" dxfId="5217" priority="3433" stopIfTrue="1" operator="equal">
      <formula>"Towel"</formula>
    </cfRule>
    <cfRule type="cellIs" dxfId="5216" priority="3434" stopIfTrue="1" operator="equal">
      <formula>"Napkin Hs"</formula>
    </cfRule>
  </conditionalFormatting>
  <conditionalFormatting sqref="C77">
    <cfRule type="cellIs" dxfId="5215" priority="3435" stopIfTrue="1" operator="equal">
      <formula>"Towel"</formula>
    </cfRule>
    <cfRule type="cellIs" dxfId="5214" priority="3436" stopIfTrue="1" operator="equal">
      <formula>"Napkin Hs"</formula>
    </cfRule>
  </conditionalFormatting>
  <conditionalFormatting sqref="B77:C77">
    <cfRule type="cellIs" dxfId="5213" priority="3431" stopIfTrue="1" operator="equal">
      <formula>"Towel"</formula>
    </cfRule>
    <cfRule type="cellIs" dxfId="5212" priority="3432" stopIfTrue="1" operator="equal">
      <formula>"Napkin Hs"</formula>
    </cfRule>
  </conditionalFormatting>
  <conditionalFormatting sqref="C77">
    <cfRule type="cellIs" dxfId="5211" priority="3430" stopIfTrue="1" operator="equal">
      <formula>"Napkin Hs"</formula>
    </cfRule>
  </conditionalFormatting>
  <conditionalFormatting sqref="C77">
    <cfRule type="cellIs" dxfId="5210" priority="3427" stopIfTrue="1" operator="equal">
      <formula>"Towel"</formula>
    </cfRule>
    <cfRule type="cellIs" dxfId="5209" priority="3428" stopIfTrue="1" operator="equal">
      <formula>"Napkin Hs"</formula>
    </cfRule>
  </conditionalFormatting>
  <conditionalFormatting sqref="C77">
    <cfRule type="cellIs" dxfId="5208" priority="3429" stopIfTrue="1" operator="equal">
      <formula>"Towel"</formula>
    </cfRule>
  </conditionalFormatting>
  <conditionalFormatting sqref="B77:C77">
    <cfRule type="cellIs" dxfId="5207" priority="3425" stopIfTrue="1" operator="equal">
      <formula>"Towel"</formula>
    </cfRule>
    <cfRule type="cellIs" dxfId="5206" priority="3426" stopIfTrue="1" operator="equal">
      <formula>"Napkin Hs"</formula>
    </cfRule>
  </conditionalFormatting>
  <conditionalFormatting sqref="C77">
    <cfRule type="cellIs" dxfId="5205" priority="3423" stopIfTrue="1" operator="equal">
      <formula>"Towel"</formula>
    </cfRule>
    <cfRule type="cellIs" dxfId="5204" priority="3424" stopIfTrue="1" operator="equal">
      <formula>"Napkin Hs"</formula>
    </cfRule>
  </conditionalFormatting>
  <conditionalFormatting sqref="C77">
    <cfRule type="cellIs" dxfId="5203" priority="3421" stopIfTrue="1" operator="equal">
      <formula>"Towel"</formula>
    </cfRule>
    <cfRule type="cellIs" dxfId="5202" priority="3422" stopIfTrue="1" operator="equal">
      <formula>"Napkin Hs"</formula>
    </cfRule>
  </conditionalFormatting>
  <conditionalFormatting sqref="B77:C77">
    <cfRule type="cellIs" dxfId="5201" priority="3419" stopIfTrue="1" operator="equal">
      <formula>"Towel"</formula>
    </cfRule>
    <cfRule type="cellIs" dxfId="5200" priority="3420" stopIfTrue="1" operator="equal">
      <formula>"Napkin Hs"</formula>
    </cfRule>
  </conditionalFormatting>
  <conditionalFormatting sqref="C77">
    <cfRule type="cellIs" dxfId="5199" priority="3418" stopIfTrue="1" operator="equal">
      <formula>"Napkin Hs"</formula>
    </cfRule>
  </conditionalFormatting>
  <conditionalFormatting sqref="C77">
    <cfRule type="cellIs" dxfId="5198" priority="3415" stopIfTrue="1" operator="equal">
      <formula>"Towel"</formula>
    </cfRule>
    <cfRule type="cellIs" dxfId="5197" priority="3416" stopIfTrue="1" operator="equal">
      <formula>"Napkin Hs"</formula>
    </cfRule>
  </conditionalFormatting>
  <conditionalFormatting sqref="C77">
    <cfRule type="cellIs" dxfId="5196" priority="3417" stopIfTrue="1" operator="equal">
      <formula>"Towel"</formula>
    </cfRule>
  </conditionalFormatting>
  <conditionalFormatting sqref="B77:C77">
    <cfRule type="cellIs" dxfId="5195" priority="3413" stopIfTrue="1" operator="equal">
      <formula>"Towel"</formula>
    </cfRule>
    <cfRule type="cellIs" dxfId="5194" priority="3414" stopIfTrue="1" operator="equal">
      <formula>"Napkin Hs"</formula>
    </cfRule>
  </conditionalFormatting>
  <conditionalFormatting sqref="C77">
    <cfRule type="cellIs" dxfId="5193" priority="3412" stopIfTrue="1" operator="equal">
      <formula>"Napkin Hs"</formula>
    </cfRule>
  </conditionalFormatting>
  <conditionalFormatting sqref="C77">
    <cfRule type="cellIs" dxfId="5192" priority="3411" stopIfTrue="1" operator="equal">
      <formula>"Towel"</formula>
    </cfRule>
  </conditionalFormatting>
  <conditionalFormatting sqref="C77">
    <cfRule type="cellIs" dxfId="5191" priority="3409" stopIfTrue="1" operator="equal">
      <formula>"Towel"</formula>
    </cfRule>
    <cfRule type="cellIs" dxfId="5190" priority="3410" stopIfTrue="1" operator="equal">
      <formula>"Napkin Hs"</formula>
    </cfRule>
  </conditionalFormatting>
  <conditionalFormatting sqref="B77:C77">
    <cfRule type="cellIs" dxfId="5189" priority="3407" stopIfTrue="1" operator="equal">
      <formula>"Towel"</formula>
    </cfRule>
    <cfRule type="cellIs" dxfId="5188" priority="3408" stopIfTrue="1" operator="equal">
      <formula>"Napkin Hs"</formula>
    </cfRule>
  </conditionalFormatting>
  <conditionalFormatting sqref="C77">
    <cfRule type="cellIs" dxfId="5187" priority="3406" stopIfTrue="1" operator="equal">
      <formula>"Napkin Hs"</formula>
    </cfRule>
  </conditionalFormatting>
  <conditionalFormatting sqref="C77">
    <cfRule type="cellIs" dxfId="5186" priority="3403" stopIfTrue="1" operator="equal">
      <formula>"Towel"</formula>
    </cfRule>
    <cfRule type="cellIs" dxfId="5185" priority="3404" stopIfTrue="1" operator="equal">
      <formula>"Napkin Hs"</formula>
    </cfRule>
  </conditionalFormatting>
  <conditionalFormatting sqref="C77">
    <cfRule type="cellIs" dxfId="5184" priority="3405" stopIfTrue="1" operator="equal">
      <formula>"Towel"</formula>
    </cfRule>
  </conditionalFormatting>
  <conditionalFormatting sqref="B77:C77">
    <cfRule type="cellIs" dxfId="5183" priority="3401" stopIfTrue="1" operator="equal">
      <formula>"Towel"</formula>
    </cfRule>
    <cfRule type="cellIs" dxfId="5182" priority="3402" stopIfTrue="1" operator="equal">
      <formula>"Napkin Hs"</formula>
    </cfRule>
  </conditionalFormatting>
  <conditionalFormatting sqref="C77">
    <cfRule type="cellIs" dxfId="5181" priority="3400" stopIfTrue="1" operator="equal">
      <formula>"Napkin Hs"</formula>
    </cfRule>
  </conditionalFormatting>
  <conditionalFormatting sqref="C77">
    <cfRule type="cellIs" dxfId="5180" priority="3397" stopIfTrue="1" operator="equal">
      <formula>"Towel"</formula>
    </cfRule>
    <cfRule type="cellIs" dxfId="5179" priority="3398" stopIfTrue="1" operator="equal">
      <formula>"Napkin Hs"</formula>
    </cfRule>
  </conditionalFormatting>
  <conditionalFormatting sqref="C77">
    <cfRule type="cellIs" dxfId="5178" priority="3399" stopIfTrue="1" operator="equal">
      <formula>"Towel"</formula>
    </cfRule>
  </conditionalFormatting>
  <conditionalFormatting sqref="B77:C77">
    <cfRule type="cellIs" dxfId="5177" priority="3395" stopIfTrue="1" operator="equal">
      <formula>"Towel"</formula>
    </cfRule>
    <cfRule type="cellIs" dxfId="5176" priority="3396" stopIfTrue="1" operator="equal">
      <formula>"Napkin Hs"</formula>
    </cfRule>
  </conditionalFormatting>
  <conditionalFormatting sqref="C77">
    <cfRule type="cellIs" dxfId="5175" priority="3394" stopIfTrue="1" operator="equal">
      <formula>"Napkin Hs"</formula>
    </cfRule>
  </conditionalFormatting>
  <conditionalFormatting sqref="C77">
    <cfRule type="cellIs" dxfId="5174" priority="3391" stopIfTrue="1" operator="equal">
      <formula>"Towel"</formula>
    </cfRule>
    <cfRule type="cellIs" dxfId="5173" priority="3392" stopIfTrue="1" operator="equal">
      <formula>"Napkin Hs"</formula>
    </cfRule>
  </conditionalFormatting>
  <conditionalFormatting sqref="C77">
    <cfRule type="cellIs" dxfId="5172" priority="3393" stopIfTrue="1" operator="equal">
      <formula>"Towel"</formula>
    </cfRule>
  </conditionalFormatting>
  <conditionalFormatting sqref="B77:C77">
    <cfRule type="cellIs" dxfId="5171" priority="3389" stopIfTrue="1" operator="equal">
      <formula>"Towel"</formula>
    </cfRule>
    <cfRule type="cellIs" dxfId="5170" priority="3390" stopIfTrue="1" operator="equal">
      <formula>"Napkin Hs"</formula>
    </cfRule>
  </conditionalFormatting>
  <conditionalFormatting sqref="C77">
    <cfRule type="cellIs" dxfId="5169" priority="3388" stopIfTrue="1" operator="equal">
      <formula>"Napkin Hs"</formula>
    </cfRule>
  </conditionalFormatting>
  <conditionalFormatting sqref="C77">
    <cfRule type="cellIs" dxfId="5168" priority="3385" stopIfTrue="1" operator="equal">
      <formula>"Towel"</formula>
    </cfRule>
    <cfRule type="cellIs" dxfId="5167" priority="3386" stopIfTrue="1" operator="equal">
      <formula>"Napkin Hs"</formula>
    </cfRule>
  </conditionalFormatting>
  <conditionalFormatting sqref="C77">
    <cfRule type="cellIs" dxfId="5166" priority="3387" stopIfTrue="1" operator="equal">
      <formula>"Towel"</formula>
    </cfRule>
  </conditionalFormatting>
  <conditionalFormatting sqref="B77:C77">
    <cfRule type="cellIs" dxfId="5165" priority="3383" stopIfTrue="1" operator="equal">
      <formula>"Towel"</formula>
    </cfRule>
    <cfRule type="cellIs" dxfId="5164" priority="3384" stopIfTrue="1" operator="equal">
      <formula>"Napkin Hs"</formula>
    </cfRule>
  </conditionalFormatting>
  <conditionalFormatting sqref="C77">
    <cfRule type="cellIs" dxfId="5163" priority="3382" stopIfTrue="1" operator="equal">
      <formula>"Napkin Hs"</formula>
    </cfRule>
  </conditionalFormatting>
  <conditionalFormatting sqref="C77">
    <cfRule type="cellIs" dxfId="5162" priority="3379" stopIfTrue="1" operator="equal">
      <formula>"Towel"</formula>
    </cfRule>
    <cfRule type="cellIs" dxfId="5161" priority="3380" stopIfTrue="1" operator="equal">
      <formula>"Napkin Hs"</formula>
    </cfRule>
  </conditionalFormatting>
  <conditionalFormatting sqref="C77">
    <cfRule type="cellIs" dxfId="5160" priority="3381" stopIfTrue="1" operator="equal">
      <formula>"Towel"</formula>
    </cfRule>
  </conditionalFormatting>
  <conditionalFormatting sqref="B77:C77">
    <cfRule type="cellIs" dxfId="5159" priority="3377" stopIfTrue="1" operator="equal">
      <formula>"Towel"</formula>
    </cfRule>
    <cfRule type="cellIs" dxfId="5158" priority="3378" stopIfTrue="1" operator="equal">
      <formula>"Napkin Hs"</formula>
    </cfRule>
  </conditionalFormatting>
  <conditionalFormatting sqref="C77">
    <cfRule type="cellIs" dxfId="5157" priority="3376" stopIfTrue="1" operator="equal">
      <formula>"Napkin Hs"</formula>
    </cfRule>
  </conditionalFormatting>
  <conditionalFormatting sqref="C77">
    <cfRule type="cellIs" dxfId="5156" priority="3373" stopIfTrue="1" operator="equal">
      <formula>"Towel"</formula>
    </cfRule>
    <cfRule type="cellIs" dxfId="5155" priority="3374" stopIfTrue="1" operator="equal">
      <formula>"Napkin Hs"</formula>
    </cfRule>
  </conditionalFormatting>
  <conditionalFormatting sqref="C77">
    <cfRule type="cellIs" dxfId="5154" priority="3375" stopIfTrue="1" operator="equal">
      <formula>"Towel"</formula>
    </cfRule>
  </conditionalFormatting>
  <conditionalFormatting sqref="B77:C77">
    <cfRule type="cellIs" dxfId="5153" priority="3371" stopIfTrue="1" operator="equal">
      <formula>"Towel"</formula>
    </cfRule>
    <cfRule type="cellIs" dxfId="5152" priority="3372" stopIfTrue="1" operator="equal">
      <formula>"Napkin Hs"</formula>
    </cfRule>
  </conditionalFormatting>
  <conditionalFormatting sqref="C77">
    <cfRule type="cellIs" dxfId="5151" priority="3370" stopIfTrue="1" operator="equal">
      <formula>"Napkin Hs"</formula>
    </cfRule>
  </conditionalFormatting>
  <conditionalFormatting sqref="C77">
    <cfRule type="cellIs" dxfId="5150" priority="3367" stopIfTrue="1" operator="equal">
      <formula>"Towel"</formula>
    </cfRule>
    <cfRule type="cellIs" dxfId="5149" priority="3368" stopIfTrue="1" operator="equal">
      <formula>"Napkin Hs"</formula>
    </cfRule>
  </conditionalFormatting>
  <conditionalFormatting sqref="C77">
    <cfRule type="cellIs" dxfId="5148" priority="3369" stopIfTrue="1" operator="equal">
      <formula>"Towel"</formula>
    </cfRule>
  </conditionalFormatting>
  <conditionalFormatting sqref="B77:C77">
    <cfRule type="cellIs" dxfId="5147" priority="3365" stopIfTrue="1" operator="equal">
      <formula>"Towel"</formula>
    </cfRule>
    <cfRule type="cellIs" dxfId="5146" priority="3366" stopIfTrue="1" operator="equal">
      <formula>"Napkin Hs"</formula>
    </cfRule>
  </conditionalFormatting>
  <conditionalFormatting sqref="C77">
    <cfRule type="cellIs" dxfId="5145" priority="3364" stopIfTrue="1" operator="equal">
      <formula>"Napkin Hs"</formula>
    </cfRule>
  </conditionalFormatting>
  <conditionalFormatting sqref="C77">
    <cfRule type="cellIs" dxfId="5144" priority="3361" stopIfTrue="1" operator="equal">
      <formula>"Towel"</formula>
    </cfRule>
    <cfRule type="cellIs" dxfId="5143" priority="3362" stopIfTrue="1" operator="equal">
      <formula>"Napkin Hs"</formula>
    </cfRule>
  </conditionalFormatting>
  <conditionalFormatting sqref="C77">
    <cfRule type="cellIs" dxfId="5142" priority="3363" stopIfTrue="1" operator="equal">
      <formula>"Towel"</formula>
    </cfRule>
  </conditionalFormatting>
  <conditionalFormatting sqref="B77:C77">
    <cfRule type="cellIs" dxfId="5141" priority="3359" stopIfTrue="1" operator="equal">
      <formula>"Towel"</formula>
    </cfRule>
    <cfRule type="cellIs" dxfId="5140" priority="3360" stopIfTrue="1" operator="equal">
      <formula>"Napkin Hs"</formula>
    </cfRule>
  </conditionalFormatting>
  <conditionalFormatting sqref="C77">
    <cfRule type="cellIs" dxfId="5139" priority="3358" stopIfTrue="1" operator="equal">
      <formula>"Napkin Hs"</formula>
    </cfRule>
  </conditionalFormatting>
  <conditionalFormatting sqref="C77">
    <cfRule type="cellIs" dxfId="5138" priority="3355" stopIfTrue="1" operator="equal">
      <formula>"Towel"</formula>
    </cfRule>
    <cfRule type="cellIs" dxfId="5137" priority="3356" stopIfTrue="1" operator="equal">
      <formula>"Napkin Hs"</formula>
    </cfRule>
  </conditionalFormatting>
  <conditionalFormatting sqref="C77">
    <cfRule type="cellIs" dxfId="5136" priority="3357" stopIfTrue="1" operator="equal">
      <formula>"Towel"</formula>
    </cfRule>
  </conditionalFormatting>
  <conditionalFormatting sqref="B77:C77">
    <cfRule type="cellIs" dxfId="5135" priority="3353" stopIfTrue="1" operator="equal">
      <formula>"Towel"</formula>
    </cfRule>
    <cfRule type="cellIs" dxfId="5134" priority="3354" stopIfTrue="1" operator="equal">
      <formula>"Napkin Hs"</formula>
    </cfRule>
  </conditionalFormatting>
  <conditionalFormatting sqref="C77">
    <cfRule type="cellIs" dxfId="5133" priority="3352" stopIfTrue="1" operator="equal">
      <formula>"Napkin Hs"</formula>
    </cfRule>
  </conditionalFormatting>
  <conditionalFormatting sqref="C77">
    <cfRule type="cellIs" dxfId="5132" priority="3349" stopIfTrue="1" operator="equal">
      <formula>"Towel"</formula>
    </cfRule>
    <cfRule type="cellIs" dxfId="5131" priority="3350" stopIfTrue="1" operator="equal">
      <formula>"Napkin Hs"</formula>
    </cfRule>
  </conditionalFormatting>
  <conditionalFormatting sqref="C77">
    <cfRule type="cellIs" dxfId="5130" priority="3351" stopIfTrue="1" operator="equal">
      <formula>"Towel"</formula>
    </cfRule>
  </conditionalFormatting>
  <conditionalFormatting sqref="B77:C77">
    <cfRule type="cellIs" dxfId="5129" priority="3347" stopIfTrue="1" operator="equal">
      <formula>"Towel"</formula>
    </cfRule>
    <cfRule type="cellIs" dxfId="5128" priority="3348" stopIfTrue="1" operator="equal">
      <formula>"Napkin Hs"</formula>
    </cfRule>
  </conditionalFormatting>
  <conditionalFormatting sqref="C77">
    <cfRule type="cellIs" dxfId="5127" priority="3346" stopIfTrue="1" operator="equal">
      <formula>"Napkin Hs"</formula>
    </cfRule>
  </conditionalFormatting>
  <conditionalFormatting sqref="C77">
    <cfRule type="cellIs" dxfId="5126" priority="3345" stopIfTrue="1" operator="equal">
      <formula>"Towel"</formula>
    </cfRule>
  </conditionalFormatting>
  <conditionalFormatting sqref="C77">
    <cfRule type="cellIs" dxfId="5125" priority="3343" stopIfTrue="1" operator="equal">
      <formula>"Towel"</formula>
    </cfRule>
    <cfRule type="cellIs" dxfId="5124" priority="3344" stopIfTrue="1" operator="equal">
      <formula>"Napkin Hs"</formula>
    </cfRule>
  </conditionalFormatting>
  <conditionalFormatting sqref="B77:C77">
    <cfRule type="cellIs" dxfId="5123" priority="3341" stopIfTrue="1" operator="equal">
      <formula>"Towel"</formula>
    </cfRule>
    <cfRule type="cellIs" dxfId="5122" priority="3342" stopIfTrue="1" operator="equal">
      <formula>"Napkin Hs"</formula>
    </cfRule>
  </conditionalFormatting>
  <conditionalFormatting sqref="C77">
    <cfRule type="cellIs" dxfId="5121" priority="3340" stopIfTrue="1" operator="equal">
      <formula>"Napkin Hs"</formula>
    </cfRule>
  </conditionalFormatting>
  <conditionalFormatting sqref="C77">
    <cfRule type="cellIs" dxfId="5120" priority="3337" stopIfTrue="1" operator="equal">
      <formula>"Towel"</formula>
    </cfRule>
    <cfRule type="cellIs" dxfId="5119" priority="3338" stopIfTrue="1" operator="equal">
      <formula>"Napkin Hs"</formula>
    </cfRule>
  </conditionalFormatting>
  <conditionalFormatting sqref="C77">
    <cfRule type="cellIs" dxfId="5118" priority="3339" stopIfTrue="1" operator="equal">
      <formula>"Towel"</formula>
    </cfRule>
  </conditionalFormatting>
  <conditionalFormatting sqref="B77:C77">
    <cfRule type="cellIs" dxfId="5117" priority="3335" stopIfTrue="1" operator="equal">
      <formula>"Towel"</formula>
    </cfRule>
    <cfRule type="cellIs" dxfId="5116" priority="3336" stopIfTrue="1" operator="equal">
      <formula>"Napkin Hs"</formula>
    </cfRule>
  </conditionalFormatting>
  <conditionalFormatting sqref="C77">
    <cfRule type="cellIs" dxfId="5115" priority="3334" stopIfTrue="1" operator="equal">
      <formula>"Napkin Hs"</formula>
    </cfRule>
  </conditionalFormatting>
  <conditionalFormatting sqref="C77">
    <cfRule type="cellIs" dxfId="5114" priority="3331" stopIfTrue="1" operator="equal">
      <formula>"Towel"</formula>
    </cfRule>
    <cfRule type="cellIs" dxfId="5113" priority="3332" stopIfTrue="1" operator="equal">
      <formula>"Napkin Hs"</formula>
    </cfRule>
  </conditionalFormatting>
  <conditionalFormatting sqref="C77">
    <cfRule type="cellIs" dxfId="5112" priority="3333" stopIfTrue="1" operator="equal">
      <formula>"Towel"</formula>
    </cfRule>
  </conditionalFormatting>
  <conditionalFormatting sqref="B77:C77">
    <cfRule type="cellIs" dxfId="5111" priority="3329" stopIfTrue="1" operator="equal">
      <formula>"Towel"</formula>
    </cfRule>
    <cfRule type="cellIs" dxfId="5110" priority="3330" stopIfTrue="1" operator="equal">
      <formula>"Napkin Hs"</formula>
    </cfRule>
  </conditionalFormatting>
  <conditionalFormatting sqref="C77">
    <cfRule type="cellIs" dxfId="5109" priority="3328" stopIfTrue="1" operator="equal">
      <formula>"Napkin Hs"</formula>
    </cfRule>
  </conditionalFormatting>
  <conditionalFormatting sqref="C77">
    <cfRule type="cellIs" dxfId="5108" priority="3325" stopIfTrue="1" operator="equal">
      <formula>"Towel"</formula>
    </cfRule>
    <cfRule type="cellIs" dxfId="5107" priority="3326" stopIfTrue="1" operator="equal">
      <formula>"Napkin Hs"</formula>
    </cfRule>
  </conditionalFormatting>
  <conditionalFormatting sqref="C77">
    <cfRule type="cellIs" dxfId="5106" priority="3327" stopIfTrue="1" operator="equal">
      <formula>"Towel"</formula>
    </cfRule>
  </conditionalFormatting>
  <conditionalFormatting sqref="B77:C77">
    <cfRule type="cellIs" dxfId="5105" priority="3323" stopIfTrue="1" operator="equal">
      <formula>"Towel"</formula>
    </cfRule>
    <cfRule type="cellIs" dxfId="5104" priority="3324" stopIfTrue="1" operator="equal">
      <formula>"Napkin Hs"</formula>
    </cfRule>
  </conditionalFormatting>
  <conditionalFormatting sqref="C77">
    <cfRule type="cellIs" dxfId="5103" priority="3322" stopIfTrue="1" operator="equal">
      <formula>"Napkin Hs"</formula>
    </cfRule>
  </conditionalFormatting>
  <conditionalFormatting sqref="C77">
    <cfRule type="cellIs" dxfId="5102" priority="3319" stopIfTrue="1" operator="equal">
      <formula>"Towel"</formula>
    </cfRule>
    <cfRule type="cellIs" dxfId="5101" priority="3320" stopIfTrue="1" operator="equal">
      <formula>"Napkin Hs"</formula>
    </cfRule>
  </conditionalFormatting>
  <conditionalFormatting sqref="C77">
    <cfRule type="cellIs" dxfId="5100" priority="3321" stopIfTrue="1" operator="equal">
      <formula>"Towel"</formula>
    </cfRule>
  </conditionalFormatting>
  <conditionalFormatting sqref="B77:C77">
    <cfRule type="cellIs" dxfId="5099" priority="3317" stopIfTrue="1" operator="equal">
      <formula>"Towel"</formula>
    </cfRule>
    <cfRule type="cellIs" dxfId="5098" priority="3318" stopIfTrue="1" operator="equal">
      <formula>"Napkin Hs"</formula>
    </cfRule>
  </conditionalFormatting>
  <conditionalFormatting sqref="C77">
    <cfRule type="cellIs" dxfId="5097" priority="3316" stopIfTrue="1" operator="equal">
      <formula>"Napkin Hs"</formula>
    </cfRule>
  </conditionalFormatting>
  <conditionalFormatting sqref="C77">
    <cfRule type="cellIs" dxfId="5096" priority="3313" stopIfTrue="1" operator="equal">
      <formula>"Towel"</formula>
    </cfRule>
    <cfRule type="cellIs" dxfId="5095" priority="3314" stopIfTrue="1" operator="equal">
      <formula>"Napkin Hs"</formula>
    </cfRule>
  </conditionalFormatting>
  <conditionalFormatting sqref="C77">
    <cfRule type="cellIs" dxfId="5094" priority="3315" stopIfTrue="1" operator="equal">
      <formula>"Towel"</formula>
    </cfRule>
  </conditionalFormatting>
  <conditionalFormatting sqref="B77:C77">
    <cfRule type="cellIs" dxfId="5093" priority="3311" stopIfTrue="1" operator="equal">
      <formula>"Towel"</formula>
    </cfRule>
    <cfRule type="cellIs" dxfId="5092" priority="3312" stopIfTrue="1" operator="equal">
      <formula>"Napkin Hs"</formula>
    </cfRule>
  </conditionalFormatting>
  <conditionalFormatting sqref="C77">
    <cfRule type="cellIs" dxfId="5091" priority="3310" stopIfTrue="1" operator="equal">
      <formula>"Napkin Hs"</formula>
    </cfRule>
  </conditionalFormatting>
  <conditionalFormatting sqref="C77">
    <cfRule type="cellIs" dxfId="5090" priority="3307" stopIfTrue="1" operator="equal">
      <formula>"Towel"</formula>
    </cfRule>
    <cfRule type="cellIs" dxfId="5089" priority="3308" stopIfTrue="1" operator="equal">
      <formula>"Napkin Hs"</formula>
    </cfRule>
  </conditionalFormatting>
  <conditionalFormatting sqref="C77">
    <cfRule type="cellIs" dxfId="5088" priority="3309" stopIfTrue="1" operator="equal">
      <formula>"Towel"</formula>
    </cfRule>
  </conditionalFormatting>
  <conditionalFormatting sqref="B77:C77">
    <cfRule type="cellIs" dxfId="5087" priority="3305" stopIfTrue="1" operator="equal">
      <formula>"Towel"</formula>
    </cfRule>
    <cfRule type="cellIs" dxfId="5086" priority="3306" stopIfTrue="1" operator="equal">
      <formula>"Napkin Hs"</formula>
    </cfRule>
  </conditionalFormatting>
  <conditionalFormatting sqref="C77">
    <cfRule type="cellIs" dxfId="5085" priority="3304" stopIfTrue="1" operator="equal">
      <formula>"Napkin Hs"</formula>
    </cfRule>
  </conditionalFormatting>
  <conditionalFormatting sqref="C77">
    <cfRule type="cellIs" dxfId="5084" priority="3301" stopIfTrue="1" operator="equal">
      <formula>"Towel"</formula>
    </cfRule>
    <cfRule type="cellIs" dxfId="5083" priority="3302" stopIfTrue="1" operator="equal">
      <formula>"Napkin Hs"</formula>
    </cfRule>
  </conditionalFormatting>
  <conditionalFormatting sqref="C77">
    <cfRule type="cellIs" dxfId="5082" priority="3303" stopIfTrue="1" operator="equal">
      <formula>"Towel"</formula>
    </cfRule>
  </conditionalFormatting>
  <conditionalFormatting sqref="B77:C77">
    <cfRule type="cellIs" dxfId="5081" priority="3299" stopIfTrue="1" operator="equal">
      <formula>"Towel"</formula>
    </cfRule>
    <cfRule type="cellIs" dxfId="5080" priority="3300" stopIfTrue="1" operator="equal">
      <formula>"Napkin Hs"</formula>
    </cfRule>
  </conditionalFormatting>
  <conditionalFormatting sqref="C77">
    <cfRule type="cellIs" dxfId="5079" priority="3298" stopIfTrue="1" operator="equal">
      <formula>"Napkin Hs"</formula>
    </cfRule>
  </conditionalFormatting>
  <conditionalFormatting sqref="C77">
    <cfRule type="cellIs" dxfId="5078" priority="3295" stopIfTrue="1" operator="equal">
      <formula>"Towel"</formula>
    </cfRule>
    <cfRule type="cellIs" dxfId="5077" priority="3296" stopIfTrue="1" operator="equal">
      <formula>"Napkin Hs"</formula>
    </cfRule>
  </conditionalFormatting>
  <conditionalFormatting sqref="C77">
    <cfRule type="cellIs" dxfId="5076" priority="3297" stopIfTrue="1" operator="equal">
      <formula>"Towel"</formula>
    </cfRule>
  </conditionalFormatting>
  <conditionalFormatting sqref="B77:C77">
    <cfRule type="cellIs" dxfId="5075" priority="3293" stopIfTrue="1" operator="equal">
      <formula>"Towel"</formula>
    </cfRule>
    <cfRule type="cellIs" dxfId="5074" priority="3294" stopIfTrue="1" operator="equal">
      <formula>"Napkin Hs"</formula>
    </cfRule>
  </conditionalFormatting>
  <conditionalFormatting sqref="C77">
    <cfRule type="cellIs" dxfId="5073" priority="3292" stopIfTrue="1" operator="equal">
      <formula>"Napkin Hs"</formula>
    </cfRule>
  </conditionalFormatting>
  <conditionalFormatting sqref="C77">
    <cfRule type="cellIs" dxfId="5072" priority="3289" stopIfTrue="1" operator="equal">
      <formula>"Towel"</formula>
    </cfRule>
    <cfRule type="cellIs" dxfId="5071" priority="3290" stopIfTrue="1" operator="equal">
      <formula>"Napkin Hs"</formula>
    </cfRule>
  </conditionalFormatting>
  <conditionalFormatting sqref="C77">
    <cfRule type="cellIs" dxfId="5070" priority="3291" stopIfTrue="1" operator="equal">
      <formula>"Towel"</formula>
    </cfRule>
  </conditionalFormatting>
  <conditionalFormatting sqref="B78:C78">
    <cfRule type="cellIs" dxfId="5069" priority="3287" stopIfTrue="1" operator="equal">
      <formula>"Towel"</formula>
    </cfRule>
    <cfRule type="cellIs" dxfId="5068" priority="3288" stopIfTrue="1" operator="equal">
      <formula>"Napkin Hs"</formula>
    </cfRule>
  </conditionalFormatting>
  <conditionalFormatting sqref="C78">
    <cfRule type="cellIs" dxfId="5067" priority="3286" stopIfTrue="1" operator="equal">
      <formula>"Napkin Hs"</formula>
    </cfRule>
  </conditionalFormatting>
  <conditionalFormatting sqref="C78">
    <cfRule type="cellIs" dxfId="5066" priority="3283" stopIfTrue="1" operator="equal">
      <formula>"Towel"</formula>
    </cfRule>
    <cfRule type="cellIs" dxfId="5065" priority="3284" stopIfTrue="1" operator="equal">
      <formula>"Napkin Hs"</formula>
    </cfRule>
  </conditionalFormatting>
  <conditionalFormatting sqref="C78">
    <cfRule type="cellIs" dxfId="5064" priority="3285" stopIfTrue="1" operator="equal">
      <formula>"Towel"</formula>
    </cfRule>
  </conditionalFormatting>
  <conditionalFormatting sqref="B78:C78">
    <cfRule type="cellIs" dxfId="5063" priority="3281" stopIfTrue="1" operator="equal">
      <formula>"Towel"</formula>
    </cfRule>
    <cfRule type="cellIs" dxfId="5062" priority="3282" stopIfTrue="1" operator="equal">
      <formula>"Napkin Hs"</formula>
    </cfRule>
  </conditionalFormatting>
  <conditionalFormatting sqref="C78">
    <cfRule type="cellIs" dxfId="5061" priority="3280" stopIfTrue="1" operator="equal">
      <formula>"Napkin Hs"</formula>
    </cfRule>
  </conditionalFormatting>
  <conditionalFormatting sqref="C78">
    <cfRule type="cellIs" dxfId="5060" priority="3277" stopIfTrue="1" operator="equal">
      <formula>"Towel"</formula>
    </cfRule>
    <cfRule type="cellIs" dxfId="5059" priority="3278" stopIfTrue="1" operator="equal">
      <formula>"Napkin Hs"</formula>
    </cfRule>
  </conditionalFormatting>
  <conditionalFormatting sqref="C78">
    <cfRule type="cellIs" dxfId="5058" priority="3279" stopIfTrue="1" operator="equal">
      <formula>"Towel"</formula>
    </cfRule>
  </conditionalFormatting>
  <conditionalFormatting sqref="B78:C78">
    <cfRule type="cellIs" dxfId="5057" priority="3275" stopIfTrue="1" operator="equal">
      <formula>"Towel"</formula>
    </cfRule>
    <cfRule type="cellIs" dxfId="5056" priority="3276" stopIfTrue="1" operator="equal">
      <formula>"Napkin Hs"</formula>
    </cfRule>
  </conditionalFormatting>
  <conditionalFormatting sqref="C78">
    <cfRule type="cellIs" dxfId="5055" priority="3271" stopIfTrue="1" operator="equal">
      <formula>"Towel"</formula>
    </cfRule>
    <cfRule type="cellIs" dxfId="5054" priority="3272" stopIfTrue="1" operator="equal">
      <formula>"Napkin Hs"</formula>
    </cfRule>
  </conditionalFormatting>
  <conditionalFormatting sqref="C78">
    <cfRule type="cellIs" dxfId="5053" priority="3273" stopIfTrue="1" operator="equal">
      <formula>"Towel"</formula>
    </cfRule>
    <cfRule type="cellIs" dxfId="5052" priority="3274" stopIfTrue="1" operator="equal">
      <formula>"Napkin Hs"</formula>
    </cfRule>
  </conditionalFormatting>
  <conditionalFormatting sqref="B78:C78">
    <cfRule type="cellIs" dxfId="5051" priority="3269" stopIfTrue="1" operator="equal">
      <formula>"Towel"</formula>
    </cfRule>
    <cfRule type="cellIs" dxfId="5050" priority="3270" stopIfTrue="1" operator="equal">
      <formula>"Napkin Hs"</formula>
    </cfRule>
  </conditionalFormatting>
  <conditionalFormatting sqref="C78">
    <cfRule type="cellIs" dxfId="5049" priority="3265" stopIfTrue="1" operator="equal">
      <formula>"Towel"</formula>
    </cfRule>
    <cfRule type="cellIs" dxfId="5048" priority="3266" stopIfTrue="1" operator="equal">
      <formula>"Napkin Hs"</formula>
    </cfRule>
  </conditionalFormatting>
  <conditionalFormatting sqref="C78">
    <cfRule type="cellIs" dxfId="5047" priority="3267" stopIfTrue="1" operator="equal">
      <formula>"Towel"</formula>
    </cfRule>
    <cfRule type="cellIs" dxfId="5046" priority="3268" stopIfTrue="1" operator="equal">
      <formula>"Napkin Hs"</formula>
    </cfRule>
  </conditionalFormatting>
  <conditionalFormatting sqref="B78:C78">
    <cfRule type="cellIs" dxfId="5045" priority="3261" stopIfTrue="1" operator="equal">
      <formula>"Towel"</formula>
    </cfRule>
    <cfRule type="cellIs" dxfId="5044" priority="3262" stopIfTrue="1" operator="equal">
      <formula>"Napkin Hs"</formula>
    </cfRule>
  </conditionalFormatting>
  <conditionalFormatting sqref="C78">
    <cfRule type="cellIs" dxfId="5043" priority="3263" stopIfTrue="1" operator="equal">
      <formula>"Towel"</formula>
    </cfRule>
    <cfRule type="cellIs" dxfId="5042" priority="3264" stopIfTrue="1" operator="equal">
      <formula>"Napkin Hs"</formula>
    </cfRule>
  </conditionalFormatting>
  <conditionalFormatting sqref="C78">
    <cfRule type="cellIs" dxfId="5041" priority="3259" stopIfTrue="1" operator="equal">
      <formula>"Towel"</formula>
    </cfRule>
    <cfRule type="cellIs" dxfId="5040" priority="3260" stopIfTrue="1" operator="equal">
      <formula>"Napkin Hs"</formula>
    </cfRule>
  </conditionalFormatting>
  <conditionalFormatting sqref="B78:C78">
    <cfRule type="cellIs" dxfId="5039" priority="3257" stopIfTrue="1" operator="equal">
      <formula>"Towel"</formula>
    </cfRule>
    <cfRule type="cellIs" dxfId="5038" priority="3258" stopIfTrue="1" operator="equal">
      <formula>"Napkin Hs"</formula>
    </cfRule>
  </conditionalFormatting>
  <conditionalFormatting sqref="C78">
    <cfRule type="cellIs" dxfId="5037" priority="3256" stopIfTrue="1" operator="equal">
      <formula>"Napkin Hs"</formula>
    </cfRule>
  </conditionalFormatting>
  <conditionalFormatting sqref="C78">
    <cfRule type="cellIs" dxfId="5036" priority="3253" stopIfTrue="1" operator="equal">
      <formula>"Towel"</formula>
    </cfRule>
    <cfRule type="cellIs" dxfId="5035" priority="3254" stopIfTrue="1" operator="equal">
      <formula>"Napkin Hs"</formula>
    </cfRule>
  </conditionalFormatting>
  <conditionalFormatting sqref="C78">
    <cfRule type="cellIs" dxfId="5034" priority="3255" stopIfTrue="1" operator="equal">
      <formula>"Towel"</formula>
    </cfRule>
  </conditionalFormatting>
  <conditionalFormatting sqref="B78:C78">
    <cfRule type="cellIs" dxfId="5033" priority="3251" stopIfTrue="1" operator="equal">
      <formula>"Towel"</formula>
    </cfRule>
    <cfRule type="cellIs" dxfId="5032" priority="3252" stopIfTrue="1" operator="equal">
      <formula>"Napkin Hs"</formula>
    </cfRule>
  </conditionalFormatting>
  <conditionalFormatting sqref="C78">
    <cfRule type="cellIs" dxfId="5031" priority="3247" stopIfTrue="1" operator="equal">
      <formula>"Towel"</formula>
    </cfRule>
    <cfRule type="cellIs" dxfId="5030" priority="3248" stopIfTrue="1" operator="equal">
      <formula>"Napkin Hs"</formula>
    </cfRule>
  </conditionalFormatting>
  <conditionalFormatting sqref="C78">
    <cfRule type="cellIs" dxfId="5029" priority="3249" stopIfTrue="1" operator="equal">
      <formula>"Towel"</formula>
    </cfRule>
    <cfRule type="cellIs" dxfId="5028" priority="3250" stopIfTrue="1" operator="equal">
      <formula>"Napkin Hs"</formula>
    </cfRule>
  </conditionalFormatting>
  <conditionalFormatting sqref="B78:C78">
    <cfRule type="cellIs" dxfId="5027" priority="3245" stopIfTrue="1" operator="equal">
      <formula>"Towel"</formula>
    </cfRule>
    <cfRule type="cellIs" dxfId="5026" priority="3246" stopIfTrue="1" operator="equal">
      <formula>"Napkin Hs"</formula>
    </cfRule>
  </conditionalFormatting>
  <conditionalFormatting sqref="C78">
    <cfRule type="cellIs" dxfId="5025" priority="3244" stopIfTrue="1" operator="equal">
      <formula>"Napkin Hs"</formula>
    </cfRule>
  </conditionalFormatting>
  <conditionalFormatting sqref="C78">
    <cfRule type="cellIs" dxfId="5024" priority="3241" stopIfTrue="1" operator="equal">
      <formula>"Towel"</formula>
    </cfRule>
    <cfRule type="cellIs" dxfId="5023" priority="3242" stopIfTrue="1" operator="equal">
      <formula>"Napkin Hs"</formula>
    </cfRule>
  </conditionalFormatting>
  <conditionalFormatting sqref="C78">
    <cfRule type="cellIs" dxfId="5022" priority="3243" stopIfTrue="1" operator="equal">
      <formula>"Towel"</formula>
    </cfRule>
  </conditionalFormatting>
  <conditionalFormatting sqref="B78:C78">
    <cfRule type="cellIs" dxfId="5021" priority="3239" stopIfTrue="1" operator="equal">
      <formula>"Towel"</formula>
    </cfRule>
    <cfRule type="cellIs" dxfId="5020" priority="3240" stopIfTrue="1" operator="equal">
      <formula>"Napkin Hs"</formula>
    </cfRule>
  </conditionalFormatting>
  <conditionalFormatting sqref="C78">
    <cfRule type="cellIs" dxfId="5019" priority="3237" stopIfTrue="1" operator="equal">
      <formula>"Towel"</formula>
    </cfRule>
    <cfRule type="cellIs" dxfId="5018" priority="3238" stopIfTrue="1" operator="equal">
      <formula>"Napkin Hs"</formula>
    </cfRule>
  </conditionalFormatting>
  <conditionalFormatting sqref="C78">
    <cfRule type="cellIs" dxfId="5017" priority="3235" stopIfTrue="1" operator="equal">
      <formula>"Towel"</formula>
    </cfRule>
    <cfRule type="cellIs" dxfId="5016" priority="3236" stopIfTrue="1" operator="equal">
      <formula>"Napkin Hs"</formula>
    </cfRule>
  </conditionalFormatting>
  <conditionalFormatting sqref="B78:C78">
    <cfRule type="cellIs" dxfId="5015" priority="3233" stopIfTrue="1" operator="equal">
      <formula>"Towel"</formula>
    </cfRule>
    <cfRule type="cellIs" dxfId="5014" priority="3234" stopIfTrue="1" operator="equal">
      <formula>"Napkin Hs"</formula>
    </cfRule>
  </conditionalFormatting>
  <conditionalFormatting sqref="C78">
    <cfRule type="cellIs" dxfId="5013" priority="3232" stopIfTrue="1" operator="equal">
      <formula>"Napkin Hs"</formula>
    </cfRule>
  </conditionalFormatting>
  <conditionalFormatting sqref="C78">
    <cfRule type="cellIs" dxfId="5012" priority="3229" stopIfTrue="1" operator="equal">
      <formula>"Towel"</formula>
    </cfRule>
    <cfRule type="cellIs" dxfId="5011" priority="3230" stopIfTrue="1" operator="equal">
      <formula>"Napkin Hs"</formula>
    </cfRule>
  </conditionalFormatting>
  <conditionalFormatting sqref="C78">
    <cfRule type="cellIs" dxfId="5010" priority="3231" stopIfTrue="1" operator="equal">
      <formula>"Towel"</formula>
    </cfRule>
  </conditionalFormatting>
  <conditionalFormatting sqref="B78:C78">
    <cfRule type="cellIs" dxfId="5009" priority="3227" stopIfTrue="1" operator="equal">
      <formula>"Towel"</formula>
    </cfRule>
    <cfRule type="cellIs" dxfId="5008" priority="3228" stopIfTrue="1" operator="equal">
      <formula>"Napkin Hs"</formula>
    </cfRule>
  </conditionalFormatting>
  <conditionalFormatting sqref="C78">
    <cfRule type="cellIs" dxfId="5007" priority="3226" stopIfTrue="1" operator="equal">
      <formula>"Napkin Hs"</formula>
    </cfRule>
  </conditionalFormatting>
  <conditionalFormatting sqref="C78">
    <cfRule type="cellIs" dxfId="5006" priority="3225" stopIfTrue="1" operator="equal">
      <formula>"Towel"</formula>
    </cfRule>
  </conditionalFormatting>
  <conditionalFormatting sqref="C78">
    <cfRule type="cellIs" dxfId="5005" priority="3223" stopIfTrue="1" operator="equal">
      <formula>"Towel"</formula>
    </cfRule>
    <cfRule type="cellIs" dxfId="5004" priority="3224" stopIfTrue="1" operator="equal">
      <formula>"Napkin Hs"</formula>
    </cfRule>
  </conditionalFormatting>
  <conditionalFormatting sqref="B78:C78">
    <cfRule type="cellIs" dxfId="5003" priority="3221" stopIfTrue="1" operator="equal">
      <formula>"Towel"</formula>
    </cfRule>
    <cfRule type="cellIs" dxfId="5002" priority="3222" stopIfTrue="1" operator="equal">
      <formula>"Napkin Hs"</formula>
    </cfRule>
  </conditionalFormatting>
  <conditionalFormatting sqref="C78">
    <cfRule type="cellIs" dxfId="5001" priority="3220" stopIfTrue="1" operator="equal">
      <formula>"Napkin Hs"</formula>
    </cfRule>
  </conditionalFormatting>
  <conditionalFormatting sqref="C78">
    <cfRule type="cellIs" dxfId="5000" priority="3217" stopIfTrue="1" operator="equal">
      <formula>"Towel"</formula>
    </cfRule>
    <cfRule type="cellIs" dxfId="4999" priority="3218" stopIfTrue="1" operator="equal">
      <formula>"Napkin Hs"</formula>
    </cfRule>
  </conditionalFormatting>
  <conditionalFormatting sqref="C78">
    <cfRule type="cellIs" dxfId="4998" priority="3219" stopIfTrue="1" operator="equal">
      <formula>"Towel"</formula>
    </cfRule>
  </conditionalFormatting>
  <conditionalFormatting sqref="B78:C78">
    <cfRule type="cellIs" dxfId="4997" priority="3215" stopIfTrue="1" operator="equal">
      <formula>"Towel"</formula>
    </cfRule>
    <cfRule type="cellIs" dxfId="4996" priority="3216" stopIfTrue="1" operator="equal">
      <formula>"Napkin Hs"</formula>
    </cfRule>
  </conditionalFormatting>
  <conditionalFormatting sqref="C78">
    <cfRule type="cellIs" dxfId="4995" priority="3214" stopIfTrue="1" operator="equal">
      <formula>"Napkin Hs"</formula>
    </cfRule>
  </conditionalFormatting>
  <conditionalFormatting sqref="C78">
    <cfRule type="cellIs" dxfId="4994" priority="3211" stopIfTrue="1" operator="equal">
      <formula>"Towel"</formula>
    </cfRule>
    <cfRule type="cellIs" dxfId="4993" priority="3212" stopIfTrue="1" operator="equal">
      <formula>"Napkin Hs"</formula>
    </cfRule>
  </conditionalFormatting>
  <conditionalFormatting sqref="C78">
    <cfRule type="cellIs" dxfId="4992" priority="3213" stopIfTrue="1" operator="equal">
      <formula>"Towel"</formula>
    </cfRule>
  </conditionalFormatting>
  <conditionalFormatting sqref="B78:C78">
    <cfRule type="cellIs" dxfId="4991" priority="3209" stopIfTrue="1" operator="equal">
      <formula>"Towel"</formula>
    </cfRule>
    <cfRule type="cellIs" dxfId="4990" priority="3210" stopIfTrue="1" operator="equal">
      <formula>"Napkin Hs"</formula>
    </cfRule>
  </conditionalFormatting>
  <conditionalFormatting sqref="C78">
    <cfRule type="cellIs" dxfId="4989" priority="3208" stopIfTrue="1" operator="equal">
      <formula>"Napkin Hs"</formula>
    </cfRule>
  </conditionalFormatting>
  <conditionalFormatting sqref="C78">
    <cfRule type="cellIs" dxfId="4988" priority="3205" stopIfTrue="1" operator="equal">
      <formula>"Towel"</formula>
    </cfRule>
    <cfRule type="cellIs" dxfId="4987" priority="3206" stopIfTrue="1" operator="equal">
      <formula>"Napkin Hs"</formula>
    </cfRule>
  </conditionalFormatting>
  <conditionalFormatting sqref="C78">
    <cfRule type="cellIs" dxfId="4986" priority="3207" stopIfTrue="1" operator="equal">
      <formula>"Towel"</formula>
    </cfRule>
  </conditionalFormatting>
  <conditionalFormatting sqref="B78:C78">
    <cfRule type="cellIs" dxfId="4985" priority="3203" stopIfTrue="1" operator="equal">
      <formula>"Towel"</formula>
    </cfRule>
    <cfRule type="cellIs" dxfId="4984" priority="3204" stopIfTrue="1" operator="equal">
      <formula>"Napkin Hs"</formula>
    </cfRule>
  </conditionalFormatting>
  <conditionalFormatting sqref="C78">
    <cfRule type="cellIs" dxfId="4983" priority="3202" stopIfTrue="1" operator="equal">
      <formula>"Napkin Hs"</formula>
    </cfRule>
  </conditionalFormatting>
  <conditionalFormatting sqref="C78">
    <cfRule type="cellIs" dxfId="4982" priority="3199" stopIfTrue="1" operator="equal">
      <formula>"Towel"</formula>
    </cfRule>
    <cfRule type="cellIs" dxfId="4981" priority="3200" stopIfTrue="1" operator="equal">
      <formula>"Napkin Hs"</formula>
    </cfRule>
  </conditionalFormatting>
  <conditionalFormatting sqref="C78">
    <cfRule type="cellIs" dxfId="4980" priority="3201" stopIfTrue="1" operator="equal">
      <formula>"Towel"</formula>
    </cfRule>
  </conditionalFormatting>
  <conditionalFormatting sqref="B78:C78">
    <cfRule type="cellIs" dxfId="4979" priority="3197" stopIfTrue="1" operator="equal">
      <formula>"Towel"</formula>
    </cfRule>
    <cfRule type="cellIs" dxfId="4978" priority="3198" stopIfTrue="1" operator="equal">
      <formula>"Napkin Hs"</formula>
    </cfRule>
  </conditionalFormatting>
  <conditionalFormatting sqref="C78">
    <cfRule type="cellIs" dxfId="4977" priority="3196" stopIfTrue="1" operator="equal">
      <formula>"Napkin Hs"</formula>
    </cfRule>
  </conditionalFormatting>
  <conditionalFormatting sqref="C78">
    <cfRule type="cellIs" dxfId="4976" priority="3193" stopIfTrue="1" operator="equal">
      <formula>"Towel"</formula>
    </cfRule>
    <cfRule type="cellIs" dxfId="4975" priority="3194" stopIfTrue="1" operator="equal">
      <formula>"Napkin Hs"</formula>
    </cfRule>
  </conditionalFormatting>
  <conditionalFormatting sqref="C78">
    <cfRule type="cellIs" dxfId="4974" priority="3195" stopIfTrue="1" operator="equal">
      <formula>"Towel"</formula>
    </cfRule>
  </conditionalFormatting>
  <conditionalFormatting sqref="B78:C78">
    <cfRule type="cellIs" dxfId="4973" priority="3191" stopIfTrue="1" operator="equal">
      <formula>"Towel"</formula>
    </cfRule>
    <cfRule type="cellIs" dxfId="4972" priority="3192" stopIfTrue="1" operator="equal">
      <formula>"Napkin Hs"</formula>
    </cfRule>
  </conditionalFormatting>
  <conditionalFormatting sqref="C78">
    <cfRule type="cellIs" dxfId="4971" priority="3190" stopIfTrue="1" operator="equal">
      <formula>"Napkin Hs"</formula>
    </cfRule>
  </conditionalFormatting>
  <conditionalFormatting sqref="C78">
    <cfRule type="cellIs" dxfId="4970" priority="3187" stopIfTrue="1" operator="equal">
      <formula>"Towel"</formula>
    </cfRule>
    <cfRule type="cellIs" dxfId="4969" priority="3188" stopIfTrue="1" operator="equal">
      <formula>"Napkin Hs"</formula>
    </cfRule>
  </conditionalFormatting>
  <conditionalFormatting sqref="C78">
    <cfRule type="cellIs" dxfId="4968" priority="3189" stopIfTrue="1" operator="equal">
      <formula>"Towel"</formula>
    </cfRule>
  </conditionalFormatting>
  <conditionalFormatting sqref="B78:C78">
    <cfRule type="cellIs" dxfId="4967" priority="3185" stopIfTrue="1" operator="equal">
      <formula>"Towel"</formula>
    </cfRule>
    <cfRule type="cellIs" dxfId="4966" priority="3186" stopIfTrue="1" operator="equal">
      <formula>"Napkin Hs"</formula>
    </cfRule>
  </conditionalFormatting>
  <conditionalFormatting sqref="C78">
    <cfRule type="cellIs" dxfId="4965" priority="3184" stopIfTrue="1" operator="equal">
      <formula>"Napkin Hs"</formula>
    </cfRule>
  </conditionalFormatting>
  <conditionalFormatting sqref="C78">
    <cfRule type="cellIs" dxfId="4964" priority="3181" stopIfTrue="1" operator="equal">
      <formula>"Towel"</formula>
    </cfRule>
    <cfRule type="cellIs" dxfId="4963" priority="3182" stopIfTrue="1" operator="equal">
      <formula>"Napkin Hs"</formula>
    </cfRule>
  </conditionalFormatting>
  <conditionalFormatting sqref="C78">
    <cfRule type="cellIs" dxfId="4962" priority="3183" stopIfTrue="1" operator="equal">
      <formula>"Towel"</formula>
    </cfRule>
  </conditionalFormatting>
  <conditionalFormatting sqref="B78:C78">
    <cfRule type="cellIs" dxfId="4961" priority="3179" stopIfTrue="1" operator="equal">
      <formula>"Towel"</formula>
    </cfRule>
    <cfRule type="cellIs" dxfId="4960" priority="3180" stopIfTrue="1" operator="equal">
      <formula>"Napkin Hs"</formula>
    </cfRule>
  </conditionalFormatting>
  <conditionalFormatting sqref="C78">
    <cfRule type="cellIs" dxfId="4959" priority="3178" stopIfTrue="1" operator="equal">
      <formula>"Napkin Hs"</formula>
    </cfRule>
  </conditionalFormatting>
  <conditionalFormatting sqref="C78">
    <cfRule type="cellIs" dxfId="4958" priority="3175" stopIfTrue="1" operator="equal">
      <formula>"Towel"</formula>
    </cfRule>
    <cfRule type="cellIs" dxfId="4957" priority="3176" stopIfTrue="1" operator="equal">
      <formula>"Napkin Hs"</formula>
    </cfRule>
  </conditionalFormatting>
  <conditionalFormatting sqref="C78">
    <cfRule type="cellIs" dxfId="4956" priority="3177" stopIfTrue="1" operator="equal">
      <formula>"Towel"</formula>
    </cfRule>
  </conditionalFormatting>
  <conditionalFormatting sqref="B78:C78">
    <cfRule type="cellIs" dxfId="4955" priority="3173" stopIfTrue="1" operator="equal">
      <formula>"Towel"</formula>
    </cfRule>
    <cfRule type="cellIs" dxfId="4954" priority="3174" stopIfTrue="1" operator="equal">
      <formula>"Napkin Hs"</formula>
    </cfRule>
  </conditionalFormatting>
  <conditionalFormatting sqref="C78">
    <cfRule type="cellIs" dxfId="4953" priority="3172" stopIfTrue="1" operator="equal">
      <formula>"Napkin Hs"</formula>
    </cfRule>
  </conditionalFormatting>
  <conditionalFormatting sqref="C78">
    <cfRule type="cellIs" dxfId="4952" priority="3169" stopIfTrue="1" operator="equal">
      <formula>"Towel"</formula>
    </cfRule>
    <cfRule type="cellIs" dxfId="4951" priority="3170" stopIfTrue="1" operator="equal">
      <formula>"Napkin Hs"</formula>
    </cfRule>
  </conditionalFormatting>
  <conditionalFormatting sqref="C78">
    <cfRule type="cellIs" dxfId="4950" priority="3171" stopIfTrue="1" operator="equal">
      <formula>"Towel"</formula>
    </cfRule>
  </conditionalFormatting>
  <conditionalFormatting sqref="B78:C78">
    <cfRule type="cellIs" dxfId="4949" priority="3167" stopIfTrue="1" operator="equal">
      <formula>"Towel"</formula>
    </cfRule>
    <cfRule type="cellIs" dxfId="4948" priority="3168" stopIfTrue="1" operator="equal">
      <formula>"Napkin Hs"</formula>
    </cfRule>
  </conditionalFormatting>
  <conditionalFormatting sqref="C78">
    <cfRule type="cellIs" dxfId="4947" priority="3166" stopIfTrue="1" operator="equal">
      <formula>"Napkin Hs"</formula>
    </cfRule>
  </conditionalFormatting>
  <conditionalFormatting sqref="C78">
    <cfRule type="cellIs" dxfId="4946" priority="3163" stopIfTrue="1" operator="equal">
      <formula>"Towel"</formula>
    </cfRule>
    <cfRule type="cellIs" dxfId="4945" priority="3164" stopIfTrue="1" operator="equal">
      <formula>"Napkin Hs"</formula>
    </cfRule>
  </conditionalFormatting>
  <conditionalFormatting sqref="C78">
    <cfRule type="cellIs" dxfId="4944" priority="3165" stopIfTrue="1" operator="equal">
      <formula>"Towel"</formula>
    </cfRule>
  </conditionalFormatting>
  <conditionalFormatting sqref="B78:C78">
    <cfRule type="cellIs" dxfId="4943" priority="3161" stopIfTrue="1" operator="equal">
      <formula>"Towel"</formula>
    </cfRule>
    <cfRule type="cellIs" dxfId="4942" priority="3162" stopIfTrue="1" operator="equal">
      <formula>"Napkin Hs"</formula>
    </cfRule>
  </conditionalFormatting>
  <conditionalFormatting sqref="C78">
    <cfRule type="cellIs" dxfId="4941" priority="3160" stopIfTrue="1" operator="equal">
      <formula>"Napkin Hs"</formula>
    </cfRule>
  </conditionalFormatting>
  <conditionalFormatting sqref="C78">
    <cfRule type="cellIs" dxfId="4940" priority="3159" stopIfTrue="1" operator="equal">
      <formula>"Towel"</formula>
    </cfRule>
  </conditionalFormatting>
  <conditionalFormatting sqref="C78">
    <cfRule type="cellIs" dxfId="4939" priority="3157" stopIfTrue="1" operator="equal">
      <formula>"Towel"</formula>
    </cfRule>
    <cfRule type="cellIs" dxfId="4938" priority="3158" stopIfTrue="1" operator="equal">
      <formula>"Napkin Hs"</formula>
    </cfRule>
  </conditionalFormatting>
  <conditionalFormatting sqref="B78:C78">
    <cfRule type="cellIs" dxfId="4937" priority="3155" stopIfTrue="1" operator="equal">
      <formula>"Towel"</formula>
    </cfRule>
    <cfRule type="cellIs" dxfId="4936" priority="3156" stopIfTrue="1" operator="equal">
      <formula>"Napkin Hs"</formula>
    </cfRule>
  </conditionalFormatting>
  <conditionalFormatting sqref="C78">
    <cfRule type="cellIs" dxfId="4935" priority="3154" stopIfTrue="1" operator="equal">
      <formula>"Napkin Hs"</formula>
    </cfRule>
  </conditionalFormatting>
  <conditionalFormatting sqref="C78">
    <cfRule type="cellIs" dxfId="4934" priority="3151" stopIfTrue="1" operator="equal">
      <formula>"Towel"</formula>
    </cfRule>
    <cfRule type="cellIs" dxfId="4933" priority="3152" stopIfTrue="1" operator="equal">
      <formula>"Napkin Hs"</formula>
    </cfRule>
  </conditionalFormatting>
  <conditionalFormatting sqref="C78">
    <cfRule type="cellIs" dxfId="4932" priority="3153" stopIfTrue="1" operator="equal">
      <formula>"Towel"</formula>
    </cfRule>
  </conditionalFormatting>
  <conditionalFormatting sqref="B78:C78">
    <cfRule type="cellIs" dxfId="4931" priority="3149" stopIfTrue="1" operator="equal">
      <formula>"Towel"</formula>
    </cfRule>
    <cfRule type="cellIs" dxfId="4930" priority="3150" stopIfTrue="1" operator="equal">
      <formula>"Napkin Hs"</formula>
    </cfRule>
  </conditionalFormatting>
  <conditionalFormatting sqref="C78">
    <cfRule type="cellIs" dxfId="4929" priority="3148" stopIfTrue="1" operator="equal">
      <formula>"Napkin Hs"</formula>
    </cfRule>
  </conditionalFormatting>
  <conditionalFormatting sqref="C78">
    <cfRule type="cellIs" dxfId="4928" priority="3145" stopIfTrue="1" operator="equal">
      <formula>"Towel"</formula>
    </cfRule>
    <cfRule type="cellIs" dxfId="4927" priority="3146" stopIfTrue="1" operator="equal">
      <formula>"Napkin Hs"</formula>
    </cfRule>
  </conditionalFormatting>
  <conditionalFormatting sqref="C78">
    <cfRule type="cellIs" dxfId="4926" priority="3147" stopIfTrue="1" operator="equal">
      <formula>"Towel"</formula>
    </cfRule>
  </conditionalFormatting>
  <conditionalFormatting sqref="B78:C78">
    <cfRule type="cellIs" dxfId="4925" priority="3143" stopIfTrue="1" operator="equal">
      <formula>"Towel"</formula>
    </cfRule>
    <cfRule type="cellIs" dxfId="4924" priority="3144" stopIfTrue="1" operator="equal">
      <formula>"Napkin Hs"</formula>
    </cfRule>
  </conditionalFormatting>
  <conditionalFormatting sqref="C78">
    <cfRule type="cellIs" dxfId="4923" priority="3142" stopIfTrue="1" operator="equal">
      <formula>"Napkin Hs"</formula>
    </cfRule>
  </conditionalFormatting>
  <conditionalFormatting sqref="C78">
    <cfRule type="cellIs" dxfId="4922" priority="3139" stopIfTrue="1" operator="equal">
      <formula>"Towel"</formula>
    </cfRule>
    <cfRule type="cellIs" dxfId="4921" priority="3140" stopIfTrue="1" operator="equal">
      <formula>"Napkin Hs"</formula>
    </cfRule>
  </conditionalFormatting>
  <conditionalFormatting sqref="C78">
    <cfRule type="cellIs" dxfId="4920" priority="3141" stopIfTrue="1" operator="equal">
      <formula>"Towel"</formula>
    </cfRule>
  </conditionalFormatting>
  <conditionalFormatting sqref="B78:C78">
    <cfRule type="cellIs" dxfId="4919" priority="3137" stopIfTrue="1" operator="equal">
      <formula>"Towel"</formula>
    </cfRule>
    <cfRule type="cellIs" dxfId="4918" priority="3138" stopIfTrue="1" operator="equal">
      <formula>"Napkin Hs"</formula>
    </cfRule>
  </conditionalFormatting>
  <conditionalFormatting sqref="C78">
    <cfRule type="cellIs" dxfId="4917" priority="3136" stopIfTrue="1" operator="equal">
      <formula>"Napkin Hs"</formula>
    </cfRule>
  </conditionalFormatting>
  <conditionalFormatting sqref="C78">
    <cfRule type="cellIs" dxfId="4916" priority="3133" stopIfTrue="1" operator="equal">
      <formula>"Towel"</formula>
    </cfRule>
    <cfRule type="cellIs" dxfId="4915" priority="3134" stopIfTrue="1" operator="equal">
      <formula>"Napkin Hs"</formula>
    </cfRule>
  </conditionalFormatting>
  <conditionalFormatting sqref="C78">
    <cfRule type="cellIs" dxfId="4914" priority="3135" stopIfTrue="1" operator="equal">
      <formula>"Towel"</formula>
    </cfRule>
  </conditionalFormatting>
  <conditionalFormatting sqref="B78:C78">
    <cfRule type="cellIs" dxfId="4913" priority="3131" stopIfTrue="1" operator="equal">
      <formula>"Towel"</formula>
    </cfRule>
    <cfRule type="cellIs" dxfId="4912" priority="3132" stopIfTrue="1" operator="equal">
      <formula>"Napkin Hs"</formula>
    </cfRule>
  </conditionalFormatting>
  <conditionalFormatting sqref="C78">
    <cfRule type="cellIs" dxfId="4911" priority="3130" stopIfTrue="1" operator="equal">
      <formula>"Napkin Hs"</formula>
    </cfRule>
  </conditionalFormatting>
  <conditionalFormatting sqref="C78">
    <cfRule type="cellIs" dxfId="4910" priority="3127" stopIfTrue="1" operator="equal">
      <formula>"Towel"</formula>
    </cfRule>
    <cfRule type="cellIs" dxfId="4909" priority="3128" stopIfTrue="1" operator="equal">
      <formula>"Napkin Hs"</formula>
    </cfRule>
  </conditionalFormatting>
  <conditionalFormatting sqref="C78">
    <cfRule type="cellIs" dxfId="4908" priority="3129" stopIfTrue="1" operator="equal">
      <formula>"Towel"</formula>
    </cfRule>
  </conditionalFormatting>
  <conditionalFormatting sqref="B78:C78">
    <cfRule type="cellIs" dxfId="4907" priority="3125" stopIfTrue="1" operator="equal">
      <formula>"Towel"</formula>
    </cfRule>
    <cfRule type="cellIs" dxfId="4906" priority="3126" stopIfTrue="1" operator="equal">
      <formula>"Napkin Hs"</formula>
    </cfRule>
  </conditionalFormatting>
  <conditionalFormatting sqref="C78">
    <cfRule type="cellIs" dxfId="4905" priority="3124" stopIfTrue="1" operator="equal">
      <formula>"Napkin Hs"</formula>
    </cfRule>
  </conditionalFormatting>
  <conditionalFormatting sqref="C78">
    <cfRule type="cellIs" dxfId="4904" priority="3121" stopIfTrue="1" operator="equal">
      <formula>"Towel"</formula>
    </cfRule>
    <cfRule type="cellIs" dxfId="4903" priority="3122" stopIfTrue="1" operator="equal">
      <formula>"Napkin Hs"</formula>
    </cfRule>
  </conditionalFormatting>
  <conditionalFormatting sqref="C78">
    <cfRule type="cellIs" dxfId="4902" priority="3123" stopIfTrue="1" operator="equal">
      <formula>"Towel"</formula>
    </cfRule>
  </conditionalFormatting>
  <conditionalFormatting sqref="B78:C78">
    <cfRule type="cellIs" dxfId="4901" priority="3119" stopIfTrue="1" operator="equal">
      <formula>"Towel"</formula>
    </cfRule>
    <cfRule type="cellIs" dxfId="4900" priority="3120" stopIfTrue="1" operator="equal">
      <formula>"Napkin Hs"</formula>
    </cfRule>
  </conditionalFormatting>
  <conditionalFormatting sqref="C78">
    <cfRule type="cellIs" dxfId="4899" priority="3118" stopIfTrue="1" operator="equal">
      <formula>"Napkin Hs"</formula>
    </cfRule>
  </conditionalFormatting>
  <conditionalFormatting sqref="C78">
    <cfRule type="cellIs" dxfId="4898" priority="3115" stopIfTrue="1" operator="equal">
      <formula>"Towel"</formula>
    </cfRule>
    <cfRule type="cellIs" dxfId="4897" priority="3116" stopIfTrue="1" operator="equal">
      <formula>"Napkin Hs"</formula>
    </cfRule>
  </conditionalFormatting>
  <conditionalFormatting sqref="C78">
    <cfRule type="cellIs" dxfId="4896" priority="3117" stopIfTrue="1" operator="equal">
      <formula>"Towel"</formula>
    </cfRule>
  </conditionalFormatting>
  <conditionalFormatting sqref="B78:C78">
    <cfRule type="cellIs" dxfId="4895" priority="3113" stopIfTrue="1" operator="equal">
      <formula>"Towel"</formula>
    </cfRule>
    <cfRule type="cellIs" dxfId="4894" priority="3114" stopIfTrue="1" operator="equal">
      <formula>"Napkin Hs"</formula>
    </cfRule>
  </conditionalFormatting>
  <conditionalFormatting sqref="C78">
    <cfRule type="cellIs" dxfId="4893" priority="3112" stopIfTrue="1" operator="equal">
      <formula>"Napkin Hs"</formula>
    </cfRule>
  </conditionalFormatting>
  <conditionalFormatting sqref="C78">
    <cfRule type="cellIs" dxfId="4892" priority="3109" stopIfTrue="1" operator="equal">
      <formula>"Towel"</formula>
    </cfRule>
    <cfRule type="cellIs" dxfId="4891" priority="3110" stopIfTrue="1" operator="equal">
      <formula>"Napkin Hs"</formula>
    </cfRule>
  </conditionalFormatting>
  <conditionalFormatting sqref="C78">
    <cfRule type="cellIs" dxfId="4890" priority="3111" stopIfTrue="1" operator="equal">
      <formula>"Towel"</formula>
    </cfRule>
  </conditionalFormatting>
  <conditionalFormatting sqref="B78:C78">
    <cfRule type="cellIs" dxfId="4889" priority="3107" stopIfTrue="1" operator="equal">
      <formula>"Towel"</formula>
    </cfRule>
    <cfRule type="cellIs" dxfId="4888" priority="3108" stopIfTrue="1" operator="equal">
      <formula>"Napkin Hs"</formula>
    </cfRule>
  </conditionalFormatting>
  <conditionalFormatting sqref="C78">
    <cfRule type="cellIs" dxfId="4887" priority="3106" stopIfTrue="1" operator="equal">
      <formula>"Napkin Hs"</formula>
    </cfRule>
  </conditionalFormatting>
  <conditionalFormatting sqref="C78">
    <cfRule type="cellIs" dxfId="4886" priority="3103" stopIfTrue="1" operator="equal">
      <formula>"Towel"</formula>
    </cfRule>
    <cfRule type="cellIs" dxfId="4885" priority="3104" stopIfTrue="1" operator="equal">
      <formula>"Napkin Hs"</formula>
    </cfRule>
  </conditionalFormatting>
  <conditionalFormatting sqref="C78">
    <cfRule type="cellIs" dxfId="4884" priority="3105" stopIfTrue="1" operator="equal">
      <formula>"Towel"</formula>
    </cfRule>
  </conditionalFormatting>
  <conditionalFormatting sqref="B82:C82">
    <cfRule type="cellIs" dxfId="4883" priority="3101" stopIfTrue="1" operator="equal">
      <formula>"Towel"</formula>
    </cfRule>
    <cfRule type="cellIs" dxfId="4882" priority="3102" stopIfTrue="1" operator="equal">
      <formula>"Napkin Hs"</formula>
    </cfRule>
  </conditionalFormatting>
  <conditionalFormatting sqref="C82">
    <cfRule type="cellIs" dxfId="4881" priority="3100" stopIfTrue="1" operator="equal">
      <formula>"Napkin Hs"</formula>
    </cfRule>
  </conditionalFormatting>
  <conditionalFormatting sqref="C82">
    <cfRule type="cellIs" dxfId="4880" priority="3097" stopIfTrue="1" operator="equal">
      <formula>"Towel"</formula>
    </cfRule>
    <cfRule type="cellIs" dxfId="4879" priority="3098" stopIfTrue="1" operator="equal">
      <formula>"Napkin Hs"</formula>
    </cfRule>
  </conditionalFormatting>
  <conditionalFormatting sqref="C82">
    <cfRule type="cellIs" dxfId="4878" priority="3099" stopIfTrue="1" operator="equal">
      <formula>"Towel"</formula>
    </cfRule>
  </conditionalFormatting>
  <conditionalFormatting sqref="B86:C86 C85">
    <cfRule type="cellIs" dxfId="4877" priority="3095" stopIfTrue="1" operator="equal">
      <formula>"Towel"</formula>
    </cfRule>
    <cfRule type="cellIs" dxfId="4876" priority="3096" stopIfTrue="1" operator="equal">
      <formula>"Napkin Hs"</formula>
    </cfRule>
  </conditionalFormatting>
  <conditionalFormatting sqref="C85:C86">
    <cfRule type="cellIs" dxfId="4875" priority="3094" stopIfTrue="1" operator="equal">
      <formula>"Napkin Hs"</formula>
    </cfRule>
  </conditionalFormatting>
  <conditionalFormatting sqref="C85:C86">
    <cfRule type="cellIs" dxfId="4874" priority="3091" stopIfTrue="1" operator="equal">
      <formula>"Towel"</formula>
    </cfRule>
    <cfRule type="cellIs" dxfId="4873" priority="3092" stopIfTrue="1" operator="equal">
      <formula>"Napkin Hs"</formula>
    </cfRule>
  </conditionalFormatting>
  <conditionalFormatting sqref="C85:C86">
    <cfRule type="cellIs" dxfId="4872" priority="3093" stopIfTrue="1" operator="equal">
      <formula>"Towel"</formula>
    </cfRule>
  </conditionalFormatting>
  <conditionalFormatting sqref="B90:C90">
    <cfRule type="cellIs" dxfId="4871" priority="3089" stopIfTrue="1" operator="equal">
      <formula>"Towel"</formula>
    </cfRule>
    <cfRule type="cellIs" dxfId="4870" priority="3090" stopIfTrue="1" operator="equal">
      <formula>"Napkin Hs"</formula>
    </cfRule>
  </conditionalFormatting>
  <conditionalFormatting sqref="C90">
    <cfRule type="cellIs" dxfId="4869" priority="3088" stopIfTrue="1" operator="equal">
      <formula>"Napkin Hs"</formula>
    </cfRule>
  </conditionalFormatting>
  <conditionalFormatting sqref="C90">
    <cfRule type="cellIs" dxfId="4868" priority="3085" stopIfTrue="1" operator="equal">
      <formula>"Towel"</formula>
    </cfRule>
    <cfRule type="cellIs" dxfId="4867" priority="3086" stopIfTrue="1" operator="equal">
      <formula>"Napkin Hs"</formula>
    </cfRule>
  </conditionalFormatting>
  <conditionalFormatting sqref="C90">
    <cfRule type="cellIs" dxfId="4866" priority="3087" stopIfTrue="1" operator="equal">
      <formula>"Towel"</formula>
    </cfRule>
  </conditionalFormatting>
  <conditionalFormatting sqref="C85">
    <cfRule type="cellIs" dxfId="4865" priority="3083" stopIfTrue="1" operator="equal">
      <formula>"Towel"</formula>
    </cfRule>
    <cfRule type="cellIs" dxfId="4864" priority="3084" stopIfTrue="1" operator="equal">
      <formula>"Napkin Hs"</formula>
    </cfRule>
  </conditionalFormatting>
  <conditionalFormatting sqref="C85">
    <cfRule type="cellIs" dxfId="4863" priority="3082" stopIfTrue="1" operator="equal">
      <formula>"Napkin Hs"</formula>
    </cfRule>
  </conditionalFormatting>
  <conditionalFormatting sqref="C85">
    <cfRule type="cellIs" dxfId="4862" priority="3079" stopIfTrue="1" operator="equal">
      <formula>"Towel"</formula>
    </cfRule>
    <cfRule type="cellIs" dxfId="4861" priority="3080" stopIfTrue="1" operator="equal">
      <formula>"Napkin Hs"</formula>
    </cfRule>
  </conditionalFormatting>
  <conditionalFormatting sqref="C85">
    <cfRule type="cellIs" dxfId="4860" priority="3081" stopIfTrue="1" operator="equal">
      <formula>"Towel"</formula>
    </cfRule>
  </conditionalFormatting>
  <conditionalFormatting sqref="C85">
    <cfRule type="cellIs" dxfId="4859" priority="3077" stopIfTrue="1" operator="equal">
      <formula>"Towel"</formula>
    </cfRule>
    <cfRule type="cellIs" dxfId="4858" priority="3078" stopIfTrue="1" operator="equal">
      <formula>"Napkin Hs"</formula>
    </cfRule>
  </conditionalFormatting>
  <conditionalFormatting sqref="C85">
    <cfRule type="cellIs" dxfId="4857" priority="3076" stopIfTrue="1" operator="equal">
      <formula>"Napkin Hs"</formula>
    </cfRule>
  </conditionalFormatting>
  <conditionalFormatting sqref="C85">
    <cfRule type="cellIs" dxfId="4856" priority="3073" stopIfTrue="1" operator="equal">
      <formula>"Towel"</formula>
    </cfRule>
    <cfRule type="cellIs" dxfId="4855" priority="3074" stopIfTrue="1" operator="equal">
      <formula>"Napkin Hs"</formula>
    </cfRule>
  </conditionalFormatting>
  <conditionalFormatting sqref="C85">
    <cfRule type="cellIs" dxfId="4854" priority="3075" stopIfTrue="1" operator="equal">
      <formula>"Towel"</formula>
    </cfRule>
  </conditionalFormatting>
  <conditionalFormatting sqref="C85">
    <cfRule type="cellIs" dxfId="4853" priority="3071" stopIfTrue="1" operator="equal">
      <formula>"Towel"</formula>
    </cfRule>
    <cfRule type="cellIs" dxfId="4852" priority="3072" stopIfTrue="1" operator="equal">
      <formula>"Napkin Hs"</formula>
    </cfRule>
  </conditionalFormatting>
  <conditionalFormatting sqref="C85">
    <cfRule type="cellIs" dxfId="4851" priority="3070" stopIfTrue="1" operator="equal">
      <formula>"Napkin Hs"</formula>
    </cfRule>
  </conditionalFormatting>
  <conditionalFormatting sqref="C85">
    <cfRule type="cellIs" dxfId="4850" priority="3067" stopIfTrue="1" operator="equal">
      <formula>"Towel"</formula>
    </cfRule>
    <cfRule type="cellIs" dxfId="4849" priority="3068" stopIfTrue="1" operator="equal">
      <formula>"Napkin Hs"</formula>
    </cfRule>
  </conditionalFormatting>
  <conditionalFormatting sqref="C85">
    <cfRule type="cellIs" dxfId="4848" priority="3069" stopIfTrue="1" operator="equal">
      <formula>"Towel"</formula>
    </cfRule>
  </conditionalFormatting>
  <conditionalFormatting sqref="B82:C82">
    <cfRule type="cellIs" dxfId="4847" priority="3065" stopIfTrue="1" operator="equal">
      <formula>"Towel"</formula>
    </cfRule>
    <cfRule type="cellIs" dxfId="4846" priority="3066" stopIfTrue="1" operator="equal">
      <formula>"Napkin Hs"</formula>
    </cfRule>
  </conditionalFormatting>
  <conditionalFormatting sqref="C82">
    <cfRule type="cellIs" dxfId="4845" priority="3064" stopIfTrue="1" operator="equal">
      <formula>"Napkin Hs"</formula>
    </cfRule>
  </conditionalFormatting>
  <conditionalFormatting sqref="C82">
    <cfRule type="cellIs" dxfId="4844" priority="3061" stopIfTrue="1" operator="equal">
      <formula>"Towel"</formula>
    </cfRule>
    <cfRule type="cellIs" dxfId="4843" priority="3062" stopIfTrue="1" operator="equal">
      <formula>"Napkin Hs"</formula>
    </cfRule>
  </conditionalFormatting>
  <conditionalFormatting sqref="C82">
    <cfRule type="cellIs" dxfId="4842" priority="3063" stopIfTrue="1" operator="equal">
      <formula>"Towel"</formula>
    </cfRule>
  </conditionalFormatting>
  <conditionalFormatting sqref="B82:C82">
    <cfRule type="cellIs" dxfId="4841" priority="3059" stopIfTrue="1" operator="equal">
      <formula>"Towel"</formula>
    </cfRule>
    <cfRule type="cellIs" dxfId="4840" priority="3060" stopIfTrue="1" operator="equal">
      <formula>"Napkin Hs"</formula>
    </cfRule>
  </conditionalFormatting>
  <conditionalFormatting sqref="C82">
    <cfRule type="cellIs" dxfId="4839" priority="3058" stopIfTrue="1" operator="equal">
      <formula>"Napkin Hs"</formula>
    </cfRule>
  </conditionalFormatting>
  <conditionalFormatting sqref="C82">
    <cfRule type="cellIs" dxfId="4838" priority="3055" stopIfTrue="1" operator="equal">
      <formula>"Towel"</formula>
    </cfRule>
    <cfRule type="cellIs" dxfId="4837" priority="3056" stopIfTrue="1" operator="equal">
      <formula>"Napkin Hs"</formula>
    </cfRule>
  </conditionalFormatting>
  <conditionalFormatting sqref="C82">
    <cfRule type="cellIs" dxfId="4836" priority="3057" stopIfTrue="1" operator="equal">
      <formula>"Towel"</formula>
    </cfRule>
  </conditionalFormatting>
  <conditionalFormatting sqref="B82:C82">
    <cfRule type="cellIs" dxfId="4835" priority="3053" stopIfTrue="1" operator="equal">
      <formula>"Towel"</formula>
    </cfRule>
    <cfRule type="cellIs" dxfId="4834" priority="3054" stopIfTrue="1" operator="equal">
      <formula>"Napkin Hs"</formula>
    </cfRule>
  </conditionalFormatting>
  <conditionalFormatting sqref="C82">
    <cfRule type="cellIs" dxfId="4833" priority="3049" stopIfTrue="1" operator="equal">
      <formula>"Towel"</formula>
    </cfRule>
    <cfRule type="cellIs" dxfId="4832" priority="3050" stopIfTrue="1" operator="equal">
      <formula>"Napkin Hs"</formula>
    </cfRule>
  </conditionalFormatting>
  <conditionalFormatting sqref="C82">
    <cfRule type="cellIs" dxfId="4831" priority="3051" stopIfTrue="1" operator="equal">
      <formula>"Towel"</formula>
    </cfRule>
    <cfRule type="cellIs" dxfId="4830" priority="3052" stopIfTrue="1" operator="equal">
      <formula>"Napkin Hs"</formula>
    </cfRule>
  </conditionalFormatting>
  <conditionalFormatting sqref="B82:C82">
    <cfRule type="cellIs" dxfId="4829" priority="3047" stopIfTrue="1" operator="equal">
      <formula>"Towel"</formula>
    </cfRule>
    <cfRule type="cellIs" dxfId="4828" priority="3048" stopIfTrue="1" operator="equal">
      <formula>"Napkin Hs"</formula>
    </cfRule>
  </conditionalFormatting>
  <conditionalFormatting sqref="C82">
    <cfRule type="cellIs" dxfId="4827" priority="3043" stopIfTrue="1" operator="equal">
      <formula>"Towel"</formula>
    </cfRule>
    <cfRule type="cellIs" dxfId="4826" priority="3044" stopIfTrue="1" operator="equal">
      <formula>"Napkin Hs"</formula>
    </cfRule>
  </conditionalFormatting>
  <conditionalFormatting sqref="C82">
    <cfRule type="cellIs" dxfId="4825" priority="3045" stopIfTrue="1" operator="equal">
      <formula>"Towel"</formula>
    </cfRule>
    <cfRule type="cellIs" dxfId="4824" priority="3046" stopIfTrue="1" operator="equal">
      <formula>"Napkin Hs"</formula>
    </cfRule>
  </conditionalFormatting>
  <conditionalFormatting sqref="B82:C82">
    <cfRule type="cellIs" dxfId="4823" priority="3039" stopIfTrue="1" operator="equal">
      <formula>"Towel"</formula>
    </cfRule>
    <cfRule type="cellIs" dxfId="4822" priority="3040" stopIfTrue="1" operator="equal">
      <formula>"Napkin Hs"</formula>
    </cfRule>
  </conditionalFormatting>
  <conditionalFormatting sqref="C82">
    <cfRule type="cellIs" dxfId="4821" priority="3041" stopIfTrue="1" operator="equal">
      <formula>"Towel"</formula>
    </cfRule>
    <cfRule type="cellIs" dxfId="4820" priority="3042" stopIfTrue="1" operator="equal">
      <formula>"Napkin Hs"</formula>
    </cfRule>
  </conditionalFormatting>
  <conditionalFormatting sqref="C82">
    <cfRule type="cellIs" dxfId="4819" priority="3037" stopIfTrue="1" operator="equal">
      <formula>"Towel"</formula>
    </cfRule>
    <cfRule type="cellIs" dxfId="4818" priority="3038" stopIfTrue="1" operator="equal">
      <formula>"Napkin Hs"</formula>
    </cfRule>
  </conditionalFormatting>
  <conditionalFormatting sqref="B82:C82">
    <cfRule type="cellIs" dxfId="4817" priority="3035" stopIfTrue="1" operator="equal">
      <formula>"Towel"</formula>
    </cfRule>
    <cfRule type="cellIs" dxfId="4816" priority="3036" stopIfTrue="1" operator="equal">
      <formula>"Napkin Hs"</formula>
    </cfRule>
  </conditionalFormatting>
  <conditionalFormatting sqref="C82">
    <cfRule type="cellIs" dxfId="4815" priority="3034" stopIfTrue="1" operator="equal">
      <formula>"Napkin Hs"</formula>
    </cfRule>
  </conditionalFormatting>
  <conditionalFormatting sqref="C82">
    <cfRule type="cellIs" dxfId="4814" priority="3031" stopIfTrue="1" operator="equal">
      <formula>"Towel"</formula>
    </cfRule>
    <cfRule type="cellIs" dxfId="4813" priority="3032" stopIfTrue="1" operator="equal">
      <formula>"Napkin Hs"</formula>
    </cfRule>
  </conditionalFormatting>
  <conditionalFormatting sqref="C82">
    <cfRule type="cellIs" dxfId="4812" priority="3033" stopIfTrue="1" operator="equal">
      <formula>"Towel"</formula>
    </cfRule>
  </conditionalFormatting>
  <conditionalFormatting sqref="B82:C82">
    <cfRule type="cellIs" dxfId="4811" priority="3029" stopIfTrue="1" operator="equal">
      <formula>"Towel"</formula>
    </cfRule>
    <cfRule type="cellIs" dxfId="4810" priority="3030" stopIfTrue="1" operator="equal">
      <formula>"Napkin Hs"</formula>
    </cfRule>
  </conditionalFormatting>
  <conditionalFormatting sqref="C82">
    <cfRule type="cellIs" dxfId="4809" priority="3025" stopIfTrue="1" operator="equal">
      <formula>"Towel"</formula>
    </cfRule>
    <cfRule type="cellIs" dxfId="4808" priority="3026" stopIfTrue="1" operator="equal">
      <formula>"Napkin Hs"</formula>
    </cfRule>
  </conditionalFormatting>
  <conditionalFormatting sqref="C82">
    <cfRule type="cellIs" dxfId="4807" priority="3027" stopIfTrue="1" operator="equal">
      <formula>"Towel"</formula>
    </cfRule>
    <cfRule type="cellIs" dxfId="4806" priority="3028" stopIfTrue="1" operator="equal">
      <formula>"Napkin Hs"</formula>
    </cfRule>
  </conditionalFormatting>
  <conditionalFormatting sqref="B82:C82">
    <cfRule type="cellIs" dxfId="4805" priority="3023" stopIfTrue="1" operator="equal">
      <formula>"Towel"</formula>
    </cfRule>
    <cfRule type="cellIs" dxfId="4804" priority="3024" stopIfTrue="1" operator="equal">
      <formula>"Napkin Hs"</formula>
    </cfRule>
  </conditionalFormatting>
  <conditionalFormatting sqref="C82">
    <cfRule type="cellIs" dxfId="4803" priority="3022" stopIfTrue="1" operator="equal">
      <formula>"Napkin Hs"</formula>
    </cfRule>
  </conditionalFormatting>
  <conditionalFormatting sqref="C82">
    <cfRule type="cellIs" dxfId="4802" priority="3019" stopIfTrue="1" operator="equal">
      <formula>"Towel"</formula>
    </cfRule>
    <cfRule type="cellIs" dxfId="4801" priority="3020" stopIfTrue="1" operator="equal">
      <formula>"Napkin Hs"</formula>
    </cfRule>
  </conditionalFormatting>
  <conditionalFormatting sqref="C82">
    <cfRule type="cellIs" dxfId="4800" priority="3021" stopIfTrue="1" operator="equal">
      <formula>"Towel"</formula>
    </cfRule>
  </conditionalFormatting>
  <conditionalFormatting sqref="B82:C82">
    <cfRule type="cellIs" dxfId="4799" priority="3017" stopIfTrue="1" operator="equal">
      <formula>"Towel"</formula>
    </cfRule>
    <cfRule type="cellIs" dxfId="4798" priority="3018" stopIfTrue="1" operator="equal">
      <formula>"Napkin Hs"</formula>
    </cfRule>
  </conditionalFormatting>
  <conditionalFormatting sqref="C82">
    <cfRule type="cellIs" dxfId="4797" priority="3015" stopIfTrue="1" operator="equal">
      <formula>"Towel"</formula>
    </cfRule>
    <cfRule type="cellIs" dxfId="4796" priority="3016" stopIfTrue="1" operator="equal">
      <formula>"Napkin Hs"</formula>
    </cfRule>
  </conditionalFormatting>
  <conditionalFormatting sqref="C82">
    <cfRule type="cellIs" dxfId="4795" priority="3013" stopIfTrue="1" operator="equal">
      <formula>"Towel"</formula>
    </cfRule>
    <cfRule type="cellIs" dxfId="4794" priority="3014" stopIfTrue="1" operator="equal">
      <formula>"Napkin Hs"</formula>
    </cfRule>
  </conditionalFormatting>
  <conditionalFormatting sqref="B82:C82">
    <cfRule type="cellIs" dxfId="4793" priority="3011" stopIfTrue="1" operator="equal">
      <formula>"Towel"</formula>
    </cfRule>
    <cfRule type="cellIs" dxfId="4792" priority="3012" stopIfTrue="1" operator="equal">
      <formula>"Napkin Hs"</formula>
    </cfRule>
  </conditionalFormatting>
  <conditionalFormatting sqref="C82">
    <cfRule type="cellIs" dxfId="4791" priority="3010" stopIfTrue="1" operator="equal">
      <formula>"Napkin Hs"</formula>
    </cfRule>
  </conditionalFormatting>
  <conditionalFormatting sqref="C82">
    <cfRule type="cellIs" dxfId="4790" priority="3007" stopIfTrue="1" operator="equal">
      <formula>"Towel"</formula>
    </cfRule>
    <cfRule type="cellIs" dxfId="4789" priority="3008" stopIfTrue="1" operator="equal">
      <formula>"Napkin Hs"</formula>
    </cfRule>
  </conditionalFormatting>
  <conditionalFormatting sqref="C82">
    <cfRule type="cellIs" dxfId="4788" priority="3009" stopIfTrue="1" operator="equal">
      <formula>"Towel"</formula>
    </cfRule>
  </conditionalFormatting>
  <conditionalFormatting sqref="B82:C82">
    <cfRule type="cellIs" dxfId="4787" priority="3005" stopIfTrue="1" operator="equal">
      <formula>"Towel"</formula>
    </cfRule>
    <cfRule type="cellIs" dxfId="4786" priority="3006" stopIfTrue="1" operator="equal">
      <formula>"Napkin Hs"</formula>
    </cfRule>
  </conditionalFormatting>
  <conditionalFormatting sqref="C82">
    <cfRule type="cellIs" dxfId="4785" priority="3004" stopIfTrue="1" operator="equal">
      <formula>"Napkin Hs"</formula>
    </cfRule>
  </conditionalFormatting>
  <conditionalFormatting sqref="C82">
    <cfRule type="cellIs" dxfId="4784" priority="3003" stopIfTrue="1" operator="equal">
      <formula>"Towel"</formula>
    </cfRule>
  </conditionalFormatting>
  <conditionalFormatting sqref="C82">
    <cfRule type="cellIs" dxfId="4783" priority="3001" stopIfTrue="1" operator="equal">
      <formula>"Towel"</formula>
    </cfRule>
    <cfRule type="cellIs" dxfId="4782" priority="3002" stopIfTrue="1" operator="equal">
      <formula>"Napkin Hs"</formula>
    </cfRule>
  </conditionalFormatting>
  <conditionalFormatting sqref="B82:C82">
    <cfRule type="cellIs" dxfId="4781" priority="2999" stopIfTrue="1" operator="equal">
      <formula>"Towel"</formula>
    </cfRule>
    <cfRule type="cellIs" dxfId="4780" priority="3000" stopIfTrue="1" operator="equal">
      <formula>"Napkin Hs"</formula>
    </cfRule>
  </conditionalFormatting>
  <conditionalFormatting sqref="C82">
    <cfRule type="cellIs" dxfId="4779" priority="2998" stopIfTrue="1" operator="equal">
      <formula>"Napkin Hs"</formula>
    </cfRule>
  </conditionalFormatting>
  <conditionalFormatting sqref="C82">
    <cfRule type="cellIs" dxfId="4778" priority="2995" stopIfTrue="1" operator="equal">
      <formula>"Towel"</formula>
    </cfRule>
    <cfRule type="cellIs" dxfId="4777" priority="2996" stopIfTrue="1" operator="equal">
      <formula>"Napkin Hs"</formula>
    </cfRule>
  </conditionalFormatting>
  <conditionalFormatting sqref="C82">
    <cfRule type="cellIs" dxfId="4776" priority="2997" stopIfTrue="1" operator="equal">
      <formula>"Towel"</formula>
    </cfRule>
  </conditionalFormatting>
  <conditionalFormatting sqref="B82:C82">
    <cfRule type="cellIs" dxfId="4775" priority="2993" stopIfTrue="1" operator="equal">
      <formula>"Towel"</formula>
    </cfRule>
    <cfRule type="cellIs" dxfId="4774" priority="2994" stopIfTrue="1" operator="equal">
      <formula>"Napkin Hs"</formula>
    </cfRule>
  </conditionalFormatting>
  <conditionalFormatting sqref="C82">
    <cfRule type="cellIs" dxfId="4773" priority="2992" stopIfTrue="1" operator="equal">
      <formula>"Napkin Hs"</formula>
    </cfRule>
  </conditionalFormatting>
  <conditionalFormatting sqref="C82">
    <cfRule type="cellIs" dxfId="4772" priority="2989" stopIfTrue="1" operator="equal">
      <formula>"Towel"</formula>
    </cfRule>
    <cfRule type="cellIs" dxfId="4771" priority="2990" stopIfTrue="1" operator="equal">
      <formula>"Napkin Hs"</formula>
    </cfRule>
  </conditionalFormatting>
  <conditionalFormatting sqref="C82">
    <cfRule type="cellIs" dxfId="4770" priority="2991" stopIfTrue="1" operator="equal">
      <formula>"Towel"</formula>
    </cfRule>
  </conditionalFormatting>
  <conditionalFormatting sqref="B82:C82">
    <cfRule type="cellIs" dxfId="4769" priority="2987" stopIfTrue="1" operator="equal">
      <formula>"Towel"</formula>
    </cfRule>
    <cfRule type="cellIs" dxfId="4768" priority="2988" stopIfTrue="1" operator="equal">
      <formula>"Napkin Hs"</formula>
    </cfRule>
  </conditionalFormatting>
  <conditionalFormatting sqref="C82">
    <cfRule type="cellIs" dxfId="4767" priority="2986" stopIfTrue="1" operator="equal">
      <formula>"Napkin Hs"</formula>
    </cfRule>
  </conditionalFormatting>
  <conditionalFormatting sqref="C82">
    <cfRule type="cellIs" dxfId="4766" priority="2983" stopIfTrue="1" operator="equal">
      <formula>"Towel"</formula>
    </cfRule>
    <cfRule type="cellIs" dxfId="4765" priority="2984" stopIfTrue="1" operator="equal">
      <formula>"Napkin Hs"</formula>
    </cfRule>
  </conditionalFormatting>
  <conditionalFormatting sqref="C82">
    <cfRule type="cellIs" dxfId="4764" priority="2985" stopIfTrue="1" operator="equal">
      <formula>"Towel"</formula>
    </cfRule>
  </conditionalFormatting>
  <conditionalFormatting sqref="B82:C82">
    <cfRule type="cellIs" dxfId="4763" priority="2981" stopIfTrue="1" operator="equal">
      <formula>"Towel"</formula>
    </cfRule>
    <cfRule type="cellIs" dxfId="4762" priority="2982" stopIfTrue="1" operator="equal">
      <formula>"Napkin Hs"</formula>
    </cfRule>
  </conditionalFormatting>
  <conditionalFormatting sqref="C82">
    <cfRule type="cellIs" dxfId="4761" priority="2980" stopIfTrue="1" operator="equal">
      <formula>"Napkin Hs"</formula>
    </cfRule>
  </conditionalFormatting>
  <conditionalFormatting sqref="C82">
    <cfRule type="cellIs" dxfId="4760" priority="2977" stopIfTrue="1" operator="equal">
      <formula>"Towel"</formula>
    </cfRule>
    <cfRule type="cellIs" dxfId="4759" priority="2978" stopIfTrue="1" operator="equal">
      <formula>"Napkin Hs"</formula>
    </cfRule>
  </conditionalFormatting>
  <conditionalFormatting sqref="C82">
    <cfRule type="cellIs" dxfId="4758" priority="2979" stopIfTrue="1" operator="equal">
      <formula>"Towel"</formula>
    </cfRule>
  </conditionalFormatting>
  <conditionalFormatting sqref="B82:C82">
    <cfRule type="cellIs" dxfId="4757" priority="2975" stopIfTrue="1" operator="equal">
      <formula>"Towel"</formula>
    </cfRule>
    <cfRule type="cellIs" dxfId="4756" priority="2976" stopIfTrue="1" operator="equal">
      <formula>"Napkin Hs"</formula>
    </cfRule>
  </conditionalFormatting>
  <conditionalFormatting sqref="C82">
    <cfRule type="cellIs" dxfId="4755" priority="2974" stopIfTrue="1" operator="equal">
      <formula>"Napkin Hs"</formula>
    </cfRule>
  </conditionalFormatting>
  <conditionalFormatting sqref="C82">
    <cfRule type="cellIs" dxfId="4754" priority="2971" stopIfTrue="1" operator="equal">
      <formula>"Towel"</formula>
    </cfRule>
    <cfRule type="cellIs" dxfId="4753" priority="2972" stopIfTrue="1" operator="equal">
      <formula>"Napkin Hs"</formula>
    </cfRule>
  </conditionalFormatting>
  <conditionalFormatting sqref="C82">
    <cfRule type="cellIs" dxfId="4752" priority="2973" stopIfTrue="1" operator="equal">
      <formula>"Towel"</formula>
    </cfRule>
  </conditionalFormatting>
  <conditionalFormatting sqref="B82:C82">
    <cfRule type="cellIs" dxfId="4751" priority="2969" stopIfTrue="1" operator="equal">
      <formula>"Towel"</formula>
    </cfRule>
    <cfRule type="cellIs" dxfId="4750" priority="2970" stopIfTrue="1" operator="equal">
      <formula>"Napkin Hs"</formula>
    </cfRule>
  </conditionalFormatting>
  <conditionalFormatting sqref="C82">
    <cfRule type="cellIs" dxfId="4749" priority="2968" stopIfTrue="1" operator="equal">
      <formula>"Napkin Hs"</formula>
    </cfRule>
  </conditionalFormatting>
  <conditionalFormatting sqref="C82">
    <cfRule type="cellIs" dxfId="4748" priority="2965" stopIfTrue="1" operator="equal">
      <formula>"Towel"</formula>
    </cfRule>
    <cfRule type="cellIs" dxfId="4747" priority="2966" stopIfTrue="1" operator="equal">
      <formula>"Napkin Hs"</formula>
    </cfRule>
  </conditionalFormatting>
  <conditionalFormatting sqref="C82">
    <cfRule type="cellIs" dxfId="4746" priority="2967" stopIfTrue="1" operator="equal">
      <formula>"Towel"</formula>
    </cfRule>
  </conditionalFormatting>
  <conditionalFormatting sqref="B82:C82">
    <cfRule type="cellIs" dxfId="4745" priority="2963" stopIfTrue="1" operator="equal">
      <formula>"Towel"</formula>
    </cfRule>
    <cfRule type="cellIs" dxfId="4744" priority="2964" stopIfTrue="1" operator="equal">
      <formula>"Napkin Hs"</formula>
    </cfRule>
  </conditionalFormatting>
  <conditionalFormatting sqref="C82">
    <cfRule type="cellIs" dxfId="4743" priority="2962" stopIfTrue="1" operator="equal">
      <formula>"Napkin Hs"</formula>
    </cfRule>
  </conditionalFormatting>
  <conditionalFormatting sqref="C82">
    <cfRule type="cellIs" dxfId="4742" priority="2959" stopIfTrue="1" operator="equal">
      <formula>"Towel"</formula>
    </cfRule>
    <cfRule type="cellIs" dxfId="4741" priority="2960" stopIfTrue="1" operator="equal">
      <formula>"Napkin Hs"</formula>
    </cfRule>
  </conditionalFormatting>
  <conditionalFormatting sqref="C82">
    <cfRule type="cellIs" dxfId="4740" priority="2961" stopIfTrue="1" operator="equal">
      <formula>"Towel"</formula>
    </cfRule>
  </conditionalFormatting>
  <conditionalFormatting sqref="B82:C82">
    <cfRule type="cellIs" dxfId="4739" priority="2957" stopIfTrue="1" operator="equal">
      <formula>"Towel"</formula>
    </cfRule>
    <cfRule type="cellIs" dxfId="4738" priority="2958" stopIfTrue="1" operator="equal">
      <formula>"Napkin Hs"</formula>
    </cfRule>
  </conditionalFormatting>
  <conditionalFormatting sqref="C82">
    <cfRule type="cellIs" dxfId="4737" priority="2956" stopIfTrue="1" operator="equal">
      <formula>"Napkin Hs"</formula>
    </cfRule>
  </conditionalFormatting>
  <conditionalFormatting sqref="C82">
    <cfRule type="cellIs" dxfId="4736" priority="2953" stopIfTrue="1" operator="equal">
      <formula>"Towel"</formula>
    </cfRule>
    <cfRule type="cellIs" dxfId="4735" priority="2954" stopIfTrue="1" operator="equal">
      <formula>"Napkin Hs"</formula>
    </cfRule>
  </conditionalFormatting>
  <conditionalFormatting sqref="C82">
    <cfRule type="cellIs" dxfId="4734" priority="2955" stopIfTrue="1" operator="equal">
      <formula>"Towel"</formula>
    </cfRule>
  </conditionalFormatting>
  <conditionalFormatting sqref="B82:C82">
    <cfRule type="cellIs" dxfId="4733" priority="2951" stopIfTrue="1" operator="equal">
      <formula>"Towel"</formula>
    </cfRule>
    <cfRule type="cellIs" dxfId="4732" priority="2952" stopIfTrue="1" operator="equal">
      <formula>"Napkin Hs"</formula>
    </cfRule>
  </conditionalFormatting>
  <conditionalFormatting sqref="C82">
    <cfRule type="cellIs" dxfId="4731" priority="2950" stopIfTrue="1" operator="equal">
      <formula>"Napkin Hs"</formula>
    </cfRule>
  </conditionalFormatting>
  <conditionalFormatting sqref="C82">
    <cfRule type="cellIs" dxfId="4730" priority="2947" stopIfTrue="1" operator="equal">
      <formula>"Towel"</formula>
    </cfRule>
    <cfRule type="cellIs" dxfId="4729" priority="2948" stopIfTrue="1" operator="equal">
      <formula>"Napkin Hs"</formula>
    </cfRule>
  </conditionalFormatting>
  <conditionalFormatting sqref="C82">
    <cfRule type="cellIs" dxfId="4728" priority="2949" stopIfTrue="1" operator="equal">
      <formula>"Towel"</formula>
    </cfRule>
  </conditionalFormatting>
  <conditionalFormatting sqref="B82:C82">
    <cfRule type="cellIs" dxfId="4727" priority="2945" stopIfTrue="1" operator="equal">
      <formula>"Towel"</formula>
    </cfRule>
    <cfRule type="cellIs" dxfId="4726" priority="2946" stopIfTrue="1" operator="equal">
      <formula>"Napkin Hs"</formula>
    </cfRule>
  </conditionalFormatting>
  <conditionalFormatting sqref="C82">
    <cfRule type="cellIs" dxfId="4725" priority="2944" stopIfTrue="1" operator="equal">
      <formula>"Napkin Hs"</formula>
    </cfRule>
  </conditionalFormatting>
  <conditionalFormatting sqref="C82">
    <cfRule type="cellIs" dxfId="4724" priority="2941" stopIfTrue="1" operator="equal">
      <formula>"Towel"</formula>
    </cfRule>
    <cfRule type="cellIs" dxfId="4723" priority="2942" stopIfTrue="1" operator="equal">
      <formula>"Napkin Hs"</formula>
    </cfRule>
  </conditionalFormatting>
  <conditionalFormatting sqref="C82">
    <cfRule type="cellIs" dxfId="4722" priority="2943" stopIfTrue="1" operator="equal">
      <formula>"Towel"</formula>
    </cfRule>
  </conditionalFormatting>
  <conditionalFormatting sqref="B82:C82">
    <cfRule type="cellIs" dxfId="4721" priority="2939" stopIfTrue="1" operator="equal">
      <formula>"Towel"</formula>
    </cfRule>
    <cfRule type="cellIs" dxfId="4720" priority="2940" stopIfTrue="1" operator="equal">
      <formula>"Napkin Hs"</formula>
    </cfRule>
  </conditionalFormatting>
  <conditionalFormatting sqref="C82">
    <cfRule type="cellIs" dxfId="4719" priority="2938" stopIfTrue="1" operator="equal">
      <formula>"Napkin Hs"</formula>
    </cfRule>
  </conditionalFormatting>
  <conditionalFormatting sqref="C82">
    <cfRule type="cellIs" dxfId="4718" priority="2937" stopIfTrue="1" operator="equal">
      <formula>"Towel"</formula>
    </cfRule>
  </conditionalFormatting>
  <conditionalFormatting sqref="C82">
    <cfRule type="cellIs" dxfId="4717" priority="2935" stopIfTrue="1" operator="equal">
      <formula>"Towel"</formula>
    </cfRule>
    <cfRule type="cellIs" dxfId="4716" priority="2936" stopIfTrue="1" operator="equal">
      <formula>"Napkin Hs"</formula>
    </cfRule>
  </conditionalFormatting>
  <conditionalFormatting sqref="B82:C82">
    <cfRule type="cellIs" dxfId="4715" priority="2933" stopIfTrue="1" operator="equal">
      <formula>"Towel"</formula>
    </cfRule>
    <cfRule type="cellIs" dxfId="4714" priority="2934" stopIfTrue="1" operator="equal">
      <formula>"Napkin Hs"</formula>
    </cfRule>
  </conditionalFormatting>
  <conditionalFormatting sqref="C82">
    <cfRule type="cellIs" dxfId="4713" priority="2932" stopIfTrue="1" operator="equal">
      <formula>"Napkin Hs"</formula>
    </cfRule>
  </conditionalFormatting>
  <conditionalFormatting sqref="C82">
    <cfRule type="cellIs" dxfId="4712" priority="2929" stopIfTrue="1" operator="equal">
      <formula>"Towel"</formula>
    </cfRule>
    <cfRule type="cellIs" dxfId="4711" priority="2930" stopIfTrue="1" operator="equal">
      <formula>"Napkin Hs"</formula>
    </cfRule>
  </conditionalFormatting>
  <conditionalFormatting sqref="C82">
    <cfRule type="cellIs" dxfId="4710" priority="2931" stopIfTrue="1" operator="equal">
      <formula>"Towel"</formula>
    </cfRule>
  </conditionalFormatting>
  <conditionalFormatting sqref="B82:C82">
    <cfRule type="cellIs" dxfId="4709" priority="2927" stopIfTrue="1" operator="equal">
      <formula>"Towel"</formula>
    </cfRule>
    <cfRule type="cellIs" dxfId="4708" priority="2928" stopIfTrue="1" operator="equal">
      <formula>"Napkin Hs"</formula>
    </cfRule>
  </conditionalFormatting>
  <conditionalFormatting sqref="C82">
    <cfRule type="cellIs" dxfId="4707" priority="2926" stopIfTrue="1" operator="equal">
      <formula>"Napkin Hs"</formula>
    </cfRule>
  </conditionalFormatting>
  <conditionalFormatting sqref="C82">
    <cfRule type="cellIs" dxfId="4706" priority="2923" stopIfTrue="1" operator="equal">
      <formula>"Towel"</formula>
    </cfRule>
    <cfRule type="cellIs" dxfId="4705" priority="2924" stopIfTrue="1" operator="equal">
      <formula>"Napkin Hs"</formula>
    </cfRule>
  </conditionalFormatting>
  <conditionalFormatting sqref="C82">
    <cfRule type="cellIs" dxfId="4704" priority="2925" stopIfTrue="1" operator="equal">
      <formula>"Towel"</formula>
    </cfRule>
  </conditionalFormatting>
  <conditionalFormatting sqref="B82:C82">
    <cfRule type="cellIs" dxfId="4703" priority="2921" stopIfTrue="1" operator="equal">
      <formula>"Towel"</formula>
    </cfRule>
    <cfRule type="cellIs" dxfId="4702" priority="2922" stopIfTrue="1" operator="equal">
      <formula>"Napkin Hs"</formula>
    </cfRule>
  </conditionalFormatting>
  <conditionalFormatting sqref="C82">
    <cfRule type="cellIs" dxfId="4701" priority="2920" stopIfTrue="1" operator="equal">
      <formula>"Napkin Hs"</formula>
    </cfRule>
  </conditionalFormatting>
  <conditionalFormatting sqref="C82">
    <cfRule type="cellIs" dxfId="4700" priority="2917" stopIfTrue="1" operator="equal">
      <formula>"Towel"</formula>
    </cfRule>
    <cfRule type="cellIs" dxfId="4699" priority="2918" stopIfTrue="1" operator="equal">
      <formula>"Napkin Hs"</formula>
    </cfRule>
  </conditionalFormatting>
  <conditionalFormatting sqref="C82">
    <cfRule type="cellIs" dxfId="4698" priority="2919" stopIfTrue="1" operator="equal">
      <formula>"Towel"</formula>
    </cfRule>
  </conditionalFormatting>
  <conditionalFormatting sqref="B82:C82">
    <cfRule type="cellIs" dxfId="4697" priority="2915" stopIfTrue="1" operator="equal">
      <formula>"Towel"</formula>
    </cfRule>
    <cfRule type="cellIs" dxfId="4696" priority="2916" stopIfTrue="1" operator="equal">
      <formula>"Napkin Hs"</formula>
    </cfRule>
  </conditionalFormatting>
  <conditionalFormatting sqref="C82">
    <cfRule type="cellIs" dxfId="4695" priority="2914" stopIfTrue="1" operator="equal">
      <formula>"Napkin Hs"</formula>
    </cfRule>
  </conditionalFormatting>
  <conditionalFormatting sqref="C82">
    <cfRule type="cellIs" dxfId="4694" priority="2911" stopIfTrue="1" operator="equal">
      <formula>"Towel"</formula>
    </cfRule>
    <cfRule type="cellIs" dxfId="4693" priority="2912" stopIfTrue="1" operator="equal">
      <formula>"Napkin Hs"</formula>
    </cfRule>
  </conditionalFormatting>
  <conditionalFormatting sqref="C82">
    <cfRule type="cellIs" dxfId="4692" priority="2913" stopIfTrue="1" operator="equal">
      <formula>"Towel"</formula>
    </cfRule>
  </conditionalFormatting>
  <conditionalFormatting sqref="B82:C82">
    <cfRule type="cellIs" dxfId="4691" priority="2909" stopIfTrue="1" operator="equal">
      <formula>"Towel"</formula>
    </cfRule>
    <cfRule type="cellIs" dxfId="4690" priority="2910" stopIfTrue="1" operator="equal">
      <formula>"Napkin Hs"</formula>
    </cfRule>
  </conditionalFormatting>
  <conditionalFormatting sqref="C82">
    <cfRule type="cellIs" dxfId="4689" priority="2908" stopIfTrue="1" operator="equal">
      <formula>"Napkin Hs"</formula>
    </cfRule>
  </conditionalFormatting>
  <conditionalFormatting sqref="C82">
    <cfRule type="cellIs" dxfId="4688" priority="2905" stopIfTrue="1" operator="equal">
      <formula>"Towel"</formula>
    </cfRule>
    <cfRule type="cellIs" dxfId="4687" priority="2906" stopIfTrue="1" operator="equal">
      <formula>"Napkin Hs"</formula>
    </cfRule>
  </conditionalFormatting>
  <conditionalFormatting sqref="C82">
    <cfRule type="cellIs" dxfId="4686" priority="2907" stopIfTrue="1" operator="equal">
      <formula>"Towel"</formula>
    </cfRule>
  </conditionalFormatting>
  <conditionalFormatting sqref="B82:C82">
    <cfRule type="cellIs" dxfId="4685" priority="2903" stopIfTrue="1" operator="equal">
      <formula>"Towel"</formula>
    </cfRule>
    <cfRule type="cellIs" dxfId="4684" priority="2904" stopIfTrue="1" operator="equal">
      <formula>"Napkin Hs"</formula>
    </cfRule>
  </conditionalFormatting>
  <conditionalFormatting sqref="C82">
    <cfRule type="cellIs" dxfId="4683" priority="2902" stopIfTrue="1" operator="equal">
      <formula>"Napkin Hs"</formula>
    </cfRule>
  </conditionalFormatting>
  <conditionalFormatting sqref="C82">
    <cfRule type="cellIs" dxfId="4682" priority="2899" stopIfTrue="1" operator="equal">
      <formula>"Towel"</formula>
    </cfRule>
    <cfRule type="cellIs" dxfId="4681" priority="2900" stopIfTrue="1" operator="equal">
      <formula>"Napkin Hs"</formula>
    </cfRule>
  </conditionalFormatting>
  <conditionalFormatting sqref="C82">
    <cfRule type="cellIs" dxfId="4680" priority="2901" stopIfTrue="1" operator="equal">
      <formula>"Towel"</formula>
    </cfRule>
  </conditionalFormatting>
  <conditionalFormatting sqref="B82:C82">
    <cfRule type="cellIs" dxfId="4679" priority="2897" stopIfTrue="1" operator="equal">
      <formula>"Towel"</formula>
    </cfRule>
    <cfRule type="cellIs" dxfId="4678" priority="2898" stopIfTrue="1" operator="equal">
      <formula>"Napkin Hs"</formula>
    </cfRule>
  </conditionalFormatting>
  <conditionalFormatting sqref="C82">
    <cfRule type="cellIs" dxfId="4677" priority="2896" stopIfTrue="1" operator="equal">
      <formula>"Napkin Hs"</formula>
    </cfRule>
  </conditionalFormatting>
  <conditionalFormatting sqref="C82">
    <cfRule type="cellIs" dxfId="4676" priority="2893" stopIfTrue="1" operator="equal">
      <formula>"Towel"</formula>
    </cfRule>
    <cfRule type="cellIs" dxfId="4675" priority="2894" stopIfTrue="1" operator="equal">
      <formula>"Napkin Hs"</formula>
    </cfRule>
  </conditionalFormatting>
  <conditionalFormatting sqref="C82">
    <cfRule type="cellIs" dxfId="4674" priority="2895" stopIfTrue="1" operator="equal">
      <formula>"Towel"</formula>
    </cfRule>
  </conditionalFormatting>
  <conditionalFormatting sqref="B82:C82">
    <cfRule type="cellIs" dxfId="4673" priority="2891" stopIfTrue="1" operator="equal">
      <formula>"Towel"</formula>
    </cfRule>
    <cfRule type="cellIs" dxfId="4672" priority="2892" stopIfTrue="1" operator="equal">
      <formula>"Napkin Hs"</formula>
    </cfRule>
  </conditionalFormatting>
  <conditionalFormatting sqref="C82">
    <cfRule type="cellIs" dxfId="4671" priority="2890" stopIfTrue="1" operator="equal">
      <formula>"Napkin Hs"</formula>
    </cfRule>
  </conditionalFormatting>
  <conditionalFormatting sqref="C82">
    <cfRule type="cellIs" dxfId="4670" priority="2887" stopIfTrue="1" operator="equal">
      <formula>"Towel"</formula>
    </cfRule>
    <cfRule type="cellIs" dxfId="4669" priority="2888" stopIfTrue="1" operator="equal">
      <formula>"Napkin Hs"</formula>
    </cfRule>
  </conditionalFormatting>
  <conditionalFormatting sqref="C82">
    <cfRule type="cellIs" dxfId="4668" priority="2889" stopIfTrue="1" operator="equal">
      <formula>"Towel"</formula>
    </cfRule>
  </conditionalFormatting>
  <conditionalFormatting sqref="B82:C82">
    <cfRule type="cellIs" dxfId="4667" priority="2885" stopIfTrue="1" operator="equal">
      <formula>"Towel"</formula>
    </cfRule>
    <cfRule type="cellIs" dxfId="4666" priority="2886" stopIfTrue="1" operator="equal">
      <formula>"Napkin Hs"</formula>
    </cfRule>
  </conditionalFormatting>
  <conditionalFormatting sqref="C82">
    <cfRule type="cellIs" dxfId="4665" priority="2884" stopIfTrue="1" operator="equal">
      <formula>"Napkin Hs"</formula>
    </cfRule>
  </conditionalFormatting>
  <conditionalFormatting sqref="C82">
    <cfRule type="cellIs" dxfId="4664" priority="2881" stopIfTrue="1" operator="equal">
      <formula>"Towel"</formula>
    </cfRule>
    <cfRule type="cellIs" dxfId="4663" priority="2882" stopIfTrue="1" operator="equal">
      <formula>"Napkin Hs"</formula>
    </cfRule>
  </conditionalFormatting>
  <conditionalFormatting sqref="C82">
    <cfRule type="cellIs" dxfId="4662" priority="2883" stopIfTrue="1" operator="equal">
      <formula>"Towel"</formula>
    </cfRule>
  </conditionalFormatting>
  <conditionalFormatting sqref="B81:C81">
    <cfRule type="cellIs" dxfId="4661" priority="2879" stopIfTrue="1" operator="equal">
      <formula>"Towel"</formula>
    </cfRule>
    <cfRule type="cellIs" dxfId="4660" priority="2880" stopIfTrue="1" operator="equal">
      <formula>"Napkin Hs"</formula>
    </cfRule>
  </conditionalFormatting>
  <conditionalFormatting sqref="C81">
    <cfRule type="cellIs" dxfId="4659" priority="2878" stopIfTrue="1" operator="equal">
      <formula>"Napkin Hs"</formula>
    </cfRule>
  </conditionalFormatting>
  <conditionalFormatting sqref="C81">
    <cfRule type="cellIs" dxfId="4658" priority="2875" stopIfTrue="1" operator="equal">
      <formula>"Towel"</formula>
    </cfRule>
    <cfRule type="cellIs" dxfId="4657" priority="2876" stopIfTrue="1" operator="equal">
      <formula>"Napkin Hs"</formula>
    </cfRule>
  </conditionalFormatting>
  <conditionalFormatting sqref="C81">
    <cfRule type="cellIs" dxfId="4656" priority="2877" stopIfTrue="1" operator="equal">
      <formula>"Towel"</formula>
    </cfRule>
  </conditionalFormatting>
  <conditionalFormatting sqref="B81:C81">
    <cfRule type="cellIs" dxfId="4655" priority="2873" stopIfTrue="1" operator="equal">
      <formula>"Towel"</formula>
    </cfRule>
    <cfRule type="cellIs" dxfId="4654" priority="2874" stopIfTrue="1" operator="equal">
      <formula>"Napkin Hs"</formula>
    </cfRule>
  </conditionalFormatting>
  <conditionalFormatting sqref="C81">
    <cfRule type="cellIs" dxfId="4653" priority="2872" stopIfTrue="1" operator="equal">
      <formula>"Napkin Hs"</formula>
    </cfRule>
  </conditionalFormatting>
  <conditionalFormatting sqref="C81">
    <cfRule type="cellIs" dxfId="4652" priority="2869" stopIfTrue="1" operator="equal">
      <formula>"Towel"</formula>
    </cfRule>
    <cfRule type="cellIs" dxfId="4651" priority="2870" stopIfTrue="1" operator="equal">
      <formula>"Napkin Hs"</formula>
    </cfRule>
  </conditionalFormatting>
  <conditionalFormatting sqref="C81">
    <cfRule type="cellIs" dxfId="4650" priority="2871" stopIfTrue="1" operator="equal">
      <formula>"Towel"</formula>
    </cfRule>
  </conditionalFormatting>
  <conditionalFormatting sqref="B81:C81">
    <cfRule type="cellIs" dxfId="4649" priority="2867" stopIfTrue="1" operator="equal">
      <formula>"Towel"</formula>
    </cfRule>
    <cfRule type="cellIs" dxfId="4648" priority="2868" stopIfTrue="1" operator="equal">
      <formula>"Napkin Hs"</formula>
    </cfRule>
  </conditionalFormatting>
  <conditionalFormatting sqref="C81">
    <cfRule type="cellIs" dxfId="4647" priority="2866" stopIfTrue="1" operator="equal">
      <formula>"Napkin Hs"</formula>
    </cfRule>
  </conditionalFormatting>
  <conditionalFormatting sqref="C81">
    <cfRule type="cellIs" dxfId="4646" priority="2863" stopIfTrue="1" operator="equal">
      <formula>"Towel"</formula>
    </cfRule>
    <cfRule type="cellIs" dxfId="4645" priority="2864" stopIfTrue="1" operator="equal">
      <formula>"Napkin Hs"</formula>
    </cfRule>
  </conditionalFormatting>
  <conditionalFormatting sqref="C81">
    <cfRule type="cellIs" dxfId="4644" priority="2865" stopIfTrue="1" operator="equal">
      <formula>"Towel"</formula>
    </cfRule>
  </conditionalFormatting>
  <conditionalFormatting sqref="B81:C81">
    <cfRule type="cellIs" dxfId="4643" priority="2861" stopIfTrue="1" operator="equal">
      <formula>"Towel"</formula>
    </cfRule>
    <cfRule type="cellIs" dxfId="4642" priority="2862" stopIfTrue="1" operator="equal">
      <formula>"Napkin Hs"</formula>
    </cfRule>
  </conditionalFormatting>
  <conditionalFormatting sqref="C81">
    <cfRule type="cellIs" dxfId="4641" priority="2857" stopIfTrue="1" operator="equal">
      <formula>"Towel"</formula>
    </cfRule>
    <cfRule type="cellIs" dxfId="4640" priority="2858" stopIfTrue="1" operator="equal">
      <formula>"Napkin Hs"</formula>
    </cfRule>
  </conditionalFormatting>
  <conditionalFormatting sqref="C81">
    <cfRule type="cellIs" dxfId="4639" priority="2859" stopIfTrue="1" operator="equal">
      <formula>"Towel"</formula>
    </cfRule>
    <cfRule type="cellIs" dxfId="4638" priority="2860" stopIfTrue="1" operator="equal">
      <formula>"Napkin Hs"</formula>
    </cfRule>
  </conditionalFormatting>
  <conditionalFormatting sqref="B81:C81">
    <cfRule type="cellIs" dxfId="4637" priority="2855" stopIfTrue="1" operator="equal">
      <formula>"Towel"</formula>
    </cfRule>
    <cfRule type="cellIs" dxfId="4636" priority="2856" stopIfTrue="1" operator="equal">
      <formula>"Napkin Hs"</formula>
    </cfRule>
  </conditionalFormatting>
  <conditionalFormatting sqref="C81">
    <cfRule type="cellIs" dxfId="4635" priority="2851" stopIfTrue="1" operator="equal">
      <formula>"Towel"</formula>
    </cfRule>
    <cfRule type="cellIs" dxfId="4634" priority="2852" stopIfTrue="1" operator="equal">
      <formula>"Napkin Hs"</formula>
    </cfRule>
  </conditionalFormatting>
  <conditionalFormatting sqref="C81">
    <cfRule type="cellIs" dxfId="4633" priority="2853" stopIfTrue="1" operator="equal">
      <formula>"Towel"</formula>
    </cfRule>
    <cfRule type="cellIs" dxfId="4632" priority="2854" stopIfTrue="1" operator="equal">
      <formula>"Napkin Hs"</formula>
    </cfRule>
  </conditionalFormatting>
  <conditionalFormatting sqref="B81:C81">
    <cfRule type="cellIs" dxfId="4631" priority="2847" stopIfTrue="1" operator="equal">
      <formula>"Towel"</formula>
    </cfRule>
    <cfRule type="cellIs" dxfId="4630" priority="2848" stopIfTrue="1" operator="equal">
      <formula>"Napkin Hs"</formula>
    </cfRule>
  </conditionalFormatting>
  <conditionalFormatting sqref="C81">
    <cfRule type="cellIs" dxfId="4629" priority="2849" stopIfTrue="1" operator="equal">
      <formula>"Towel"</formula>
    </cfRule>
    <cfRule type="cellIs" dxfId="4628" priority="2850" stopIfTrue="1" operator="equal">
      <formula>"Napkin Hs"</formula>
    </cfRule>
  </conditionalFormatting>
  <conditionalFormatting sqref="C81">
    <cfRule type="cellIs" dxfId="4627" priority="2845" stopIfTrue="1" operator="equal">
      <formula>"Towel"</formula>
    </cfRule>
    <cfRule type="cellIs" dxfId="4626" priority="2846" stopIfTrue="1" operator="equal">
      <formula>"Napkin Hs"</formula>
    </cfRule>
  </conditionalFormatting>
  <conditionalFormatting sqref="B81:C81">
    <cfRule type="cellIs" dxfId="4625" priority="2843" stopIfTrue="1" operator="equal">
      <formula>"Towel"</formula>
    </cfRule>
    <cfRule type="cellIs" dxfId="4624" priority="2844" stopIfTrue="1" operator="equal">
      <formula>"Napkin Hs"</formula>
    </cfRule>
  </conditionalFormatting>
  <conditionalFormatting sqref="C81">
    <cfRule type="cellIs" dxfId="4623" priority="2842" stopIfTrue="1" operator="equal">
      <formula>"Napkin Hs"</formula>
    </cfRule>
  </conditionalFormatting>
  <conditionalFormatting sqref="C81">
    <cfRule type="cellIs" dxfId="4622" priority="2839" stopIfTrue="1" operator="equal">
      <formula>"Towel"</formula>
    </cfRule>
    <cfRule type="cellIs" dxfId="4621" priority="2840" stopIfTrue="1" operator="equal">
      <formula>"Napkin Hs"</formula>
    </cfRule>
  </conditionalFormatting>
  <conditionalFormatting sqref="C81">
    <cfRule type="cellIs" dxfId="4620" priority="2841" stopIfTrue="1" operator="equal">
      <formula>"Towel"</formula>
    </cfRule>
  </conditionalFormatting>
  <conditionalFormatting sqref="B81:C81">
    <cfRule type="cellIs" dxfId="4619" priority="2837" stopIfTrue="1" operator="equal">
      <formula>"Towel"</formula>
    </cfRule>
    <cfRule type="cellIs" dxfId="4618" priority="2838" stopIfTrue="1" operator="equal">
      <formula>"Napkin Hs"</formula>
    </cfRule>
  </conditionalFormatting>
  <conditionalFormatting sqref="C81">
    <cfRule type="cellIs" dxfId="4617" priority="2833" stopIfTrue="1" operator="equal">
      <formula>"Towel"</formula>
    </cfRule>
    <cfRule type="cellIs" dxfId="4616" priority="2834" stopIfTrue="1" operator="equal">
      <formula>"Napkin Hs"</formula>
    </cfRule>
  </conditionalFormatting>
  <conditionalFormatting sqref="C81">
    <cfRule type="cellIs" dxfId="4615" priority="2835" stopIfTrue="1" operator="equal">
      <formula>"Towel"</formula>
    </cfRule>
    <cfRule type="cellIs" dxfId="4614" priority="2836" stopIfTrue="1" operator="equal">
      <formula>"Napkin Hs"</formula>
    </cfRule>
  </conditionalFormatting>
  <conditionalFormatting sqref="B81:C81">
    <cfRule type="cellIs" dxfId="4613" priority="2831" stopIfTrue="1" operator="equal">
      <formula>"Towel"</formula>
    </cfRule>
    <cfRule type="cellIs" dxfId="4612" priority="2832" stopIfTrue="1" operator="equal">
      <formula>"Napkin Hs"</formula>
    </cfRule>
  </conditionalFormatting>
  <conditionalFormatting sqref="C81">
    <cfRule type="cellIs" dxfId="4611" priority="2830" stopIfTrue="1" operator="equal">
      <formula>"Napkin Hs"</formula>
    </cfRule>
  </conditionalFormatting>
  <conditionalFormatting sqref="C81">
    <cfRule type="cellIs" dxfId="4610" priority="2827" stopIfTrue="1" operator="equal">
      <formula>"Towel"</formula>
    </cfRule>
    <cfRule type="cellIs" dxfId="4609" priority="2828" stopIfTrue="1" operator="equal">
      <formula>"Napkin Hs"</formula>
    </cfRule>
  </conditionalFormatting>
  <conditionalFormatting sqref="C81">
    <cfRule type="cellIs" dxfId="4608" priority="2829" stopIfTrue="1" operator="equal">
      <formula>"Towel"</formula>
    </cfRule>
  </conditionalFormatting>
  <conditionalFormatting sqref="B81:C81">
    <cfRule type="cellIs" dxfId="4607" priority="2825" stopIfTrue="1" operator="equal">
      <formula>"Towel"</formula>
    </cfRule>
    <cfRule type="cellIs" dxfId="4606" priority="2826" stopIfTrue="1" operator="equal">
      <formula>"Napkin Hs"</formula>
    </cfRule>
  </conditionalFormatting>
  <conditionalFormatting sqref="C81">
    <cfRule type="cellIs" dxfId="4605" priority="2823" stopIfTrue="1" operator="equal">
      <formula>"Towel"</formula>
    </cfRule>
    <cfRule type="cellIs" dxfId="4604" priority="2824" stopIfTrue="1" operator="equal">
      <formula>"Napkin Hs"</formula>
    </cfRule>
  </conditionalFormatting>
  <conditionalFormatting sqref="C81">
    <cfRule type="cellIs" dxfId="4603" priority="2821" stopIfTrue="1" operator="equal">
      <formula>"Towel"</formula>
    </cfRule>
    <cfRule type="cellIs" dxfId="4602" priority="2822" stopIfTrue="1" operator="equal">
      <formula>"Napkin Hs"</formula>
    </cfRule>
  </conditionalFormatting>
  <conditionalFormatting sqref="B81:C81">
    <cfRule type="cellIs" dxfId="4601" priority="2819" stopIfTrue="1" operator="equal">
      <formula>"Towel"</formula>
    </cfRule>
    <cfRule type="cellIs" dxfId="4600" priority="2820" stopIfTrue="1" operator="equal">
      <formula>"Napkin Hs"</formula>
    </cfRule>
  </conditionalFormatting>
  <conditionalFormatting sqref="C81">
    <cfRule type="cellIs" dxfId="4599" priority="2818" stopIfTrue="1" operator="equal">
      <formula>"Napkin Hs"</formula>
    </cfRule>
  </conditionalFormatting>
  <conditionalFormatting sqref="C81">
    <cfRule type="cellIs" dxfId="4598" priority="2815" stopIfTrue="1" operator="equal">
      <formula>"Towel"</formula>
    </cfRule>
    <cfRule type="cellIs" dxfId="4597" priority="2816" stopIfTrue="1" operator="equal">
      <formula>"Napkin Hs"</formula>
    </cfRule>
  </conditionalFormatting>
  <conditionalFormatting sqref="C81">
    <cfRule type="cellIs" dxfId="4596" priority="2817" stopIfTrue="1" operator="equal">
      <formula>"Towel"</formula>
    </cfRule>
  </conditionalFormatting>
  <conditionalFormatting sqref="B81:C81">
    <cfRule type="cellIs" dxfId="4595" priority="2813" stopIfTrue="1" operator="equal">
      <formula>"Towel"</formula>
    </cfRule>
    <cfRule type="cellIs" dxfId="4594" priority="2814" stopIfTrue="1" operator="equal">
      <formula>"Napkin Hs"</formula>
    </cfRule>
  </conditionalFormatting>
  <conditionalFormatting sqref="C81">
    <cfRule type="cellIs" dxfId="4593" priority="2812" stopIfTrue="1" operator="equal">
      <formula>"Napkin Hs"</formula>
    </cfRule>
  </conditionalFormatting>
  <conditionalFormatting sqref="C81">
    <cfRule type="cellIs" dxfId="4592" priority="2811" stopIfTrue="1" operator="equal">
      <formula>"Towel"</formula>
    </cfRule>
  </conditionalFormatting>
  <conditionalFormatting sqref="C81">
    <cfRule type="cellIs" dxfId="4591" priority="2809" stopIfTrue="1" operator="equal">
      <formula>"Towel"</formula>
    </cfRule>
    <cfRule type="cellIs" dxfId="4590" priority="2810" stopIfTrue="1" operator="equal">
      <formula>"Napkin Hs"</formula>
    </cfRule>
  </conditionalFormatting>
  <conditionalFormatting sqref="B81:C81">
    <cfRule type="cellIs" dxfId="4589" priority="2807" stopIfTrue="1" operator="equal">
      <formula>"Towel"</formula>
    </cfRule>
    <cfRule type="cellIs" dxfId="4588" priority="2808" stopIfTrue="1" operator="equal">
      <formula>"Napkin Hs"</formula>
    </cfRule>
  </conditionalFormatting>
  <conditionalFormatting sqref="C81">
    <cfRule type="cellIs" dxfId="4587" priority="2806" stopIfTrue="1" operator="equal">
      <formula>"Napkin Hs"</formula>
    </cfRule>
  </conditionalFormatting>
  <conditionalFormatting sqref="C81">
    <cfRule type="cellIs" dxfId="4586" priority="2803" stopIfTrue="1" operator="equal">
      <formula>"Towel"</formula>
    </cfRule>
    <cfRule type="cellIs" dxfId="4585" priority="2804" stopIfTrue="1" operator="equal">
      <formula>"Napkin Hs"</formula>
    </cfRule>
  </conditionalFormatting>
  <conditionalFormatting sqref="C81">
    <cfRule type="cellIs" dxfId="4584" priority="2805" stopIfTrue="1" operator="equal">
      <formula>"Towel"</formula>
    </cfRule>
  </conditionalFormatting>
  <conditionalFormatting sqref="B81:C81">
    <cfRule type="cellIs" dxfId="4583" priority="2801" stopIfTrue="1" operator="equal">
      <formula>"Towel"</formula>
    </cfRule>
    <cfRule type="cellIs" dxfId="4582" priority="2802" stopIfTrue="1" operator="equal">
      <formula>"Napkin Hs"</formula>
    </cfRule>
  </conditionalFormatting>
  <conditionalFormatting sqref="C81">
    <cfRule type="cellIs" dxfId="4581" priority="2800" stopIfTrue="1" operator="equal">
      <formula>"Napkin Hs"</formula>
    </cfRule>
  </conditionalFormatting>
  <conditionalFormatting sqref="C81">
    <cfRule type="cellIs" dxfId="4580" priority="2797" stopIfTrue="1" operator="equal">
      <formula>"Towel"</formula>
    </cfRule>
    <cfRule type="cellIs" dxfId="4579" priority="2798" stopIfTrue="1" operator="equal">
      <formula>"Napkin Hs"</formula>
    </cfRule>
  </conditionalFormatting>
  <conditionalFormatting sqref="C81">
    <cfRule type="cellIs" dxfId="4578" priority="2799" stopIfTrue="1" operator="equal">
      <formula>"Towel"</formula>
    </cfRule>
  </conditionalFormatting>
  <conditionalFormatting sqref="B81:C81">
    <cfRule type="cellIs" dxfId="4577" priority="2795" stopIfTrue="1" operator="equal">
      <formula>"Towel"</formula>
    </cfRule>
    <cfRule type="cellIs" dxfId="4576" priority="2796" stopIfTrue="1" operator="equal">
      <formula>"Napkin Hs"</formula>
    </cfRule>
  </conditionalFormatting>
  <conditionalFormatting sqref="C81">
    <cfRule type="cellIs" dxfId="4575" priority="2794" stopIfTrue="1" operator="equal">
      <formula>"Napkin Hs"</formula>
    </cfRule>
  </conditionalFormatting>
  <conditionalFormatting sqref="C81">
    <cfRule type="cellIs" dxfId="4574" priority="2791" stopIfTrue="1" operator="equal">
      <formula>"Towel"</formula>
    </cfRule>
    <cfRule type="cellIs" dxfId="4573" priority="2792" stopIfTrue="1" operator="equal">
      <formula>"Napkin Hs"</formula>
    </cfRule>
  </conditionalFormatting>
  <conditionalFormatting sqref="C81">
    <cfRule type="cellIs" dxfId="4572" priority="2793" stopIfTrue="1" operator="equal">
      <formula>"Towel"</formula>
    </cfRule>
  </conditionalFormatting>
  <conditionalFormatting sqref="B81:C81">
    <cfRule type="cellIs" dxfId="4571" priority="2789" stopIfTrue="1" operator="equal">
      <formula>"Towel"</formula>
    </cfRule>
    <cfRule type="cellIs" dxfId="4570" priority="2790" stopIfTrue="1" operator="equal">
      <formula>"Napkin Hs"</formula>
    </cfRule>
  </conditionalFormatting>
  <conditionalFormatting sqref="C81">
    <cfRule type="cellIs" dxfId="4569" priority="2788" stopIfTrue="1" operator="equal">
      <formula>"Napkin Hs"</formula>
    </cfRule>
  </conditionalFormatting>
  <conditionalFormatting sqref="C81">
    <cfRule type="cellIs" dxfId="4568" priority="2785" stopIfTrue="1" operator="equal">
      <formula>"Towel"</formula>
    </cfRule>
    <cfRule type="cellIs" dxfId="4567" priority="2786" stopIfTrue="1" operator="equal">
      <formula>"Napkin Hs"</formula>
    </cfRule>
  </conditionalFormatting>
  <conditionalFormatting sqref="C81">
    <cfRule type="cellIs" dxfId="4566" priority="2787" stopIfTrue="1" operator="equal">
      <formula>"Towel"</formula>
    </cfRule>
  </conditionalFormatting>
  <conditionalFormatting sqref="B81:C81">
    <cfRule type="cellIs" dxfId="4565" priority="2783" stopIfTrue="1" operator="equal">
      <formula>"Towel"</formula>
    </cfRule>
    <cfRule type="cellIs" dxfId="4564" priority="2784" stopIfTrue="1" operator="equal">
      <formula>"Napkin Hs"</formula>
    </cfRule>
  </conditionalFormatting>
  <conditionalFormatting sqref="C81">
    <cfRule type="cellIs" dxfId="4563" priority="2782" stopIfTrue="1" operator="equal">
      <formula>"Napkin Hs"</formula>
    </cfRule>
  </conditionalFormatting>
  <conditionalFormatting sqref="C81">
    <cfRule type="cellIs" dxfId="4562" priority="2779" stopIfTrue="1" operator="equal">
      <formula>"Towel"</formula>
    </cfRule>
    <cfRule type="cellIs" dxfId="4561" priority="2780" stopIfTrue="1" operator="equal">
      <formula>"Napkin Hs"</formula>
    </cfRule>
  </conditionalFormatting>
  <conditionalFormatting sqref="C81">
    <cfRule type="cellIs" dxfId="4560" priority="2781" stopIfTrue="1" operator="equal">
      <formula>"Towel"</formula>
    </cfRule>
  </conditionalFormatting>
  <conditionalFormatting sqref="B81:C81">
    <cfRule type="cellIs" dxfId="4559" priority="2777" stopIfTrue="1" operator="equal">
      <formula>"Towel"</formula>
    </cfRule>
    <cfRule type="cellIs" dxfId="4558" priority="2778" stopIfTrue="1" operator="equal">
      <formula>"Napkin Hs"</formula>
    </cfRule>
  </conditionalFormatting>
  <conditionalFormatting sqref="C81">
    <cfRule type="cellIs" dxfId="4557" priority="2776" stopIfTrue="1" operator="equal">
      <formula>"Napkin Hs"</formula>
    </cfRule>
  </conditionalFormatting>
  <conditionalFormatting sqref="C81">
    <cfRule type="cellIs" dxfId="4556" priority="2773" stopIfTrue="1" operator="equal">
      <formula>"Towel"</formula>
    </cfRule>
    <cfRule type="cellIs" dxfId="4555" priority="2774" stopIfTrue="1" operator="equal">
      <formula>"Napkin Hs"</formula>
    </cfRule>
  </conditionalFormatting>
  <conditionalFormatting sqref="C81">
    <cfRule type="cellIs" dxfId="4554" priority="2775" stopIfTrue="1" operator="equal">
      <formula>"Towel"</formula>
    </cfRule>
  </conditionalFormatting>
  <conditionalFormatting sqref="B81:C81">
    <cfRule type="cellIs" dxfId="4553" priority="2771" stopIfTrue="1" operator="equal">
      <formula>"Towel"</formula>
    </cfRule>
    <cfRule type="cellIs" dxfId="4552" priority="2772" stopIfTrue="1" operator="equal">
      <formula>"Napkin Hs"</formula>
    </cfRule>
  </conditionalFormatting>
  <conditionalFormatting sqref="C81">
    <cfRule type="cellIs" dxfId="4551" priority="2770" stopIfTrue="1" operator="equal">
      <formula>"Napkin Hs"</formula>
    </cfRule>
  </conditionalFormatting>
  <conditionalFormatting sqref="C81">
    <cfRule type="cellIs" dxfId="4550" priority="2767" stopIfTrue="1" operator="equal">
      <formula>"Towel"</formula>
    </cfRule>
    <cfRule type="cellIs" dxfId="4549" priority="2768" stopIfTrue="1" operator="equal">
      <formula>"Napkin Hs"</formula>
    </cfRule>
  </conditionalFormatting>
  <conditionalFormatting sqref="C81">
    <cfRule type="cellIs" dxfId="4548" priority="2769" stopIfTrue="1" operator="equal">
      <formula>"Towel"</formula>
    </cfRule>
  </conditionalFormatting>
  <conditionalFormatting sqref="B81:C81">
    <cfRule type="cellIs" dxfId="4547" priority="2765" stopIfTrue="1" operator="equal">
      <formula>"Towel"</formula>
    </cfRule>
    <cfRule type="cellIs" dxfId="4546" priority="2766" stopIfTrue="1" operator="equal">
      <formula>"Napkin Hs"</formula>
    </cfRule>
  </conditionalFormatting>
  <conditionalFormatting sqref="C81">
    <cfRule type="cellIs" dxfId="4545" priority="2764" stopIfTrue="1" operator="equal">
      <formula>"Napkin Hs"</formula>
    </cfRule>
  </conditionalFormatting>
  <conditionalFormatting sqref="C81">
    <cfRule type="cellIs" dxfId="4544" priority="2761" stopIfTrue="1" operator="equal">
      <formula>"Towel"</formula>
    </cfRule>
    <cfRule type="cellIs" dxfId="4543" priority="2762" stopIfTrue="1" operator="equal">
      <formula>"Napkin Hs"</formula>
    </cfRule>
  </conditionalFormatting>
  <conditionalFormatting sqref="C81">
    <cfRule type="cellIs" dxfId="4542" priority="2763" stopIfTrue="1" operator="equal">
      <formula>"Towel"</formula>
    </cfRule>
  </conditionalFormatting>
  <conditionalFormatting sqref="B81:C81">
    <cfRule type="cellIs" dxfId="4541" priority="2759" stopIfTrue="1" operator="equal">
      <formula>"Towel"</formula>
    </cfRule>
    <cfRule type="cellIs" dxfId="4540" priority="2760" stopIfTrue="1" operator="equal">
      <formula>"Napkin Hs"</formula>
    </cfRule>
  </conditionalFormatting>
  <conditionalFormatting sqref="C81">
    <cfRule type="cellIs" dxfId="4539" priority="2758" stopIfTrue="1" operator="equal">
      <formula>"Napkin Hs"</formula>
    </cfRule>
  </conditionalFormatting>
  <conditionalFormatting sqref="C81">
    <cfRule type="cellIs" dxfId="4538" priority="2755" stopIfTrue="1" operator="equal">
      <formula>"Towel"</formula>
    </cfRule>
    <cfRule type="cellIs" dxfId="4537" priority="2756" stopIfTrue="1" operator="equal">
      <formula>"Napkin Hs"</formula>
    </cfRule>
  </conditionalFormatting>
  <conditionalFormatting sqref="C81">
    <cfRule type="cellIs" dxfId="4536" priority="2757" stopIfTrue="1" operator="equal">
      <formula>"Towel"</formula>
    </cfRule>
  </conditionalFormatting>
  <conditionalFormatting sqref="B81:C81">
    <cfRule type="cellIs" dxfId="4535" priority="2753" stopIfTrue="1" operator="equal">
      <formula>"Towel"</formula>
    </cfRule>
    <cfRule type="cellIs" dxfId="4534" priority="2754" stopIfTrue="1" operator="equal">
      <formula>"Napkin Hs"</formula>
    </cfRule>
  </conditionalFormatting>
  <conditionalFormatting sqref="C81">
    <cfRule type="cellIs" dxfId="4533" priority="2752" stopIfTrue="1" operator="equal">
      <formula>"Napkin Hs"</formula>
    </cfRule>
  </conditionalFormatting>
  <conditionalFormatting sqref="C81">
    <cfRule type="cellIs" dxfId="4532" priority="2749" stopIfTrue="1" operator="equal">
      <formula>"Towel"</formula>
    </cfRule>
    <cfRule type="cellIs" dxfId="4531" priority="2750" stopIfTrue="1" operator="equal">
      <formula>"Napkin Hs"</formula>
    </cfRule>
  </conditionalFormatting>
  <conditionalFormatting sqref="C81">
    <cfRule type="cellIs" dxfId="4530" priority="2751" stopIfTrue="1" operator="equal">
      <formula>"Towel"</formula>
    </cfRule>
  </conditionalFormatting>
  <conditionalFormatting sqref="B81:C81">
    <cfRule type="cellIs" dxfId="4529" priority="2747" stopIfTrue="1" operator="equal">
      <formula>"Towel"</formula>
    </cfRule>
    <cfRule type="cellIs" dxfId="4528" priority="2748" stopIfTrue="1" operator="equal">
      <formula>"Napkin Hs"</formula>
    </cfRule>
  </conditionalFormatting>
  <conditionalFormatting sqref="C81">
    <cfRule type="cellIs" dxfId="4527" priority="2746" stopIfTrue="1" operator="equal">
      <formula>"Napkin Hs"</formula>
    </cfRule>
  </conditionalFormatting>
  <conditionalFormatting sqref="C81">
    <cfRule type="cellIs" dxfId="4526" priority="2745" stopIfTrue="1" operator="equal">
      <formula>"Towel"</formula>
    </cfRule>
  </conditionalFormatting>
  <conditionalFormatting sqref="C81">
    <cfRule type="cellIs" dxfId="4525" priority="2743" stopIfTrue="1" operator="equal">
      <formula>"Towel"</formula>
    </cfRule>
    <cfRule type="cellIs" dxfId="4524" priority="2744" stopIfTrue="1" operator="equal">
      <formula>"Napkin Hs"</formula>
    </cfRule>
  </conditionalFormatting>
  <conditionalFormatting sqref="B81:C81">
    <cfRule type="cellIs" dxfId="4523" priority="2741" stopIfTrue="1" operator="equal">
      <formula>"Towel"</formula>
    </cfRule>
    <cfRule type="cellIs" dxfId="4522" priority="2742" stopIfTrue="1" operator="equal">
      <formula>"Napkin Hs"</formula>
    </cfRule>
  </conditionalFormatting>
  <conditionalFormatting sqref="C81">
    <cfRule type="cellIs" dxfId="4521" priority="2740" stopIfTrue="1" operator="equal">
      <formula>"Napkin Hs"</formula>
    </cfRule>
  </conditionalFormatting>
  <conditionalFormatting sqref="C81">
    <cfRule type="cellIs" dxfId="4520" priority="2737" stopIfTrue="1" operator="equal">
      <formula>"Towel"</formula>
    </cfRule>
    <cfRule type="cellIs" dxfId="4519" priority="2738" stopIfTrue="1" operator="equal">
      <formula>"Napkin Hs"</formula>
    </cfRule>
  </conditionalFormatting>
  <conditionalFormatting sqref="C81">
    <cfRule type="cellIs" dxfId="4518" priority="2739" stopIfTrue="1" operator="equal">
      <formula>"Towel"</formula>
    </cfRule>
  </conditionalFormatting>
  <conditionalFormatting sqref="B81:C81">
    <cfRule type="cellIs" dxfId="4517" priority="2735" stopIfTrue="1" operator="equal">
      <formula>"Towel"</formula>
    </cfRule>
    <cfRule type="cellIs" dxfId="4516" priority="2736" stopIfTrue="1" operator="equal">
      <formula>"Napkin Hs"</formula>
    </cfRule>
  </conditionalFormatting>
  <conditionalFormatting sqref="C81">
    <cfRule type="cellIs" dxfId="4515" priority="2734" stopIfTrue="1" operator="equal">
      <formula>"Napkin Hs"</formula>
    </cfRule>
  </conditionalFormatting>
  <conditionalFormatting sqref="C81">
    <cfRule type="cellIs" dxfId="4514" priority="2731" stopIfTrue="1" operator="equal">
      <formula>"Towel"</formula>
    </cfRule>
    <cfRule type="cellIs" dxfId="4513" priority="2732" stopIfTrue="1" operator="equal">
      <formula>"Napkin Hs"</formula>
    </cfRule>
  </conditionalFormatting>
  <conditionalFormatting sqref="C81">
    <cfRule type="cellIs" dxfId="4512" priority="2733" stopIfTrue="1" operator="equal">
      <formula>"Towel"</formula>
    </cfRule>
  </conditionalFormatting>
  <conditionalFormatting sqref="B81:C81">
    <cfRule type="cellIs" dxfId="4511" priority="2729" stopIfTrue="1" operator="equal">
      <formula>"Towel"</formula>
    </cfRule>
    <cfRule type="cellIs" dxfId="4510" priority="2730" stopIfTrue="1" operator="equal">
      <formula>"Napkin Hs"</formula>
    </cfRule>
  </conditionalFormatting>
  <conditionalFormatting sqref="C81">
    <cfRule type="cellIs" dxfId="4509" priority="2728" stopIfTrue="1" operator="equal">
      <formula>"Napkin Hs"</formula>
    </cfRule>
  </conditionalFormatting>
  <conditionalFormatting sqref="C81">
    <cfRule type="cellIs" dxfId="4508" priority="2725" stopIfTrue="1" operator="equal">
      <formula>"Towel"</formula>
    </cfRule>
    <cfRule type="cellIs" dxfId="4507" priority="2726" stopIfTrue="1" operator="equal">
      <formula>"Napkin Hs"</formula>
    </cfRule>
  </conditionalFormatting>
  <conditionalFormatting sqref="C81">
    <cfRule type="cellIs" dxfId="4506" priority="2727" stopIfTrue="1" operator="equal">
      <formula>"Towel"</formula>
    </cfRule>
  </conditionalFormatting>
  <conditionalFormatting sqref="B81:C81">
    <cfRule type="cellIs" dxfId="4505" priority="2723" stopIfTrue="1" operator="equal">
      <formula>"Towel"</formula>
    </cfRule>
    <cfRule type="cellIs" dxfId="4504" priority="2724" stopIfTrue="1" operator="equal">
      <formula>"Napkin Hs"</formula>
    </cfRule>
  </conditionalFormatting>
  <conditionalFormatting sqref="C81">
    <cfRule type="cellIs" dxfId="4503" priority="2722" stopIfTrue="1" operator="equal">
      <formula>"Napkin Hs"</formula>
    </cfRule>
  </conditionalFormatting>
  <conditionalFormatting sqref="C81">
    <cfRule type="cellIs" dxfId="4502" priority="2719" stopIfTrue="1" operator="equal">
      <formula>"Towel"</formula>
    </cfRule>
    <cfRule type="cellIs" dxfId="4501" priority="2720" stopIfTrue="1" operator="equal">
      <formula>"Napkin Hs"</formula>
    </cfRule>
  </conditionalFormatting>
  <conditionalFormatting sqref="C81">
    <cfRule type="cellIs" dxfId="4500" priority="2721" stopIfTrue="1" operator="equal">
      <formula>"Towel"</formula>
    </cfRule>
  </conditionalFormatting>
  <conditionalFormatting sqref="B81:C81">
    <cfRule type="cellIs" dxfId="4499" priority="2717" stopIfTrue="1" operator="equal">
      <formula>"Towel"</formula>
    </cfRule>
    <cfRule type="cellIs" dxfId="4498" priority="2718" stopIfTrue="1" operator="equal">
      <formula>"Napkin Hs"</formula>
    </cfRule>
  </conditionalFormatting>
  <conditionalFormatting sqref="C81">
    <cfRule type="cellIs" dxfId="4497" priority="2716" stopIfTrue="1" operator="equal">
      <formula>"Napkin Hs"</formula>
    </cfRule>
  </conditionalFormatting>
  <conditionalFormatting sqref="C81">
    <cfRule type="cellIs" dxfId="4496" priority="2713" stopIfTrue="1" operator="equal">
      <formula>"Towel"</formula>
    </cfRule>
    <cfRule type="cellIs" dxfId="4495" priority="2714" stopIfTrue="1" operator="equal">
      <formula>"Napkin Hs"</formula>
    </cfRule>
  </conditionalFormatting>
  <conditionalFormatting sqref="C81">
    <cfRule type="cellIs" dxfId="4494" priority="2715" stopIfTrue="1" operator="equal">
      <formula>"Towel"</formula>
    </cfRule>
  </conditionalFormatting>
  <conditionalFormatting sqref="B81:C81">
    <cfRule type="cellIs" dxfId="4493" priority="2711" stopIfTrue="1" operator="equal">
      <formula>"Towel"</formula>
    </cfRule>
    <cfRule type="cellIs" dxfId="4492" priority="2712" stopIfTrue="1" operator="equal">
      <formula>"Napkin Hs"</formula>
    </cfRule>
  </conditionalFormatting>
  <conditionalFormatting sqref="C81">
    <cfRule type="cellIs" dxfId="4491" priority="2710" stopIfTrue="1" operator="equal">
      <formula>"Napkin Hs"</formula>
    </cfRule>
  </conditionalFormatting>
  <conditionalFormatting sqref="C81">
    <cfRule type="cellIs" dxfId="4490" priority="2707" stopIfTrue="1" operator="equal">
      <formula>"Towel"</formula>
    </cfRule>
    <cfRule type="cellIs" dxfId="4489" priority="2708" stopIfTrue="1" operator="equal">
      <formula>"Napkin Hs"</formula>
    </cfRule>
  </conditionalFormatting>
  <conditionalFormatting sqref="C81">
    <cfRule type="cellIs" dxfId="4488" priority="2709" stopIfTrue="1" operator="equal">
      <formula>"Towel"</formula>
    </cfRule>
  </conditionalFormatting>
  <conditionalFormatting sqref="B81:C81">
    <cfRule type="cellIs" dxfId="4487" priority="2705" stopIfTrue="1" operator="equal">
      <formula>"Towel"</formula>
    </cfRule>
    <cfRule type="cellIs" dxfId="4486" priority="2706" stopIfTrue="1" operator="equal">
      <formula>"Napkin Hs"</formula>
    </cfRule>
  </conditionalFormatting>
  <conditionalFormatting sqref="C81">
    <cfRule type="cellIs" dxfId="4485" priority="2704" stopIfTrue="1" operator="equal">
      <formula>"Napkin Hs"</formula>
    </cfRule>
  </conditionalFormatting>
  <conditionalFormatting sqref="C81">
    <cfRule type="cellIs" dxfId="4484" priority="2701" stopIfTrue="1" operator="equal">
      <formula>"Towel"</formula>
    </cfRule>
    <cfRule type="cellIs" dxfId="4483" priority="2702" stopIfTrue="1" operator="equal">
      <formula>"Napkin Hs"</formula>
    </cfRule>
  </conditionalFormatting>
  <conditionalFormatting sqref="C81">
    <cfRule type="cellIs" dxfId="4482" priority="2703" stopIfTrue="1" operator="equal">
      <formula>"Towel"</formula>
    </cfRule>
  </conditionalFormatting>
  <conditionalFormatting sqref="B81:C81">
    <cfRule type="cellIs" dxfId="4481" priority="2699" stopIfTrue="1" operator="equal">
      <formula>"Towel"</formula>
    </cfRule>
    <cfRule type="cellIs" dxfId="4480" priority="2700" stopIfTrue="1" operator="equal">
      <formula>"Napkin Hs"</formula>
    </cfRule>
  </conditionalFormatting>
  <conditionalFormatting sqref="C81">
    <cfRule type="cellIs" dxfId="4479" priority="2698" stopIfTrue="1" operator="equal">
      <formula>"Napkin Hs"</formula>
    </cfRule>
  </conditionalFormatting>
  <conditionalFormatting sqref="C81">
    <cfRule type="cellIs" dxfId="4478" priority="2695" stopIfTrue="1" operator="equal">
      <formula>"Towel"</formula>
    </cfRule>
    <cfRule type="cellIs" dxfId="4477" priority="2696" stopIfTrue="1" operator="equal">
      <formula>"Napkin Hs"</formula>
    </cfRule>
  </conditionalFormatting>
  <conditionalFormatting sqref="C81">
    <cfRule type="cellIs" dxfId="4476" priority="2697" stopIfTrue="1" operator="equal">
      <formula>"Towel"</formula>
    </cfRule>
  </conditionalFormatting>
  <conditionalFormatting sqref="B81:C81">
    <cfRule type="cellIs" dxfId="4475" priority="2693" stopIfTrue="1" operator="equal">
      <formula>"Towel"</formula>
    </cfRule>
    <cfRule type="cellIs" dxfId="4474" priority="2694" stopIfTrue="1" operator="equal">
      <formula>"Napkin Hs"</formula>
    </cfRule>
  </conditionalFormatting>
  <conditionalFormatting sqref="C81">
    <cfRule type="cellIs" dxfId="4473" priority="2692" stopIfTrue="1" operator="equal">
      <formula>"Napkin Hs"</formula>
    </cfRule>
  </conditionalFormatting>
  <conditionalFormatting sqref="C81">
    <cfRule type="cellIs" dxfId="4472" priority="2689" stopIfTrue="1" operator="equal">
      <formula>"Towel"</formula>
    </cfRule>
    <cfRule type="cellIs" dxfId="4471" priority="2690" stopIfTrue="1" operator="equal">
      <formula>"Napkin Hs"</formula>
    </cfRule>
  </conditionalFormatting>
  <conditionalFormatting sqref="C81">
    <cfRule type="cellIs" dxfId="4470" priority="2691" stopIfTrue="1" operator="equal">
      <formula>"Towel"</formula>
    </cfRule>
  </conditionalFormatting>
  <conditionalFormatting sqref="B83:C83">
    <cfRule type="cellIs" dxfId="4469" priority="2687" stopIfTrue="1" operator="equal">
      <formula>"Towel"</formula>
    </cfRule>
    <cfRule type="cellIs" dxfId="4468" priority="2688" stopIfTrue="1" operator="equal">
      <formula>"Napkin Hs"</formula>
    </cfRule>
  </conditionalFormatting>
  <conditionalFormatting sqref="C83">
    <cfRule type="cellIs" dxfId="4467" priority="2686" stopIfTrue="1" operator="equal">
      <formula>"Napkin Hs"</formula>
    </cfRule>
  </conditionalFormatting>
  <conditionalFormatting sqref="C83">
    <cfRule type="cellIs" dxfId="4466" priority="2683" stopIfTrue="1" operator="equal">
      <formula>"Towel"</formula>
    </cfRule>
    <cfRule type="cellIs" dxfId="4465" priority="2684" stopIfTrue="1" operator="equal">
      <formula>"Napkin Hs"</formula>
    </cfRule>
  </conditionalFormatting>
  <conditionalFormatting sqref="C83">
    <cfRule type="cellIs" dxfId="4464" priority="2685" stopIfTrue="1" operator="equal">
      <formula>"Towel"</formula>
    </cfRule>
  </conditionalFormatting>
  <conditionalFormatting sqref="B83:C83">
    <cfRule type="cellIs" dxfId="4463" priority="2681" stopIfTrue="1" operator="equal">
      <formula>"Towel"</formula>
    </cfRule>
    <cfRule type="cellIs" dxfId="4462" priority="2682" stopIfTrue="1" operator="equal">
      <formula>"Napkin Hs"</formula>
    </cfRule>
  </conditionalFormatting>
  <conditionalFormatting sqref="C83">
    <cfRule type="cellIs" dxfId="4461" priority="2680" stopIfTrue="1" operator="equal">
      <formula>"Napkin Hs"</formula>
    </cfRule>
  </conditionalFormatting>
  <conditionalFormatting sqref="C83">
    <cfRule type="cellIs" dxfId="4460" priority="2677" stopIfTrue="1" operator="equal">
      <formula>"Towel"</formula>
    </cfRule>
    <cfRule type="cellIs" dxfId="4459" priority="2678" stopIfTrue="1" operator="equal">
      <formula>"Napkin Hs"</formula>
    </cfRule>
  </conditionalFormatting>
  <conditionalFormatting sqref="C83">
    <cfRule type="cellIs" dxfId="4458" priority="2679" stopIfTrue="1" operator="equal">
      <formula>"Towel"</formula>
    </cfRule>
  </conditionalFormatting>
  <conditionalFormatting sqref="B83:C83">
    <cfRule type="cellIs" dxfId="4457" priority="2675" stopIfTrue="1" operator="equal">
      <formula>"Towel"</formula>
    </cfRule>
    <cfRule type="cellIs" dxfId="4456" priority="2676" stopIfTrue="1" operator="equal">
      <formula>"Napkin Hs"</formula>
    </cfRule>
  </conditionalFormatting>
  <conditionalFormatting sqref="C83">
    <cfRule type="cellIs" dxfId="4455" priority="2674" stopIfTrue="1" operator="equal">
      <formula>"Napkin Hs"</formula>
    </cfRule>
  </conditionalFormatting>
  <conditionalFormatting sqref="C83">
    <cfRule type="cellIs" dxfId="4454" priority="2671" stopIfTrue="1" operator="equal">
      <formula>"Towel"</formula>
    </cfRule>
    <cfRule type="cellIs" dxfId="4453" priority="2672" stopIfTrue="1" operator="equal">
      <formula>"Napkin Hs"</formula>
    </cfRule>
  </conditionalFormatting>
  <conditionalFormatting sqref="C83">
    <cfRule type="cellIs" dxfId="4452" priority="2673" stopIfTrue="1" operator="equal">
      <formula>"Towel"</formula>
    </cfRule>
  </conditionalFormatting>
  <conditionalFormatting sqref="B83:C83">
    <cfRule type="cellIs" dxfId="4451" priority="2669" stopIfTrue="1" operator="equal">
      <formula>"Towel"</formula>
    </cfRule>
    <cfRule type="cellIs" dxfId="4450" priority="2670" stopIfTrue="1" operator="equal">
      <formula>"Napkin Hs"</formula>
    </cfRule>
  </conditionalFormatting>
  <conditionalFormatting sqref="C83">
    <cfRule type="cellIs" dxfId="4449" priority="2665" stopIfTrue="1" operator="equal">
      <formula>"Towel"</formula>
    </cfRule>
    <cfRule type="cellIs" dxfId="4448" priority="2666" stopIfTrue="1" operator="equal">
      <formula>"Napkin Hs"</formula>
    </cfRule>
  </conditionalFormatting>
  <conditionalFormatting sqref="C83">
    <cfRule type="cellIs" dxfId="4447" priority="2667" stopIfTrue="1" operator="equal">
      <formula>"Towel"</formula>
    </cfRule>
    <cfRule type="cellIs" dxfId="4446" priority="2668" stopIfTrue="1" operator="equal">
      <formula>"Napkin Hs"</formula>
    </cfRule>
  </conditionalFormatting>
  <conditionalFormatting sqref="B83:C83">
    <cfRule type="cellIs" dxfId="4445" priority="2663" stopIfTrue="1" operator="equal">
      <formula>"Towel"</formula>
    </cfRule>
    <cfRule type="cellIs" dxfId="4444" priority="2664" stopIfTrue="1" operator="equal">
      <formula>"Napkin Hs"</formula>
    </cfRule>
  </conditionalFormatting>
  <conditionalFormatting sqref="C83">
    <cfRule type="cellIs" dxfId="4443" priority="2659" stopIfTrue="1" operator="equal">
      <formula>"Towel"</formula>
    </cfRule>
    <cfRule type="cellIs" dxfId="4442" priority="2660" stopIfTrue="1" operator="equal">
      <formula>"Napkin Hs"</formula>
    </cfRule>
  </conditionalFormatting>
  <conditionalFormatting sqref="C83">
    <cfRule type="cellIs" dxfId="4441" priority="2661" stopIfTrue="1" operator="equal">
      <formula>"Towel"</formula>
    </cfRule>
    <cfRule type="cellIs" dxfId="4440" priority="2662" stopIfTrue="1" operator="equal">
      <formula>"Napkin Hs"</formula>
    </cfRule>
  </conditionalFormatting>
  <conditionalFormatting sqref="B83:C83">
    <cfRule type="cellIs" dxfId="4439" priority="2655" stopIfTrue="1" operator="equal">
      <formula>"Towel"</formula>
    </cfRule>
    <cfRule type="cellIs" dxfId="4438" priority="2656" stopIfTrue="1" operator="equal">
      <formula>"Napkin Hs"</formula>
    </cfRule>
  </conditionalFormatting>
  <conditionalFormatting sqref="C83">
    <cfRule type="cellIs" dxfId="4437" priority="2657" stopIfTrue="1" operator="equal">
      <formula>"Towel"</formula>
    </cfRule>
    <cfRule type="cellIs" dxfId="4436" priority="2658" stopIfTrue="1" operator="equal">
      <formula>"Napkin Hs"</formula>
    </cfRule>
  </conditionalFormatting>
  <conditionalFormatting sqref="C83">
    <cfRule type="cellIs" dxfId="4435" priority="2653" stopIfTrue="1" operator="equal">
      <formula>"Towel"</formula>
    </cfRule>
    <cfRule type="cellIs" dxfId="4434" priority="2654" stopIfTrue="1" operator="equal">
      <formula>"Napkin Hs"</formula>
    </cfRule>
  </conditionalFormatting>
  <conditionalFormatting sqref="B83:C83">
    <cfRule type="cellIs" dxfId="4433" priority="2651" stopIfTrue="1" operator="equal">
      <formula>"Towel"</formula>
    </cfRule>
    <cfRule type="cellIs" dxfId="4432" priority="2652" stopIfTrue="1" operator="equal">
      <formula>"Napkin Hs"</formula>
    </cfRule>
  </conditionalFormatting>
  <conditionalFormatting sqref="C83">
    <cfRule type="cellIs" dxfId="4431" priority="2650" stopIfTrue="1" operator="equal">
      <formula>"Napkin Hs"</formula>
    </cfRule>
  </conditionalFormatting>
  <conditionalFormatting sqref="C83">
    <cfRule type="cellIs" dxfId="4430" priority="2647" stopIfTrue="1" operator="equal">
      <formula>"Towel"</formula>
    </cfRule>
    <cfRule type="cellIs" dxfId="4429" priority="2648" stopIfTrue="1" operator="equal">
      <formula>"Napkin Hs"</formula>
    </cfRule>
  </conditionalFormatting>
  <conditionalFormatting sqref="C83">
    <cfRule type="cellIs" dxfId="4428" priority="2649" stopIfTrue="1" operator="equal">
      <formula>"Towel"</formula>
    </cfRule>
  </conditionalFormatting>
  <conditionalFormatting sqref="B83:C83">
    <cfRule type="cellIs" dxfId="4427" priority="2645" stopIfTrue="1" operator="equal">
      <formula>"Towel"</formula>
    </cfRule>
    <cfRule type="cellIs" dxfId="4426" priority="2646" stopIfTrue="1" operator="equal">
      <formula>"Napkin Hs"</formula>
    </cfRule>
  </conditionalFormatting>
  <conditionalFormatting sqref="C83">
    <cfRule type="cellIs" dxfId="4425" priority="2641" stopIfTrue="1" operator="equal">
      <formula>"Towel"</formula>
    </cfRule>
    <cfRule type="cellIs" dxfId="4424" priority="2642" stopIfTrue="1" operator="equal">
      <formula>"Napkin Hs"</formula>
    </cfRule>
  </conditionalFormatting>
  <conditionalFormatting sqref="C83">
    <cfRule type="cellIs" dxfId="4423" priority="2643" stopIfTrue="1" operator="equal">
      <formula>"Towel"</formula>
    </cfRule>
    <cfRule type="cellIs" dxfId="4422" priority="2644" stopIfTrue="1" operator="equal">
      <formula>"Napkin Hs"</formula>
    </cfRule>
  </conditionalFormatting>
  <conditionalFormatting sqref="B83:C83">
    <cfRule type="cellIs" dxfId="4421" priority="2639" stopIfTrue="1" operator="equal">
      <formula>"Towel"</formula>
    </cfRule>
    <cfRule type="cellIs" dxfId="4420" priority="2640" stopIfTrue="1" operator="equal">
      <formula>"Napkin Hs"</formula>
    </cfRule>
  </conditionalFormatting>
  <conditionalFormatting sqref="C83">
    <cfRule type="cellIs" dxfId="4419" priority="2638" stopIfTrue="1" operator="equal">
      <formula>"Napkin Hs"</formula>
    </cfRule>
  </conditionalFormatting>
  <conditionalFormatting sqref="C83">
    <cfRule type="cellIs" dxfId="4418" priority="2635" stopIfTrue="1" operator="equal">
      <formula>"Towel"</formula>
    </cfRule>
    <cfRule type="cellIs" dxfId="4417" priority="2636" stopIfTrue="1" operator="equal">
      <formula>"Napkin Hs"</formula>
    </cfRule>
  </conditionalFormatting>
  <conditionalFormatting sqref="C83">
    <cfRule type="cellIs" dxfId="4416" priority="2637" stopIfTrue="1" operator="equal">
      <formula>"Towel"</formula>
    </cfRule>
  </conditionalFormatting>
  <conditionalFormatting sqref="B83:C83">
    <cfRule type="cellIs" dxfId="4415" priority="2633" stopIfTrue="1" operator="equal">
      <formula>"Towel"</formula>
    </cfRule>
    <cfRule type="cellIs" dxfId="4414" priority="2634" stopIfTrue="1" operator="equal">
      <formula>"Napkin Hs"</formula>
    </cfRule>
  </conditionalFormatting>
  <conditionalFormatting sqref="C83">
    <cfRule type="cellIs" dxfId="4413" priority="2631" stopIfTrue="1" operator="equal">
      <formula>"Towel"</formula>
    </cfRule>
    <cfRule type="cellIs" dxfId="4412" priority="2632" stopIfTrue="1" operator="equal">
      <formula>"Napkin Hs"</formula>
    </cfRule>
  </conditionalFormatting>
  <conditionalFormatting sqref="C83">
    <cfRule type="cellIs" dxfId="4411" priority="2629" stopIfTrue="1" operator="equal">
      <formula>"Towel"</formula>
    </cfRule>
    <cfRule type="cellIs" dxfId="4410" priority="2630" stopIfTrue="1" operator="equal">
      <formula>"Napkin Hs"</formula>
    </cfRule>
  </conditionalFormatting>
  <conditionalFormatting sqref="B83:C83">
    <cfRule type="cellIs" dxfId="4409" priority="2627" stopIfTrue="1" operator="equal">
      <formula>"Towel"</formula>
    </cfRule>
    <cfRule type="cellIs" dxfId="4408" priority="2628" stopIfTrue="1" operator="equal">
      <formula>"Napkin Hs"</formula>
    </cfRule>
  </conditionalFormatting>
  <conditionalFormatting sqref="C83">
    <cfRule type="cellIs" dxfId="4407" priority="2626" stopIfTrue="1" operator="equal">
      <formula>"Napkin Hs"</formula>
    </cfRule>
  </conditionalFormatting>
  <conditionalFormatting sqref="C83">
    <cfRule type="cellIs" dxfId="4406" priority="2623" stopIfTrue="1" operator="equal">
      <formula>"Towel"</formula>
    </cfRule>
    <cfRule type="cellIs" dxfId="4405" priority="2624" stopIfTrue="1" operator="equal">
      <formula>"Napkin Hs"</formula>
    </cfRule>
  </conditionalFormatting>
  <conditionalFormatting sqref="C83">
    <cfRule type="cellIs" dxfId="4404" priority="2625" stopIfTrue="1" operator="equal">
      <formula>"Towel"</formula>
    </cfRule>
  </conditionalFormatting>
  <conditionalFormatting sqref="B83:C83">
    <cfRule type="cellIs" dxfId="4403" priority="2621" stopIfTrue="1" operator="equal">
      <formula>"Towel"</formula>
    </cfRule>
    <cfRule type="cellIs" dxfId="4402" priority="2622" stopIfTrue="1" operator="equal">
      <formula>"Napkin Hs"</formula>
    </cfRule>
  </conditionalFormatting>
  <conditionalFormatting sqref="C83">
    <cfRule type="cellIs" dxfId="4401" priority="2620" stopIfTrue="1" operator="equal">
      <formula>"Napkin Hs"</formula>
    </cfRule>
  </conditionalFormatting>
  <conditionalFormatting sqref="C83">
    <cfRule type="cellIs" dxfId="4400" priority="2619" stopIfTrue="1" operator="equal">
      <formula>"Towel"</formula>
    </cfRule>
  </conditionalFormatting>
  <conditionalFormatting sqref="C83">
    <cfRule type="cellIs" dxfId="4399" priority="2617" stopIfTrue="1" operator="equal">
      <formula>"Towel"</formula>
    </cfRule>
    <cfRule type="cellIs" dxfId="4398" priority="2618" stopIfTrue="1" operator="equal">
      <formula>"Napkin Hs"</formula>
    </cfRule>
  </conditionalFormatting>
  <conditionalFormatting sqref="B83:C83">
    <cfRule type="cellIs" dxfId="4397" priority="2615" stopIfTrue="1" operator="equal">
      <formula>"Towel"</formula>
    </cfRule>
    <cfRule type="cellIs" dxfId="4396" priority="2616" stopIfTrue="1" operator="equal">
      <formula>"Napkin Hs"</formula>
    </cfRule>
  </conditionalFormatting>
  <conditionalFormatting sqref="C83">
    <cfRule type="cellIs" dxfId="4395" priority="2614" stopIfTrue="1" operator="equal">
      <formula>"Napkin Hs"</formula>
    </cfRule>
  </conditionalFormatting>
  <conditionalFormatting sqref="C83">
    <cfRule type="cellIs" dxfId="4394" priority="2611" stopIfTrue="1" operator="equal">
      <formula>"Towel"</formula>
    </cfRule>
    <cfRule type="cellIs" dxfId="4393" priority="2612" stopIfTrue="1" operator="equal">
      <formula>"Napkin Hs"</formula>
    </cfRule>
  </conditionalFormatting>
  <conditionalFormatting sqref="C83">
    <cfRule type="cellIs" dxfId="4392" priority="2613" stopIfTrue="1" operator="equal">
      <formula>"Towel"</formula>
    </cfRule>
  </conditionalFormatting>
  <conditionalFormatting sqref="B83:C83">
    <cfRule type="cellIs" dxfId="4391" priority="2609" stopIfTrue="1" operator="equal">
      <formula>"Towel"</formula>
    </cfRule>
    <cfRule type="cellIs" dxfId="4390" priority="2610" stopIfTrue="1" operator="equal">
      <formula>"Napkin Hs"</formula>
    </cfRule>
  </conditionalFormatting>
  <conditionalFormatting sqref="C83">
    <cfRule type="cellIs" dxfId="4389" priority="2608" stopIfTrue="1" operator="equal">
      <formula>"Napkin Hs"</formula>
    </cfRule>
  </conditionalFormatting>
  <conditionalFormatting sqref="C83">
    <cfRule type="cellIs" dxfId="4388" priority="2605" stopIfTrue="1" operator="equal">
      <formula>"Towel"</formula>
    </cfRule>
    <cfRule type="cellIs" dxfId="4387" priority="2606" stopIfTrue="1" operator="equal">
      <formula>"Napkin Hs"</formula>
    </cfRule>
  </conditionalFormatting>
  <conditionalFormatting sqref="C83">
    <cfRule type="cellIs" dxfId="4386" priority="2607" stopIfTrue="1" operator="equal">
      <formula>"Towel"</formula>
    </cfRule>
  </conditionalFormatting>
  <conditionalFormatting sqref="B83:C83">
    <cfRule type="cellIs" dxfId="4385" priority="2603" stopIfTrue="1" operator="equal">
      <formula>"Towel"</formula>
    </cfRule>
    <cfRule type="cellIs" dxfId="4384" priority="2604" stopIfTrue="1" operator="equal">
      <formula>"Napkin Hs"</formula>
    </cfRule>
  </conditionalFormatting>
  <conditionalFormatting sqref="C83">
    <cfRule type="cellIs" dxfId="4383" priority="2602" stopIfTrue="1" operator="equal">
      <formula>"Napkin Hs"</formula>
    </cfRule>
  </conditionalFormatting>
  <conditionalFormatting sqref="C83">
    <cfRule type="cellIs" dxfId="4382" priority="2599" stopIfTrue="1" operator="equal">
      <formula>"Towel"</formula>
    </cfRule>
    <cfRule type="cellIs" dxfId="4381" priority="2600" stopIfTrue="1" operator="equal">
      <formula>"Napkin Hs"</formula>
    </cfRule>
  </conditionalFormatting>
  <conditionalFormatting sqref="C83">
    <cfRule type="cellIs" dxfId="4380" priority="2601" stopIfTrue="1" operator="equal">
      <formula>"Towel"</formula>
    </cfRule>
  </conditionalFormatting>
  <conditionalFormatting sqref="B83:C83">
    <cfRule type="cellIs" dxfId="4379" priority="2597" stopIfTrue="1" operator="equal">
      <formula>"Towel"</formula>
    </cfRule>
    <cfRule type="cellIs" dxfId="4378" priority="2598" stopIfTrue="1" operator="equal">
      <formula>"Napkin Hs"</formula>
    </cfRule>
  </conditionalFormatting>
  <conditionalFormatting sqref="C83">
    <cfRule type="cellIs" dxfId="4377" priority="2596" stopIfTrue="1" operator="equal">
      <formula>"Napkin Hs"</formula>
    </cfRule>
  </conditionalFormatting>
  <conditionalFormatting sqref="C83">
    <cfRule type="cellIs" dxfId="4376" priority="2593" stopIfTrue="1" operator="equal">
      <formula>"Towel"</formula>
    </cfRule>
    <cfRule type="cellIs" dxfId="4375" priority="2594" stopIfTrue="1" operator="equal">
      <formula>"Napkin Hs"</formula>
    </cfRule>
  </conditionalFormatting>
  <conditionalFormatting sqref="C83">
    <cfRule type="cellIs" dxfId="4374" priority="2595" stopIfTrue="1" operator="equal">
      <formula>"Towel"</formula>
    </cfRule>
  </conditionalFormatting>
  <conditionalFormatting sqref="B83:C83">
    <cfRule type="cellIs" dxfId="4373" priority="2591" stopIfTrue="1" operator="equal">
      <formula>"Towel"</formula>
    </cfRule>
    <cfRule type="cellIs" dxfId="4372" priority="2592" stopIfTrue="1" operator="equal">
      <formula>"Napkin Hs"</formula>
    </cfRule>
  </conditionalFormatting>
  <conditionalFormatting sqref="C83">
    <cfRule type="cellIs" dxfId="4371" priority="2590" stopIfTrue="1" operator="equal">
      <formula>"Napkin Hs"</formula>
    </cfRule>
  </conditionalFormatting>
  <conditionalFormatting sqref="C83">
    <cfRule type="cellIs" dxfId="4370" priority="2587" stopIfTrue="1" operator="equal">
      <formula>"Towel"</formula>
    </cfRule>
    <cfRule type="cellIs" dxfId="4369" priority="2588" stopIfTrue="1" operator="equal">
      <formula>"Napkin Hs"</formula>
    </cfRule>
  </conditionalFormatting>
  <conditionalFormatting sqref="C83">
    <cfRule type="cellIs" dxfId="4368" priority="2589" stopIfTrue="1" operator="equal">
      <formula>"Towel"</formula>
    </cfRule>
  </conditionalFormatting>
  <conditionalFormatting sqref="B83:C83">
    <cfRule type="cellIs" dxfId="4367" priority="2585" stopIfTrue="1" operator="equal">
      <formula>"Towel"</formula>
    </cfRule>
    <cfRule type="cellIs" dxfId="4366" priority="2586" stopIfTrue="1" operator="equal">
      <formula>"Napkin Hs"</formula>
    </cfRule>
  </conditionalFormatting>
  <conditionalFormatting sqref="C83">
    <cfRule type="cellIs" dxfId="4365" priority="2584" stopIfTrue="1" operator="equal">
      <formula>"Napkin Hs"</formula>
    </cfRule>
  </conditionalFormatting>
  <conditionalFormatting sqref="C83">
    <cfRule type="cellIs" dxfId="4364" priority="2581" stopIfTrue="1" operator="equal">
      <formula>"Towel"</formula>
    </cfRule>
    <cfRule type="cellIs" dxfId="4363" priority="2582" stopIfTrue="1" operator="equal">
      <formula>"Napkin Hs"</formula>
    </cfRule>
  </conditionalFormatting>
  <conditionalFormatting sqref="C83">
    <cfRule type="cellIs" dxfId="4362" priority="2583" stopIfTrue="1" operator="equal">
      <formula>"Towel"</formula>
    </cfRule>
  </conditionalFormatting>
  <conditionalFormatting sqref="B83:C83">
    <cfRule type="cellIs" dxfId="4361" priority="2579" stopIfTrue="1" operator="equal">
      <formula>"Towel"</formula>
    </cfRule>
    <cfRule type="cellIs" dxfId="4360" priority="2580" stopIfTrue="1" operator="equal">
      <formula>"Napkin Hs"</formula>
    </cfRule>
  </conditionalFormatting>
  <conditionalFormatting sqref="C83">
    <cfRule type="cellIs" dxfId="4359" priority="2578" stopIfTrue="1" operator="equal">
      <formula>"Napkin Hs"</formula>
    </cfRule>
  </conditionalFormatting>
  <conditionalFormatting sqref="C83">
    <cfRule type="cellIs" dxfId="4358" priority="2575" stopIfTrue="1" operator="equal">
      <formula>"Towel"</formula>
    </cfRule>
    <cfRule type="cellIs" dxfId="4357" priority="2576" stopIfTrue="1" operator="equal">
      <formula>"Napkin Hs"</formula>
    </cfRule>
  </conditionalFormatting>
  <conditionalFormatting sqref="C83">
    <cfRule type="cellIs" dxfId="4356" priority="2577" stopIfTrue="1" operator="equal">
      <formula>"Towel"</formula>
    </cfRule>
  </conditionalFormatting>
  <conditionalFormatting sqref="B83:C83">
    <cfRule type="cellIs" dxfId="4355" priority="2573" stopIfTrue="1" operator="equal">
      <formula>"Towel"</formula>
    </cfRule>
    <cfRule type="cellIs" dxfId="4354" priority="2574" stopIfTrue="1" operator="equal">
      <formula>"Napkin Hs"</formula>
    </cfRule>
  </conditionalFormatting>
  <conditionalFormatting sqref="C83">
    <cfRule type="cellIs" dxfId="4353" priority="2572" stopIfTrue="1" operator="equal">
      <formula>"Napkin Hs"</formula>
    </cfRule>
  </conditionalFormatting>
  <conditionalFormatting sqref="C83">
    <cfRule type="cellIs" dxfId="4352" priority="2569" stopIfTrue="1" operator="equal">
      <formula>"Towel"</formula>
    </cfRule>
    <cfRule type="cellIs" dxfId="4351" priority="2570" stopIfTrue="1" operator="equal">
      <formula>"Napkin Hs"</formula>
    </cfRule>
  </conditionalFormatting>
  <conditionalFormatting sqref="C83">
    <cfRule type="cellIs" dxfId="4350" priority="2571" stopIfTrue="1" operator="equal">
      <formula>"Towel"</formula>
    </cfRule>
  </conditionalFormatting>
  <conditionalFormatting sqref="B83:C83">
    <cfRule type="cellIs" dxfId="4349" priority="2567" stopIfTrue="1" operator="equal">
      <formula>"Towel"</formula>
    </cfRule>
    <cfRule type="cellIs" dxfId="4348" priority="2568" stopIfTrue="1" operator="equal">
      <formula>"Napkin Hs"</formula>
    </cfRule>
  </conditionalFormatting>
  <conditionalFormatting sqref="C83">
    <cfRule type="cellIs" dxfId="4347" priority="2566" stopIfTrue="1" operator="equal">
      <formula>"Napkin Hs"</formula>
    </cfRule>
  </conditionalFormatting>
  <conditionalFormatting sqref="C83">
    <cfRule type="cellIs" dxfId="4346" priority="2563" stopIfTrue="1" operator="equal">
      <formula>"Towel"</formula>
    </cfRule>
    <cfRule type="cellIs" dxfId="4345" priority="2564" stopIfTrue="1" operator="equal">
      <formula>"Napkin Hs"</formula>
    </cfRule>
  </conditionalFormatting>
  <conditionalFormatting sqref="C83">
    <cfRule type="cellIs" dxfId="4344" priority="2565" stopIfTrue="1" operator="equal">
      <formula>"Towel"</formula>
    </cfRule>
  </conditionalFormatting>
  <conditionalFormatting sqref="B83:C83">
    <cfRule type="cellIs" dxfId="4343" priority="2561" stopIfTrue="1" operator="equal">
      <formula>"Towel"</formula>
    </cfRule>
    <cfRule type="cellIs" dxfId="4342" priority="2562" stopIfTrue="1" operator="equal">
      <formula>"Napkin Hs"</formula>
    </cfRule>
  </conditionalFormatting>
  <conditionalFormatting sqref="C83">
    <cfRule type="cellIs" dxfId="4341" priority="2560" stopIfTrue="1" operator="equal">
      <formula>"Napkin Hs"</formula>
    </cfRule>
  </conditionalFormatting>
  <conditionalFormatting sqref="C83">
    <cfRule type="cellIs" dxfId="4340" priority="2557" stopIfTrue="1" operator="equal">
      <formula>"Towel"</formula>
    </cfRule>
    <cfRule type="cellIs" dxfId="4339" priority="2558" stopIfTrue="1" operator="equal">
      <formula>"Napkin Hs"</formula>
    </cfRule>
  </conditionalFormatting>
  <conditionalFormatting sqref="C83">
    <cfRule type="cellIs" dxfId="4338" priority="2559" stopIfTrue="1" operator="equal">
      <formula>"Towel"</formula>
    </cfRule>
  </conditionalFormatting>
  <conditionalFormatting sqref="B83:C83">
    <cfRule type="cellIs" dxfId="4337" priority="2555" stopIfTrue="1" operator="equal">
      <formula>"Towel"</formula>
    </cfRule>
    <cfRule type="cellIs" dxfId="4336" priority="2556" stopIfTrue="1" operator="equal">
      <formula>"Napkin Hs"</formula>
    </cfRule>
  </conditionalFormatting>
  <conditionalFormatting sqref="C83">
    <cfRule type="cellIs" dxfId="4335" priority="2554" stopIfTrue="1" operator="equal">
      <formula>"Napkin Hs"</formula>
    </cfRule>
  </conditionalFormatting>
  <conditionalFormatting sqref="C83">
    <cfRule type="cellIs" dxfId="4334" priority="2553" stopIfTrue="1" operator="equal">
      <formula>"Towel"</formula>
    </cfRule>
  </conditionalFormatting>
  <conditionalFormatting sqref="C83">
    <cfRule type="cellIs" dxfId="4333" priority="2551" stopIfTrue="1" operator="equal">
      <formula>"Towel"</formula>
    </cfRule>
    <cfRule type="cellIs" dxfId="4332" priority="2552" stopIfTrue="1" operator="equal">
      <formula>"Napkin Hs"</formula>
    </cfRule>
  </conditionalFormatting>
  <conditionalFormatting sqref="B83:C83">
    <cfRule type="cellIs" dxfId="4331" priority="2549" stopIfTrue="1" operator="equal">
      <formula>"Towel"</formula>
    </cfRule>
    <cfRule type="cellIs" dxfId="4330" priority="2550" stopIfTrue="1" operator="equal">
      <formula>"Napkin Hs"</formula>
    </cfRule>
  </conditionalFormatting>
  <conditionalFormatting sqref="C83">
    <cfRule type="cellIs" dxfId="4329" priority="2548" stopIfTrue="1" operator="equal">
      <formula>"Napkin Hs"</formula>
    </cfRule>
  </conditionalFormatting>
  <conditionalFormatting sqref="C83">
    <cfRule type="cellIs" dxfId="4328" priority="2545" stopIfTrue="1" operator="equal">
      <formula>"Towel"</formula>
    </cfRule>
    <cfRule type="cellIs" dxfId="4327" priority="2546" stopIfTrue="1" operator="equal">
      <formula>"Napkin Hs"</formula>
    </cfRule>
  </conditionalFormatting>
  <conditionalFormatting sqref="C83">
    <cfRule type="cellIs" dxfId="4326" priority="2547" stopIfTrue="1" operator="equal">
      <formula>"Towel"</formula>
    </cfRule>
  </conditionalFormatting>
  <conditionalFormatting sqref="B83:C83">
    <cfRule type="cellIs" dxfId="4325" priority="2543" stopIfTrue="1" operator="equal">
      <formula>"Towel"</formula>
    </cfRule>
    <cfRule type="cellIs" dxfId="4324" priority="2544" stopIfTrue="1" operator="equal">
      <formula>"Napkin Hs"</formula>
    </cfRule>
  </conditionalFormatting>
  <conditionalFormatting sqref="C83">
    <cfRule type="cellIs" dxfId="4323" priority="2542" stopIfTrue="1" operator="equal">
      <formula>"Napkin Hs"</formula>
    </cfRule>
  </conditionalFormatting>
  <conditionalFormatting sqref="C83">
    <cfRule type="cellIs" dxfId="4322" priority="2539" stopIfTrue="1" operator="equal">
      <formula>"Towel"</formula>
    </cfRule>
    <cfRule type="cellIs" dxfId="4321" priority="2540" stopIfTrue="1" operator="equal">
      <formula>"Napkin Hs"</formula>
    </cfRule>
  </conditionalFormatting>
  <conditionalFormatting sqref="C83">
    <cfRule type="cellIs" dxfId="4320" priority="2541" stopIfTrue="1" operator="equal">
      <formula>"Towel"</formula>
    </cfRule>
  </conditionalFormatting>
  <conditionalFormatting sqref="B83:C83">
    <cfRule type="cellIs" dxfId="4319" priority="2537" stopIfTrue="1" operator="equal">
      <formula>"Towel"</formula>
    </cfRule>
    <cfRule type="cellIs" dxfId="4318" priority="2538" stopIfTrue="1" operator="equal">
      <formula>"Napkin Hs"</formula>
    </cfRule>
  </conditionalFormatting>
  <conditionalFormatting sqref="C83">
    <cfRule type="cellIs" dxfId="4317" priority="2536" stopIfTrue="1" operator="equal">
      <formula>"Napkin Hs"</formula>
    </cfRule>
  </conditionalFormatting>
  <conditionalFormatting sqref="C83">
    <cfRule type="cellIs" dxfId="4316" priority="2533" stopIfTrue="1" operator="equal">
      <formula>"Towel"</formula>
    </cfRule>
    <cfRule type="cellIs" dxfId="4315" priority="2534" stopIfTrue="1" operator="equal">
      <formula>"Napkin Hs"</formula>
    </cfRule>
  </conditionalFormatting>
  <conditionalFormatting sqref="C83">
    <cfRule type="cellIs" dxfId="4314" priority="2535" stopIfTrue="1" operator="equal">
      <formula>"Towel"</formula>
    </cfRule>
  </conditionalFormatting>
  <conditionalFormatting sqref="B83:C83">
    <cfRule type="cellIs" dxfId="4313" priority="2531" stopIfTrue="1" operator="equal">
      <formula>"Towel"</formula>
    </cfRule>
    <cfRule type="cellIs" dxfId="4312" priority="2532" stopIfTrue="1" operator="equal">
      <formula>"Napkin Hs"</formula>
    </cfRule>
  </conditionalFormatting>
  <conditionalFormatting sqref="C83">
    <cfRule type="cellIs" dxfId="4311" priority="2530" stopIfTrue="1" operator="equal">
      <formula>"Napkin Hs"</formula>
    </cfRule>
  </conditionalFormatting>
  <conditionalFormatting sqref="C83">
    <cfRule type="cellIs" dxfId="4310" priority="2527" stopIfTrue="1" operator="equal">
      <formula>"Towel"</formula>
    </cfRule>
    <cfRule type="cellIs" dxfId="4309" priority="2528" stopIfTrue="1" operator="equal">
      <formula>"Napkin Hs"</formula>
    </cfRule>
  </conditionalFormatting>
  <conditionalFormatting sqref="C83">
    <cfRule type="cellIs" dxfId="4308" priority="2529" stopIfTrue="1" operator="equal">
      <formula>"Towel"</formula>
    </cfRule>
  </conditionalFormatting>
  <conditionalFormatting sqref="B83:C83">
    <cfRule type="cellIs" dxfId="4307" priority="2525" stopIfTrue="1" operator="equal">
      <formula>"Towel"</formula>
    </cfRule>
    <cfRule type="cellIs" dxfId="4306" priority="2526" stopIfTrue="1" operator="equal">
      <formula>"Napkin Hs"</formula>
    </cfRule>
  </conditionalFormatting>
  <conditionalFormatting sqref="C83">
    <cfRule type="cellIs" dxfId="4305" priority="2524" stopIfTrue="1" operator="equal">
      <formula>"Napkin Hs"</formula>
    </cfRule>
  </conditionalFormatting>
  <conditionalFormatting sqref="C83">
    <cfRule type="cellIs" dxfId="4304" priority="2521" stopIfTrue="1" operator="equal">
      <formula>"Towel"</formula>
    </cfRule>
    <cfRule type="cellIs" dxfId="4303" priority="2522" stopIfTrue="1" operator="equal">
      <formula>"Napkin Hs"</formula>
    </cfRule>
  </conditionalFormatting>
  <conditionalFormatting sqref="C83">
    <cfRule type="cellIs" dxfId="4302" priority="2523" stopIfTrue="1" operator="equal">
      <formula>"Towel"</formula>
    </cfRule>
  </conditionalFormatting>
  <conditionalFormatting sqref="B83:C83">
    <cfRule type="cellIs" dxfId="4301" priority="2519" stopIfTrue="1" operator="equal">
      <formula>"Towel"</formula>
    </cfRule>
    <cfRule type="cellIs" dxfId="4300" priority="2520" stopIfTrue="1" operator="equal">
      <formula>"Napkin Hs"</formula>
    </cfRule>
  </conditionalFormatting>
  <conditionalFormatting sqref="C83">
    <cfRule type="cellIs" dxfId="4299" priority="2518" stopIfTrue="1" operator="equal">
      <formula>"Napkin Hs"</formula>
    </cfRule>
  </conditionalFormatting>
  <conditionalFormatting sqref="C83">
    <cfRule type="cellIs" dxfId="4298" priority="2515" stopIfTrue="1" operator="equal">
      <formula>"Towel"</formula>
    </cfRule>
    <cfRule type="cellIs" dxfId="4297" priority="2516" stopIfTrue="1" operator="equal">
      <formula>"Napkin Hs"</formula>
    </cfRule>
  </conditionalFormatting>
  <conditionalFormatting sqref="C83">
    <cfRule type="cellIs" dxfId="4296" priority="2517" stopIfTrue="1" operator="equal">
      <formula>"Towel"</formula>
    </cfRule>
  </conditionalFormatting>
  <conditionalFormatting sqref="B83:C83">
    <cfRule type="cellIs" dxfId="4295" priority="2513" stopIfTrue="1" operator="equal">
      <formula>"Towel"</formula>
    </cfRule>
    <cfRule type="cellIs" dxfId="4294" priority="2514" stopIfTrue="1" operator="equal">
      <formula>"Napkin Hs"</formula>
    </cfRule>
  </conditionalFormatting>
  <conditionalFormatting sqref="C83">
    <cfRule type="cellIs" dxfId="4293" priority="2512" stopIfTrue="1" operator="equal">
      <formula>"Napkin Hs"</formula>
    </cfRule>
  </conditionalFormatting>
  <conditionalFormatting sqref="C83">
    <cfRule type="cellIs" dxfId="4292" priority="2509" stopIfTrue="1" operator="equal">
      <formula>"Towel"</formula>
    </cfRule>
    <cfRule type="cellIs" dxfId="4291" priority="2510" stopIfTrue="1" operator="equal">
      <formula>"Napkin Hs"</formula>
    </cfRule>
  </conditionalFormatting>
  <conditionalFormatting sqref="C83">
    <cfRule type="cellIs" dxfId="4290" priority="2511" stopIfTrue="1" operator="equal">
      <formula>"Towel"</formula>
    </cfRule>
  </conditionalFormatting>
  <conditionalFormatting sqref="B83:C83">
    <cfRule type="cellIs" dxfId="4289" priority="2507" stopIfTrue="1" operator="equal">
      <formula>"Towel"</formula>
    </cfRule>
    <cfRule type="cellIs" dxfId="4288" priority="2508" stopIfTrue="1" operator="equal">
      <formula>"Napkin Hs"</formula>
    </cfRule>
  </conditionalFormatting>
  <conditionalFormatting sqref="C83">
    <cfRule type="cellIs" dxfId="4287" priority="2506" stopIfTrue="1" operator="equal">
      <formula>"Napkin Hs"</formula>
    </cfRule>
  </conditionalFormatting>
  <conditionalFormatting sqref="C83">
    <cfRule type="cellIs" dxfId="4286" priority="2503" stopIfTrue="1" operator="equal">
      <formula>"Towel"</formula>
    </cfRule>
    <cfRule type="cellIs" dxfId="4285" priority="2504" stopIfTrue="1" operator="equal">
      <formula>"Napkin Hs"</formula>
    </cfRule>
  </conditionalFormatting>
  <conditionalFormatting sqref="C83">
    <cfRule type="cellIs" dxfId="4284" priority="2505" stopIfTrue="1" operator="equal">
      <formula>"Towel"</formula>
    </cfRule>
  </conditionalFormatting>
  <conditionalFormatting sqref="B83:C83">
    <cfRule type="cellIs" dxfId="4283" priority="2501" stopIfTrue="1" operator="equal">
      <formula>"Towel"</formula>
    </cfRule>
    <cfRule type="cellIs" dxfId="4282" priority="2502" stopIfTrue="1" operator="equal">
      <formula>"Napkin Hs"</formula>
    </cfRule>
  </conditionalFormatting>
  <conditionalFormatting sqref="C83">
    <cfRule type="cellIs" dxfId="4281" priority="2500" stopIfTrue="1" operator="equal">
      <formula>"Napkin Hs"</formula>
    </cfRule>
  </conditionalFormatting>
  <conditionalFormatting sqref="C83">
    <cfRule type="cellIs" dxfId="4280" priority="2497" stopIfTrue="1" operator="equal">
      <formula>"Towel"</formula>
    </cfRule>
    <cfRule type="cellIs" dxfId="4279" priority="2498" stopIfTrue="1" operator="equal">
      <formula>"Napkin Hs"</formula>
    </cfRule>
  </conditionalFormatting>
  <conditionalFormatting sqref="C83">
    <cfRule type="cellIs" dxfId="4278" priority="2499" stopIfTrue="1" operator="equal">
      <formula>"Towel"</formula>
    </cfRule>
  </conditionalFormatting>
  <conditionalFormatting sqref="B84:C84 B85">
    <cfRule type="cellIs" dxfId="4277" priority="2495" stopIfTrue="1" operator="equal">
      <formula>"Towel"</formula>
    </cfRule>
    <cfRule type="cellIs" dxfId="4276" priority="2496" stopIfTrue="1" operator="equal">
      <formula>"Napkin Hs"</formula>
    </cfRule>
  </conditionalFormatting>
  <conditionalFormatting sqref="C84">
    <cfRule type="cellIs" dxfId="4275" priority="2494" stopIfTrue="1" operator="equal">
      <formula>"Napkin Hs"</formula>
    </cfRule>
  </conditionalFormatting>
  <conditionalFormatting sqref="C84">
    <cfRule type="cellIs" dxfId="4274" priority="2491" stopIfTrue="1" operator="equal">
      <formula>"Towel"</formula>
    </cfRule>
    <cfRule type="cellIs" dxfId="4273" priority="2492" stopIfTrue="1" operator="equal">
      <formula>"Napkin Hs"</formula>
    </cfRule>
  </conditionalFormatting>
  <conditionalFormatting sqref="C84">
    <cfRule type="cellIs" dxfId="4272" priority="2493" stopIfTrue="1" operator="equal">
      <formula>"Towel"</formula>
    </cfRule>
  </conditionalFormatting>
  <conditionalFormatting sqref="B84:C84 B85">
    <cfRule type="cellIs" dxfId="4271" priority="2489" stopIfTrue="1" operator="equal">
      <formula>"Towel"</formula>
    </cfRule>
    <cfRule type="cellIs" dxfId="4270" priority="2490" stopIfTrue="1" operator="equal">
      <formula>"Napkin Hs"</formula>
    </cfRule>
  </conditionalFormatting>
  <conditionalFormatting sqref="C84">
    <cfRule type="cellIs" dxfId="4269" priority="2488" stopIfTrue="1" operator="equal">
      <formula>"Napkin Hs"</formula>
    </cfRule>
  </conditionalFormatting>
  <conditionalFormatting sqref="C84">
    <cfRule type="cellIs" dxfId="4268" priority="2485" stopIfTrue="1" operator="equal">
      <formula>"Towel"</formula>
    </cfRule>
    <cfRule type="cellIs" dxfId="4267" priority="2486" stopIfTrue="1" operator="equal">
      <formula>"Napkin Hs"</formula>
    </cfRule>
  </conditionalFormatting>
  <conditionalFormatting sqref="C84">
    <cfRule type="cellIs" dxfId="4266" priority="2487" stopIfTrue="1" operator="equal">
      <formula>"Towel"</formula>
    </cfRule>
  </conditionalFormatting>
  <conditionalFormatting sqref="B84:C84 B85">
    <cfRule type="cellIs" dxfId="4265" priority="2483" stopIfTrue="1" operator="equal">
      <formula>"Towel"</formula>
    </cfRule>
    <cfRule type="cellIs" dxfId="4264" priority="2484" stopIfTrue="1" operator="equal">
      <formula>"Napkin Hs"</formula>
    </cfRule>
  </conditionalFormatting>
  <conditionalFormatting sqref="C84">
    <cfRule type="cellIs" dxfId="4263" priority="2482" stopIfTrue="1" operator="equal">
      <formula>"Napkin Hs"</formula>
    </cfRule>
  </conditionalFormatting>
  <conditionalFormatting sqref="C84">
    <cfRule type="cellIs" dxfId="4262" priority="2479" stopIfTrue="1" operator="equal">
      <formula>"Towel"</formula>
    </cfRule>
    <cfRule type="cellIs" dxfId="4261" priority="2480" stopIfTrue="1" operator="equal">
      <formula>"Napkin Hs"</formula>
    </cfRule>
  </conditionalFormatting>
  <conditionalFormatting sqref="C84">
    <cfRule type="cellIs" dxfId="4260" priority="2481" stopIfTrue="1" operator="equal">
      <formula>"Towel"</formula>
    </cfRule>
  </conditionalFormatting>
  <conditionalFormatting sqref="B84:C84 B85">
    <cfRule type="cellIs" dxfId="4259" priority="2477" stopIfTrue="1" operator="equal">
      <formula>"Towel"</formula>
    </cfRule>
    <cfRule type="cellIs" dxfId="4258" priority="2478" stopIfTrue="1" operator="equal">
      <formula>"Napkin Hs"</formula>
    </cfRule>
  </conditionalFormatting>
  <conditionalFormatting sqref="C84">
    <cfRule type="cellIs" dxfId="4257" priority="2473" stopIfTrue="1" operator="equal">
      <formula>"Towel"</formula>
    </cfRule>
    <cfRule type="cellIs" dxfId="4256" priority="2474" stopIfTrue="1" operator="equal">
      <formula>"Napkin Hs"</formula>
    </cfRule>
  </conditionalFormatting>
  <conditionalFormatting sqref="C84">
    <cfRule type="cellIs" dxfId="4255" priority="2475" stopIfTrue="1" operator="equal">
      <formula>"Towel"</formula>
    </cfRule>
    <cfRule type="cellIs" dxfId="4254" priority="2476" stopIfTrue="1" operator="equal">
      <formula>"Napkin Hs"</formula>
    </cfRule>
  </conditionalFormatting>
  <conditionalFormatting sqref="B84:C84 B85">
    <cfRule type="cellIs" dxfId="4253" priority="2471" stopIfTrue="1" operator="equal">
      <formula>"Towel"</formula>
    </cfRule>
    <cfRule type="cellIs" dxfId="4252" priority="2472" stopIfTrue="1" operator="equal">
      <formula>"Napkin Hs"</formula>
    </cfRule>
  </conditionalFormatting>
  <conditionalFormatting sqref="C84">
    <cfRule type="cellIs" dxfId="4251" priority="2467" stopIfTrue="1" operator="equal">
      <formula>"Towel"</formula>
    </cfRule>
    <cfRule type="cellIs" dxfId="4250" priority="2468" stopIfTrue="1" operator="equal">
      <formula>"Napkin Hs"</formula>
    </cfRule>
  </conditionalFormatting>
  <conditionalFormatting sqref="C84">
    <cfRule type="cellIs" dxfId="4249" priority="2469" stopIfTrue="1" operator="equal">
      <formula>"Towel"</formula>
    </cfRule>
    <cfRule type="cellIs" dxfId="4248" priority="2470" stopIfTrue="1" operator="equal">
      <formula>"Napkin Hs"</formula>
    </cfRule>
  </conditionalFormatting>
  <conditionalFormatting sqref="B84:C84 B85">
    <cfRule type="cellIs" dxfId="4247" priority="2463" stopIfTrue="1" operator="equal">
      <formula>"Towel"</formula>
    </cfRule>
    <cfRule type="cellIs" dxfId="4246" priority="2464" stopIfTrue="1" operator="equal">
      <formula>"Napkin Hs"</formula>
    </cfRule>
  </conditionalFormatting>
  <conditionalFormatting sqref="C84">
    <cfRule type="cellIs" dxfId="4245" priority="2465" stopIfTrue="1" operator="equal">
      <formula>"Towel"</formula>
    </cfRule>
    <cfRule type="cellIs" dxfId="4244" priority="2466" stopIfTrue="1" operator="equal">
      <formula>"Napkin Hs"</formula>
    </cfRule>
  </conditionalFormatting>
  <conditionalFormatting sqref="C84">
    <cfRule type="cellIs" dxfId="4243" priority="2461" stopIfTrue="1" operator="equal">
      <formula>"Towel"</formula>
    </cfRule>
    <cfRule type="cellIs" dxfId="4242" priority="2462" stopIfTrue="1" operator="equal">
      <formula>"Napkin Hs"</formula>
    </cfRule>
  </conditionalFormatting>
  <conditionalFormatting sqref="B84:C84 B85">
    <cfRule type="cellIs" dxfId="4241" priority="2459" stopIfTrue="1" operator="equal">
      <formula>"Towel"</formula>
    </cfRule>
    <cfRule type="cellIs" dxfId="4240" priority="2460" stopIfTrue="1" operator="equal">
      <formula>"Napkin Hs"</formula>
    </cfRule>
  </conditionalFormatting>
  <conditionalFormatting sqref="C84">
    <cfRule type="cellIs" dxfId="4239" priority="2458" stopIfTrue="1" operator="equal">
      <formula>"Napkin Hs"</formula>
    </cfRule>
  </conditionalFormatting>
  <conditionalFormatting sqref="C84">
    <cfRule type="cellIs" dxfId="4238" priority="2455" stopIfTrue="1" operator="equal">
      <formula>"Towel"</formula>
    </cfRule>
    <cfRule type="cellIs" dxfId="4237" priority="2456" stopIfTrue="1" operator="equal">
      <formula>"Napkin Hs"</formula>
    </cfRule>
  </conditionalFormatting>
  <conditionalFormatting sqref="C84">
    <cfRule type="cellIs" dxfId="4236" priority="2457" stopIfTrue="1" operator="equal">
      <formula>"Towel"</formula>
    </cfRule>
  </conditionalFormatting>
  <conditionalFormatting sqref="B84:C84 B85">
    <cfRule type="cellIs" dxfId="4235" priority="2453" stopIfTrue="1" operator="equal">
      <formula>"Towel"</formula>
    </cfRule>
    <cfRule type="cellIs" dxfId="4234" priority="2454" stopIfTrue="1" operator="equal">
      <formula>"Napkin Hs"</formula>
    </cfRule>
  </conditionalFormatting>
  <conditionalFormatting sqref="C84">
    <cfRule type="cellIs" dxfId="4233" priority="2449" stopIfTrue="1" operator="equal">
      <formula>"Towel"</formula>
    </cfRule>
    <cfRule type="cellIs" dxfId="4232" priority="2450" stopIfTrue="1" operator="equal">
      <formula>"Napkin Hs"</formula>
    </cfRule>
  </conditionalFormatting>
  <conditionalFormatting sqref="C84">
    <cfRule type="cellIs" dxfId="4231" priority="2451" stopIfTrue="1" operator="equal">
      <formula>"Towel"</formula>
    </cfRule>
    <cfRule type="cellIs" dxfId="4230" priority="2452" stopIfTrue="1" operator="equal">
      <formula>"Napkin Hs"</formula>
    </cfRule>
  </conditionalFormatting>
  <conditionalFormatting sqref="B84:C84 B85">
    <cfRule type="cellIs" dxfId="4229" priority="2447" stopIfTrue="1" operator="equal">
      <formula>"Towel"</formula>
    </cfRule>
    <cfRule type="cellIs" dxfId="4228" priority="2448" stopIfTrue="1" operator="equal">
      <formula>"Napkin Hs"</formula>
    </cfRule>
  </conditionalFormatting>
  <conditionalFormatting sqref="C84">
    <cfRule type="cellIs" dxfId="4227" priority="2446" stopIfTrue="1" operator="equal">
      <formula>"Napkin Hs"</formula>
    </cfRule>
  </conditionalFormatting>
  <conditionalFormatting sqref="C84">
    <cfRule type="cellIs" dxfId="4226" priority="2443" stopIfTrue="1" operator="equal">
      <formula>"Towel"</formula>
    </cfRule>
    <cfRule type="cellIs" dxfId="4225" priority="2444" stopIfTrue="1" operator="equal">
      <formula>"Napkin Hs"</formula>
    </cfRule>
  </conditionalFormatting>
  <conditionalFormatting sqref="C84">
    <cfRule type="cellIs" dxfId="4224" priority="2445" stopIfTrue="1" operator="equal">
      <formula>"Towel"</formula>
    </cfRule>
  </conditionalFormatting>
  <conditionalFormatting sqref="B84:C84 B85">
    <cfRule type="cellIs" dxfId="4223" priority="2441" stopIfTrue="1" operator="equal">
      <formula>"Towel"</formula>
    </cfRule>
    <cfRule type="cellIs" dxfId="4222" priority="2442" stopIfTrue="1" operator="equal">
      <formula>"Napkin Hs"</formula>
    </cfRule>
  </conditionalFormatting>
  <conditionalFormatting sqref="C84">
    <cfRule type="cellIs" dxfId="4221" priority="2439" stopIfTrue="1" operator="equal">
      <formula>"Towel"</formula>
    </cfRule>
    <cfRule type="cellIs" dxfId="4220" priority="2440" stopIfTrue="1" operator="equal">
      <formula>"Napkin Hs"</formula>
    </cfRule>
  </conditionalFormatting>
  <conditionalFormatting sqref="C84">
    <cfRule type="cellIs" dxfId="4219" priority="2437" stopIfTrue="1" operator="equal">
      <formula>"Towel"</formula>
    </cfRule>
    <cfRule type="cellIs" dxfId="4218" priority="2438" stopIfTrue="1" operator="equal">
      <formula>"Napkin Hs"</formula>
    </cfRule>
  </conditionalFormatting>
  <conditionalFormatting sqref="B84:C84 B85">
    <cfRule type="cellIs" dxfId="4217" priority="2435" stopIfTrue="1" operator="equal">
      <formula>"Towel"</formula>
    </cfRule>
    <cfRule type="cellIs" dxfId="4216" priority="2436" stopIfTrue="1" operator="equal">
      <formula>"Napkin Hs"</formula>
    </cfRule>
  </conditionalFormatting>
  <conditionalFormatting sqref="C84">
    <cfRule type="cellIs" dxfId="4215" priority="2434" stopIfTrue="1" operator="equal">
      <formula>"Napkin Hs"</formula>
    </cfRule>
  </conditionalFormatting>
  <conditionalFormatting sqref="C84">
    <cfRule type="cellIs" dxfId="4214" priority="2431" stopIfTrue="1" operator="equal">
      <formula>"Towel"</formula>
    </cfRule>
    <cfRule type="cellIs" dxfId="4213" priority="2432" stopIfTrue="1" operator="equal">
      <formula>"Napkin Hs"</formula>
    </cfRule>
  </conditionalFormatting>
  <conditionalFormatting sqref="C84">
    <cfRule type="cellIs" dxfId="4212" priority="2433" stopIfTrue="1" operator="equal">
      <formula>"Towel"</formula>
    </cfRule>
  </conditionalFormatting>
  <conditionalFormatting sqref="B84:C84 B85">
    <cfRule type="cellIs" dxfId="4211" priority="2429" stopIfTrue="1" operator="equal">
      <formula>"Towel"</formula>
    </cfRule>
    <cfRule type="cellIs" dxfId="4210" priority="2430" stopIfTrue="1" operator="equal">
      <formula>"Napkin Hs"</formula>
    </cfRule>
  </conditionalFormatting>
  <conditionalFormatting sqref="C84">
    <cfRule type="cellIs" dxfId="4209" priority="2428" stopIfTrue="1" operator="equal">
      <formula>"Napkin Hs"</formula>
    </cfRule>
  </conditionalFormatting>
  <conditionalFormatting sqref="C84">
    <cfRule type="cellIs" dxfId="4208" priority="2427" stopIfTrue="1" operator="equal">
      <formula>"Towel"</formula>
    </cfRule>
  </conditionalFormatting>
  <conditionalFormatting sqref="C84">
    <cfRule type="cellIs" dxfId="4207" priority="2425" stopIfTrue="1" operator="equal">
      <formula>"Towel"</formula>
    </cfRule>
    <cfRule type="cellIs" dxfId="4206" priority="2426" stopIfTrue="1" operator="equal">
      <formula>"Napkin Hs"</formula>
    </cfRule>
  </conditionalFormatting>
  <conditionalFormatting sqref="B84:C84 B85">
    <cfRule type="cellIs" dxfId="4205" priority="2423" stopIfTrue="1" operator="equal">
      <formula>"Towel"</formula>
    </cfRule>
    <cfRule type="cellIs" dxfId="4204" priority="2424" stopIfTrue="1" operator="equal">
      <formula>"Napkin Hs"</formula>
    </cfRule>
  </conditionalFormatting>
  <conditionalFormatting sqref="C84">
    <cfRule type="cellIs" dxfId="4203" priority="2422" stopIfTrue="1" operator="equal">
      <formula>"Napkin Hs"</formula>
    </cfRule>
  </conditionalFormatting>
  <conditionalFormatting sqref="C84">
    <cfRule type="cellIs" dxfId="4202" priority="2419" stopIfTrue="1" operator="equal">
      <formula>"Towel"</formula>
    </cfRule>
    <cfRule type="cellIs" dxfId="4201" priority="2420" stopIfTrue="1" operator="equal">
      <formula>"Napkin Hs"</formula>
    </cfRule>
  </conditionalFormatting>
  <conditionalFormatting sqref="C84">
    <cfRule type="cellIs" dxfId="4200" priority="2421" stopIfTrue="1" operator="equal">
      <formula>"Towel"</formula>
    </cfRule>
  </conditionalFormatting>
  <conditionalFormatting sqref="B84:C84 B85">
    <cfRule type="cellIs" dxfId="4199" priority="2417" stopIfTrue="1" operator="equal">
      <formula>"Towel"</formula>
    </cfRule>
    <cfRule type="cellIs" dxfId="4198" priority="2418" stopIfTrue="1" operator="equal">
      <formula>"Napkin Hs"</formula>
    </cfRule>
  </conditionalFormatting>
  <conditionalFormatting sqref="C84">
    <cfRule type="cellIs" dxfId="4197" priority="2416" stopIfTrue="1" operator="equal">
      <formula>"Napkin Hs"</formula>
    </cfRule>
  </conditionalFormatting>
  <conditionalFormatting sqref="C84">
    <cfRule type="cellIs" dxfId="4196" priority="2413" stopIfTrue="1" operator="equal">
      <formula>"Towel"</formula>
    </cfRule>
    <cfRule type="cellIs" dxfId="4195" priority="2414" stopIfTrue="1" operator="equal">
      <formula>"Napkin Hs"</formula>
    </cfRule>
  </conditionalFormatting>
  <conditionalFormatting sqref="C84">
    <cfRule type="cellIs" dxfId="4194" priority="2415" stopIfTrue="1" operator="equal">
      <formula>"Towel"</formula>
    </cfRule>
  </conditionalFormatting>
  <conditionalFormatting sqref="B84:C84 B85">
    <cfRule type="cellIs" dxfId="4193" priority="2411" stopIfTrue="1" operator="equal">
      <formula>"Towel"</formula>
    </cfRule>
    <cfRule type="cellIs" dxfId="4192" priority="2412" stopIfTrue="1" operator="equal">
      <formula>"Napkin Hs"</formula>
    </cfRule>
  </conditionalFormatting>
  <conditionalFormatting sqref="C84">
    <cfRule type="cellIs" dxfId="4191" priority="2410" stopIfTrue="1" operator="equal">
      <formula>"Napkin Hs"</formula>
    </cfRule>
  </conditionalFormatting>
  <conditionalFormatting sqref="C84">
    <cfRule type="cellIs" dxfId="4190" priority="2407" stopIfTrue="1" operator="equal">
      <formula>"Towel"</formula>
    </cfRule>
    <cfRule type="cellIs" dxfId="4189" priority="2408" stopIfTrue="1" operator="equal">
      <formula>"Napkin Hs"</formula>
    </cfRule>
  </conditionalFormatting>
  <conditionalFormatting sqref="C84">
    <cfRule type="cellIs" dxfId="4188" priority="2409" stopIfTrue="1" operator="equal">
      <formula>"Towel"</formula>
    </cfRule>
  </conditionalFormatting>
  <conditionalFormatting sqref="B84:C84 B85">
    <cfRule type="cellIs" dxfId="4187" priority="2405" stopIfTrue="1" operator="equal">
      <formula>"Towel"</formula>
    </cfRule>
    <cfRule type="cellIs" dxfId="4186" priority="2406" stopIfTrue="1" operator="equal">
      <formula>"Napkin Hs"</formula>
    </cfRule>
  </conditionalFormatting>
  <conditionalFormatting sqref="C84">
    <cfRule type="cellIs" dxfId="4185" priority="2404" stopIfTrue="1" operator="equal">
      <formula>"Napkin Hs"</formula>
    </cfRule>
  </conditionalFormatting>
  <conditionalFormatting sqref="C84">
    <cfRule type="cellIs" dxfId="4184" priority="2401" stopIfTrue="1" operator="equal">
      <formula>"Towel"</formula>
    </cfRule>
    <cfRule type="cellIs" dxfId="4183" priority="2402" stopIfTrue="1" operator="equal">
      <formula>"Napkin Hs"</formula>
    </cfRule>
  </conditionalFormatting>
  <conditionalFormatting sqref="C84">
    <cfRule type="cellIs" dxfId="4182" priority="2403" stopIfTrue="1" operator="equal">
      <formula>"Towel"</formula>
    </cfRule>
  </conditionalFormatting>
  <conditionalFormatting sqref="B84:C84 B85">
    <cfRule type="cellIs" dxfId="4181" priority="2399" stopIfTrue="1" operator="equal">
      <formula>"Towel"</formula>
    </cfRule>
    <cfRule type="cellIs" dxfId="4180" priority="2400" stopIfTrue="1" operator="equal">
      <formula>"Napkin Hs"</formula>
    </cfRule>
  </conditionalFormatting>
  <conditionalFormatting sqref="C84">
    <cfRule type="cellIs" dxfId="4179" priority="2398" stopIfTrue="1" operator="equal">
      <formula>"Napkin Hs"</formula>
    </cfRule>
  </conditionalFormatting>
  <conditionalFormatting sqref="C84">
    <cfRule type="cellIs" dxfId="4178" priority="2395" stopIfTrue="1" operator="equal">
      <formula>"Towel"</formula>
    </cfRule>
    <cfRule type="cellIs" dxfId="4177" priority="2396" stopIfTrue="1" operator="equal">
      <formula>"Napkin Hs"</formula>
    </cfRule>
  </conditionalFormatting>
  <conditionalFormatting sqref="C84">
    <cfRule type="cellIs" dxfId="4176" priority="2397" stopIfTrue="1" operator="equal">
      <formula>"Towel"</formula>
    </cfRule>
  </conditionalFormatting>
  <conditionalFormatting sqref="B84:C84 B85">
    <cfRule type="cellIs" dxfId="4175" priority="2393" stopIfTrue="1" operator="equal">
      <formula>"Towel"</formula>
    </cfRule>
    <cfRule type="cellIs" dxfId="4174" priority="2394" stopIfTrue="1" operator="equal">
      <formula>"Napkin Hs"</formula>
    </cfRule>
  </conditionalFormatting>
  <conditionalFormatting sqref="C84">
    <cfRule type="cellIs" dxfId="4173" priority="2392" stopIfTrue="1" operator="equal">
      <formula>"Napkin Hs"</formula>
    </cfRule>
  </conditionalFormatting>
  <conditionalFormatting sqref="C84">
    <cfRule type="cellIs" dxfId="4172" priority="2389" stopIfTrue="1" operator="equal">
      <formula>"Towel"</formula>
    </cfRule>
    <cfRule type="cellIs" dxfId="4171" priority="2390" stopIfTrue="1" operator="equal">
      <formula>"Napkin Hs"</formula>
    </cfRule>
  </conditionalFormatting>
  <conditionalFormatting sqref="C84">
    <cfRule type="cellIs" dxfId="4170" priority="2391" stopIfTrue="1" operator="equal">
      <formula>"Towel"</formula>
    </cfRule>
  </conditionalFormatting>
  <conditionalFormatting sqref="B84:C84 B85">
    <cfRule type="cellIs" dxfId="4169" priority="2387" stopIfTrue="1" operator="equal">
      <formula>"Towel"</formula>
    </cfRule>
    <cfRule type="cellIs" dxfId="4168" priority="2388" stopIfTrue="1" operator="equal">
      <formula>"Napkin Hs"</formula>
    </cfRule>
  </conditionalFormatting>
  <conditionalFormatting sqref="C84">
    <cfRule type="cellIs" dxfId="4167" priority="2386" stopIfTrue="1" operator="equal">
      <formula>"Napkin Hs"</formula>
    </cfRule>
  </conditionalFormatting>
  <conditionalFormatting sqref="C84">
    <cfRule type="cellIs" dxfId="4166" priority="2383" stopIfTrue="1" operator="equal">
      <formula>"Towel"</formula>
    </cfRule>
    <cfRule type="cellIs" dxfId="4165" priority="2384" stopIfTrue="1" operator="equal">
      <formula>"Napkin Hs"</formula>
    </cfRule>
  </conditionalFormatting>
  <conditionalFormatting sqref="C84">
    <cfRule type="cellIs" dxfId="4164" priority="2385" stopIfTrue="1" operator="equal">
      <formula>"Towel"</formula>
    </cfRule>
  </conditionalFormatting>
  <conditionalFormatting sqref="B84:C84 B85">
    <cfRule type="cellIs" dxfId="4163" priority="2381" stopIfTrue="1" operator="equal">
      <formula>"Towel"</formula>
    </cfRule>
    <cfRule type="cellIs" dxfId="4162" priority="2382" stopIfTrue="1" operator="equal">
      <formula>"Napkin Hs"</formula>
    </cfRule>
  </conditionalFormatting>
  <conditionalFormatting sqref="C84">
    <cfRule type="cellIs" dxfId="4161" priority="2380" stopIfTrue="1" operator="equal">
      <formula>"Napkin Hs"</formula>
    </cfRule>
  </conditionalFormatting>
  <conditionalFormatting sqref="C84">
    <cfRule type="cellIs" dxfId="4160" priority="2377" stopIfTrue="1" operator="equal">
      <formula>"Towel"</formula>
    </cfRule>
    <cfRule type="cellIs" dxfId="4159" priority="2378" stopIfTrue="1" operator="equal">
      <formula>"Napkin Hs"</formula>
    </cfRule>
  </conditionalFormatting>
  <conditionalFormatting sqref="C84">
    <cfRule type="cellIs" dxfId="4158" priority="2379" stopIfTrue="1" operator="equal">
      <formula>"Towel"</formula>
    </cfRule>
  </conditionalFormatting>
  <conditionalFormatting sqref="B84:C84 B85">
    <cfRule type="cellIs" dxfId="4157" priority="2375" stopIfTrue="1" operator="equal">
      <formula>"Towel"</formula>
    </cfRule>
    <cfRule type="cellIs" dxfId="4156" priority="2376" stopIfTrue="1" operator="equal">
      <formula>"Napkin Hs"</formula>
    </cfRule>
  </conditionalFormatting>
  <conditionalFormatting sqref="C84">
    <cfRule type="cellIs" dxfId="4155" priority="2374" stopIfTrue="1" operator="equal">
      <formula>"Napkin Hs"</formula>
    </cfRule>
  </conditionalFormatting>
  <conditionalFormatting sqref="C84">
    <cfRule type="cellIs" dxfId="4154" priority="2371" stopIfTrue="1" operator="equal">
      <formula>"Towel"</formula>
    </cfRule>
    <cfRule type="cellIs" dxfId="4153" priority="2372" stopIfTrue="1" operator="equal">
      <formula>"Napkin Hs"</formula>
    </cfRule>
  </conditionalFormatting>
  <conditionalFormatting sqref="C84">
    <cfRule type="cellIs" dxfId="4152" priority="2373" stopIfTrue="1" operator="equal">
      <formula>"Towel"</formula>
    </cfRule>
  </conditionalFormatting>
  <conditionalFormatting sqref="B84:C84 B85">
    <cfRule type="cellIs" dxfId="4151" priority="2369" stopIfTrue="1" operator="equal">
      <formula>"Towel"</formula>
    </cfRule>
    <cfRule type="cellIs" dxfId="4150" priority="2370" stopIfTrue="1" operator="equal">
      <formula>"Napkin Hs"</formula>
    </cfRule>
  </conditionalFormatting>
  <conditionalFormatting sqref="C84">
    <cfRule type="cellIs" dxfId="4149" priority="2368" stopIfTrue="1" operator="equal">
      <formula>"Napkin Hs"</formula>
    </cfRule>
  </conditionalFormatting>
  <conditionalFormatting sqref="C84">
    <cfRule type="cellIs" dxfId="4148" priority="2365" stopIfTrue="1" operator="equal">
      <formula>"Towel"</formula>
    </cfRule>
    <cfRule type="cellIs" dxfId="4147" priority="2366" stopIfTrue="1" operator="equal">
      <formula>"Napkin Hs"</formula>
    </cfRule>
  </conditionalFormatting>
  <conditionalFormatting sqref="C84">
    <cfRule type="cellIs" dxfId="4146" priority="2367" stopIfTrue="1" operator="equal">
      <formula>"Towel"</formula>
    </cfRule>
  </conditionalFormatting>
  <conditionalFormatting sqref="B84:C84 B85">
    <cfRule type="cellIs" dxfId="4145" priority="2363" stopIfTrue="1" operator="equal">
      <formula>"Towel"</formula>
    </cfRule>
    <cfRule type="cellIs" dxfId="4144" priority="2364" stopIfTrue="1" operator="equal">
      <formula>"Napkin Hs"</formula>
    </cfRule>
  </conditionalFormatting>
  <conditionalFormatting sqref="C84">
    <cfRule type="cellIs" dxfId="4143" priority="2362" stopIfTrue="1" operator="equal">
      <formula>"Napkin Hs"</formula>
    </cfRule>
  </conditionalFormatting>
  <conditionalFormatting sqref="C84">
    <cfRule type="cellIs" dxfId="4142" priority="2361" stopIfTrue="1" operator="equal">
      <formula>"Towel"</formula>
    </cfRule>
  </conditionalFormatting>
  <conditionalFormatting sqref="C84">
    <cfRule type="cellIs" dxfId="4141" priority="2359" stopIfTrue="1" operator="equal">
      <formula>"Towel"</formula>
    </cfRule>
    <cfRule type="cellIs" dxfId="4140" priority="2360" stopIfTrue="1" operator="equal">
      <formula>"Napkin Hs"</formula>
    </cfRule>
  </conditionalFormatting>
  <conditionalFormatting sqref="B84:C84 B85">
    <cfRule type="cellIs" dxfId="4139" priority="2357" stopIfTrue="1" operator="equal">
      <formula>"Towel"</formula>
    </cfRule>
    <cfRule type="cellIs" dxfId="4138" priority="2358" stopIfTrue="1" operator="equal">
      <formula>"Napkin Hs"</formula>
    </cfRule>
  </conditionalFormatting>
  <conditionalFormatting sqref="C84">
    <cfRule type="cellIs" dxfId="4137" priority="2356" stopIfTrue="1" operator="equal">
      <formula>"Napkin Hs"</formula>
    </cfRule>
  </conditionalFormatting>
  <conditionalFormatting sqref="C84">
    <cfRule type="cellIs" dxfId="4136" priority="2353" stopIfTrue="1" operator="equal">
      <formula>"Towel"</formula>
    </cfRule>
    <cfRule type="cellIs" dxfId="4135" priority="2354" stopIfTrue="1" operator="equal">
      <formula>"Napkin Hs"</formula>
    </cfRule>
  </conditionalFormatting>
  <conditionalFormatting sqref="C84">
    <cfRule type="cellIs" dxfId="4134" priority="2355" stopIfTrue="1" operator="equal">
      <formula>"Towel"</formula>
    </cfRule>
  </conditionalFormatting>
  <conditionalFormatting sqref="B84:C84 B85">
    <cfRule type="cellIs" dxfId="4133" priority="2351" stopIfTrue="1" operator="equal">
      <formula>"Towel"</formula>
    </cfRule>
    <cfRule type="cellIs" dxfId="4132" priority="2352" stopIfTrue="1" operator="equal">
      <formula>"Napkin Hs"</formula>
    </cfRule>
  </conditionalFormatting>
  <conditionalFormatting sqref="C84">
    <cfRule type="cellIs" dxfId="4131" priority="2350" stopIfTrue="1" operator="equal">
      <formula>"Napkin Hs"</formula>
    </cfRule>
  </conditionalFormatting>
  <conditionalFormatting sqref="C84">
    <cfRule type="cellIs" dxfId="4130" priority="2347" stopIfTrue="1" operator="equal">
      <formula>"Towel"</formula>
    </cfRule>
    <cfRule type="cellIs" dxfId="4129" priority="2348" stopIfTrue="1" operator="equal">
      <formula>"Napkin Hs"</formula>
    </cfRule>
  </conditionalFormatting>
  <conditionalFormatting sqref="C84">
    <cfRule type="cellIs" dxfId="4128" priority="2349" stopIfTrue="1" operator="equal">
      <formula>"Towel"</formula>
    </cfRule>
  </conditionalFormatting>
  <conditionalFormatting sqref="B84:C84 B85">
    <cfRule type="cellIs" dxfId="4127" priority="2345" stopIfTrue="1" operator="equal">
      <formula>"Towel"</formula>
    </cfRule>
    <cfRule type="cellIs" dxfId="4126" priority="2346" stopIfTrue="1" operator="equal">
      <formula>"Napkin Hs"</formula>
    </cfRule>
  </conditionalFormatting>
  <conditionalFormatting sqref="C84">
    <cfRule type="cellIs" dxfId="4125" priority="2344" stopIfTrue="1" operator="equal">
      <formula>"Napkin Hs"</formula>
    </cfRule>
  </conditionalFormatting>
  <conditionalFormatting sqref="C84">
    <cfRule type="cellIs" dxfId="4124" priority="2341" stopIfTrue="1" operator="equal">
      <formula>"Towel"</formula>
    </cfRule>
    <cfRule type="cellIs" dxfId="4123" priority="2342" stopIfTrue="1" operator="equal">
      <formula>"Napkin Hs"</formula>
    </cfRule>
  </conditionalFormatting>
  <conditionalFormatting sqref="C84">
    <cfRule type="cellIs" dxfId="4122" priority="2343" stopIfTrue="1" operator="equal">
      <formula>"Towel"</formula>
    </cfRule>
  </conditionalFormatting>
  <conditionalFormatting sqref="B84:C84 B85">
    <cfRule type="cellIs" dxfId="4121" priority="2339" stopIfTrue="1" operator="equal">
      <formula>"Towel"</formula>
    </cfRule>
    <cfRule type="cellIs" dxfId="4120" priority="2340" stopIfTrue="1" operator="equal">
      <formula>"Napkin Hs"</formula>
    </cfRule>
  </conditionalFormatting>
  <conditionalFormatting sqref="C84">
    <cfRule type="cellIs" dxfId="4119" priority="2338" stopIfTrue="1" operator="equal">
      <formula>"Napkin Hs"</formula>
    </cfRule>
  </conditionalFormatting>
  <conditionalFormatting sqref="C84">
    <cfRule type="cellIs" dxfId="4118" priority="2335" stopIfTrue="1" operator="equal">
      <formula>"Towel"</formula>
    </cfRule>
    <cfRule type="cellIs" dxfId="4117" priority="2336" stopIfTrue="1" operator="equal">
      <formula>"Napkin Hs"</formula>
    </cfRule>
  </conditionalFormatting>
  <conditionalFormatting sqref="C84">
    <cfRule type="cellIs" dxfId="4116" priority="2337" stopIfTrue="1" operator="equal">
      <formula>"Towel"</formula>
    </cfRule>
  </conditionalFormatting>
  <conditionalFormatting sqref="B84:C84 B85">
    <cfRule type="cellIs" dxfId="4115" priority="2333" stopIfTrue="1" operator="equal">
      <formula>"Towel"</formula>
    </cfRule>
    <cfRule type="cellIs" dxfId="4114" priority="2334" stopIfTrue="1" operator="equal">
      <formula>"Napkin Hs"</formula>
    </cfRule>
  </conditionalFormatting>
  <conditionalFormatting sqref="C84">
    <cfRule type="cellIs" dxfId="4113" priority="2332" stopIfTrue="1" operator="equal">
      <formula>"Napkin Hs"</formula>
    </cfRule>
  </conditionalFormatting>
  <conditionalFormatting sqref="C84">
    <cfRule type="cellIs" dxfId="4112" priority="2329" stopIfTrue="1" operator="equal">
      <formula>"Towel"</formula>
    </cfRule>
    <cfRule type="cellIs" dxfId="4111" priority="2330" stopIfTrue="1" operator="equal">
      <formula>"Napkin Hs"</formula>
    </cfRule>
  </conditionalFormatting>
  <conditionalFormatting sqref="C84">
    <cfRule type="cellIs" dxfId="4110" priority="2331" stopIfTrue="1" operator="equal">
      <formula>"Towel"</formula>
    </cfRule>
  </conditionalFormatting>
  <conditionalFormatting sqref="B84:C84 B85">
    <cfRule type="cellIs" dxfId="4109" priority="2327" stopIfTrue="1" operator="equal">
      <formula>"Towel"</formula>
    </cfRule>
    <cfRule type="cellIs" dxfId="4108" priority="2328" stopIfTrue="1" operator="equal">
      <formula>"Napkin Hs"</formula>
    </cfRule>
  </conditionalFormatting>
  <conditionalFormatting sqref="C84">
    <cfRule type="cellIs" dxfId="4107" priority="2326" stopIfTrue="1" operator="equal">
      <formula>"Napkin Hs"</formula>
    </cfRule>
  </conditionalFormatting>
  <conditionalFormatting sqref="C84">
    <cfRule type="cellIs" dxfId="4106" priority="2323" stopIfTrue="1" operator="equal">
      <formula>"Towel"</formula>
    </cfRule>
    <cfRule type="cellIs" dxfId="4105" priority="2324" stopIfTrue="1" operator="equal">
      <formula>"Napkin Hs"</formula>
    </cfRule>
  </conditionalFormatting>
  <conditionalFormatting sqref="C84">
    <cfRule type="cellIs" dxfId="4104" priority="2325" stopIfTrue="1" operator="equal">
      <formula>"Towel"</formula>
    </cfRule>
  </conditionalFormatting>
  <conditionalFormatting sqref="B84:C84 B85">
    <cfRule type="cellIs" dxfId="4103" priority="2321" stopIfTrue="1" operator="equal">
      <formula>"Towel"</formula>
    </cfRule>
    <cfRule type="cellIs" dxfId="4102" priority="2322" stopIfTrue="1" operator="equal">
      <formula>"Napkin Hs"</formula>
    </cfRule>
  </conditionalFormatting>
  <conditionalFormatting sqref="C84">
    <cfRule type="cellIs" dxfId="4101" priority="2320" stopIfTrue="1" operator="equal">
      <formula>"Napkin Hs"</formula>
    </cfRule>
  </conditionalFormatting>
  <conditionalFormatting sqref="C84">
    <cfRule type="cellIs" dxfId="4100" priority="2317" stopIfTrue="1" operator="equal">
      <formula>"Towel"</formula>
    </cfRule>
    <cfRule type="cellIs" dxfId="4099" priority="2318" stopIfTrue="1" operator="equal">
      <formula>"Napkin Hs"</formula>
    </cfRule>
  </conditionalFormatting>
  <conditionalFormatting sqref="C84">
    <cfRule type="cellIs" dxfId="4098" priority="2319" stopIfTrue="1" operator="equal">
      <formula>"Towel"</formula>
    </cfRule>
  </conditionalFormatting>
  <conditionalFormatting sqref="B84:C84 B85">
    <cfRule type="cellIs" dxfId="4097" priority="2315" stopIfTrue="1" operator="equal">
      <formula>"Towel"</formula>
    </cfRule>
    <cfRule type="cellIs" dxfId="4096" priority="2316" stopIfTrue="1" operator="equal">
      <formula>"Napkin Hs"</formula>
    </cfRule>
  </conditionalFormatting>
  <conditionalFormatting sqref="C84">
    <cfRule type="cellIs" dxfId="4095" priority="2314" stopIfTrue="1" operator="equal">
      <formula>"Napkin Hs"</formula>
    </cfRule>
  </conditionalFormatting>
  <conditionalFormatting sqref="C84">
    <cfRule type="cellIs" dxfId="4094" priority="2311" stopIfTrue="1" operator="equal">
      <formula>"Towel"</formula>
    </cfRule>
    <cfRule type="cellIs" dxfId="4093" priority="2312" stopIfTrue="1" operator="equal">
      <formula>"Napkin Hs"</formula>
    </cfRule>
  </conditionalFormatting>
  <conditionalFormatting sqref="C84">
    <cfRule type="cellIs" dxfId="4092" priority="2313" stopIfTrue="1" operator="equal">
      <formula>"Towel"</formula>
    </cfRule>
  </conditionalFormatting>
  <conditionalFormatting sqref="B84:C84 B85">
    <cfRule type="cellIs" dxfId="4091" priority="2309" stopIfTrue="1" operator="equal">
      <formula>"Towel"</formula>
    </cfRule>
    <cfRule type="cellIs" dxfId="4090" priority="2310" stopIfTrue="1" operator="equal">
      <formula>"Napkin Hs"</formula>
    </cfRule>
  </conditionalFormatting>
  <conditionalFormatting sqref="C84">
    <cfRule type="cellIs" dxfId="4089" priority="2308" stopIfTrue="1" operator="equal">
      <formula>"Napkin Hs"</formula>
    </cfRule>
  </conditionalFormatting>
  <conditionalFormatting sqref="C84">
    <cfRule type="cellIs" dxfId="4088" priority="2305" stopIfTrue="1" operator="equal">
      <formula>"Towel"</formula>
    </cfRule>
    <cfRule type="cellIs" dxfId="4087" priority="2306" stopIfTrue="1" operator="equal">
      <formula>"Napkin Hs"</formula>
    </cfRule>
  </conditionalFormatting>
  <conditionalFormatting sqref="C84">
    <cfRule type="cellIs" dxfId="4086" priority="2307" stopIfTrue="1" operator="equal">
      <formula>"Towel"</formula>
    </cfRule>
  </conditionalFormatting>
  <conditionalFormatting sqref="B89:C89">
    <cfRule type="cellIs" dxfId="4085" priority="2303" stopIfTrue="1" operator="equal">
      <formula>"Towel"</formula>
    </cfRule>
    <cfRule type="cellIs" dxfId="4084" priority="2304" stopIfTrue="1" operator="equal">
      <formula>"Napkin Hs"</formula>
    </cfRule>
  </conditionalFormatting>
  <conditionalFormatting sqref="C89">
    <cfRule type="cellIs" dxfId="4083" priority="2302" stopIfTrue="1" operator="equal">
      <formula>"Napkin Hs"</formula>
    </cfRule>
  </conditionalFormatting>
  <conditionalFormatting sqref="C89">
    <cfRule type="cellIs" dxfId="4082" priority="2299" stopIfTrue="1" operator="equal">
      <formula>"Towel"</formula>
    </cfRule>
    <cfRule type="cellIs" dxfId="4081" priority="2300" stopIfTrue="1" operator="equal">
      <formula>"Napkin Hs"</formula>
    </cfRule>
  </conditionalFormatting>
  <conditionalFormatting sqref="C89">
    <cfRule type="cellIs" dxfId="4080" priority="2301" stopIfTrue="1" operator="equal">
      <formula>"Towel"</formula>
    </cfRule>
  </conditionalFormatting>
  <conditionalFormatting sqref="B89:C89">
    <cfRule type="cellIs" dxfId="4079" priority="2297" stopIfTrue="1" operator="equal">
      <formula>"Towel"</formula>
    </cfRule>
    <cfRule type="cellIs" dxfId="4078" priority="2298" stopIfTrue="1" operator="equal">
      <formula>"Napkin Hs"</formula>
    </cfRule>
  </conditionalFormatting>
  <conditionalFormatting sqref="C89">
    <cfRule type="cellIs" dxfId="4077" priority="2296" stopIfTrue="1" operator="equal">
      <formula>"Napkin Hs"</formula>
    </cfRule>
  </conditionalFormatting>
  <conditionalFormatting sqref="C89">
    <cfRule type="cellIs" dxfId="4076" priority="2293" stopIfTrue="1" operator="equal">
      <formula>"Towel"</formula>
    </cfRule>
    <cfRule type="cellIs" dxfId="4075" priority="2294" stopIfTrue="1" operator="equal">
      <formula>"Napkin Hs"</formula>
    </cfRule>
  </conditionalFormatting>
  <conditionalFormatting sqref="C89">
    <cfRule type="cellIs" dxfId="4074" priority="2295" stopIfTrue="1" operator="equal">
      <formula>"Towel"</formula>
    </cfRule>
  </conditionalFormatting>
  <conditionalFormatting sqref="B89:C89">
    <cfRule type="cellIs" dxfId="4073" priority="2291" stopIfTrue="1" operator="equal">
      <formula>"Towel"</formula>
    </cfRule>
    <cfRule type="cellIs" dxfId="4072" priority="2292" stopIfTrue="1" operator="equal">
      <formula>"Napkin Hs"</formula>
    </cfRule>
  </conditionalFormatting>
  <conditionalFormatting sqref="C89">
    <cfRule type="cellIs" dxfId="4071" priority="2290" stopIfTrue="1" operator="equal">
      <formula>"Napkin Hs"</formula>
    </cfRule>
  </conditionalFormatting>
  <conditionalFormatting sqref="C89">
    <cfRule type="cellIs" dxfId="4070" priority="2287" stopIfTrue="1" operator="equal">
      <formula>"Towel"</formula>
    </cfRule>
    <cfRule type="cellIs" dxfId="4069" priority="2288" stopIfTrue="1" operator="equal">
      <formula>"Napkin Hs"</formula>
    </cfRule>
  </conditionalFormatting>
  <conditionalFormatting sqref="C89">
    <cfRule type="cellIs" dxfId="4068" priority="2289" stopIfTrue="1" operator="equal">
      <formula>"Towel"</formula>
    </cfRule>
  </conditionalFormatting>
  <conditionalFormatting sqref="B89:C89">
    <cfRule type="cellIs" dxfId="4067" priority="2285" stopIfTrue="1" operator="equal">
      <formula>"Towel"</formula>
    </cfRule>
    <cfRule type="cellIs" dxfId="4066" priority="2286" stopIfTrue="1" operator="equal">
      <formula>"Napkin Hs"</formula>
    </cfRule>
  </conditionalFormatting>
  <conditionalFormatting sqref="C89">
    <cfRule type="cellIs" dxfId="4065" priority="2281" stopIfTrue="1" operator="equal">
      <formula>"Towel"</formula>
    </cfRule>
    <cfRule type="cellIs" dxfId="4064" priority="2282" stopIfTrue="1" operator="equal">
      <formula>"Napkin Hs"</formula>
    </cfRule>
  </conditionalFormatting>
  <conditionalFormatting sqref="C89">
    <cfRule type="cellIs" dxfId="4063" priority="2283" stopIfTrue="1" operator="equal">
      <formula>"Towel"</formula>
    </cfRule>
    <cfRule type="cellIs" dxfId="4062" priority="2284" stopIfTrue="1" operator="equal">
      <formula>"Napkin Hs"</formula>
    </cfRule>
  </conditionalFormatting>
  <conditionalFormatting sqref="B89:C89">
    <cfRule type="cellIs" dxfId="4061" priority="2279" stopIfTrue="1" operator="equal">
      <formula>"Towel"</formula>
    </cfRule>
    <cfRule type="cellIs" dxfId="4060" priority="2280" stopIfTrue="1" operator="equal">
      <formula>"Napkin Hs"</formula>
    </cfRule>
  </conditionalFormatting>
  <conditionalFormatting sqref="C89">
    <cfRule type="cellIs" dxfId="4059" priority="2275" stopIfTrue="1" operator="equal">
      <formula>"Towel"</formula>
    </cfRule>
    <cfRule type="cellIs" dxfId="4058" priority="2276" stopIfTrue="1" operator="equal">
      <formula>"Napkin Hs"</formula>
    </cfRule>
  </conditionalFormatting>
  <conditionalFormatting sqref="C89">
    <cfRule type="cellIs" dxfId="4057" priority="2277" stopIfTrue="1" operator="equal">
      <formula>"Towel"</formula>
    </cfRule>
    <cfRule type="cellIs" dxfId="4056" priority="2278" stopIfTrue="1" operator="equal">
      <formula>"Napkin Hs"</formula>
    </cfRule>
  </conditionalFormatting>
  <conditionalFormatting sqref="B89:C89">
    <cfRule type="cellIs" dxfId="4055" priority="2271" stopIfTrue="1" operator="equal">
      <formula>"Towel"</formula>
    </cfRule>
    <cfRule type="cellIs" dxfId="4054" priority="2272" stopIfTrue="1" operator="equal">
      <formula>"Napkin Hs"</formula>
    </cfRule>
  </conditionalFormatting>
  <conditionalFormatting sqref="C89">
    <cfRule type="cellIs" dxfId="4053" priority="2273" stopIfTrue="1" operator="equal">
      <formula>"Towel"</formula>
    </cfRule>
    <cfRule type="cellIs" dxfId="4052" priority="2274" stopIfTrue="1" operator="equal">
      <formula>"Napkin Hs"</formula>
    </cfRule>
  </conditionalFormatting>
  <conditionalFormatting sqref="C89">
    <cfRule type="cellIs" dxfId="4051" priority="2269" stopIfTrue="1" operator="equal">
      <formula>"Towel"</formula>
    </cfRule>
    <cfRule type="cellIs" dxfId="4050" priority="2270" stopIfTrue="1" operator="equal">
      <formula>"Napkin Hs"</formula>
    </cfRule>
  </conditionalFormatting>
  <conditionalFormatting sqref="B89:C89">
    <cfRule type="cellIs" dxfId="4049" priority="2267" stopIfTrue="1" operator="equal">
      <formula>"Towel"</formula>
    </cfRule>
    <cfRule type="cellIs" dxfId="4048" priority="2268" stopIfTrue="1" operator="equal">
      <formula>"Napkin Hs"</formula>
    </cfRule>
  </conditionalFormatting>
  <conditionalFormatting sqref="C89">
    <cfRule type="cellIs" dxfId="4047" priority="2266" stopIfTrue="1" operator="equal">
      <formula>"Napkin Hs"</formula>
    </cfRule>
  </conditionalFormatting>
  <conditionalFormatting sqref="C89">
    <cfRule type="cellIs" dxfId="4046" priority="2263" stopIfTrue="1" operator="equal">
      <formula>"Towel"</formula>
    </cfRule>
    <cfRule type="cellIs" dxfId="4045" priority="2264" stopIfTrue="1" operator="equal">
      <formula>"Napkin Hs"</formula>
    </cfRule>
  </conditionalFormatting>
  <conditionalFormatting sqref="C89">
    <cfRule type="cellIs" dxfId="4044" priority="2265" stopIfTrue="1" operator="equal">
      <formula>"Towel"</formula>
    </cfRule>
  </conditionalFormatting>
  <conditionalFormatting sqref="B89:C89">
    <cfRule type="cellIs" dxfId="4043" priority="2261" stopIfTrue="1" operator="equal">
      <formula>"Towel"</formula>
    </cfRule>
    <cfRule type="cellIs" dxfId="4042" priority="2262" stopIfTrue="1" operator="equal">
      <formula>"Napkin Hs"</formula>
    </cfRule>
  </conditionalFormatting>
  <conditionalFormatting sqref="C89">
    <cfRule type="cellIs" dxfId="4041" priority="2257" stopIfTrue="1" operator="equal">
      <formula>"Towel"</formula>
    </cfRule>
    <cfRule type="cellIs" dxfId="4040" priority="2258" stopIfTrue="1" operator="equal">
      <formula>"Napkin Hs"</formula>
    </cfRule>
  </conditionalFormatting>
  <conditionalFormatting sqref="C89">
    <cfRule type="cellIs" dxfId="4039" priority="2259" stopIfTrue="1" operator="equal">
      <formula>"Towel"</formula>
    </cfRule>
    <cfRule type="cellIs" dxfId="4038" priority="2260" stopIfTrue="1" operator="equal">
      <formula>"Napkin Hs"</formula>
    </cfRule>
  </conditionalFormatting>
  <conditionalFormatting sqref="B89:C89">
    <cfRule type="cellIs" dxfId="4037" priority="2255" stopIfTrue="1" operator="equal">
      <formula>"Towel"</formula>
    </cfRule>
    <cfRule type="cellIs" dxfId="4036" priority="2256" stopIfTrue="1" operator="equal">
      <formula>"Napkin Hs"</formula>
    </cfRule>
  </conditionalFormatting>
  <conditionalFormatting sqref="C89">
    <cfRule type="cellIs" dxfId="4035" priority="2254" stopIfTrue="1" operator="equal">
      <formula>"Napkin Hs"</formula>
    </cfRule>
  </conditionalFormatting>
  <conditionalFormatting sqref="C89">
    <cfRule type="cellIs" dxfId="4034" priority="2251" stopIfTrue="1" operator="equal">
      <formula>"Towel"</formula>
    </cfRule>
    <cfRule type="cellIs" dxfId="4033" priority="2252" stopIfTrue="1" operator="equal">
      <formula>"Napkin Hs"</formula>
    </cfRule>
  </conditionalFormatting>
  <conditionalFormatting sqref="C89">
    <cfRule type="cellIs" dxfId="4032" priority="2253" stopIfTrue="1" operator="equal">
      <formula>"Towel"</formula>
    </cfRule>
  </conditionalFormatting>
  <conditionalFormatting sqref="B89:C89">
    <cfRule type="cellIs" dxfId="4031" priority="2249" stopIfTrue="1" operator="equal">
      <formula>"Towel"</formula>
    </cfRule>
    <cfRule type="cellIs" dxfId="4030" priority="2250" stopIfTrue="1" operator="equal">
      <formula>"Napkin Hs"</formula>
    </cfRule>
  </conditionalFormatting>
  <conditionalFormatting sqref="C89">
    <cfRule type="cellIs" dxfId="4029" priority="2247" stopIfTrue="1" operator="equal">
      <formula>"Towel"</formula>
    </cfRule>
    <cfRule type="cellIs" dxfId="4028" priority="2248" stopIfTrue="1" operator="equal">
      <formula>"Napkin Hs"</formula>
    </cfRule>
  </conditionalFormatting>
  <conditionalFormatting sqref="C89">
    <cfRule type="cellIs" dxfId="4027" priority="2245" stopIfTrue="1" operator="equal">
      <formula>"Towel"</formula>
    </cfRule>
    <cfRule type="cellIs" dxfId="4026" priority="2246" stopIfTrue="1" operator="equal">
      <formula>"Napkin Hs"</formula>
    </cfRule>
  </conditionalFormatting>
  <conditionalFormatting sqref="B89:C89">
    <cfRule type="cellIs" dxfId="4025" priority="2243" stopIfTrue="1" operator="equal">
      <formula>"Towel"</formula>
    </cfRule>
    <cfRule type="cellIs" dxfId="4024" priority="2244" stopIfTrue="1" operator="equal">
      <formula>"Napkin Hs"</formula>
    </cfRule>
  </conditionalFormatting>
  <conditionalFormatting sqref="C89">
    <cfRule type="cellIs" dxfId="4023" priority="2242" stopIfTrue="1" operator="equal">
      <formula>"Napkin Hs"</formula>
    </cfRule>
  </conditionalFormatting>
  <conditionalFormatting sqref="C89">
    <cfRule type="cellIs" dxfId="4022" priority="2239" stopIfTrue="1" operator="equal">
      <formula>"Towel"</formula>
    </cfRule>
    <cfRule type="cellIs" dxfId="4021" priority="2240" stopIfTrue="1" operator="equal">
      <formula>"Napkin Hs"</formula>
    </cfRule>
  </conditionalFormatting>
  <conditionalFormatting sqref="C89">
    <cfRule type="cellIs" dxfId="4020" priority="2241" stopIfTrue="1" operator="equal">
      <formula>"Towel"</formula>
    </cfRule>
  </conditionalFormatting>
  <conditionalFormatting sqref="B89:C89">
    <cfRule type="cellIs" dxfId="4019" priority="2237" stopIfTrue="1" operator="equal">
      <formula>"Towel"</formula>
    </cfRule>
    <cfRule type="cellIs" dxfId="4018" priority="2238" stopIfTrue="1" operator="equal">
      <formula>"Napkin Hs"</formula>
    </cfRule>
  </conditionalFormatting>
  <conditionalFormatting sqref="C89">
    <cfRule type="cellIs" dxfId="4017" priority="2236" stopIfTrue="1" operator="equal">
      <formula>"Napkin Hs"</formula>
    </cfRule>
  </conditionalFormatting>
  <conditionalFormatting sqref="C89">
    <cfRule type="cellIs" dxfId="4016" priority="2235" stopIfTrue="1" operator="equal">
      <formula>"Towel"</formula>
    </cfRule>
  </conditionalFormatting>
  <conditionalFormatting sqref="C89">
    <cfRule type="cellIs" dxfId="4015" priority="2233" stopIfTrue="1" operator="equal">
      <formula>"Towel"</formula>
    </cfRule>
    <cfRule type="cellIs" dxfId="4014" priority="2234" stopIfTrue="1" operator="equal">
      <formula>"Napkin Hs"</formula>
    </cfRule>
  </conditionalFormatting>
  <conditionalFormatting sqref="B89:C89">
    <cfRule type="cellIs" dxfId="4013" priority="2231" stopIfTrue="1" operator="equal">
      <formula>"Towel"</formula>
    </cfRule>
    <cfRule type="cellIs" dxfId="4012" priority="2232" stopIfTrue="1" operator="equal">
      <formula>"Napkin Hs"</formula>
    </cfRule>
  </conditionalFormatting>
  <conditionalFormatting sqref="C89">
    <cfRule type="cellIs" dxfId="4011" priority="2230" stopIfTrue="1" operator="equal">
      <formula>"Napkin Hs"</formula>
    </cfRule>
  </conditionalFormatting>
  <conditionalFormatting sqref="C89">
    <cfRule type="cellIs" dxfId="4010" priority="2227" stopIfTrue="1" operator="equal">
      <formula>"Towel"</formula>
    </cfRule>
    <cfRule type="cellIs" dxfId="4009" priority="2228" stopIfTrue="1" operator="equal">
      <formula>"Napkin Hs"</formula>
    </cfRule>
  </conditionalFormatting>
  <conditionalFormatting sqref="C89">
    <cfRule type="cellIs" dxfId="4008" priority="2229" stopIfTrue="1" operator="equal">
      <formula>"Towel"</formula>
    </cfRule>
  </conditionalFormatting>
  <conditionalFormatting sqref="B89:C89">
    <cfRule type="cellIs" dxfId="4007" priority="2225" stopIfTrue="1" operator="equal">
      <formula>"Towel"</formula>
    </cfRule>
    <cfRule type="cellIs" dxfId="4006" priority="2226" stopIfTrue="1" operator="equal">
      <formula>"Napkin Hs"</formula>
    </cfRule>
  </conditionalFormatting>
  <conditionalFormatting sqref="C89">
    <cfRule type="cellIs" dxfId="4005" priority="2224" stopIfTrue="1" operator="equal">
      <formula>"Napkin Hs"</formula>
    </cfRule>
  </conditionalFormatting>
  <conditionalFormatting sqref="C89">
    <cfRule type="cellIs" dxfId="4004" priority="2221" stopIfTrue="1" operator="equal">
      <formula>"Towel"</formula>
    </cfRule>
    <cfRule type="cellIs" dxfId="4003" priority="2222" stopIfTrue="1" operator="equal">
      <formula>"Napkin Hs"</formula>
    </cfRule>
  </conditionalFormatting>
  <conditionalFormatting sqref="C89">
    <cfRule type="cellIs" dxfId="4002" priority="2223" stopIfTrue="1" operator="equal">
      <formula>"Towel"</formula>
    </cfRule>
  </conditionalFormatting>
  <conditionalFormatting sqref="B89:C89">
    <cfRule type="cellIs" dxfId="4001" priority="2219" stopIfTrue="1" operator="equal">
      <formula>"Towel"</formula>
    </cfRule>
    <cfRule type="cellIs" dxfId="4000" priority="2220" stopIfTrue="1" operator="equal">
      <formula>"Napkin Hs"</formula>
    </cfRule>
  </conditionalFormatting>
  <conditionalFormatting sqref="C89">
    <cfRule type="cellIs" dxfId="3999" priority="2218" stopIfTrue="1" operator="equal">
      <formula>"Napkin Hs"</formula>
    </cfRule>
  </conditionalFormatting>
  <conditionalFormatting sqref="C89">
    <cfRule type="cellIs" dxfId="3998" priority="2215" stopIfTrue="1" operator="equal">
      <formula>"Towel"</formula>
    </cfRule>
    <cfRule type="cellIs" dxfId="3997" priority="2216" stopIfTrue="1" operator="equal">
      <formula>"Napkin Hs"</formula>
    </cfRule>
  </conditionalFormatting>
  <conditionalFormatting sqref="C89">
    <cfRule type="cellIs" dxfId="3996" priority="2217" stopIfTrue="1" operator="equal">
      <formula>"Towel"</formula>
    </cfRule>
  </conditionalFormatting>
  <conditionalFormatting sqref="B89:C89">
    <cfRule type="cellIs" dxfId="3995" priority="2213" stopIfTrue="1" operator="equal">
      <formula>"Towel"</formula>
    </cfRule>
    <cfRule type="cellIs" dxfId="3994" priority="2214" stopIfTrue="1" operator="equal">
      <formula>"Napkin Hs"</formula>
    </cfRule>
  </conditionalFormatting>
  <conditionalFormatting sqref="C89">
    <cfRule type="cellIs" dxfId="3993" priority="2212" stopIfTrue="1" operator="equal">
      <formula>"Napkin Hs"</formula>
    </cfRule>
  </conditionalFormatting>
  <conditionalFormatting sqref="C89">
    <cfRule type="cellIs" dxfId="3992" priority="2209" stopIfTrue="1" operator="equal">
      <formula>"Towel"</formula>
    </cfRule>
    <cfRule type="cellIs" dxfId="3991" priority="2210" stopIfTrue="1" operator="equal">
      <formula>"Napkin Hs"</formula>
    </cfRule>
  </conditionalFormatting>
  <conditionalFormatting sqref="C89">
    <cfRule type="cellIs" dxfId="3990" priority="2211" stopIfTrue="1" operator="equal">
      <formula>"Towel"</formula>
    </cfRule>
  </conditionalFormatting>
  <conditionalFormatting sqref="B89:C89">
    <cfRule type="cellIs" dxfId="3989" priority="2207" stopIfTrue="1" operator="equal">
      <formula>"Towel"</formula>
    </cfRule>
    <cfRule type="cellIs" dxfId="3988" priority="2208" stopIfTrue="1" operator="equal">
      <formula>"Napkin Hs"</formula>
    </cfRule>
  </conditionalFormatting>
  <conditionalFormatting sqref="C89">
    <cfRule type="cellIs" dxfId="3987" priority="2206" stopIfTrue="1" operator="equal">
      <formula>"Napkin Hs"</formula>
    </cfRule>
  </conditionalFormatting>
  <conditionalFormatting sqref="C89">
    <cfRule type="cellIs" dxfId="3986" priority="2203" stopIfTrue="1" operator="equal">
      <formula>"Towel"</formula>
    </cfRule>
    <cfRule type="cellIs" dxfId="3985" priority="2204" stopIfTrue="1" operator="equal">
      <formula>"Napkin Hs"</formula>
    </cfRule>
  </conditionalFormatting>
  <conditionalFormatting sqref="C89">
    <cfRule type="cellIs" dxfId="3984" priority="2205" stopIfTrue="1" operator="equal">
      <formula>"Towel"</formula>
    </cfRule>
  </conditionalFormatting>
  <conditionalFormatting sqref="B89:C89">
    <cfRule type="cellIs" dxfId="3983" priority="2201" stopIfTrue="1" operator="equal">
      <formula>"Towel"</formula>
    </cfRule>
    <cfRule type="cellIs" dxfId="3982" priority="2202" stopIfTrue="1" operator="equal">
      <formula>"Napkin Hs"</formula>
    </cfRule>
  </conditionalFormatting>
  <conditionalFormatting sqref="C89">
    <cfRule type="cellIs" dxfId="3981" priority="2200" stopIfTrue="1" operator="equal">
      <formula>"Napkin Hs"</formula>
    </cfRule>
  </conditionalFormatting>
  <conditionalFormatting sqref="C89">
    <cfRule type="cellIs" dxfId="3980" priority="2197" stopIfTrue="1" operator="equal">
      <formula>"Towel"</formula>
    </cfRule>
    <cfRule type="cellIs" dxfId="3979" priority="2198" stopIfTrue="1" operator="equal">
      <formula>"Napkin Hs"</formula>
    </cfRule>
  </conditionalFormatting>
  <conditionalFormatting sqref="C89">
    <cfRule type="cellIs" dxfId="3978" priority="2199" stopIfTrue="1" operator="equal">
      <formula>"Towel"</formula>
    </cfRule>
  </conditionalFormatting>
  <conditionalFormatting sqref="B89:C89">
    <cfRule type="cellIs" dxfId="3977" priority="2195" stopIfTrue="1" operator="equal">
      <formula>"Towel"</formula>
    </cfRule>
    <cfRule type="cellIs" dxfId="3976" priority="2196" stopIfTrue="1" operator="equal">
      <formula>"Napkin Hs"</formula>
    </cfRule>
  </conditionalFormatting>
  <conditionalFormatting sqref="C89">
    <cfRule type="cellIs" dxfId="3975" priority="2194" stopIfTrue="1" operator="equal">
      <formula>"Napkin Hs"</formula>
    </cfRule>
  </conditionalFormatting>
  <conditionalFormatting sqref="C89">
    <cfRule type="cellIs" dxfId="3974" priority="2191" stopIfTrue="1" operator="equal">
      <formula>"Towel"</formula>
    </cfRule>
    <cfRule type="cellIs" dxfId="3973" priority="2192" stopIfTrue="1" operator="equal">
      <formula>"Napkin Hs"</formula>
    </cfRule>
  </conditionalFormatting>
  <conditionalFormatting sqref="C89">
    <cfRule type="cellIs" dxfId="3972" priority="2193" stopIfTrue="1" operator="equal">
      <formula>"Towel"</formula>
    </cfRule>
  </conditionalFormatting>
  <conditionalFormatting sqref="B89:C89">
    <cfRule type="cellIs" dxfId="3971" priority="2189" stopIfTrue="1" operator="equal">
      <formula>"Towel"</formula>
    </cfRule>
    <cfRule type="cellIs" dxfId="3970" priority="2190" stopIfTrue="1" operator="equal">
      <formula>"Napkin Hs"</formula>
    </cfRule>
  </conditionalFormatting>
  <conditionalFormatting sqref="C89">
    <cfRule type="cellIs" dxfId="3969" priority="2188" stopIfTrue="1" operator="equal">
      <formula>"Napkin Hs"</formula>
    </cfRule>
  </conditionalFormatting>
  <conditionalFormatting sqref="C89">
    <cfRule type="cellIs" dxfId="3968" priority="2185" stopIfTrue="1" operator="equal">
      <formula>"Towel"</formula>
    </cfRule>
    <cfRule type="cellIs" dxfId="3967" priority="2186" stopIfTrue="1" operator="equal">
      <formula>"Napkin Hs"</formula>
    </cfRule>
  </conditionalFormatting>
  <conditionalFormatting sqref="C89">
    <cfRule type="cellIs" dxfId="3966" priority="2187" stopIfTrue="1" operator="equal">
      <formula>"Towel"</formula>
    </cfRule>
  </conditionalFormatting>
  <conditionalFormatting sqref="B89:C89">
    <cfRule type="cellIs" dxfId="3965" priority="2183" stopIfTrue="1" operator="equal">
      <formula>"Towel"</formula>
    </cfRule>
    <cfRule type="cellIs" dxfId="3964" priority="2184" stopIfTrue="1" operator="equal">
      <formula>"Napkin Hs"</formula>
    </cfRule>
  </conditionalFormatting>
  <conditionalFormatting sqref="C89">
    <cfRule type="cellIs" dxfId="3963" priority="2182" stopIfTrue="1" operator="equal">
      <formula>"Napkin Hs"</formula>
    </cfRule>
  </conditionalFormatting>
  <conditionalFormatting sqref="C89">
    <cfRule type="cellIs" dxfId="3962" priority="2179" stopIfTrue="1" operator="equal">
      <formula>"Towel"</formula>
    </cfRule>
    <cfRule type="cellIs" dxfId="3961" priority="2180" stopIfTrue="1" operator="equal">
      <formula>"Napkin Hs"</formula>
    </cfRule>
  </conditionalFormatting>
  <conditionalFormatting sqref="C89">
    <cfRule type="cellIs" dxfId="3960" priority="2181" stopIfTrue="1" operator="equal">
      <formula>"Towel"</formula>
    </cfRule>
  </conditionalFormatting>
  <conditionalFormatting sqref="B89:C89">
    <cfRule type="cellIs" dxfId="3959" priority="2177" stopIfTrue="1" operator="equal">
      <formula>"Towel"</formula>
    </cfRule>
    <cfRule type="cellIs" dxfId="3958" priority="2178" stopIfTrue="1" operator="equal">
      <formula>"Napkin Hs"</formula>
    </cfRule>
  </conditionalFormatting>
  <conditionalFormatting sqref="C89">
    <cfRule type="cellIs" dxfId="3957" priority="2176" stopIfTrue="1" operator="equal">
      <formula>"Napkin Hs"</formula>
    </cfRule>
  </conditionalFormatting>
  <conditionalFormatting sqref="C89">
    <cfRule type="cellIs" dxfId="3956" priority="2173" stopIfTrue="1" operator="equal">
      <formula>"Towel"</formula>
    </cfRule>
    <cfRule type="cellIs" dxfId="3955" priority="2174" stopIfTrue="1" operator="equal">
      <formula>"Napkin Hs"</formula>
    </cfRule>
  </conditionalFormatting>
  <conditionalFormatting sqref="C89">
    <cfRule type="cellIs" dxfId="3954" priority="2175" stopIfTrue="1" operator="equal">
      <formula>"Towel"</formula>
    </cfRule>
  </conditionalFormatting>
  <conditionalFormatting sqref="B89:C89">
    <cfRule type="cellIs" dxfId="3953" priority="2171" stopIfTrue="1" operator="equal">
      <formula>"Towel"</formula>
    </cfRule>
    <cfRule type="cellIs" dxfId="3952" priority="2172" stopIfTrue="1" operator="equal">
      <formula>"Napkin Hs"</formula>
    </cfRule>
  </conditionalFormatting>
  <conditionalFormatting sqref="C89">
    <cfRule type="cellIs" dxfId="3951" priority="2170" stopIfTrue="1" operator="equal">
      <formula>"Napkin Hs"</formula>
    </cfRule>
  </conditionalFormatting>
  <conditionalFormatting sqref="C89">
    <cfRule type="cellIs" dxfId="3950" priority="2169" stopIfTrue="1" operator="equal">
      <formula>"Towel"</formula>
    </cfRule>
  </conditionalFormatting>
  <conditionalFormatting sqref="C89">
    <cfRule type="cellIs" dxfId="3949" priority="2167" stopIfTrue="1" operator="equal">
      <formula>"Towel"</formula>
    </cfRule>
    <cfRule type="cellIs" dxfId="3948" priority="2168" stopIfTrue="1" operator="equal">
      <formula>"Napkin Hs"</formula>
    </cfRule>
  </conditionalFormatting>
  <conditionalFormatting sqref="B89:C89">
    <cfRule type="cellIs" dxfId="3947" priority="2165" stopIfTrue="1" operator="equal">
      <formula>"Towel"</formula>
    </cfRule>
    <cfRule type="cellIs" dxfId="3946" priority="2166" stopIfTrue="1" operator="equal">
      <formula>"Napkin Hs"</formula>
    </cfRule>
  </conditionalFormatting>
  <conditionalFormatting sqref="C89">
    <cfRule type="cellIs" dxfId="3945" priority="2164" stopIfTrue="1" operator="equal">
      <formula>"Napkin Hs"</formula>
    </cfRule>
  </conditionalFormatting>
  <conditionalFormatting sqref="C89">
    <cfRule type="cellIs" dxfId="3944" priority="2161" stopIfTrue="1" operator="equal">
      <formula>"Towel"</formula>
    </cfRule>
    <cfRule type="cellIs" dxfId="3943" priority="2162" stopIfTrue="1" operator="equal">
      <formula>"Napkin Hs"</formula>
    </cfRule>
  </conditionalFormatting>
  <conditionalFormatting sqref="C89">
    <cfRule type="cellIs" dxfId="3942" priority="2163" stopIfTrue="1" operator="equal">
      <formula>"Towel"</formula>
    </cfRule>
  </conditionalFormatting>
  <conditionalFormatting sqref="B89:C89">
    <cfRule type="cellIs" dxfId="3941" priority="2159" stopIfTrue="1" operator="equal">
      <formula>"Towel"</formula>
    </cfRule>
    <cfRule type="cellIs" dxfId="3940" priority="2160" stopIfTrue="1" operator="equal">
      <formula>"Napkin Hs"</formula>
    </cfRule>
  </conditionalFormatting>
  <conditionalFormatting sqref="C89">
    <cfRule type="cellIs" dxfId="3939" priority="2158" stopIfTrue="1" operator="equal">
      <formula>"Napkin Hs"</formula>
    </cfRule>
  </conditionalFormatting>
  <conditionalFormatting sqref="C89">
    <cfRule type="cellIs" dxfId="3938" priority="2155" stopIfTrue="1" operator="equal">
      <formula>"Towel"</formula>
    </cfRule>
    <cfRule type="cellIs" dxfId="3937" priority="2156" stopIfTrue="1" operator="equal">
      <formula>"Napkin Hs"</formula>
    </cfRule>
  </conditionalFormatting>
  <conditionalFormatting sqref="C89">
    <cfRule type="cellIs" dxfId="3936" priority="2157" stopIfTrue="1" operator="equal">
      <formula>"Towel"</formula>
    </cfRule>
  </conditionalFormatting>
  <conditionalFormatting sqref="B89:C89">
    <cfRule type="cellIs" dxfId="3935" priority="2153" stopIfTrue="1" operator="equal">
      <formula>"Towel"</formula>
    </cfRule>
    <cfRule type="cellIs" dxfId="3934" priority="2154" stopIfTrue="1" operator="equal">
      <formula>"Napkin Hs"</formula>
    </cfRule>
  </conditionalFormatting>
  <conditionalFormatting sqref="C89">
    <cfRule type="cellIs" dxfId="3933" priority="2152" stopIfTrue="1" operator="equal">
      <formula>"Napkin Hs"</formula>
    </cfRule>
  </conditionalFormatting>
  <conditionalFormatting sqref="C89">
    <cfRule type="cellIs" dxfId="3932" priority="2149" stopIfTrue="1" operator="equal">
      <formula>"Towel"</formula>
    </cfRule>
    <cfRule type="cellIs" dxfId="3931" priority="2150" stopIfTrue="1" operator="equal">
      <formula>"Napkin Hs"</formula>
    </cfRule>
  </conditionalFormatting>
  <conditionalFormatting sqref="C89">
    <cfRule type="cellIs" dxfId="3930" priority="2151" stopIfTrue="1" operator="equal">
      <formula>"Towel"</formula>
    </cfRule>
  </conditionalFormatting>
  <conditionalFormatting sqref="B89:C89">
    <cfRule type="cellIs" dxfId="3929" priority="2147" stopIfTrue="1" operator="equal">
      <formula>"Towel"</formula>
    </cfRule>
    <cfRule type="cellIs" dxfId="3928" priority="2148" stopIfTrue="1" operator="equal">
      <formula>"Napkin Hs"</formula>
    </cfRule>
  </conditionalFormatting>
  <conditionalFormatting sqref="C89">
    <cfRule type="cellIs" dxfId="3927" priority="2146" stopIfTrue="1" operator="equal">
      <formula>"Napkin Hs"</formula>
    </cfRule>
  </conditionalFormatting>
  <conditionalFormatting sqref="C89">
    <cfRule type="cellIs" dxfId="3926" priority="2143" stopIfTrue="1" operator="equal">
      <formula>"Towel"</formula>
    </cfRule>
    <cfRule type="cellIs" dxfId="3925" priority="2144" stopIfTrue="1" operator="equal">
      <formula>"Napkin Hs"</formula>
    </cfRule>
  </conditionalFormatting>
  <conditionalFormatting sqref="C89">
    <cfRule type="cellIs" dxfId="3924" priority="2145" stopIfTrue="1" operator="equal">
      <formula>"Towel"</formula>
    </cfRule>
  </conditionalFormatting>
  <conditionalFormatting sqref="B89:C89">
    <cfRule type="cellIs" dxfId="3923" priority="2141" stopIfTrue="1" operator="equal">
      <formula>"Towel"</formula>
    </cfRule>
    <cfRule type="cellIs" dxfId="3922" priority="2142" stopIfTrue="1" operator="equal">
      <formula>"Napkin Hs"</formula>
    </cfRule>
  </conditionalFormatting>
  <conditionalFormatting sqref="C89">
    <cfRule type="cellIs" dxfId="3921" priority="2140" stopIfTrue="1" operator="equal">
      <formula>"Napkin Hs"</formula>
    </cfRule>
  </conditionalFormatting>
  <conditionalFormatting sqref="C89">
    <cfRule type="cellIs" dxfId="3920" priority="2137" stopIfTrue="1" operator="equal">
      <formula>"Towel"</formula>
    </cfRule>
    <cfRule type="cellIs" dxfId="3919" priority="2138" stopIfTrue="1" operator="equal">
      <formula>"Napkin Hs"</formula>
    </cfRule>
  </conditionalFormatting>
  <conditionalFormatting sqref="C89">
    <cfRule type="cellIs" dxfId="3918" priority="2139" stopIfTrue="1" operator="equal">
      <formula>"Towel"</formula>
    </cfRule>
  </conditionalFormatting>
  <conditionalFormatting sqref="B89:C89">
    <cfRule type="cellIs" dxfId="3917" priority="2135" stopIfTrue="1" operator="equal">
      <formula>"Towel"</formula>
    </cfRule>
    <cfRule type="cellIs" dxfId="3916" priority="2136" stopIfTrue="1" operator="equal">
      <formula>"Napkin Hs"</formula>
    </cfRule>
  </conditionalFormatting>
  <conditionalFormatting sqref="C89">
    <cfRule type="cellIs" dxfId="3915" priority="2134" stopIfTrue="1" operator="equal">
      <formula>"Napkin Hs"</formula>
    </cfRule>
  </conditionalFormatting>
  <conditionalFormatting sqref="C89">
    <cfRule type="cellIs" dxfId="3914" priority="2131" stopIfTrue="1" operator="equal">
      <formula>"Towel"</formula>
    </cfRule>
    <cfRule type="cellIs" dxfId="3913" priority="2132" stopIfTrue="1" operator="equal">
      <formula>"Napkin Hs"</formula>
    </cfRule>
  </conditionalFormatting>
  <conditionalFormatting sqref="C89">
    <cfRule type="cellIs" dxfId="3912" priority="2133" stopIfTrue="1" operator="equal">
      <formula>"Towel"</formula>
    </cfRule>
  </conditionalFormatting>
  <conditionalFormatting sqref="B89:C89">
    <cfRule type="cellIs" dxfId="3911" priority="2129" stopIfTrue="1" operator="equal">
      <formula>"Towel"</formula>
    </cfRule>
    <cfRule type="cellIs" dxfId="3910" priority="2130" stopIfTrue="1" operator="equal">
      <formula>"Napkin Hs"</formula>
    </cfRule>
  </conditionalFormatting>
  <conditionalFormatting sqref="C89">
    <cfRule type="cellIs" dxfId="3909" priority="2128" stopIfTrue="1" operator="equal">
      <formula>"Napkin Hs"</formula>
    </cfRule>
  </conditionalFormatting>
  <conditionalFormatting sqref="C89">
    <cfRule type="cellIs" dxfId="3908" priority="2125" stopIfTrue="1" operator="equal">
      <formula>"Towel"</formula>
    </cfRule>
    <cfRule type="cellIs" dxfId="3907" priority="2126" stopIfTrue="1" operator="equal">
      <formula>"Napkin Hs"</formula>
    </cfRule>
  </conditionalFormatting>
  <conditionalFormatting sqref="C89">
    <cfRule type="cellIs" dxfId="3906" priority="2127" stopIfTrue="1" operator="equal">
      <formula>"Towel"</formula>
    </cfRule>
  </conditionalFormatting>
  <conditionalFormatting sqref="B89:C89">
    <cfRule type="cellIs" dxfId="3905" priority="2123" stopIfTrue="1" operator="equal">
      <formula>"Towel"</formula>
    </cfRule>
    <cfRule type="cellIs" dxfId="3904" priority="2124" stopIfTrue="1" operator="equal">
      <formula>"Napkin Hs"</formula>
    </cfRule>
  </conditionalFormatting>
  <conditionalFormatting sqref="C89">
    <cfRule type="cellIs" dxfId="3903" priority="2122" stopIfTrue="1" operator="equal">
      <formula>"Napkin Hs"</formula>
    </cfRule>
  </conditionalFormatting>
  <conditionalFormatting sqref="C89">
    <cfRule type="cellIs" dxfId="3902" priority="2119" stopIfTrue="1" operator="equal">
      <formula>"Towel"</formula>
    </cfRule>
    <cfRule type="cellIs" dxfId="3901" priority="2120" stopIfTrue="1" operator="equal">
      <formula>"Napkin Hs"</formula>
    </cfRule>
  </conditionalFormatting>
  <conditionalFormatting sqref="C89">
    <cfRule type="cellIs" dxfId="3900" priority="2121" stopIfTrue="1" operator="equal">
      <formula>"Towel"</formula>
    </cfRule>
  </conditionalFormatting>
  <conditionalFormatting sqref="B89:C89">
    <cfRule type="cellIs" dxfId="3899" priority="2117" stopIfTrue="1" operator="equal">
      <formula>"Towel"</formula>
    </cfRule>
    <cfRule type="cellIs" dxfId="3898" priority="2118" stopIfTrue="1" operator="equal">
      <formula>"Napkin Hs"</formula>
    </cfRule>
  </conditionalFormatting>
  <conditionalFormatting sqref="C89">
    <cfRule type="cellIs" dxfId="3897" priority="2116" stopIfTrue="1" operator="equal">
      <formula>"Napkin Hs"</formula>
    </cfRule>
  </conditionalFormatting>
  <conditionalFormatting sqref="C89">
    <cfRule type="cellIs" dxfId="3896" priority="2113" stopIfTrue="1" operator="equal">
      <formula>"Towel"</formula>
    </cfRule>
    <cfRule type="cellIs" dxfId="3895" priority="2114" stopIfTrue="1" operator="equal">
      <formula>"Napkin Hs"</formula>
    </cfRule>
  </conditionalFormatting>
  <conditionalFormatting sqref="C89">
    <cfRule type="cellIs" dxfId="3894" priority="2115" stopIfTrue="1" operator="equal">
      <formula>"Towel"</formula>
    </cfRule>
  </conditionalFormatting>
  <conditionalFormatting sqref="B87:C87">
    <cfRule type="cellIs" dxfId="3893" priority="2111" stopIfTrue="1" operator="equal">
      <formula>"Towel"</formula>
    </cfRule>
    <cfRule type="cellIs" dxfId="3892" priority="2112" stopIfTrue="1" operator="equal">
      <formula>"Napkin Hs"</formula>
    </cfRule>
  </conditionalFormatting>
  <conditionalFormatting sqref="C87">
    <cfRule type="cellIs" dxfId="3891" priority="2110" stopIfTrue="1" operator="equal">
      <formula>"Napkin Hs"</formula>
    </cfRule>
  </conditionalFormatting>
  <conditionalFormatting sqref="C87">
    <cfRule type="cellIs" dxfId="3890" priority="2107" stopIfTrue="1" operator="equal">
      <formula>"Towel"</formula>
    </cfRule>
    <cfRule type="cellIs" dxfId="3889" priority="2108" stopIfTrue="1" operator="equal">
      <formula>"Napkin Hs"</formula>
    </cfRule>
  </conditionalFormatting>
  <conditionalFormatting sqref="C87">
    <cfRule type="cellIs" dxfId="3888" priority="2109" stopIfTrue="1" operator="equal">
      <formula>"Towel"</formula>
    </cfRule>
  </conditionalFormatting>
  <conditionalFormatting sqref="B87:C87">
    <cfRule type="cellIs" dxfId="3887" priority="2105" stopIfTrue="1" operator="equal">
      <formula>"Towel"</formula>
    </cfRule>
    <cfRule type="cellIs" dxfId="3886" priority="2106" stopIfTrue="1" operator="equal">
      <formula>"Napkin Hs"</formula>
    </cfRule>
  </conditionalFormatting>
  <conditionalFormatting sqref="C87">
    <cfRule type="cellIs" dxfId="3885" priority="2104" stopIfTrue="1" operator="equal">
      <formula>"Napkin Hs"</formula>
    </cfRule>
  </conditionalFormatting>
  <conditionalFormatting sqref="C87">
    <cfRule type="cellIs" dxfId="3884" priority="2101" stopIfTrue="1" operator="equal">
      <formula>"Towel"</formula>
    </cfRule>
    <cfRule type="cellIs" dxfId="3883" priority="2102" stopIfTrue="1" operator="equal">
      <formula>"Napkin Hs"</formula>
    </cfRule>
  </conditionalFormatting>
  <conditionalFormatting sqref="C87">
    <cfRule type="cellIs" dxfId="3882" priority="2103" stopIfTrue="1" operator="equal">
      <formula>"Towel"</formula>
    </cfRule>
  </conditionalFormatting>
  <conditionalFormatting sqref="B87:C87">
    <cfRule type="cellIs" dxfId="3881" priority="2099" stopIfTrue="1" operator="equal">
      <formula>"Towel"</formula>
    </cfRule>
    <cfRule type="cellIs" dxfId="3880" priority="2100" stopIfTrue="1" operator="equal">
      <formula>"Napkin Hs"</formula>
    </cfRule>
  </conditionalFormatting>
  <conditionalFormatting sqref="C87">
    <cfRule type="cellIs" dxfId="3879" priority="2098" stopIfTrue="1" operator="equal">
      <formula>"Napkin Hs"</formula>
    </cfRule>
  </conditionalFormatting>
  <conditionalFormatting sqref="C87">
    <cfRule type="cellIs" dxfId="3878" priority="2095" stopIfTrue="1" operator="equal">
      <formula>"Towel"</formula>
    </cfRule>
    <cfRule type="cellIs" dxfId="3877" priority="2096" stopIfTrue="1" operator="equal">
      <formula>"Napkin Hs"</formula>
    </cfRule>
  </conditionalFormatting>
  <conditionalFormatting sqref="C87">
    <cfRule type="cellIs" dxfId="3876" priority="2097" stopIfTrue="1" operator="equal">
      <formula>"Towel"</formula>
    </cfRule>
  </conditionalFormatting>
  <conditionalFormatting sqref="B87:C87">
    <cfRule type="cellIs" dxfId="3875" priority="2093" stopIfTrue="1" operator="equal">
      <formula>"Towel"</formula>
    </cfRule>
    <cfRule type="cellIs" dxfId="3874" priority="2094" stopIfTrue="1" operator="equal">
      <formula>"Napkin Hs"</formula>
    </cfRule>
  </conditionalFormatting>
  <conditionalFormatting sqref="C87">
    <cfRule type="cellIs" dxfId="3873" priority="2089" stopIfTrue="1" operator="equal">
      <formula>"Towel"</formula>
    </cfRule>
    <cfRule type="cellIs" dxfId="3872" priority="2090" stopIfTrue="1" operator="equal">
      <formula>"Napkin Hs"</formula>
    </cfRule>
  </conditionalFormatting>
  <conditionalFormatting sqref="C87">
    <cfRule type="cellIs" dxfId="3871" priority="2091" stopIfTrue="1" operator="equal">
      <formula>"Towel"</formula>
    </cfRule>
    <cfRule type="cellIs" dxfId="3870" priority="2092" stopIfTrue="1" operator="equal">
      <formula>"Napkin Hs"</formula>
    </cfRule>
  </conditionalFormatting>
  <conditionalFormatting sqref="B87:C87">
    <cfRule type="cellIs" dxfId="3869" priority="2087" stopIfTrue="1" operator="equal">
      <formula>"Towel"</formula>
    </cfRule>
    <cfRule type="cellIs" dxfId="3868" priority="2088" stopIfTrue="1" operator="equal">
      <formula>"Napkin Hs"</formula>
    </cfRule>
  </conditionalFormatting>
  <conditionalFormatting sqref="C87">
    <cfRule type="cellIs" dxfId="3867" priority="2083" stopIfTrue="1" operator="equal">
      <formula>"Towel"</formula>
    </cfRule>
    <cfRule type="cellIs" dxfId="3866" priority="2084" stopIfTrue="1" operator="equal">
      <formula>"Napkin Hs"</formula>
    </cfRule>
  </conditionalFormatting>
  <conditionalFormatting sqref="C87">
    <cfRule type="cellIs" dxfId="3865" priority="2085" stopIfTrue="1" operator="equal">
      <formula>"Towel"</formula>
    </cfRule>
    <cfRule type="cellIs" dxfId="3864" priority="2086" stopIfTrue="1" operator="equal">
      <formula>"Napkin Hs"</formula>
    </cfRule>
  </conditionalFormatting>
  <conditionalFormatting sqref="B87:C87">
    <cfRule type="cellIs" dxfId="3863" priority="2079" stopIfTrue="1" operator="equal">
      <formula>"Towel"</formula>
    </cfRule>
    <cfRule type="cellIs" dxfId="3862" priority="2080" stopIfTrue="1" operator="equal">
      <formula>"Napkin Hs"</formula>
    </cfRule>
  </conditionalFormatting>
  <conditionalFormatting sqref="C87">
    <cfRule type="cellIs" dxfId="3861" priority="2081" stopIfTrue="1" operator="equal">
      <formula>"Towel"</formula>
    </cfRule>
    <cfRule type="cellIs" dxfId="3860" priority="2082" stopIfTrue="1" operator="equal">
      <formula>"Napkin Hs"</formula>
    </cfRule>
  </conditionalFormatting>
  <conditionalFormatting sqref="C87">
    <cfRule type="cellIs" dxfId="3859" priority="2077" stopIfTrue="1" operator="equal">
      <formula>"Towel"</formula>
    </cfRule>
    <cfRule type="cellIs" dxfId="3858" priority="2078" stopIfTrue="1" operator="equal">
      <formula>"Napkin Hs"</formula>
    </cfRule>
  </conditionalFormatting>
  <conditionalFormatting sqref="B87:C87">
    <cfRule type="cellIs" dxfId="3857" priority="2075" stopIfTrue="1" operator="equal">
      <formula>"Towel"</formula>
    </cfRule>
    <cfRule type="cellIs" dxfId="3856" priority="2076" stopIfTrue="1" operator="equal">
      <formula>"Napkin Hs"</formula>
    </cfRule>
  </conditionalFormatting>
  <conditionalFormatting sqref="C87">
    <cfRule type="cellIs" dxfId="3855" priority="2074" stopIfTrue="1" operator="equal">
      <formula>"Napkin Hs"</formula>
    </cfRule>
  </conditionalFormatting>
  <conditionalFormatting sqref="C87">
    <cfRule type="cellIs" dxfId="3854" priority="2071" stopIfTrue="1" operator="equal">
      <formula>"Towel"</formula>
    </cfRule>
    <cfRule type="cellIs" dxfId="3853" priority="2072" stopIfTrue="1" operator="equal">
      <formula>"Napkin Hs"</formula>
    </cfRule>
  </conditionalFormatting>
  <conditionalFormatting sqref="C87">
    <cfRule type="cellIs" dxfId="3852" priority="2073" stopIfTrue="1" operator="equal">
      <formula>"Towel"</formula>
    </cfRule>
  </conditionalFormatting>
  <conditionalFormatting sqref="B87:C87">
    <cfRule type="cellIs" dxfId="3851" priority="2069" stopIfTrue="1" operator="equal">
      <formula>"Towel"</formula>
    </cfRule>
    <cfRule type="cellIs" dxfId="3850" priority="2070" stopIfTrue="1" operator="equal">
      <formula>"Napkin Hs"</formula>
    </cfRule>
  </conditionalFormatting>
  <conditionalFormatting sqref="C87">
    <cfRule type="cellIs" dxfId="3849" priority="2065" stopIfTrue="1" operator="equal">
      <formula>"Towel"</formula>
    </cfRule>
    <cfRule type="cellIs" dxfId="3848" priority="2066" stopIfTrue="1" operator="equal">
      <formula>"Napkin Hs"</formula>
    </cfRule>
  </conditionalFormatting>
  <conditionalFormatting sqref="C87">
    <cfRule type="cellIs" dxfId="3847" priority="2067" stopIfTrue="1" operator="equal">
      <formula>"Towel"</formula>
    </cfRule>
    <cfRule type="cellIs" dxfId="3846" priority="2068" stopIfTrue="1" operator="equal">
      <formula>"Napkin Hs"</formula>
    </cfRule>
  </conditionalFormatting>
  <conditionalFormatting sqref="B87:C87">
    <cfRule type="cellIs" dxfId="3845" priority="2063" stopIfTrue="1" operator="equal">
      <formula>"Towel"</formula>
    </cfRule>
    <cfRule type="cellIs" dxfId="3844" priority="2064" stopIfTrue="1" operator="equal">
      <formula>"Napkin Hs"</formula>
    </cfRule>
  </conditionalFormatting>
  <conditionalFormatting sqref="C87">
    <cfRule type="cellIs" dxfId="3843" priority="2062" stopIfTrue="1" operator="equal">
      <formula>"Napkin Hs"</formula>
    </cfRule>
  </conditionalFormatting>
  <conditionalFormatting sqref="C87">
    <cfRule type="cellIs" dxfId="3842" priority="2059" stopIfTrue="1" operator="equal">
      <formula>"Towel"</formula>
    </cfRule>
    <cfRule type="cellIs" dxfId="3841" priority="2060" stopIfTrue="1" operator="equal">
      <formula>"Napkin Hs"</formula>
    </cfRule>
  </conditionalFormatting>
  <conditionalFormatting sqref="C87">
    <cfRule type="cellIs" dxfId="3840" priority="2061" stopIfTrue="1" operator="equal">
      <formula>"Towel"</formula>
    </cfRule>
  </conditionalFormatting>
  <conditionalFormatting sqref="B87:C87">
    <cfRule type="cellIs" dxfId="3839" priority="2057" stopIfTrue="1" operator="equal">
      <formula>"Towel"</formula>
    </cfRule>
    <cfRule type="cellIs" dxfId="3838" priority="2058" stopIfTrue="1" operator="equal">
      <formula>"Napkin Hs"</formula>
    </cfRule>
  </conditionalFormatting>
  <conditionalFormatting sqref="C87">
    <cfRule type="cellIs" dxfId="3837" priority="2055" stopIfTrue="1" operator="equal">
      <formula>"Towel"</formula>
    </cfRule>
    <cfRule type="cellIs" dxfId="3836" priority="2056" stopIfTrue="1" operator="equal">
      <formula>"Napkin Hs"</formula>
    </cfRule>
  </conditionalFormatting>
  <conditionalFormatting sqref="C87">
    <cfRule type="cellIs" dxfId="3835" priority="2053" stopIfTrue="1" operator="equal">
      <formula>"Towel"</formula>
    </cfRule>
    <cfRule type="cellIs" dxfId="3834" priority="2054" stopIfTrue="1" operator="equal">
      <formula>"Napkin Hs"</formula>
    </cfRule>
  </conditionalFormatting>
  <conditionalFormatting sqref="B87:C87">
    <cfRule type="cellIs" dxfId="3833" priority="2051" stopIfTrue="1" operator="equal">
      <formula>"Towel"</formula>
    </cfRule>
    <cfRule type="cellIs" dxfId="3832" priority="2052" stopIfTrue="1" operator="equal">
      <formula>"Napkin Hs"</formula>
    </cfRule>
  </conditionalFormatting>
  <conditionalFormatting sqref="C87">
    <cfRule type="cellIs" dxfId="3831" priority="2050" stopIfTrue="1" operator="equal">
      <formula>"Napkin Hs"</formula>
    </cfRule>
  </conditionalFormatting>
  <conditionalFormatting sqref="C87">
    <cfRule type="cellIs" dxfId="3830" priority="2047" stopIfTrue="1" operator="equal">
      <formula>"Towel"</formula>
    </cfRule>
    <cfRule type="cellIs" dxfId="3829" priority="2048" stopIfTrue="1" operator="equal">
      <formula>"Napkin Hs"</formula>
    </cfRule>
  </conditionalFormatting>
  <conditionalFormatting sqref="C87">
    <cfRule type="cellIs" dxfId="3828" priority="2049" stopIfTrue="1" operator="equal">
      <formula>"Towel"</formula>
    </cfRule>
  </conditionalFormatting>
  <conditionalFormatting sqref="B87:C87">
    <cfRule type="cellIs" dxfId="3827" priority="2045" stopIfTrue="1" operator="equal">
      <formula>"Towel"</formula>
    </cfRule>
    <cfRule type="cellIs" dxfId="3826" priority="2046" stopIfTrue="1" operator="equal">
      <formula>"Napkin Hs"</formula>
    </cfRule>
  </conditionalFormatting>
  <conditionalFormatting sqref="C87">
    <cfRule type="cellIs" dxfId="3825" priority="2044" stopIfTrue="1" operator="equal">
      <formula>"Napkin Hs"</formula>
    </cfRule>
  </conditionalFormatting>
  <conditionalFormatting sqref="C87">
    <cfRule type="cellIs" dxfId="3824" priority="2043" stopIfTrue="1" operator="equal">
      <formula>"Towel"</formula>
    </cfRule>
  </conditionalFormatting>
  <conditionalFormatting sqref="C87">
    <cfRule type="cellIs" dxfId="3823" priority="2041" stopIfTrue="1" operator="equal">
      <formula>"Towel"</formula>
    </cfRule>
    <cfRule type="cellIs" dxfId="3822" priority="2042" stopIfTrue="1" operator="equal">
      <formula>"Napkin Hs"</formula>
    </cfRule>
  </conditionalFormatting>
  <conditionalFormatting sqref="B87:C87">
    <cfRule type="cellIs" dxfId="3821" priority="2039" stopIfTrue="1" operator="equal">
      <formula>"Towel"</formula>
    </cfRule>
    <cfRule type="cellIs" dxfId="3820" priority="2040" stopIfTrue="1" operator="equal">
      <formula>"Napkin Hs"</formula>
    </cfRule>
  </conditionalFormatting>
  <conditionalFormatting sqref="C87">
    <cfRule type="cellIs" dxfId="3819" priority="2038" stopIfTrue="1" operator="equal">
      <formula>"Napkin Hs"</formula>
    </cfRule>
  </conditionalFormatting>
  <conditionalFormatting sqref="C87">
    <cfRule type="cellIs" dxfId="3818" priority="2035" stopIfTrue="1" operator="equal">
      <formula>"Towel"</formula>
    </cfRule>
    <cfRule type="cellIs" dxfId="3817" priority="2036" stopIfTrue="1" operator="equal">
      <formula>"Napkin Hs"</formula>
    </cfRule>
  </conditionalFormatting>
  <conditionalFormatting sqref="C87">
    <cfRule type="cellIs" dxfId="3816" priority="2037" stopIfTrue="1" operator="equal">
      <formula>"Towel"</formula>
    </cfRule>
  </conditionalFormatting>
  <conditionalFormatting sqref="B87:C87">
    <cfRule type="cellIs" dxfId="3815" priority="2033" stopIfTrue="1" operator="equal">
      <formula>"Towel"</formula>
    </cfRule>
    <cfRule type="cellIs" dxfId="3814" priority="2034" stopIfTrue="1" operator="equal">
      <formula>"Napkin Hs"</formula>
    </cfRule>
  </conditionalFormatting>
  <conditionalFormatting sqref="C87">
    <cfRule type="cellIs" dxfId="3813" priority="2032" stopIfTrue="1" operator="equal">
      <formula>"Napkin Hs"</formula>
    </cfRule>
  </conditionalFormatting>
  <conditionalFormatting sqref="C87">
    <cfRule type="cellIs" dxfId="3812" priority="2029" stopIfTrue="1" operator="equal">
      <formula>"Towel"</formula>
    </cfRule>
    <cfRule type="cellIs" dxfId="3811" priority="2030" stopIfTrue="1" operator="equal">
      <formula>"Napkin Hs"</formula>
    </cfRule>
  </conditionalFormatting>
  <conditionalFormatting sqref="C87">
    <cfRule type="cellIs" dxfId="3810" priority="2031" stopIfTrue="1" operator="equal">
      <formula>"Towel"</formula>
    </cfRule>
  </conditionalFormatting>
  <conditionalFormatting sqref="B87:C87">
    <cfRule type="cellIs" dxfId="3809" priority="2027" stopIfTrue="1" operator="equal">
      <formula>"Towel"</formula>
    </cfRule>
    <cfRule type="cellIs" dxfId="3808" priority="2028" stopIfTrue="1" operator="equal">
      <formula>"Napkin Hs"</formula>
    </cfRule>
  </conditionalFormatting>
  <conditionalFormatting sqref="C87">
    <cfRule type="cellIs" dxfId="3807" priority="2026" stopIfTrue="1" operator="equal">
      <formula>"Napkin Hs"</formula>
    </cfRule>
  </conditionalFormatting>
  <conditionalFormatting sqref="C87">
    <cfRule type="cellIs" dxfId="3806" priority="2023" stopIfTrue="1" operator="equal">
      <formula>"Towel"</formula>
    </cfRule>
    <cfRule type="cellIs" dxfId="3805" priority="2024" stopIfTrue="1" operator="equal">
      <formula>"Napkin Hs"</formula>
    </cfRule>
  </conditionalFormatting>
  <conditionalFormatting sqref="C87">
    <cfRule type="cellIs" dxfId="3804" priority="2025" stopIfTrue="1" operator="equal">
      <formula>"Towel"</formula>
    </cfRule>
  </conditionalFormatting>
  <conditionalFormatting sqref="B87:C87">
    <cfRule type="cellIs" dxfId="3803" priority="2021" stopIfTrue="1" operator="equal">
      <formula>"Towel"</formula>
    </cfRule>
    <cfRule type="cellIs" dxfId="3802" priority="2022" stopIfTrue="1" operator="equal">
      <formula>"Napkin Hs"</formula>
    </cfRule>
  </conditionalFormatting>
  <conditionalFormatting sqref="C87">
    <cfRule type="cellIs" dxfId="3801" priority="2020" stopIfTrue="1" operator="equal">
      <formula>"Napkin Hs"</formula>
    </cfRule>
  </conditionalFormatting>
  <conditionalFormatting sqref="C87">
    <cfRule type="cellIs" dxfId="3800" priority="2017" stopIfTrue="1" operator="equal">
      <formula>"Towel"</formula>
    </cfRule>
    <cfRule type="cellIs" dxfId="3799" priority="2018" stopIfTrue="1" operator="equal">
      <formula>"Napkin Hs"</formula>
    </cfRule>
  </conditionalFormatting>
  <conditionalFormatting sqref="C87">
    <cfRule type="cellIs" dxfId="3798" priority="2019" stopIfTrue="1" operator="equal">
      <formula>"Towel"</formula>
    </cfRule>
  </conditionalFormatting>
  <conditionalFormatting sqref="B87:C87">
    <cfRule type="cellIs" dxfId="3797" priority="2015" stopIfTrue="1" operator="equal">
      <formula>"Towel"</formula>
    </cfRule>
    <cfRule type="cellIs" dxfId="3796" priority="2016" stopIfTrue="1" operator="equal">
      <formula>"Napkin Hs"</formula>
    </cfRule>
  </conditionalFormatting>
  <conditionalFormatting sqref="C87">
    <cfRule type="cellIs" dxfId="3795" priority="2014" stopIfTrue="1" operator="equal">
      <formula>"Napkin Hs"</formula>
    </cfRule>
  </conditionalFormatting>
  <conditionalFormatting sqref="C87">
    <cfRule type="cellIs" dxfId="3794" priority="2011" stopIfTrue="1" operator="equal">
      <formula>"Towel"</formula>
    </cfRule>
    <cfRule type="cellIs" dxfId="3793" priority="2012" stopIfTrue="1" operator="equal">
      <formula>"Napkin Hs"</formula>
    </cfRule>
  </conditionalFormatting>
  <conditionalFormatting sqref="C87">
    <cfRule type="cellIs" dxfId="3792" priority="2013" stopIfTrue="1" operator="equal">
      <formula>"Towel"</formula>
    </cfRule>
  </conditionalFormatting>
  <conditionalFormatting sqref="B87:C87">
    <cfRule type="cellIs" dxfId="3791" priority="2009" stopIfTrue="1" operator="equal">
      <formula>"Towel"</formula>
    </cfRule>
    <cfRule type="cellIs" dxfId="3790" priority="2010" stopIfTrue="1" operator="equal">
      <formula>"Napkin Hs"</formula>
    </cfRule>
  </conditionalFormatting>
  <conditionalFormatting sqref="C87">
    <cfRule type="cellIs" dxfId="3789" priority="2008" stopIfTrue="1" operator="equal">
      <formula>"Napkin Hs"</formula>
    </cfRule>
  </conditionalFormatting>
  <conditionalFormatting sqref="C87">
    <cfRule type="cellIs" dxfId="3788" priority="2005" stopIfTrue="1" operator="equal">
      <formula>"Towel"</formula>
    </cfRule>
    <cfRule type="cellIs" dxfId="3787" priority="2006" stopIfTrue="1" operator="equal">
      <formula>"Napkin Hs"</formula>
    </cfRule>
  </conditionalFormatting>
  <conditionalFormatting sqref="C87">
    <cfRule type="cellIs" dxfId="3786" priority="2007" stopIfTrue="1" operator="equal">
      <formula>"Towel"</formula>
    </cfRule>
  </conditionalFormatting>
  <conditionalFormatting sqref="B87:C87">
    <cfRule type="cellIs" dxfId="3785" priority="2003" stopIfTrue="1" operator="equal">
      <formula>"Towel"</formula>
    </cfRule>
    <cfRule type="cellIs" dxfId="3784" priority="2004" stopIfTrue="1" operator="equal">
      <formula>"Napkin Hs"</formula>
    </cfRule>
  </conditionalFormatting>
  <conditionalFormatting sqref="C87">
    <cfRule type="cellIs" dxfId="3783" priority="2002" stopIfTrue="1" operator="equal">
      <formula>"Napkin Hs"</formula>
    </cfRule>
  </conditionalFormatting>
  <conditionalFormatting sqref="C87">
    <cfRule type="cellIs" dxfId="3782" priority="1999" stopIfTrue="1" operator="equal">
      <formula>"Towel"</formula>
    </cfRule>
    <cfRule type="cellIs" dxfId="3781" priority="2000" stopIfTrue="1" operator="equal">
      <formula>"Napkin Hs"</formula>
    </cfRule>
  </conditionalFormatting>
  <conditionalFormatting sqref="C87">
    <cfRule type="cellIs" dxfId="3780" priority="2001" stopIfTrue="1" operator="equal">
      <formula>"Towel"</formula>
    </cfRule>
  </conditionalFormatting>
  <conditionalFormatting sqref="B87:C87">
    <cfRule type="cellIs" dxfId="3779" priority="1997" stopIfTrue="1" operator="equal">
      <formula>"Towel"</formula>
    </cfRule>
    <cfRule type="cellIs" dxfId="3778" priority="1998" stopIfTrue="1" operator="equal">
      <formula>"Napkin Hs"</formula>
    </cfRule>
  </conditionalFormatting>
  <conditionalFormatting sqref="C87">
    <cfRule type="cellIs" dxfId="3777" priority="1996" stopIfTrue="1" operator="equal">
      <formula>"Napkin Hs"</formula>
    </cfRule>
  </conditionalFormatting>
  <conditionalFormatting sqref="C87">
    <cfRule type="cellIs" dxfId="3776" priority="1993" stopIfTrue="1" operator="equal">
      <formula>"Towel"</formula>
    </cfRule>
    <cfRule type="cellIs" dxfId="3775" priority="1994" stopIfTrue="1" operator="equal">
      <formula>"Napkin Hs"</formula>
    </cfRule>
  </conditionalFormatting>
  <conditionalFormatting sqref="C87">
    <cfRule type="cellIs" dxfId="3774" priority="1995" stopIfTrue="1" operator="equal">
      <formula>"Towel"</formula>
    </cfRule>
  </conditionalFormatting>
  <conditionalFormatting sqref="B87:C87">
    <cfRule type="cellIs" dxfId="3773" priority="1991" stopIfTrue="1" operator="equal">
      <formula>"Towel"</formula>
    </cfRule>
    <cfRule type="cellIs" dxfId="3772" priority="1992" stopIfTrue="1" operator="equal">
      <formula>"Napkin Hs"</formula>
    </cfRule>
  </conditionalFormatting>
  <conditionalFormatting sqref="C87">
    <cfRule type="cellIs" dxfId="3771" priority="1990" stopIfTrue="1" operator="equal">
      <formula>"Napkin Hs"</formula>
    </cfRule>
  </conditionalFormatting>
  <conditionalFormatting sqref="C87">
    <cfRule type="cellIs" dxfId="3770" priority="1987" stopIfTrue="1" operator="equal">
      <formula>"Towel"</formula>
    </cfRule>
    <cfRule type="cellIs" dxfId="3769" priority="1988" stopIfTrue="1" operator="equal">
      <formula>"Napkin Hs"</formula>
    </cfRule>
  </conditionalFormatting>
  <conditionalFormatting sqref="C87">
    <cfRule type="cellIs" dxfId="3768" priority="1989" stopIfTrue="1" operator="equal">
      <formula>"Towel"</formula>
    </cfRule>
  </conditionalFormatting>
  <conditionalFormatting sqref="B87:C87">
    <cfRule type="cellIs" dxfId="3767" priority="1985" stopIfTrue="1" operator="equal">
      <formula>"Towel"</formula>
    </cfRule>
    <cfRule type="cellIs" dxfId="3766" priority="1986" stopIfTrue="1" operator="equal">
      <formula>"Napkin Hs"</formula>
    </cfRule>
  </conditionalFormatting>
  <conditionalFormatting sqref="C87">
    <cfRule type="cellIs" dxfId="3765" priority="1984" stopIfTrue="1" operator="equal">
      <formula>"Napkin Hs"</formula>
    </cfRule>
  </conditionalFormatting>
  <conditionalFormatting sqref="C87">
    <cfRule type="cellIs" dxfId="3764" priority="1981" stopIfTrue="1" operator="equal">
      <formula>"Towel"</formula>
    </cfRule>
    <cfRule type="cellIs" dxfId="3763" priority="1982" stopIfTrue="1" operator="equal">
      <formula>"Napkin Hs"</formula>
    </cfRule>
  </conditionalFormatting>
  <conditionalFormatting sqref="C87">
    <cfRule type="cellIs" dxfId="3762" priority="1983" stopIfTrue="1" operator="equal">
      <formula>"Towel"</formula>
    </cfRule>
  </conditionalFormatting>
  <conditionalFormatting sqref="B87:C87">
    <cfRule type="cellIs" dxfId="3761" priority="1979" stopIfTrue="1" operator="equal">
      <formula>"Towel"</formula>
    </cfRule>
    <cfRule type="cellIs" dxfId="3760" priority="1980" stopIfTrue="1" operator="equal">
      <formula>"Napkin Hs"</formula>
    </cfRule>
  </conditionalFormatting>
  <conditionalFormatting sqref="C87">
    <cfRule type="cellIs" dxfId="3759" priority="1978" stopIfTrue="1" operator="equal">
      <formula>"Napkin Hs"</formula>
    </cfRule>
  </conditionalFormatting>
  <conditionalFormatting sqref="C87">
    <cfRule type="cellIs" dxfId="3758" priority="1977" stopIfTrue="1" operator="equal">
      <formula>"Towel"</formula>
    </cfRule>
  </conditionalFormatting>
  <conditionalFormatting sqref="C87">
    <cfRule type="cellIs" dxfId="3757" priority="1975" stopIfTrue="1" operator="equal">
      <formula>"Towel"</formula>
    </cfRule>
    <cfRule type="cellIs" dxfId="3756" priority="1976" stopIfTrue="1" operator="equal">
      <formula>"Napkin Hs"</formula>
    </cfRule>
  </conditionalFormatting>
  <conditionalFormatting sqref="B87:C87">
    <cfRule type="cellIs" dxfId="3755" priority="1973" stopIfTrue="1" operator="equal">
      <formula>"Towel"</formula>
    </cfRule>
    <cfRule type="cellIs" dxfId="3754" priority="1974" stopIfTrue="1" operator="equal">
      <formula>"Napkin Hs"</formula>
    </cfRule>
  </conditionalFormatting>
  <conditionalFormatting sqref="C87">
    <cfRule type="cellIs" dxfId="3753" priority="1972" stopIfTrue="1" operator="equal">
      <formula>"Napkin Hs"</formula>
    </cfRule>
  </conditionalFormatting>
  <conditionalFormatting sqref="C87">
    <cfRule type="cellIs" dxfId="3752" priority="1969" stopIfTrue="1" operator="equal">
      <formula>"Towel"</formula>
    </cfRule>
    <cfRule type="cellIs" dxfId="3751" priority="1970" stopIfTrue="1" operator="equal">
      <formula>"Napkin Hs"</formula>
    </cfRule>
  </conditionalFormatting>
  <conditionalFormatting sqref="C87">
    <cfRule type="cellIs" dxfId="3750" priority="1971" stopIfTrue="1" operator="equal">
      <formula>"Towel"</formula>
    </cfRule>
  </conditionalFormatting>
  <conditionalFormatting sqref="B87:C87">
    <cfRule type="cellIs" dxfId="3749" priority="1967" stopIfTrue="1" operator="equal">
      <formula>"Towel"</formula>
    </cfRule>
    <cfRule type="cellIs" dxfId="3748" priority="1968" stopIfTrue="1" operator="equal">
      <formula>"Napkin Hs"</formula>
    </cfRule>
  </conditionalFormatting>
  <conditionalFormatting sqref="C87">
    <cfRule type="cellIs" dxfId="3747" priority="1966" stopIfTrue="1" operator="equal">
      <formula>"Napkin Hs"</formula>
    </cfRule>
  </conditionalFormatting>
  <conditionalFormatting sqref="C87">
    <cfRule type="cellIs" dxfId="3746" priority="1963" stopIfTrue="1" operator="equal">
      <formula>"Towel"</formula>
    </cfRule>
    <cfRule type="cellIs" dxfId="3745" priority="1964" stopIfTrue="1" operator="equal">
      <formula>"Napkin Hs"</formula>
    </cfRule>
  </conditionalFormatting>
  <conditionalFormatting sqref="C87">
    <cfRule type="cellIs" dxfId="3744" priority="1965" stopIfTrue="1" operator="equal">
      <formula>"Towel"</formula>
    </cfRule>
  </conditionalFormatting>
  <conditionalFormatting sqref="B87:C87">
    <cfRule type="cellIs" dxfId="3743" priority="1961" stopIfTrue="1" operator="equal">
      <formula>"Towel"</formula>
    </cfRule>
    <cfRule type="cellIs" dxfId="3742" priority="1962" stopIfTrue="1" operator="equal">
      <formula>"Napkin Hs"</formula>
    </cfRule>
  </conditionalFormatting>
  <conditionalFormatting sqref="C87">
    <cfRule type="cellIs" dxfId="3741" priority="1960" stopIfTrue="1" operator="equal">
      <formula>"Napkin Hs"</formula>
    </cfRule>
  </conditionalFormatting>
  <conditionalFormatting sqref="C87">
    <cfRule type="cellIs" dxfId="3740" priority="1957" stopIfTrue="1" operator="equal">
      <formula>"Towel"</formula>
    </cfRule>
    <cfRule type="cellIs" dxfId="3739" priority="1958" stopIfTrue="1" operator="equal">
      <formula>"Napkin Hs"</formula>
    </cfRule>
  </conditionalFormatting>
  <conditionalFormatting sqref="C87">
    <cfRule type="cellIs" dxfId="3738" priority="1959" stopIfTrue="1" operator="equal">
      <formula>"Towel"</formula>
    </cfRule>
  </conditionalFormatting>
  <conditionalFormatting sqref="B87:C87">
    <cfRule type="cellIs" dxfId="3737" priority="1955" stopIfTrue="1" operator="equal">
      <formula>"Towel"</formula>
    </cfRule>
    <cfRule type="cellIs" dxfId="3736" priority="1956" stopIfTrue="1" operator="equal">
      <formula>"Napkin Hs"</formula>
    </cfRule>
  </conditionalFormatting>
  <conditionalFormatting sqref="C87">
    <cfRule type="cellIs" dxfId="3735" priority="1954" stopIfTrue="1" operator="equal">
      <formula>"Napkin Hs"</formula>
    </cfRule>
  </conditionalFormatting>
  <conditionalFormatting sqref="C87">
    <cfRule type="cellIs" dxfId="3734" priority="1951" stopIfTrue="1" operator="equal">
      <formula>"Towel"</formula>
    </cfRule>
    <cfRule type="cellIs" dxfId="3733" priority="1952" stopIfTrue="1" operator="equal">
      <formula>"Napkin Hs"</formula>
    </cfRule>
  </conditionalFormatting>
  <conditionalFormatting sqref="C87">
    <cfRule type="cellIs" dxfId="3732" priority="1953" stopIfTrue="1" operator="equal">
      <formula>"Towel"</formula>
    </cfRule>
  </conditionalFormatting>
  <conditionalFormatting sqref="B87:C87">
    <cfRule type="cellIs" dxfId="3731" priority="1949" stopIfTrue="1" operator="equal">
      <formula>"Towel"</formula>
    </cfRule>
    <cfRule type="cellIs" dxfId="3730" priority="1950" stopIfTrue="1" operator="equal">
      <formula>"Napkin Hs"</formula>
    </cfRule>
  </conditionalFormatting>
  <conditionalFormatting sqref="C87">
    <cfRule type="cellIs" dxfId="3729" priority="1948" stopIfTrue="1" operator="equal">
      <formula>"Napkin Hs"</formula>
    </cfRule>
  </conditionalFormatting>
  <conditionalFormatting sqref="C87">
    <cfRule type="cellIs" dxfId="3728" priority="1945" stopIfTrue="1" operator="equal">
      <formula>"Towel"</formula>
    </cfRule>
    <cfRule type="cellIs" dxfId="3727" priority="1946" stopIfTrue="1" operator="equal">
      <formula>"Napkin Hs"</formula>
    </cfRule>
  </conditionalFormatting>
  <conditionalFormatting sqref="C87">
    <cfRule type="cellIs" dxfId="3726" priority="1947" stopIfTrue="1" operator="equal">
      <formula>"Towel"</formula>
    </cfRule>
  </conditionalFormatting>
  <conditionalFormatting sqref="B87:C87">
    <cfRule type="cellIs" dxfId="3725" priority="1943" stopIfTrue="1" operator="equal">
      <formula>"Towel"</formula>
    </cfRule>
    <cfRule type="cellIs" dxfId="3724" priority="1944" stopIfTrue="1" operator="equal">
      <formula>"Napkin Hs"</formula>
    </cfRule>
  </conditionalFormatting>
  <conditionalFormatting sqref="C87">
    <cfRule type="cellIs" dxfId="3723" priority="1942" stopIfTrue="1" operator="equal">
      <formula>"Napkin Hs"</formula>
    </cfRule>
  </conditionalFormatting>
  <conditionalFormatting sqref="C87">
    <cfRule type="cellIs" dxfId="3722" priority="1939" stopIfTrue="1" operator="equal">
      <formula>"Towel"</formula>
    </cfRule>
    <cfRule type="cellIs" dxfId="3721" priority="1940" stopIfTrue="1" operator="equal">
      <formula>"Napkin Hs"</formula>
    </cfRule>
  </conditionalFormatting>
  <conditionalFormatting sqref="C87">
    <cfRule type="cellIs" dxfId="3720" priority="1941" stopIfTrue="1" operator="equal">
      <formula>"Towel"</formula>
    </cfRule>
  </conditionalFormatting>
  <conditionalFormatting sqref="B87:C87">
    <cfRule type="cellIs" dxfId="3719" priority="1937" stopIfTrue="1" operator="equal">
      <formula>"Towel"</formula>
    </cfRule>
    <cfRule type="cellIs" dxfId="3718" priority="1938" stopIfTrue="1" operator="equal">
      <formula>"Napkin Hs"</formula>
    </cfRule>
  </conditionalFormatting>
  <conditionalFormatting sqref="C87">
    <cfRule type="cellIs" dxfId="3717" priority="1936" stopIfTrue="1" operator="equal">
      <formula>"Napkin Hs"</formula>
    </cfRule>
  </conditionalFormatting>
  <conditionalFormatting sqref="C87">
    <cfRule type="cellIs" dxfId="3716" priority="1933" stopIfTrue="1" operator="equal">
      <formula>"Towel"</formula>
    </cfRule>
    <cfRule type="cellIs" dxfId="3715" priority="1934" stopIfTrue="1" operator="equal">
      <formula>"Napkin Hs"</formula>
    </cfRule>
  </conditionalFormatting>
  <conditionalFormatting sqref="C87">
    <cfRule type="cellIs" dxfId="3714" priority="1935" stopIfTrue="1" operator="equal">
      <formula>"Towel"</formula>
    </cfRule>
  </conditionalFormatting>
  <conditionalFormatting sqref="B87:C87">
    <cfRule type="cellIs" dxfId="3713" priority="1931" stopIfTrue="1" operator="equal">
      <formula>"Towel"</formula>
    </cfRule>
    <cfRule type="cellIs" dxfId="3712" priority="1932" stopIfTrue="1" operator="equal">
      <formula>"Napkin Hs"</formula>
    </cfRule>
  </conditionalFormatting>
  <conditionalFormatting sqref="C87">
    <cfRule type="cellIs" dxfId="3711" priority="1930" stopIfTrue="1" operator="equal">
      <formula>"Napkin Hs"</formula>
    </cfRule>
  </conditionalFormatting>
  <conditionalFormatting sqref="C87">
    <cfRule type="cellIs" dxfId="3710" priority="1927" stopIfTrue="1" operator="equal">
      <formula>"Towel"</formula>
    </cfRule>
    <cfRule type="cellIs" dxfId="3709" priority="1928" stopIfTrue="1" operator="equal">
      <formula>"Napkin Hs"</formula>
    </cfRule>
  </conditionalFormatting>
  <conditionalFormatting sqref="C87">
    <cfRule type="cellIs" dxfId="3708" priority="1929" stopIfTrue="1" operator="equal">
      <formula>"Towel"</formula>
    </cfRule>
  </conditionalFormatting>
  <conditionalFormatting sqref="B87:C87">
    <cfRule type="cellIs" dxfId="3707" priority="1925" stopIfTrue="1" operator="equal">
      <formula>"Towel"</formula>
    </cfRule>
    <cfRule type="cellIs" dxfId="3706" priority="1926" stopIfTrue="1" operator="equal">
      <formula>"Napkin Hs"</formula>
    </cfRule>
  </conditionalFormatting>
  <conditionalFormatting sqref="C87">
    <cfRule type="cellIs" dxfId="3705" priority="1924" stopIfTrue="1" operator="equal">
      <formula>"Napkin Hs"</formula>
    </cfRule>
  </conditionalFormatting>
  <conditionalFormatting sqref="C87">
    <cfRule type="cellIs" dxfId="3704" priority="1921" stopIfTrue="1" operator="equal">
      <formula>"Towel"</formula>
    </cfRule>
    <cfRule type="cellIs" dxfId="3703" priority="1922" stopIfTrue="1" operator="equal">
      <formula>"Napkin Hs"</formula>
    </cfRule>
  </conditionalFormatting>
  <conditionalFormatting sqref="C87">
    <cfRule type="cellIs" dxfId="3702" priority="1923" stopIfTrue="1" operator="equal">
      <formula>"Towel"</formula>
    </cfRule>
  </conditionalFormatting>
  <conditionalFormatting sqref="B88:C88">
    <cfRule type="cellIs" dxfId="3701" priority="1919" stopIfTrue="1" operator="equal">
      <formula>"Towel"</formula>
    </cfRule>
    <cfRule type="cellIs" dxfId="3700" priority="1920" stopIfTrue="1" operator="equal">
      <formula>"Napkin Hs"</formula>
    </cfRule>
  </conditionalFormatting>
  <conditionalFormatting sqref="C88">
    <cfRule type="cellIs" dxfId="3699" priority="1918" stopIfTrue="1" operator="equal">
      <formula>"Napkin Hs"</formula>
    </cfRule>
  </conditionalFormatting>
  <conditionalFormatting sqref="C88">
    <cfRule type="cellIs" dxfId="3698" priority="1915" stopIfTrue="1" operator="equal">
      <formula>"Towel"</formula>
    </cfRule>
    <cfRule type="cellIs" dxfId="3697" priority="1916" stopIfTrue="1" operator="equal">
      <formula>"Napkin Hs"</formula>
    </cfRule>
  </conditionalFormatting>
  <conditionalFormatting sqref="C88">
    <cfRule type="cellIs" dxfId="3696" priority="1917" stopIfTrue="1" operator="equal">
      <formula>"Towel"</formula>
    </cfRule>
  </conditionalFormatting>
  <conditionalFormatting sqref="B88:C88">
    <cfRule type="cellIs" dxfId="3695" priority="1913" stopIfTrue="1" operator="equal">
      <formula>"Towel"</formula>
    </cfRule>
    <cfRule type="cellIs" dxfId="3694" priority="1914" stopIfTrue="1" operator="equal">
      <formula>"Napkin Hs"</formula>
    </cfRule>
  </conditionalFormatting>
  <conditionalFormatting sqref="C88">
    <cfRule type="cellIs" dxfId="3693" priority="1912" stopIfTrue="1" operator="equal">
      <formula>"Napkin Hs"</formula>
    </cfRule>
  </conditionalFormatting>
  <conditionalFormatting sqref="C88">
    <cfRule type="cellIs" dxfId="3692" priority="1909" stopIfTrue="1" operator="equal">
      <formula>"Towel"</formula>
    </cfRule>
    <cfRule type="cellIs" dxfId="3691" priority="1910" stopIfTrue="1" operator="equal">
      <formula>"Napkin Hs"</formula>
    </cfRule>
  </conditionalFormatting>
  <conditionalFormatting sqref="C88">
    <cfRule type="cellIs" dxfId="3690" priority="1911" stopIfTrue="1" operator="equal">
      <formula>"Towel"</formula>
    </cfRule>
  </conditionalFormatting>
  <conditionalFormatting sqref="B88:C88">
    <cfRule type="cellIs" dxfId="3689" priority="1907" stopIfTrue="1" operator="equal">
      <formula>"Towel"</formula>
    </cfRule>
    <cfRule type="cellIs" dxfId="3688" priority="1908" stopIfTrue="1" operator="equal">
      <formula>"Napkin Hs"</formula>
    </cfRule>
  </conditionalFormatting>
  <conditionalFormatting sqref="C88">
    <cfRule type="cellIs" dxfId="3687" priority="1906" stopIfTrue="1" operator="equal">
      <formula>"Napkin Hs"</formula>
    </cfRule>
  </conditionalFormatting>
  <conditionalFormatting sqref="C88">
    <cfRule type="cellIs" dxfId="3686" priority="1903" stopIfTrue="1" operator="equal">
      <formula>"Towel"</formula>
    </cfRule>
    <cfRule type="cellIs" dxfId="3685" priority="1904" stopIfTrue="1" operator="equal">
      <formula>"Napkin Hs"</formula>
    </cfRule>
  </conditionalFormatting>
  <conditionalFormatting sqref="C88">
    <cfRule type="cellIs" dxfId="3684" priority="1905" stopIfTrue="1" operator="equal">
      <formula>"Towel"</formula>
    </cfRule>
  </conditionalFormatting>
  <conditionalFormatting sqref="B88:C88">
    <cfRule type="cellIs" dxfId="3683" priority="1901" stopIfTrue="1" operator="equal">
      <formula>"Towel"</formula>
    </cfRule>
    <cfRule type="cellIs" dxfId="3682" priority="1902" stopIfTrue="1" operator="equal">
      <formula>"Napkin Hs"</formula>
    </cfRule>
  </conditionalFormatting>
  <conditionalFormatting sqref="C88">
    <cfRule type="cellIs" dxfId="3681" priority="1897" stopIfTrue="1" operator="equal">
      <formula>"Towel"</formula>
    </cfRule>
    <cfRule type="cellIs" dxfId="3680" priority="1898" stopIfTrue="1" operator="equal">
      <formula>"Napkin Hs"</formula>
    </cfRule>
  </conditionalFormatting>
  <conditionalFormatting sqref="C88">
    <cfRule type="cellIs" dxfId="3679" priority="1899" stopIfTrue="1" operator="equal">
      <formula>"Towel"</formula>
    </cfRule>
    <cfRule type="cellIs" dxfId="3678" priority="1900" stopIfTrue="1" operator="equal">
      <formula>"Napkin Hs"</formula>
    </cfRule>
  </conditionalFormatting>
  <conditionalFormatting sqref="B88:C88">
    <cfRule type="cellIs" dxfId="3677" priority="1895" stopIfTrue="1" operator="equal">
      <formula>"Towel"</formula>
    </cfRule>
    <cfRule type="cellIs" dxfId="3676" priority="1896" stopIfTrue="1" operator="equal">
      <formula>"Napkin Hs"</formula>
    </cfRule>
  </conditionalFormatting>
  <conditionalFormatting sqref="C88">
    <cfRule type="cellIs" dxfId="3675" priority="1891" stopIfTrue="1" operator="equal">
      <formula>"Towel"</formula>
    </cfRule>
    <cfRule type="cellIs" dxfId="3674" priority="1892" stopIfTrue="1" operator="equal">
      <formula>"Napkin Hs"</formula>
    </cfRule>
  </conditionalFormatting>
  <conditionalFormatting sqref="C88">
    <cfRule type="cellIs" dxfId="3673" priority="1893" stopIfTrue="1" operator="equal">
      <formula>"Towel"</formula>
    </cfRule>
    <cfRule type="cellIs" dxfId="3672" priority="1894" stopIfTrue="1" operator="equal">
      <formula>"Napkin Hs"</formula>
    </cfRule>
  </conditionalFormatting>
  <conditionalFormatting sqref="B88:C88">
    <cfRule type="cellIs" dxfId="3671" priority="1887" stopIfTrue="1" operator="equal">
      <formula>"Towel"</formula>
    </cfRule>
    <cfRule type="cellIs" dxfId="3670" priority="1888" stopIfTrue="1" operator="equal">
      <formula>"Napkin Hs"</formula>
    </cfRule>
  </conditionalFormatting>
  <conditionalFormatting sqref="C88">
    <cfRule type="cellIs" dxfId="3669" priority="1889" stopIfTrue="1" operator="equal">
      <formula>"Towel"</formula>
    </cfRule>
    <cfRule type="cellIs" dxfId="3668" priority="1890" stopIfTrue="1" operator="equal">
      <formula>"Napkin Hs"</formula>
    </cfRule>
  </conditionalFormatting>
  <conditionalFormatting sqref="C88">
    <cfRule type="cellIs" dxfId="3667" priority="1885" stopIfTrue="1" operator="equal">
      <formula>"Towel"</formula>
    </cfRule>
    <cfRule type="cellIs" dxfId="3666" priority="1886" stopIfTrue="1" operator="equal">
      <formula>"Napkin Hs"</formula>
    </cfRule>
  </conditionalFormatting>
  <conditionalFormatting sqref="B88:C88">
    <cfRule type="cellIs" dxfId="3665" priority="1883" stopIfTrue="1" operator="equal">
      <formula>"Towel"</formula>
    </cfRule>
    <cfRule type="cellIs" dxfId="3664" priority="1884" stopIfTrue="1" operator="equal">
      <formula>"Napkin Hs"</formula>
    </cfRule>
  </conditionalFormatting>
  <conditionalFormatting sqref="C88">
    <cfRule type="cellIs" dxfId="3663" priority="1882" stopIfTrue="1" operator="equal">
      <formula>"Napkin Hs"</formula>
    </cfRule>
  </conditionalFormatting>
  <conditionalFormatting sqref="C88">
    <cfRule type="cellIs" dxfId="3662" priority="1879" stopIfTrue="1" operator="equal">
      <formula>"Towel"</formula>
    </cfRule>
    <cfRule type="cellIs" dxfId="3661" priority="1880" stopIfTrue="1" operator="equal">
      <formula>"Napkin Hs"</formula>
    </cfRule>
  </conditionalFormatting>
  <conditionalFormatting sqref="C88">
    <cfRule type="cellIs" dxfId="3660" priority="1881" stopIfTrue="1" operator="equal">
      <formula>"Towel"</formula>
    </cfRule>
  </conditionalFormatting>
  <conditionalFormatting sqref="B88:C88">
    <cfRule type="cellIs" dxfId="3659" priority="1877" stopIfTrue="1" operator="equal">
      <formula>"Towel"</formula>
    </cfRule>
    <cfRule type="cellIs" dxfId="3658" priority="1878" stopIfTrue="1" operator="equal">
      <formula>"Napkin Hs"</formula>
    </cfRule>
  </conditionalFormatting>
  <conditionalFormatting sqref="C88">
    <cfRule type="cellIs" dxfId="3657" priority="1873" stopIfTrue="1" operator="equal">
      <formula>"Towel"</formula>
    </cfRule>
    <cfRule type="cellIs" dxfId="3656" priority="1874" stopIfTrue="1" operator="equal">
      <formula>"Napkin Hs"</formula>
    </cfRule>
  </conditionalFormatting>
  <conditionalFormatting sqref="C88">
    <cfRule type="cellIs" dxfId="3655" priority="1875" stopIfTrue="1" operator="equal">
      <formula>"Towel"</formula>
    </cfRule>
    <cfRule type="cellIs" dxfId="3654" priority="1876" stopIfTrue="1" operator="equal">
      <formula>"Napkin Hs"</formula>
    </cfRule>
  </conditionalFormatting>
  <conditionalFormatting sqref="B88:C88">
    <cfRule type="cellIs" dxfId="3653" priority="1871" stopIfTrue="1" operator="equal">
      <formula>"Towel"</formula>
    </cfRule>
    <cfRule type="cellIs" dxfId="3652" priority="1872" stopIfTrue="1" operator="equal">
      <formula>"Napkin Hs"</formula>
    </cfRule>
  </conditionalFormatting>
  <conditionalFormatting sqref="C88">
    <cfRule type="cellIs" dxfId="3651" priority="1870" stopIfTrue="1" operator="equal">
      <formula>"Napkin Hs"</formula>
    </cfRule>
  </conditionalFormatting>
  <conditionalFormatting sqref="C88">
    <cfRule type="cellIs" dxfId="3650" priority="1867" stopIfTrue="1" operator="equal">
      <formula>"Towel"</formula>
    </cfRule>
    <cfRule type="cellIs" dxfId="3649" priority="1868" stopIfTrue="1" operator="equal">
      <formula>"Napkin Hs"</formula>
    </cfRule>
  </conditionalFormatting>
  <conditionalFormatting sqref="C88">
    <cfRule type="cellIs" dxfId="3648" priority="1869" stopIfTrue="1" operator="equal">
      <formula>"Towel"</formula>
    </cfRule>
  </conditionalFormatting>
  <conditionalFormatting sqref="B88:C88">
    <cfRule type="cellIs" dxfId="3647" priority="1865" stopIfTrue="1" operator="equal">
      <formula>"Towel"</formula>
    </cfRule>
    <cfRule type="cellIs" dxfId="3646" priority="1866" stopIfTrue="1" operator="equal">
      <formula>"Napkin Hs"</formula>
    </cfRule>
  </conditionalFormatting>
  <conditionalFormatting sqref="C88">
    <cfRule type="cellIs" dxfId="3645" priority="1863" stopIfTrue="1" operator="equal">
      <formula>"Towel"</formula>
    </cfRule>
    <cfRule type="cellIs" dxfId="3644" priority="1864" stopIfTrue="1" operator="equal">
      <formula>"Napkin Hs"</formula>
    </cfRule>
  </conditionalFormatting>
  <conditionalFormatting sqref="C88">
    <cfRule type="cellIs" dxfId="3643" priority="1861" stopIfTrue="1" operator="equal">
      <formula>"Towel"</formula>
    </cfRule>
    <cfRule type="cellIs" dxfId="3642" priority="1862" stopIfTrue="1" operator="equal">
      <formula>"Napkin Hs"</formula>
    </cfRule>
  </conditionalFormatting>
  <conditionalFormatting sqref="B88:C88">
    <cfRule type="cellIs" dxfId="3641" priority="1859" stopIfTrue="1" operator="equal">
      <formula>"Towel"</formula>
    </cfRule>
    <cfRule type="cellIs" dxfId="3640" priority="1860" stopIfTrue="1" operator="equal">
      <formula>"Napkin Hs"</formula>
    </cfRule>
  </conditionalFormatting>
  <conditionalFormatting sqref="C88">
    <cfRule type="cellIs" dxfId="3639" priority="1858" stopIfTrue="1" operator="equal">
      <formula>"Napkin Hs"</formula>
    </cfRule>
  </conditionalFormatting>
  <conditionalFormatting sqref="C88">
    <cfRule type="cellIs" dxfId="3638" priority="1855" stopIfTrue="1" operator="equal">
      <formula>"Towel"</formula>
    </cfRule>
    <cfRule type="cellIs" dxfId="3637" priority="1856" stopIfTrue="1" operator="equal">
      <formula>"Napkin Hs"</formula>
    </cfRule>
  </conditionalFormatting>
  <conditionalFormatting sqref="C88">
    <cfRule type="cellIs" dxfId="3636" priority="1857" stopIfTrue="1" operator="equal">
      <formula>"Towel"</formula>
    </cfRule>
  </conditionalFormatting>
  <conditionalFormatting sqref="B88:C88">
    <cfRule type="cellIs" dxfId="3635" priority="1853" stopIfTrue="1" operator="equal">
      <formula>"Towel"</formula>
    </cfRule>
    <cfRule type="cellIs" dxfId="3634" priority="1854" stopIfTrue="1" operator="equal">
      <formula>"Napkin Hs"</formula>
    </cfRule>
  </conditionalFormatting>
  <conditionalFormatting sqref="C88">
    <cfRule type="cellIs" dxfId="3633" priority="1852" stopIfTrue="1" operator="equal">
      <formula>"Napkin Hs"</formula>
    </cfRule>
  </conditionalFormatting>
  <conditionalFormatting sqref="C88">
    <cfRule type="cellIs" dxfId="3632" priority="1851" stopIfTrue="1" operator="equal">
      <formula>"Towel"</formula>
    </cfRule>
  </conditionalFormatting>
  <conditionalFormatting sqref="C88">
    <cfRule type="cellIs" dxfId="3631" priority="1849" stopIfTrue="1" operator="equal">
      <formula>"Towel"</formula>
    </cfRule>
    <cfRule type="cellIs" dxfId="3630" priority="1850" stopIfTrue="1" operator="equal">
      <formula>"Napkin Hs"</formula>
    </cfRule>
  </conditionalFormatting>
  <conditionalFormatting sqref="B88:C88">
    <cfRule type="cellIs" dxfId="3629" priority="1847" stopIfTrue="1" operator="equal">
      <formula>"Towel"</formula>
    </cfRule>
    <cfRule type="cellIs" dxfId="3628" priority="1848" stopIfTrue="1" operator="equal">
      <formula>"Napkin Hs"</formula>
    </cfRule>
  </conditionalFormatting>
  <conditionalFormatting sqref="C88">
    <cfRule type="cellIs" dxfId="3627" priority="1846" stopIfTrue="1" operator="equal">
      <formula>"Napkin Hs"</formula>
    </cfRule>
  </conditionalFormatting>
  <conditionalFormatting sqref="C88">
    <cfRule type="cellIs" dxfId="3626" priority="1843" stopIfTrue="1" operator="equal">
      <formula>"Towel"</formula>
    </cfRule>
    <cfRule type="cellIs" dxfId="3625" priority="1844" stopIfTrue="1" operator="equal">
      <formula>"Napkin Hs"</formula>
    </cfRule>
  </conditionalFormatting>
  <conditionalFormatting sqref="C88">
    <cfRule type="cellIs" dxfId="3624" priority="1845" stopIfTrue="1" operator="equal">
      <formula>"Towel"</formula>
    </cfRule>
  </conditionalFormatting>
  <conditionalFormatting sqref="B88:C88">
    <cfRule type="cellIs" dxfId="3623" priority="1841" stopIfTrue="1" operator="equal">
      <formula>"Towel"</formula>
    </cfRule>
    <cfRule type="cellIs" dxfId="3622" priority="1842" stopIfTrue="1" operator="equal">
      <formula>"Napkin Hs"</formula>
    </cfRule>
  </conditionalFormatting>
  <conditionalFormatting sqref="C88">
    <cfRule type="cellIs" dxfId="3621" priority="1840" stopIfTrue="1" operator="equal">
      <formula>"Napkin Hs"</formula>
    </cfRule>
  </conditionalFormatting>
  <conditionalFormatting sqref="C88">
    <cfRule type="cellIs" dxfId="3620" priority="1837" stopIfTrue="1" operator="equal">
      <formula>"Towel"</formula>
    </cfRule>
    <cfRule type="cellIs" dxfId="3619" priority="1838" stopIfTrue="1" operator="equal">
      <formula>"Napkin Hs"</formula>
    </cfRule>
  </conditionalFormatting>
  <conditionalFormatting sqref="C88">
    <cfRule type="cellIs" dxfId="3618" priority="1839" stopIfTrue="1" operator="equal">
      <formula>"Towel"</formula>
    </cfRule>
  </conditionalFormatting>
  <conditionalFormatting sqref="B88:C88">
    <cfRule type="cellIs" dxfId="3617" priority="1835" stopIfTrue="1" operator="equal">
      <formula>"Towel"</formula>
    </cfRule>
    <cfRule type="cellIs" dxfId="3616" priority="1836" stopIfTrue="1" operator="equal">
      <formula>"Napkin Hs"</formula>
    </cfRule>
  </conditionalFormatting>
  <conditionalFormatting sqref="C88">
    <cfRule type="cellIs" dxfId="3615" priority="1834" stopIfTrue="1" operator="equal">
      <formula>"Napkin Hs"</formula>
    </cfRule>
  </conditionalFormatting>
  <conditionalFormatting sqref="C88">
    <cfRule type="cellIs" dxfId="3614" priority="1831" stopIfTrue="1" operator="equal">
      <formula>"Towel"</formula>
    </cfRule>
    <cfRule type="cellIs" dxfId="3613" priority="1832" stopIfTrue="1" operator="equal">
      <formula>"Napkin Hs"</formula>
    </cfRule>
  </conditionalFormatting>
  <conditionalFormatting sqref="C88">
    <cfRule type="cellIs" dxfId="3612" priority="1833" stopIfTrue="1" operator="equal">
      <formula>"Towel"</formula>
    </cfRule>
  </conditionalFormatting>
  <conditionalFormatting sqref="B88:C88">
    <cfRule type="cellIs" dxfId="3611" priority="1829" stopIfTrue="1" operator="equal">
      <formula>"Towel"</formula>
    </cfRule>
    <cfRule type="cellIs" dxfId="3610" priority="1830" stopIfTrue="1" operator="equal">
      <formula>"Napkin Hs"</formula>
    </cfRule>
  </conditionalFormatting>
  <conditionalFormatting sqref="C88">
    <cfRule type="cellIs" dxfId="3609" priority="1828" stopIfTrue="1" operator="equal">
      <formula>"Napkin Hs"</formula>
    </cfRule>
  </conditionalFormatting>
  <conditionalFormatting sqref="C88">
    <cfRule type="cellIs" dxfId="3608" priority="1825" stopIfTrue="1" operator="equal">
      <formula>"Towel"</formula>
    </cfRule>
    <cfRule type="cellIs" dxfId="3607" priority="1826" stopIfTrue="1" operator="equal">
      <formula>"Napkin Hs"</formula>
    </cfRule>
  </conditionalFormatting>
  <conditionalFormatting sqref="C88">
    <cfRule type="cellIs" dxfId="3606" priority="1827" stopIfTrue="1" operator="equal">
      <formula>"Towel"</formula>
    </cfRule>
  </conditionalFormatting>
  <conditionalFormatting sqref="B88:C88">
    <cfRule type="cellIs" dxfId="3605" priority="1823" stopIfTrue="1" operator="equal">
      <formula>"Towel"</formula>
    </cfRule>
    <cfRule type="cellIs" dxfId="3604" priority="1824" stopIfTrue="1" operator="equal">
      <formula>"Napkin Hs"</formula>
    </cfRule>
  </conditionalFormatting>
  <conditionalFormatting sqref="C88">
    <cfRule type="cellIs" dxfId="3603" priority="1822" stopIfTrue="1" operator="equal">
      <formula>"Napkin Hs"</formula>
    </cfRule>
  </conditionalFormatting>
  <conditionalFormatting sqref="C88">
    <cfRule type="cellIs" dxfId="3602" priority="1819" stopIfTrue="1" operator="equal">
      <formula>"Towel"</formula>
    </cfRule>
    <cfRule type="cellIs" dxfId="3601" priority="1820" stopIfTrue="1" operator="equal">
      <formula>"Napkin Hs"</formula>
    </cfRule>
  </conditionalFormatting>
  <conditionalFormatting sqref="C88">
    <cfRule type="cellIs" dxfId="3600" priority="1821" stopIfTrue="1" operator="equal">
      <formula>"Towel"</formula>
    </cfRule>
  </conditionalFormatting>
  <conditionalFormatting sqref="B88:C88">
    <cfRule type="cellIs" dxfId="3599" priority="1817" stopIfTrue="1" operator="equal">
      <formula>"Towel"</formula>
    </cfRule>
    <cfRule type="cellIs" dxfId="3598" priority="1818" stopIfTrue="1" operator="equal">
      <formula>"Napkin Hs"</formula>
    </cfRule>
  </conditionalFormatting>
  <conditionalFormatting sqref="C88">
    <cfRule type="cellIs" dxfId="3597" priority="1816" stopIfTrue="1" operator="equal">
      <formula>"Napkin Hs"</formula>
    </cfRule>
  </conditionalFormatting>
  <conditionalFormatting sqref="C88">
    <cfRule type="cellIs" dxfId="3596" priority="1813" stopIfTrue="1" operator="equal">
      <formula>"Towel"</formula>
    </cfRule>
    <cfRule type="cellIs" dxfId="3595" priority="1814" stopIfTrue="1" operator="equal">
      <formula>"Napkin Hs"</formula>
    </cfRule>
  </conditionalFormatting>
  <conditionalFormatting sqref="C88">
    <cfRule type="cellIs" dxfId="3594" priority="1815" stopIfTrue="1" operator="equal">
      <formula>"Towel"</formula>
    </cfRule>
  </conditionalFormatting>
  <conditionalFormatting sqref="B88:C88">
    <cfRule type="cellIs" dxfId="3593" priority="1811" stopIfTrue="1" operator="equal">
      <formula>"Towel"</formula>
    </cfRule>
    <cfRule type="cellIs" dxfId="3592" priority="1812" stopIfTrue="1" operator="equal">
      <formula>"Napkin Hs"</formula>
    </cfRule>
  </conditionalFormatting>
  <conditionalFormatting sqref="C88">
    <cfRule type="cellIs" dxfId="3591" priority="1810" stopIfTrue="1" operator="equal">
      <formula>"Napkin Hs"</formula>
    </cfRule>
  </conditionalFormatting>
  <conditionalFormatting sqref="C88">
    <cfRule type="cellIs" dxfId="3590" priority="1807" stopIfTrue="1" operator="equal">
      <formula>"Towel"</formula>
    </cfRule>
    <cfRule type="cellIs" dxfId="3589" priority="1808" stopIfTrue="1" operator="equal">
      <formula>"Napkin Hs"</formula>
    </cfRule>
  </conditionalFormatting>
  <conditionalFormatting sqref="C88">
    <cfRule type="cellIs" dxfId="3588" priority="1809" stopIfTrue="1" operator="equal">
      <formula>"Towel"</formula>
    </cfRule>
  </conditionalFormatting>
  <conditionalFormatting sqref="B88:C88">
    <cfRule type="cellIs" dxfId="3587" priority="1805" stopIfTrue="1" operator="equal">
      <formula>"Towel"</formula>
    </cfRule>
    <cfRule type="cellIs" dxfId="3586" priority="1806" stopIfTrue="1" operator="equal">
      <formula>"Napkin Hs"</formula>
    </cfRule>
  </conditionalFormatting>
  <conditionalFormatting sqref="C88">
    <cfRule type="cellIs" dxfId="3585" priority="1804" stopIfTrue="1" operator="equal">
      <formula>"Napkin Hs"</formula>
    </cfRule>
  </conditionalFormatting>
  <conditionalFormatting sqref="C88">
    <cfRule type="cellIs" dxfId="3584" priority="1801" stopIfTrue="1" operator="equal">
      <formula>"Towel"</formula>
    </cfRule>
    <cfRule type="cellIs" dxfId="3583" priority="1802" stopIfTrue="1" operator="equal">
      <formula>"Napkin Hs"</formula>
    </cfRule>
  </conditionalFormatting>
  <conditionalFormatting sqref="C88">
    <cfRule type="cellIs" dxfId="3582" priority="1803" stopIfTrue="1" operator="equal">
      <formula>"Towel"</formula>
    </cfRule>
  </conditionalFormatting>
  <conditionalFormatting sqref="B88:C88">
    <cfRule type="cellIs" dxfId="3581" priority="1799" stopIfTrue="1" operator="equal">
      <formula>"Towel"</formula>
    </cfRule>
    <cfRule type="cellIs" dxfId="3580" priority="1800" stopIfTrue="1" operator="equal">
      <formula>"Napkin Hs"</formula>
    </cfRule>
  </conditionalFormatting>
  <conditionalFormatting sqref="C88">
    <cfRule type="cellIs" dxfId="3579" priority="1798" stopIfTrue="1" operator="equal">
      <formula>"Napkin Hs"</formula>
    </cfRule>
  </conditionalFormatting>
  <conditionalFormatting sqref="C88">
    <cfRule type="cellIs" dxfId="3578" priority="1795" stopIfTrue="1" operator="equal">
      <formula>"Towel"</formula>
    </cfRule>
    <cfRule type="cellIs" dxfId="3577" priority="1796" stopIfTrue="1" operator="equal">
      <formula>"Napkin Hs"</formula>
    </cfRule>
  </conditionalFormatting>
  <conditionalFormatting sqref="C88">
    <cfRule type="cellIs" dxfId="3576" priority="1797" stopIfTrue="1" operator="equal">
      <formula>"Towel"</formula>
    </cfRule>
  </conditionalFormatting>
  <conditionalFormatting sqref="B88:C88">
    <cfRule type="cellIs" dxfId="3575" priority="1793" stopIfTrue="1" operator="equal">
      <formula>"Towel"</formula>
    </cfRule>
    <cfRule type="cellIs" dxfId="3574" priority="1794" stopIfTrue="1" operator="equal">
      <formula>"Napkin Hs"</formula>
    </cfRule>
  </conditionalFormatting>
  <conditionalFormatting sqref="C88">
    <cfRule type="cellIs" dxfId="3573" priority="1792" stopIfTrue="1" operator="equal">
      <formula>"Napkin Hs"</formula>
    </cfRule>
  </conditionalFormatting>
  <conditionalFormatting sqref="C88">
    <cfRule type="cellIs" dxfId="3572" priority="1789" stopIfTrue="1" operator="equal">
      <formula>"Towel"</formula>
    </cfRule>
    <cfRule type="cellIs" dxfId="3571" priority="1790" stopIfTrue="1" operator="equal">
      <formula>"Napkin Hs"</formula>
    </cfRule>
  </conditionalFormatting>
  <conditionalFormatting sqref="C88">
    <cfRule type="cellIs" dxfId="3570" priority="1791" stopIfTrue="1" operator="equal">
      <formula>"Towel"</formula>
    </cfRule>
  </conditionalFormatting>
  <conditionalFormatting sqref="B88:C88">
    <cfRule type="cellIs" dxfId="3569" priority="1787" stopIfTrue="1" operator="equal">
      <formula>"Towel"</formula>
    </cfRule>
    <cfRule type="cellIs" dxfId="3568" priority="1788" stopIfTrue="1" operator="equal">
      <formula>"Napkin Hs"</formula>
    </cfRule>
  </conditionalFormatting>
  <conditionalFormatting sqref="C88">
    <cfRule type="cellIs" dxfId="3567" priority="1786" stopIfTrue="1" operator="equal">
      <formula>"Napkin Hs"</formula>
    </cfRule>
  </conditionalFormatting>
  <conditionalFormatting sqref="C88">
    <cfRule type="cellIs" dxfId="3566" priority="1785" stopIfTrue="1" operator="equal">
      <formula>"Towel"</formula>
    </cfRule>
  </conditionalFormatting>
  <conditionalFormatting sqref="C88">
    <cfRule type="cellIs" dxfId="3565" priority="1783" stopIfTrue="1" operator="equal">
      <formula>"Towel"</formula>
    </cfRule>
    <cfRule type="cellIs" dxfId="3564" priority="1784" stopIfTrue="1" operator="equal">
      <formula>"Napkin Hs"</formula>
    </cfRule>
  </conditionalFormatting>
  <conditionalFormatting sqref="B88:C88">
    <cfRule type="cellIs" dxfId="3563" priority="1781" stopIfTrue="1" operator="equal">
      <formula>"Towel"</formula>
    </cfRule>
    <cfRule type="cellIs" dxfId="3562" priority="1782" stopIfTrue="1" operator="equal">
      <formula>"Napkin Hs"</formula>
    </cfRule>
  </conditionalFormatting>
  <conditionalFormatting sqref="C88">
    <cfRule type="cellIs" dxfId="3561" priority="1780" stopIfTrue="1" operator="equal">
      <formula>"Napkin Hs"</formula>
    </cfRule>
  </conditionalFormatting>
  <conditionalFormatting sqref="C88">
    <cfRule type="cellIs" dxfId="3560" priority="1777" stopIfTrue="1" operator="equal">
      <formula>"Towel"</formula>
    </cfRule>
    <cfRule type="cellIs" dxfId="3559" priority="1778" stopIfTrue="1" operator="equal">
      <formula>"Napkin Hs"</formula>
    </cfRule>
  </conditionalFormatting>
  <conditionalFormatting sqref="C88">
    <cfRule type="cellIs" dxfId="3558" priority="1779" stopIfTrue="1" operator="equal">
      <formula>"Towel"</formula>
    </cfRule>
  </conditionalFormatting>
  <conditionalFormatting sqref="B88:C88">
    <cfRule type="cellIs" dxfId="3557" priority="1775" stopIfTrue="1" operator="equal">
      <formula>"Towel"</formula>
    </cfRule>
    <cfRule type="cellIs" dxfId="3556" priority="1776" stopIfTrue="1" operator="equal">
      <formula>"Napkin Hs"</formula>
    </cfRule>
  </conditionalFormatting>
  <conditionalFormatting sqref="C88">
    <cfRule type="cellIs" dxfId="3555" priority="1774" stopIfTrue="1" operator="equal">
      <formula>"Napkin Hs"</formula>
    </cfRule>
  </conditionalFormatting>
  <conditionalFormatting sqref="C88">
    <cfRule type="cellIs" dxfId="3554" priority="1771" stopIfTrue="1" operator="equal">
      <formula>"Towel"</formula>
    </cfRule>
    <cfRule type="cellIs" dxfId="3553" priority="1772" stopIfTrue="1" operator="equal">
      <formula>"Napkin Hs"</formula>
    </cfRule>
  </conditionalFormatting>
  <conditionalFormatting sqref="C88">
    <cfRule type="cellIs" dxfId="3552" priority="1773" stopIfTrue="1" operator="equal">
      <formula>"Towel"</formula>
    </cfRule>
  </conditionalFormatting>
  <conditionalFormatting sqref="B88:C88">
    <cfRule type="cellIs" dxfId="3551" priority="1769" stopIfTrue="1" operator="equal">
      <formula>"Towel"</formula>
    </cfRule>
    <cfRule type="cellIs" dxfId="3550" priority="1770" stopIfTrue="1" operator="equal">
      <formula>"Napkin Hs"</formula>
    </cfRule>
  </conditionalFormatting>
  <conditionalFormatting sqref="C88">
    <cfRule type="cellIs" dxfId="3549" priority="1768" stopIfTrue="1" operator="equal">
      <formula>"Napkin Hs"</formula>
    </cfRule>
  </conditionalFormatting>
  <conditionalFormatting sqref="C88">
    <cfRule type="cellIs" dxfId="3548" priority="1765" stopIfTrue="1" operator="equal">
      <formula>"Towel"</formula>
    </cfRule>
    <cfRule type="cellIs" dxfId="3547" priority="1766" stopIfTrue="1" operator="equal">
      <formula>"Napkin Hs"</formula>
    </cfRule>
  </conditionalFormatting>
  <conditionalFormatting sqref="C88">
    <cfRule type="cellIs" dxfId="3546" priority="1767" stopIfTrue="1" operator="equal">
      <formula>"Towel"</formula>
    </cfRule>
  </conditionalFormatting>
  <conditionalFormatting sqref="B88:C88">
    <cfRule type="cellIs" dxfId="3545" priority="1763" stopIfTrue="1" operator="equal">
      <formula>"Towel"</formula>
    </cfRule>
    <cfRule type="cellIs" dxfId="3544" priority="1764" stopIfTrue="1" operator="equal">
      <formula>"Napkin Hs"</formula>
    </cfRule>
  </conditionalFormatting>
  <conditionalFormatting sqref="C88">
    <cfRule type="cellIs" dxfId="3543" priority="1762" stopIfTrue="1" operator="equal">
      <formula>"Napkin Hs"</formula>
    </cfRule>
  </conditionalFormatting>
  <conditionalFormatting sqref="C88">
    <cfRule type="cellIs" dxfId="3542" priority="1759" stopIfTrue="1" operator="equal">
      <formula>"Towel"</formula>
    </cfRule>
    <cfRule type="cellIs" dxfId="3541" priority="1760" stopIfTrue="1" operator="equal">
      <formula>"Napkin Hs"</formula>
    </cfRule>
  </conditionalFormatting>
  <conditionalFormatting sqref="C88">
    <cfRule type="cellIs" dxfId="3540" priority="1761" stopIfTrue="1" operator="equal">
      <formula>"Towel"</formula>
    </cfRule>
  </conditionalFormatting>
  <conditionalFormatting sqref="B88:C88">
    <cfRule type="cellIs" dxfId="3539" priority="1757" stopIfTrue="1" operator="equal">
      <formula>"Towel"</formula>
    </cfRule>
    <cfRule type="cellIs" dxfId="3538" priority="1758" stopIfTrue="1" operator="equal">
      <formula>"Napkin Hs"</formula>
    </cfRule>
  </conditionalFormatting>
  <conditionalFormatting sqref="C88">
    <cfRule type="cellIs" dxfId="3537" priority="1756" stopIfTrue="1" operator="equal">
      <formula>"Napkin Hs"</formula>
    </cfRule>
  </conditionalFormatting>
  <conditionalFormatting sqref="C88">
    <cfRule type="cellIs" dxfId="3536" priority="1753" stopIfTrue="1" operator="equal">
      <formula>"Towel"</formula>
    </cfRule>
    <cfRule type="cellIs" dxfId="3535" priority="1754" stopIfTrue="1" operator="equal">
      <formula>"Napkin Hs"</formula>
    </cfRule>
  </conditionalFormatting>
  <conditionalFormatting sqref="C88">
    <cfRule type="cellIs" dxfId="3534" priority="1755" stopIfTrue="1" operator="equal">
      <formula>"Towel"</formula>
    </cfRule>
  </conditionalFormatting>
  <conditionalFormatting sqref="B88:C88">
    <cfRule type="cellIs" dxfId="3533" priority="1751" stopIfTrue="1" operator="equal">
      <formula>"Towel"</formula>
    </cfRule>
    <cfRule type="cellIs" dxfId="3532" priority="1752" stopIfTrue="1" operator="equal">
      <formula>"Napkin Hs"</formula>
    </cfRule>
  </conditionalFormatting>
  <conditionalFormatting sqref="C88">
    <cfRule type="cellIs" dxfId="3531" priority="1750" stopIfTrue="1" operator="equal">
      <formula>"Napkin Hs"</formula>
    </cfRule>
  </conditionalFormatting>
  <conditionalFormatting sqref="C88">
    <cfRule type="cellIs" dxfId="3530" priority="1747" stopIfTrue="1" operator="equal">
      <formula>"Towel"</formula>
    </cfRule>
    <cfRule type="cellIs" dxfId="3529" priority="1748" stopIfTrue="1" operator="equal">
      <formula>"Napkin Hs"</formula>
    </cfRule>
  </conditionalFormatting>
  <conditionalFormatting sqref="C88">
    <cfRule type="cellIs" dxfId="3528" priority="1749" stopIfTrue="1" operator="equal">
      <formula>"Towel"</formula>
    </cfRule>
  </conditionalFormatting>
  <conditionalFormatting sqref="B88:C88">
    <cfRule type="cellIs" dxfId="3527" priority="1745" stopIfTrue="1" operator="equal">
      <formula>"Towel"</formula>
    </cfRule>
    <cfRule type="cellIs" dxfId="3526" priority="1746" stopIfTrue="1" operator="equal">
      <formula>"Napkin Hs"</formula>
    </cfRule>
  </conditionalFormatting>
  <conditionalFormatting sqref="C88">
    <cfRule type="cellIs" dxfId="3525" priority="1744" stopIfTrue="1" operator="equal">
      <formula>"Napkin Hs"</formula>
    </cfRule>
  </conditionalFormatting>
  <conditionalFormatting sqref="C88">
    <cfRule type="cellIs" dxfId="3524" priority="1741" stopIfTrue="1" operator="equal">
      <formula>"Towel"</formula>
    </cfRule>
    <cfRule type="cellIs" dxfId="3523" priority="1742" stopIfTrue="1" operator="equal">
      <formula>"Napkin Hs"</formula>
    </cfRule>
  </conditionalFormatting>
  <conditionalFormatting sqref="C88">
    <cfRule type="cellIs" dxfId="3522" priority="1743" stopIfTrue="1" operator="equal">
      <formula>"Towel"</formula>
    </cfRule>
  </conditionalFormatting>
  <conditionalFormatting sqref="B88:C88">
    <cfRule type="cellIs" dxfId="3521" priority="1739" stopIfTrue="1" operator="equal">
      <formula>"Towel"</formula>
    </cfRule>
    <cfRule type="cellIs" dxfId="3520" priority="1740" stopIfTrue="1" operator="equal">
      <formula>"Napkin Hs"</formula>
    </cfRule>
  </conditionalFormatting>
  <conditionalFormatting sqref="C88">
    <cfRule type="cellIs" dxfId="3519" priority="1738" stopIfTrue="1" operator="equal">
      <formula>"Napkin Hs"</formula>
    </cfRule>
  </conditionalFormatting>
  <conditionalFormatting sqref="C88">
    <cfRule type="cellIs" dxfId="3518" priority="1735" stopIfTrue="1" operator="equal">
      <formula>"Towel"</formula>
    </cfRule>
    <cfRule type="cellIs" dxfId="3517" priority="1736" stopIfTrue="1" operator="equal">
      <formula>"Napkin Hs"</formula>
    </cfRule>
  </conditionalFormatting>
  <conditionalFormatting sqref="C88">
    <cfRule type="cellIs" dxfId="3516" priority="1737" stopIfTrue="1" operator="equal">
      <formula>"Towel"</formula>
    </cfRule>
  </conditionalFormatting>
  <conditionalFormatting sqref="B88:C88">
    <cfRule type="cellIs" dxfId="3515" priority="1733" stopIfTrue="1" operator="equal">
      <formula>"Towel"</formula>
    </cfRule>
    <cfRule type="cellIs" dxfId="3514" priority="1734" stopIfTrue="1" operator="equal">
      <formula>"Napkin Hs"</formula>
    </cfRule>
  </conditionalFormatting>
  <conditionalFormatting sqref="C88">
    <cfRule type="cellIs" dxfId="3513" priority="1732" stopIfTrue="1" operator="equal">
      <formula>"Napkin Hs"</formula>
    </cfRule>
  </conditionalFormatting>
  <conditionalFormatting sqref="C88">
    <cfRule type="cellIs" dxfId="3512" priority="1729" stopIfTrue="1" operator="equal">
      <formula>"Towel"</formula>
    </cfRule>
    <cfRule type="cellIs" dxfId="3511" priority="1730" stopIfTrue="1" operator="equal">
      <formula>"Napkin Hs"</formula>
    </cfRule>
  </conditionalFormatting>
  <conditionalFormatting sqref="C88">
    <cfRule type="cellIs" dxfId="3510" priority="1731" stopIfTrue="1" operator="equal">
      <formula>"Towel"</formula>
    </cfRule>
  </conditionalFormatting>
  <conditionalFormatting sqref="B92:C92">
    <cfRule type="cellIs" dxfId="3509" priority="1725" stopIfTrue="1" operator="equal">
      <formula>"Towel"</formula>
    </cfRule>
    <cfRule type="cellIs" dxfId="3508" priority="1726" stopIfTrue="1" operator="equal">
      <formula>"Napkin Hs"</formula>
    </cfRule>
  </conditionalFormatting>
  <conditionalFormatting sqref="C92">
    <cfRule type="cellIs" dxfId="3507" priority="1727" stopIfTrue="1" operator="equal">
      <formula>"Towel"</formula>
    </cfRule>
    <cfRule type="cellIs" dxfId="3506" priority="1728" stopIfTrue="1" operator="equal">
      <formula>"Napkin Hs"</formula>
    </cfRule>
  </conditionalFormatting>
  <conditionalFormatting sqref="C92">
    <cfRule type="cellIs" dxfId="3505" priority="1723" stopIfTrue="1" operator="equal">
      <formula>"Towel"</formula>
    </cfRule>
    <cfRule type="cellIs" dxfId="3504" priority="1724" stopIfTrue="1" operator="equal">
      <formula>"Napkin Hs"</formula>
    </cfRule>
  </conditionalFormatting>
  <conditionalFormatting sqref="B93:C94">
    <cfRule type="cellIs" dxfId="3503" priority="1721" stopIfTrue="1" operator="equal">
      <formula>"Towel"</formula>
    </cfRule>
    <cfRule type="cellIs" dxfId="3502" priority="1722" stopIfTrue="1" operator="equal">
      <formula>"Napkin Hs"</formula>
    </cfRule>
  </conditionalFormatting>
  <conditionalFormatting sqref="C93:C94">
    <cfRule type="cellIs" dxfId="3501" priority="1720" stopIfTrue="1" operator="equal">
      <formula>"Napkin Hs"</formula>
    </cfRule>
  </conditionalFormatting>
  <conditionalFormatting sqref="C93:C94">
    <cfRule type="cellIs" dxfId="3500" priority="1717" stopIfTrue="1" operator="equal">
      <formula>"Towel"</formula>
    </cfRule>
    <cfRule type="cellIs" dxfId="3499" priority="1718" stopIfTrue="1" operator="equal">
      <formula>"Napkin Hs"</formula>
    </cfRule>
  </conditionalFormatting>
  <conditionalFormatting sqref="C93:C94">
    <cfRule type="cellIs" dxfId="3498" priority="1719" stopIfTrue="1" operator="equal">
      <formula>"Towel"</formula>
    </cfRule>
  </conditionalFormatting>
  <conditionalFormatting sqref="B94:C94">
    <cfRule type="cellIs" dxfId="3497" priority="1715" stopIfTrue="1" operator="equal">
      <formula>"Towel"</formula>
    </cfRule>
    <cfRule type="cellIs" dxfId="3496" priority="1716" stopIfTrue="1" operator="equal">
      <formula>"Napkin Hs"</formula>
    </cfRule>
  </conditionalFormatting>
  <conditionalFormatting sqref="C94">
    <cfRule type="cellIs" dxfId="3495" priority="1714" stopIfTrue="1" operator="equal">
      <formula>"Napkin Hs"</formula>
    </cfRule>
  </conditionalFormatting>
  <conditionalFormatting sqref="C94">
    <cfRule type="cellIs" dxfId="3494" priority="1711" stopIfTrue="1" operator="equal">
      <formula>"Towel"</formula>
    </cfRule>
    <cfRule type="cellIs" dxfId="3493" priority="1712" stopIfTrue="1" operator="equal">
      <formula>"Napkin Hs"</formula>
    </cfRule>
  </conditionalFormatting>
  <conditionalFormatting sqref="C94">
    <cfRule type="cellIs" dxfId="3492" priority="1713" stopIfTrue="1" operator="equal">
      <formula>"Towel"</formula>
    </cfRule>
  </conditionalFormatting>
  <conditionalFormatting sqref="B93:C93">
    <cfRule type="cellIs" dxfId="3491" priority="1709" stopIfTrue="1" operator="equal">
      <formula>"Towel"</formula>
    </cfRule>
    <cfRule type="cellIs" dxfId="3490" priority="1710" stopIfTrue="1" operator="equal">
      <formula>"Napkin Hs"</formula>
    </cfRule>
  </conditionalFormatting>
  <conditionalFormatting sqref="C93">
    <cfRule type="cellIs" dxfId="3489" priority="1708" stopIfTrue="1" operator="equal">
      <formula>"Napkin Hs"</formula>
    </cfRule>
  </conditionalFormatting>
  <conditionalFormatting sqref="C93">
    <cfRule type="cellIs" dxfId="3488" priority="1705" stopIfTrue="1" operator="equal">
      <formula>"Towel"</formula>
    </cfRule>
    <cfRule type="cellIs" dxfId="3487" priority="1706" stopIfTrue="1" operator="equal">
      <formula>"Napkin Hs"</formula>
    </cfRule>
  </conditionalFormatting>
  <conditionalFormatting sqref="C93">
    <cfRule type="cellIs" dxfId="3486" priority="1707" stopIfTrue="1" operator="equal">
      <formula>"Towel"</formula>
    </cfRule>
  </conditionalFormatting>
  <conditionalFormatting sqref="B93:C93">
    <cfRule type="cellIs" dxfId="3485" priority="1703" stopIfTrue="1" operator="equal">
      <formula>"Towel"</formula>
    </cfRule>
    <cfRule type="cellIs" dxfId="3484" priority="1704" stopIfTrue="1" operator="equal">
      <formula>"Napkin Hs"</formula>
    </cfRule>
  </conditionalFormatting>
  <conditionalFormatting sqref="C93">
    <cfRule type="cellIs" dxfId="3483" priority="1702" stopIfTrue="1" operator="equal">
      <formula>"Napkin Hs"</formula>
    </cfRule>
  </conditionalFormatting>
  <conditionalFormatting sqref="C93">
    <cfRule type="cellIs" dxfId="3482" priority="1699" stopIfTrue="1" operator="equal">
      <formula>"Towel"</formula>
    </cfRule>
    <cfRule type="cellIs" dxfId="3481" priority="1700" stopIfTrue="1" operator="equal">
      <formula>"Napkin Hs"</formula>
    </cfRule>
  </conditionalFormatting>
  <conditionalFormatting sqref="C93">
    <cfRule type="cellIs" dxfId="3480" priority="1701" stopIfTrue="1" operator="equal">
      <formula>"Towel"</formula>
    </cfRule>
  </conditionalFormatting>
  <conditionalFormatting sqref="B93:C93">
    <cfRule type="cellIs" dxfId="3479" priority="1697" stopIfTrue="1" operator="equal">
      <formula>"Towel"</formula>
    </cfRule>
    <cfRule type="cellIs" dxfId="3478" priority="1698" stopIfTrue="1" operator="equal">
      <formula>"Napkin Hs"</formula>
    </cfRule>
  </conditionalFormatting>
  <conditionalFormatting sqref="C93">
    <cfRule type="cellIs" dxfId="3477" priority="1696" stopIfTrue="1" operator="equal">
      <formula>"Napkin Hs"</formula>
    </cfRule>
  </conditionalFormatting>
  <conditionalFormatting sqref="C93">
    <cfRule type="cellIs" dxfId="3476" priority="1693" stopIfTrue="1" operator="equal">
      <formula>"Towel"</formula>
    </cfRule>
    <cfRule type="cellIs" dxfId="3475" priority="1694" stopIfTrue="1" operator="equal">
      <formula>"Napkin Hs"</formula>
    </cfRule>
  </conditionalFormatting>
  <conditionalFormatting sqref="C93">
    <cfRule type="cellIs" dxfId="3474" priority="1695" stopIfTrue="1" operator="equal">
      <formula>"Towel"</formula>
    </cfRule>
  </conditionalFormatting>
  <conditionalFormatting sqref="B93:C93">
    <cfRule type="cellIs" dxfId="3473" priority="1691" stopIfTrue="1" operator="equal">
      <formula>"Towel"</formula>
    </cfRule>
    <cfRule type="cellIs" dxfId="3472" priority="1692" stopIfTrue="1" operator="equal">
      <formula>"Napkin Hs"</formula>
    </cfRule>
  </conditionalFormatting>
  <conditionalFormatting sqref="C93">
    <cfRule type="cellIs" dxfId="3471" priority="1687" stopIfTrue="1" operator="equal">
      <formula>"Towel"</formula>
    </cfRule>
    <cfRule type="cellIs" dxfId="3470" priority="1688" stopIfTrue="1" operator="equal">
      <formula>"Napkin Hs"</formula>
    </cfRule>
  </conditionalFormatting>
  <conditionalFormatting sqref="C93">
    <cfRule type="cellIs" dxfId="3469" priority="1689" stopIfTrue="1" operator="equal">
      <formula>"Towel"</formula>
    </cfRule>
    <cfRule type="cellIs" dxfId="3468" priority="1690" stopIfTrue="1" operator="equal">
      <formula>"Napkin Hs"</formula>
    </cfRule>
  </conditionalFormatting>
  <conditionalFormatting sqref="B93:C93">
    <cfRule type="cellIs" dxfId="3467" priority="1685" stopIfTrue="1" operator="equal">
      <formula>"Towel"</formula>
    </cfRule>
    <cfRule type="cellIs" dxfId="3466" priority="1686" stopIfTrue="1" operator="equal">
      <formula>"Napkin Hs"</formula>
    </cfRule>
  </conditionalFormatting>
  <conditionalFormatting sqref="C93">
    <cfRule type="cellIs" dxfId="3465" priority="1681" stopIfTrue="1" operator="equal">
      <formula>"Towel"</formula>
    </cfRule>
    <cfRule type="cellIs" dxfId="3464" priority="1682" stopIfTrue="1" operator="equal">
      <formula>"Napkin Hs"</formula>
    </cfRule>
  </conditionalFormatting>
  <conditionalFormatting sqref="C93">
    <cfRule type="cellIs" dxfId="3463" priority="1683" stopIfTrue="1" operator="equal">
      <formula>"Towel"</formula>
    </cfRule>
    <cfRule type="cellIs" dxfId="3462" priority="1684" stopIfTrue="1" operator="equal">
      <formula>"Napkin Hs"</formula>
    </cfRule>
  </conditionalFormatting>
  <conditionalFormatting sqref="B93:C93">
    <cfRule type="cellIs" dxfId="3461" priority="1677" stopIfTrue="1" operator="equal">
      <formula>"Towel"</formula>
    </cfRule>
    <cfRule type="cellIs" dxfId="3460" priority="1678" stopIfTrue="1" operator="equal">
      <formula>"Napkin Hs"</formula>
    </cfRule>
  </conditionalFormatting>
  <conditionalFormatting sqref="C93">
    <cfRule type="cellIs" dxfId="3459" priority="1679" stopIfTrue="1" operator="equal">
      <formula>"Towel"</formula>
    </cfRule>
    <cfRule type="cellIs" dxfId="3458" priority="1680" stopIfTrue="1" operator="equal">
      <formula>"Napkin Hs"</formula>
    </cfRule>
  </conditionalFormatting>
  <conditionalFormatting sqref="C93">
    <cfRule type="cellIs" dxfId="3457" priority="1675" stopIfTrue="1" operator="equal">
      <formula>"Towel"</formula>
    </cfRule>
    <cfRule type="cellIs" dxfId="3456" priority="1676" stopIfTrue="1" operator="equal">
      <formula>"Napkin Hs"</formula>
    </cfRule>
  </conditionalFormatting>
  <conditionalFormatting sqref="B93:C93">
    <cfRule type="cellIs" dxfId="3455" priority="1673" stopIfTrue="1" operator="equal">
      <formula>"Towel"</formula>
    </cfRule>
    <cfRule type="cellIs" dxfId="3454" priority="1674" stopIfTrue="1" operator="equal">
      <formula>"Napkin Hs"</formula>
    </cfRule>
  </conditionalFormatting>
  <conditionalFormatting sqref="C93">
    <cfRule type="cellIs" dxfId="3453" priority="1672" stopIfTrue="1" operator="equal">
      <formula>"Napkin Hs"</formula>
    </cfRule>
  </conditionalFormatting>
  <conditionalFormatting sqref="C93">
    <cfRule type="cellIs" dxfId="3452" priority="1669" stopIfTrue="1" operator="equal">
      <formula>"Towel"</formula>
    </cfRule>
    <cfRule type="cellIs" dxfId="3451" priority="1670" stopIfTrue="1" operator="equal">
      <formula>"Napkin Hs"</formula>
    </cfRule>
  </conditionalFormatting>
  <conditionalFormatting sqref="C93">
    <cfRule type="cellIs" dxfId="3450" priority="1671" stopIfTrue="1" operator="equal">
      <formula>"Towel"</formula>
    </cfRule>
  </conditionalFormatting>
  <conditionalFormatting sqref="B93:C93">
    <cfRule type="cellIs" dxfId="3449" priority="1667" stopIfTrue="1" operator="equal">
      <formula>"Towel"</formula>
    </cfRule>
    <cfRule type="cellIs" dxfId="3448" priority="1668" stopIfTrue="1" operator="equal">
      <formula>"Napkin Hs"</formula>
    </cfRule>
  </conditionalFormatting>
  <conditionalFormatting sqref="C93">
    <cfRule type="cellIs" dxfId="3447" priority="1663" stopIfTrue="1" operator="equal">
      <formula>"Towel"</formula>
    </cfRule>
    <cfRule type="cellIs" dxfId="3446" priority="1664" stopIfTrue="1" operator="equal">
      <formula>"Napkin Hs"</formula>
    </cfRule>
  </conditionalFormatting>
  <conditionalFormatting sqref="C93">
    <cfRule type="cellIs" dxfId="3445" priority="1665" stopIfTrue="1" operator="equal">
      <formula>"Towel"</formula>
    </cfRule>
    <cfRule type="cellIs" dxfId="3444" priority="1666" stopIfTrue="1" operator="equal">
      <formula>"Napkin Hs"</formula>
    </cfRule>
  </conditionalFormatting>
  <conditionalFormatting sqref="B93:C93">
    <cfRule type="cellIs" dxfId="3443" priority="1661" stopIfTrue="1" operator="equal">
      <formula>"Towel"</formula>
    </cfRule>
    <cfRule type="cellIs" dxfId="3442" priority="1662" stopIfTrue="1" operator="equal">
      <formula>"Napkin Hs"</formula>
    </cfRule>
  </conditionalFormatting>
  <conditionalFormatting sqref="C93">
    <cfRule type="cellIs" dxfId="3441" priority="1660" stopIfTrue="1" operator="equal">
      <formula>"Napkin Hs"</formula>
    </cfRule>
  </conditionalFormatting>
  <conditionalFormatting sqref="C93">
    <cfRule type="cellIs" dxfId="3440" priority="1657" stopIfTrue="1" operator="equal">
      <formula>"Towel"</formula>
    </cfRule>
    <cfRule type="cellIs" dxfId="3439" priority="1658" stopIfTrue="1" operator="equal">
      <formula>"Napkin Hs"</formula>
    </cfRule>
  </conditionalFormatting>
  <conditionalFormatting sqref="C93">
    <cfRule type="cellIs" dxfId="3438" priority="1659" stopIfTrue="1" operator="equal">
      <formula>"Towel"</formula>
    </cfRule>
  </conditionalFormatting>
  <conditionalFormatting sqref="B93:C93">
    <cfRule type="cellIs" dxfId="3437" priority="1655" stopIfTrue="1" operator="equal">
      <formula>"Towel"</formula>
    </cfRule>
    <cfRule type="cellIs" dxfId="3436" priority="1656" stopIfTrue="1" operator="equal">
      <formula>"Napkin Hs"</formula>
    </cfRule>
  </conditionalFormatting>
  <conditionalFormatting sqref="C93">
    <cfRule type="cellIs" dxfId="3435" priority="1653" stopIfTrue="1" operator="equal">
      <formula>"Towel"</formula>
    </cfRule>
    <cfRule type="cellIs" dxfId="3434" priority="1654" stopIfTrue="1" operator="equal">
      <formula>"Napkin Hs"</formula>
    </cfRule>
  </conditionalFormatting>
  <conditionalFormatting sqref="C93">
    <cfRule type="cellIs" dxfId="3433" priority="1651" stopIfTrue="1" operator="equal">
      <formula>"Towel"</formula>
    </cfRule>
    <cfRule type="cellIs" dxfId="3432" priority="1652" stopIfTrue="1" operator="equal">
      <formula>"Napkin Hs"</formula>
    </cfRule>
  </conditionalFormatting>
  <conditionalFormatting sqref="B93:C93">
    <cfRule type="cellIs" dxfId="3431" priority="1649" stopIfTrue="1" operator="equal">
      <formula>"Towel"</formula>
    </cfRule>
    <cfRule type="cellIs" dxfId="3430" priority="1650" stopIfTrue="1" operator="equal">
      <formula>"Napkin Hs"</formula>
    </cfRule>
  </conditionalFormatting>
  <conditionalFormatting sqref="C93">
    <cfRule type="cellIs" dxfId="3429" priority="1648" stopIfTrue="1" operator="equal">
      <formula>"Napkin Hs"</formula>
    </cfRule>
  </conditionalFormatting>
  <conditionalFormatting sqref="C93">
    <cfRule type="cellIs" dxfId="3428" priority="1645" stopIfTrue="1" operator="equal">
      <formula>"Towel"</formula>
    </cfRule>
    <cfRule type="cellIs" dxfId="3427" priority="1646" stopIfTrue="1" operator="equal">
      <formula>"Napkin Hs"</formula>
    </cfRule>
  </conditionalFormatting>
  <conditionalFormatting sqref="C93">
    <cfRule type="cellIs" dxfId="3426" priority="1647" stopIfTrue="1" operator="equal">
      <formula>"Towel"</formula>
    </cfRule>
  </conditionalFormatting>
  <conditionalFormatting sqref="B93:C93">
    <cfRule type="cellIs" dxfId="3425" priority="1643" stopIfTrue="1" operator="equal">
      <formula>"Towel"</formula>
    </cfRule>
    <cfRule type="cellIs" dxfId="3424" priority="1644" stopIfTrue="1" operator="equal">
      <formula>"Napkin Hs"</formula>
    </cfRule>
  </conditionalFormatting>
  <conditionalFormatting sqref="C93">
    <cfRule type="cellIs" dxfId="3423" priority="1642" stopIfTrue="1" operator="equal">
      <formula>"Napkin Hs"</formula>
    </cfRule>
  </conditionalFormatting>
  <conditionalFormatting sqref="C93">
    <cfRule type="cellIs" dxfId="3422" priority="1641" stopIfTrue="1" operator="equal">
      <formula>"Towel"</formula>
    </cfRule>
  </conditionalFormatting>
  <conditionalFormatting sqref="C93">
    <cfRule type="cellIs" dxfId="3421" priority="1639" stopIfTrue="1" operator="equal">
      <formula>"Towel"</formula>
    </cfRule>
    <cfRule type="cellIs" dxfId="3420" priority="1640" stopIfTrue="1" operator="equal">
      <formula>"Napkin Hs"</formula>
    </cfRule>
  </conditionalFormatting>
  <conditionalFormatting sqref="B93:C93">
    <cfRule type="cellIs" dxfId="3419" priority="1637" stopIfTrue="1" operator="equal">
      <formula>"Towel"</formula>
    </cfRule>
    <cfRule type="cellIs" dxfId="3418" priority="1638" stopIfTrue="1" operator="equal">
      <formula>"Napkin Hs"</formula>
    </cfRule>
  </conditionalFormatting>
  <conditionalFormatting sqref="C93">
    <cfRule type="cellIs" dxfId="3417" priority="1636" stopIfTrue="1" operator="equal">
      <formula>"Napkin Hs"</formula>
    </cfRule>
  </conditionalFormatting>
  <conditionalFormatting sqref="C93">
    <cfRule type="cellIs" dxfId="3416" priority="1633" stopIfTrue="1" operator="equal">
      <formula>"Towel"</formula>
    </cfRule>
    <cfRule type="cellIs" dxfId="3415" priority="1634" stopIfTrue="1" operator="equal">
      <formula>"Napkin Hs"</formula>
    </cfRule>
  </conditionalFormatting>
  <conditionalFormatting sqref="C93">
    <cfRule type="cellIs" dxfId="3414" priority="1635" stopIfTrue="1" operator="equal">
      <formula>"Towel"</formula>
    </cfRule>
  </conditionalFormatting>
  <conditionalFormatting sqref="B93:C93">
    <cfRule type="cellIs" dxfId="3413" priority="1631" stopIfTrue="1" operator="equal">
      <formula>"Towel"</formula>
    </cfRule>
    <cfRule type="cellIs" dxfId="3412" priority="1632" stopIfTrue="1" operator="equal">
      <formula>"Napkin Hs"</formula>
    </cfRule>
  </conditionalFormatting>
  <conditionalFormatting sqref="C93">
    <cfRule type="cellIs" dxfId="3411" priority="1630" stopIfTrue="1" operator="equal">
      <formula>"Napkin Hs"</formula>
    </cfRule>
  </conditionalFormatting>
  <conditionalFormatting sqref="C93">
    <cfRule type="cellIs" dxfId="3410" priority="1627" stopIfTrue="1" operator="equal">
      <formula>"Towel"</formula>
    </cfRule>
    <cfRule type="cellIs" dxfId="3409" priority="1628" stopIfTrue="1" operator="equal">
      <formula>"Napkin Hs"</formula>
    </cfRule>
  </conditionalFormatting>
  <conditionalFormatting sqref="C93">
    <cfRule type="cellIs" dxfId="3408" priority="1629" stopIfTrue="1" operator="equal">
      <formula>"Towel"</formula>
    </cfRule>
  </conditionalFormatting>
  <conditionalFormatting sqref="B93:C93">
    <cfRule type="cellIs" dxfId="3407" priority="1625" stopIfTrue="1" operator="equal">
      <formula>"Towel"</formula>
    </cfRule>
    <cfRule type="cellIs" dxfId="3406" priority="1626" stopIfTrue="1" operator="equal">
      <formula>"Napkin Hs"</formula>
    </cfRule>
  </conditionalFormatting>
  <conditionalFormatting sqref="C93">
    <cfRule type="cellIs" dxfId="3405" priority="1624" stopIfTrue="1" operator="equal">
      <formula>"Napkin Hs"</formula>
    </cfRule>
  </conditionalFormatting>
  <conditionalFormatting sqref="C93">
    <cfRule type="cellIs" dxfId="3404" priority="1621" stopIfTrue="1" operator="equal">
      <formula>"Towel"</formula>
    </cfRule>
    <cfRule type="cellIs" dxfId="3403" priority="1622" stopIfTrue="1" operator="equal">
      <formula>"Napkin Hs"</formula>
    </cfRule>
  </conditionalFormatting>
  <conditionalFormatting sqref="C93">
    <cfRule type="cellIs" dxfId="3402" priority="1623" stopIfTrue="1" operator="equal">
      <formula>"Towel"</formula>
    </cfRule>
  </conditionalFormatting>
  <conditionalFormatting sqref="B93:C93">
    <cfRule type="cellIs" dxfId="3401" priority="1619" stopIfTrue="1" operator="equal">
      <formula>"Towel"</formula>
    </cfRule>
    <cfRule type="cellIs" dxfId="3400" priority="1620" stopIfTrue="1" operator="equal">
      <formula>"Napkin Hs"</formula>
    </cfRule>
  </conditionalFormatting>
  <conditionalFormatting sqref="C93">
    <cfRule type="cellIs" dxfId="3399" priority="1618" stopIfTrue="1" operator="equal">
      <formula>"Napkin Hs"</formula>
    </cfRule>
  </conditionalFormatting>
  <conditionalFormatting sqref="C93">
    <cfRule type="cellIs" dxfId="3398" priority="1615" stopIfTrue="1" operator="equal">
      <formula>"Towel"</formula>
    </cfRule>
    <cfRule type="cellIs" dxfId="3397" priority="1616" stopIfTrue="1" operator="equal">
      <formula>"Napkin Hs"</formula>
    </cfRule>
  </conditionalFormatting>
  <conditionalFormatting sqref="C93">
    <cfRule type="cellIs" dxfId="3396" priority="1617" stopIfTrue="1" operator="equal">
      <formula>"Towel"</formula>
    </cfRule>
  </conditionalFormatting>
  <conditionalFormatting sqref="B93:C93">
    <cfRule type="cellIs" dxfId="3395" priority="1613" stopIfTrue="1" operator="equal">
      <formula>"Towel"</formula>
    </cfRule>
    <cfRule type="cellIs" dxfId="3394" priority="1614" stopIfTrue="1" operator="equal">
      <formula>"Napkin Hs"</formula>
    </cfRule>
  </conditionalFormatting>
  <conditionalFormatting sqref="C93">
    <cfRule type="cellIs" dxfId="3393" priority="1612" stopIfTrue="1" operator="equal">
      <formula>"Napkin Hs"</formula>
    </cfRule>
  </conditionalFormatting>
  <conditionalFormatting sqref="C93">
    <cfRule type="cellIs" dxfId="3392" priority="1609" stopIfTrue="1" operator="equal">
      <formula>"Towel"</formula>
    </cfRule>
    <cfRule type="cellIs" dxfId="3391" priority="1610" stopIfTrue="1" operator="equal">
      <formula>"Napkin Hs"</formula>
    </cfRule>
  </conditionalFormatting>
  <conditionalFormatting sqref="C93">
    <cfRule type="cellIs" dxfId="3390" priority="1611" stopIfTrue="1" operator="equal">
      <formula>"Towel"</formula>
    </cfRule>
  </conditionalFormatting>
  <conditionalFormatting sqref="B93:C93">
    <cfRule type="cellIs" dxfId="3389" priority="1607" stopIfTrue="1" operator="equal">
      <formula>"Towel"</formula>
    </cfRule>
    <cfRule type="cellIs" dxfId="3388" priority="1608" stopIfTrue="1" operator="equal">
      <formula>"Napkin Hs"</formula>
    </cfRule>
  </conditionalFormatting>
  <conditionalFormatting sqref="C93">
    <cfRule type="cellIs" dxfId="3387" priority="1606" stopIfTrue="1" operator="equal">
      <formula>"Napkin Hs"</formula>
    </cfRule>
  </conditionalFormatting>
  <conditionalFormatting sqref="C93">
    <cfRule type="cellIs" dxfId="3386" priority="1603" stopIfTrue="1" operator="equal">
      <formula>"Towel"</formula>
    </cfRule>
    <cfRule type="cellIs" dxfId="3385" priority="1604" stopIfTrue="1" operator="equal">
      <formula>"Napkin Hs"</formula>
    </cfRule>
  </conditionalFormatting>
  <conditionalFormatting sqref="C93">
    <cfRule type="cellIs" dxfId="3384" priority="1605" stopIfTrue="1" operator="equal">
      <formula>"Towel"</formula>
    </cfRule>
  </conditionalFormatting>
  <conditionalFormatting sqref="B93:C93">
    <cfRule type="cellIs" dxfId="3383" priority="1601" stopIfTrue="1" operator="equal">
      <formula>"Towel"</formula>
    </cfRule>
    <cfRule type="cellIs" dxfId="3382" priority="1602" stopIfTrue="1" operator="equal">
      <formula>"Napkin Hs"</formula>
    </cfRule>
  </conditionalFormatting>
  <conditionalFormatting sqref="C93">
    <cfRule type="cellIs" dxfId="3381" priority="1600" stopIfTrue="1" operator="equal">
      <formula>"Napkin Hs"</formula>
    </cfRule>
  </conditionalFormatting>
  <conditionalFormatting sqref="C93">
    <cfRule type="cellIs" dxfId="3380" priority="1597" stopIfTrue="1" operator="equal">
      <formula>"Towel"</formula>
    </cfRule>
    <cfRule type="cellIs" dxfId="3379" priority="1598" stopIfTrue="1" operator="equal">
      <formula>"Napkin Hs"</formula>
    </cfRule>
  </conditionalFormatting>
  <conditionalFormatting sqref="C93">
    <cfRule type="cellIs" dxfId="3378" priority="1599" stopIfTrue="1" operator="equal">
      <formula>"Towel"</formula>
    </cfRule>
  </conditionalFormatting>
  <conditionalFormatting sqref="B93:C93">
    <cfRule type="cellIs" dxfId="3377" priority="1595" stopIfTrue="1" operator="equal">
      <formula>"Towel"</formula>
    </cfRule>
    <cfRule type="cellIs" dxfId="3376" priority="1596" stopIfTrue="1" operator="equal">
      <formula>"Napkin Hs"</formula>
    </cfRule>
  </conditionalFormatting>
  <conditionalFormatting sqref="C93">
    <cfRule type="cellIs" dxfId="3375" priority="1594" stopIfTrue="1" operator="equal">
      <formula>"Napkin Hs"</formula>
    </cfRule>
  </conditionalFormatting>
  <conditionalFormatting sqref="C93">
    <cfRule type="cellIs" dxfId="3374" priority="1591" stopIfTrue="1" operator="equal">
      <formula>"Towel"</formula>
    </cfRule>
    <cfRule type="cellIs" dxfId="3373" priority="1592" stopIfTrue="1" operator="equal">
      <formula>"Napkin Hs"</formula>
    </cfRule>
  </conditionalFormatting>
  <conditionalFormatting sqref="C93">
    <cfRule type="cellIs" dxfId="3372" priority="1593" stopIfTrue="1" operator="equal">
      <formula>"Towel"</formula>
    </cfRule>
  </conditionalFormatting>
  <conditionalFormatting sqref="B93:C93">
    <cfRule type="cellIs" dxfId="3371" priority="1589" stopIfTrue="1" operator="equal">
      <formula>"Towel"</formula>
    </cfRule>
    <cfRule type="cellIs" dxfId="3370" priority="1590" stopIfTrue="1" operator="equal">
      <formula>"Napkin Hs"</formula>
    </cfRule>
  </conditionalFormatting>
  <conditionalFormatting sqref="C93">
    <cfRule type="cellIs" dxfId="3369" priority="1588" stopIfTrue="1" operator="equal">
      <formula>"Napkin Hs"</formula>
    </cfRule>
  </conditionalFormatting>
  <conditionalFormatting sqref="C93">
    <cfRule type="cellIs" dxfId="3368" priority="1585" stopIfTrue="1" operator="equal">
      <formula>"Towel"</formula>
    </cfRule>
    <cfRule type="cellIs" dxfId="3367" priority="1586" stopIfTrue="1" operator="equal">
      <formula>"Napkin Hs"</formula>
    </cfRule>
  </conditionalFormatting>
  <conditionalFormatting sqref="C93">
    <cfRule type="cellIs" dxfId="3366" priority="1587" stopIfTrue="1" operator="equal">
      <formula>"Towel"</formula>
    </cfRule>
  </conditionalFormatting>
  <conditionalFormatting sqref="B93:C93">
    <cfRule type="cellIs" dxfId="3365" priority="1583" stopIfTrue="1" operator="equal">
      <formula>"Towel"</formula>
    </cfRule>
    <cfRule type="cellIs" dxfId="3364" priority="1584" stopIfTrue="1" operator="equal">
      <formula>"Napkin Hs"</formula>
    </cfRule>
  </conditionalFormatting>
  <conditionalFormatting sqref="C93">
    <cfRule type="cellIs" dxfId="3363" priority="1582" stopIfTrue="1" operator="equal">
      <formula>"Napkin Hs"</formula>
    </cfRule>
  </conditionalFormatting>
  <conditionalFormatting sqref="C93">
    <cfRule type="cellIs" dxfId="3362" priority="1579" stopIfTrue="1" operator="equal">
      <formula>"Towel"</formula>
    </cfRule>
    <cfRule type="cellIs" dxfId="3361" priority="1580" stopIfTrue="1" operator="equal">
      <formula>"Napkin Hs"</formula>
    </cfRule>
  </conditionalFormatting>
  <conditionalFormatting sqref="C93">
    <cfRule type="cellIs" dxfId="3360" priority="1581" stopIfTrue="1" operator="equal">
      <formula>"Towel"</formula>
    </cfRule>
  </conditionalFormatting>
  <conditionalFormatting sqref="B93:C93">
    <cfRule type="cellIs" dxfId="3359" priority="1577" stopIfTrue="1" operator="equal">
      <formula>"Towel"</formula>
    </cfRule>
    <cfRule type="cellIs" dxfId="3358" priority="1578" stopIfTrue="1" operator="equal">
      <formula>"Napkin Hs"</formula>
    </cfRule>
  </conditionalFormatting>
  <conditionalFormatting sqref="C93">
    <cfRule type="cellIs" dxfId="3357" priority="1576" stopIfTrue="1" operator="equal">
      <formula>"Napkin Hs"</formula>
    </cfRule>
  </conditionalFormatting>
  <conditionalFormatting sqref="C93">
    <cfRule type="cellIs" dxfId="3356" priority="1575" stopIfTrue="1" operator="equal">
      <formula>"Towel"</formula>
    </cfRule>
  </conditionalFormatting>
  <conditionalFormatting sqref="C93">
    <cfRule type="cellIs" dxfId="3355" priority="1573" stopIfTrue="1" operator="equal">
      <formula>"Towel"</formula>
    </cfRule>
    <cfRule type="cellIs" dxfId="3354" priority="1574" stopIfTrue="1" operator="equal">
      <formula>"Napkin Hs"</formula>
    </cfRule>
  </conditionalFormatting>
  <conditionalFormatting sqref="B93:C93">
    <cfRule type="cellIs" dxfId="3353" priority="1571" stopIfTrue="1" operator="equal">
      <formula>"Towel"</formula>
    </cfRule>
    <cfRule type="cellIs" dxfId="3352" priority="1572" stopIfTrue="1" operator="equal">
      <formula>"Napkin Hs"</formula>
    </cfRule>
  </conditionalFormatting>
  <conditionalFormatting sqref="C93">
    <cfRule type="cellIs" dxfId="3351" priority="1570" stopIfTrue="1" operator="equal">
      <formula>"Napkin Hs"</formula>
    </cfRule>
  </conditionalFormatting>
  <conditionalFormatting sqref="C93">
    <cfRule type="cellIs" dxfId="3350" priority="1567" stopIfTrue="1" operator="equal">
      <formula>"Towel"</formula>
    </cfRule>
    <cfRule type="cellIs" dxfId="3349" priority="1568" stopIfTrue="1" operator="equal">
      <formula>"Napkin Hs"</formula>
    </cfRule>
  </conditionalFormatting>
  <conditionalFormatting sqref="C93">
    <cfRule type="cellIs" dxfId="3348" priority="1569" stopIfTrue="1" operator="equal">
      <formula>"Towel"</formula>
    </cfRule>
  </conditionalFormatting>
  <conditionalFormatting sqref="B93:C93">
    <cfRule type="cellIs" dxfId="3347" priority="1565" stopIfTrue="1" operator="equal">
      <formula>"Towel"</formula>
    </cfRule>
    <cfRule type="cellIs" dxfId="3346" priority="1566" stopIfTrue="1" operator="equal">
      <formula>"Napkin Hs"</formula>
    </cfRule>
  </conditionalFormatting>
  <conditionalFormatting sqref="C93">
    <cfRule type="cellIs" dxfId="3345" priority="1564" stopIfTrue="1" operator="equal">
      <formula>"Napkin Hs"</formula>
    </cfRule>
  </conditionalFormatting>
  <conditionalFormatting sqref="C93">
    <cfRule type="cellIs" dxfId="3344" priority="1561" stopIfTrue="1" operator="equal">
      <formula>"Towel"</formula>
    </cfRule>
    <cfRule type="cellIs" dxfId="3343" priority="1562" stopIfTrue="1" operator="equal">
      <formula>"Napkin Hs"</formula>
    </cfRule>
  </conditionalFormatting>
  <conditionalFormatting sqref="C93">
    <cfRule type="cellIs" dxfId="3342" priority="1563" stopIfTrue="1" operator="equal">
      <formula>"Towel"</formula>
    </cfRule>
  </conditionalFormatting>
  <conditionalFormatting sqref="B93:C93">
    <cfRule type="cellIs" dxfId="3341" priority="1559" stopIfTrue="1" operator="equal">
      <formula>"Towel"</formula>
    </cfRule>
    <cfRule type="cellIs" dxfId="3340" priority="1560" stopIfTrue="1" operator="equal">
      <formula>"Napkin Hs"</formula>
    </cfRule>
  </conditionalFormatting>
  <conditionalFormatting sqref="C93">
    <cfRule type="cellIs" dxfId="3339" priority="1558" stopIfTrue="1" operator="equal">
      <formula>"Napkin Hs"</formula>
    </cfRule>
  </conditionalFormatting>
  <conditionalFormatting sqref="C93">
    <cfRule type="cellIs" dxfId="3338" priority="1555" stopIfTrue="1" operator="equal">
      <formula>"Towel"</formula>
    </cfRule>
    <cfRule type="cellIs" dxfId="3337" priority="1556" stopIfTrue="1" operator="equal">
      <formula>"Napkin Hs"</formula>
    </cfRule>
  </conditionalFormatting>
  <conditionalFormatting sqref="C93">
    <cfRule type="cellIs" dxfId="3336" priority="1557" stopIfTrue="1" operator="equal">
      <formula>"Towel"</formula>
    </cfRule>
  </conditionalFormatting>
  <conditionalFormatting sqref="B93:C93">
    <cfRule type="cellIs" dxfId="3335" priority="1553" stopIfTrue="1" operator="equal">
      <formula>"Towel"</formula>
    </cfRule>
    <cfRule type="cellIs" dxfId="3334" priority="1554" stopIfTrue="1" operator="equal">
      <formula>"Napkin Hs"</formula>
    </cfRule>
  </conditionalFormatting>
  <conditionalFormatting sqref="C93">
    <cfRule type="cellIs" dxfId="3333" priority="1552" stopIfTrue="1" operator="equal">
      <formula>"Napkin Hs"</formula>
    </cfRule>
  </conditionalFormatting>
  <conditionalFormatting sqref="C93">
    <cfRule type="cellIs" dxfId="3332" priority="1549" stopIfTrue="1" operator="equal">
      <formula>"Towel"</formula>
    </cfRule>
    <cfRule type="cellIs" dxfId="3331" priority="1550" stopIfTrue="1" operator="equal">
      <formula>"Napkin Hs"</formula>
    </cfRule>
  </conditionalFormatting>
  <conditionalFormatting sqref="C93">
    <cfRule type="cellIs" dxfId="3330" priority="1551" stopIfTrue="1" operator="equal">
      <formula>"Towel"</formula>
    </cfRule>
  </conditionalFormatting>
  <conditionalFormatting sqref="B93:C93">
    <cfRule type="cellIs" dxfId="3329" priority="1547" stopIfTrue="1" operator="equal">
      <formula>"Towel"</formula>
    </cfRule>
    <cfRule type="cellIs" dxfId="3328" priority="1548" stopIfTrue="1" operator="equal">
      <formula>"Napkin Hs"</formula>
    </cfRule>
  </conditionalFormatting>
  <conditionalFormatting sqref="C93">
    <cfRule type="cellIs" dxfId="3327" priority="1546" stopIfTrue="1" operator="equal">
      <formula>"Napkin Hs"</formula>
    </cfRule>
  </conditionalFormatting>
  <conditionalFormatting sqref="C93">
    <cfRule type="cellIs" dxfId="3326" priority="1543" stopIfTrue="1" operator="equal">
      <formula>"Towel"</formula>
    </cfRule>
    <cfRule type="cellIs" dxfId="3325" priority="1544" stopIfTrue="1" operator="equal">
      <formula>"Napkin Hs"</formula>
    </cfRule>
  </conditionalFormatting>
  <conditionalFormatting sqref="C93">
    <cfRule type="cellIs" dxfId="3324" priority="1545" stopIfTrue="1" operator="equal">
      <formula>"Towel"</formula>
    </cfRule>
  </conditionalFormatting>
  <conditionalFormatting sqref="B93:C93">
    <cfRule type="cellIs" dxfId="3323" priority="1541" stopIfTrue="1" operator="equal">
      <formula>"Towel"</formula>
    </cfRule>
    <cfRule type="cellIs" dxfId="3322" priority="1542" stopIfTrue="1" operator="equal">
      <formula>"Napkin Hs"</formula>
    </cfRule>
  </conditionalFormatting>
  <conditionalFormatting sqref="C93">
    <cfRule type="cellIs" dxfId="3321" priority="1540" stopIfTrue="1" operator="equal">
      <formula>"Napkin Hs"</formula>
    </cfRule>
  </conditionalFormatting>
  <conditionalFormatting sqref="C93">
    <cfRule type="cellIs" dxfId="3320" priority="1537" stopIfTrue="1" operator="equal">
      <formula>"Towel"</formula>
    </cfRule>
    <cfRule type="cellIs" dxfId="3319" priority="1538" stopIfTrue="1" operator="equal">
      <formula>"Napkin Hs"</formula>
    </cfRule>
  </conditionalFormatting>
  <conditionalFormatting sqref="C93">
    <cfRule type="cellIs" dxfId="3318" priority="1539" stopIfTrue="1" operator="equal">
      <formula>"Towel"</formula>
    </cfRule>
  </conditionalFormatting>
  <conditionalFormatting sqref="B93:C93">
    <cfRule type="cellIs" dxfId="3317" priority="1535" stopIfTrue="1" operator="equal">
      <formula>"Towel"</formula>
    </cfRule>
    <cfRule type="cellIs" dxfId="3316" priority="1536" stopIfTrue="1" operator="equal">
      <formula>"Napkin Hs"</formula>
    </cfRule>
  </conditionalFormatting>
  <conditionalFormatting sqref="C93">
    <cfRule type="cellIs" dxfId="3315" priority="1534" stopIfTrue="1" operator="equal">
      <formula>"Napkin Hs"</formula>
    </cfRule>
  </conditionalFormatting>
  <conditionalFormatting sqref="C93">
    <cfRule type="cellIs" dxfId="3314" priority="1531" stopIfTrue="1" operator="equal">
      <formula>"Towel"</formula>
    </cfRule>
    <cfRule type="cellIs" dxfId="3313" priority="1532" stopIfTrue="1" operator="equal">
      <formula>"Napkin Hs"</formula>
    </cfRule>
  </conditionalFormatting>
  <conditionalFormatting sqref="C93">
    <cfRule type="cellIs" dxfId="3312" priority="1533" stopIfTrue="1" operator="equal">
      <formula>"Towel"</formula>
    </cfRule>
  </conditionalFormatting>
  <conditionalFormatting sqref="B93:C93">
    <cfRule type="cellIs" dxfId="3311" priority="1529" stopIfTrue="1" operator="equal">
      <formula>"Towel"</formula>
    </cfRule>
    <cfRule type="cellIs" dxfId="3310" priority="1530" stopIfTrue="1" operator="equal">
      <formula>"Napkin Hs"</formula>
    </cfRule>
  </conditionalFormatting>
  <conditionalFormatting sqref="C93">
    <cfRule type="cellIs" dxfId="3309" priority="1528" stopIfTrue="1" operator="equal">
      <formula>"Napkin Hs"</formula>
    </cfRule>
  </conditionalFormatting>
  <conditionalFormatting sqref="C93">
    <cfRule type="cellIs" dxfId="3308" priority="1525" stopIfTrue="1" operator="equal">
      <formula>"Towel"</formula>
    </cfRule>
    <cfRule type="cellIs" dxfId="3307" priority="1526" stopIfTrue="1" operator="equal">
      <formula>"Napkin Hs"</formula>
    </cfRule>
  </conditionalFormatting>
  <conditionalFormatting sqref="C93">
    <cfRule type="cellIs" dxfId="3306" priority="1527" stopIfTrue="1" operator="equal">
      <formula>"Towel"</formula>
    </cfRule>
  </conditionalFormatting>
  <conditionalFormatting sqref="B93:C93">
    <cfRule type="cellIs" dxfId="3305" priority="1523" stopIfTrue="1" operator="equal">
      <formula>"Towel"</formula>
    </cfRule>
    <cfRule type="cellIs" dxfId="3304" priority="1524" stopIfTrue="1" operator="equal">
      <formula>"Napkin Hs"</formula>
    </cfRule>
  </conditionalFormatting>
  <conditionalFormatting sqref="C93">
    <cfRule type="cellIs" dxfId="3303" priority="1522" stopIfTrue="1" operator="equal">
      <formula>"Napkin Hs"</formula>
    </cfRule>
  </conditionalFormatting>
  <conditionalFormatting sqref="C93">
    <cfRule type="cellIs" dxfId="3302" priority="1519" stopIfTrue="1" operator="equal">
      <formula>"Towel"</formula>
    </cfRule>
    <cfRule type="cellIs" dxfId="3301" priority="1520" stopIfTrue="1" operator="equal">
      <formula>"Napkin Hs"</formula>
    </cfRule>
  </conditionalFormatting>
  <conditionalFormatting sqref="C93">
    <cfRule type="cellIs" dxfId="3300" priority="1521" stopIfTrue="1" operator="equal">
      <formula>"Towel"</formula>
    </cfRule>
  </conditionalFormatting>
  <conditionalFormatting sqref="B92:C92">
    <cfRule type="cellIs" dxfId="3299" priority="1517" stopIfTrue="1" operator="equal">
      <formula>"Towel"</formula>
    </cfRule>
    <cfRule type="cellIs" dxfId="3298" priority="1518" stopIfTrue="1" operator="equal">
      <formula>"Napkin Hs"</formula>
    </cfRule>
  </conditionalFormatting>
  <conditionalFormatting sqref="C92">
    <cfRule type="cellIs" dxfId="3297" priority="1516" stopIfTrue="1" operator="equal">
      <formula>"Napkin Hs"</formula>
    </cfRule>
  </conditionalFormatting>
  <conditionalFormatting sqref="C92">
    <cfRule type="cellIs" dxfId="3296" priority="1513" stopIfTrue="1" operator="equal">
      <formula>"Towel"</formula>
    </cfRule>
    <cfRule type="cellIs" dxfId="3295" priority="1514" stopIfTrue="1" operator="equal">
      <formula>"Napkin Hs"</formula>
    </cfRule>
  </conditionalFormatting>
  <conditionalFormatting sqref="C92">
    <cfRule type="cellIs" dxfId="3294" priority="1515" stopIfTrue="1" operator="equal">
      <formula>"Towel"</formula>
    </cfRule>
  </conditionalFormatting>
  <conditionalFormatting sqref="B92:C92">
    <cfRule type="cellIs" dxfId="3293" priority="1511" stopIfTrue="1" operator="equal">
      <formula>"Towel"</formula>
    </cfRule>
    <cfRule type="cellIs" dxfId="3292" priority="1512" stopIfTrue="1" operator="equal">
      <formula>"Napkin Hs"</formula>
    </cfRule>
  </conditionalFormatting>
  <conditionalFormatting sqref="C92">
    <cfRule type="cellIs" dxfId="3291" priority="1510" stopIfTrue="1" operator="equal">
      <formula>"Napkin Hs"</formula>
    </cfRule>
  </conditionalFormatting>
  <conditionalFormatting sqref="C92">
    <cfRule type="cellIs" dxfId="3290" priority="1507" stopIfTrue="1" operator="equal">
      <formula>"Towel"</formula>
    </cfRule>
    <cfRule type="cellIs" dxfId="3289" priority="1508" stopIfTrue="1" operator="equal">
      <formula>"Napkin Hs"</formula>
    </cfRule>
  </conditionalFormatting>
  <conditionalFormatting sqref="C92">
    <cfRule type="cellIs" dxfId="3288" priority="1509" stopIfTrue="1" operator="equal">
      <formula>"Towel"</formula>
    </cfRule>
  </conditionalFormatting>
  <conditionalFormatting sqref="B92:C92">
    <cfRule type="cellIs" dxfId="3287" priority="1505" stopIfTrue="1" operator="equal">
      <formula>"Towel"</formula>
    </cfRule>
    <cfRule type="cellIs" dxfId="3286" priority="1506" stopIfTrue="1" operator="equal">
      <formula>"Napkin Hs"</formula>
    </cfRule>
  </conditionalFormatting>
  <conditionalFormatting sqref="C92">
    <cfRule type="cellIs" dxfId="3285" priority="1504" stopIfTrue="1" operator="equal">
      <formula>"Napkin Hs"</formula>
    </cfRule>
  </conditionalFormatting>
  <conditionalFormatting sqref="C92">
    <cfRule type="cellIs" dxfId="3284" priority="1501" stopIfTrue="1" operator="equal">
      <formula>"Towel"</formula>
    </cfRule>
    <cfRule type="cellIs" dxfId="3283" priority="1502" stopIfTrue="1" operator="equal">
      <formula>"Napkin Hs"</formula>
    </cfRule>
  </conditionalFormatting>
  <conditionalFormatting sqref="C92">
    <cfRule type="cellIs" dxfId="3282" priority="1503" stopIfTrue="1" operator="equal">
      <formula>"Towel"</formula>
    </cfRule>
  </conditionalFormatting>
  <conditionalFormatting sqref="B92:C92">
    <cfRule type="cellIs" dxfId="3281" priority="1499" stopIfTrue="1" operator="equal">
      <formula>"Towel"</formula>
    </cfRule>
    <cfRule type="cellIs" dxfId="3280" priority="1500" stopIfTrue="1" operator="equal">
      <formula>"Napkin Hs"</formula>
    </cfRule>
  </conditionalFormatting>
  <conditionalFormatting sqref="C92">
    <cfRule type="cellIs" dxfId="3279" priority="1495" stopIfTrue="1" operator="equal">
      <formula>"Towel"</formula>
    </cfRule>
    <cfRule type="cellIs" dxfId="3278" priority="1496" stopIfTrue="1" operator="equal">
      <formula>"Napkin Hs"</formula>
    </cfRule>
  </conditionalFormatting>
  <conditionalFormatting sqref="C92">
    <cfRule type="cellIs" dxfId="3277" priority="1497" stopIfTrue="1" operator="equal">
      <formula>"Towel"</formula>
    </cfRule>
    <cfRule type="cellIs" dxfId="3276" priority="1498" stopIfTrue="1" operator="equal">
      <formula>"Napkin Hs"</formula>
    </cfRule>
  </conditionalFormatting>
  <conditionalFormatting sqref="B92:C92">
    <cfRule type="cellIs" dxfId="3275" priority="1493" stopIfTrue="1" operator="equal">
      <formula>"Towel"</formula>
    </cfRule>
    <cfRule type="cellIs" dxfId="3274" priority="1494" stopIfTrue="1" operator="equal">
      <formula>"Napkin Hs"</formula>
    </cfRule>
  </conditionalFormatting>
  <conditionalFormatting sqref="C92">
    <cfRule type="cellIs" dxfId="3273" priority="1489" stopIfTrue="1" operator="equal">
      <formula>"Towel"</formula>
    </cfRule>
    <cfRule type="cellIs" dxfId="3272" priority="1490" stopIfTrue="1" operator="equal">
      <formula>"Napkin Hs"</formula>
    </cfRule>
  </conditionalFormatting>
  <conditionalFormatting sqref="C92">
    <cfRule type="cellIs" dxfId="3271" priority="1491" stopIfTrue="1" operator="equal">
      <formula>"Towel"</formula>
    </cfRule>
    <cfRule type="cellIs" dxfId="3270" priority="1492" stopIfTrue="1" operator="equal">
      <formula>"Napkin Hs"</formula>
    </cfRule>
  </conditionalFormatting>
  <conditionalFormatting sqref="B92:C92">
    <cfRule type="cellIs" dxfId="3269" priority="1485" stopIfTrue="1" operator="equal">
      <formula>"Towel"</formula>
    </cfRule>
    <cfRule type="cellIs" dxfId="3268" priority="1486" stopIfTrue="1" operator="equal">
      <formula>"Napkin Hs"</formula>
    </cfRule>
  </conditionalFormatting>
  <conditionalFormatting sqref="C92">
    <cfRule type="cellIs" dxfId="3267" priority="1487" stopIfTrue="1" operator="equal">
      <formula>"Towel"</formula>
    </cfRule>
    <cfRule type="cellIs" dxfId="3266" priority="1488" stopIfTrue="1" operator="equal">
      <formula>"Napkin Hs"</formula>
    </cfRule>
  </conditionalFormatting>
  <conditionalFormatting sqref="C92">
    <cfRule type="cellIs" dxfId="3265" priority="1483" stopIfTrue="1" operator="equal">
      <formula>"Towel"</formula>
    </cfRule>
    <cfRule type="cellIs" dxfId="3264" priority="1484" stopIfTrue="1" operator="equal">
      <formula>"Napkin Hs"</formula>
    </cfRule>
  </conditionalFormatting>
  <conditionalFormatting sqref="B92:C92">
    <cfRule type="cellIs" dxfId="3263" priority="1481" stopIfTrue="1" operator="equal">
      <formula>"Towel"</formula>
    </cfRule>
    <cfRule type="cellIs" dxfId="3262" priority="1482" stopIfTrue="1" operator="equal">
      <formula>"Napkin Hs"</formula>
    </cfRule>
  </conditionalFormatting>
  <conditionalFormatting sqref="C92">
    <cfRule type="cellIs" dxfId="3261" priority="1480" stopIfTrue="1" operator="equal">
      <formula>"Napkin Hs"</formula>
    </cfRule>
  </conditionalFormatting>
  <conditionalFormatting sqref="C92">
    <cfRule type="cellIs" dxfId="3260" priority="1477" stopIfTrue="1" operator="equal">
      <formula>"Towel"</formula>
    </cfRule>
    <cfRule type="cellIs" dxfId="3259" priority="1478" stopIfTrue="1" operator="equal">
      <formula>"Napkin Hs"</formula>
    </cfRule>
  </conditionalFormatting>
  <conditionalFormatting sqref="C92">
    <cfRule type="cellIs" dxfId="3258" priority="1479" stopIfTrue="1" operator="equal">
      <formula>"Towel"</formula>
    </cfRule>
  </conditionalFormatting>
  <conditionalFormatting sqref="B92:C92">
    <cfRule type="cellIs" dxfId="3257" priority="1475" stopIfTrue="1" operator="equal">
      <formula>"Towel"</formula>
    </cfRule>
    <cfRule type="cellIs" dxfId="3256" priority="1476" stopIfTrue="1" operator="equal">
      <formula>"Napkin Hs"</formula>
    </cfRule>
  </conditionalFormatting>
  <conditionalFormatting sqref="C92">
    <cfRule type="cellIs" dxfId="3255" priority="1471" stopIfTrue="1" operator="equal">
      <formula>"Towel"</formula>
    </cfRule>
    <cfRule type="cellIs" dxfId="3254" priority="1472" stopIfTrue="1" operator="equal">
      <formula>"Napkin Hs"</formula>
    </cfRule>
  </conditionalFormatting>
  <conditionalFormatting sqref="C92">
    <cfRule type="cellIs" dxfId="3253" priority="1473" stopIfTrue="1" operator="equal">
      <formula>"Towel"</formula>
    </cfRule>
    <cfRule type="cellIs" dxfId="3252" priority="1474" stopIfTrue="1" operator="equal">
      <formula>"Napkin Hs"</formula>
    </cfRule>
  </conditionalFormatting>
  <conditionalFormatting sqref="B92:C92">
    <cfRule type="cellIs" dxfId="3251" priority="1469" stopIfTrue="1" operator="equal">
      <formula>"Towel"</formula>
    </cfRule>
    <cfRule type="cellIs" dxfId="3250" priority="1470" stopIfTrue="1" operator="equal">
      <formula>"Napkin Hs"</formula>
    </cfRule>
  </conditionalFormatting>
  <conditionalFormatting sqref="C92">
    <cfRule type="cellIs" dxfId="3249" priority="1468" stopIfTrue="1" operator="equal">
      <formula>"Napkin Hs"</formula>
    </cfRule>
  </conditionalFormatting>
  <conditionalFormatting sqref="C92">
    <cfRule type="cellIs" dxfId="3248" priority="1465" stopIfTrue="1" operator="equal">
      <formula>"Towel"</formula>
    </cfRule>
    <cfRule type="cellIs" dxfId="3247" priority="1466" stopIfTrue="1" operator="equal">
      <formula>"Napkin Hs"</formula>
    </cfRule>
  </conditionalFormatting>
  <conditionalFormatting sqref="C92">
    <cfRule type="cellIs" dxfId="3246" priority="1467" stopIfTrue="1" operator="equal">
      <formula>"Towel"</formula>
    </cfRule>
  </conditionalFormatting>
  <conditionalFormatting sqref="B92:C92">
    <cfRule type="cellIs" dxfId="3245" priority="1463" stopIfTrue="1" operator="equal">
      <formula>"Towel"</formula>
    </cfRule>
    <cfRule type="cellIs" dxfId="3244" priority="1464" stopIfTrue="1" operator="equal">
      <formula>"Napkin Hs"</formula>
    </cfRule>
  </conditionalFormatting>
  <conditionalFormatting sqref="C92">
    <cfRule type="cellIs" dxfId="3243" priority="1461" stopIfTrue="1" operator="equal">
      <formula>"Towel"</formula>
    </cfRule>
    <cfRule type="cellIs" dxfId="3242" priority="1462" stopIfTrue="1" operator="equal">
      <formula>"Napkin Hs"</formula>
    </cfRule>
  </conditionalFormatting>
  <conditionalFormatting sqref="C92">
    <cfRule type="cellIs" dxfId="3241" priority="1459" stopIfTrue="1" operator="equal">
      <formula>"Towel"</formula>
    </cfRule>
    <cfRule type="cellIs" dxfId="3240" priority="1460" stopIfTrue="1" operator="equal">
      <formula>"Napkin Hs"</formula>
    </cfRule>
  </conditionalFormatting>
  <conditionalFormatting sqref="B92:C92">
    <cfRule type="cellIs" dxfId="3239" priority="1457" stopIfTrue="1" operator="equal">
      <formula>"Towel"</formula>
    </cfRule>
    <cfRule type="cellIs" dxfId="3238" priority="1458" stopIfTrue="1" operator="equal">
      <formula>"Napkin Hs"</formula>
    </cfRule>
  </conditionalFormatting>
  <conditionalFormatting sqref="C92">
    <cfRule type="cellIs" dxfId="3237" priority="1456" stopIfTrue="1" operator="equal">
      <formula>"Napkin Hs"</formula>
    </cfRule>
  </conditionalFormatting>
  <conditionalFormatting sqref="C92">
    <cfRule type="cellIs" dxfId="3236" priority="1453" stopIfTrue="1" operator="equal">
      <formula>"Towel"</formula>
    </cfRule>
    <cfRule type="cellIs" dxfId="3235" priority="1454" stopIfTrue="1" operator="equal">
      <formula>"Napkin Hs"</formula>
    </cfRule>
  </conditionalFormatting>
  <conditionalFormatting sqref="C92">
    <cfRule type="cellIs" dxfId="3234" priority="1455" stopIfTrue="1" operator="equal">
      <formula>"Towel"</formula>
    </cfRule>
  </conditionalFormatting>
  <conditionalFormatting sqref="B92:C92">
    <cfRule type="cellIs" dxfId="3233" priority="1451" stopIfTrue="1" operator="equal">
      <formula>"Towel"</formula>
    </cfRule>
    <cfRule type="cellIs" dxfId="3232" priority="1452" stopIfTrue="1" operator="equal">
      <formula>"Napkin Hs"</formula>
    </cfRule>
  </conditionalFormatting>
  <conditionalFormatting sqref="C92">
    <cfRule type="cellIs" dxfId="3231" priority="1450" stopIfTrue="1" operator="equal">
      <formula>"Napkin Hs"</formula>
    </cfRule>
  </conditionalFormatting>
  <conditionalFormatting sqref="C92">
    <cfRule type="cellIs" dxfId="3230" priority="1449" stopIfTrue="1" operator="equal">
      <formula>"Towel"</formula>
    </cfRule>
  </conditionalFormatting>
  <conditionalFormatting sqref="C92">
    <cfRule type="cellIs" dxfId="3229" priority="1447" stopIfTrue="1" operator="equal">
      <formula>"Towel"</formula>
    </cfRule>
    <cfRule type="cellIs" dxfId="3228" priority="1448" stopIfTrue="1" operator="equal">
      <formula>"Napkin Hs"</formula>
    </cfRule>
  </conditionalFormatting>
  <conditionalFormatting sqref="B92:C92">
    <cfRule type="cellIs" dxfId="3227" priority="1445" stopIfTrue="1" operator="equal">
      <formula>"Towel"</formula>
    </cfRule>
    <cfRule type="cellIs" dxfId="3226" priority="1446" stopIfTrue="1" operator="equal">
      <formula>"Napkin Hs"</formula>
    </cfRule>
  </conditionalFormatting>
  <conditionalFormatting sqref="C92">
    <cfRule type="cellIs" dxfId="3225" priority="1444" stopIfTrue="1" operator="equal">
      <formula>"Napkin Hs"</formula>
    </cfRule>
  </conditionalFormatting>
  <conditionalFormatting sqref="C92">
    <cfRule type="cellIs" dxfId="3224" priority="1441" stopIfTrue="1" operator="equal">
      <formula>"Towel"</formula>
    </cfRule>
    <cfRule type="cellIs" dxfId="3223" priority="1442" stopIfTrue="1" operator="equal">
      <formula>"Napkin Hs"</formula>
    </cfRule>
  </conditionalFormatting>
  <conditionalFormatting sqref="C92">
    <cfRule type="cellIs" dxfId="3222" priority="1443" stopIfTrue="1" operator="equal">
      <formula>"Towel"</formula>
    </cfRule>
  </conditionalFormatting>
  <conditionalFormatting sqref="B92:C92">
    <cfRule type="cellIs" dxfId="3221" priority="1439" stopIfTrue="1" operator="equal">
      <formula>"Towel"</formula>
    </cfRule>
    <cfRule type="cellIs" dxfId="3220" priority="1440" stopIfTrue="1" operator="equal">
      <formula>"Napkin Hs"</formula>
    </cfRule>
  </conditionalFormatting>
  <conditionalFormatting sqref="C92">
    <cfRule type="cellIs" dxfId="3219" priority="1438" stopIfTrue="1" operator="equal">
      <formula>"Napkin Hs"</formula>
    </cfRule>
  </conditionalFormatting>
  <conditionalFormatting sqref="C92">
    <cfRule type="cellIs" dxfId="3218" priority="1435" stopIfTrue="1" operator="equal">
      <formula>"Towel"</formula>
    </cfRule>
    <cfRule type="cellIs" dxfId="3217" priority="1436" stopIfTrue="1" operator="equal">
      <formula>"Napkin Hs"</formula>
    </cfRule>
  </conditionalFormatting>
  <conditionalFormatting sqref="C92">
    <cfRule type="cellIs" dxfId="3216" priority="1437" stopIfTrue="1" operator="equal">
      <formula>"Towel"</formula>
    </cfRule>
  </conditionalFormatting>
  <conditionalFormatting sqref="B92:C92">
    <cfRule type="cellIs" dxfId="3215" priority="1433" stopIfTrue="1" operator="equal">
      <formula>"Towel"</formula>
    </cfRule>
    <cfRule type="cellIs" dxfId="3214" priority="1434" stopIfTrue="1" operator="equal">
      <formula>"Napkin Hs"</formula>
    </cfRule>
  </conditionalFormatting>
  <conditionalFormatting sqref="C92">
    <cfRule type="cellIs" dxfId="3213" priority="1432" stopIfTrue="1" operator="equal">
      <formula>"Napkin Hs"</formula>
    </cfRule>
  </conditionalFormatting>
  <conditionalFormatting sqref="C92">
    <cfRule type="cellIs" dxfId="3212" priority="1429" stopIfTrue="1" operator="equal">
      <formula>"Towel"</formula>
    </cfRule>
    <cfRule type="cellIs" dxfId="3211" priority="1430" stopIfTrue="1" operator="equal">
      <formula>"Napkin Hs"</formula>
    </cfRule>
  </conditionalFormatting>
  <conditionalFormatting sqref="C92">
    <cfRule type="cellIs" dxfId="3210" priority="1431" stopIfTrue="1" operator="equal">
      <formula>"Towel"</formula>
    </cfRule>
  </conditionalFormatting>
  <conditionalFormatting sqref="B92:C92">
    <cfRule type="cellIs" dxfId="3209" priority="1427" stopIfTrue="1" operator="equal">
      <formula>"Towel"</formula>
    </cfRule>
    <cfRule type="cellIs" dxfId="3208" priority="1428" stopIfTrue="1" operator="equal">
      <formula>"Napkin Hs"</formula>
    </cfRule>
  </conditionalFormatting>
  <conditionalFormatting sqref="C92">
    <cfRule type="cellIs" dxfId="3207" priority="1426" stopIfTrue="1" operator="equal">
      <formula>"Napkin Hs"</formula>
    </cfRule>
  </conditionalFormatting>
  <conditionalFormatting sqref="C92">
    <cfRule type="cellIs" dxfId="3206" priority="1423" stopIfTrue="1" operator="equal">
      <formula>"Towel"</formula>
    </cfRule>
    <cfRule type="cellIs" dxfId="3205" priority="1424" stopIfTrue="1" operator="equal">
      <formula>"Napkin Hs"</formula>
    </cfRule>
  </conditionalFormatting>
  <conditionalFormatting sqref="C92">
    <cfRule type="cellIs" dxfId="3204" priority="1425" stopIfTrue="1" operator="equal">
      <formula>"Towel"</formula>
    </cfRule>
  </conditionalFormatting>
  <conditionalFormatting sqref="B92:C92">
    <cfRule type="cellIs" dxfId="3203" priority="1421" stopIfTrue="1" operator="equal">
      <formula>"Towel"</formula>
    </cfRule>
    <cfRule type="cellIs" dxfId="3202" priority="1422" stopIfTrue="1" operator="equal">
      <formula>"Napkin Hs"</formula>
    </cfRule>
  </conditionalFormatting>
  <conditionalFormatting sqref="C92">
    <cfRule type="cellIs" dxfId="3201" priority="1420" stopIfTrue="1" operator="equal">
      <formula>"Napkin Hs"</formula>
    </cfRule>
  </conditionalFormatting>
  <conditionalFormatting sqref="C92">
    <cfRule type="cellIs" dxfId="3200" priority="1417" stopIfTrue="1" operator="equal">
      <formula>"Towel"</formula>
    </cfRule>
    <cfRule type="cellIs" dxfId="3199" priority="1418" stopIfTrue="1" operator="equal">
      <formula>"Napkin Hs"</formula>
    </cfRule>
  </conditionalFormatting>
  <conditionalFormatting sqref="C92">
    <cfRule type="cellIs" dxfId="3198" priority="1419" stopIfTrue="1" operator="equal">
      <formula>"Towel"</formula>
    </cfRule>
  </conditionalFormatting>
  <conditionalFormatting sqref="B92:C92">
    <cfRule type="cellIs" dxfId="3197" priority="1415" stopIfTrue="1" operator="equal">
      <formula>"Towel"</formula>
    </cfRule>
    <cfRule type="cellIs" dxfId="3196" priority="1416" stopIfTrue="1" operator="equal">
      <formula>"Napkin Hs"</formula>
    </cfRule>
  </conditionalFormatting>
  <conditionalFormatting sqref="C92">
    <cfRule type="cellIs" dxfId="3195" priority="1414" stopIfTrue="1" operator="equal">
      <formula>"Napkin Hs"</formula>
    </cfRule>
  </conditionalFormatting>
  <conditionalFormatting sqref="C92">
    <cfRule type="cellIs" dxfId="3194" priority="1411" stopIfTrue="1" operator="equal">
      <formula>"Towel"</formula>
    </cfRule>
    <cfRule type="cellIs" dxfId="3193" priority="1412" stopIfTrue="1" operator="equal">
      <formula>"Napkin Hs"</formula>
    </cfRule>
  </conditionalFormatting>
  <conditionalFormatting sqref="C92">
    <cfRule type="cellIs" dxfId="3192" priority="1413" stopIfTrue="1" operator="equal">
      <formula>"Towel"</formula>
    </cfRule>
  </conditionalFormatting>
  <conditionalFormatting sqref="B92:C92">
    <cfRule type="cellIs" dxfId="3191" priority="1409" stopIfTrue="1" operator="equal">
      <formula>"Towel"</formula>
    </cfRule>
    <cfRule type="cellIs" dxfId="3190" priority="1410" stopIfTrue="1" operator="equal">
      <formula>"Napkin Hs"</formula>
    </cfRule>
  </conditionalFormatting>
  <conditionalFormatting sqref="C92">
    <cfRule type="cellIs" dxfId="3189" priority="1408" stopIfTrue="1" operator="equal">
      <formula>"Napkin Hs"</formula>
    </cfRule>
  </conditionalFormatting>
  <conditionalFormatting sqref="C92">
    <cfRule type="cellIs" dxfId="3188" priority="1405" stopIfTrue="1" operator="equal">
      <formula>"Towel"</formula>
    </cfRule>
    <cfRule type="cellIs" dxfId="3187" priority="1406" stopIfTrue="1" operator="equal">
      <formula>"Napkin Hs"</formula>
    </cfRule>
  </conditionalFormatting>
  <conditionalFormatting sqref="C92">
    <cfRule type="cellIs" dxfId="3186" priority="1407" stopIfTrue="1" operator="equal">
      <formula>"Towel"</formula>
    </cfRule>
  </conditionalFormatting>
  <conditionalFormatting sqref="B92:C92">
    <cfRule type="cellIs" dxfId="3185" priority="1403" stopIfTrue="1" operator="equal">
      <formula>"Towel"</formula>
    </cfRule>
    <cfRule type="cellIs" dxfId="3184" priority="1404" stopIfTrue="1" operator="equal">
      <formula>"Napkin Hs"</formula>
    </cfRule>
  </conditionalFormatting>
  <conditionalFormatting sqref="C92">
    <cfRule type="cellIs" dxfId="3183" priority="1402" stopIfTrue="1" operator="equal">
      <formula>"Napkin Hs"</formula>
    </cfRule>
  </conditionalFormatting>
  <conditionalFormatting sqref="C92">
    <cfRule type="cellIs" dxfId="3182" priority="1399" stopIfTrue="1" operator="equal">
      <formula>"Towel"</formula>
    </cfRule>
    <cfRule type="cellIs" dxfId="3181" priority="1400" stopIfTrue="1" operator="equal">
      <formula>"Napkin Hs"</formula>
    </cfRule>
  </conditionalFormatting>
  <conditionalFormatting sqref="C92">
    <cfRule type="cellIs" dxfId="3180" priority="1401" stopIfTrue="1" operator="equal">
      <formula>"Towel"</formula>
    </cfRule>
  </conditionalFormatting>
  <conditionalFormatting sqref="B92:C92">
    <cfRule type="cellIs" dxfId="3179" priority="1397" stopIfTrue="1" operator="equal">
      <formula>"Towel"</formula>
    </cfRule>
    <cfRule type="cellIs" dxfId="3178" priority="1398" stopIfTrue="1" operator="equal">
      <formula>"Napkin Hs"</formula>
    </cfRule>
  </conditionalFormatting>
  <conditionalFormatting sqref="C92">
    <cfRule type="cellIs" dxfId="3177" priority="1396" stopIfTrue="1" operator="equal">
      <formula>"Napkin Hs"</formula>
    </cfRule>
  </conditionalFormatting>
  <conditionalFormatting sqref="C92">
    <cfRule type="cellIs" dxfId="3176" priority="1393" stopIfTrue="1" operator="equal">
      <formula>"Towel"</formula>
    </cfRule>
    <cfRule type="cellIs" dxfId="3175" priority="1394" stopIfTrue="1" operator="equal">
      <formula>"Napkin Hs"</formula>
    </cfRule>
  </conditionalFormatting>
  <conditionalFormatting sqref="C92">
    <cfRule type="cellIs" dxfId="3174" priority="1395" stopIfTrue="1" operator="equal">
      <formula>"Towel"</formula>
    </cfRule>
  </conditionalFormatting>
  <conditionalFormatting sqref="B92:C92">
    <cfRule type="cellIs" dxfId="3173" priority="1391" stopIfTrue="1" operator="equal">
      <formula>"Towel"</formula>
    </cfRule>
    <cfRule type="cellIs" dxfId="3172" priority="1392" stopIfTrue="1" operator="equal">
      <formula>"Napkin Hs"</formula>
    </cfRule>
  </conditionalFormatting>
  <conditionalFormatting sqref="C92">
    <cfRule type="cellIs" dxfId="3171" priority="1390" stopIfTrue="1" operator="equal">
      <formula>"Napkin Hs"</formula>
    </cfRule>
  </conditionalFormatting>
  <conditionalFormatting sqref="C92">
    <cfRule type="cellIs" dxfId="3170" priority="1387" stopIfTrue="1" operator="equal">
      <formula>"Towel"</formula>
    </cfRule>
    <cfRule type="cellIs" dxfId="3169" priority="1388" stopIfTrue="1" operator="equal">
      <formula>"Napkin Hs"</formula>
    </cfRule>
  </conditionalFormatting>
  <conditionalFormatting sqref="C92">
    <cfRule type="cellIs" dxfId="3168" priority="1389" stopIfTrue="1" operator="equal">
      <formula>"Towel"</formula>
    </cfRule>
  </conditionalFormatting>
  <conditionalFormatting sqref="B92:C92">
    <cfRule type="cellIs" dxfId="3167" priority="1385" stopIfTrue="1" operator="equal">
      <formula>"Towel"</formula>
    </cfRule>
    <cfRule type="cellIs" dxfId="3166" priority="1386" stopIfTrue="1" operator="equal">
      <formula>"Napkin Hs"</formula>
    </cfRule>
  </conditionalFormatting>
  <conditionalFormatting sqref="C92">
    <cfRule type="cellIs" dxfId="3165" priority="1384" stopIfTrue="1" operator="equal">
      <formula>"Napkin Hs"</formula>
    </cfRule>
  </conditionalFormatting>
  <conditionalFormatting sqref="C92">
    <cfRule type="cellIs" dxfId="3164" priority="1383" stopIfTrue="1" operator="equal">
      <formula>"Towel"</formula>
    </cfRule>
  </conditionalFormatting>
  <conditionalFormatting sqref="C92">
    <cfRule type="cellIs" dxfId="3163" priority="1381" stopIfTrue="1" operator="equal">
      <formula>"Towel"</formula>
    </cfRule>
    <cfRule type="cellIs" dxfId="3162" priority="1382" stopIfTrue="1" operator="equal">
      <formula>"Napkin Hs"</formula>
    </cfRule>
  </conditionalFormatting>
  <conditionalFormatting sqref="B92:C92">
    <cfRule type="cellIs" dxfId="3161" priority="1379" stopIfTrue="1" operator="equal">
      <formula>"Towel"</formula>
    </cfRule>
    <cfRule type="cellIs" dxfId="3160" priority="1380" stopIfTrue="1" operator="equal">
      <formula>"Napkin Hs"</formula>
    </cfRule>
  </conditionalFormatting>
  <conditionalFormatting sqref="C92">
    <cfRule type="cellIs" dxfId="3159" priority="1378" stopIfTrue="1" operator="equal">
      <formula>"Napkin Hs"</formula>
    </cfRule>
  </conditionalFormatting>
  <conditionalFormatting sqref="C92">
    <cfRule type="cellIs" dxfId="3158" priority="1375" stopIfTrue="1" operator="equal">
      <formula>"Towel"</formula>
    </cfRule>
    <cfRule type="cellIs" dxfId="3157" priority="1376" stopIfTrue="1" operator="equal">
      <formula>"Napkin Hs"</formula>
    </cfRule>
  </conditionalFormatting>
  <conditionalFormatting sqref="C92">
    <cfRule type="cellIs" dxfId="3156" priority="1377" stopIfTrue="1" operator="equal">
      <formula>"Towel"</formula>
    </cfRule>
  </conditionalFormatting>
  <conditionalFormatting sqref="B92:C92">
    <cfRule type="cellIs" dxfId="3155" priority="1373" stopIfTrue="1" operator="equal">
      <formula>"Towel"</formula>
    </cfRule>
    <cfRule type="cellIs" dxfId="3154" priority="1374" stopIfTrue="1" operator="equal">
      <formula>"Napkin Hs"</formula>
    </cfRule>
  </conditionalFormatting>
  <conditionalFormatting sqref="C92">
    <cfRule type="cellIs" dxfId="3153" priority="1372" stopIfTrue="1" operator="equal">
      <formula>"Napkin Hs"</formula>
    </cfRule>
  </conditionalFormatting>
  <conditionalFormatting sqref="C92">
    <cfRule type="cellIs" dxfId="3152" priority="1369" stopIfTrue="1" operator="equal">
      <formula>"Towel"</formula>
    </cfRule>
    <cfRule type="cellIs" dxfId="3151" priority="1370" stopIfTrue="1" operator="equal">
      <formula>"Napkin Hs"</formula>
    </cfRule>
  </conditionalFormatting>
  <conditionalFormatting sqref="C92">
    <cfRule type="cellIs" dxfId="3150" priority="1371" stopIfTrue="1" operator="equal">
      <formula>"Towel"</formula>
    </cfRule>
  </conditionalFormatting>
  <conditionalFormatting sqref="B92:C92">
    <cfRule type="cellIs" dxfId="3149" priority="1367" stopIfTrue="1" operator="equal">
      <formula>"Towel"</formula>
    </cfRule>
    <cfRule type="cellIs" dxfId="3148" priority="1368" stopIfTrue="1" operator="equal">
      <formula>"Napkin Hs"</formula>
    </cfRule>
  </conditionalFormatting>
  <conditionalFormatting sqref="C92">
    <cfRule type="cellIs" dxfId="3147" priority="1366" stopIfTrue="1" operator="equal">
      <formula>"Napkin Hs"</formula>
    </cfRule>
  </conditionalFormatting>
  <conditionalFormatting sqref="C92">
    <cfRule type="cellIs" dxfId="3146" priority="1363" stopIfTrue="1" operator="equal">
      <formula>"Towel"</formula>
    </cfRule>
    <cfRule type="cellIs" dxfId="3145" priority="1364" stopIfTrue="1" operator="equal">
      <formula>"Napkin Hs"</formula>
    </cfRule>
  </conditionalFormatting>
  <conditionalFormatting sqref="C92">
    <cfRule type="cellIs" dxfId="3144" priority="1365" stopIfTrue="1" operator="equal">
      <formula>"Towel"</formula>
    </cfRule>
  </conditionalFormatting>
  <conditionalFormatting sqref="B92:C92">
    <cfRule type="cellIs" dxfId="3143" priority="1361" stopIfTrue="1" operator="equal">
      <formula>"Towel"</formula>
    </cfRule>
    <cfRule type="cellIs" dxfId="3142" priority="1362" stopIfTrue="1" operator="equal">
      <formula>"Napkin Hs"</formula>
    </cfRule>
  </conditionalFormatting>
  <conditionalFormatting sqref="C92">
    <cfRule type="cellIs" dxfId="3141" priority="1360" stopIfTrue="1" operator="equal">
      <formula>"Napkin Hs"</formula>
    </cfRule>
  </conditionalFormatting>
  <conditionalFormatting sqref="C92">
    <cfRule type="cellIs" dxfId="3140" priority="1357" stopIfTrue="1" operator="equal">
      <formula>"Towel"</formula>
    </cfRule>
    <cfRule type="cellIs" dxfId="3139" priority="1358" stopIfTrue="1" operator="equal">
      <formula>"Napkin Hs"</formula>
    </cfRule>
  </conditionalFormatting>
  <conditionalFormatting sqref="C92">
    <cfRule type="cellIs" dxfId="3138" priority="1359" stopIfTrue="1" operator="equal">
      <formula>"Towel"</formula>
    </cfRule>
  </conditionalFormatting>
  <conditionalFormatting sqref="B92:C92">
    <cfRule type="cellIs" dxfId="3137" priority="1355" stopIfTrue="1" operator="equal">
      <formula>"Towel"</formula>
    </cfRule>
    <cfRule type="cellIs" dxfId="3136" priority="1356" stopIfTrue="1" operator="equal">
      <formula>"Napkin Hs"</formula>
    </cfRule>
  </conditionalFormatting>
  <conditionalFormatting sqref="C92">
    <cfRule type="cellIs" dxfId="3135" priority="1354" stopIfTrue="1" operator="equal">
      <formula>"Napkin Hs"</formula>
    </cfRule>
  </conditionalFormatting>
  <conditionalFormatting sqref="C92">
    <cfRule type="cellIs" dxfId="3134" priority="1351" stopIfTrue="1" operator="equal">
      <formula>"Towel"</formula>
    </cfRule>
    <cfRule type="cellIs" dxfId="3133" priority="1352" stopIfTrue="1" operator="equal">
      <formula>"Napkin Hs"</formula>
    </cfRule>
  </conditionalFormatting>
  <conditionalFormatting sqref="C92">
    <cfRule type="cellIs" dxfId="3132" priority="1353" stopIfTrue="1" operator="equal">
      <formula>"Towel"</formula>
    </cfRule>
  </conditionalFormatting>
  <conditionalFormatting sqref="B92:C92">
    <cfRule type="cellIs" dxfId="3131" priority="1349" stopIfTrue="1" operator="equal">
      <formula>"Towel"</formula>
    </cfRule>
    <cfRule type="cellIs" dxfId="3130" priority="1350" stopIfTrue="1" operator="equal">
      <formula>"Napkin Hs"</formula>
    </cfRule>
  </conditionalFormatting>
  <conditionalFormatting sqref="C92">
    <cfRule type="cellIs" dxfId="3129" priority="1348" stopIfTrue="1" operator="equal">
      <formula>"Napkin Hs"</formula>
    </cfRule>
  </conditionalFormatting>
  <conditionalFormatting sqref="C92">
    <cfRule type="cellIs" dxfId="3128" priority="1345" stopIfTrue="1" operator="equal">
      <formula>"Towel"</formula>
    </cfRule>
    <cfRule type="cellIs" dxfId="3127" priority="1346" stopIfTrue="1" operator="equal">
      <formula>"Napkin Hs"</formula>
    </cfRule>
  </conditionalFormatting>
  <conditionalFormatting sqref="C92">
    <cfRule type="cellIs" dxfId="3126" priority="1347" stopIfTrue="1" operator="equal">
      <formula>"Towel"</formula>
    </cfRule>
  </conditionalFormatting>
  <conditionalFormatting sqref="B92:C92">
    <cfRule type="cellIs" dxfId="3125" priority="1343" stopIfTrue="1" operator="equal">
      <formula>"Towel"</formula>
    </cfRule>
    <cfRule type="cellIs" dxfId="3124" priority="1344" stopIfTrue="1" operator="equal">
      <formula>"Napkin Hs"</formula>
    </cfRule>
  </conditionalFormatting>
  <conditionalFormatting sqref="C92">
    <cfRule type="cellIs" dxfId="3123" priority="1342" stopIfTrue="1" operator="equal">
      <formula>"Napkin Hs"</formula>
    </cfRule>
  </conditionalFormatting>
  <conditionalFormatting sqref="C92">
    <cfRule type="cellIs" dxfId="3122" priority="1339" stopIfTrue="1" operator="equal">
      <formula>"Towel"</formula>
    </cfRule>
    <cfRule type="cellIs" dxfId="3121" priority="1340" stopIfTrue="1" operator="equal">
      <formula>"Napkin Hs"</formula>
    </cfRule>
  </conditionalFormatting>
  <conditionalFormatting sqref="C92">
    <cfRule type="cellIs" dxfId="3120" priority="1341" stopIfTrue="1" operator="equal">
      <formula>"Towel"</formula>
    </cfRule>
  </conditionalFormatting>
  <conditionalFormatting sqref="B92:C92">
    <cfRule type="cellIs" dxfId="3119" priority="1337" stopIfTrue="1" operator="equal">
      <formula>"Towel"</formula>
    </cfRule>
    <cfRule type="cellIs" dxfId="3118" priority="1338" stopIfTrue="1" operator="equal">
      <formula>"Napkin Hs"</formula>
    </cfRule>
  </conditionalFormatting>
  <conditionalFormatting sqref="C92">
    <cfRule type="cellIs" dxfId="3117" priority="1336" stopIfTrue="1" operator="equal">
      <formula>"Napkin Hs"</formula>
    </cfRule>
  </conditionalFormatting>
  <conditionalFormatting sqref="C92">
    <cfRule type="cellIs" dxfId="3116" priority="1333" stopIfTrue="1" operator="equal">
      <formula>"Towel"</formula>
    </cfRule>
    <cfRule type="cellIs" dxfId="3115" priority="1334" stopIfTrue="1" operator="equal">
      <formula>"Napkin Hs"</formula>
    </cfRule>
  </conditionalFormatting>
  <conditionalFormatting sqref="C92">
    <cfRule type="cellIs" dxfId="3114" priority="1335" stopIfTrue="1" operator="equal">
      <formula>"Towel"</formula>
    </cfRule>
  </conditionalFormatting>
  <conditionalFormatting sqref="B92:C92">
    <cfRule type="cellIs" dxfId="3113" priority="1331" stopIfTrue="1" operator="equal">
      <formula>"Towel"</formula>
    </cfRule>
    <cfRule type="cellIs" dxfId="3112" priority="1332" stopIfTrue="1" operator="equal">
      <formula>"Napkin Hs"</formula>
    </cfRule>
  </conditionalFormatting>
  <conditionalFormatting sqref="C92">
    <cfRule type="cellIs" dxfId="3111" priority="1330" stopIfTrue="1" operator="equal">
      <formula>"Napkin Hs"</formula>
    </cfRule>
  </conditionalFormatting>
  <conditionalFormatting sqref="C92">
    <cfRule type="cellIs" dxfId="3110" priority="1327" stopIfTrue="1" operator="equal">
      <formula>"Towel"</formula>
    </cfRule>
    <cfRule type="cellIs" dxfId="3109" priority="1328" stopIfTrue="1" operator="equal">
      <formula>"Napkin Hs"</formula>
    </cfRule>
  </conditionalFormatting>
  <conditionalFormatting sqref="C92">
    <cfRule type="cellIs" dxfId="3108" priority="1329" stopIfTrue="1" operator="equal">
      <formula>"Towel"</formula>
    </cfRule>
  </conditionalFormatting>
  <conditionalFormatting sqref="B91:C91">
    <cfRule type="cellIs" dxfId="3107" priority="1323" stopIfTrue="1" operator="equal">
      <formula>"Towel"</formula>
    </cfRule>
    <cfRule type="cellIs" dxfId="3106" priority="1324" stopIfTrue="1" operator="equal">
      <formula>"Napkin Hs"</formula>
    </cfRule>
  </conditionalFormatting>
  <conditionalFormatting sqref="C91">
    <cfRule type="cellIs" dxfId="3105" priority="1325" stopIfTrue="1" operator="equal">
      <formula>"Towel"</formula>
    </cfRule>
    <cfRule type="cellIs" dxfId="3104" priority="1326" stopIfTrue="1" operator="equal">
      <formula>"Napkin Hs"</formula>
    </cfRule>
  </conditionalFormatting>
  <conditionalFormatting sqref="C91">
    <cfRule type="cellIs" dxfId="3103" priority="1321" stopIfTrue="1" operator="equal">
      <formula>"Towel"</formula>
    </cfRule>
    <cfRule type="cellIs" dxfId="3102" priority="1322" stopIfTrue="1" operator="equal">
      <formula>"Napkin Hs"</formula>
    </cfRule>
  </conditionalFormatting>
  <conditionalFormatting sqref="B91:C91">
    <cfRule type="cellIs" dxfId="3101" priority="1319" stopIfTrue="1" operator="equal">
      <formula>"Towel"</formula>
    </cfRule>
    <cfRule type="cellIs" dxfId="3100" priority="1320" stopIfTrue="1" operator="equal">
      <formula>"Napkin Hs"</formula>
    </cfRule>
  </conditionalFormatting>
  <conditionalFormatting sqref="C91">
    <cfRule type="cellIs" dxfId="3099" priority="1318" stopIfTrue="1" operator="equal">
      <formula>"Napkin Hs"</formula>
    </cfRule>
  </conditionalFormatting>
  <conditionalFormatting sqref="C91">
    <cfRule type="cellIs" dxfId="3098" priority="1315" stopIfTrue="1" operator="equal">
      <formula>"Towel"</formula>
    </cfRule>
    <cfRule type="cellIs" dxfId="3097" priority="1316" stopIfTrue="1" operator="equal">
      <formula>"Napkin Hs"</formula>
    </cfRule>
  </conditionalFormatting>
  <conditionalFormatting sqref="C91">
    <cfRule type="cellIs" dxfId="3096" priority="1317" stopIfTrue="1" operator="equal">
      <formula>"Towel"</formula>
    </cfRule>
  </conditionalFormatting>
  <conditionalFormatting sqref="B91:C91">
    <cfRule type="cellIs" dxfId="3095" priority="1313" stopIfTrue="1" operator="equal">
      <formula>"Towel"</formula>
    </cfRule>
    <cfRule type="cellIs" dxfId="3094" priority="1314" stopIfTrue="1" operator="equal">
      <formula>"Napkin Hs"</formula>
    </cfRule>
  </conditionalFormatting>
  <conditionalFormatting sqref="C91">
    <cfRule type="cellIs" dxfId="3093" priority="1312" stopIfTrue="1" operator="equal">
      <formula>"Napkin Hs"</formula>
    </cfRule>
  </conditionalFormatting>
  <conditionalFormatting sqref="C91">
    <cfRule type="cellIs" dxfId="3092" priority="1309" stopIfTrue="1" operator="equal">
      <formula>"Towel"</formula>
    </cfRule>
    <cfRule type="cellIs" dxfId="3091" priority="1310" stopIfTrue="1" operator="equal">
      <formula>"Napkin Hs"</formula>
    </cfRule>
  </conditionalFormatting>
  <conditionalFormatting sqref="C91">
    <cfRule type="cellIs" dxfId="3090" priority="1311" stopIfTrue="1" operator="equal">
      <formula>"Towel"</formula>
    </cfRule>
  </conditionalFormatting>
  <conditionalFormatting sqref="B91:C91">
    <cfRule type="cellIs" dxfId="3089" priority="1307" stopIfTrue="1" operator="equal">
      <formula>"Towel"</formula>
    </cfRule>
    <cfRule type="cellIs" dxfId="3088" priority="1308" stopIfTrue="1" operator="equal">
      <formula>"Napkin Hs"</formula>
    </cfRule>
  </conditionalFormatting>
  <conditionalFormatting sqref="C91">
    <cfRule type="cellIs" dxfId="3087" priority="1306" stopIfTrue="1" operator="equal">
      <formula>"Napkin Hs"</formula>
    </cfRule>
  </conditionalFormatting>
  <conditionalFormatting sqref="C91">
    <cfRule type="cellIs" dxfId="3086" priority="1303" stopIfTrue="1" operator="equal">
      <formula>"Towel"</formula>
    </cfRule>
    <cfRule type="cellIs" dxfId="3085" priority="1304" stopIfTrue="1" operator="equal">
      <formula>"Napkin Hs"</formula>
    </cfRule>
  </conditionalFormatting>
  <conditionalFormatting sqref="C91">
    <cfRule type="cellIs" dxfId="3084" priority="1305" stopIfTrue="1" operator="equal">
      <formula>"Towel"</formula>
    </cfRule>
  </conditionalFormatting>
  <conditionalFormatting sqref="B91:C91">
    <cfRule type="cellIs" dxfId="3083" priority="1301" stopIfTrue="1" operator="equal">
      <formula>"Towel"</formula>
    </cfRule>
    <cfRule type="cellIs" dxfId="3082" priority="1302" stopIfTrue="1" operator="equal">
      <formula>"Napkin Hs"</formula>
    </cfRule>
  </conditionalFormatting>
  <conditionalFormatting sqref="C91">
    <cfRule type="cellIs" dxfId="3081" priority="1297" stopIfTrue="1" operator="equal">
      <formula>"Towel"</formula>
    </cfRule>
    <cfRule type="cellIs" dxfId="3080" priority="1298" stopIfTrue="1" operator="equal">
      <formula>"Napkin Hs"</formula>
    </cfRule>
  </conditionalFormatting>
  <conditionalFormatting sqref="C91">
    <cfRule type="cellIs" dxfId="3079" priority="1299" stopIfTrue="1" operator="equal">
      <formula>"Towel"</formula>
    </cfRule>
    <cfRule type="cellIs" dxfId="3078" priority="1300" stopIfTrue="1" operator="equal">
      <formula>"Napkin Hs"</formula>
    </cfRule>
  </conditionalFormatting>
  <conditionalFormatting sqref="B91:C91">
    <cfRule type="cellIs" dxfId="3077" priority="1295" stopIfTrue="1" operator="equal">
      <formula>"Towel"</formula>
    </cfRule>
    <cfRule type="cellIs" dxfId="3076" priority="1296" stopIfTrue="1" operator="equal">
      <formula>"Napkin Hs"</formula>
    </cfRule>
  </conditionalFormatting>
  <conditionalFormatting sqref="C91">
    <cfRule type="cellIs" dxfId="3075" priority="1291" stopIfTrue="1" operator="equal">
      <formula>"Towel"</formula>
    </cfRule>
    <cfRule type="cellIs" dxfId="3074" priority="1292" stopIfTrue="1" operator="equal">
      <formula>"Napkin Hs"</formula>
    </cfRule>
  </conditionalFormatting>
  <conditionalFormatting sqref="C91">
    <cfRule type="cellIs" dxfId="3073" priority="1293" stopIfTrue="1" operator="equal">
      <formula>"Towel"</formula>
    </cfRule>
    <cfRule type="cellIs" dxfId="3072" priority="1294" stopIfTrue="1" operator="equal">
      <formula>"Napkin Hs"</formula>
    </cfRule>
  </conditionalFormatting>
  <conditionalFormatting sqref="B91:C91">
    <cfRule type="cellIs" dxfId="3071" priority="1287" stopIfTrue="1" operator="equal">
      <formula>"Towel"</formula>
    </cfRule>
    <cfRule type="cellIs" dxfId="3070" priority="1288" stopIfTrue="1" operator="equal">
      <formula>"Napkin Hs"</formula>
    </cfRule>
  </conditionalFormatting>
  <conditionalFormatting sqref="C91">
    <cfRule type="cellIs" dxfId="3069" priority="1289" stopIfTrue="1" operator="equal">
      <formula>"Towel"</formula>
    </cfRule>
    <cfRule type="cellIs" dxfId="3068" priority="1290" stopIfTrue="1" operator="equal">
      <formula>"Napkin Hs"</formula>
    </cfRule>
  </conditionalFormatting>
  <conditionalFormatting sqref="C91">
    <cfRule type="cellIs" dxfId="3067" priority="1285" stopIfTrue="1" operator="equal">
      <formula>"Towel"</formula>
    </cfRule>
    <cfRule type="cellIs" dxfId="3066" priority="1286" stopIfTrue="1" operator="equal">
      <formula>"Napkin Hs"</formula>
    </cfRule>
  </conditionalFormatting>
  <conditionalFormatting sqref="B91:C91">
    <cfRule type="cellIs" dxfId="3065" priority="1283" stopIfTrue="1" operator="equal">
      <formula>"Towel"</formula>
    </cfRule>
    <cfRule type="cellIs" dxfId="3064" priority="1284" stopIfTrue="1" operator="equal">
      <formula>"Napkin Hs"</formula>
    </cfRule>
  </conditionalFormatting>
  <conditionalFormatting sqref="C91">
    <cfRule type="cellIs" dxfId="3063" priority="1282" stopIfTrue="1" operator="equal">
      <formula>"Napkin Hs"</formula>
    </cfRule>
  </conditionalFormatting>
  <conditionalFormatting sqref="C91">
    <cfRule type="cellIs" dxfId="3062" priority="1279" stopIfTrue="1" operator="equal">
      <formula>"Towel"</formula>
    </cfRule>
    <cfRule type="cellIs" dxfId="3061" priority="1280" stopIfTrue="1" operator="equal">
      <formula>"Napkin Hs"</formula>
    </cfRule>
  </conditionalFormatting>
  <conditionalFormatting sqref="C91">
    <cfRule type="cellIs" dxfId="3060" priority="1281" stopIfTrue="1" operator="equal">
      <formula>"Towel"</formula>
    </cfRule>
  </conditionalFormatting>
  <conditionalFormatting sqref="B91:C91">
    <cfRule type="cellIs" dxfId="3059" priority="1277" stopIfTrue="1" operator="equal">
      <formula>"Towel"</formula>
    </cfRule>
    <cfRule type="cellIs" dxfId="3058" priority="1278" stopIfTrue="1" operator="equal">
      <formula>"Napkin Hs"</formula>
    </cfRule>
  </conditionalFormatting>
  <conditionalFormatting sqref="C91">
    <cfRule type="cellIs" dxfId="3057" priority="1273" stopIfTrue="1" operator="equal">
      <formula>"Towel"</formula>
    </cfRule>
    <cfRule type="cellIs" dxfId="3056" priority="1274" stopIfTrue="1" operator="equal">
      <formula>"Napkin Hs"</formula>
    </cfRule>
  </conditionalFormatting>
  <conditionalFormatting sqref="C91">
    <cfRule type="cellIs" dxfId="3055" priority="1275" stopIfTrue="1" operator="equal">
      <formula>"Towel"</formula>
    </cfRule>
    <cfRule type="cellIs" dxfId="3054" priority="1276" stopIfTrue="1" operator="equal">
      <formula>"Napkin Hs"</formula>
    </cfRule>
  </conditionalFormatting>
  <conditionalFormatting sqref="B91:C91">
    <cfRule type="cellIs" dxfId="3053" priority="1271" stopIfTrue="1" operator="equal">
      <formula>"Towel"</formula>
    </cfRule>
    <cfRule type="cellIs" dxfId="3052" priority="1272" stopIfTrue="1" operator="equal">
      <formula>"Napkin Hs"</formula>
    </cfRule>
  </conditionalFormatting>
  <conditionalFormatting sqref="C91">
    <cfRule type="cellIs" dxfId="3051" priority="1270" stopIfTrue="1" operator="equal">
      <formula>"Napkin Hs"</formula>
    </cfRule>
  </conditionalFormatting>
  <conditionalFormatting sqref="C91">
    <cfRule type="cellIs" dxfId="3050" priority="1267" stopIfTrue="1" operator="equal">
      <formula>"Towel"</formula>
    </cfRule>
    <cfRule type="cellIs" dxfId="3049" priority="1268" stopIfTrue="1" operator="equal">
      <formula>"Napkin Hs"</formula>
    </cfRule>
  </conditionalFormatting>
  <conditionalFormatting sqref="C91">
    <cfRule type="cellIs" dxfId="3048" priority="1269" stopIfTrue="1" operator="equal">
      <formula>"Towel"</formula>
    </cfRule>
  </conditionalFormatting>
  <conditionalFormatting sqref="B91:C91">
    <cfRule type="cellIs" dxfId="3047" priority="1265" stopIfTrue="1" operator="equal">
      <formula>"Towel"</formula>
    </cfRule>
    <cfRule type="cellIs" dxfId="3046" priority="1266" stopIfTrue="1" operator="equal">
      <formula>"Napkin Hs"</formula>
    </cfRule>
  </conditionalFormatting>
  <conditionalFormatting sqref="C91">
    <cfRule type="cellIs" dxfId="3045" priority="1263" stopIfTrue="1" operator="equal">
      <formula>"Towel"</formula>
    </cfRule>
    <cfRule type="cellIs" dxfId="3044" priority="1264" stopIfTrue="1" operator="equal">
      <formula>"Napkin Hs"</formula>
    </cfRule>
  </conditionalFormatting>
  <conditionalFormatting sqref="C91">
    <cfRule type="cellIs" dxfId="3043" priority="1261" stopIfTrue="1" operator="equal">
      <formula>"Towel"</formula>
    </cfRule>
    <cfRule type="cellIs" dxfId="3042" priority="1262" stopIfTrue="1" operator="equal">
      <formula>"Napkin Hs"</formula>
    </cfRule>
  </conditionalFormatting>
  <conditionalFormatting sqref="B91:C91">
    <cfRule type="cellIs" dxfId="3041" priority="1259" stopIfTrue="1" operator="equal">
      <formula>"Towel"</formula>
    </cfRule>
    <cfRule type="cellIs" dxfId="3040" priority="1260" stopIfTrue="1" operator="equal">
      <formula>"Napkin Hs"</formula>
    </cfRule>
  </conditionalFormatting>
  <conditionalFormatting sqref="C91">
    <cfRule type="cellIs" dxfId="3039" priority="1258" stopIfTrue="1" operator="equal">
      <formula>"Napkin Hs"</formula>
    </cfRule>
  </conditionalFormatting>
  <conditionalFormatting sqref="C91">
    <cfRule type="cellIs" dxfId="3038" priority="1255" stopIfTrue="1" operator="equal">
      <formula>"Towel"</formula>
    </cfRule>
    <cfRule type="cellIs" dxfId="3037" priority="1256" stopIfTrue="1" operator="equal">
      <formula>"Napkin Hs"</formula>
    </cfRule>
  </conditionalFormatting>
  <conditionalFormatting sqref="C91">
    <cfRule type="cellIs" dxfId="3036" priority="1257" stopIfTrue="1" operator="equal">
      <formula>"Towel"</formula>
    </cfRule>
  </conditionalFormatting>
  <conditionalFormatting sqref="B91:C91">
    <cfRule type="cellIs" dxfId="3035" priority="1253" stopIfTrue="1" operator="equal">
      <formula>"Towel"</formula>
    </cfRule>
    <cfRule type="cellIs" dxfId="3034" priority="1254" stopIfTrue="1" operator="equal">
      <formula>"Napkin Hs"</formula>
    </cfRule>
  </conditionalFormatting>
  <conditionalFormatting sqref="C91">
    <cfRule type="cellIs" dxfId="3033" priority="1252" stopIfTrue="1" operator="equal">
      <formula>"Napkin Hs"</formula>
    </cfRule>
  </conditionalFormatting>
  <conditionalFormatting sqref="C91">
    <cfRule type="cellIs" dxfId="3032" priority="1251" stopIfTrue="1" operator="equal">
      <formula>"Towel"</formula>
    </cfRule>
  </conditionalFormatting>
  <conditionalFormatting sqref="C91">
    <cfRule type="cellIs" dxfId="3031" priority="1249" stopIfTrue="1" operator="equal">
      <formula>"Towel"</formula>
    </cfRule>
    <cfRule type="cellIs" dxfId="3030" priority="1250" stopIfTrue="1" operator="equal">
      <formula>"Napkin Hs"</formula>
    </cfRule>
  </conditionalFormatting>
  <conditionalFormatting sqref="B91:C91">
    <cfRule type="cellIs" dxfId="3029" priority="1247" stopIfTrue="1" operator="equal">
      <formula>"Towel"</formula>
    </cfRule>
    <cfRule type="cellIs" dxfId="3028" priority="1248" stopIfTrue="1" operator="equal">
      <formula>"Napkin Hs"</formula>
    </cfRule>
  </conditionalFormatting>
  <conditionalFormatting sqref="C91">
    <cfRule type="cellIs" dxfId="3027" priority="1246" stopIfTrue="1" operator="equal">
      <formula>"Napkin Hs"</formula>
    </cfRule>
  </conditionalFormatting>
  <conditionalFormatting sqref="C91">
    <cfRule type="cellIs" dxfId="3026" priority="1243" stopIfTrue="1" operator="equal">
      <formula>"Towel"</formula>
    </cfRule>
    <cfRule type="cellIs" dxfId="3025" priority="1244" stopIfTrue="1" operator="equal">
      <formula>"Napkin Hs"</formula>
    </cfRule>
  </conditionalFormatting>
  <conditionalFormatting sqref="C91">
    <cfRule type="cellIs" dxfId="3024" priority="1245" stopIfTrue="1" operator="equal">
      <formula>"Towel"</formula>
    </cfRule>
  </conditionalFormatting>
  <conditionalFormatting sqref="B91:C91">
    <cfRule type="cellIs" dxfId="3023" priority="1241" stopIfTrue="1" operator="equal">
      <formula>"Towel"</formula>
    </cfRule>
    <cfRule type="cellIs" dxfId="3022" priority="1242" stopIfTrue="1" operator="equal">
      <formula>"Napkin Hs"</formula>
    </cfRule>
  </conditionalFormatting>
  <conditionalFormatting sqref="C91">
    <cfRule type="cellIs" dxfId="3021" priority="1240" stopIfTrue="1" operator="equal">
      <formula>"Napkin Hs"</formula>
    </cfRule>
  </conditionalFormatting>
  <conditionalFormatting sqref="C91">
    <cfRule type="cellIs" dxfId="3020" priority="1237" stopIfTrue="1" operator="equal">
      <formula>"Towel"</formula>
    </cfRule>
    <cfRule type="cellIs" dxfId="3019" priority="1238" stopIfTrue="1" operator="equal">
      <formula>"Napkin Hs"</formula>
    </cfRule>
  </conditionalFormatting>
  <conditionalFormatting sqref="C91">
    <cfRule type="cellIs" dxfId="3018" priority="1239" stopIfTrue="1" operator="equal">
      <formula>"Towel"</formula>
    </cfRule>
  </conditionalFormatting>
  <conditionalFormatting sqref="B91:C91">
    <cfRule type="cellIs" dxfId="3017" priority="1235" stopIfTrue="1" operator="equal">
      <formula>"Towel"</formula>
    </cfRule>
    <cfRule type="cellIs" dxfId="3016" priority="1236" stopIfTrue="1" operator="equal">
      <formula>"Napkin Hs"</formula>
    </cfRule>
  </conditionalFormatting>
  <conditionalFormatting sqref="C91">
    <cfRule type="cellIs" dxfId="3015" priority="1234" stopIfTrue="1" operator="equal">
      <formula>"Napkin Hs"</formula>
    </cfRule>
  </conditionalFormatting>
  <conditionalFormatting sqref="C91">
    <cfRule type="cellIs" dxfId="3014" priority="1231" stopIfTrue="1" operator="equal">
      <formula>"Towel"</formula>
    </cfRule>
    <cfRule type="cellIs" dxfId="3013" priority="1232" stopIfTrue="1" operator="equal">
      <formula>"Napkin Hs"</formula>
    </cfRule>
  </conditionalFormatting>
  <conditionalFormatting sqref="C91">
    <cfRule type="cellIs" dxfId="3012" priority="1233" stopIfTrue="1" operator="equal">
      <formula>"Towel"</formula>
    </cfRule>
  </conditionalFormatting>
  <conditionalFormatting sqref="B91:C91">
    <cfRule type="cellIs" dxfId="3011" priority="1229" stopIfTrue="1" operator="equal">
      <formula>"Towel"</formula>
    </cfRule>
    <cfRule type="cellIs" dxfId="3010" priority="1230" stopIfTrue="1" operator="equal">
      <formula>"Napkin Hs"</formula>
    </cfRule>
  </conditionalFormatting>
  <conditionalFormatting sqref="C91">
    <cfRule type="cellIs" dxfId="3009" priority="1228" stopIfTrue="1" operator="equal">
      <formula>"Napkin Hs"</formula>
    </cfRule>
  </conditionalFormatting>
  <conditionalFormatting sqref="C91">
    <cfRule type="cellIs" dxfId="3008" priority="1225" stopIfTrue="1" operator="equal">
      <formula>"Towel"</formula>
    </cfRule>
    <cfRule type="cellIs" dxfId="3007" priority="1226" stopIfTrue="1" operator="equal">
      <formula>"Napkin Hs"</formula>
    </cfRule>
  </conditionalFormatting>
  <conditionalFormatting sqref="C91">
    <cfRule type="cellIs" dxfId="3006" priority="1227" stopIfTrue="1" operator="equal">
      <formula>"Towel"</formula>
    </cfRule>
  </conditionalFormatting>
  <conditionalFormatting sqref="B91:C91">
    <cfRule type="cellIs" dxfId="3005" priority="1223" stopIfTrue="1" operator="equal">
      <formula>"Towel"</formula>
    </cfRule>
    <cfRule type="cellIs" dxfId="3004" priority="1224" stopIfTrue="1" operator="equal">
      <formula>"Napkin Hs"</formula>
    </cfRule>
  </conditionalFormatting>
  <conditionalFormatting sqref="C91">
    <cfRule type="cellIs" dxfId="3003" priority="1222" stopIfTrue="1" operator="equal">
      <formula>"Napkin Hs"</formula>
    </cfRule>
  </conditionalFormatting>
  <conditionalFormatting sqref="C91">
    <cfRule type="cellIs" dxfId="3002" priority="1219" stopIfTrue="1" operator="equal">
      <formula>"Towel"</formula>
    </cfRule>
    <cfRule type="cellIs" dxfId="3001" priority="1220" stopIfTrue="1" operator="equal">
      <formula>"Napkin Hs"</formula>
    </cfRule>
  </conditionalFormatting>
  <conditionalFormatting sqref="C91">
    <cfRule type="cellIs" dxfId="3000" priority="1221" stopIfTrue="1" operator="equal">
      <formula>"Towel"</formula>
    </cfRule>
  </conditionalFormatting>
  <conditionalFormatting sqref="B91:C91">
    <cfRule type="cellIs" dxfId="2999" priority="1217" stopIfTrue="1" operator="equal">
      <formula>"Towel"</formula>
    </cfRule>
    <cfRule type="cellIs" dxfId="2998" priority="1218" stopIfTrue="1" operator="equal">
      <formula>"Napkin Hs"</formula>
    </cfRule>
  </conditionalFormatting>
  <conditionalFormatting sqref="C91">
    <cfRule type="cellIs" dxfId="2997" priority="1216" stopIfTrue="1" operator="equal">
      <formula>"Napkin Hs"</formula>
    </cfRule>
  </conditionalFormatting>
  <conditionalFormatting sqref="C91">
    <cfRule type="cellIs" dxfId="2996" priority="1213" stopIfTrue="1" operator="equal">
      <formula>"Towel"</formula>
    </cfRule>
    <cfRule type="cellIs" dxfId="2995" priority="1214" stopIfTrue="1" operator="equal">
      <formula>"Napkin Hs"</formula>
    </cfRule>
  </conditionalFormatting>
  <conditionalFormatting sqref="C91">
    <cfRule type="cellIs" dxfId="2994" priority="1215" stopIfTrue="1" operator="equal">
      <formula>"Towel"</formula>
    </cfRule>
  </conditionalFormatting>
  <conditionalFormatting sqref="B91:C91">
    <cfRule type="cellIs" dxfId="2993" priority="1211" stopIfTrue="1" operator="equal">
      <formula>"Towel"</formula>
    </cfRule>
    <cfRule type="cellIs" dxfId="2992" priority="1212" stopIfTrue="1" operator="equal">
      <formula>"Napkin Hs"</formula>
    </cfRule>
  </conditionalFormatting>
  <conditionalFormatting sqref="C91">
    <cfRule type="cellIs" dxfId="2991" priority="1210" stopIfTrue="1" operator="equal">
      <formula>"Napkin Hs"</formula>
    </cfRule>
  </conditionalFormatting>
  <conditionalFormatting sqref="C91">
    <cfRule type="cellIs" dxfId="2990" priority="1207" stopIfTrue="1" operator="equal">
      <formula>"Towel"</formula>
    </cfRule>
    <cfRule type="cellIs" dxfId="2989" priority="1208" stopIfTrue="1" operator="equal">
      <formula>"Napkin Hs"</formula>
    </cfRule>
  </conditionalFormatting>
  <conditionalFormatting sqref="C91">
    <cfRule type="cellIs" dxfId="2988" priority="1209" stopIfTrue="1" operator="equal">
      <formula>"Towel"</formula>
    </cfRule>
  </conditionalFormatting>
  <conditionalFormatting sqref="B91:C91">
    <cfRule type="cellIs" dxfId="2987" priority="1205" stopIfTrue="1" operator="equal">
      <formula>"Towel"</formula>
    </cfRule>
    <cfRule type="cellIs" dxfId="2986" priority="1206" stopIfTrue="1" operator="equal">
      <formula>"Napkin Hs"</formula>
    </cfRule>
  </conditionalFormatting>
  <conditionalFormatting sqref="C91">
    <cfRule type="cellIs" dxfId="2985" priority="1204" stopIfTrue="1" operator="equal">
      <formula>"Napkin Hs"</formula>
    </cfRule>
  </conditionalFormatting>
  <conditionalFormatting sqref="C91">
    <cfRule type="cellIs" dxfId="2984" priority="1201" stopIfTrue="1" operator="equal">
      <formula>"Towel"</formula>
    </cfRule>
    <cfRule type="cellIs" dxfId="2983" priority="1202" stopIfTrue="1" operator="equal">
      <formula>"Napkin Hs"</formula>
    </cfRule>
  </conditionalFormatting>
  <conditionalFormatting sqref="C91">
    <cfRule type="cellIs" dxfId="2982" priority="1203" stopIfTrue="1" operator="equal">
      <formula>"Towel"</formula>
    </cfRule>
  </conditionalFormatting>
  <conditionalFormatting sqref="B91:C91">
    <cfRule type="cellIs" dxfId="2981" priority="1199" stopIfTrue="1" operator="equal">
      <formula>"Towel"</formula>
    </cfRule>
    <cfRule type="cellIs" dxfId="2980" priority="1200" stopIfTrue="1" operator="equal">
      <formula>"Napkin Hs"</formula>
    </cfRule>
  </conditionalFormatting>
  <conditionalFormatting sqref="C91">
    <cfRule type="cellIs" dxfId="2979" priority="1198" stopIfTrue="1" operator="equal">
      <formula>"Napkin Hs"</formula>
    </cfRule>
  </conditionalFormatting>
  <conditionalFormatting sqref="C91">
    <cfRule type="cellIs" dxfId="2978" priority="1195" stopIfTrue="1" operator="equal">
      <formula>"Towel"</formula>
    </cfRule>
    <cfRule type="cellIs" dxfId="2977" priority="1196" stopIfTrue="1" operator="equal">
      <formula>"Napkin Hs"</formula>
    </cfRule>
  </conditionalFormatting>
  <conditionalFormatting sqref="C91">
    <cfRule type="cellIs" dxfId="2976" priority="1197" stopIfTrue="1" operator="equal">
      <formula>"Towel"</formula>
    </cfRule>
  </conditionalFormatting>
  <conditionalFormatting sqref="B91:C91">
    <cfRule type="cellIs" dxfId="2975" priority="1193" stopIfTrue="1" operator="equal">
      <formula>"Towel"</formula>
    </cfRule>
    <cfRule type="cellIs" dxfId="2974" priority="1194" stopIfTrue="1" operator="equal">
      <formula>"Napkin Hs"</formula>
    </cfRule>
  </conditionalFormatting>
  <conditionalFormatting sqref="C91">
    <cfRule type="cellIs" dxfId="2973" priority="1192" stopIfTrue="1" operator="equal">
      <formula>"Napkin Hs"</formula>
    </cfRule>
  </conditionalFormatting>
  <conditionalFormatting sqref="C91">
    <cfRule type="cellIs" dxfId="2972" priority="1189" stopIfTrue="1" operator="equal">
      <formula>"Towel"</formula>
    </cfRule>
    <cfRule type="cellIs" dxfId="2971" priority="1190" stopIfTrue="1" operator="equal">
      <formula>"Napkin Hs"</formula>
    </cfRule>
  </conditionalFormatting>
  <conditionalFormatting sqref="C91">
    <cfRule type="cellIs" dxfId="2970" priority="1191" stopIfTrue="1" operator="equal">
      <formula>"Towel"</formula>
    </cfRule>
  </conditionalFormatting>
  <conditionalFormatting sqref="B91:C91">
    <cfRule type="cellIs" dxfId="2969" priority="1187" stopIfTrue="1" operator="equal">
      <formula>"Towel"</formula>
    </cfRule>
    <cfRule type="cellIs" dxfId="2968" priority="1188" stopIfTrue="1" operator="equal">
      <formula>"Napkin Hs"</formula>
    </cfRule>
  </conditionalFormatting>
  <conditionalFormatting sqref="C91">
    <cfRule type="cellIs" dxfId="2967" priority="1186" stopIfTrue="1" operator="equal">
      <formula>"Napkin Hs"</formula>
    </cfRule>
  </conditionalFormatting>
  <conditionalFormatting sqref="C91">
    <cfRule type="cellIs" dxfId="2966" priority="1185" stopIfTrue="1" operator="equal">
      <formula>"Towel"</formula>
    </cfRule>
  </conditionalFormatting>
  <conditionalFormatting sqref="C91">
    <cfRule type="cellIs" dxfId="2965" priority="1183" stopIfTrue="1" operator="equal">
      <formula>"Towel"</formula>
    </cfRule>
    <cfRule type="cellIs" dxfId="2964" priority="1184" stopIfTrue="1" operator="equal">
      <formula>"Napkin Hs"</formula>
    </cfRule>
  </conditionalFormatting>
  <conditionalFormatting sqref="B91:C91">
    <cfRule type="cellIs" dxfId="2963" priority="1181" stopIfTrue="1" operator="equal">
      <formula>"Towel"</formula>
    </cfRule>
    <cfRule type="cellIs" dxfId="2962" priority="1182" stopIfTrue="1" operator="equal">
      <formula>"Napkin Hs"</formula>
    </cfRule>
  </conditionalFormatting>
  <conditionalFormatting sqref="C91">
    <cfRule type="cellIs" dxfId="2961" priority="1180" stopIfTrue="1" operator="equal">
      <formula>"Napkin Hs"</formula>
    </cfRule>
  </conditionalFormatting>
  <conditionalFormatting sqref="C91">
    <cfRule type="cellIs" dxfId="2960" priority="1177" stopIfTrue="1" operator="equal">
      <formula>"Towel"</formula>
    </cfRule>
    <cfRule type="cellIs" dxfId="2959" priority="1178" stopIfTrue="1" operator="equal">
      <formula>"Napkin Hs"</formula>
    </cfRule>
  </conditionalFormatting>
  <conditionalFormatting sqref="C91">
    <cfRule type="cellIs" dxfId="2958" priority="1179" stopIfTrue="1" operator="equal">
      <formula>"Towel"</formula>
    </cfRule>
  </conditionalFormatting>
  <conditionalFormatting sqref="B91:C91">
    <cfRule type="cellIs" dxfId="2957" priority="1175" stopIfTrue="1" operator="equal">
      <formula>"Towel"</formula>
    </cfRule>
    <cfRule type="cellIs" dxfId="2956" priority="1176" stopIfTrue="1" operator="equal">
      <formula>"Napkin Hs"</formula>
    </cfRule>
  </conditionalFormatting>
  <conditionalFormatting sqref="C91">
    <cfRule type="cellIs" dxfId="2955" priority="1174" stopIfTrue="1" operator="equal">
      <formula>"Napkin Hs"</formula>
    </cfRule>
  </conditionalFormatting>
  <conditionalFormatting sqref="C91">
    <cfRule type="cellIs" dxfId="2954" priority="1171" stopIfTrue="1" operator="equal">
      <formula>"Towel"</formula>
    </cfRule>
    <cfRule type="cellIs" dxfId="2953" priority="1172" stopIfTrue="1" operator="equal">
      <formula>"Napkin Hs"</formula>
    </cfRule>
  </conditionalFormatting>
  <conditionalFormatting sqref="C91">
    <cfRule type="cellIs" dxfId="2952" priority="1173" stopIfTrue="1" operator="equal">
      <formula>"Towel"</formula>
    </cfRule>
  </conditionalFormatting>
  <conditionalFormatting sqref="B91:C91">
    <cfRule type="cellIs" dxfId="2951" priority="1169" stopIfTrue="1" operator="equal">
      <formula>"Towel"</formula>
    </cfRule>
    <cfRule type="cellIs" dxfId="2950" priority="1170" stopIfTrue="1" operator="equal">
      <formula>"Napkin Hs"</formula>
    </cfRule>
  </conditionalFormatting>
  <conditionalFormatting sqref="C91">
    <cfRule type="cellIs" dxfId="2949" priority="1168" stopIfTrue="1" operator="equal">
      <formula>"Napkin Hs"</formula>
    </cfRule>
  </conditionalFormatting>
  <conditionalFormatting sqref="C91">
    <cfRule type="cellIs" dxfId="2948" priority="1165" stopIfTrue="1" operator="equal">
      <formula>"Towel"</formula>
    </cfRule>
    <cfRule type="cellIs" dxfId="2947" priority="1166" stopIfTrue="1" operator="equal">
      <formula>"Napkin Hs"</formula>
    </cfRule>
  </conditionalFormatting>
  <conditionalFormatting sqref="C91">
    <cfRule type="cellIs" dxfId="2946" priority="1167" stopIfTrue="1" operator="equal">
      <formula>"Towel"</formula>
    </cfRule>
  </conditionalFormatting>
  <conditionalFormatting sqref="B91:C91">
    <cfRule type="cellIs" dxfId="2945" priority="1163" stopIfTrue="1" operator="equal">
      <formula>"Towel"</formula>
    </cfRule>
    <cfRule type="cellIs" dxfId="2944" priority="1164" stopIfTrue="1" operator="equal">
      <formula>"Napkin Hs"</formula>
    </cfRule>
  </conditionalFormatting>
  <conditionalFormatting sqref="C91">
    <cfRule type="cellIs" dxfId="2943" priority="1162" stopIfTrue="1" operator="equal">
      <formula>"Napkin Hs"</formula>
    </cfRule>
  </conditionalFormatting>
  <conditionalFormatting sqref="C91">
    <cfRule type="cellIs" dxfId="2942" priority="1159" stopIfTrue="1" operator="equal">
      <formula>"Towel"</formula>
    </cfRule>
    <cfRule type="cellIs" dxfId="2941" priority="1160" stopIfTrue="1" operator="equal">
      <formula>"Napkin Hs"</formula>
    </cfRule>
  </conditionalFormatting>
  <conditionalFormatting sqref="C91">
    <cfRule type="cellIs" dxfId="2940" priority="1161" stopIfTrue="1" operator="equal">
      <formula>"Towel"</formula>
    </cfRule>
  </conditionalFormatting>
  <conditionalFormatting sqref="B91:C91">
    <cfRule type="cellIs" dxfId="2939" priority="1157" stopIfTrue="1" operator="equal">
      <formula>"Towel"</formula>
    </cfRule>
    <cfRule type="cellIs" dxfId="2938" priority="1158" stopIfTrue="1" operator="equal">
      <formula>"Napkin Hs"</formula>
    </cfRule>
  </conditionalFormatting>
  <conditionalFormatting sqref="C91">
    <cfRule type="cellIs" dxfId="2937" priority="1156" stopIfTrue="1" operator="equal">
      <formula>"Napkin Hs"</formula>
    </cfRule>
  </conditionalFormatting>
  <conditionalFormatting sqref="C91">
    <cfRule type="cellIs" dxfId="2936" priority="1153" stopIfTrue="1" operator="equal">
      <formula>"Towel"</formula>
    </cfRule>
    <cfRule type="cellIs" dxfId="2935" priority="1154" stopIfTrue="1" operator="equal">
      <formula>"Napkin Hs"</formula>
    </cfRule>
  </conditionalFormatting>
  <conditionalFormatting sqref="C91">
    <cfRule type="cellIs" dxfId="2934" priority="1155" stopIfTrue="1" operator="equal">
      <formula>"Towel"</formula>
    </cfRule>
  </conditionalFormatting>
  <conditionalFormatting sqref="B91:C91">
    <cfRule type="cellIs" dxfId="2933" priority="1151" stopIfTrue="1" operator="equal">
      <formula>"Towel"</formula>
    </cfRule>
    <cfRule type="cellIs" dxfId="2932" priority="1152" stopIfTrue="1" operator="equal">
      <formula>"Napkin Hs"</formula>
    </cfRule>
  </conditionalFormatting>
  <conditionalFormatting sqref="C91">
    <cfRule type="cellIs" dxfId="2931" priority="1150" stopIfTrue="1" operator="equal">
      <formula>"Napkin Hs"</formula>
    </cfRule>
  </conditionalFormatting>
  <conditionalFormatting sqref="C91">
    <cfRule type="cellIs" dxfId="2930" priority="1147" stopIfTrue="1" operator="equal">
      <formula>"Towel"</formula>
    </cfRule>
    <cfRule type="cellIs" dxfId="2929" priority="1148" stopIfTrue="1" operator="equal">
      <formula>"Napkin Hs"</formula>
    </cfRule>
  </conditionalFormatting>
  <conditionalFormatting sqref="C91">
    <cfRule type="cellIs" dxfId="2928" priority="1149" stopIfTrue="1" operator="equal">
      <formula>"Towel"</formula>
    </cfRule>
  </conditionalFormatting>
  <conditionalFormatting sqref="B91:C91">
    <cfRule type="cellIs" dxfId="2927" priority="1145" stopIfTrue="1" operator="equal">
      <formula>"Towel"</formula>
    </cfRule>
    <cfRule type="cellIs" dxfId="2926" priority="1146" stopIfTrue="1" operator="equal">
      <formula>"Napkin Hs"</formula>
    </cfRule>
  </conditionalFormatting>
  <conditionalFormatting sqref="C91">
    <cfRule type="cellIs" dxfId="2925" priority="1144" stopIfTrue="1" operator="equal">
      <formula>"Napkin Hs"</formula>
    </cfRule>
  </conditionalFormatting>
  <conditionalFormatting sqref="C91">
    <cfRule type="cellIs" dxfId="2924" priority="1141" stopIfTrue="1" operator="equal">
      <formula>"Towel"</formula>
    </cfRule>
    <cfRule type="cellIs" dxfId="2923" priority="1142" stopIfTrue="1" operator="equal">
      <formula>"Napkin Hs"</formula>
    </cfRule>
  </conditionalFormatting>
  <conditionalFormatting sqref="C91">
    <cfRule type="cellIs" dxfId="2922" priority="1143" stopIfTrue="1" operator="equal">
      <formula>"Towel"</formula>
    </cfRule>
  </conditionalFormatting>
  <conditionalFormatting sqref="B91:C91">
    <cfRule type="cellIs" dxfId="2921" priority="1139" stopIfTrue="1" operator="equal">
      <formula>"Towel"</formula>
    </cfRule>
    <cfRule type="cellIs" dxfId="2920" priority="1140" stopIfTrue="1" operator="equal">
      <formula>"Napkin Hs"</formula>
    </cfRule>
  </conditionalFormatting>
  <conditionalFormatting sqref="C91">
    <cfRule type="cellIs" dxfId="2919" priority="1138" stopIfTrue="1" operator="equal">
      <formula>"Napkin Hs"</formula>
    </cfRule>
  </conditionalFormatting>
  <conditionalFormatting sqref="C91">
    <cfRule type="cellIs" dxfId="2918" priority="1135" stopIfTrue="1" operator="equal">
      <formula>"Towel"</formula>
    </cfRule>
    <cfRule type="cellIs" dxfId="2917" priority="1136" stopIfTrue="1" operator="equal">
      <formula>"Napkin Hs"</formula>
    </cfRule>
  </conditionalFormatting>
  <conditionalFormatting sqref="C91">
    <cfRule type="cellIs" dxfId="2916" priority="1137" stopIfTrue="1" operator="equal">
      <formula>"Towel"</formula>
    </cfRule>
  </conditionalFormatting>
  <conditionalFormatting sqref="B91:C91">
    <cfRule type="cellIs" dxfId="2915" priority="1133" stopIfTrue="1" operator="equal">
      <formula>"Towel"</formula>
    </cfRule>
    <cfRule type="cellIs" dxfId="2914" priority="1134" stopIfTrue="1" operator="equal">
      <formula>"Napkin Hs"</formula>
    </cfRule>
  </conditionalFormatting>
  <conditionalFormatting sqref="C91">
    <cfRule type="cellIs" dxfId="2913" priority="1132" stopIfTrue="1" operator="equal">
      <formula>"Napkin Hs"</formula>
    </cfRule>
  </conditionalFormatting>
  <conditionalFormatting sqref="C91">
    <cfRule type="cellIs" dxfId="2912" priority="1129" stopIfTrue="1" operator="equal">
      <formula>"Towel"</formula>
    </cfRule>
    <cfRule type="cellIs" dxfId="2911" priority="1130" stopIfTrue="1" operator="equal">
      <formula>"Napkin Hs"</formula>
    </cfRule>
  </conditionalFormatting>
  <conditionalFormatting sqref="C91">
    <cfRule type="cellIs" dxfId="2910" priority="1131" stopIfTrue="1" operator="equal">
      <formula>"Towel"</formula>
    </cfRule>
  </conditionalFormatting>
  <conditionalFormatting sqref="B96:C96">
    <cfRule type="cellIs" dxfId="2909" priority="1125" stopIfTrue="1" operator="equal">
      <formula>"Towel"</formula>
    </cfRule>
    <cfRule type="cellIs" dxfId="2908" priority="1126" stopIfTrue="1" operator="equal">
      <formula>"Napkin Hs"</formula>
    </cfRule>
  </conditionalFormatting>
  <conditionalFormatting sqref="C96">
    <cfRule type="cellIs" dxfId="2907" priority="1127" stopIfTrue="1" operator="equal">
      <formula>"Towel"</formula>
    </cfRule>
    <cfRule type="cellIs" dxfId="2906" priority="1128" stopIfTrue="1" operator="equal">
      <formula>"Napkin Hs"</formula>
    </cfRule>
  </conditionalFormatting>
  <conditionalFormatting sqref="C96">
    <cfRule type="cellIs" dxfId="2905" priority="1123" stopIfTrue="1" operator="equal">
      <formula>"Towel"</formula>
    </cfRule>
    <cfRule type="cellIs" dxfId="2904" priority="1124" stopIfTrue="1" operator="equal">
      <formula>"Napkin Hs"</formula>
    </cfRule>
  </conditionalFormatting>
  <conditionalFormatting sqref="B95:C95">
    <cfRule type="cellIs" dxfId="2903" priority="1121" stopIfTrue="1" operator="equal">
      <formula>"Towel"</formula>
    </cfRule>
    <cfRule type="cellIs" dxfId="2902" priority="1122" stopIfTrue="1" operator="equal">
      <formula>"Napkin Hs"</formula>
    </cfRule>
  </conditionalFormatting>
  <conditionalFormatting sqref="C95">
    <cfRule type="cellIs" dxfId="2901" priority="1120" stopIfTrue="1" operator="equal">
      <formula>"Napkin Hs"</formula>
    </cfRule>
  </conditionalFormatting>
  <conditionalFormatting sqref="C95">
    <cfRule type="cellIs" dxfId="2900" priority="1117" stopIfTrue="1" operator="equal">
      <formula>"Towel"</formula>
    </cfRule>
    <cfRule type="cellIs" dxfId="2899" priority="1118" stopIfTrue="1" operator="equal">
      <formula>"Napkin Hs"</formula>
    </cfRule>
  </conditionalFormatting>
  <conditionalFormatting sqref="C95">
    <cfRule type="cellIs" dxfId="2898" priority="1119" stopIfTrue="1" operator="equal">
      <formula>"Towel"</formula>
    </cfRule>
  </conditionalFormatting>
  <conditionalFormatting sqref="B100:C100">
    <cfRule type="cellIs" dxfId="2897" priority="1115" stopIfTrue="1" operator="equal">
      <formula>"Towel"</formula>
    </cfRule>
    <cfRule type="cellIs" dxfId="2896" priority="1116" stopIfTrue="1" operator="equal">
      <formula>"Napkin Hs"</formula>
    </cfRule>
  </conditionalFormatting>
  <conditionalFormatting sqref="C100">
    <cfRule type="cellIs" dxfId="2895" priority="1113" stopIfTrue="1" operator="equal">
      <formula>"Towel"</formula>
    </cfRule>
    <cfRule type="cellIs" dxfId="2894" priority="1114" stopIfTrue="1" operator="equal">
      <formula>"Napkin Hs"</formula>
    </cfRule>
  </conditionalFormatting>
  <conditionalFormatting sqref="C100">
    <cfRule type="cellIs" dxfId="2893" priority="1111" stopIfTrue="1" operator="equal">
      <formula>"Towel"</formula>
    </cfRule>
    <cfRule type="cellIs" dxfId="2892" priority="1112" stopIfTrue="1" operator="equal">
      <formula>"Napkin Hs"</formula>
    </cfRule>
  </conditionalFormatting>
  <conditionalFormatting sqref="B97:C99">
    <cfRule type="cellIs" dxfId="2891" priority="1109" stopIfTrue="1" operator="equal">
      <formula>"Towel"</formula>
    </cfRule>
    <cfRule type="cellIs" dxfId="2890" priority="1110" stopIfTrue="1" operator="equal">
      <formula>"Napkin Hs"</formula>
    </cfRule>
  </conditionalFormatting>
  <conditionalFormatting sqref="C97:C99">
    <cfRule type="cellIs" dxfId="2889" priority="1108" stopIfTrue="1" operator="equal">
      <formula>"Napkin Hs"</formula>
    </cfRule>
  </conditionalFormatting>
  <conditionalFormatting sqref="C97:C99">
    <cfRule type="cellIs" dxfId="2888" priority="1105" stopIfTrue="1" operator="equal">
      <formula>"Towel"</formula>
    </cfRule>
    <cfRule type="cellIs" dxfId="2887" priority="1106" stopIfTrue="1" operator="equal">
      <formula>"Napkin Hs"</formula>
    </cfRule>
  </conditionalFormatting>
  <conditionalFormatting sqref="C97:C99">
    <cfRule type="cellIs" dxfId="2886" priority="1107" stopIfTrue="1" operator="equal">
      <formula>"Towel"</formula>
    </cfRule>
  </conditionalFormatting>
  <conditionalFormatting sqref="B101:C102">
    <cfRule type="cellIs" dxfId="2885" priority="1103" stopIfTrue="1" operator="equal">
      <formula>"Towel"</formula>
    </cfRule>
    <cfRule type="cellIs" dxfId="2884" priority="1104" stopIfTrue="1" operator="equal">
      <formula>"Napkin Hs"</formula>
    </cfRule>
  </conditionalFormatting>
  <conditionalFormatting sqref="C101:C102">
    <cfRule type="cellIs" dxfId="2883" priority="1102" stopIfTrue="1" operator="equal">
      <formula>"Napkin Hs"</formula>
    </cfRule>
  </conditionalFormatting>
  <conditionalFormatting sqref="C101:C102">
    <cfRule type="cellIs" dxfId="2882" priority="1099" stopIfTrue="1" operator="equal">
      <formula>"Towel"</formula>
    </cfRule>
    <cfRule type="cellIs" dxfId="2881" priority="1100" stopIfTrue="1" operator="equal">
      <formula>"Napkin Hs"</formula>
    </cfRule>
  </conditionalFormatting>
  <conditionalFormatting sqref="C101:C102">
    <cfRule type="cellIs" dxfId="2880" priority="1101" stopIfTrue="1" operator="equal">
      <formula>"Towel"</formula>
    </cfRule>
  </conditionalFormatting>
  <conditionalFormatting sqref="B96:C96">
    <cfRule type="cellIs" dxfId="2879" priority="1095" stopIfTrue="1" operator="equal">
      <formula>"Towel"</formula>
    </cfRule>
    <cfRule type="cellIs" dxfId="2878" priority="1096" stopIfTrue="1" operator="equal">
      <formula>"Napkin Hs"</formula>
    </cfRule>
  </conditionalFormatting>
  <conditionalFormatting sqref="C96">
    <cfRule type="cellIs" dxfId="2877" priority="1097" stopIfTrue="1" operator="equal">
      <formula>"Towel"</formula>
    </cfRule>
    <cfRule type="cellIs" dxfId="2876" priority="1098" stopIfTrue="1" operator="equal">
      <formula>"Napkin Hs"</formula>
    </cfRule>
  </conditionalFormatting>
  <conditionalFormatting sqref="C96">
    <cfRule type="cellIs" dxfId="2875" priority="1093" stopIfTrue="1" operator="equal">
      <formula>"Towel"</formula>
    </cfRule>
    <cfRule type="cellIs" dxfId="2874" priority="1094" stopIfTrue="1" operator="equal">
      <formula>"Napkin Hs"</formula>
    </cfRule>
  </conditionalFormatting>
  <conditionalFormatting sqref="B95:C95">
    <cfRule type="cellIs" dxfId="2873" priority="1091" stopIfTrue="1" operator="equal">
      <formula>"Towel"</formula>
    </cfRule>
    <cfRule type="cellIs" dxfId="2872" priority="1092" stopIfTrue="1" operator="equal">
      <formula>"Napkin Hs"</formula>
    </cfRule>
  </conditionalFormatting>
  <conditionalFormatting sqref="C95">
    <cfRule type="cellIs" dxfId="2871" priority="1090" stopIfTrue="1" operator="equal">
      <formula>"Napkin Hs"</formula>
    </cfRule>
  </conditionalFormatting>
  <conditionalFormatting sqref="C95">
    <cfRule type="cellIs" dxfId="2870" priority="1087" stopIfTrue="1" operator="equal">
      <formula>"Towel"</formula>
    </cfRule>
    <cfRule type="cellIs" dxfId="2869" priority="1088" stopIfTrue="1" operator="equal">
      <formula>"Napkin Hs"</formula>
    </cfRule>
  </conditionalFormatting>
  <conditionalFormatting sqref="C95">
    <cfRule type="cellIs" dxfId="2868" priority="1089" stopIfTrue="1" operator="equal">
      <formula>"Towel"</formula>
    </cfRule>
  </conditionalFormatting>
  <conditionalFormatting sqref="B96:C96">
    <cfRule type="cellIs" dxfId="2867" priority="1083" stopIfTrue="1" operator="equal">
      <formula>"Towel"</formula>
    </cfRule>
    <cfRule type="cellIs" dxfId="2866" priority="1084" stopIfTrue="1" operator="equal">
      <formula>"Napkin Hs"</formula>
    </cfRule>
  </conditionalFormatting>
  <conditionalFormatting sqref="C96">
    <cfRule type="cellIs" dxfId="2865" priority="1085" stopIfTrue="1" operator="equal">
      <formula>"Towel"</formula>
    </cfRule>
    <cfRule type="cellIs" dxfId="2864" priority="1086" stopIfTrue="1" operator="equal">
      <formula>"Napkin Hs"</formula>
    </cfRule>
  </conditionalFormatting>
  <conditionalFormatting sqref="C96">
    <cfRule type="cellIs" dxfId="2863" priority="1081" stopIfTrue="1" operator="equal">
      <formula>"Towel"</formula>
    </cfRule>
    <cfRule type="cellIs" dxfId="2862" priority="1082" stopIfTrue="1" operator="equal">
      <formula>"Napkin Hs"</formula>
    </cfRule>
  </conditionalFormatting>
  <conditionalFormatting sqref="B97:C99">
    <cfRule type="cellIs" dxfId="2861" priority="1079" stopIfTrue="1" operator="equal">
      <formula>"Towel"</formula>
    </cfRule>
    <cfRule type="cellIs" dxfId="2860" priority="1080" stopIfTrue="1" operator="equal">
      <formula>"Napkin Hs"</formula>
    </cfRule>
  </conditionalFormatting>
  <conditionalFormatting sqref="C97:C99">
    <cfRule type="cellIs" dxfId="2859" priority="1078" stopIfTrue="1" operator="equal">
      <formula>"Napkin Hs"</formula>
    </cfRule>
  </conditionalFormatting>
  <conditionalFormatting sqref="C97:C99">
    <cfRule type="cellIs" dxfId="2858" priority="1075" stopIfTrue="1" operator="equal">
      <formula>"Towel"</formula>
    </cfRule>
    <cfRule type="cellIs" dxfId="2857" priority="1076" stopIfTrue="1" operator="equal">
      <formula>"Napkin Hs"</formula>
    </cfRule>
  </conditionalFormatting>
  <conditionalFormatting sqref="C97:C99">
    <cfRule type="cellIs" dxfId="2856" priority="1077" stopIfTrue="1" operator="equal">
      <formula>"Towel"</formula>
    </cfRule>
  </conditionalFormatting>
  <conditionalFormatting sqref="B98:C99">
    <cfRule type="cellIs" dxfId="2855" priority="1073" stopIfTrue="1" operator="equal">
      <formula>"Towel"</formula>
    </cfRule>
    <cfRule type="cellIs" dxfId="2854" priority="1074" stopIfTrue="1" operator="equal">
      <formula>"Napkin Hs"</formula>
    </cfRule>
  </conditionalFormatting>
  <conditionalFormatting sqref="C98:C99">
    <cfRule type="cellIs" dxfId="2853" priority="1072" stopIfTrue="1" operator="equal">
      <formula>"Napkin Hs"</formula>
    </cfRule>
  </conditionalFormatting>
  <conditionalFormatting sqref="C98:C99">
    <cfRule type="cellIs" dxfId="2852" priority="1069" stopIfTrue="1" operator="equal">
      <formula>"Towel"</formula>
    </cfRule>
    <cfRule type="cellIs" dxfId="2851" priority="1070" stopIfTrue="1" operator="equal">
      <formula>"Napkin Hs"</formula>
    </cfRule>
  </conditionalFormatting>
  <conditionalFormatting sqref="C98:C99">
    <cfRule type="cellIs" dxfId="2850" priority="1071" stopIfTrue="1" operator="equal">
      <formula>"Towel"</formula>
    </cfRule>
  </conditionalFormatting>
  <conditionalFormatting sqref="B97:C97">
    <cfRule type="cellIs" dxfId="2849" priority="1067" stopIfTrue="1" operator="equal">
      <formula>"Towel"</formula>
    </cfRule>
    <cfRule type="cellIs" dxfId="2848" priority="1068" stopIfTrue="1" operator="equal">
      <formula>"Napkin Hs"</formula>
    </cfRule>
  </conditionalFormatting>
  <conditionalFormatting sqref="C97">
    <cfRule type="cellIs" dxfId="2847" priority="1066" stopIfTrue="1" operator="equal">
      <formula>"Napkin Hs"</formula>
    </cfRule>
  </conditionalFormatting>
  <conditionalFormatting sqref="C97">
    <cfRule type="cellIs" dxfId="2846" priority="1063" stopIfTrue="1" operator="equal">
      <formula>"Towel"</formula>
    </cfRule>
    <cfRule type="cellIs" dxfId="2845" priority="1064" stopIfTrue="1" operator="equal">
      <formula>"Napkin Hs"</formula>
    </cfRule>
  </conditionalFormatting>
  <conditionalFormatting sqref="C97">
    <cfRule type="cellIs" dxfId="2844" priority="1065" stopIfTrue="1" operator="equal">
      <formula>"Towel"</formula>
    </cfRule>
  </conditionalFormatting>
  <conditionalFormatting sqref="B97:C97">
    <cfRule type="cellIs" dxfId="2843" priority="1061" stopIfTrue="1" operator="equal">
      <formula>"Towel"</formula>
    </cfRule>
    <cfRule type="cellIs" dxfId="2842" priority="1062" stopIfTrue="1" operator="equal">
      <formula>"Napkin Hs"</formula>
    </cfRule>
  </conditionalFormatting>
  <conditionalFormatting sqref="C97">
    <cfRule type="cellIs" dxfId="2841" priority="1060" stopIfTrue="1" operator="equal">
      <formula>"Napkin Hs"</formula>
    </cfRule>
  </conditionalFormatting>
  <conditionalFormatting sqref="C97">
    <cfRule type="cellIs" dxfId="2840" priority="1057" stopIfTrue="1" operator="equal">
      <formula>"Towel"</formula>
    </cfRule>
    <cfRule type="cellIs" dxfId="2839" priority="1058" stopIfTrue="1" operator="equal">
      <formula>"Napkin Hs"</formula>
    </cfRule>
  </conditionalFormatting>
  <conditionalFormatting sqref="C97">
    <cfRule type="cellIs" dxfId="2838" priority="1059" stopIfTrue="1" operator="equal">
      <formula>"Towel"</formula>
    </cfRule>
  </conditionalFormatting>
  <conditionalFormatting sqref="B97:C97">
    <cfRule type="cellIs" dxfId="2837" priority="1055" stopIfTrue="1" operator="equal">
      <formula>"Towel"</formula>
    </cfRule>
    <cfRule type="cellIs" dxfId="2836" priority="1056" stopIfTrue="1" operator="equal">
      <formula>"Napkin Hs"</formula>
    </cfRule>
  </conditionalFormatting>
  <conditionalFormatting sqref="C97">
    <cfRule type="cellIs" dxfId="2835" priority="1054" stopIfTrue="1" operator="equal">
      <formula>"Napkin Hs"</formula>
    </cfRule>
  </conditionalFormatting>
  <conditionalFormatting sqref="C97">
    <cfRule type="cellIs" dxfId="2834" priority="1051" stopIfTrue="1" operator="equal">
      <formula>"Towel"</formula>
    </cfRule>
    <cfRule type="cellIs" dxfId="2833" priority="1052" stopIfTrue="1" operator="equal">
      <formula>"Napkin Hs"</formula>
    </cfRule>
  </conditionalFormatting>
  <conditionalFormatting sqref="C97">
    <cfRule type="cellIs" dxfId="2832" priority="1053" stopIfTrue="1" operator="equal">
      <formula>"Towel"</formula>
    </cfRule>
  </conditionalFormatting>
  <conditionalFormatting sqref="B97:C97">
    <cfRule type="cellIs" dxfId="2831" priority="1049" stopIfTrue="1" operator="equal">
      <formula>"Towel"</formula>
    </cfRule>
    <cfRule type="cellIs" dxfId="2830" priority="1050" stopIfTrue="1" operator="equal">
      <formula>"Napkin Hs"</formula>
    </cfRule>
  </conditionalFormatting>
  <conditionalFormatting sqref="C97">
    <cfRule type="cellIs" dxfId="2829" priority="1045" stopIfTrue="1" operator="equal">
      <formula>"Towel"</formula>
    </cfRule>
    <cfRule type="cellIs" dxfId="2828" priority="1046" stopIfTrue="1" operator="equal">
      <formula>"Napkin Hs"</formula>
    </cfRule>
  </conditionalFormatting>
  <conditionalFormatting sqref="C97">
    <cfRule type="cellIs" dxfId="2827" priority="1047" stopIfTrue="1" operator="equal">
      <formula>"Towel"</formula>
    </cfRule>
    <cfRule type="cellIs" dxfId="2826" priority="1048" stopIfTrue="1" operator="equal">
      <formula>"Napkin Hs"</formula>
    </cfRule>
  </conditionalFormatting>
  <conditionalFormatting sqref="B97:C97">
    <cfRule type="cellIs" dxfId="2825" priority="1043" stopIfTrue="1" operator="equal">
      <formula>"Towel"</formula>
    </cfRule>
    <cfRule type="cellIs" dxfId="2824" priority="1044" stopIfTrue="1" operator="equal">
      <formula>"Napkin Hs"</formula>
    </cfRule>
  </conditionalFormatting>
  <conditionalFormatting sqref="C97">
    <cfRule type="cellIs" dxfId="2823" priority="1039" stopIfTrue="1" operator="equal">
      <formula>"Towel"</formula>
    </cfRule>
    <cfRule type="cellIs" dxfId="2822" priority="1040" stopIfTrue="1" operator="equal">
      <formula>"Napkin Hs"</formula>
    </cfRule>
  </conditionalFormatting>
  <conditionalFormatting sqref="C97">
    <cfRule type="cellIs" dxfId="2821" priority="1041" stopIfTrue="1" operator="equal">
      <formula>"Towel"</formula>
    </cfRule>
    <cfRule type="cellIs" dxfId="2820" priority="1042" stopIfTrue="1" operator="equal">
      <formula>"Napkin Hs"</formula>
    </cfRule>
  </conditionalFormatting>
  <conditionalFormatting sqref="B97:C97">
    <cfRule type="cellIs" dxfId="2819" priority="1035" stopIfTrue="1" operator="equal">
      <formula>"Towel"</formula>
    </cfRule>
    <cfRule type="cellIs" dxfId="2818" priority="1036" stopIfTrue="1" operator="equal">
      <formula>"Napkin Hs"</formula>
    </cfRule>
  </conditionalFormatting>
  <conditionalFormatting sqref="C97">
    <cfRule type="cellIs" dxfId="2817" priority="1037" stopIfTrue="1" operator="equal">
      <formula>"Towel"</formula>
    </cfRule>
    <cfRule type="cellIs" dxfId="2816" priority="1038" stopIfTrue="1" operator="equal">
      <formula>"Napkin Hs"</formula>
    </cfRule>
  </conditionalFormatting>
  <conditionalFormatting sqref="C97">
    <cfRule type="cellIs" dxfId="2815" priority="1033" stopIfTrue="1" operator="equal">
      <formula>"Towel"</formula>
    </cfRule>
    <cfRule type="cellIs" dxfId="2814" priority="1034" stopIfTrue="1" operator="equal">
      <formula>"Napkin Hs"</formula>
    </cfRule>
  </conditionalFormatting>
  <conditionalFormatting sqref="B97:C97">
    <cfRule type="cellIs" dxfId="2813" priority="1031" stopIfTrue="1" operator="equal">
      <formula>"Towel"</formula>
    </cfRule>
    <cfRule type="cellIs" dxfId="2812" priority="1032" stopIfTrue="1" operator="equal">
      <formula>"Napkin Hs"</formula>
    </cfRule>
  </conditionalFormatting>
  <conditionalFormatting sqref="C97">
    <cfRule type="cellIs" dxfId="2811" priority="1030" stopIfTrue="1" operator="equal">
      <formula>"Napkin Hs"</formula>
    </cfRule>
  </conditionalFormatting>
  <conditionalFormatting sqref="C97">
    <cfRule type="cellIs" dxfId="2810" priority="1027" stopIfTrue="1" operator="equal">
      <formula>"Towel"</formula>
    </cfRule>
    <cfRule type="cellIs" dxfId="2809" priority="1028" stopIfTrue="1" operator="equal">
      <formula>"Napkin Hs"</formula>
    </cfRule>
  </conditionalFormatting>
  <conditionalFormatting sqref="C97">
    <cfRule type="cellIs" dxfId="2808" priority="1029" stopIfTrue="1" operator="equal">
      <formula>"Towel"</formula>
    </cfRule>
  </conditionalFormatting>
  <conditionalFormatting sqref="B97:C97">
    <cfRule type="cellIs" dxfId="2807" priority="1025" stopIfTrue="1" operator="equal">
      <formula>"Towel"</formula>
    </cfRule>
    <cfRule type="cellIs" dxfId="2806" priority="1026" stopIfTrue="1" operator="equal">
      <formula>"Napkin Hs"</formula>
    </cfRule>
  </conditionalFormatting>
  <conditionalFormatting sqref="C97">
    <cfRule type="cellIs" dxfId="2805" priority="1021" stopIfTrue="1" operator="equal">
      <formula>"Towel"</formula>
    </cfRule>
    <cfRule type="cellIs" dxfId="2804" priority="1022" stopIfTrue="1" operator="equal">
      <formula>"Napkin Hs"</formula>
    </cfRule>
  </conditionalFormatting>
  <conditionalFormatting sqref="C97">
    <cfRule type="cellIs" dxfId="2803" priority="1023" stopIfTrue="1" operator="equal">
      <formula>"Towel"</formula>
    </cfRule>
    <cfRule type="cellIs" dxfId="2802" priority="1024" stopIfTrue="1" operator="equal">
      <formula>"Napkin Hs"</formula>
    </cfRule>
  </conditionalFormatting>
  <conditionalFormatting sqref="B97:C97">
    <cfRule type="cellIs" dxfId="2801" priority="1019" stopIfTrue="1" operator="equal">
      <formula>"Towel"</formula>
    </cfRule>
    <cfRule type="cellIs" dxfId="2800" priority="1020" stopIfTrue="1" operator="equal">
      <formula>"Napkin Hs"</formula>
    </cfRule>
  </conditionalFormatting>
  <conditionalFormatting sqref="C97">
    <cfRule type="cellIs" dxfId="2799" priority="1018" stopIfTrue="1" operator="equal">
      <formula>"Napkin Hs"</formula>
    </cfRule>
  </conditionalFormatting>
  <conditionalFormatting sqref="C97">
    <cfRule type="cellIs" dxfId="2798" priority="1015" stopIfTrue="1" operator="equal">
      <formula>"Towel"</formula>
    </cfRule>
    <cfRule type="cellIs" dxfId="2797" priority="1016" stopIfTrue="1" operator="equal">
      <formula>"Napkin Hs"</formula>
    </cfRule>
  </conditionalFormatting>
  <conditionalFormatting sqref="C97">
    <cfRule type="cellIs" dxfId="2796" priority="1017" stopIfTrue="1" operator="equal">
      <formula>"Towel"</formula>
    </cfRule>
  </conditionalFormatting>
  <conditionalFormatting sqref="B97:C97">
    <cfRule type="cellIs" dxfId="2795" priority="1013" stopIfTrue="1" operator="equal">
      <formula>"Towel"</formula>
    </cfRule>
    <cfRule type="cellIs" dxfId="2794" priority="1014" stopIfTrue="1" operator="equal">
      <formula>"Napkin Hs"</formula>
    </cfRule>
  </conditionalFormatting>
  <conditionalFormatting sqref="C97">
    <cfRule type="cellIs" dxfId="2793" priority="1011" stopIfTrue="1" operator="equal">
      <formula>"Towel"</formula>
    </cfRule>
    <cfRule type="cellIs" dxfId="2792" priority="1012" stopIfTrue="1" operator="equal">
      <formula>"Napkin Hs"</formula>
    </cfRule>
  </conditionalFormatting>
  <conditionalFormatting sqref="C97">
    <cfRule type="cellIs" dxfId="2791" priority="1009" stopIfTrue="1" operator="equal">
      <formula>"Towel"</formula>
    </cfRule>
    <cfRule type="cellIs" dxfId="2790" priority="1010" stopIfTrue="1" operator="equal">
      <formula>"Napkin Hs"</formula>
    </cfRule>
  </conditionalFormatting>
  <conditionalFormatting sqref="B97:C97">
    <cfRule type="cellIs" dxfId="2789" priority="1007" stopIfTrue="1" operator="equal">
      <formula>"Towel"</formula>
    </cfRule>
    <cfRule type="cellIs" dxfId="2788" priority="1008" stopIfTrue="1" operator="equal">
      <formula>"Napkin Hs"</formula>
    </cfRule>
  </conditionalFormatting>
  <conditionalFormatting sqref="C97">
    <cfRule type="cellIs" dxfId="2787" priority="1006" stopIfTrue="1" operator="equal">
      <formula>"Napkin Hs"</formula>
    </cfRule>
  </conditionalFormatting>
  <conditionalFormatting sqref="C97">
    <cfRule type="cellIs" dxfId="2786" priority="1003" stopIfTrue="1" operator="equal">
      <formula>"Towel"</formula>
    </cfRule>
    <cfRule type="cellIs" dxfId="2785" priority="1004" stopIfTrue="1" operator="equal">
      <formula>"Napkin Hs"</formula>
    </cfRule>
  </conditionalFormatting>
  <conditionalFormatting sqref="C97">
    <cfRule type="cellIs" dxfId="2784" priority="1005" stopIfTrue="1" operator="equal">
      <formula>"Towel"</formula>
    </cfRule>
  </conditionalFormatting>
  <conditionalFormatting sqref="B97:C97">
    <cfRule type="cellIs" dxfId="2783" priority="1001" stopIfTrue="1" operator="equal">
      <formula>"Towel"</formula>
    </cfRule>
    <cfRule type="cellIs" dxfId="2782" priority="1002" stopIfTrue="1" operator="equal">
      <formula>"Napkin Hs"</formula>
    </cfRule>
  </conditionalFormatting>
  <conditionalFormatting sqref="C97">
    <cfRule type="cellIs" dxfId="2781" priority="1000" stopIfTrue="1" operator="equal">
      <formula>"Napkin Hs"</formula>
    </cfRule>
  </conditionalFormatting>
  <conditionalFormatting sqref="C97">
    <cfRule type="cellIs" dxfId="2780" priority="999" stopIfTrue="1" operator="equal">
      <formula>"Towel"</formula>
    </cfRule>
  </conditionalFormatting>
  <conditionalFormatting sqref="C97">
    <cfRule type="cellIs" dxfId="2779" priority="997" stopIfTrue="1" operator="equal">
      <formula>"Towel"</formula>
    </cfRule>
    <cfRule type="cellIs" dxfId="2778" priority="998" stopIfTrue="1" operator="equal">
      <formula>"Napkin Hs"</formula>
    </cfRule>
  </conditionalFormatting>
  <conditionalFormatting sqref="B97:C97">
    <cfRule type="cellIs" dxfId="2777" priority="995" stopIfTrue="1" operator="equal">
      <formula>"Towel"</formula>
    </cfRule>
    <cfRule type="cellIs" dxfId="2776" priority="996" stopIfTrue="1" operator="equal">
      <formula>"Napkin Hs"</formula>
    </cfRule>
  </conditionalFormatting>
  <conditionalFormatting sqref="C97">
    <cfRule type="cellIs" dxfId="2775" priority="994" stopIfTrue="1" operator="equal">
      <formula>"Napkin Hs"</formula>
    </cfRule>
  </conditionalFormatting>
  <conditionalFormatting sqref="C97">
    <cfRule type="cellIs" dxfId="2774" priority="991" stopIfTrue="1" operator="equal">
      <formula>"Towel"</formula>
    </cfRule>
    <cfRule type="cellIs" dxfId="2773" priority="992" stopIfTrue="1" operator="equal">
      <formula>"Napkin Hs"</formula>
    </cfRule>
  </conditionalFormatting>
  <conditionalFormatting sqref="C97">
    <cfRule type="cellIs" dxfId="2772" priority="993" stopIfTrue="1" operator="equal">
      <formula>"Towel"</formula>
    </cfRule>
  </conditionalFormatting>
  <conditionalFormatting sqref="B97:C97">
    <cfRule type="cellIs" dxfId="2771" priority="989" stopIfTrue="1" operator="equal">
      <formula>"Towel"</formula>
    </cfRule>
    <cfRule type="cellIs" dxfId="2770" priority="990" stopIfTrue="1" operator="equal">
      <formula>"Napkin Hs"</formula>
    </cfRule>
  </conditionalFormatting>
  <conditionalFormatting sqref="C97">
    <cfRule type="cellIs" dxfId="2769" priority="988" stopIfTrue="1" operator="equal">
      <formula>"Napkin Hs"</formula>
    </cfRule>
  </conditionalFormatting>
  <conditionalFormatting sqref="C97">
    <cfRule type="cellIs" dxfId="2768" priority="985" stopIfTrue="1" operator="equal">
      <formula>"Towel"</formula>
    </cfRule>
    <cfRule type="cellIs" dxfId="2767" priority="986" stopIfTrue="1" operator="equal">
      <formula>"Napkin Hs"</formula>
    </cfRule>
  </conditionalFormatting>
  <conditionalFormatting sqref="C97">
    <cfRule type="cellIs" dxfId="2766" priority="987" stopIfTrue="1" operator="equal">
      <formula>"Towel"</formula>
    </cfRule>
  </conditionalFormatting>
  <conditionalFormatting sqref="B97:C97">
    <cfRule type="cellIs" dxfId="2765" priority="983" stopIfTrue="1" operator="equal">
      <formula>"Towel"</formula>
    </cfRule>
    <cfRule type="cellIs" dxfId="2764" priority="984" stopIfTrue="1" operator="equal">
      <formula>"Napkin Hs"</formula>
    </cfRule>
  </conditionalFormatting>
  <conditionalFormatting sqref="C97">
    <cfRule type="cellIs" dxfId="2763" priority="982" stopIfTrue="1" operator="equal">
      <formula>"Napkin Hs"</formula>
    </cfRule>
  </conditionalFormatting>
  <conditionalFormatting sqref="C97">
    <cfRule type="cellIs" dxfId="2762" priority="979" stopIfTrue="1" operator="equal">
      <formula>"Towel"</formula>
    </cfRule>
    <cfRule type="cellIs" dxfId="2761" priority="980" stopIfTrue="1" operator="equal">
      <formula>"Napkin Hs"</formula>
    </cfRule>
  </conditionalFormatting>
  <conditionalFormatting sqref="C97">
    <cfRule type="cellIs" dxfId="2760" priority="981" stopIfTrue="1" operator="equal">
      <formula>"Towel"</formula>
    </cfRule>
  </conditionalFormatting>
  <conditionalFormatting sqref="B97:C97">
    <cfRule type="cellIs" dxfId="2759" priority="977" stopIfTrue="1" operator="equal">
      <formula>"Towel"</formula>
    </cfRule>
    <cfRule type="cellIs" dxfId="2758" priority="978" stopIfTrue="1" operator="equal">
      <formula>"Napkin Hs"</formula>
    </cfRule>
  </conditionalFormatting>
  <conditionalFormatting sqref="C97">
    <cfRule type="cellIs" dxfId="2757" priority="976" stopIfTrue="1" operator="equal">
      <formula>"Napkin Hs"</formula>
    </cfRule>
  </conditionalFormatting>
  <conditionalFormatting sqref="C97">
    <cfRule type="cellIs" dxfId="2756" priority="973" stopIfTrue="1" operator="equal">
      <formula>"Towel"</formula>
    </cfRule>
    <cfRule type="cellIs" dxfId="2755" priority="974" stopIfTrue="1" operator="equal">
      <formula>"Napkin Hs"</formula>
    </cfRule>
  </conditionalFormatting>
  <conditionalFormatting sqref="C97">
    <cfRule type="cellIs" dxfId="2754" priority="975" stopIfTrue="1" operator="equal">
      <formula>"Towel"</formula>
    </cfRule>
  </conditionalFormatting>
  <conditionalFormatting sqref="B97:C97">
    <cfRule type="cellIs" dxfId="2753" priority="971" stopIfTrue="1" operator="equal">
      <formula>"Towel"</formula>
    </cfRule>
    <cfRule type="cellIs" dxfId="2752" priority="972" stopIfTrue="1" operator="equal">
      <formula>"Napkin Hs"</formula>
    </cfRule>
  </conditionalFormatting>
  <conditionalFormatting sqref="C97">
    <cfRule type="cellIs" dxfId="2751" priority="970" stopIfTrue="1" operator="equal">
      <formula>"Napkin Hs"</formula>
    </cfRule>
  </conditionalFormatting>
  <conditionalFormatting sqref="C97">
    <cfRule type="cellIs" dxfId="2750" priority="967" stopIfTrue="1" operator="equal">
      <formula>"Towel"</formula>
    </cfRule>
    <cfRule type="cellIs" dxfId="2749" priority="968" stopIfTrue="1" operator="equal">
      <formula>"Napkin Hs"</formula>
    </cfRule>
  </conditionalFormatting>
  <conditionalFormatting sqref="C97">
    <cfRule type="cellIs" dxfId="2748" priority="969" stopIfTrue="1" operator="equal">
      <formula>"Towel"</formula>
    </cfRule>
  </conditionalFormatting>
  <conditionalFormatting sqref="B97:C97">
    <cfRule type="cellIs" dxfId="2747" priority="965" stopIfTrue="1" operator="equal">
      <formula>"Towel"</formula>
    </cfRule>
    <cfRule type="cellIs" dxfId="2746" priority="966" stopIfTrue="1" operator="equal">
      <formula>"Napkin Hs"</formula>
    </cfRule>
  </conditionalFormatting>
  <conditionalFormatting sqref="C97">
    <cfRule type="cellIs" dxfId="2745" priority="964" stopIfTrue="1" operator="equal">
      <formula>"Napkin Hs"</formula>
    </cfRule>
  </conditionalFormatting>
  <conditionalFormatting sqref="C97">
    <cfRule type="cellIs" dxfId="2744" priority="961" stopIfTrue="1" operator="equal">
      <formula>"Towel"</formula>
    </cfRule>
    <cfRule type="cellIs" dxfId="2743" priority="962" stopIfTrue="1" operator="equal">
      <formula>"Napkin Hs"</formula>
    </cfRule>
  </conditionalFormatting>
  <conditionalFormatting sqref="C97">
    <cfRule type="cellIs" dxfId="2742" priority="963" stopIfTrue="1" operator="equal">
      <formula>"Towel"</formula>
    </cfRule>
  </conditionalFormatting>
  <conditionalFormatting sqref="B97:C97">
    <cfRule type="cellIs" dxfId="2741" priority="959" stopIfTrue="1" operator="equal">
      <formula>"Towel"</formula>
    </cfRule>
    <cfRule type="cellIs" dxfId="2740" priority="960" stopIfTrue="1" operator="equal">
      <formula>"Napkin Hs"</formula>
    </cfRule>
  </conditionalFormatting>
  <conditionalFormatting sqref="C97">
    <cfRule type="cellIs" dxfId="2739" priority="958" stopIfTrue="1" operator="equal">
      <formula>"Napkin Hs"</formula>
    </cfRule>
  </conditionalFormatting>
  <conditionalFormatting sqref="C97">
    <cfRule type="cellIs" dxfId="2738" priority="955" stopIfTrue="1" operator="equal">
      <formula>"Towel"</formula>
    </cfRule>
    <cfRule type="cellIs" dxfId="2737" priority="956" stopIfTrue="1" operator="equal">
      <formula>"Napkin Hs"</formula>
    </cfRule>
  </conditionalFormatting>
  <conditionalFormatting sqref="C97">
    <cfRule type="cellIs" dxfId="2736" priority="957" stopIfTrue="1" operator="equal">
      <formula>"Towel"</formula>
    </cfRule>
  </conditionalFormatting>
  <conditionalFormatting sqref="B97:C97">
    <cfRule type="cellIs" dxfId="2735" priority="953" stopIfTrue="1" operator="equal">
      <formula>"Towel"</formula>
    </cfRule>
    <cfRule type="cellIs" dxfId="2734" priority="954" stopIfTrue="1" operator="equal">
      <formula>"Napkin Hs"</formula>
    </cfRule>
  </conditionalFormatting>
  <conditionalFormatting sqref="C97">
    <cfRule type="cellIs" dxfId="2733" priority="952" stopIfTrue="1" operator="equal">
      <formula>"Napkin Hs"</formula>
    </cfRule>
  </conditionalFormatting>
  <conditionalFormatting sqref="C97">
    <cfRule type="cellIs" dxfId="2732" priority="949" stopIfTrue="1" operator="equal">
      <formula>"Towel"</formula>
    </cfRule>
    <cfRule type="cellIs" dxfId="2731" priority="950" stopIfTrue="1" operator="equal">
      <formula>"Napkin Hs"</formula>
    </cfRule>
  </conditionalFormatting>
  <conditionalFormatting sqref="C97">
    <cfRule type="cellIs" dxfId="2730" priority="951" stopIfTrue="1" operator="equal">
      <formula>"Towel"</formula>
    </cfRule>
  </conditionalFormatting>
  <conditionalFormatting sqref="B97:C97">
    <cfRule type="cellIs" dxfId="2729" priority="947" stopIfTrue="1" operator="equal">
      <formula>"Towel"</formula>
    </cfRule>
    <cfRule type="cellIs" dxfId="2728" priority="948" stopIfTrue="1" operator="equal">
      <formula>"Napkin Hs"</formula>
    </cfRule>
  </conditionalFormatting>
  <conditionalFormatting sqref="C97">
    <cfRule type="cellIs" dxfId="2727" priority="946" stopIfTrue="1" operator="equal">
      <formula>"Napkin Hs"</formula>
    </cfRule>
  </conditionalFormatting>
  <conditionalFormatting sqref="C97">
    <cfRule type="cellIs" dxfId="2726" priority="943" stopIfTrue="1" operator="equal">
      <formula>"Towel"</formula>
    </cfRule>
    <cfRule type="cellIs" dxfId="2725" priority="944" stopIfTrue="1" operator="equal">
      <formula>"Napkin Hs"</formula>
    </cfRule>
  </conditionalFormatting>
  <conditionalFormatting sqref="C97">
    <cfRule type="cellIs" dxfId="2724" priority="945" stopIfTrue="1" operator="equal">
      <formula>"Towel"</formula>
    </cfRule>
  </conditionalFormatting>
  <conditionalFormatting sqref="B97:C97">
    <cfRule type="cellIs" dxfId="2723" priority="941" stopIfTrue="1" operator="equal">
      <formula>"Towel"</formula>
    </cfRule>
    <cfRule type="cellIs" dxfId="2722" priority="942" stopIfTrue="1" operator="equal">
      <formula>"Napkin Hs"</formula>
    </cfRule>
  </conditionalFormatting>
  <conditionalFormatting sqref="C97">
    <cfRule type="cellIs" dxfId="2721" priority="940" stopIfTrue="1" operator="equal">
      <formula>"Napkin Hs"</formula>
    </cfRule>
  </conditionalFormatting>
  <conditionalFormatting sqref="C97">
    <cfRule type="cellIs" dxfId="2720" priority="937" stopIfTrue="1" operator="equal">
      <formula>"Towel"</formula>
    </cfRule>
    <cfRule type="cellIs" dxfId="2719" priority="938" stopIfTrue="1" operator="equal">
      <formula>"Napkin Hs"</formula>
    </cfRule>
  </conditionalFormatting>
  <conditionalFormatting sqref="C97">
    <cfRule type="cellIs" dxfId="2718" priority="939" stopIfTrue="1" operator="equal">
      <formula>"Towel"</formula>
    </cfRule>
  </conditionalFormatting>
  <conditionalFormatting sqref="B97:C97">
    <cfRule type="cellIs" dxfId="2717" priority="935" stopIfTrue="1" operator="equal">
      <formula>"Towel"</formula>
    </cfRule>
    <cfRule type="cellIs" dxfId="2716" priority="936" stopIfTrue="1" operator="equal">
      <formula>"Napkin Hs"</formula>
    </cfRule>
  </conditionalFormatting>
  <conditionalFormatting sqref="C97">
    <cfRule type="cellIs" dxfId="2715" priority="934" stopIfTrue="1" operator="equal">
      <formula>"Napkin Hs"</formula>
    </cfRule>
  </conditionalFormatting>
  <conditionalFormatting sqref="C97">
    <cfRule type="cellIs" dxfId="2714" priority="933" stopIfTrue="1" operator="equal">
      <formula>"Towel"</formula>
    </cfRule>
  </conditionalFormatting>
  <conditionalFormatting sqref="C97">
    <cfRule type="cellIs" dxfId="2713" priority="931" stopIfTrue="1" operator="equal">
      <formula>"Towel"</formula>
    </cfRule>
    <cfRule type="cellIs" dxfId="2712" priority="932" stopIfTrue="1" operator="equal">
      <formula>"Napkin Hs"</formula>
    </cfRule>
  </conditionalFormatting>
  <conditionalFormatting sqref="B97:C97">
    <cfRule type="cellIs" dxfId="2711" priority="929" stopIfTrue="1" operator="equal">
      <formula>"Towel"</formula>
    </cfRule>
    <cfRule type="cellIs" dxfId="2710" priority="930" stopIfTrue="1" operator="equal">
      <formula>"Napkin Hs"</formula>
    </cfRule>
  </conditionalFormatting>
  <conditionalFormatting sqref="C97">
    <cfRule type="cellIs" dxfId="2709" priority="928" stopIfTrue="1" operator="equal">
      <formula>"Napkin Hs"</formula>
    </cfRule>
  </conditionalFormatting>
  <conditionalFormatting sqref="C97">
    <cfRule type="cellIs" dxfId="2708" priority="925" stopIfTrue="1" operator="equal">
      <formula>"Towel"</formula>
    </cfRule>
    <cfRule type="cellIs" dxfId="2707" priority="926" stopIfTrue="1" operator="equal">
      <formula>"Napkin Hs"</formula>
    </cfRule>
  </conditionalFormatting>
  <conditionalFormatting sqref="C97">
    <cfRule type="cellIs" dxfId="2706" priority="927" stopIfTrue="1" operator="equal">
      <formula>"Towel"</formula>
    </cfRule>
  </conditionalFormatting>
  <conditionalFormatting sqref="B97:C97">
    <cfRule type="cellIs" dxfId="2705" priority="923" stopIfTrue="1" operator="equal">
      <formula>"Towel"</formula>
    </cfRule>
    <cfRule type="cellIs" dxfId="2704" priority="924" stopIfTrue="1" operator="equal">
      <formula>"Napkin Hs"</formula>
    </cfRule>
  </conditionalFormatting>
  <conditionalFormatting sqref="C97">
    <cfRule type="cellIs" dxfId="2703" priority="922" stopIfTrue="1" operator="equal">
      <formula>"Napkin Hs"</formula>
    </cfRule>
  </conditionalFormatting>
  <conditionalFormatting sqref="C97">
    <cfRule type="cellIs" dxfId="2702" priority="919" stopIfTrue="1" operator="equal">
      <formula>"Towel"</formula>
    </cfRule>
    <cfRule type="cellIs" dxfId="2701" priority="920" stopIfTrue="1" operator="equal">
      <formula>"Napkin Hs"</formula>
    </cfRule>
  </conditionalFormatting>
  <conditionalFormatting sqref="C97">
    <cfRule type="cellIs" dxfId="2700" priority="921" stopIfTrue="1" operator="equal">
      <formula>"Towel"</formula>
    </cfRule>
  </conditionalFormatting>
  <conditionalFormatting sqref="B97:C97">
    <cfRule type="cellIs" dxfId="2699" priority="917" stopIfTrue="1" operator="equal">
      <formula>"Towel"</formula>
    </cfRule>
    <cfRule type="cellIs" dxfId="2698" priority="918" stopIfTrue="1" operator="equal">
      <formula>"Napkin Hs"</formula>
    </cfRule>
  </conditionalFormatting>
  <conditionalFormatting sqref="C97">
    <cfRule type="cellIs" dxfId="2697" priority="916" stopIfTrue="1" operator="equal">
      <formula>"Napkin Hs"</formula>
    </cfRule>
  </conditionalFormatting>
  <conditionalFormatting sqref="C97">
    <cfRule type="cellIs" dxfId="2696" priority="913" stopIfTrue="1" operator="equal">
      <formula>"Towel"</formula>
    </cfRule>
    <cfRule type="cellIs" dxfId="2695" priority="914" stopIfTrue="1" operator="equal">
      <formula>"Napkin Hs"</formula>
    </cfRule>
  </conditionalFormatting>
  <conditionalFormatting sqref="C97">
    <cfRule type="cellIs" dxfId="2694" priority="915" stopIfTrue="1" operator="equal">
      <formula>"Towel"</formula>
    </cfRule>
  </conditionalFormatting>
  <conditionalFormatting sqref="B97:C97">
    <cfRule type="cellIs" dxfId="2693" priority="911" stopIfTrue="1" operator="equal">
      <formula>"Towel"</formula>
    </cfRule>
    <cfRule type="cellIs" dxfId="2692" priority="912" stopIfTrue="1" operator="equal">
      <formula>"Napkin Hs"</formula>
    </cfRule>
  </conditionalFormatting>
  <conditionalFormatting sqref="C97">
    <cfRule type="cellIs" dxfId="2691" priority="910" stopIfTrue="1" operator="equal">
      <formula>"Napkin Hs"</formula>
    </cfRule>
  </conditionalFormatting>
  <conditionalFormatting sqref="C97">
    <cfRule type="cellIs" dxfId="2690" priority="907" stopIfTrue="1" operator="equal">
      <formula>"Towel"</formula>
    </cfRule>
    <cfRule type="cellIs" dxfId="2689" priority="908" stopIfTrue="1" operator="equal">
      <formula>"Napkin Hs"</formula>
    </cfRule>
  </conditionalFormatting>
  <conditionalFormatting sqref="C97">
    <cfRule type="cellIs" dxfId="2688" priority="909" stopIfTrue="1" operator="equal">
      <formula>"Towel"</formula>
    </cfRule>
  </conditionalFormatting>
  <conditionalFormatting sqref="B97:C97">
    <cfRule type="cellIs" dxfId="2687" priority="905" stopIfTrue="1" operator="equal">
      <formula>"Towel"</formula>
    </cfRule>
    <cfRule type="cellIs" dxfId="2686" priority="906" stopIfTrue="1" operator="equal">
      <formula>"Napkin Hs"</formula>
    </cfRule>
  </conditionalFormatting>
  <conditionalFormatting sqref="C97">
    <cfRule type="cellIs" dxfId="2685" priority="904" stopIfTrue="1" operator="equal">
      <formula>"Napkin Hs"</formula>
    </cfRule>
  </conditionalFormatting>
  <conditionalFormatting sqref="C97">
    <cfRule type="cellIs" dxfId="2684" priority="901" stopIfTrue="1" operator="equal">
      <formula>"Towel"</formula>
    </cfRule>
    <cfRule type="cellIs" dxfId="2683" priority="902" stopIfTrue="1" operator="equal">
      <formula>"Napkin Hs"</formula>
    </cfRule>
  </conditionalFormatting>
  <conditionalFormatting sqref="C97">
    <cfRule type="cellIs" dxfId="2682" priority="903" stopIfTrue="1" operator="equal">
      <formula>"Towel"</formula>
    </cfRule>
  </conditionalFormatting>
  <conditionalFormatting sqref="B97:C97">
    <cfRule type="cellIs" dxfId="2681" priority="899" stopIfTrue="1" operator="equal">
      <formula>"Towel"</formula>
    </cfRule>
    <cfRule type="cellIs" dxfId="2680" priority="900" stopIfTrue="1" operator="equal">
      <formula>"Napkin Hs"</formula>
    </cfRule>
  </conditionalFormatting>
  <conditionalFormatting sqref="C97">
    <cfRule type="cellIs" dxfId="2679" priority="898" stopIfTrue="1" operator="equal">
      <formula>"Napkin Hs"</formula>
    </cfRule>
  </conditionalFormatting>
  <conditionalFormatting sqref="C97">
    <cfRule type="cellIs" dxfId="2678" priority="895" stopIfTrue="1" operator="equal">
      <formula>"Towel"</formula>
    </cfRule>
    <cfRule type="cellIs" dxfId="2677" priority="896" stopIfTrue="1" operator="equal">
      <formula>"Napkin Hs"</formula>
    </cfRule>
  </conditionalFormatting>
  <conditionalFormatting sqref="C97">
    <cfRule type="cellIs" dxfId="2676" priority="897" stopIfTrue="1" operator="equal">
      <formula>"Towel"</formula>
    </cfRule>
  </conditionalFormatting>
  <conditionalFormatting sqref="B97:C97">
    <cfRule type="cellIs" dxfId="2675" priority="893" stopIfTrue="1" operator="equal">
      <formula>"Towel"</formula>
    </cfRule>
    <cfRule type="cellIs" dxfId="2674" priority="894" stopIfTrue="1" operator="equal">
      <formula>"Napkin Hs"</formula>
    </cfRule>
  </conditionalFormatting>
  <conditionalFormatting sqref="C97">
    <cfRule type="cellIs" dxfId="2673" priority="892" stopIfTrue="1" operator="equal">
      <formula>"Napkin Hs"</formula>
    </cfRule>
  </conditionalFormatting>
  <conditionalFormatting sqref="C97">
    <cfRule type="cellIs" dxfId="2672" priority="889" stopIfTrue="1" operator="equal">
      <formula>"Towel"</formula>
    </cfRule>
    <cfRule type="cellIs" dxfId="2671" priority="890" stopIfTrue="1" operator="equal">
      <formula>"Napkin Hs"</formula>
    </cfRule>
  </conditionalFormatting>
  <conditionalFormatting sqref="C97">
    <cfRule type="cellIs" dxfId="2670" priority="891" stopIfTrue="1" operator="equal">
      <formula>"Towel"</formula>
    </cfRule>
  </conditionalFormatting>
  <conditionalFormatting sqref="B97:C97">
    <cfRule type="cellIs" dxfId="2669" priority="887" stopIfTrue="1" operator="equal">
      <formula>"Towel"</formula>
    </cfRule>
    <cfRule type="cellIs" dxfId="2668" priority="888" stopIfTrue="1" operator="equal">
      <formula>"Napkin Hs"</formula>
    </cfRule>
  </conditionalFormatting>
  <conditionalFormatting sqref="C97">
    <cfRule type="cellIs" dxfId="2667" priority="886" stopIfTrue="1" operator="equal">
      <formula>"Napkin Hs"</formula>
    </cfRule>
  </conditionalFormatting>
  <conditionalFormatting sqref="C97">
    <cfRule type="cellIs" dxfId="2666" priority="883" stopIfTrue="1" operator="equal">
      <formula>"Towel"</formula>
    </cfRule>
    <cfRule type="cellIs" dxfId="2665" priority="884" stopIfTrue="1" operator="equal">
      <formula>"Napkin Hs"</formula>
    </cfRule>
  </conditionalFormatting>
  <conditionalFormatting sqref="C97">
    <cfRule type="cellIs" dxfId="2664" priority="885" stopIfTrue="1" operator="equal">
      <formula>"Towel"</formula>
    </cfRule>
  </conditionalFormatting>
  <conditionalFormatting sqref="B97:C97">
    <cfRule type="cellIs" dxfId="2663" priority="881" stopIfTrue="1" operator="equal">
      <formula>"Towel"</formula>
    </cfRule>
    <cfRule type="cellIs" dxfId="2662" priority="882" stopIfTrue="1" operator="equal">
      <formula>"Napkin Hs"</formula>
    </cfRule>
  </conditionalFormatting>
  <conditionalFormatting sqref="C97">
    <cfRule type="cellIs" dxfId="2661" priority="880" stopIfTrue="1" operator="equal">
      <formula>"Napkin Hs"</formula>
    </cfRule>
  </conditionalFormatting>
  <conditionalFormatting sqref="C97">
    <cfRule type="cellIs" dxfId="2660" priority="877" stopIfTrue="1" operator="equal">
      <formula>"Towel"</formula>
    </cfRule>
    <cfRule type="cellIs" dxfId="2659" priority="878" stopIfTrue="1" operator="equal">
      <formula>"Napkin Hs"</formula>
    </cfRule>
  </conditionalFormatting>
  <conditionalFormatting sqref="C97">
    <cfRule type="cellIs" dxfId="2658" priority="879" stopIfTrue="1" operator="equal">
      <formula>"Towel"</formula>
    </cfRule>
  </conditionalFormatting>
  <conditionalFormatting sqref="B96:C96">
    <cfRule type="cellIs" dxfId="2657" priority="875" stopIfTrue="1" operator="equal">
      <formula>"Towel"</formula>
    </cfRule>
    <cfRule type="cellIs" dxfId="2656" priority="876" stopIfTrue="1" operator="equal">
      <formula>"Napkin Hs"</formula>
    </cfRule>
  </conditionalFormatting>
  <conditionalFormatting sqref="C96">
    <cfRule type="cellIs" dxfId="2655" priority="874" stopIfTrue="1" operator="equal">
      <formula>"Napkin Hs"</formula>
    </cfRule>
  </conditionalFormatting>
  <conditionalFormatting sqref="C96">
    <cfRule type="cellIs" dxfId="2654" priority="871" stopIfTrue="1" operator="equal">
      <formula>"Towel"</formula>
    </cfRule>
    <cfRule type="cellIs" dxfId="2653" priority="872" stopIfTrue="1" operator="equal">
      <formula>"Napkin Hs"</formula>
    </cfRule>
  </conditionalFormatting>
  <conditionalFormatting sqref="C96">
    <cfRule type="cellIs" dxfId="2652" priority="873" stopIfTrue="1" operator="equal">
      <formula>"Towel"</formula>
    </cfRule>
  </conditionalFormatting>
  <conditionalFormatting sqref="B96:C96">
    <cfRule type="cellIs" dxfId="2651" priority="869" stopIfTrue="1" operator="equal">
      <formula>"Towel"</formula>
    </cfRule>
    <cfRule type="cellIs" dxfId="2650" priority="870" stopIfTrue="1" operator="equal">
      <formula>"Napkin Hs"</formula>
    </cfRule>
  </conditionalFormatting>
  <conditionalFormatting sqref="C96">
    <cfRule type="cellIs" dxfId="2649" priority="868" stopIfTrue="1" operator="equal">
      <formula>"Napkin Hs"</formula>
    </cfRule>
  </conditionalFormatting>
  <conditionalFormatting sqref="C96">
    <cfRule type="cellIs" dxfId="2648" priority="865" stopIfTrue="1" operator="equal">
      <formula>"Towel"</formula>
    </cfRule>
    <cfRule type="cellIs" dxfId="2647" priority="866" stopIfTrue="1" operator="equal">
      <formula>"Napkin Hs"</formula>
    </cfRule>
  </conditionalFormatting>
  <conditionalFormatting sqref="C96">
    <cfRule type="cellIs" dxfId="2646" priority="867" stopIfTrue="1" operator="equal">
      <formula>"Towel"</formula>
    </cfRule>
  </conditionalFormatting>
  <conditionalFormatting sqref="B96:C96">
    <cfRule type="cellIs" dxfId="2645" priority="863" stopIfTrue="1" operator="equal">
      <formula>"Towel"</formula>
    </cfRule>
    <cfRule type="cellIs" dxfId="2644" priority="864" stopIfTrue="1" operator="equal">
      <formula>"Napkin Hs"</formula>
    </cfRule>
  </conditionalFormatting>
  <conditionalFormatting sqref="C96">
    <cfRule type="cellIs" dxfId="2643" priority="862" stopIfTrue="1" operator="equal">
      <formula>"Napkin Hs"</formula>
    </cfRule>
  </conditionalFormatting>
  <conditionalFormatting sqref="C96">
    <cfRule type="cellIs" dxfId="2642" priority="859" stopIfTrue="1" operator="equal">
      <formula>"Towel"</formula>
    </cfRule>
    <cfRule type="cellIs" dxfId="2641" priority="860" stopIfTrue="1" operator="equal">
      <formula>"Napkin Hs"</formula>
    </cfRule>
  </conditionalFormatting>
  <conditionalFormatting sqref="C96">
    <cfRule type="cellIs" dxfId="2640" priority="861" stopIfTrue="1" operator="equal">
      <formula>"Towel"</formula>
    </cfRule>
  </conditionalFormatting>
  <conditionalFormatting sqref="B96:C96">
    <cfRule type="cellIs" dxfId="2639" priority="857" stopIfTrue="1" operator="equal">
      <formula>"Towel"</formula>
    </cfRule>
    <cfRule type="cellIs" dxfId="2638" priority="858" stopIfTrue="1" operator="equal">
      <formula>"Napkin Hs"</formula>
    </cfRule>
  </conditionalFormatting>
  <conditionalFormatting sqref="C96">
    <cfRule type="cellIs" dxfId="2637" priority="853" stopIfTrue="1" operator="equal">
      <formula>"Towel"</formula>
    </cfRule>
    <cfRule type="cellIs" dxfId="2636" priority="854" stopIfTrue="1" operator="equal">
      <formula>"Napkin Hs"</formula>
    </cfRule>
  </conditionalFormatting>
  <conditionalFormatting sqref="C96">
    <cfRule type="cellIs" dxfId="2635" priority="855" stopIfTrue="1" operator="equal">
      <formula>"Towel"</formula>
    </cfRule>
    <cfRule type="cellIs" dxfId="2634" priority="856" stopIfTrue="1" operator="equal">
      <formula>"Napkin Hs"</formula>
    </cfRule>
  </conditionalFormatting>
  <conditionalFormatting sqref="B96:C96">
    <cfRule type="cellIs" dxfId="2633" priority="851" stopIfTrue="1" operator="equal">
      <formula>"Towel"</formula>
    </cfRule>
    <cfRule type="cellIs" dxfId="2632" priority="852" stopIfTrue="1" operator="equal">
      <formula>"Napkin Hs"</formula>
    </cfRule>
  </conditionalFormatting>
  <conditionalFormatting sqref="C96">
    <cfRule type="cellIs" dxfId="2631" priority="847" stopIfTrue="1" operator="equal">
      <formula>"Towel"</formula>
    </cfRule>
    <cfRule type="cellIs" dxfId="2630" priority="848" stopIfTrue="1" operator="equal">
      <formula>"Napkin Hs"</formula>
    </cfRule>
  </conditionalFormatting>
  <conditionalFormatting sqref="C96">
    <cfRule type="cellIs" dxfId="2629" priority="849" stopIfTrue="1" operator="equal">
      <formula>"Towel"</formula>
    </cfRule>
    <cfRule type="cellIs" dxfId="2628" priority="850" stopIfTrue="1" operator="equal">
      <formula>"Napkin Hs"</formula>
    </cfRule>
  </conditionalFormatting>
  <conditionalFormatting sqref="B96:C96">
    <cfRule type="cellIs" dxfId="2627" priority="843" stopIfTrue="1" operator="equal">
      <formula>"Towel"</formula>
    </cfRule>
    <cfRule type="cellIs" dxfId="2626" priority="844" stopIfTrue="1" operator="equal">
      <formula>"Napkin Hs"</formula>
    </cfRule>
  </conditionalFormatting>
  <conditionalFormatting sqref="C96">
    <cfRule type="cellIs" dxfId="2625" priority="845" stopIfTrue="1" operator="equal">
      <formula>"Towel"</formula>
    </cfRule>
    <cfRule type="cellIs" dxfId="2624" priority="846" stopIfTrue="1" operator="equal">
      <formula>"Napkin Hs"</formula>
    </cfRule>
  </conditionalFormatting>
  <conditionalFormatting sqref="C96">
    <cfRule type="cellIs" dxfId="2623" priority="841" stopIfTrue="1" operator="equal">
      <formula>"Towel"</formula>
    </cfRule>
    <cfRule type="cellIs" dxfId="2622" priority="842" stopIfTrue="1" operator="equal">
      <formula>"Napkin Hs"</formula>
    </cfRule>
  </conditionalFormatting>
  <conditionalFormatting sqref="B96:C96">
    <cfRule type="cellIs" dxfId="2621" priority="839" stopIfTrue="1" operator="equal">
      <formula>"Towel"</formula>
    </cfRule>
    <cfRule type="cellIs" dxfId="2620" priority="840" stopIfTrue="1" operator="equal">
      <formula>"Napkin Hs"</formula>
    </cfRule>
  </conditionalFormatting>
  <conditionalFormatting sqref="C96">
    <cfRule type="cellIs" dxfId="2619" priority="838" stopIfTrue="1" operator="equal">
      <formula>"Napkin Hs"</formula>
    </cfRule>
  </conditionalFormatting>
  <conditionalFormatting sqref="C96">
    <cfRule type="cellIs" dxfId="2618" priority="835" stopIfTrue="1" operator="equal">
      <formula>"Towel"</formula>
    </cfRule>
    <cfRule type="cellIs" dxfId="2617" priority="836" stopIfTrue="1" operator="equal">
      <formula>"Napkin Hs"</formula>
    </cfRule>
  </conditionalFormatting>
  <conditionalFormatting sqref="C96">
    <cfRule type="cellIs" dxfId="2616" priority="837" stopIfTrue="1" operator="equal">
      <formula>"Towel"</formula>
    </cfRule>
  </conditionalFormatting>
  <conditionalFormatting sqref="B96:C96">
    <cfRule type="cellIs" dxfId="2615" priority="833" stopIfTrue="1" operator="equal">
      <formula>"Towel"</formula>
    </cfRule>
    <cfRule type="cellIs" dxfId="2614" priority="834" stopIfTrue="1" operator="equal">
      <formula>"Napkin Hs"</formula>
    </cfRule>
  </conditionalFormatting>
  <conditionalFormatting sqref="C96">
    <cfRule type="cellIs" dxfId="2613" priority="829" stopIfTrue="1" operator="equal">
      <formula>"Towel"</formula>
    </cfRule>
    <cfRule type="cellIs" dxfId="2612" priority="830" stopIfTrue="1" operator="equal">
      <formula>"Napkin Hs"</formula>
    </cfRule>
  </conditionalFormatting>
  <conditionalFormatting sqref="C96">
    <cfRule type="cellIs" dxfId="2611" priority="831" stopIfTrue="1" operator="equal">
      <formula>"Towel"</formula>
    </cfRule>
    <cfRule type="cellIs" dxfId="2610" priority="832" stopIfTrue="1" operator="equal">
      <formula>"Napkin Hs"</formula>
    </cfRule>
  </conditionalFormatting>
  <conditionalFormatting sqref="B96:C96">
    <cfRule type="cellIs" dxfId="2609" priority="827" stopIfTrue="1" operator="equal">
      <formula>"Towel"</formula>
    </cfRule>
    <cfRule type="cellIs" dxfId="2608" priority="828" stopIfTrue="1" operator="equal">
      <formula>"Napkin Hs"</formula>
    </cfRule>
  </conditionalFormatting>
  <conditionalFormatting sqref="C96">
    <cfRule type="cellIs" dxfId="2607" priority="826" stopIfTrue="1" operator="equal">
      <formula>"Napkin Hs"</formula>
    </cfRule>
  </conditionalFormatting>
  <conditionalFormatting sqref="C96">
    <cfRule type="cellIs" dxfId="2606" priority="823" stopIfTrue="1" operator="equal">
      <formula>"Towel"</formula>
    </cfRule>
    <cfRule type="cellIs" dxfId="2605" priority="824" stopIfTrue="1" operator="equal">
      <formula>"Napkin Hs"</formula>
    </cfRule>
  </conditionalFormatting>
  <conditionalFormatting sqref="C96">
    <cfRule type="cellIs" dxfId="2604" priority="825" stopIfTrue="1" operator="equal">
      <formula>"Towel"</formula>
    </cfRule>
  </conditionalFormatting>
  <conditionalFormatting sqref="B96:C96">
    <cfRule type="cellIs" dxfId="2603" priority="821" stopIfTrue="1" operator="equal">
      <formula>"Towel"</formula>
    </cfRule>
    <cfRule type="cellIs" dxfId="2602" priority="822" stopIfTrue="1" operator="equal">
      <formula>"Napkin Hs"</formula>
    </cfRule>
  </conditionalFormatting>
  <conditionalFormatting sqref="C96">
    <cfRule type="cellIs" dxfId="2601" priority="819" stopIfTrue="1" operator="equal">
      <formula>"Towel"</formula>
    </cfRule>
    <cfRule type="cellIs" dxfId="2600" priority="820" stopIfTrue="1" operator="equal">
      <formula>"Napkin Hs"</formula>
    </cfRule>
  </conditionalFormatting>
  <conditionalFormatting sqref="C96">
    <cfRule type="cellIs" dxfId="2599" priority="817" stopIfTrue="1" operator="equal">
      <formula>"Towel"</formula>
    </cfRule>
    <cfRule type="cellIs" dxfId="2598" priority="818" stopIfTrue="1" operator="equal">
      <formula>"Napkin Hs"</formula>
    </cfRule>
  </conditionalFormatting>
  <conditionalFormatting sqref="B96:C96">
    <cfRule type="cellIs" dxfId="2597" priority="815" stopIfTrue="1" operator="equal">
      <formula>"Towel"</formula>
    </cfRule>
    <cfRule type="cellIs" dxfId="2596" priority="816" stopIfTrue="1" operator="equal">
      <formula>"Napkin Hs"</formula>
    </cfRule>
  </conditionalFormatting>
  <conditionalFormatting sqref="C96">
    <cfRule type="cellIs" dxfId="2595" priority="814" stopIfTrue="1" operator="equal">
      <formula>"Napkin Hs"</formula>
    </cfRule>
  </conditionalFormatting>
  <conditionalFormatting sqref="C96">
    <cfRule type="cellIs" dxfId="2594" priority="811" stopIfTrue="1" operator="equal">
      <formula>"Towel"</formula>
    </cfRule>
    <cfRule type="cellIs" dxfId="2593" priority="812" stopIfTrue="1" operator="equal">
      <formula>"Napkin Hs"</formula>
    </cfRule>
  </conditionalFormatting>
  <conditionalFormatting sqref="C96">
    <cfRule type="cellIs" dxfId="2592" priority="813" stopIfTrue="1" operator="equal">
      <formula>"Towel"</formula>
    </cfRule>
  </conditionalFormatting>
  <conditionalFormatting sqref="B96:C96">
    <cfRule type="cellIs" dxfId="2591" priority="809" stopIfTrue="1" operator="equal">
      <formula>"Towel"</formula>
    </cfRule>
    <cfRule type="cellIs" dxfId="2590" priority="810" stopIfTrue="1" operator="equal">
      <formula>"Napkin Hs"</formula>
    </cfRule>
  </conditionalFormatting>
  <conditionalFormatting sqref="C96">
    <cfRule type="cellIs" dxfId="2589" priority="808" stopIfTrue="1" operator="equal">
      <formula>"Napkin Hs"</formula>
    </cfRule>
  </conditionalFormatting>
  <conditionalFormatting sqref="C96">
    <cfRule type="cellIs" dxfId="2588" priority="807" stopIfTrue="1" operator="equal">
      <formula>"Towel"</formula>
    </cfRule>
  </conditionalFormatting>
  <conditionalFormatting sqref="C96">
    <cfRule type="cellIs" dxfId="2587" priority="805" stopIfTrue="1" operator="equal">
      <formula>"Towel"</formula>
    </cfRule>
    <cfRule type="cellIs" dxfId="2586" priority="806" stopIfTrue="1" operator="equal">
      <formula>"Napkin Hs"</formula>
    </cfRule>
  </conditionalFormatting>
  <conditionalFormatting sqref="B96:C96">
    <cfRule type="cellIs" dxfId="2585" priority="803" stopIfTrue="1" operator="equal">
      <formula>"Towel"</formula>
    </cfRule>
    <cfRule type="cellIs" dxfId="2584" priority="804" stopIfTrue="1" operator="equal">
      <formula>"Napkin Hs"</formula>
    </cfRule>
  </conditionalFormatting>
  <conditionalFormatting sqref="C96">
    <cfRule type="cellIs" dxfId="2583" priority="802" stopIfTrue="1" operator="equal">
      <formula>"Napkin Hs"</formula>
    </cfRule>
  </conditionalFormatting>
  <conditionalFormatting sqref="C96">
    <cfRule type="cellIs" dxfId="2582" priority="799" stopIfTrue="1" operator="equal">
      <formula>"Towel"</formula>
    </cfRule>
    <cfRule type="cellIs" dxfId="2581" priority="800" stopIfTrue="1" operator="equal">
      <formula>"Napkin Hs"</formula>
    </cfRule>
  </conditionalFormatting>
  <conditionalFormatting sqref="C96">
    <cfRule type="cellIs" dxfId="2580" priority="801" stopIfTrue="1" operator="equal">
      <formula>"Towel"</formula>
    </cfRule>
  </conditionalFormatting>
  <conditionalFormatting sqref="B96:C96">
    <cfRule type="cellIs" dxfId="2579" priority="797" stopIfTrue="1" operator="equal">
      <formula>"Towel"</formula>
    </cfRule>
    <cfRule type="cellIs" dxfId="2578" priority="798" stopIfTrue="1" operator="equal">
      <formula>"Napkin Hs"</formula>
    </cfRule>
  </conditionalFormatting>
  <conditionalFormatting sqref="C96">
    <cfRule type="cellIs" dxfId="2577" priority="796" stopIfTrue="1" operator="equal">
      <formula>"Napkin Hs"</formula>
    </cfRule>
  </conditionalFormatting>
  <conditionalFormatting sqref="C96">
    <cfRule type="cellIs" dxfId="2576" priority="793" stopIfTrue="1" operator="equal">
      <formula>"Towel"</formula>
    </cfRule>
    <cfRule type="cellIs" dxfId="2575" priority="794" stopIfTrue="1" operator="equal">
      <formula>"Napkin Hs"</formula>
    </cfRule>
  </conditionalFormatting>
  <conditionalFormatting sqref="C96">
    <cfRule type="cellIs" dxfId="2574" priority="795" stopIfTrue="1" operator="equal">
      <formula>"Towel"</formula>
    </cfRule>
  </conditionalFormatting>
  <conditionalFormatting sqref="B96:C96">
    <cfRule type="cellIs" dxfId="2573" priority="791" stopIfTrue="1" operator="equal">
      <formula>"Towel"</formula>
    </cfRule>
    <cfRule type="cellIs" dxfId="2572" priority="792" stopIfTrue="1" operator="equal">
      <formula>"Napkin Hs"</formula>
    </cfRule>
  </conditionalFormatting>
  <conditionalFormatting sqref="C96">
    <cfRule type="cellIs" dxfId="2571" priority="790" stopIfTrue="1" operator="equal">
      <formula>"Napkin Hs"</formula>
    </cfRule>
  </conditionalFormatting>
  <conditionalFormatting sqref="C96">
    <cfRule type="cellIs" dxfId="2570" priority="787" stopIfTrue="1" operator="equal">
      <formula>"Towel"</formula>
    </cfRule>
    <cfRule type="cellIs" dxfId="2569" priority="788" stopIfTrue="1" operator="equal">
      <formula>"Napkin Hs"</formula>
    </cfRule>
  </conditionalFormatting>
  <conditionalFormatting sqref="C96">
    <cfRule type="cellIs" dxfId="2568" priority="789" stopIfTrue="1" operator="equal">
      <formula>"Towel"</formula>
    </cfRule>
  </conditionalFormatting>
  <conditionalFormatting sqref="B96:C96">
    <cfRule type="cellIs" dxfId="2567" priority="785" stopIfTrue="1" operator="equal">
      <formula>"Towel"</formula>
    </cfRule>
    <cfRule type="cellIs" dxfId="2566" priority="786" stopIfTrue="1" operator="equal">
      <formula>"Napkin Hs"</formula>
    </cfRule>
  </conditionalFormatting>
  <conditionalFormatting sqref="C96">
    <cfRule type="cellIs" dxfId="2565" priority="784" stopIfTrue="1" operator="equal">
      <formula>"Napkin Hs"</formula>
    </cfRule>
  </conditionalFormatting>
  <conditionalFormatting sqref="C96">
    <cfRule type="cellIs" dxfId="2564" priority="781" stopIfTrue="1" operator="equal">
      <formula>"Towel"</formula>
    </cfRule>
    <cfRule type="cellIs" dxfId="2563" priority="782" stopIfTrue="1" operator="equal">
      <formula>"Napkin Hs"</formula>
    </cfRule>
  </conditionalFormatting>
  <conditionalFormatting sqref="C96">
    <cfRule type="cellIs" dxfId="2562" priority="783" stopIfTrue="1" operator="equal">
      <formula>"Towel"</formula>
    </cfRule>
  </conditionalFormatting>
  <conditionalFormatting sqref="B96:C96">
    <cfRule type="cellIs" dxfId="2561" priority="779" stopIfTrue="1" operator="equal">
      <formula>"Towel"</formula>
    </cfRule>
    <cfRule type="cellIs" dxfId="2560" priority="780" stopIfTrue="1" operator="equal">
      <formula>"Napkin Hs"</formula>
    </cfRule>
  </conditionalFormatting>
  <conditionalFormatting sqref="C96">
    <cfRule type="cellIs" dxfId="2559" priority="778" stopIfTrue="1" operator="equal">
      <formula>"Napkin Hs"</formula>
    </cfRule>
  </conditionalFormatting>
  <conditionalFormatting sqref="C96">
    <cfRule type="cellIs" dxfId="2558" priority="775" stopIfTrue="1" operator="equal">
      <formula>"Towel"</formula>
    </cfRule>
    <cfRule type="cellIs" dxfId="2557" priority="776" stopIfTrue="1" operator="equal">
      <formula>"Napkin Hs"</formula>
    </cfRule>
  </conditionalFormatting>
  <conditionalFormatting sqref="C96">
    <cfRule type="cellIs" dxfId="2556" priority="777" stopIfTrue="1" operator="equal">
      <formula>"Towel"</formula>
    </cfRule>
  </conditionalFormatting>
  <conditionalFormatting sqref="B96:C96">
    <cfRule type="cellIs" dxfId="2555" priority="773" stopIfTrue="1" operator="equal">
      <formula>"Towel"</formula>
    </cfRule>
    <cfRule type="cellIs" dxfId="2554" priority="774" stopIfTrue="1" operator="equal">
      <formula>"Napkin Hs"</formula>
    </cfRule>
  </conditionalFormatting>
  <conditionalFormatting sqref="C96">
    <cfRule type="cellIs" dxfId="2553" priority="772" stopIfTrue="1" operator="equal">
      <formula>"Napkin Hs"</formula>
    </cfRule>
  </conditionalFormatting>
  <conditionalFormatting sqref="C96">
    <cfRule type="cellIs" dxfId="2552" priority="769" stopIfTrue="1" operator="equal">
      <formula>"Towel"</formula>
    </cfRule>
    <cfRule type="cellIs" dxfId="2551" priority="770" stopIfTrue="1" operator="equal">
      <formula>"Napkin Hs"</formula>
    </cfRule>
  </conditionalFormatting>
  <conditionalFormatting sqref="C96">
    <cfRule type="cellIs" dxfId="2550" priority="771" stopIfTrue="1" operator="equal">
      <formula>"Towel"</formula>
    </cfRule>
  </conditionalFormatting>
  <conditionalFormatting sqref="B96:C96">
    <cfRule type="cellIs" dxfId="2549" priority="767" stopIfTrue="1" operator="equal">
      <formula>"Towel"</formula>
    </cfRule>
    <cfRule type="cellIs" dxfId="2548" priority="768" stopIfTrue="1" operator="equal">
      <formula>"Napkin Hs"</formula>
    </cfRule>
  </conditionalFormatting>
  <conditionalFormatting sqref="C96">
    <cfRule type="cellIs" dxfId="2547" priority="766" stopIfTrue="1" operator="equal">
      <formula>"Napkin Hs"</formula>
    </cfRule>
  </conditionalFormatting>
  <conditionalFormatting sqref="C96">
    <cfRule type="cellIs" dxfId="2546" priority="763" stopIfTrue="1" operator="equal">
      <formula>"Towel"</formula>
    </cfRule>
    <cfRule type="cellIs" dxfId="2545" priority="764" stopIfTrue="1" operator="equal">
      <formula>"Napkin Hs"</formula>
    </cfRule>
  </conditionalFormatting>
  <conditionalFormatting sqref="C96">
    <cfRule type="cellIs" dxfId="2544" priority="765" stopIfTrue="1" operator="equal">
      <formula>"Towel"</formula>
    </cfRule>
  </conditionalFormatting>
  <conditionalFormatting sqref="B96:C96">
    <cfRule type="cellIs" dxfId="2543" priority="761" stopIfTrue="1" operator="equal">
      <formula>"Towel"</formula>
    </cfRule>
    <cfRule type="cellIs" dxfId="2542" priority="762" stopIfTrue="1" operator="equal">
      <formula>"Napkin Hs"</formula>
    </cfRule>
  </conditionalFormatting>
  <conditionalFormatting sqref="C96">
    <cfRule type="cellIs" dxfId="2541" priority="760" stopIfTrue="1" operator="equal">
      <formula>"Napkin Hs"</formula>
    </cfRule>
  </conditionalFormatting>
  <conditionalFormatting sqref="C96">
    <cfRule type="cellIs" dxfId="2540" priority="757" stopIfTrue="1" operator="equal">
      <formula>"Towel"</formula>
    </cfRule>
    <cfRule type="cellIs" dxfId="2539" priority="758" stopIfTrue="1" operator="equal">
      <formula>"Napkin Hs"</formula>
    </cfRule>
  </conditionalFormatting>
  <conditionalFormatting sqref="C96">
    <cfRule type="cellIs" dxfId="2538" priority="759" stopIfTrue="1" operator="equal">
      <formula>"Towel"</formula>
    </cfRule>
  </conditionalFormatting>
  <conditionalFormatting sqref="B96:C96">
    <cfRule type="cellIs" dxfId="2537" priority="755" stopIfTrue="1" operator="equal">
      <formula>"Towel"</formula>
    </cfRule>
    <cfRule type="cellIs" dxfId="2536" priority="756" stopIfTrue="1" operator="equal">
      <formula>"Napkin Hs"</formula>
    </cfRule>
  </conditionalFormatting>
  <conditionalFormatting sqref="C96">
    <cfRule type="cellIs" dxfId="2535" priority="754" stopIfTrue="1" operator="equal">
      <formula>"Napkin Hs"</formula>
    </cfRule>
  </conditionalFormatting>
  <conditionalFormatting sqref="C96">
    <cfRule type="cellIs" dxfId="2534" priority="751" stopIfTrue="1" operator="equal">
      <formula>"Towel"</formula>
    </cfRule>
    <cfRule type="cellIs" dxfId="2533" priority="752" stopIfTrue="1" operator="equal">
      <formula>"Napkin Hs"</formula>
    </cfRule>
  </conditionalFormatting>
  <conditionalFormatting sqref="C96">
    <cfRule type="cellIs" dxfId="2532" priority="753" stopIfTrue="1" operator="equal">
      <formula>"Towel"</formula>
    </cfRule>
  </conditionalFormatting>
  <conditionalFormatting sqref="B96:C96">
    <cfRule type="cellIs" dxfId="2531" priority="749" stopIfTrue="1" operator="equal">
      <formula>"Towel"</formula>
    </cfRule>
    <cfRule type="cellIs" dxfId="2530" priority="750" stopIfTrue="1" operator="equal">
      <formula>"Napkin Hs"</formula>
    </cfRule>
  </conditionalFormatting>
  <conditionalFormatting sqref="C96">
    <cfRule type="cellIs" dxfId="2529" priority="748" stopIfTrue="1" operator="equal">
      <formula>"Napkin Hs"</formula>
    </cfRule>
  </conditionalFormatting>
  <conditionalFormatting sqref="C96">
    <cfRule type="cellIs" dxfId="2528" priority="745" stopIfTrue="1" operator="equal">
      <formula>"Towel"</formula>
    </cfRule>
    <cfRule type="cellIs" dxfId="2527" priority="746" stopIfTrue="1" operator="equal">
      <formula>"Napkin Hs"</formula>
    </cfRule>
  </conditionalFormatting>
  <conditionalFormatting sqref="C96">
    <cfRule type="cellIs" dxfId="2526" priority="747" stopIfTrue="1" operator="equal">
      <formula>"Towel"</formula>
    </cfRule>
  </conditionalFormatting>
  <conditionalFormatting sqref="B96:C96">
    <cfRule type="cellIs" dxfId="2525" priority="743" stopIfTrue="1" operator="equal">
      <formula>"Towel"</formula>
    </cfRule>
    <cfRule type="cellIs" dxfId="2524" priority="744" stopIfTrue="1" operator="equal">
      <formula>"Napkin Hs"</formula>
    </cfRule>
  </conditionalFormatting>
  <conditionalFormatting sqref="C96">
    <cfRule type="cellIs" dxfId="2523" priority="742" stopIfTrue="1" operator="equal">
      <formula>"Napkin Hs"</formula>
    </cfRule>
  </conditionalFormatting>
  <conditionalFormatting sqref="C96">
    <cfRule type="cellIs" dxfId="2522" priority="741" stopIfTrue="1" operator="equal">
      <formula>"Towel"</formula>
    </cfRule>
  </conditionalFormatting>
  <conditionalFormatting sqref="C96">
    <cfRule type="cellIs" dxfId="2521" priority="739" stopIfTrue="1" operator="equal">
      <formula>"Towel"</formula>
    </cfRule>
    <cfRule type="cellIs" dxfId="2520" priority="740" stopIfTrue="1" operator="equal">
      <formula>"Napkin Hs"</formula>
    </cfRule>
  </conditionalFormatting>
  <conditionalFormatting sqref="B96:C96">
    <cfRule type="cellIs" dxfId="2519" priority="737" stopIfTrue="1" operator="equal">
      <formula>"Towel"</formula>
    </cfRule>
    <cfRule type="cellIs" dxfId="2518" priority="738" stopIfTrue="1" operator="equal">
      <formula>"Napkin Hs"</formula>
    </cfRule>
  </conditionalFormatting>
  <conditionalFormatting sqref="C96">
    <cfRule type="cellIs" dxfId="2517" priority="736" stopIfTrue="1" operator="equal">
      <formula>"Napkin Hs"</formula>
    </cfRule>
  </conditionalFormatting>
  <conditionalFormatting sqref="C96">
    <cfRule type="cellIs" dxfId="2516" priority="733" stopIfTrue="1" operator="equal">
      <formula>"Towel"</formula>
    </cfRule>
    <cfRule type="cellIs" dxfId="2515" priority="734" stopIfTrue="1" operator="equal">
      <formula>"Napkin Hs"</formula>
    </cfRule>
  </conditionalFormatting>
  <conditionalFormatting sqref="C96">
    <cfRule type="cellIs" dxfId="2514" priority="735" stopIfTrue="1" operator="equal">
      <formula>"Towel"</formula>
    </cfRule>
  </conditionalFormatting>
  <conditionalFormatting sqref="B96:C96">
    <cfRule type="cellIs" dxfId="2513" priority="731" stopIfTrue="1" operator="equal">
      <formula>"Towel"</formula>
    </cfRule>
    <cfRule type="cellIs" dxfId="2512" priority="732" stopIfTrue="1" operator="equal">
      <formula>"Napkin Hs"</formula>
    </cfRule>
  </conditionalFormatting>
  <conditionalFormatting sqref="C96">
    <cfRule type="cellIs" dxfId="2511" priority="730" stopIfTrue="1" operator="equal">
      <formula>"Napkin Hs"</formula>
    </cfRule>
  </conditionalFormatting>
  <conditionalFormatting sqref="C96">
    <cfRule type="cellIs" dxfId="2510" priority="727" stopIfTrue="1" operator="equal">
      <formula>"Towel"</formula>
    </cfRule>
    <cfRule type="cellIs" dxfId="2509" priority="728" stopIfTrue="1" operator="equal">
      <formula>"Napkin Hs"</formula>
    </cfRule>
  </conditionalFormatting>
  <conditionalFormatting sqref="C96">
    <cfRule type="cellIs" dxfId="2508" priority="729" stopIfTrue="1" operator="equal">
      <formula>"Towel"</formula>
    </cfRule>
  </conditionalFormatting>
  <conditionalFormatting sqref="B96:C96">
    <cfRule type="cellIs" dxfId="2507" priority="725" stopIfTrue="1" operator="equal">
      <formula>"Towel"</formula>
    </cfRule>
    <cfRule type="cellIs" dxfId="2506" priority="726" stopIfTrue="1" operator="equal">
      <formula>"Napkin Hs"</formula>
    </cfRule>
  </conditionalFormatting>
  <conditionalFormatting sqref="C96">
    <cfRule type="cellIs" dxfId="2505" priority="724" stopIfTrue="1" operator="equal">
      <formula>"Napkin Hs"</formula>
    </cfRule>
  </conditionalFormatting>
  <conditionalFormatting sqref="C96">
    <cfRule type="cellIs" dxfId="2504" priority="721" stopIfTrue="1" operator="equal">
      <formula>"Towel"</formula>
    </cfRule>
    <cfRule type="cellIs" dxfId="2503" priority="722" stopIfTrue="1" operator="equal">
      <formula>"Napkin Hs"</formula>
    </cfRule>
  </conditionalFormatting>
  <conditionalFormatting sqref="C96">
    <cfRule type="cellIs" dxfId="2502" priority="723" stopIfTrue="1" operator="equal">
      <formula>"Towel"</formula>
    </cfRule>
  </conditionalFormatting>
  <conditionalFormatting sqref="B96:C96">
    <cfRule type="cellIs" dxfId="2501" priority="719" stopIfTrue="1" operator="equal">
      <formula>"Towel"</formula>
    </cfRule>
    <cfRule type="cellIs" dxfId="2500" priority="720" stopIfTrue="1" operator="equal">
      <formula>"Napkin Hs"</formula>
    </cfRule>
  </conditionalFormatting>
  <conditionalFormatting sqref="C96">
    <cfRule type="cellIs" dxfId="2499" priority="718" stopIfTrue="1" operator="equal">
      <formula>"Napkin Hs"</formula>
    </cfRule>
  </conditionalFormatting>
  <conditionalFormatting sqref="C96">
    <cfRule type="cellIs" dxfId="2498" priority="715" stopIfTrue="1" operator="equal">
      <formula>"Towel"</formula>
    </cfRule>
    <cfRule type="cellIs" dxfId="2497" priority="716" stopIfTrue="1" operator="equal">
      <formula>"Napkin Hs"</formula>
    </cfRule>
  </conditionalFormatting>
  <conditionalFormatting sqref="C96">
    <cfRule type="cellIs" dxfId="2496" priority="717" stopIfTrue="1" operator="equal">
      <formula>"Towel"</formula>
    </cfRule>
  </conditionalFormatting>
  <conditionalFormatting sqref="B96:C96">
    <cfRule type="cellIs" dxfId="2495" priority="713" stopIfTrue="1" operator="equal">
      <formula>"Towel"</formula>
    </cfRule>
    <cfRule type="cellIs" dxfId="2494" priority="714" stopIfTrue="1" operator="equal">
      <formula>"Napkin Hs"</formula>
    </cfRule>
  </conditionalFormatting>
  <conditionalFormatting sqref="C96">
    <cfRule type="cellIs" dxfId="2493" priority="712" stopIfTrue="1" operator="equal">
      <formula>"Napkin Hs"</formula>
    </cfRule>
  </conditionalFormatting>
  <conditionalFormatting sqref="C96">
    <cfRule type="cellIs" dxfId="2492" priority="709" stopIfTrue="1" operator="equal">
      <formula>"Towel"</formula>
    </cfRule>
    <cfRule type="cellIs" dxfId="2491" priority="710" stopIfTrue="1" operator="equal">
      <formula>"Napkin Hs"</formula>
    </cfRule>
  </conditionalFormatting>
  <conditionalFormatting sqref="C96">
    <cfRule type="cellIs" dxfId="2490" priority="711" stopIfTrue="1" operator="equal">
      <formula>"Towel"</formula>
    </cfRule>
  </conditionalFormatting>
  <conditionalFormatting sqref="B96:C96">
    <cfRule type="cellIs" dxfId="2489" priority="707" stopIfTrue="1" operator="equal">
      <formula>"Towel"</formula>
    </cfRule>
    <cfRule type="cellIs" dxfId="2488" priority="708" stopIfTrue="1" operator="equal">
      <formula>"Napkin Hs"</formula>
    </cfRule>
  </conditionalFormatting>
  <conditionalFormatting sqref="C96">
    <cfRule type="cellIs" dxfId="2487" priority="706" stopIfTrue="1" operator="equal">
      <formula>"Napkin Hs"</formula>
    </cfRule>
  </conditionalFormatting>
  <conditionalFormatting sqref="C96">
    <cfRule type="cellIs" dxfId="2486" priority="703" stopIfTrue="1" operator="equal">
      <formula>"Towel"</formula>
    </cfRule>
    <cfRule type="cellIs" dxfId="2485" priority="704" stopIfTrue="1" operator="equal">
      <formula>"Napkin Hs"</formula>
    </cfRule>
  </conditionalFormatting>
  <conditionalFormatting sqref="C96">
    <cfRule type="cellIs" dxfId="2484" priority="705" stopIfTrue="1" operator="equal">
      <formula>"Towel"</formula>
    </cfRule>
  </conditionalFormatting>
  <conditionalFormatting sqref="B96:C96">
    <cfRule type="cellIs" dxfId="2483" priority="701" stopIfTrue="1" operator="equal">
      <formula>"Towel"</formula>
    </cfRule>
    <cfRule type="cellIs" dxfId="2482" priority="702" stopIfTrue="1" operator="equal">
      <formula>"Napkin Hs"</formula>
    </cfRule>
  </conditionalFormatting>
  <conditionalFormatting sqref="C96">
    <cfRule type="cellIs" dxfId="2481" priority="700" stopIfTrue="1" operator="equal">
      <formula>"Napkin Hs"</formula>
    </cfRule>
  </conditionalFormatting>
  <conditionalFormatting sqref="C96">
    <cfRule type="cellIs" dxfId="2480" priority="697" stopIfTrue="1" operator="equal">
      <formula>"Towel"</formula>
    </cfRule>
    <cfRule type="cellIs" dxfId="2479" priority="698" stopIfTrue="1" operator="equal">
      <formula>"Napkin Hs"</formula>
    </cfRule>
  </conditionalFormatting>
  <conditionalFormatting sqref="C96">
    <cfRule type="cellIs" dxfId="2478" priority="699" stopIfTrue="1" operator="equal">
      <formula>"Towel"</formula>
    </cfRule>
  </conditionalFormatting>
  <conditionalFormatting sqref="B96:C96">
    <cfRule type="cellIs" dxfId="2477" priority="695" stopIfTrue="1" operator="equal">
      <formula>"Towel"</formula>
    </cfRule>
    <cfRule type="cellIs" dxfId="2476" priority="696" stopIfTrue="1" operator="equal">
      <formula>"Napkin Hs"</formula>
    </cfRule>
  </conditionalFormatting>
  <conditionalFormatting sqref="C96">
    <cfRule type="cellIs" dxfId="2475" priority="694" stopIfTrue="1" operator="equal">
      <formula>"Napkin Hs"</formula>
    </cfRule>
  </conditionalFormatting>
  <conditionalFormatting sqref="C96">
    <cfRule type="cellIs" dxfId="2474" priority="691" stopIfTrue="1" operator="equal">
      <formula>"Towel"</formula>
    </cfRule>
    <cfRule type="cellIs" dxfId="2473" priority="692" stopIfTrue="1" operator="equal">
      <formula>"Napkin Hs"</formula>
    </cfRule>
  </conditionalFormatting>
  <conditionalFormatting sqref="C96">
    <cfRule type="cellIs" dxfId="2472" priority="693" stopIfTrue="1" operator="equal">
      <formula>"Towel"</formula>
    </cfRule>
  </conditionalFormatting>
  <conditionalFormatting sqref="B96:C96">
    <cfRule type="cellIs" dxfId="2471" priority="689" stopIfTrue="1" operator="equal">
      <formula>"Towel"</formula>
    </cfRule>
    <cfRule type="cellIs" dxfId="2470" priority="690" stopIfTrue="1" operator="equal">
      <formula>"Napkin Hs"</formula>
    </cfRule>
  </conditionalFormatting>
  <conditionalFormatting sqref="C96">
    <cfRule type="cellIs" dxfId="2469" priority="688" stopIfTrue="1" operator="equal">
      <formula>"Napkin Hs"</formula>
    </cfRule>
  </conditionalFormatting>
  <conditionalFormatting sqref="C96">
    <cfRule type="cellIs" dxfId="2468" priority="685" stopIfTrue="1" operator="equal">
      <formula>"Towel"</formula>
    </cfRule>
    <cfRule type="cellIs" dxfId="2467" priority="686" stopIfTrue="1" operator="equal">
      <formula>"Napkin Hs"</formula>
    </cfRule>
  </conditionalFormatting>
  <conditionalFormatting sqref="C96">
    <cfRule type="cellIs" dxfId="2466" priority="687" stopIfTrue="1" operator="equal">
      <formula>"Towel"</formula>
    </cfRule>
  </conditionalFormatting>
  <conditionalFormatting sqref="B95:C95">
    <cfRule type="cellIs" dxfId="2465" priority="681" stopIfTrue="1" operator="equal">
      <formula>"Towel"</formula>
    </cfRule>
    <cfRule type="cellIs" dxfId="2464" priority="682" stopIfTrue="1" operator="equal">
      <formula>"Napkin Hs"</formula>
    </cfRule>
  </conditionalFormatting>
  <conditionalFormatting sqref="C95">
    <cfRule type="cellIs" dxfId="2463" priority="683" stopIfTrue="1" operator="equal">
      <formula>"Towel"</formula>
    </cfRule>
    <cfRule type="cellIs" dxfId="2462" priority="684" stopIfTrue="1" operator="equal">
      <formula>"Napkin Hs"</formula>
    </cfRule>
  </conditionalFormatting>
  <conditionalFormatting sqref="C95">
    <cfRule type="cellIs" dxfId="2461" priority="679" stopIfTrue="1" operator="equal">
      <formula>"Towel"</formula>
    </cfRule>
    <cfRule type="cellIs" dxfId="2460" priority="680" stopIfTrue="1" operator="equal">
      <formula>"Napkin Hs"</formula>
    </cfRule>
  </conditionalFormatting>
  <conditionalFormatting sqref="B95:C95">
    <cfRule type="cellIs" dxfId="2459" priority="677" stopIfTrue="1" operator="equal">
      <formula>"Towel"</formula>
    </cfRule>
    <cfRule type="cellIs" dxfId="2458" priority="678" stopIfTrue="1" operator="equal">
      <formula>"Napkin Hs"</formula>
    </cfRule>
  </conditionalFormatting>
  <conditionalFormatting sqref="C95">
    <cfRule type="cellIs" dxfId="2457" priority="676" stopIfTrue="1" operator="equal">
      <formula>"Napkin Hs"</formula>
    </cfRule>
  </conditionalFormatting>
  <conditionalFormatting sqref="C95">
    <cfRule type="cellIs" dxfId="2456" priority="673" stopIfTrue="1" operator="equal">
      <formula>"Towel"</formula>
    </cfRule>
    <cfRule type="cellIs" dxfId="2455" priority="674" stopIfTrue="1" operator="equal">
      <formula>"Napkin Hs"</formula>
    </cfRule>
  </conditionalFormatting>
  <conditionalFormatting sqref="C95">
    <cfRule type="cellIs" dxfId="2454" priority="675" stopIfTrue="1" operator="equal">
      <formula>"Towel"</formula>
    </cfRule>
  </conditionalFormatting>
  <conditionalFormatting sqref="B95:C95">
    <cfRule type="cellIs" dxfId="2453" priority="671" stopIfTrue="1" operator="equal">
      <formula>"Towel"</formula>
    </cfRule>
    <cfRule type="cellIs" dxfId="2452" priority="672" stopIfTrue="1" operator="equal">
      <formula>"Napkin Hs"</formula>
    </cfRule>
  </conditionalFormatting>
  <conditionalFormatting sqref="C95">
    <cfRule type="cellIs" dxfId="2451" priority="670" stopIfTrue="1" operator="equal">
      <formula>"Napkin Hs"</formula>
    </cfRule>
  </conditionalFormatting>
  <conditionalFormatting sqref="C95">
    <cfRule type="cellIs" dxfId="2450" priority="667" stopIfTrue="1" operator="equal">
      <formula>"Towel"</formula>
    </cfRule>
    <cfRule type="cellIs" dxfId="2449" priority="668" stopIfTrue="1" operator="equal">
      <formula>"Napkin Hs"</formula>
    </cfRule>
  </conditionalFormatting>
  <conditionalFormatting sqref="C95">
    <cfRule type="cellIs" dxfId="2448" priority="669" stopIfTrue="1" operator="equal">
      <formula>"Towel"</formula>
    </cfRule>
  </conditionalFormatting>
  <conditionalFormatting sqref="B95:C95">
    <cfRule type="cellIs" dxfId="2447" priority="665" stopIfTrue="1" operator="equal">
      <formula>"Towel"</formula>
    </cfRule>
    <cfRule type="cellIs" dxfId="2446" priority="666" stopIfTrue="1" operator="equal">
      <formula>"Napkin Hs"</formula>
    </cfRule>
  </conditionalFormatting>
  <conditionalFormatting sqref="C95">
    <cfRule type="cellIs" dxfId="2445" priority="664" stopIfTrue="1" operator="equal">
      <formula>"Napkin Hs"</formula>
    </cfRule>
  </conditionalFormatting>
  <conditionalFormatting sqref="C95">
    <cfRule type="cellIs" dxfId="2444" priority="661" stopIfTrue="1" operator="equal">
      <formula>"Towel"</formula>
    </cfRule>
    <cfRule type="cellIs" dxfId="2443" priority="662" stopIfTrue="1" operator="equal">
      <formula>"Napkin Hs"</formula>
    </cfRule>
  </conditionalFormatting>
  <conditionalFormatting sqref="C95">
    <cfRule type="cellIs" dxfId="2442" priority="663" stopIfTrue="1" operator="equal">
      <formula>"Towel"</formula>
    </cfRule>
  </conditionalFormatting>
  <conditionalFormatting sqref="B95:C95">
    <cfRule type="cellIs" dxfId="2441" priority="659" stopIfTrue="1" operator="equal">
      <formula>"Towel"</formula>
    </cfRule>
    <cfRule type="cellIs" dxfId="2440" priority="660" stopIfTrue="1" operator="equal">
      <formula>"Napkin Hs"</formula>
    </cfRule>
  </conditionalFormatting>
  <conditionalFormatting sqref="C95">
    <cfRule type="cellIs" dxfId="2439" priority="655" stopIfTrue="1" operator="equal">
      <formula>"Towel"</formula>
    </cfRule>
    <cfRule type="cellIs" dxfId="2438" priority="656" stopIfTrue="1" operator="equal">
      <formula>"Napkin Hs"</formula>
    </cfRule>
  </conditionalFormatting>
  <conditionalFormatting sqref="C95">
    <cfRule type="cellIs" dxfId="2437" priority="657" stopIfTrue="1" operator="equal">
      <formula>"Towel"</formula>
    </cfRule>
    <cfRule type="cellIs" dxfId="2436" priority="658" stopIfTrue="1" operator="equal">
      <formula>"Napkin Hs"</formula>
    </cfRule>
  </conditionalFormatting>
  <conditionalFormatting sqref="B95:C95">
    <cfRule type="cellIs" dxfId="2435" priority="653" stopIfTrue="1" operator="equal">
      <formula>"Towel"</formula>
    </cfRule>
    <cfRule type="cellIs" dxfId="2434" priority="654" stopIfTrue="1" operator="equal">
      <formula>"Napkin Hs"</formula>
    </cfRule>
  </conditionalFormatting>
  <conditionalFormatting sqref="C95">
    <cfRule type="cellIs" dxfId="2433" priority="649" stopIfTrue="1" operator="equal">
      <formula>"Towel"</formula>
    </cfRule>
    <cfRule type="cellIs" dxfId="2432" priority="650" stopIfTrue="1" operator="equal">
      <formula>"Napkin Hs"</formula>
    </cfRule>
  </conditionalFormatting>
  <conditionalFormatting sqref="C95">
    <cfRule type="cellIs" dxfId="2431" priority="651" stopIfTrue="1" operator="equal">
      <formula>"Towel"</formula>
    </cfRule>
    <cfRule type="cellIs" dxfId="2430" priority="652" stopIfTrue="1" operator="equal">
      <formula>"Napkin Hs"</formula>
    </cfRule>
  </conditionalFormatting>
  <conditionalFormatting sqref="B95:C95">
    <cfRule type="cellIs" dxfId="2429" priority="645" stopIfTrue="1" operator="equal">
      <formula>"Towel"</formula>
    </cfRule>
    <cfRule type="cellIs" dxfId="2428" priority="646" stopIfTrue="1" operator="equal">
      <formula>"Napkin Hs"</formula>
    </cfRule>
  </conditionalFormatting>
  <conditionalFormatting sqref="C95">
    <cfRule type="cellIs" dxfId="2427" priority="647" stopIfTrue="1" operator="equal">
      <formula>"Towel"</formula>
    </cfRule>
    <cfRule type="cellIs" dxfId="2426" priority="648" stopIfTrue="1" operator="equal">
      <formula>"Napkin Hs"</formula>
    </cfRule>
  </conditionalFormatting>
  <conditionalFormatting sqref="C95">
    <cfRule type="cellIs" dxfId="2425" priority="643" stopIfTrue="1" operator="equal">
      <formula>"Towel"</formula>
    </cfRule>
    <cfRule type="cellIs" dxfId="2424" priority="644" stopIfTrue="1" operator="equal">
      <formula>"Napkin Hs"</formula>
    </cfRule>
  </conditionalFormatting>
  <conditionalFormatting sqref="B95:C95">
    <cfRule type="cellIs" dxfId="2423" priority="641" stopIfTrue="1" operator="equal">
      <formula>"Towel"</formula>
    </cfRule>
    <cfRule type="cellIs" dxfId="2422" priority="642" stopIfTrue="1" operator="equal">
      <formula>"Napkin Hs"</formula>
    </cfRule>
  </conditionalFormatting>
  <conditionalFormatting sqref="C95">
    <cfRule type="cellIs" dxfId="2421" priority="640" stopIfTrue="1" operator="equal">
      <formula>"Napkin Hs"</formula>
    </cfRule>
  </conditionalFormatting>
  <conditionalFormatting sqref="C95">
    <cfRule type="cellIs" dxfId="2420" priority="637" stopIfTrue="1" operator="equal">
      <formula>"Towel"</formula>
    </cfRule>
    <cfRule type="cellIs" dxfId="2419" priority="638" stopIfTrue="1" operator="equal">
      <formula>"Napkin Hs"</formula>
    </cfRule>
  </conditionalFormatting>
  <conditionalFormatting sqref="C95">
    <cfRule type="cellIs" dxfId="2418" priority="639" stopIfTrue="1" operator="equal">
      <formula>"Towel"</formula>
    </cfRule>
  </conditionalFormatting>
  <conditionalFormatting sqref="B95:C95">
    <cfRule type="cellIs" dxfId="2417" priority="635" stopIfTrue="1" operator="equal">
      <formula>"Towel"</formula>
    </cfRule>
    <cfRule type="cellIs" dxfId="2416" priority="636" stopIfTrue="1" operator="equal">
      <formula>"Napkin Hs"</formula>
    </cfRule>
  </conditionalFormatting>
  <conditionalFormatting sqref="C95">
    <cfRule type="cellIs" dxfId="2415" priority="631" stopIfTrue="1" operator="equal">
      <formula>"Towel"</formula>
    </cfRule>
    <cfRule type="cellIs" dxfId="2414" priority="632" stopIfTrue="1" operator="equal">
      <formula>"Napkin Hs"</formula>
    </cfRule>
  </conditionalFormatting>
  <conditionalFormatting sqref="C95">
    <cfRule type="cellIs" dxfId="2413" priority="633" stopIfTrue="1" operator="equal">
      <formula>"Towel"</formula>
    </cfRule>
    <cfRule type="cellIs" dxfId="2412" priority="634" stopIfTrue="1" operator="equal">
      <formula>"Napkin Hs"</formula>
    </cfRule>
  </conditionalFormatting>
  <conditionalFormatting sqref="B95:C95">
    <cfRule type="cellIs" dxfId="2411" priority="629" stopIfTrue="1" operator="equal">
      <formula>"Towel"</formula>
    </cfRule>
    <cfRule type="cellIs" dxfId="2410" priority="630" stopIfTrue="1" operator="equal">
      <formula>"Napkin Hs"</formula>
    </cfRule>
  </conditionalFormatting>
  <conditionalFormatting sqref="C95">
    <cfRule type="cellIs" dxfId="2409" priority="628" stopIfTrue="1" operator="equal">
      <formula>"Napkin Hs"</formula>
    </cfRule>
  </conditionalFormatting>
  <conditionalFormatting sqref="C95">
    <cfRule type="cellIs" dxfId="2408" priority="625" stopIfTrue="1" operator="equal">
      <formula>"Towel"</formula>
    </cfRule>
    <cfRule type="cellIs" dxfId="2407" priority="626" stopIfTrue="1" operator="equal">
      <formula>"Napkin Hs"</formula>
    </cfRule>
  </conditionalFormatting>
  <conditionalFormatting sqref="C95">
    <cfRule type="cellIs" dxfId="2406" priority="627" stopIfTrue="1" operator="equal">
      <formula>"Towel"</formula>
    </cfRule>
  </conditionalFormatting>
  <conditionalFormatting sqref="B95:C95">
    <cfRule type="cellIs" dxfId="2405" priority="623" stopIfTrue="1" operator="equal">
      <formula>"Towel"</formula>
    </cfRule>
    <cfRule type="cellIs" dxfId="2404" priority="624" stopIfTrue="1" operator="equal">
      <formula>"Napkin Hs"</formula>
    </cfRule>
  </conditionalFormatting>
  <conditionalFormatting sqref="C95">
    <cfRule type="cellIs" dxfId="2403" priority="621" stopIfTrue="1" operator="equal">
      <formula>"Towel"</formula>
    </cfRule>
    <cfRule type="cellIs" dxfId="2402" priority="622" stopIfTrue="1" operator="equal">
      <formula>"Napkin Hs"</formula>
    </cfRule>
  </conditionalFormatting>
  <conditionalFormatting sqref="C95">
    <cfRule type="cellIs" dxfId="2401" priority="619" stopIfTrue="1" operator="equal">
      <formula>"Towel"</formula>
    </cfRule>
    <cfRule type="cellIs" dxfId="2400" priority="620" stopIfTrue="1" operator="equal">
      <formula>"Napkin Hs"</formula>
    </cfRule>
  </conditionalFormatting>
  <conditionalFormatting sqref="B95:C95">
    <cfRule type="cellIs" dxfId="2399" priority="617" stopIfTrue="1" operator="equal">
      <formula>"Towel"</formula>
    </cfRule>
    <cfRule type="cellIs" dxfId="2398" priority="618" stopIfTrue="1" operator="equal">
      <formula>"Napkin Hs"</formula>
    </cfRule>
  </conditionalFormatting>
  <conditionalFormatting sqref="C95">
    <cfRule type="cellIs" dxfId="2397" priority="616" stopIfTrue="1" operator="equal">
      <formula>"Napkin Hs"</formula>
    </cfRule>
  </conditionalFormatting>
  <conditionalFormatting sqref="C95">
    <cfRule type="cellIs" dxfId="2396" priority="613" stopIfTrue="1" operator="equal">
      <formula>"Towel"</formula>
    </cfRule>
    <cfRule type="cellIs" dxfId="2395" priority="614" stopIfTrue="1" operator="equal">
      <formula>"Napkin Hs"</formula>
    </cfRule>
  </conditionalFormatting>
  <conditionalFormatting sqref="C95">
    <cfRule type="cellIs" dxfId="2394" priority="615" stopIfTrue="1" operator="equal">
      <formula>"Towel"</formula>
    </cfRule>
  </conditionalFormatting>
  <conditionalFormatting sqref="B95:C95">
    <cfRule type="cellIs" dxfId="2393" priority="611" stopIfTrue="1" operator="equal">
      <formula>"Towel"</formula>
    </cfRule>
    <cfRule type="cellIs" dxfId="2392" priority="612" stopIfTrue="1" operator="equal">
      <formula>"Napkin Hs"</formula>
    </cfRule>
  </conditionalFormatting>
  <conditionalFormatting sqref="C95">
    <cfRule type="cellIs" dxfId="2391" priority="610" stopIfTrue="1" operator="equal">
      <formula>"Napkin Hs"</formula>
    </cfRule>
  </conditionalFormatting>
  <conditionalFormatting sqref="C95">
    <cfRule type="cellIs" dxfId="2390" priority="609" stopIfTrue="1" operator="equal">
      <formula>"Towel"</formula>
    </cfRule>
  </conditionalFormatting>
  <conditionalFormatting sqref="C95">
    <cfRule type="cellIs" dxfId="2389" priority="607" stopIfTrue="1" operator="equal">
      <formula>"Towel"</formula>
    </cfRule>
    <cfRule type="cellIs" dxfId="2388" priority="608" stopIfTrue="1" operator="equal">
      <formula>"Napkin Hs"</formula>
    </cfRule>
  </conditionalFormatting>
  <conditionalFormatting sqref="B95:C95">
    <cfRule type="cellIs" dxfId="2387" priority="605" stopIfTrue="1" operator="equal">
      <formula>"Towel"</formula>
    </cfRule>
    <cfRule type="cellIs" dxfId="2386" priority="606" stopIfTrue="1" operator="equal">
      <formula>"Napkin Hs"</formula>
    </cfRule>
  </conditionalFormatting>
  <conditionalFormatting sqref="C95">
    <cfRule type="cellIs" dxfId="2385" priority="604" stopIfTrue="1" operator="equal">
      <formula>"Napkin Hs"</formula>
    </cfRule>
  </conditionalFormatting>
  <conditionalFormatting sqref="C95">
    <cfRule type="cellIs" dxfId="2384" priority="601" stopIfTrue="1" operator="equal">
      <formula>"Towel"</formula>
    </cfRule>
    <cfRule type="cellIs" dxfId="2383" priority="602" stopIfTrue="1" operator="equal">
      <formula>"Napkin Hs"</formula>
    </cfRule>
  </conditionalFormatting>
  <conditionalFormatting sqref="C95">
    <cfRule type="cellIs" dxfId="2382" priority="603" stopIfTrue="1" operator="equal">
      <formula>"Towel"</formula>
    </cfRule>
  </conditionalFormatting>
  <conditionalFormatting sqref="B95:C95">
    <cfRule type="cellIs" dxfId="2381" priority="599" stopIfTrue="1" operator="equal">
      <formula>"Towel"</formula>
    </cfRule>
    <cfRule type="cellIs" dxfId="2380" priority="600" stopIfTrue="1" operator="equal">
      <formula>"Napkin Hs"</formula>
    </cfRule>
  </conditionalFormatting>
  <conditionalFormatting sqref="C95">
    <cfRule type="cellIs" dxfId="2379" priority="598" stopIfTrue="1" operator="equal">
      <formula>"Napkin Hs"</formula>
    </cfRule>
  </conditionalFormatting>
  <conditionalFormatting sqref="C95">
    <cfRule type="cellIs" dxfId="2378" priority="595" stopIfTrue="1" operator="equal">
      <formula>"Towel"</formula>
    </cfRule>
    <cfRule type="cellIs" dxfId="2377" priority="596" stopIfTrue="1" operator="equal">
      <formula>"Napkin Hs"</formula>
    </cfRule>
  </conditionalFormatting>
  <conditionalFormatting sqref="C95">
    <cfRule type="cellIs" dxfId="2376" priority="597" stopIfTrue="1" operator="equal">
      <formula>"Towel"</formula>
    </cfRule>
  </conditionalFormatting>
  <conditionalFormatting sqref="B95:C95">
    <cfRule type="cellIs" dxfId="2375" priority="593" stopIfTrue="1" operator="equal">
      <formula>"Towel"</formula>
    </cfRule>
    <cfRule type="cellIs" dxfId="2374" priority="594" stopIfTrue="1" operator="equal">
      <formula>"Napkin Hs"</formula>
    </cfRule>
  </conditionalFormatting>
  <conditionalFormatting sqref="C95">
    <cfRule type="cellIs" dxfId="2373" priority="592" stopIfTrue="1" operator="equal">
      <formula>"Napkin Hs"</formula>
    </cfRule>
  </conditionalFormatting>
  <conditionalFormatting sqref="C95">
    <cfRule type="cellIs" dxfId="2372" priority="589" stopIfTrue="1" operator="equal">
      <formula>"Towel"</formula>
    </cfRule>
    <cfRule type="cellIs" dxfId="2371" priority="590" stopIfTrue="1" operator="equal">
      <formula>"Napkin Hs"</formula>
    </cfRule>
  </conditionalFormatting>
  <conditionalFormatting sqref="C95">
    <cfRule type="cellIs" dxfId="2370" priority="591" stopIfTrue="1" operator="equal">
      <formula>"Towel"</formula>
    </cfRule>
  </conditionalFormatting>
  <conditionalFormatting sqref="B95:C95">
    <cfRule type="cellIs" dxfId="2369" priority="587" stopIfTrue="1" operator="equal">
      <formula>"Towel"</formula>
    </cfRule>
    <cfRule type="cellIs" dxfId="2368" priority="588" stopIfTrue="1" operator="equal">
      <formula>"Napkin Hs"</formula>
    </cfRule>
  </conditionalFormatting>
  <conditionalFormatting sqref="C95">
    <cfRule type="cellIs" dxfId="2367" priority="586" stopIfTrue="1" operator="equal">
      <formula>"Napkin Hs"</formula>
    </cfRule>
  </conditionalFormatting>
  <conditionalFormatting sqref="C95">
    <cfRule type="cellIs" dxfId="2366" priority="583" stopIfTrue="1" operator="equal">
      <formula>"Towel"</formula>
    </cfRule>
    <cfRule type="cellIs" dxfId="2365" priority="584" stopIfTrue="1" operator="equal">
      <formula>"Napkin Hs"</formula>
    </cfRule>
  </conditionalFormatting>
  <conditionalFormatting sqref="C95">
    <cfRule type="cellIs" dxfId="2364" priority="585" stopIfTrue="1" operator="equal">
      <formula>"Towel"</formula>
    </cfRule>
  </conditionalFormatting>
  <conditionalFormatting sqref="B95:C95">
    <cfRule type="cellIs" dxfId="2363" priority="581" stopIfTrue="1" operator="equal">
      <formula>"Towel"</formula>
    </cfRule>
    <cfRule type="cellIs" dxfId="2362" priority="582" stopIfTrue="1" operator="equal">
      <formula>"Napkin Hs"</formula>
    </cfRule>
  </conditionalFormatting>
  <conditionalFormatting sqref="C95">
    <cfRule type="cellIs" dxfId="2361" priority="580" stopIfTrue="1" operator="equal">
      <formula>"Napkin Hs"</formula>
    </cfRule>
  </conditionalFormatting>
  <conditionalFormatting sqref="C95">
    <cfRule type="cellIs" dxfId="2360" priority="577" stopIfTrue="1" operator="equal">
      <formula>"Towel"</formula>
    </cfRule>
    <cfRule type="cellIs" dxfId="2359" priority="578" stopIfTrue="1" operator="equal">
      <formula>"Napkin Hs"</formula>
    </cfRule>
  </conditionalFormatting>
  <conditionalFormatting sqref="C95">
    <cfRule type="cellIs" dxfId="2358" priority="579" stopIfTrue="1" operator="equal">
      <formula>"Towel"</formula>
    </cfRule>
  </conditionalFormatting>
  <conditionalFormatting sqref="B95:C95">
    <cfRule type="cellIs" dxfId="2357" priority="575" stopIfTrue="1" operator="equal">
      <formula>"Towel"</formula>
    </cfRule>
    <cfRule type="cellIs" dxfId="2356" priority="576" stopIfTrue="1" operator="equal">
      <formula>"Napkin Hs"</formula>
    </cfRule>
  </conditionalFormatting>
  <conditionalFormatting sqref="C95">
    <cfRule type="cellIs" dxfId="2355" priority="574" stopIfTrue="1" operator="equal">
      <formula>"Napkin Hs"</formula>
    </cfRule>
  </conditionalFormatting>
  <conditionalFormatting sqref="C95">
    <cfRule type="cellIs" dxfId="2354" priority="571" stopIfTrue="1" operator="equal">
      <formula>"Towel"</formula>
    </cfRule>
    <cfRule type="cellIs" dxfId="2353" priority="572" stopIfTrue="1" operator="equal">
      <formula>"Napkin Hs"</formula>
    </cfRule>
  </conditionalFormatting>
  <conditionalFormatting sqref="C95">
    <cfRule type="cellIs" dxfId="2352" priority="573" stopIfTrue="1" operator="equal">
      <formula>"Towel"</formula>
    </cfRule>
  </conditionalFormatting>
  <conditionalFormatting sqref="B95:C95">
    <cfRule type="cellIs" dxfId="2351" priority="569" stopIfTrue="1" operator="equal">
      <formula>"Towel"</formula>
    </cfRule>
    <cfRule type="cellIs" dxfId="2350" priority="570" stopIfTrue="1" operator="equal">
      <formula>"Napkin Hs"</formula>
    </cfRule>
  </conditionalFormatting>
  <conditionalFormatting sqref="C95">
    <cfRule type="cellIs" dxfId="2349" priority="568" stopIfTrue="1" operator="equal">
      <formula>"Napkin Hs"</formula>
    </cfRule>
  </conditionalFormatting>
  <conditionalFormatting sqref="C95">
    <cfRule type="cellIs" dxfId="2348" priority="565" stopIfTrue="1" operator="equal">
      <formula>"Towel"</formula>
    </cfRule>
    <cfRule type="cellIs" dxfId="2347" priority="566" stopIfTrue="1" operator="equal">
      <formula>"Napkin Hs"</formula>
    </cfRule>
  </conditionalFormatting>
  <conditionalFormatting sqref="C95">
    <cfRule type="cellIs" dxfId="2346" priority="567" stopIfTrue="1" operator="equal">
      <formula>"Towel"</formula>
    </cfRule>
  </conditionalFormatting>
  <conditionalFormatting sqref="B95:C95">
    <cfRule type="cellIs" dxfId="2345" priority="563" stopIfTrue="1" operator="equal">
      <formula>"Towel"</formula>
    </cfRule>
    <cfRule type="cellIs" dxfId="2344" priority="564" stopIfTrue="1" operator="equal">
      <formula>"Napkin Hs"</formula>
    </cfRule>
  </conditionalFormatting>
  <conditionalFormatting sqref="C95">
    <cfRule type="cellIs" dxfId="2343" priority="562" stopIfTrue="1" operator="equal">
      <formula>"Napkin Hs"</formula>
    </cfRule>
  </conditionalFormatting>
  <conditionalFormatting sqref="C95">
    <cfRule type="cellIs" dxfId="2342" priority="559" stopIfTrue="1" operator="equal">
      <formula>"Towel"</formula>
    </cfRule>
    <cfRule type="cellIs" dxfId="2341" priority="560" stopIfTrue="1" operator="equal">
      <formula>"Napkin Hs"</formula>
    </cfRule>
  </conditionalFormatting>
  <conditionalFormatting sqref="C95">
    <cfRule type="cellIs" dxfId="2340" priority="561" stopIfTrue="1" operator="equal">
      <formula>"Towel"</formula>
    </cfRule>
  </conditionalFormatting>
  <conditionalFormatting sqref="B95:C95">
    <cfRule type="cellIs" dxfId="2339" priority="557" stopIfTrue="1" operator="equal">
      <formula>"Towel"</formula>
    </cfRule>
    <cfRule type="cellIs" dxfId="2338" priority="558" stopIfTrue="1" operator="equal">
      <formula>"Napkin Hs"</formula>
    </cfRule>
  </conditionalFormatting>
  <conditionalFormatting sqref="C95">
    <cfRule type="cellIs" dxfId="2337" priority="556" stopIfTrue="1" operator="equal">
      <formula>"Napkin Hs"</formula>
    </cfRule>
  </conditionalFormatting>
  <conditionalFormatting sqref="C95">
    <cfRule type="cellIs" dxfId="2336" priority="553" stopIfTrue="1" operator="equal">
      <formula>"Towel"</formula>
    </cfRule>
    <cfRule type="cellIs" dxfId="2335" priority="554" stopIfTrue="1" operator="equal">
      <formula>"Napkin Hs"</formula>
    </cfRule>
  </conditionalFormatting>
  <conditionalFormatting sqref="C95">
    <cfRule type="cellIs" dxfId="2334" priority="555" stopIfTrue="1" operator="equal">
      <formula>"Towel"</formula>
    </cfRule>
  </conditionalFormatting>
  <conditionalFormatting sqref="B95:C95">
    <cfRule type="cellIs" dxfId="2333" priority="551" stopIfTrue="1" operator="equal">
      <formula>"Towel"</formula>
    </cfRule>
    <cfRule type="cellIs" dxfId="2332" priority="552" stopIfTrue="1" operator="equal">
      <formula>"Napkin Hs"</formula>
    </cfRule>
  </conditionalFormatting>
  <conditionalFormatting sqref="C95">
    <cfRule type="cellIs" dxfId="2331" priority="550" stopIfTrue="1" operator="equal">
      <formula>"Napkin Hs"</formula>
    </cfRule>
  </conditionalFormatting>
  <conditionalFormatting sqref="C95">
    <cfRule type="cellIs" dxfId="2330" priority="547" stopIfTrue="1" operator="equal">
      <formula>"Towel"</formula>
    </cfRule>
    <cfRule type="cellIs" dxfId="2329" priority="548" stopIfTrue="1" operator="equal">
      <formula>"Napkin Hs"</formula>
    </cfRule>
  </conditionalFormatting>
  <conditionalFormatting sqref="C95">
    <cfRule type="cellIs" dxfId="2328" priority="549" stopIfTrue="1" operator="equal">
      <formula>"Towel"</formula>
    </cfRule>
  </conditionalFormatting>
  <conditionalFormatting sqref="B95:C95">
    <cfRule type="cellIs" dxfId="2327" priority="545" stopIfTrue="1" operator="equal">
      <formula>"Towel"</formula>
    </cfRule>
    <cfRule type="cellIs" dxfId="2326" priority="546" stopIfTrue="1" operator="equal">
      <formula>"Napkin Hs"</formula>
    </cfRule>
  </conditionalFormatting>
  <conditionalFormatting sqref="C95">
    <cfRule type="cellIs" dxfId="2325" priority="544" stopIfTrue="1" operator="equal">
      <formula>"Napkin Hs"</formula>
    </cfRule>
  </conditionalFormatting>
  <conditionalFormatting sqref="C95">
    <cfRule type="cellIs" dxfId="2324" priority="543" stopIfTrue="1" operator="equal">
      <formula>"Towel"</formula>
    </cfRule>
  </conditionalFormatting>
  <conditionalFormatting sqref="C95">
    <cfRule type="cellIs" dxfId="2323" priority="541" stopIfTrue="1" operator="equal">
      <formula>"Towel"</formula>
    </cfRule>
    <cfRule type="cellIs" dxfId="2322" priority="542" stopIfTrue="1" operator="equal">
      <formula>"Napkin Hs"</formula>
    </cfRule>
  </conditionalFormatting>
  <conditionalFormatting sqref="B95:C95">
    <cfRule type="cellIs" dxfId="2321" priority="539" stopIfTrue="1" operator="equal">
      <formula>"Towel"</formula>
    </cfRule>
    <cfRule type="cellIs" dxfId="2320" priority="540" stopIfTrue="1" operator="equal">
      <formula>"Napkin Hs"</formula>
    </cfRule>
  </conditionalFormatting>
  <conditionalFormatting sqref="C95">
    <cfRule type="cellIs" dxfId="2319" priority="538" stopIfTrue="1" operator="equal">
      <formula>"Napkin Hs"</formula>
    </cfRule>
  </conditionalFormatting>
  <conditionalFormatting sqref="C95">
    <cfRule type="cellIs" dxfId="2318" priority="535" stopIfTrue="1" operator="equal">
      <formula>"Towel"</formula>
    </cfRule>
    <cfRule type="cellIs" dxfId="2317" priority="536" stopIfTrue="1" operator="equal">
      <formula>"Napkin Hs"</formula>
    </cfRule>
  </conditionalFormatting>
  <conditionalFormatting sqref="C95">
    <cfRule type="cellIs" dxfId="2316" priority="537" stopIfTrue="1" operator="equal">
      <formula>"Towel"</formula>
    </cfRule>
  </conditionalFormatting>
  <conditionalFormatting sqref="B95:C95">
    <cfRule type="cellIs" dxfId="2315" priority="533" stopIfTrue="1" operator="equal">
      <formula>"Towel"</formula>
    </cfRule>
    <cfRule type="cellIs" dxfId="2314" priority="534" stopIfTrue="1" operator="equal">
      <formula>"Napkin Hs"</formula>
    </cfRule>
  </conditionalFormatting>
  <conditionalFormatting sqref="C95">
    <cfRule type="cellIs" dxfId="2313" priority="532" stopIfTrue="1" operator="equal">
      <formula>"Napkin Hs"</formula>
    </cfRule>
  </conditionalFormatting>
  <conditionalFormatting sqref="C95">
    <cfRule type="cellIs" dxfId="2312" priority="529" stopIfTrue="1" operator="equal">
      <formula>"Towel"</formula>
    </cfRule>
    <cfRule type="cellIs" dxfId="2311" priority="530" stopIfTrue="1" operator="equal">
      <formula>"Napkin Hs"</formula>
    </cfRule>
  </conditionalFormatting>
  <conditionalFormatting sqref="C95">
    <cfRule type="cellIs" dxfId="2310" priority="531" stopIfTrue="1" operator="equal">
      <formula>"Towel"</formula>
    </cfRule>
  </conditionalFormatting>
  <conditionalFormatting sqref="B95:C95">
    <cfRule type="cellIs" dxfId="2309" priority="527" stopIfTrue="1" operator="equal">
      <formula>"Towel"</formula>
    </cfRule>
    <cfRule type="cellIs" dxfId="2308" priority="528" stopIfTrue="1" operator="equal">
      <formula>"Napkin Hs"</formula>
    </cfRule>
  </conditionalFormatting>
  <conditionalFormatting sqref="C95">
    <cfRule type="cellIs" dxfId="2307" priority="526" stopIfTrue="1" operator="equal">
      <formula>"Napkin Hs"</formula>
    </cfRule>
  </conditionalFormatting>
  <conditionalFormatting sqref="C95">
    <cfRule type="cellIs" dxfId="2306" priority="523" stopIfTrue="1" operator="equal">
      <formula>"Towel"</formula>
    </cfRule>
    <cfRule type="cellIs" dxfId="2305" priority="524" stopIfTrue="1" operator="equal">
      <formula>"Napkin Hs"</formula>
    </cfRule>
  </conditionalFormatting>
  <conditionalFormatting sqref="C95">
    <cfRule type="cellIs" dxfId="2304" priority="525" stopIfTrue="1" operator="equal">
      <formula>"Towel"</formula>
    </cfRule>
  </conditionalFormatting>
  <conditionalFormatting sqref="B95:C95">
    <cfRule type="cellIs" dxfId="2303" priority="521" stopIfTrue="1" operator="equal">
      <formula>"Towel"</formula>
    </cfRule>
    <cfRule type="cellIs" dxfId="2302" priority="522" stopIfTrue="1" operator="equal">
      <formula>"Napkin Hs"</formula>
    </cfRule>
  </conditionalFormatting>
  <conditionalFormatting sqref="C95">
    <cfRule type="cellIs" dxfId="2301" priority="520" stopIfTrue="1" operator="equal">
      <formula>"Napkin Hs"</formula>
    </cfRule>
  </conditionalFormatting>
  <conditionalFormatting sqref="C95">
    <cfRule type="cellIs" dxfId="2300" priority="517" stopIfTrue="1" operator="equal">
      <formula>"Towel"</formula>
    </cfRule>
    <cfRule type="cellIs" dxfId="2299" priority="518" stopIfTrue="1" operator="equal">
      <formula>"Napkin Hs"</formula>
    </cfRule>
  </conditionalFormatting>
  <conditionalFormatting sqref="C95">
    <cfRule type="cellIs" dxfId="2298" priority="519" stopIfTrue="1" operator="equal">
      <formula>"Towel"</formula>
    </cfRule>
  </conditionalFormatting>
  <conditionalFormatting sqref="B95:C95">
    <cfRule type="cellIs" dxfId="2297" priority="515" stopIfTrue="1" operator="equal">
      <formula>"Towel"</formula>
    </cfRule>
    <cfRule type="cellIs" dxfId="2296" priority="516" stopIfTrue="1" operator="equal">
      <formula>"Napkin Hs"</formula>
    </cfRule>
  </conditionalFormatting>
  <conditionalFormatting sqref="C95">
    <cfRule type="cellIs" dxfId="2295" priority="514" stopIfTrue="1" operator="equal">
      <formula>"Napkin Hs"</formula>
    </cfRule>
  </conditionalFormatting>
  <conditionalFormatting sqref="C95">
    <cfRule type="cellIs" dxfId="2294" priority="511" stopIfTrue="1" operator="equal">
      <formula>"Towel"</formula>
    </cfRule>
    <cfRule type="cellIs" dxfId="2293" priority="512" stopIfTrue="1" operator="equal">
      <formula>"Napkin Hs"</formula>
    </cfRule>
  </conditionalFormatting>
  <conditionalFormatting sqref="C95">
    <cfRule type="cellIs" dxfId="2292" priority="513" stopIfTrue="1" operator="equal">
      <formula>"Towel"</formula>
    </cfRule>
  </conditionalFormatting>
  <conditionalFormatting sqref="B95:C95">
    <cfRule type="cellIs" dxfId="2291" priority="509" stopIfTrue="1" operator="equal">
      <formula>"Towel"</formula>
    </cfRule>
    <cfRule type="cellIs" dxfId="2290" priority="510" stopIfTrue="1" operator="equal">
      <formula>"Napkin Hs"</formula>
    </cfRule>
  </conditionalFormatting>
  <conditionalFormatting sqref="C95">
    <cfRule type="cellIs" dxfId="2289" priority="508" stopIfTrue="1" operator="equal">
      <formula>"Napkin Hs"</formula>
    </cfRule>
  </conditionalFormatting>
  <conditionalFormatting sqref="C95">
    <cfRule type="cellIs" dxfId="2288" priority="505" stopIfTrue="1" operator="equal">
      <formula>"Towel"</formula>
    </cfRule>
    <cfRule type="cellIs" dxfId="2287" priority="506" stopIfTrue="1" operator="equal">
      <formula>"Napkin Hs"</formula>
    </cfRule>
  </conditionalFormatting>
  <conditionalFormatting sqref="C95">
    <cfRule type="cellIs" dxfId="2286" priority="507" stopIfTrue="1" operator="equal">
      <formula>"Towel"</formula>
    </cfRule>
  </conditionalFormatting>
  <conditionalFormatting sqref="B95:C95">
    <cfRule type="cellIs" dxfId="2285" priority="503" stopIfTrue="1" operator="equal">
      <formula>"Towel"</formula>
    </cfRule>
    <cfRule type="cellIs" dxfId="2284" priority="504" stopIfTrue="1" operator="equal">
      <formula>"Napkin Hs"</formula>
    </cfRule>
  </conditionalFormatting>
  <conditionalFormatting sqref="C95">
    <cfRule type="cellIs" dxfId="2283" priority="502" stopIfTrue="1" operator="equal">
      <formula>"Napkin Hs"</formula>
    </cfRule>
  </conditionalFormatting>
  <conditionalFormatting sqref="C95">
    <cfRule type="cellIs" dxfId="2282" priority="499" stopIfTrue="1" operator="equal">
      <formula>"Towel"</formula>
    </cfRule>
    <cfRule type="cellIs" dxfId="2281" priority="500" stopIfTrue="1" operator="equal">
      <formula>"Napkin Hs"</formula>
    </cfRule>
  </conditionalFormatting>
  <conditionalFormatting sqref="C95">
    <cfRule type="cellIs" dxfId="2280" priority="501" stopIfTrue="1" operator="equal">
      <formula>"Towel"</formula>
    </cfRule>
  </conditionalFormatting>
  <conditionalFormatting sqref="B95:C95">
    <cfRule type="cellIs" dxfId="2279" priority="497" stopIfTrue="1" operator="equal">
      <formula>"Towel"</formula>
    </cfRule>
    <cfRule type="cellIs" dxfId="2278" priority="498" stopIfTrue="1" operator="equal">
      <formula>"Napkin Hs"</formula>
    </cfRule>
  </conditionalFormatting>
  <conditionalFormatting sqref="C95">
    <cfRule type="cellIs" dxfId="2277" priority="496" stopIfTrue="1" operator="equal">
      <formula>"Napkin Hs"</formula>
    </cfRule>
  </conditionalFormatting>
  <conditionalFormatting sqref="C95">
    <cfRule type="cellIs" dxfId="2276" priority="493" stopIfTrue="1" operator="equal">
      <formula>"Towel"</formula>
    </cfRule>
    <cfRule type="cellIs" dxfId="2275" priority="494" stopIfTrue="1" operator="equal">
      <formula>"Napkin Hs"</formula>
    </cfRule>
  </conditionalFormatting>
  <conditionalFormatting sqref="C95">
    <cfRule type="cellIs" dxfId="2274" priority="495" stopIfTrue="1" operator="equal">
      <formula>"Towel"</formula>
    </cfRule>
  </conditionalFormatting>
  <conditionalFormatting sqref="B95:C95">
    <cfRule type="cellIs" dxfId="2273" priority="491" stopIfTrue="1" operator="equal">
      <formula>"Towel"</formula>
    </cfRule>
    <cfRule type="cellIs" dxfId="2272" priority="492" stopIfTrue="1" operator="equal">
      <formula>"Napkin Hs"</formula>
    </cfRule>
  </conditionalFormatting>
  <conditionalFormatting sqref="C95">
    <cfRule type="cellIs" dxfId="2271" priority="490" stopIfTrue="1" operator="equal">
      <formula>"Napkin Hs"</formula>
    </cfRule>
  </conditionalFormatting>
  <conditionalFormatting sqref="C95">
    <cfRule type="cellIs" dxfId="2270" priority="487" stopIfTrue="1" operator="equal">
      <formula>"Towel"</formula>
    </cfRule>
    <cfRule type="cellIs" dxfId="2269" priority="488" stopIfTrue="1" operator="equal">
      <formula>"Napkin Hs"</formula>
    </cfRule>
  </conditionalFormatting>
  <conditionalFormatting sqref="C95">
    <cfRule type="cellIs" dxfId="2268" priority="489" stopIfTrue="1" operator="equal">
      <formula>"Towel"</formula>
    </cfRule>
  </conditionalFormatting>
  <conditionalFormatting sqref="B104:C104">
    <cfRule type="cellIs" dxfId="2267" priority="485" stopIfTrue="1" operator="equal">
      <formula>"Towel"</formula>
    </cfRule>
    <cfRule type="cellIs" dxfId="2266" priority="486" stopIfTrue="1" operator="equal">
      <formula>"Napkin Hs"</formula>
    </cfRule>
  </conditionalFormatting>
  <conditionalFormatting sqref="C104">
    <cfRule type="cellIs" dxfId="2265" priority="484" stopIfTrue="1" operator="equal">
      <formula>"Napkin Hs"</formula>
    </cfRule>
  </conditionalFormatting>
  <conditionalFormatting sqref="C104">
    <cfRule type="cellIs" dxfId="2264" priority="483" stopIfTrue="1" operator="equal">
      <formula>"Towel"</formula>
    </cfRule>
  </conditionalFormatting>
  <conditionalFormatting sqref="C104">
    <cfRule type="cellIs" dxfId="2263" priority="481" stopIfTrue="1" operator="equal">
      <formula>"Towel"</formula>
    </cfRule>
    <cfRule type="cellIs" dxfId="2262" priority="482" stopIfTrue="1" operator="equal">
      <formula>"Napkin Hs"</formula>
    </cfRule>
  </conditionalFormatting>
  <conditionalFormatting sqref="B103:C103">
    <cfRule type="cellIs" dxfId="2261" priority="479" stopIfTrue="1" operator="equal">
      <formula>"Towel"</formula>
    </cfRule>
    <cfRule type="cellIs" dxfId="2260" priority="480" stopIfTrue="1" operator="equal">
      <formula>"Napkin Hs"</formula>
    </cfRule>
  </conditionalFormatting>
  <conditionalFormatting sqref="C103">
    <cfRule type="cellIs" dxfId="2259" priority="478" stopIfTrue="1" operator="equal">
      <formula>"Napkin Hs"</formula>
    </cfRule>
  </conditionalFormatting>
  <conditionalFormatting sqref="C103">
    <cfRule type="cellIs" dxfId="2258" priority="475" stopIfTrue="1" operator="equal">
      <formula>"Towel"</formula>
    </cfRule>
    <cfRule type="cellIs" dxfId="2257" priority="476" stopIfTrue="1" operator="equal">
      <formula>"Napkin Hs"</formula>
    </cfRule>
  </conditionalFormatting>
  <conditionalFormatting sqref="C103">
    <cfRule type="cellIs" dxfId="2256" priority="477" stopIfTrue="1" operator="equal">
      <formula>"Towel"</formula>
    </cfRule>
  </conditionalFormatting>
  <conditionalFormatting sqref="B105:C105">
    <cfRule type="cellIs" dxfId="2255" priority="473" stopIfTrue="1" operator="equal">
      <formula>"Towel"</formula>
    </cfRule>
    <cfRule type="cellIs" dxfId="2254" priority="474" stopIfTrue="1" operator="equal">
      <formula>"Napkin Hs"</formula>
    </cfRule>
  </conditionalFormatting>
  <conditionalFormatting sqref="C105">
    <cfRule type="cellIs" dxfId="2253" priority="472" stopIfTrue="1" operator="equal">
      <formula>"Napkin Hs"</formula>
    </cfRule>
  </conditionalFormatting>
  <conditionalFormatting sqref="C105">
    <cfRule type="cellIs" dxfId="2252" priority="469" stopIfTrue="1" operator="equal">
      <formula>"Towel"</formula>
    </cfRule>
    <cfRule type="cellIs" dxfId="2251" priority="470" stopIfTrue="1" operator="equal">
      <formula>"Napkin Hs"</formula>
    </cfRule>
  </conditionalFormatting>
  <conditionalFormatting sqref="C105">
    <cfRule type="cellIs" dxfId="2250" priority="471" stopIfTrue="1" operator="equal">
      <formula>"Towel"</formula>
    </cfRule>
  </conditionalFormatting>
  <conditionalFormatting sqref="B106:C106">
    <cfRule type="cellIs" dxfId="2249" priority="467" stopIfTrue="1" operator="equal">
      <formula>"Towel"</formula>
    </cfRule>
    <cfRule type="cellIs" dxfId="2248" priority="468" stopIfTrue="1" operator="equal">
      <formula>"Napkin Hs"</formula>
    </cfRule>
  </conditionalFormatting>
  <conditionalFormatting sqref="C106">
    <cfRule type="cellIs" dxfId="2247" priority="463" stopIfTrue="1" operator="equal">
      <formula>"Towel"</formula>
    </cfRule>
    <cfRule type="cellIs" dxfId="2246" priority="464" stopIfTrue="1" operator="equal">
      <formula>"Napkin Hs"</formula>
    </cfRule>
  </conditionalFormatting>
  <conditionalFormatting sqref="C106">
    <cfRule type="cellIs" dxfId="2245" priority="465" stopIfTrue="1" operator="equal">
      <formula>"Towel"</formula>
    </cfRule>
    <cfRule type="cellIs" dxfId="2244" priority="466" stopIfTrue="1" operator="equal">
      <formula>"Napkin Hs"</formula>
    </cfRule>
  </conditionalFormatting>
  <conditionalFormatting sqref="C106">
    <cfRule type="cellIs" dxfId="2243" priority="457" stopIfTrue="1" operator="equal">
      <formula>"Towel"</formula>
    </cfRule>
    <cfRule type="cellIs" dxfId="2242" priority="458" stopIfTrue="1" operator="equal">
      <formula>"Napkin Hs"</formula>
    </cfRule>
  </conditionalFormatting>
  <conditionalFormatting sqref="B106:C106">
    <cfRule type="cellIs" dxfId="2241" priority="461" stopIfTrue="1" operator="equal">
      <formula>"Towel"</formula>
    </cfRule>
    <cfRule type="cellIs" dxfId="2240" priority="462" stopIfTrue="1" operator="equal">
      <formula>"Napkin Hs"</formula>
    </cfRule>
  </conditionalFormatting>
  <conditionalFormatting sqref="C106">
    <cfRule type="cellIs" dxfId="2239" priority="460" stopIfTrue="1" operator="equal">
      <formula>"Napkin Hs"</formula>
    </cfRule>
  </conditionalFormatting>
  <conditionalFormatting sqref="C106">
    <cfRule type="cellIs" dxfId="2238" priority="459" stopIfTrue="1" operator="equal">
      <formula>"Towel"</formula>
    </cfRule>
  </conditionalFormatting>
  <conditionalFormatting sqref="B104:C104">
    <cfRule type="cellIs" dxfId="2237" priority="455" stopIfTrue="1" operator="equal">
      <formula>"Towel"</formula>
    </cfRule>
    <cfRule type="cellIs" dxfId="2236" priority="456" stopIfTrue="1" operator="equal">
      <formula>"Napkin Hs"</formula>
    </cfRule>
  </conditionalFormatting>
  <conditionalFormatting sqref="C104">
    <cfRule type="cellIs" dxfId="2235" priority="453" stopIfTrue="1" operator="equal">
      <formula>"Towel"</formula>
    </cfRule>
    <cfRule type="cellIs" dxfId="2234" priority="454" stopIfTrue="1" operator="equal">
      <formula>"Napkin Hs"</formula>
    </cfRule>
  </conditionalFormatting>
  <conditionalFormatting sqref="C104">
    <cfRule type="cellIs" dxfId="2233" priority="451" stopIfTrue="1" operator="equal">
      <formula>"Towel"</formula>
    </cfRule>
    <cfRule type="cellIs" dxfId="2232" priority="452" stopIfTrue="1" operator="equal">
      <formula>"Napkin Hs"</formula>
    </cfRule>
  </conditionalFormatting>
  <conditionalFormatting sqref="B103:C103">
    <cfRule type="cellIs" dxfId="2231" priority="449" stopIfTrue="1" operator="equal">
      <formula>"Towel"</formula>
    </cfRule>
    <cfRule type="cellIs" dxfId="2230" priority="450" stopIfTrue="1" operator="equal">
      <formula>"Napkin Hs"</formula>
    </cfRule>
  </conditionalFormatting>
  <conditionalFormatting sqref="C103">
    <cfRule type="cellIs" dxfId="2229" priority="448" stopIfTrue="1" operator="equal">
      <formula>"Napkin Hs"</formula>
    </cfRule>
  </conditionalFormatting>
  <conditionalFormatting sqref="C103">
    <cfRule type="cellIs" dxfId="2228" priority="445" stopIfTrue="1" operator="equal">
      <formula>"Towel"</formula>
    </cfRule>
    <cfRule type="cellIs" dxfId="2227" priority="446" stopIfTrue="1" operator="equal">
      <formula>"Napkin Hs"</formula>
    </cfRule>
  </conditionalFormatting>
  <conditionalFormatting sqref="C103">
    <cfRule type="cellIs" dxfId="2226" priority="447" stopIfTrue="1" operator="equal">
      <formula>"Towel"</formula>
    </cfRule>
  </conditionalFormatting>
  <conditionalFormatting sqref="B105:C106">
    <cfRule type="cellIs" dxfId="2225" priority="443" stopIfTrue="1" operator="equal">
      <formula>"Towel"</formula>
    </cfRule>
    <cfRule type="cellIs" dxfId="2224" priority="444" stopIfTrue="1" operator="equal">
      <formula>"Napkin Hs"</formula>
    </cfRule>
  </conditionalFormatting>
  <conditionalFormatting sqref="C105:C106">
    <cfRule type="cellIs" dxfId="2223" priority="442" stopIfTrue="1" operator="equal">
      <formula>"Napkin Hs"</formula>
    </cfRule>
  </conditionalFormatting>
  <conditionalFormatting sqref="C105:C106">
    <cfRule type="cellIs" dxfId="2222" priority="439" stopIfTrue="1" operator="equal">
      <formula>"Towel"</formula>
    </cfRule>
    <cfRule type="cellIs" dxfId="2221" priority="440" stopIfTrue="1" operator="equal">
      <formula>"Napkin Hs"</formula>
    </cfRule>
  </conditionalFormatting>
  <conditionalFormatting sqref="C105:C106">
    <cfRule type="cellIs" dxfId="2220" priority="441" stopIfTrue="1" operator="equal">
      <formula>"Towel"</formula>
    </cfRule>
  </conditionalFormatting>
  <conditionalFormatting sqref="B103:C103">
    <cfRule type="cellIs" dxfId="2219" priority="437" stopIfTrue="1" operator="equal">
      <formula>"Towel"</formula>
    </cfRule>
    <cfRule type="cellIs" dxfId="2218" priority="438" stopIfTrue="1" operator="equal">
      <formula>"Napkin Hs"</formula>
    </cfRule>
  </conditionalFormatting>
  <conditionalFormatting sqref="C103">
    <cfRule type="cellIs" dxfId="2217" priority="436" stopIfTrue="1" operator="equal">
      <formula>"Napkin Hs"</formula>
    </cfRule>
  </conditionalFormatting>
  <conditionalFormatting sqref="C103">
    <cfRule type="cellIs" dxfId="2216" priority="433" stopIfTrue="1" operator="equal">
      <formula>"Towel"</formula>
    </cfRule>
    <cfRule type="cellIs" dxfId="2215" priority="434" stopIfTrue="1" operator="equal">
      <formula>"Napkin Hs"</formula>
    </cfRule>
  </conditionalFormatting>
  <conditionalFormatting sqref="C103">
    <cfRule type="cellIs" dxfId="2214" priority="435" stopIfTrue="1" operator="equal">
      <formula>"Towel"</formula>
    </cfRule>
  </conditionalFormatting>
  <conditionalFormatting sqref="B103:C103">
    <cfRule type="cellIs" dxfId="2213" priority="431" stopIfTrue="1" operator="equal">
      <formula>"Towel"</formula>
    </cfRule>
    <cfRule type="cellIs" dxfId="2212" priority="432" stopIfTrue="1" operator="equal">
      <formula>"Napkin Hs"</formula>
    </cfRule>
  </conditionalFormatting>
  <conditionalFormatting sqref="C103">
    <cfRule type="cellIs" dxfId="2211" priority="430" stopIfTrue="1" operator="equal">
      <formula>"Napkin Hs"</formula>
    </cfRule>
  </conditionalFormatting>
  <conditionalFormatting sqref="C103">
    <cfRule type="cellIs" dxfId="2210" priority="427" stopIfTrue="1" operator="equal">
      <formula>"Towel"</formula>
    </cfRule>
    <cfRule type="cellIs" dxfId="2209" priority="428" stopIfTrue="1" operator="equal">
      <formula>"Napkin Hs"</formula>
    </cfRule>
  </conditionalFormatting>
  <conditionalFormatting sqref="C103">
    <cfRule type="cellIs" dxfId="2208" priority="429" stopIfTrue="1" operator="equal">
      <formula>"Towel"</formula>
    </cfRule>
  </conditionalFormatting>
  <conditionalFormatting sqref="B112:C112">
    <cfRule type="cellIs" dxfId="2207" priority="425" stopIfTrue="1" operator="equal">
      <formula>"Towel"</formula>
    </cfRule>
    <cfRule type="cellIs" dxfId="2206" priority="426" stopIfTrue="1" operator="equal">
      <formula>"Napkin Hs"</formula>
    </cfRule>
  </conditionalFormatting>
  <conditionalFormatting sqref="C112">
    <cfRule type="cellIs" dxfId="2205" priority="424" stopIfTrue="1" operator="equal">
      <formula>"Napkin Hs"</formula>
    </cfRule>
  </conditionalFormatting>
  <conditionalFormatting sqref="C112">
    <cfRule type="cellIs" dxfId="2204" priority="421" stopIfTrue="1" operator="equal">
      <formula>"Towel"</formula>
    </cfRule>
    <cfRule type="cellIs" dxfId="2203" priority="422" stopIfTrue="1" operator="equal">
      <formula>"Napkin Hs"</formula>
    </cfRule>
  </conditionalFormatting>
  <conditionalFormatting sqref="C112">
    <cfRule type="cellIs" dxfId="2202" priority="423" stopIfTrue="1" operator="equal">
      <formula>"Towel"</formula>
    </cfRule>
  </conditionalFormatting>
  <conditionalFormatting sqref="B111:C111">
    <cfRule type="cellIs" dxfId="2201" priority="419" stopIfTrue="1" operator="equal">
      <formula>"Towel"</formula>
    </cfRule>
    <cfRule type="cellIs" dxfId="2200" priority="420" stopIfTrue="1" operator="equal">
      <formula>"Napkin Hs"</formula>
    </cfRule>
  </conditionalFormatting>
  <conditionalFormatting sqref="C111">
    <cfRule type="cellIs" dxfId="2199" priority="415" stopIfTrue="1" operator="equal">
      <formula>"Towel"</formula>
    </cfRule>
    <cfRule type="cellIs" dxfId="2198" priority="416" stopIfTrue="1" operator="equal">
      <formula>"Napkin Hs"</formula>
    </cfRule>
  </conditionalFormatting>
  <conditionalFormatting sqref="C111">
    <cfRule type="cellIs" dxfId="2197" priority="417" stopIfTrue="1" operator="equal">
      <formula>"Towel"</formula>
    </cfRule>
    <cfRule type="cellIs" dxfId="2196" priority="418" stopIfTrue="1" operator="equal">
      <formula>"Napkin Hs"</formula>
    </cfRule>
  </conditionalFormatting>
  <conditionalFormatting sqref="C111">
    <cfRule type="cellIs" dxfId="2195" priority="409" stopIfTrue="1" operator="equal">
      <formula>"Towel"</formula>
    </cfRule>
    <cfRule type="cellIs" dxfId="2194" priority="410" stopIfTrue="1" operator="equal">
      <formula>"Napkin Hs"</formula>
    </cfRule>
  </conditionalFormatting>
  <conditionalFormatting sqref="B111:C111">
    <cfRule type="cellIs" dxfId="2193" priority="413" stopIfTrue="1" operator="equal">
      <formula>"Towel"</formula>
    </cfRule>
    <cfRule type="cellIs" dxfId="2192" priority="414" stopIfTrue="1" operator="equal">
      <formula>"Napkin Hs"</formula>
    </cfRule>
  </conditionalFormatting>
  <conditionalFormatting sqref="C111">
    <cfRule type="cellIs" dxfId="2191" priority="412" stopIfTrue="1" operator="equal">
      <formula>"Napkin Hs"</formula>
    </cfRule>
  </conditionalFormatting>
  <conditionalFormatting sqref="C111">
    <cfRule type="cellIs" dxfId="2190" priority="411" stopIfTrue="1" operator="equal">
      <formula>"Towel"</formula>
    </cfRule>
  </conditionalFormatting>
  <conditionalFormatting sqref="B108:C108">
    <cfRule type="cellIs" dxfId="2189" priority="407" stopIfTrue="1" operator="equal">
      <formula>"Towel"</formula>
    </cfRule>
    <cfRule type="cellIs" dxfId="2188" priority="408" stopIfTrue="1" operator="equal">
      <formula>"Napkin Hs"</formula>
    </cfRule>
  </conditionalFormatting>
  <conditionalFormatting sqref="C108">
    <cfRule type="cellIs" dxfId="2187" priority="406" stopIfTrue="1" operator="equal">
      <formula>"Napkin Hs"</formula>
    </cfRule>
  </conditionalFormatting>
  <conditionalFormatting sqref="C108">
    <cfRule type="cellIs" dxfId="2186" priority="405" stopIfTrue="1" operator="equal">
      <formula>"Towel"</formula>
    </cfRule>
  </conditionalFormatting>
  <conditionalFormatting sqref="C108">
    <cfRule type="cellIs" dxfId="2185" priority="403" stopIfTrue="1" operator="equal">
      <formula>"Towel"</formula>
    </cfRule>
    <cfRule type="cellIs" dxfId="2184" priority="404" stopIfTrue="1" operator="equal">
      <formula>"Napkin Hs"</formula>
    </cfRule>
  </conditionalFormatting>
  <conditionalFormatting sqref="B107:C107">
    <cfRule type="cellIs" dxfId="2183" priority="401" stopIfTrue="1" operator="equal">
      <formula>"Towel"</formula>
    </cfRule>
    <cfRule type="cellIs" dxfId="2182" priority="402" stopIfTrue="1" operator="equal">
      <formula>"Napkin Hs"</formula>
    </cfRule>
  </conditionalFormatting>
  <conditionalFormatting sqref="C107">
    <cfRule type="cellIs" dxfId="2181" priority="400" stopIfTrue="1" operator="equal">
      <formula>"Napkin Hs"</formula>
    </cfRule>
  </conditionalFormatting>
  <conditionalFormatting sqref="C107">
    <cfRule type="cellIs" dxfId="2180" priority="397" stopIfTrue="1" operator="equal">
      <formula>"Towel"</formula>
    </cfRule>
    <cfRule type="cellIs" dxfId="2179" priority="398" stopIfTrue="1" operator="equal">
      <formula>"Napkin Hs"</formula>
    </cfRule>
  </conditionalFormatting>
  <conditionalFormatting sqref="C107">
    <cfRule type="cellIs" dxfId="2178" priority="399" stopIfTrue="1" operator="equal">
      <formula>"Towel"</formula>
    </cfRule>
  </conditionalFormatting>
  <conditionalFormatting sqref="B109:C109">
    <cfRule type="cellIs" dxfId="2177" priority="395" stopIfTrue="1" operator="equal">
      <formula>"Towel"</formula>
    </cfRule>
    <cfRule type="cellIs" dxfId="2176" priority="396" stopIfTrue="1" operator="equal">
      <formula>"Napkin Hs"</formula>
    </cfRule>
  </conditionalFormatting>
  <conditionalFormatting sqref="C109">
    <cfRule type="cellIs" dxfId="2175" priority="394" stopIfTrue="1" operator="equal">
      <formula>"Napkin Hs"</formula>
    </cfRule>
  </conditionalFormatting>
  <conditionalFormatting sqref="C109">
    <cfRule type="cellIs" dxfId="2174" priority="391" stopIfTrue="1" operator="equal">
      <formula>"Towel"</formula>
    </cfRule>
    <cfRule type="cellIs" dxfId="2173" priority="392" stopIfTrue="1" operator="equal">
      <formula>"Napkin Hs"</formula>
    </cfRule>
  </conditionalFormatting>
  <conditionalFormatting sqref="C109">
    <cfRule type="cellIs" dxfId="2172" priority="393" stopIfTrue="1" operator="equal">
      <formula>"Towel"</formula>
    </cfRule>
  </conditionalFormatting>
  <conditionalFormatting sqref="B110:C110">
    <cfRule type="cellIs" dxfId="2171" priority="389" stopIfTrue="1" operator="equal">
      <formula>"Towel"</formula>
    </cfRule>
    <cfRule type="cellIs" dxfId="2170" priority="390" stopIfTrue="1" operator="equal">
      <formula>"Napkin Hs"</formula>
    </cfRule>
  </conditionalFormatting>
  <conditionalFormatting sqref="C110">
    <cfRule type="cellIs" dxfId="2169" priority="385" stopIfTrue="1" operator="equal">
      <formula>"Towel"</formula>
    </cfRule>
    <cfRule type="cellIs" dxfId="2168" priority="386" stopIfTrue="1" operator="equal">
      <formula>"Napkin Hs"</formula>
    </cfRule>
  </conditionalFormatting>
  <conditionalFormatting sqref="C110">
    <cfRule type="cellIs" dxfId="2167" priority="387" stopIfTrue="1" operator="equal">
      <formula>"Towel"</formula>
    </cfRule>
    <cfRule type="cellIs" dxfId="2166" priority="388" stopIfTrue="1" operator="equal">
      <formula>"Napkin Hs"</formula>
    </cfRule>
  </conditionalFormatting>
  <conditionalFormatting sqref="C110">
    <cfRule type="cellIs" dxfId="2165" priority="379" stopIfTrue="1" operator="equal">
      <formula>"Towel"</formula>
    </cfRule>
    <cfRule type="cellIs" dxfId="2164" priority="380" stopIfTrue="1" operator="equal">
      <formula>"Napkin Hs"</formula>
    </cfRule>
  </conditionalFormatting>
  <conditionalFormatting sqref="B110:C110">
    <cfRule type="cellIs" dxfId="2163" priority="383" stopIfTrue="1" operator="equal">
      <formula>"Towel"</formula>
    </cfRule>
    <cfRule type="cellIs" dxfId="2162" priority="384" stopIfTrue="1" operator="equal">
      <formula>"Napkin Hs"</formula>
    </cfRule>
  </conditionalFormatting>
  <conditionalFormatting sqref="C110">
    <cfRule type="cellIs" dxfId="2161" priority="382" stopIfTrue="1" operator="equal">
      <formula>"Napkin Hs"</formula>
    </cfRule>
  </conditionalFormatting>
  <conditionalFormatting sqref="C110">
    <cfRule type="cellIs" dxfId="2160" priority="381" stopIfTrue="1" operator="equal">
      <formula>"Towel"</formula>
    </cfRule>
  </conditionalFormatting>
  <conditionalFormatting sqref="B108:C108">
    <cfRule type="cellIs" dxfId="2159" priority="377" stopIfTrue="1" operator="equal">
      <formula>"Towel"</formula>
    </cfRule>
    <cfRule type="cellIs" dxfId="2158" priority="378" stopIfTrue="1" operator="equal">
      <formula>"Napkin Hs"</formula>
    </cfRule>
  </conditionalFormatting>
  <conditionalFormatting sqref="C108">
    <cfRule type="cellIs" dxfId="2157" priority="375" stopIfTrue="1" operator="equal">
      <formula>"Towel"</formula>
    </cfRule>
    <cfRule type="cellIs" dxfId="2156" priority="376" stopIfTrue="1" operator="equal">
      <formula>"Napkin Hs"</formula>
    </cfRule>
  </conditionalFormatting>
  <conditionalFormatting sqref="C108">
    <cfRule type="cellIs" dxfId="2155" priority="373" stopIfTrue="1" operator="equal">
      <formula>"Towel"</formula>
    </cfRule>
    <cfRule type="cellIs" dxfId="2154" priority="374" stopIfTrue="1" operator="equal">
      <formula>"Napkin Hs"</formula>
    </cfRule>
  </conditionalFormatting>
  <conditionalFormatting sqref="B107:C107">
    <cfRule type="cellIs" dxfId="2153" priority="371" stopIfTrue="1" operator="equal">
      <formula>"Towel"</formula>
    </cfRule>
    <cfRule type="cellIs" dxfId="2152" priority="372" stopIfTrue="1" operator="equal">
      <formula>"Napkin Hs"</formula>
    </cfRule>
  </conditionalFormatting>
  <conditionalFormatting sqref="C107">
    <cfRule type="cellIs" dxfId="2151" priority="370" stopIfTrue="1" operator="equal">
      <formula>"Napkin Hs"</formula>
    </cfRule>
  </conditionalFormatting>
  <conditionalFormatting sqref="C107">
    <cfRule type="cellIs" dxfId="2150" priority="367" stopIfTrue="1" operator="equal">
      <formula>"Towel"</formula>
    </cfRule>
    <cfRule type="cellIs" dxfId="2149" priority="368" stopIfTrue="1" operator="equal">
      <formula>"Napkin Hs"</formula>
    </cfRule>
  </conditionalFormatting>
  <conditionalFormatting sqref="C107">
    <cfRule type="cellIs" dxfId="2148" priority="369" stopIfTrue="1" operator="equal">
      <formula>"Towel"</formula>
    </cfRule>
  </conditionalFormatting>
  <conditionalFormatting sqref="B109:C110">
    <cfRule type="cellIs" dxfId="2147" priority="365" stopIfTrue="1" operator="equal">
      <formula>"Towel"</formula>
    </cfRule>
    <cfRule type="cellIs" dxfId="2146" priority="366" stopIfTrue="1" operator="equal">
      <formula>"Napkin Hs"</formula>
    </cfRule>
  </conditionalFormatting>
  <conditionalFormatting sqref="C109:C110">
    <cfRule type="cellIs" dxfId="2145" priority="364" stopIfTrue="1" operator="equal">
      <formula>"Napkin Hs"</formula>
    </cfRule>
  </conditionalFormatting>
  <conditionalFormatting sqref="C109:C110">
    <cfRule type="cellIs" dxfId="2144" priority="361" stopIfTrue="1" operator="equal">
      <formula>"Towel"</formula>
    </cfRule>
    <cfRule type="cellIs" dxfId="2143" priority="362" stopIfTrue="1" operator="equal">
      <formula>"Napkin Hs"</formula>
    </cfRule>
  </conditionalFormatting>
  <conditionalFormatting sqref="C109:C110">
    <cfRule type="cellIs" dxfId="2142" priority="363" stopIfTrue="1" operator="equal">
      <formula>"Towel"</formula>
    </cfRule>
  </conditionalFormatting>
  <conditionalFormatting sqref="B107:C107">
    <cfRule type="cellIs" dxfId="2141" priority="359" stopIfTrue="1" operator="equal">
      <formula>"Towel"</formula>
    </cfRule>
    <cfRule type="cellIs" dxfId="2140" priority="360" stopIfTrue="1" operator="equal">
      <formula>"Napkin Hs"</formula>
    </cfRule>
  </conditionalFormatting>
  <conditionalFormatting sqref="C107">
    <cfRule type="cellIs" dxfId="2139" priority="358" stopIfTrue="1" operator="equal">
      <formula>"Napkin Hs"</formula>
    </cfRule>
  </conditionalFormatting>
  <conditionalFormatting sqref="C107">
    <cfRule type="cellIs" dxfId="2138" priority="355" stopIfTrue="1" operator="equal">
      <formula>"Towel"</formula>
    </cfRule>
    <cfRule type="cellIs" dxfId="2137" priority="356" stopIfTrue="1" operator="equal">
      <formula>"Napkin Hs"</formula>
    </cfRule>
  </conditionalFormatting>
  <conditionalFormatting sqref="C107">
    <cfRule type="cellIs" dxfId="2136" priority="357" stopIfTrue="1" operator="equal">
      <formula>"Towel"</formula>
    </cfRule>
  </conditionalFormatting>
  <conditionalFormatting sqref="B107:C107">
    <cfRule type="cellIs" dxfId="2135" priority="353" stopIfTrue="1" operator="equal">
      <formula>"Towel"</formula>
    </cfRule>
    <cfRule type="cellIs" dxfId="2134" priority="354" stopIfTrue="1" operator="equal">
      <formula>"Napkin Hs"</formula>
    </cfRule>
  </conditionalFormatting>
  <conditionalFormatting sqref="C107">
    <cfRule type="cellIs" dxfId="2133" priority="352" stopIfTrue="1" operator="equal">
      <formula>"Napkin Hs"</formula>
    </cfRule>
  </conditionalFormatting>
  <conditionalFormatting sqref="C107">
    <cfRule type="cellIs" dxfId="2132" priority="349" stopIfTrue="1" operator="equal">
      <formula>"Towel"</formula>
    </cfRule>
    <cfRule type="cellIs" dxfId="2131" priority="350" stopIfTrue="1" operator="equal">
      <formula>"Napkin Hs"</formula>
    </cfRule>
  </conditionalFormatting>
  <conditionalFormatting sqref="C107">
    <cfRule type="cellIs" dxfId="2130" priority="351" stopIfTrue="1" operator="equal">
      <formula>"Towel"</formula>
    </cfRule>
  </conditionalFormatting>
  <conditionalFormatting sqref="B115:C115">
    <cfRule type="cellIs" dxfId="2129" priority="311" stopIfTrue="1" operator="equal">
      <formula>"Towel"</formula>
    </cfRule>
    <cfRule type="cellIs" dxfId="2128" priority="312" stopIfTrue="1" operator="equal">
      <formula>"Napkin Hs"</formula>
    </cfRule>
  </conditionalFormatting>
  <conditionalFormatting sqref="C115">
    <cfRule type="cellIs" dxfId="2127" priority="307" stopIfTrue="1" operator="equal">
      <formula>"Towel"</formula>
    </cfRule>
    <cfRule type="cellIs" dxfId="2126" priority="308" stopIfTrue="1" operator="equal">
      <formula>"Napkin Hs"</formula>
    </cfRule>
  </conditionalFormatting>
  <conditionalFormatting sqref="B113:C113">
    <cfRule type="cellIs" dxfId="2125" priority="305" stopIfTrue="1" operator="equal">
      <formula>"Towel"</formula>
    </cfRule>
    <cfRule type="cellIs" dxfId="2124" priority="306" stopIfTrue="1" operator="equal">
      <formula>"Napkin Hs"</formula>
    </cfRule>
  </conditionalFormatting>
  <conditionalFormatting sqref="C113">
    <cfRule type="cellIs" dxfId="2123" priority="301" stopIfTrue="1" operator="equal">
      <formula>"Towel"</formula>
    </cfRule>
    <cfRule type="cellIs" dxfId="2122" priority="302" stopIfTrue="1" operator="equal">
      <formula>"Napkin Hs"</formula>
    </cfRule>
  </conditionalFormatting>
  <conditionalFormatting sqref="B117:C117">
    <cfRule type="cellIs" dxfId="2121" priority="347" stopIfTrue="1" operator="equal">
      <formula>"Towel"</formula>
    </cfRule>
    <cfRule type="cellIs" dxfId="2120" priority="348" stopIfTrue="1" operator="equal">
      <formula>"Napkin Hs"</formula>
    </cfRule>
  </conditionalFormatting>
  <conditionalFormatting sqref="C117">
    <cfRule type="cellIs" dxfId="2119" priority="346" stopIfTrue="1" operator="equal">
      <formula>"Napkin Hs"</formula>
    </cfRule>
  </conditionalFormatting>
  <conditionalFormatting sqref="C117">
    <cfRule type="cellIs" dxfId="2118" priority="343" stopIfTrue="1" operator="equal">
      <formula>"Towel"</formula>
    </cfRule>
    <cfRule type="cellIs" dxfId="2117" priority="344" stopIfTrue="1" operator="equal">
      <formula>"Napkin Hs"</formula>
    </cfRule>
  </conditionalFormatting>
  <conditionalFormatting sqref="C117">
    <cfRule type="cellIs" dxfId="2116" priority="345" stopIfTrue="1" operator="equal">
      <formula>"Towel"</formula>
    </cfRule>
  </conditionalFormatting>
  <conditionalFormatting sqref="B114:C114">
    <cfRule type="cellIs" dxfId="2115" priority="341" stopIfTrue="1" operator="equal">
      <formula>"Towel"</formula>
    </cfRule>
    <cfRule type="cellIs" dxfId="2114" priority="342" stopIfTrue="1" operator="equal">
      <formula>"Napkin Hs"</formula>
    </cfRule>
  </conditionalFormatting>
  <conditionalFormatting sqref="C114">
    <cfRule type="cellIs" dxfId="2113" priority="340" stopIfTrue="1" operator="equal">
      <formula>"Napkin Hs"</formula>
    </cfRule>
  </conditionalFormatting>
  <conditionalFormatting sqref="C114">
    <cfRule type="cellIs" dxfId="2112" priority="339" stopIfTrue="1" operator="equal">
      <formula>"Towel"</formula>
    </cfRule>
  </conditionalFormatting>
  <conditionalFormatting sqref="C114">
    <cfRule type="cellIs" dxfId="2111" priority="337" stopIfTrue="1" operator="equal">
      <formula>"Towel"</formula>
    </cfRule>
    <cfRule type="cellIs" dxfId="2110" priority="338" stopIfTrue="1" operator="equal">
      <formula>"Napkin Hs"</formula>
    </cfRule>
  </conditionalFormatting>
  <conditionalFormatting sqref="B113:C113">
    <cfRule type="cellIs" dxfId="2109" priority="335" stopIfTrue="1" operator="equal">
      <formula>"Towel"</formula>
    </cfRule>
    <cfRule type="cellIs" dxfId="2108" priority="336" stopIfTrue="1" operator="equal">
      <formula>"Napkin Hs"</formula>
    </cfRule>
  </conditionalFormatting>
  <conditionalFormatting sqref="C113">
    <cfRule type="cellIs" dxfId="2107" priority="334" stopIfTrue="1" operator="equal">
      <formula>"Napkin Hs"</formula>
    </cfRule>
  </conditionalFormatting>
  <conditionalFormatting sqref="C113">
    <cfRule type="cellIs" dxfId="2106" priority="331" stopIfTrue="1" operator="equal">
      <formula>"Towel"</formula>
    </cfRule>
    <cfRule type="cellIs" dxfId="2105" priority="332" stopIfTrue="1" operator="equal">
      <formula>"Napkin Hs"</formula>
    </cfRule>
  </conditionalFormatting>
  <conditionalFormatting sqref="C113">
    <cfRule type="cellIs" dxfId="2104" priority="333" stopIfTrue="1" operator="equal">
      <formula>"Towel"</formula>
    </cfRule>
  </conditionalFormatting>
  <conditionalFormatting sqref="B115:C115">
    <cfRule type="cellIs" dxfId="2103" priority="329" stopIfTrue="1" operator="equal">
      <formula>"Towel"</formula>
    </cfRule>
    <cfRule type="cellIs" dxfId="2102" priority="330" stopIfTrue="1" operator="equal">
      <formula>"Napkin Hs"</formula>
    </cfRule>
  </conditionalFormatting>
  <conditionalFormatting sqref="C115">
    <cfRule type="cellIs" dxfId="2101" priority="328" stopIfTrue="1" operator="equal">
      <formula>"Napkin Hs"</formula>
    </cfRule>
  </conditionalFormatting>
  <conditionalFormatting sqref="C115">
    <cfRule type="cellIs" dxfId="2100" priority="325" stopIfTrue="1" operator="equal">
      <formula>"Towel"</formula>
    </cfRule>
    <cfRule type="cellIs" dxfId="2099" priority="326" stopIfTrue="1" operator="equal">
      <formula>"Napkin Hs"</formula>
    </cfRule>
  </conditionalFormatting>
  <conditionalFormatting sqref="C115">
    <cfRule type="cellIs" dxfId="2098" priority="327" stopIfTrue="1" operator="equal">
      <formula>"Towel"</formula>
    </cfRule>
  </conditionalFormatting>
  <conditionalFormatting sqref="B114:C114">
    <cfRule type="cellIs" dxfId="2097" priority="323" stopIfTrue="1" operator="equal">
      <formula>"Towel"</formula>
    </cfRule>
    <cfRule type="cellIs" dxfId="2096" priority="324" stopIfTrue="1" operator="equal">
      <formula>"Napkin Hs"</formula>
    </cfRule>
  </conditionalFormatting>
  <conditionalFormatting sqref="C114">
    <cfRule type="cellIs" dxfId="2095" priority="321" stopIfTrue="1" operator="equal">
      <formula>"Towel"</formula>
    </cfRule>
    <cfRule type="cellIs" dxfId="2094" priority="322" stopIfTrue="1" operator="equal">
      <formula>"Napkin Hs"</formula>
    </cfRule>
  </conditionalFormatting>
  <conditionalFormatting sqref="C114">
    <cfRule type="cellIs" dxfId="2093" priority="319" stopIfTrue="1" operator="equal">
      <formula>"Towel"</formula>
    </cfRule>
    <cfRule type="cellIs" dxfId="2092" priority="320" stopIfTrue="1" operator="equal">
      <formula>"Napkin Hs"</formula>
    </cfRule>
  </conditionalFormatting>
  <conditionalFormatting sqref="B113:C113">
    <cfRule type="cellIs" dxfId="2091" priority="317" stopIfTrue="1" operator="equal">
      <formula>"Towel"</formula>
    </cfRule>
    <cfRule type="cellIs" dxfId="2090" priority="318" stopIfTrue="1" operator="equal">
      <formula>"Napkin Hs"</formula>
    </cfRule>
  </conditionalFormatting>
  <conditionalFormatting sqref="C113">
    <cfRule type="cellIs" dxfId="2089" priority="316" stopIfTrue="1" operator="equal">
      <formula>"Napkin Hs"</formula>
    </cfRule>
  </conditionalFormatting>
  <conditionalFormatting sqref="C113">
    <cfRule type="cellIs" dxfId="2088" priority="313" stopIfTrue="1" operator="equal">
      <formula>"Towel"</formula>
    </cfRule>
    <cfRule type="cellIs" dxfId="2087" priority="314" stopIfTrue="1" operator="equal">
      <formula>"Napkin Hs"</formula>
    </cfRule>
  </conditionalFormatting>
  <conditionalFormatting sqref="C113">
    <cfRule type="cellIs" dxfId="2086" priority="315" stopIfTrue="1" operator="equal">
      <formula>"Towel"</formula>
    </cfRule>
  </conditionalFormatting>
  <conditionalFormatting sqref="C115">
    <cfRule type="cellIs" dxfId="2085" priority="310" stopIfTrue="1" operator="equal">
      <formula>"Napkin Hs"</formula>
    </cfRule>
  </conditionalFormatting>
  <conditionalFormatting sqref="C115">
    <cfRule type="cellIs" dxfId="2084" priority="309" stopIfTrue="1" operator="equal">
      <formula>"Towel"</formula>
    </cfRule>
  </conditionalFormatting>
  <conditionalFormatting sqref="C113">
    <cfRule type="cellIs" dxfId="2083" priority="304" stopIfTrue="1" operator="equal">
      <formula>"Napkin Hs"</formula>
    </cfRule>
  </conditionalFormatting>
  <conditionalFormatting sqref="C113">
    <cfRule type="cellIs" dxfId="2082" priority="303" stopIfTrue="1" operator="equal">
      <formula>"Towel"</formula>
    </cfRule>
  </conditionalFormatting>
  <conditionalFormatting sqref="B113:C113">
    <cfRule type="cellIs" dxfId="2081" priority="299" stopIfTrue="1" operator="equal">
      <formula>"Towel"</formula>
    </cfRule>
    <cfRule type="cellIs" dxfId="2080" priority="300" stopIfTrue="1" operator="equal">
      <formula>"Napkin Hs"</formula>
    </cfRule>
  </conditionalFormatting>
  <conditionalFormatting sqref="C113">
    <cfRule type="cellIs" dxfId="2079" priority="298" stopIfTrue="1" operator="equal">
      <formula>"Napkin Hs"</formula>
    </cfRule>
  </conditionalFormatting>
  <conditionalFormatting sqref="C113">
    <cfRule type="cellIs" dxfId="2078" priority="295" stopIfTrue="1" operator="equal">
      <formula>"Towel"</formula>
    </cfRule>
    <cfRule type="cellIs" dxfId="2077" priority="296" stopIfTrue="1" operator="equal">
      <formula>"Napkin Hs"</formula>
    </cfRule>
  </conditionalFormatting>
  <conditionalFormatting sqref="C113">
    <cfRule type="cellIs" dxfId="2076" priority="297" stopIfTrue="1" operator="equal">
      <formula>"Towel"</formula>
    </cfRule>
  </conditionalFormatting>
  <conditionalFormatting sqref="B116:C116">
    <cfRule type="cellIs" dxfId="2075" priority="293" stopIfTrue="1" operator="equal">
      <formula>"Towel"</formula>
    </cfRule>
    <cfRule type="cellIs" dxfId="2074" priority="294" stopIfTrue="1" operator="equal">
      <formula>"Napkin Hs"</formula>
    </cfRule>
  </conditionalFormatting>
  <conditionalFormatting sqref="C116">
    <cfRule type="cellIs" dxfId="2073" priority="289" stopIfTrue="1" operator="equal">
      <formula>"Towel"</formula>
    </cfRule>
    <cfRule type="cellIs" dxfId="2072" priority="290" stopIfTrue="1" operator="equal">
      <formula>"Napkin Hs"</formula>
    </cfRule>
  </conditionalFormatting>
  <conditionalFormatting sqref="C116">
    <cfRule type="cellIs" dxfId="2071" priority="291" stopIfTrue="1" operator="equal">
      <formula>"Towel"</formula>
    </cfRule>
    <cfRule type="cellIs" dxfId="2070" priority="292" stopIfTrue="1" operator="equal">
      <formula>"Napkin Hs"</formula>
    </cfRule>
  </conditionalFormatting>
  <conditionalFormatting sqref="C116">
    <cfRule type="cellIs" dxfId="2069" priority="283" stopIfTrue="1" operator="equal">
      <formula>"Towel"</formula>
    </cfRule>
    <cfRule type="cellIs" dxfId="2068" priority="284" stopIfTrue="1" operator="equal">
      <formula>"Napkin Hs"</formula>
    </cfRule>
  </conditionalFormatting>
  <conditionalFormatting sqref="B116:C116">
    <cfRule type="cellIs" dxfId="2067" priority="287" stopIfTrue="1" operator="equal">
      <formula>"Towel"</formula>
    </cfRule>
    <cfRule type="cellIs" dxfId="2066" priority="288" stopIfTrue="1" operator="equal">
      <formula>"Napkin Hs"</formula>
    </cfRule>
  </conditionalFormatting>
  <conditionalFormatting sqref="C116">
    <cfRule type="cellIs" dxfId="2065" priority="286" stopIfTrue="1" operator="equal">
      <formula>"Napkin Hs"</formula>
    </cfRule>
  </conditionalFormatting>
  <conditionalFormatting sqref="C116">
    <cfRule type="cellIs" dxfId="2064" priority="285" stopIfTrue="1" operator="equal">
      <formula>"Towel"</formula>
    </cfRule>
  </conditionalFormatting>
  <conditionalFormatting sqref="B121:C121">
    <cfRule type="cellIs" dxfId="2063" priority="281" stopIfTrue="1" operator="equal">
      <formula>"Towel"</formula>
    </cfRule>
    <cfRule type="cellIs" dxfId="2062" priority="282" stopIfTrue="1" operator="equal">
      <formula>"Napkin Hs"</formula>
    </cfRule>
  </conditionalFormatting>
  <conditionalFormatting sqref="C121">
    <cfRule type="cellIs" dxfId="2061" priority="277" stopIfTrue="1" operator="equal">
      <formula>"Towel"</formula>
    </cfRule>
    <cfRule type="cellIs" dxfId="2060" priority="278" stopIfTrue="1" operator="equal">
      <formula>"Napkin Hs"</formula>
    </cfRule>
  </conditionalFormatting>
  <conditionalFormatting sqref="C121">
    <cfRule type="cellIs" dxfId="2059" priority="279" stopIfTrue="1" operator="equal">
      <formula>"Towel"</formula>
    </cfRule>
    <cfRule type="cellIs" dxfId="2058" priority="280" stopIfTrue="1" operator="equal">
      <formula>"Napkin Hs"</formula>
    </cfRule>
  </conditionalFormatting>
  <conditionalFormatting sqref="C121">
    <cfRule type="cellIs" dxfId="2057" priority="271" stopIfTrue="1" operator="equal">
      <formula>"Towel"</formula>
    </cfRule>
    <cfRule type="cellIs" dxfId="2056" priority="272" stopIfTrue="1" operator="equal">
      <formula>"Napkin Hs"</formula>
    </cfRule>
  </conditionalFormatting>
  <conditionalFormatting sqref="B121:C121">
    <cfRule type="cellIs" dxfId="2055" priority="275" stopIfTrue="1" operator="equal">
      <formula>"Towel"</formula>
    </cfRule>
    <cfRule type="cellIs" dxfId="2054" priority="276" stopIfTrue="1" operator="equal">
      <formula>"Napkin Hs"</formula>
    </cfRule>
  </conditionalFormatting>
  <conditionalFormatting sqref="C121">
    <cfRule type="cellIs" dxfId="2053" priority="274" stopIfTrue="1" operator="equal">
      <formula>"Napkin Hs"</formula>
    </cfRule>
  </conditionalFormatting>
  <conditionalFormatting sqref="C121">
    <cfRule type="cellIs" dxfId="2052" priority="273" stopIfTrue="1" operator="equal">
      <formula>"Towel"</formula>
    </cfRule>
  </conditionalFormatting>
  <conditionalFormatting sqref="B119:C119">
    <cfRule type="cellIs" dxfId="2051" priority="269" stopIfTrue="1" operator="equal">
      <formula>"Towel"</formula>
    </cfRule>
    <cfRule type="cellIs" dxfId="2050" priority="270" stopIfTrue="1" operator="equal">
      <formula>"Napkin Hs"</formula>
    </cfRule>
  </conditionalFormatting>
  <conditionalFormatting sqref="C119">
    <cfRule type="cellIs" dxfId="2049" priority="268" stopIfTrue="1" operator="equal">
      <formula>"Napkin Hs"</formula>
    </cfRule>
  </conditionalFormatting>
  <conditionalFormatting sqref="C119">
    <cfRule type="cellIs" dxfId="2048" priority="267" stopIfTrue="1" operator="equal">
      <formula>"Towel"</formula>
    </cfRule>
  </conditionalFormatting>
  <conditionalFormatting sqref="C119">
    <cfRule type="cellIs" dxfId="2047" priority="265" stopIfTrue="1" operator="equal">
      <formula>"Towel"</formula>
    </cfRule>
    <cfRule type="cellIs" dxfId="2046" priority="266" stopIfTrue="1" operator="equal">
      <formula>"Napkin Hs"</formula>
    </cfRule>
  </conditionalFormatting>
  <conditionalFormatting sqref="B118:C118">
    <cfRule type="cellIs" dxfId="2045" priority="263" stopIfTrue="1" operator="equal">
      <formula>"Towel"</formula>
    </cfRule>
    <cfRule type="cellIs" dxfId="2044" priority="264" stopIfTrue="1" operator="equal">
      <formula>"Napkin Hs"</formula>
    </cfRule>
  </conditionalFormatting>
  <conditionalFormatting sqref="C118">
    <cfRule type="cellIs" dxfId="2043" priority="262" stopIfTrue="1" operator="equal">
      <formula>"Napkin Hs"</formula>
    </cfRule>
  </conditionalFormatting>
  <conditionalFormatting sqref="C118">
    <cfRule type="cellIs" dxfId="2042" priority="259" stopIfTrue="1" operator="equal">
      <formula>"Towel"</formula>
    </cfRule>
    <cfRule type="cellIs" dxfId="2041" priority="260" stopIfTrue="1" operator="equal">
      <formula>"Napkin Hs"</formula>
    </cfRule>
  </conditionalFormatting>
  <conditionalFormatting sqref="C118">
    <cfRule type="cellIs" dxfId="2040" priority="261" stopIfTrue="1" operator="equal">
      <formula>"Towel"</formula>
    </cfRule>
  </conditionalFormatting>
  <conditionalFormatting sqref="B120:C120">
    <cfRule type="cellIs" dxfId="2039" priority="257" stopIfTrue="1" operator="equal">
      <formula>"Towel"</formula>
    </cfRule>
    <cfRule type="cellIs" dxfId="2038" priority="258" stopIfTrue="1" operator="equal">
      <formula>"Napkin Hs"</formula>
    </cfRule>
  </conditionalFormatting>
  <conditionalFormatting sqref="C120">
    <cfRule type="cellIs" dxfId="2037" priority="256" stopIfTrue="1" operator="equal">
      <formula>"Napkin Hs"</formula>
    </cfRule>
  </conditionalFormatting>
  <conditionalFormatting sqref="C120">
    <cfRule type="cellIs" dxfId="2036" priority="253" stopIfTrue="1" operator="equal">
      <formula>"Towel"</formula>
    </cfRule>
    <cfRule type="cellIs" dxfId="2035" priority="254" stopIfTrue="1" operator="equal">
      <formula>"Napkin Hs"</formula>
    </cfRule>
  </conditionalFormatting>
  <conditionalFormatting sqref="C120">
    <cfRule type="cellIs" dxfId="2034" priority="255" stopIfTrue="1" operator="equal">
      <formula>"Towel"</formula>
    </cfRule>
  </conditionalFormatting>
  <conditionalFormatting sqref="B119:C119">
    <cfRule type="cellIs" dxfId="2033" priority="251" stopIfTrue="1" operator="equal">
      <formula>"Towel"</formula>
    </cfRule>
    <cfRule type="cellIs" dxfId="2032" priority="252" stopIfTrue="1" operator="equal">
      <formula>"Napkin Hs"</formula>
    </cfRule>
  </conditionalFormatting>
  <conditionalFormatting sqref="C119">
    <cfRule type="cellIs" dxfId="2031" priority="249" stopIfTrue="1" operator="equal">
      <formula>"Towel"</formula>
    </cfRule>
    <cfRule type="cellIs" dxfId="2030" priority="250" stopIfTrue="1" operator="equal">
      <formula>"Napkin Hs"</formula>
    </cfRule>
  </conditionalFormatting>
  <conditionalFormatting sqref="C119">
    <cfRule type="cellIs" dxfId="2029" priority="247" stopIfTrue="1" operator="equal">
      <formula>"Towel"</formula>
    </cfRule>
    <cfRule type="cellIs" dxfId="2028" priority="248" stopIfTrue="1" operator="equal">
      <formula>"Napkin Hs"</formula>
    </cfRule>
  </conditionalFormatting>
  <conditionalFormatting sqref="B118:C118">
    <cfRule type="cellIs" dxfId="2027" priority="245" stopIfTrue="1" operator="equal">
      <formula>"Towel"</formula>
    </cfRule>
    <cfRule type="cellIs" dxfId="2026" priority="246" stopIfTrue="1" operator="equal">
      <formula>"Napkin Hs"</formula>
    </cfRule>
  </conditionalFormatting>
  <conditionalFormatting sqref="C118">
    <cfRule type="cellIs" dxfId="2025" priority="244" stopIfTrue="1" operator="equal">
      <formula>"Napkin Hs"</formula>
    </cfRule>
  </conditionalFormatting>
  <conditionalFormatting sqref="C118">
    <cfRule type="cellIs" dxfId="2024" priority="241" stopIfTrue="1" operator="equal">
      <formula>"Towel"</formula>
    </cfRule>
    <cfRule type="cellIs" dxfId="2023" priority="242" stopIfTrue="1" operator="equal">
      <formula>"Napkin Hs"</formula>
    </cfRule>
  </conditionalFormatting>
  <conditionalFormatting sqref="C118">
    <cfRule type="cellIs" dxfId="2022" priority="243" stopIfTrue="1" operator="equal">
      <formula>"Towel"</formula>
    </cfRule>
  </conditionalFormatting>
  <conditionalFormatting sqref="B120:C120">
    <cfRule type="cellIs" dxfId="2021" priority="239" stopIfTrue="1" operator="equal">
      <formula>"Towel"</formula>
    </cfRule>
    <cfRule type="cellIs" dxfId="2020" priority="240" stopIfTrue="1" operator="equal">
      <formula>"Napkin Hs"</formula>
    </cfRule>
  </conditionalFormatting>
  <conditionalFormatting sqref="C120">
    <cfRule type="cellIs" dxfId="2019" priority="238" stopIfTrue="1" operator="equal">
      <formula>"Napkin Hs"</formula>
    </cfRule>
  </conditionalFormatting>
  <conditionalFormatting sqref="C120">
    <cfRule type="cellIs" dxfId="2018" priority="235" stopIfTrue="1" operator="equal">
      <formula>"Towel"</formula>
    </cfRule>
    <cfRule type="cellIs" dxfId="2017" priority="236" stopIfTrue="1" operator="equal">
      <formula>"Napkin Hs"</formula>
    </cfRule>
  </conditionalFormatting>
  <conditionalFormatting sqref="C120">
    <cfRule type="cellIs" dxfId="2016" priority="237" stopIfTrue="1" operator="equal">
      <formula>"Towel"</formula>
    </cfRule>
  </conditionalFormatting>
  <conditionalFormatting sqref="B118:C118">
    <cfRule type="cellIs" dxfId="2015" priority="233" stopIfTrue="1" operator="equal">
      <formula>"Towel"</formula>
    </cfRule>
    <cfRule type="cellIs" dxfId="2014" priority="234" stopIfTrue="1" operator="equal">
      <formula>"Napkin Hs"</formula>
    </cfRule>
  </conditionalFormatting>
  <conditionalFormatting sqref="C118">
    <cfRule type="cellIs" dxfId="2013" priority="232" stopIfTrue="1" operator="equal">
      <formula>"Napkin Hs"</formula>
    </cfRule>
  </conditionalFormatting>
  <conditionalFormatting sqref="C118">
    <cfRule type="cellIs" dxfId="2012" priority="229" stopIfTrue="1" operator="equal">
      <formula>"Towel"</formula>
    </cfRule>
    <cfRule type="cellIs" dxfId="2011" priority="230" stopIfTrue="1" operator="equal">
      <formula>"Napkin Hs"</formula>
    </cfRule>
  </conditionalFormatting>
  <conditionalFormatting sqref="C118">
    <cfRule type="cellIs" dxfId="2010" priority="231" stopIfTrue="1" operator="equal">
      <formula>"Towel"</formula>
    </cfRule>
  </conditionalFormatting>
  <conditionalFormatting sqref="B118:C118">
    <cfRule type="cellIs" dxfId="2009" priority="227" stopIfTrue="1" operator="equal">
      <formula>"Towel"</formula>
    </cfRule>
    <cfRule type="cellIs" dxfId="2008" priority="228" stopIfTrue="1" operator="equal">
      <formula>"Napkin Hs"</formula>
    </cfRule>
  </conditionalFormatting>
  <conditionalFormatting sqref="C118">
    <cfRule type="cellIs" dxfId="2007" priority="226" stopIfTrue="1" operator="equal">
      <formula>"Napkin Hs"</formula>
    </cfRule>
  </conditionalFormatting>
  <conditionalFormatting sqref="C118">
    <cfRule type="cellIs" dxfId="2006" priority="223" stopIfTrue="1" operator="equal">
      <formula>"Towel"</formula>
    </cfRule>
    <cfRule type="cellIs" dxfId="2005" priority="224" stopIfTrue="1" operator="equal">
      <formula>"Napkin Hs"</formula>
    </cfRule>
  </conditionalFormatting>
  <conditionalFormatting sqref="C118">
    <cfRule type="cellIs" dxfId="2004" priority="225" stopIfTrue="1" operator="equal">
      <formula>"Towel"</formula>
    </cfRule>
  </conditionalFormatting>
  <conditionalFormatting sqref="B126:C126">
    <cfRule type="cellIs" dxfId="2003" priority="221" stopIfTrue="1" operator="equal">
      <formula>"Towel"</formula>
    </cfRule>
    <cfRule type="cellIs" dxfId="2002" priority="222" stopIfTrue="1" operator="equal">
      <formula>"Napkin Hs"</formula>
    </cfRule>
  </conditionalFormatting>
  <conditionalFormatting sqref="C126">
    <cfRule type="cellIs" dxfId="2001" priority="220" stopIfTrue="1" operator="equal">
      <formula>"Napkin Hs"</formula>
    </cfRule>
  </conditionalFormatting>
  <conditionalFormatting sqref="C126">
    <cfRule type="cellIs" dxfId="2000" priority="217" stopIfTrue="1" operator="equal">
      <formula>"Towel"</formula>
    </cfRule>
    <cfRule type="cellIs" dxfId="1999" priority="218" stopIfTrue="1" operator="equal">
      <formula>"Napkin Hs"</formula>
    </cfRule>
  </conditionalFormatting>
  <conditionalFormatting sqref="C126">
    <cfRule type="cellIs" dxfId="1998" priority="219" stopIfTrue="1" operator="equal">
      <formula>"Towel"</formula>
    </cfRule>
  </conditionalFormatting>
  <conditionalFormatting sqref="B124:C124">
    <cfRule type="cellIs" dxfId="1997" priority="215" stopIfTrue="1" operator="equal">
      <formula>"Towel"</formula>
    </cfRule>
    <cfRule type="cellIs" dxfId="1996" priority="216" stopIfTrue="1" operator="equal">
      <formula>"Napkin Hs"</formula>
    </cfRule>
  </conditionalFormatting>
  <conditionalFormatting sqref="C124">
    <cfRule type="cellIs" dxfId="1995" priority="214" stopIfTrue="1" operator="equal">
      <formula>"Napkin Hs"</formula>
    </cfRule>
  </conditionalFormatting>
  <conditionalFormatting sqref="C124">
    <cfRule type="cellIs" dxfId="1994" priority="213" stopIfTrue="1" operator="equal">
      <formula>"Towel"</formula>
    </cfRule>
  </conditionalFormatting>
  <conditionalFormatting sqref="C124">
    <cfRule type="cellIs" dxfId="1993" priority="211" stopIfTrue="1" operator="equal">
      <formula>"Towel"</formula>
    </cfRule>
    <cfRule type="cellIs" dxfId="1992" priority="212" stopIfTrue="1" operator="equal">
      <formula>"Napkin Hs"</formula>
    </cfRule>
  </conditionalFormatting>
  <conditionalFormatting sqref="B123:C123">
    <cfRule type="cellIs" dxfId="1991" priority="209" stopIfTrue="1" operator="equal">
      <formula>"Towel"</formula>
    </cfRule>
    <cfRule type="cellIs" dxfId="1990" priority="210" stopIfTrue="1" operator="equal">
      <formula>"Napkin Hs"</formula>
    </cfRule>
  </conditionalFormatting>
  <conditionalFormatting sqref="C123">
    <cfRule type="cellIs" dxfId="1989" priority="208" stopIfTrue="1" operator="equal">
      <formula>"Napkin Hs"</formula>
    </cfRule>
  </conditionalFormatting>
  <conditionalFormatting sqref="C123">
    <cfRule type="cellIs" dxfId="1988" priority="205" stopIfTrue="1" operator="equal">
      <formula>"Towel"</formula>
    </cfRule>
    <cfRule type="cellIs" dxfId="1987" priority="206" stopIfTrue="1" operator="equal">
      <formula>"Napkin Hs"</formula>
    </cfRule>
  </conditionalFormatting>
  <conditionalFormatting sqref="C123">
    <cfRule type="cellIs" dxfId="1986" priority="207" stopIfTrue="1" operator="equal">
      <formula>"Towel"</formula>
    </cfRule>
  </conditionalFormatting>
  <conditionalFormatting sqref="B125:C125">
    <cfRule type="cellIs" dxfId="1985" priority="203" stopIfTrue="1" operator="equal">
      <formula>"Towel"</formula>
    </cfRule>
    <cfRule type="cellIs" dxfId="1984" priority="204" stopIfTrue="1" operator="equal">
      <formula>"Napkin Hs"</formula>
    </cfRule>
  </conditionalFormatting>
  <conditionalFormatting sqref="C125">
    <cfRule type="cellIs" dxfId="1983" priority="202" stopIfTrue="1" operator="equal">
      <formula>"Napkin Hs"</formula>
    </cfRule>
  </conditionalFormatting>
  <conditionalFormatting sqref="C125">
    <cfRule type="cellIs" dxfId="1982" priority="199" stopIfTrue="1" operator="equal">
      <formula>"Towel"</formula>
    </cfRule>
    <cfRule type="cellIs" dxfId="1981" priority="200" stopIfTrue="1" operator="equal">
      <formula>"Napkin Hs"</formula>
    </cfRule>
  </conditionalFormatting>
  <conditionalFormatting sqref="C125">
    <cfRule type="cellIs" dxfId="1980" priority="201" stopIfTrue="1" operator="equal">
      <formula>"Towel"</formula>
    </cfRule>
  </conditionalFormatting>
  <conditionalFormatting sqref="B124:C124">
    <cfRule type="cellIs" dxfId="1979" priority="197" stopIfTrue="1" operator="equal">
      <formula>"Towel"</formula>
    </cfRule>
    <cfRule type="cellIs" dxfId="1978" priority="198" stopIfTrue="1" operator="equal">
      <formula>"Napkin Hs"</formula>
    </cfRule>
  </conditionalFormatting>
  <conditionalFormatting sqref="C124">
    <cfRule type="cellIs" dxfId="1977" priority="195" stopIfTrue="1" operator="equal">
      <formula>"Towel"</formula>
    </cfRule>
    <cfRule type="cellIs" dxfId="1976" priority="196" stopIfTrue="1" operator="equal">
      <formula>"Napkin Hs"</formula>
    </cfRule>
  </conditionalFormatting>
  <conditionalFormatting sqref="C124">
    <cfRule type="cellIs" dxfId="1975" priority="193" stopIfTrue="1" operator="equal">
      <formula>"Towel"</formula>
    </cfRule>
    <cfRule type="cellIs" dxfId="1974" priority="194" stopIfTrue="1" operator="equal">
      <formula>"Napkin Hs"</formula>
    </cfRule>
  </conditionalFormatting>
  <conditionalFormatting sqref="B123:C123">
    <cfRule type="cellIs" dxfId="1973" priority="191" stopIfTrue="1" operator="equal">
      <formula>"Towel"</formula>
    </cfRule>
    <cfRule type="cellIs" dxfId="1972" priority="192" stopIfTrue="1" operator="equal">
      <formula>"Napkin Hs"</formula>
    </cfRule>
  </conditionalFormatting>
  <conditionalFormatting sqref="C123">
    <cfRule type="cellIs" dxfId="1971" priority="190" stopIfTrue="1" operator="equal">
      <formula>"Napkin Hs"</formula>
    </cfRule>
  </conditionalFormatting>
  <conditionalFormatting sqref="C123">
    <cfRule type="cellIs" dxfId="1970" priority="187" stopIfTrue="1" operator="equal">
      <formula>"Towel"</formula>
    </cfRule>
    <cfRule type="cellIs" dxfId="1969" priority="188" stopIfTrue="1" operator="equal">
      <formula>"Napkin Hs"</formula>
    </cfRule>
  </conditionalFormatting>
  <conditionalFormatting sqref="C123">
    <cfRule type="cellIs" dxfId="1968" priority="189" stopIfTrue="1" operator="equal">
      <formula>"Towel"</formula>
    </cfRule>
  </conditionalFormatting>
  <conditionalFormatting sqref="B125:C125">
    <cfRule type="cellIs" dxfId="1967" priority="185" stopIfTrue="1" operator="equal">
      <formula>"Towel"</formula>
    </cfRule>
    <cfRule type="cellIs" dxfId="1966" priority="186" stopIfTrue="1" operator="equal">
      <formula>"Napkin Hs"</formula>
    </cfRule>
  </conditionalFormatting>
  <conditionalFormatting sqref="C125">
    <cfRule type="cellIs" dxfId="1965" priority="184" stopIfTrue="1" operator="equal">
      <formula>"Napkin Hs"</formula>
    </cfRule>
  </conditionalFormatting>
  <conditionalFormatting sqref="C125">
    <cfRule type="cellIs" dxfId="1964" priority="181" stopIfTrue="1" operator="equal">
      <formula>"Towel"</formula>
    </cfRule>
    <cfRule type="cellIs" dxfId="1963" priority="182" stopIfTrue="1" operator="equal">
      <formula>"Napkin Hs"</formula>
    </cfRule>
  </conditionalFormatting>
  <conditionalFormatting sqref="C125">
    <cfRule type="cellIs" dxfId="1962" priority="183" stopIfTrue="1" operator="equal">
      <formula>"Towel"</formula>
    </cfRule>
  </conditionalFormatting>
  <conditionalFormatting sqref="B123:C123">
    <cfRule type="cellIs" dxfId="1961" priority="179" stopIfTrue="1" operator="equal">
      <formula>"Towel"</formula>
    </cfRule>
    <cfRule type="cellIs" dxfId="1960" priority="180" stopIfTrue="1" operator="equal">
      <formula>"Napkin Hs"</formula>
    </cfRule>
  </conditionalFormatting>
  <conditionalFormatting sqref="C123">
    <cfRule type="cellIs" dxfId="1959" priority="178" stopIfTrue="1" operator="equal">
      <formula>"Napkin Hs"</formula>
    </cfRule>
  </conditionalFormatting>
  <conditionalFormatting sqref="C123">
    <cfRule type="cellIs" dxfId="1958" priority="175" stopIfTrue="1" operator="equal">
      <formula>"Towel"</formula>
    </cfRule>
    <cfRule type="cellIs" dxfId="1957" priority="176" stopIfTrue="1" operator="equal">
      <formula>"Napkin Hs"</formula>
    </cfRule>
  </conditionalFormatting>
  <conditionalFormatting sqref="C123">
    <cfRule type="cellIs" dxfId="1956" priority="177" stopIfTrue="1" operator="equal">
      <formula>"Towel"</formula>
    </cfRule>
  </conditionalFormatting>
  <conditionalFormatting sqref="B123:C123">
    <cfRule type="cellIs" dxfId="1955" priority="173" stopIfTrue="1" operator="equal">
      <formula>"Towel"</formula>
    </cfRule>
    <cfRule type="cellIs" dxfId="1954" priority="174" stopIfTrue="1" operator="equal">
      <formula>"Napkin Hs"</formula>
    </cfRule>
  </conditionalFormatting>
  <conditionalFormatting sqref="C123">
    <cfRule type="cellIs" dxfId="1953" priority="172" stopIfTrue="1" operator="equal">
      <formula>"Napkin Hs"</formula>
    </cfRule>
  </conditionalFormatting>
  <conditionalFormatting sqref="C123">
    <cfRule type="cellIs" dxfId="1952" priority="169" stopIfTrue="1" operator="equal">
      <formula>"Towel"</formula>
    </cfRule>
    <cfRule type="cellIs" dxfId="1951" priority="170" stopIfTrue="1" operator="equal">
      <formula>"Napkin Hs"</formula>
    </cfRule>
  </conditionalFormatting>
  <conditionalFormatting sqref="C123">
    <cfRule type="cellIs" dxfId="1950" priority="171" stopIfTrue="1" operator="equal">
      <formula>"Towel"</formula>
    </cfRule>
  </conditionalFormatting>
  <conditionalFormatting sqref="B129:C129 B133:C134">
    <cfRule type="cellIs" dxfId="1949" priority="167" stopIfTrue="1" operator="equal">
      <formula>"Towel"</formula>
    </cfRule>
    <cfRule type="cellIs" dxfId="1948" priority="168" stopIfTrue="1" operator="equal">
      <formula>"Napkin Hs"</formula>
    </cfRule>
  </conditionalFormatting>
  <conditionalFormatting sqref="C129 C133:C134">
    <cfRule type="cellIs" dxfId="1947" priority="166" stopIfTrue="1" operator="equal">
      <formula>"Napkin Hs"</formula>
    </cfRule>
  </conditionalFormatting>
  <conditionalFormatting sqref="C129 C133:C134">
    <cfRule type="cellIs" dxfId="1946" priority="165" stopIfTrue="1" operator="equal">
      <formula>"Towel"</formula>
    </cfRule>
  </conditionalFormatting>
  <conditionalFormatting sqref="C129 C133:C134">
    <cfRule type="cellIs" dxfId="1945" priority="163" stopIfTrue="1" operator="equal">
      <formula>"Towel"</formula>
    </cfRule>
    <cfRule type="cellIs" dxfId="1944" priority="164" stopIfTrue="1" operator="equal">
      <formula>"Napkin Hs"</formula>
    </cfRule>
  </conditionalFormatting>
  <conditionalFormatting sqref="B127:C128">
    <cfRule type="cellIs" dxfId="1943" priority="161" stopIfTrue="1" operator="equal">
      <formula>"Towel"</formula>
    </cfRule>
    <cfRule type="cellIs" dxfId="1942" priority="162" stopIfTrue="1" operator="equal">
      <formula>"Napkin Hs"</formula>
    </cfRule>
  </conditionalFormatting>
  <conditionalFormatting sqref="C127:C128">
    <cfRule type="cellIs" dxfId="1941" priority="160" stopIfTrue="1" operator="equal">
      <formula>"Napkin Hs"</formula>
    </cfRule>
  </conditionalFormatting>
  <conditionalFormatting sqref="C127:C128">
    <cfRule type="cellIs" dxfId="1940" priority="157" stopIfTrue="1" operator="equal">
      <formula>"Towel"</formula>
    </cfRule>
    <cfRule type="cellIs" dxfId="1939" priority="158" stopIfTrue="1" operator="equal">
      <formula>"Napkin Hs"</formula>
    </cfRule>
  </conditionalFormatting>
  <conditionalFormatting sqref="C127:C128">
    <cfRule type="cellIs" dxfId="1938" priority="159" stopIfTrue="1" operator="equal">
      <formula>"Towel"</formula>
    </cfRule>
  </conditionalFormatting>
  <conditionalFormatting sqref="B130:C131">
    <cfRule type="cellIs" dxfId="1937" priority="155" stopIfTrue="1" operator="equal">
      <formula>"Towel"</formula>
    </cfRule>
    <cfRule type="cellIs" dxfId="1936" priority="156" stopIfTrue="1" operator="equal">
      <formula>"Napkin Hs"</formula>
    </cfRule>
  </conditionalFormatting>
  <conditionalFormatting sqref="C130:C131">
    <cfRule type="cellIs" dxfId="1935" priority="154" stopIfTrue="1" operator="equal">
      <formula>"Napkin Hs"</formula>
    </cfRule>
  </conditionalFormatting>
  <conditionalFormatting sqref="C130:C131">
    <cfRule type="cellIs" dxfId="1934" priority="151" stopIfTrue="1" operator="equal">
      <formula>"Towel"</formula>
    </cfRule>
    <cfRule type="cellIs" dxfId="1933" priority="152" stopIfTrue="1" operator="equal">
      <formula>"Napkin Hs"</formula>
    </cfRule>
  </conditionalFormatting>
  <conditionalFormatting sqref="C130:C131">
    <cfRule type="cellIs" dxfId="1932" priority="153" stopIfTrue="1" operator="equal">
      <formula>"Towel"</formula>
    </cfRule>
  </conditionalFormatting>
  <conditionalFormatting sqref="B130:C131">
    <cfRule type="cellIs" dxfId="1931" priority="149" stopIfTrue="1" operator="equal">
      <formula>"Towel"</formula>
    </cfRule>
    <cfRule type="cellIs" dxfId="1930" priority="150" stopIfTrue="1" operator="equal">
      <formula>"Napkin Hs"</formula>
    </cfRule>
  </conditionalFormatting>
  <conditionalFormatting sqref="C130:C131">
    <cfRule type="cellIs" dxfId="1929" priority="148" stopIfTrue="1" operator="equal">
      <formula>"Napkin Hs"</formula>
    </cfRule>
  </conditionalFormatting>
  <conditionalFormatting sqref="C130:C131">
    <cfRule type="cellIs" dxfId="1928" priority="145" stopIfTrue="1" operator="equal">
      <formula>"Towel"</formula>
    </cfRule>
    <cfRule type="cellIs" dxfId="1927" priority="146" stopIfTrue="1" operator="equal">
      <formula>"Napkin Hs"</formula>
    </cfRule>
  </conditionalFormatting>
  <conditionalFormatting sqref="C130:C131">
    <cfRule type="cellIs" dxfId="1926" priority="147" stopIfTrue="1" operator="equal">
      <formula>"Towel"</formula>
    </cfRule>
  </conditionalFormatting>
  <conditionalFormatting sqref="B128:C128">
    <cfRule type="cellIs" dxfId="1925" priority="143" stopIfTrue="1" operator="equal">
      <formula>"Towel"</formula>
    </cfRule>
    <cfRule type="cellIs" dxfId="1924" priority="144" stopIfTrue="1" operator="equal">
      <formula>"Napkin Hs"</formula>
    </cfRule>
  </conditionalFormatting>
  <conditionalFormatting sqref="C128">
    <cfRule type="cellIs" dxfId="1923" priority="142" stopIfTrue="1" operator="equal">
      <formula>"Napkin Hs"</formula>
    </cfRule>
  </conditionalFormatting>
  <conditionalFormatting sqref="C128">
    <cfRule type="cellIs" dxfId="1922" priority="141" stopIfTrue="1" operator="equal">
      <formula>"Towel"</formula>
    </cfRule>
  </conditionalFormatting>
  <conditionalFormatting sqref="C128">
    <cfRule type="cellIs" dxfId="1921" priority="139" stopIfTrue="1" operator="equal">
      <formula>"Towel"</formula>
    </cfRule>
    <cfRule type="cellIs" dxfId="1920" priority="140" stopIfTrue="1" operator="equal">
      <formula>"Napkin Hs"</formula>
    </cfRule>
  </conditionalFormatting>
  <conditionalFormatting sqref="B127:C127">
    <cfRule type="cellIs" dxfId="1919" priority="137" stopIfTrue="1" operator="equal">
      <formula>"Towel"</formula>
    </cfRule>
    <cfRule type="cellIs" dxfId="1918" priority="138" stopIfTrue="1" operator="equal">
      <formula>"Napkin Hs"</formula>
    </cfRule>
  </conditionalFormatting>
  <conditionalFormatting sqref="C127">
    <cfRule type="cellIs" dxfId="1917" priority="136" stopIfTrue="1" operator="equal">
      <formula>"Napkin Hs"</formula>
    </cfRule>
  </conditionalFormatting>
  <conditionalFormatting sqref="C127">
    <cfRule type="cellIs" dxfId="1916" priority="133" stopIfTrue="1" operator="equal">
      <formula>"Towel"</formula>
    </cfRule>
    <cfRule type="cellIs" dxfId="1915" priority="134" stopIfTrue="1" operator="equal">
      <formula>"Napkin Hs"</formula>
    </cfRule>
  </conditionalFormatting>
  <conditionalFormatting sqref="C127">
    <cfRule type="cellIs" dxfId="1914" priority="135" stopIfTrue="1" operator="equal">
      <formula>"Towel"</formula>
    </cfRule>
  </conditionalFormatting>
  <conditionalFormatting sqref="B129:C129">
    <cfRule type="cellIs" dxfId="1913" priority="131" stopIfTrue="1" operator="equal">
      <formula>"Towel"</formula>
    </cfRule>
    <cfRule type="cellIs" dxfId="1912" priority="132" stopIfTrue="1" operator="equal">
      <formula>"Napkin Hs"</formula>
    </cfRule>
  </conditionalFormatting>
  <conditionalFormatting sqref="C129">
    <cfRule type="cellIs" dxfId="1911" priority="130" stopIfTrue="1" operator="equal">
      <formula>"Napkin Hs"</formula>
    </cfRule>
  </conditionalFormatting>
  <conditionalFormatting sqref="C129">
    <cfRule type="cellIs" dxfId="1910" priority="127" stopIfTrue="1" operator="equal">
      <formula>"Towel"</formula>
    </cfRule>
    <cfRule type="cellIs" dxfId="1909" priority="128" stopIfTrue="1" operator="equal">
      <formula>"Napkin Hs"</formula>
    </cfRule>
  </conditionalFormatting>
  <conditionalFormatting sqref="C129">
    <cfRule type="cellIs" dxfId="1908" priority="129" stopIfTrue="1" operator="equal">
      <formula>"Towel"</formula>
    </cfRule>
  </conditionalFormatting>
  <conditionalFormatting sqref="B128:C128">
    <cfRule type="cellIs" dxfId="1907" priority="125" stopIfTrue="1" operator="equal">
      <formula>"Towel"</formula>
    </cfRule>
    <cfRule type="cellIs" dxfId="1906" priority="126" stopIfTrue="1" operator="equal">
      <formula>"Napkin Hs"</formula>
    </cfRule>
  </conditionalFormatting>
  <conditionalFormatting sqref="C128">
    <cfRule type="cellIs" dxfId="1905" priority="123" stopIfTrue="1" operator="equal">
      <formula>"Towel"</formula>
    </cfRule>
    <cfRule type="cellIs" dxfId="1904" priority="124" stopIfTrue="1" operator="equal">
      <formula>"Napkin Hs"</formula>
    </cfRule>
  </conditionalFormatting>
  <conditionalFormatting sqref="C128">
    <cfRule type="cellIs" dxfId="1903" priority="121" stopIfTrue="1" operator="equal">
      <formula>"Towel"</formula>
    </cfRule>
    <cfRule type="cellIs" dxfId="1902" priority="122" stopIfTrue="1" operator="equal">
      <formula>"Napkin Hs"</formula>
    </cfRule>
  </conditionalFormatting>
  <conditionalFormatting sqref="B127:C127">
    <cfRule type="cellIs" dxfId="1901" priority="119" stopIfTrue="1" operator="equal">
      <formula>"Towel"</formula>
    </cfRule>
    <cfRule type="cellIs" dxfId="1900" priority="120" stopIfTrue="1" operator="equal">
      <formula>"Napkin Hs"</formula>
    </cfRule>
  </conditionalFormatting>
  <conditionalFormatting sqref="C127">
    <cfRule type="cellIs" dxfId="1899" priority="118" stopIfTrue="1" operator="equal">
      <formula>"Napkin Hs"</formula>
    </cfRule>
  </conditionalFormatting>
  <conditionalFormatting sqref="C127">
    <cfRule type="cellIs" dxfId="1898" priority="115" stopIfTrue="1" operator="equal">
      <formula>"Towel"</formula>
    </cfRule>
    <cfRule type="cellIs" dxfId="1897" priority="116" stopIfTrue="1" operator="equal">
      <formula>"Napkin Hs"</formula>
    </cfRule>
  </conditionalFormatting>
  <conditionalFormatting sqref="C127">
    <cfRule type="cellIs" dxfId="1896" priority="117" stopIfTrue="1" operator="equal">
      <formula>"Towel"</formula>
    </cfRule>
  </conditionalFormatting>
  <conditionalFormatting sqref="B129:C129">
    <cfRule type="cellIs" dxfId="1895" priority="113" stopIfTrue="1" operator="equal">
      <formula>"Towel"</formula>
    </cfRule>
    <cfRule type="cellIs" dxfId="1894" priority="114" stopIfTrue="1" operator="equal">
      <formula>"Napkin Hs"</formula>
    </cfRule>
  </conditionalFormatting>
  <conditionalFormatting sqref="C129">
    <cfRule type="cellIs" dxfId="1893" priority="112" stopIfTrue="1" operator="equal">
      <formula>"Napkin Hs"</formula>
    </cfRule>
  </conditionalFormatting>
  <conditionalFormatting sqref="C129">
    <cfRule type="cellIs" dxfId="1892" priority="109" stopIfTrue="1" operator="equal">
      <formula>"Towel"</formula>
    </cfRule>
    <cfRule type="cellIs" dxfId="1891" priority="110" stopIfTrue="1" operator="equal">
      <formula>"Napkin Hs"</formula>
    </cfRule>
  </conditionalFormatting>
  <conditionalFormatting sqref="C129">
    <cfRule type="cellIs" dxfId="1890" priority="111" stopIfTrue="1" operator="equal">
      <formula>"Towel"</formula>
    </cfRule>
  </conditionalFormatting>
  <conditionalFormatting sqref="B127:C127">
    <cfRule type="cellIs" dxfId="1889" priority="107" stopIfTrue="1" operator="equal">
      <formula>"Towel"</formula>
    </cfRule>
    <cfRule type="cellIs" dxfId="1888" priority="108" stopIfTrue="1" operator="equal">
      <formula>"Napkin Hs"</formula>
    </cfRule>
  </conditionalFormatting>
  <conditionalFormatting sqref="C127">
    <cfRule type="cellIs" dxfId="1887" priority="106" stopIfTrue="1" operator="equal">
      <formula>"Napkin Hs"</formula>
    </cfRule>
  </conditionalFormatting>
  <conditionalFormatting sqref="C127">
    <cfRule type="cellIs" dxfId="1886" priority="103" stopIfTrue="1" operator="equal">
      <formula>"Towel"</formula>
    </cfRule>
    <cfRule type="cellIs" dxfId="1885" priority="104" stopIfTrue="1" operator="equal">
      <formula>"Napkin Hs"</formula>
    </cfRule>
  </conditionalFormatting>
  <conditionalFormatting sqref="C127">
    <cfRule type="cellIs" dxfId="1884" priority="105" stopIfTrue="1" operator="equal">
      <formula>"Towel"</formula>
    </cfRule>
  </conditionalFormatting>
  <conditionalFormatting sqref="B127:C127">
    <cfRule type="cellIs" dxfId="1883" priority="101" stopIfTrue="1" operator="equal">
      <formula>"Towel"</formula>
    </cfRule>
    <cfRule type="cellIs" dxfId="1882" priority="102" stopIfTrue="1" operator="equal">
      <formula>"Napkin Hs"</formula>
    </cfRule>
  </conditionalFormatting>
  <conditionalFormatting sqref="C127">
    <cfRule type="cellIs" dxfId="1881" priority="100" stopIfTrue="1" operator="equal">
      <formula>"Napkin Hs"</formula>
    </cfRule>
  </conditionalFormatting>
  <conditionalFormatting sqref="C127">
    <cfRule type="cellIs" dxfId="1880" priority="97" stopIfTrue="1" operator="equal">
      <formula>"Towel"</formula>
    </cfRule>
    <cfRule type="cellIs" dxfId="1879" priority="98" stopIfTrue="1" operator="equal">
      <formula>"Napkin Hs"</formula>
    </cfRule>
  </conditionalFormatting>
  <conditionalFormatting sqref="C127">
    <cfRule type="cellIs" dxfId="1878" priority="99" stopIfTrue="1" operator="equal">
      <formula>"Towel"</formula>
    </cfRule>
  </conditionalFormatting>
  <conditionalFormatting sqref="B131:C131">
    <cfRule type="cellIs" dxfId="1877" priority="95" stopIfTrue="1" operator="equal">
      <formula>"Towel"</formula>
    </cfRule>
    <cfRule type="cellIs" dxfId="1876" priority="96" stopIfTrue="1" operator="equal">
      <formula>"Napkin Hs"</formula>
    </cfRule>
  </conditionalFormatting>
  <conditionalFormatting sqref="C131">
    <cfRule type="cellIs" dxfId="1875" priority="94" stopIfTrue="1" operator="equal">
      <formula>"Napkin Hs"</formula>
    </cfRule>
  </conditionalFormatting>
  <conditionalFormatting sqref="C131">
    <cfRule type="cellIs" dxfId="1874" priority="91" stopIfTrue="1" operator="equal">
      <formula>"Towel"</formula>
    </cfRule>
    <cfRule type="cellIs" dxfId="1873" priority="92" stopIfTrue="1" operator="equal">
      <formula>"Napkin Hs"</formula>
    </cfRule>
  </conditionalFormatting>
  <conditionalFormatting sqref="C131">
    <cfRule type="cellIs" dxfId="1872" priority="93" stopIfTrue="1" operator="equal">
      <formula>"Towel"</formula>
    </cfRule>
  </conditionalFormatting>
  <conditionalFormatting sqref="B134:C134">
    <cfRule type="cellIs" dxfId="1871" priority="89" stopIfTrue="1" operator="equal">
      <formula>"Towel"</formula>
    </cfRule>
    <cfRule type="cellIs" dxfId="1870" priority="90" stopIfTrue="1" operator="equal">
      <formula>"Napkin Hs"</formula>
    </cfRule>
  </conditionalFormatting>
  <conditionalFormatting sqref="C134">
    <cfRule type="cellIs" dxfId="1869" priority="88" stopIfTrue="1" operator="equal">
      <formula>"Napkin Hs"</formula>
    </cfRule>
  </conditionalFormatting>
  <conditionalFormatting sqref="C134">
    <cfRule type="cellIs" dxfId="1868" priority="85" stopIfTrue="1" operator="equal">
      <formula>"Towel"</formula>
    </cfRule>
    <cfRule type="cellIs" dxfId="1867" priority="86" stopIfTrue="1" operator="equal">
      <formula>"Napkin Hs"</formula>
    </cfRule>
  </conditionalFormatting>
  <conditionalFormatting sqref="C134">
    <cfRule type="cellIs" dxfId="1866" priority="87" stopIfTrue="1" operator="equal">
      <formula>"Towel"</formula>
    </cfRule>
  </conditionalFormatting>
  <conditionalFormatting sqref="B134:C134">
    <cfRule type="cellIs" dxfId="1865" priority="83" stopIfTrue="1" operator="equal">
      <formula>"Towel"</formula>
    </cfRule>
    <cfRule type="cellIs" dxfId="1864" priority="84" stopIfTrue="1" operator="equal">
      <formula>"Napkin Hs"</formula>
    </cfRule>
  </conditionalFormatting>
  <conditionalFormatting sqref="C134">
    <cfRule type="cellIs" dxfId="1863" priority="82" stopIfTrue="1" operator="equal">
      <formula>"Napkin Hs"</formula>
    </cfRule>
  </conditionalFormatting>
  <conditionalFormatting sqref="C134">
    <cfRule type="cellIs" dxfId="1862" priority="79" stopIfTrue="1" operator="equal">
      <formula>"Towel"</formula>
    </cfRule>
    <cfRule type="cellIs" dxfId="1861" priority="80" stopIfTrue="1" operator="equal">
      <formula>"Napkin Hs"</formula>
    </cfRule>
  </conditionalFormatting>
  <conditionalFormatting sqref="C134">
    <cfRule type="cellIs" dxfId="1860" priority="81" stopIfTrue="1" operator="equal">
      <formula>"Towel"</formula>
    </cfRule>
  </conditionalFormatting>
  <conditionalFormatting sqref="B131:C131">
    <cfRule type="cellIs" dxfId="1859" priority="77" stopIfTrue="1" operator="equal">
      <formula>"Towel"</formula>
    </cfRule>
    <cfRule type="cellIs" dxfId="1858" priority="78" stopIfTrue="1" operator="equal">
      <formula>"Napkin Hs"</formula>
    </cfRule>
  </conditionalFormatting>
  <conditionalFormatting sqref="C131">
    <cfRule type="cellIs" dxfId="1857" priority="76" stopIfTrue="1" operator="equal">
      <formula>"Napkin Hs"</formula>
    </cfRule>
  </conditionalFormatting>
  <conditionalFormatting sqref="C131">
    <cfRule type="cellIs" dxfId="1856" priority="73" stopIfTrue="1" operator="equal">
      <formula>"Towel"</formula>
    </cfRule>
    <cfRule type="cellIs" dxfId="1855" priority="74" stopIfTrue="1" operator="equal">
      <formula>"Napkin Hs"</formula>
    </cfRule>
  </conditionalFormatting>
  <conditionalFormatting sqref="C131">
    <cfRule type="cellIs" dxfId="1854" priority="75" stopIfTrue="1" operator="equal">
      <formula>"Towel"</formula>
    </cfRule>
  </conditionalFormatting>
  <conditionalFormatting sqref="B133:C133">
    <cfRule type="cellIs" dxfId="1853" priority="71" stopIfTrue="1" operator="equal">
      <formula>"Towel"</formula>
    </cfRule>
    <cfRule type="cellIs" dxfId="1852" priority="72" stopIfTrue="1" operator="equal">
      <formula>"Napkin Hs"</formula>
    </cfRule>
  </conditionalFormatting>
  <conditionalFormatting sqref="C133">
    <cfRule type="cellIs" dxfId="1851" priority="70" stopIfTrue="1" operator="equal">
      <formula>"Napkin Hs"</formula>
    </cfRule>
  </conditionalFormatting>
  <conditionalFormatting sqref="C133">
    <cfRule type="cellIs" dxfId="1850" priority="67" stopIfTrue="1" operator="equal">
      <formula>"Towel"</formula>
    </cfRule>
    <cfRule type="cellIs" dxfId="1849" priority="68" stopIfTrue="1" operator="equal">
      <formula>"Napkin Hs"</formula>
    </cfRule>
  </conditionalFormatting>
  <conditionalFormatting sqref="C133">
    <cfRule type="cellIs" dxfId="1848" priority="69" stopIfTrue="1" operator="equal">
      <formula>"Towel"</formula>
    </cfRule>
  </conditionalFormatting>
  <conditionalFormatting sqref="B131:C131">
    <cfRule type="cellIs" dxfId="1847" priority="65" stopIfTrue="1" operator="equal">
      <formula>"Towel"</formula>
    </cfRule>
    <cfRule type="cellIs" dxfId="1846" priority="66" stopIfTrue="1" operator="equal">
      <formula>"Napkin Hs"</formula>
    </cfRule>
  </conditionalFormatting>
  <conditionalFormatting sqref="C131">
    <cfRule type="cellIs" dxfId="1845" priority="64" stopIfTrue="1" operator="equal">
      <formula>"Napkin Hs"</formula>
    </cfRule>
  </conditionalFormatting>
  <conditionalFormatting sqref="C131">
    <cfRule type="cellIs" dxfId="1844" priority="61" stopIfTrue="1" operator="equal">
      <formula>"Towel"</formula>
    </cfRule>
    <cfRule type="cellIs" dxfId="1843" priority="62" stopIfTrue="1" operator="equal">
      <formula>"Napkin Hs"</formula>
    </cfRule>
  </conditionalFormatting>
  <conditionalFormatting sqref="C131">
    <cfRule type="cellIs" dxfId="1842" priority="63" stopIfTrue="1" operator="equal">
      <formula>"Towel"</formula>
    </cfRule>
  </conditionalFormatting>
  <conditionalFormatting sqref="B133:C133">
    <cfRule type="cellIs" dxfId="1841" priority="59" stopIfTrue="1" operator="equal">
      <formula>"Towel"</formula>
    </cfRule>
    <cfRule type="cellIs" dxfId="1840" priority="60" stopIfTrue="1" operator="equal">
      <formula>"Napkin Hs"</formula>
    </cfRule>
  </conditionalFormatting>
  <conditionalFormatting sqref="C133">
    <cfRule type="cellIs" dxfId="1839" priority="58" stopIfTrue="1" operator="equal">
      <formula>"Napkin Hs"</formula>
    </cfRule>
  </conditionalFormatting>
  <conditionalFormatting sqref="C133">
    <cfRule type="cellIs" dxfId="1838" priority="55" stopIfTrue="1" operator="equal">
      <formula>"Towel"</formula>
    </cfRule>
    <cfRule type="cellIs" dxfId="1837" priority="56" stopIfTrue="1" operator="equal">
      <formula>"Napkin Hs"</formula>
    </cfRule>
  </conditionalFormatting>
  <conditionalFormatting sqref="C133">
    <cfRule type="cellIs" dxfId="1836" priority="57" stopIfTrue="1" operator="equal">
      <formula>"Towel"</formula>
    </cfRule>
  </conditionalFormatting>
  <conditionalFormatting sqref="B131:C131">
    <cfRule type="cellIs" dxfId="1835" priority="53" stopIfTrue="1" operator="equal">
      <formula>"Towel"</formula>
    </cfRule>
    <cfRule type="cellIs" dxfId="1834" priority="54" stopIfTrue="1" operator="equal">
      <formula>"Napkin Hs"</formula>
    </cfRule>
  </conditionalFormatting>
  <conditionalFormatting sqref="C131">
    <cfRule type="cellIs" dxfId="1833" priority="52" stopIfTrue="1" operator="equal">
      <formula>"Napkin Hs"</formula>
    </cfRule>
  </conditionalFormatting>
  <conditionalFormatting sqref="C131">
    <cfRule type="cellIs" dxfId="1832" priority="49" stopIfTrue="1" operator="equal">
      <formula>"Towel"</formula>
    </cfRule>
    <cfRule type="cellIs" dxfId="1831" priority="50" stopIfTrue="1" operator="equal">
      <formula>"Napkin Hs"</formula>
    </cfRule>
  </conditionalFormatting>
  <conditionalFormatting sqref="C131">
    <cfRule type="cellIs" dxfId="1830" priority="51" stopIfTrue="1" operator="equal">
      <formula>"Towel"</formula>
    </cfRule>
  </conditionalFormatting>
  <conditionalFormatting sqref="B131:C131">
    <cfRule type="cellIs" dxfId="1829" priority="47" stopIfTrue="1" operator="equal">
      <formula>"Towel"</formula>
    </cfRule>
    <cfRule type="cellIs" dxfId="1828" priority="48" stopIfTrue="1" operator="equal">
      <formula>"Napkin Hs"</formula>
    </cfRule>
  </conditionalFormatting>
  <conditionalFormatting sqref="C131">
    <cfRule type="cellIs" dxfId="1827" priority="46" stopIfTrue="1" operator="equal">
      <formula>"Napkin Hs"</formula>
    </cfRule>
  </conditionalFormatting>
  <conditionalFormatting sqref="C131">
    <cfRule type="cellIs" dxfId="1826" priority="43" stopIfTrue="1" operator="equal">
      <formula>"Towel"</formula>
    </cfRule>
    <cfRule type="cellIs" dxfId="1825" priority="44" stopIfTrue="1" operator="equal">
      <formula>"Napkin Hs"</formula>
    </cfRule>
  </conditionalFormatting>
  <conditionalFormatting sqref="C131">
    <cfRule type="cellIs" dxfId="1824" priority="45" stopIfTrue="1" operator="equal">
      <formula>"Towel"</formula>
    </cfRule>
  </conditionalFormatting>
  <conditionalFormatting sqref="B132:C132">
    <cfRule type="cellIs" dxfId="1823" priority="41" stopIfTrue="1" operator="equal">
      <formula>"Towel"</formula>
    </cfRule>
    <cfRule type="cellIs" dxfId="1822" priority="42" stopIfTrue="1" operator="equal">
      <formula>"Napkin Hs"</formula>
    </cfRule>
  </conditionalFormatting>
  <conditionalFormatting sqref="C132">
    <cfRule type="cellIs" dxfId="1821" priority="40" stopIfTrue="1" operator="equal">
      <formula>"Napkin Hs"</formula>
    </cfRule>
  </conditionalFormatting>
  <conditionalFormatting sqref="C132">
    <cfRule type="cellIs" dxfId="1820" priority="37" stopIfTrue="1" operator="equal">
      <formula>"Towel"</formula>
    </cfRule>
    <cfRule type="cellIs" dxfId="1819" priority="38" stopIfTrue="1" operator="equal">
      <formula>"Napkin Hs"</formula>
    </cfRule>
  </conditionalFormatting>
  <conditionalFormatting sqref="C132">
    <cfRule type="cellIs" dxfId="1818" priority="39" stopIfTrue="1" operator="equal">
      <formula>"Towel"</formula>
    </cfRule>
  </conditionalFormatting>
  <conditionalFormatting sqref="B132:C132">
    <cfRule type="cellIs" dxfId="1817" priority="35" stopIfTrue="1" operator="equal">
      <formula>"Towel"</formula>
    </cfRule>
    <cfRule type="cellIs" dxfId="1816" priority="36" stopIfTrue="1" operator="equal">
      <formula>"Napkin Hs"</formula>
    </cfRule>
  </conditionalFormatting>
  <conditionalFormatting sqref="C132">
    <cfRule type="cellIs" dxfId="1815" priority="34" stopIfTrue="1" operator="equal">
      <formula>"Napkin Hs"</formula>
    </cfRule>
  </conditionalFormatting>
  <conditionalFormatting sqref="C132">
    <cfRule type="cellIs" dxfId="1814" priority="31" stopIfTrue="1" operator="equal">
      <formula>"Towel"</formula>
    </cfRule>
    <cfRule type="cellIs" dxfId="1813" priority="32" stopIfTrue="1" operator="equal">
      <formula>"Napkin Hs"</formula>
    </cfRule>
  </conditionalFormatting>
  <conditionalFormatting sqref="C132">
    <cfRule type="cellIs" dxfId="1812" priority="33" stopIfTrue="1" operator="equal">
      <formula>"Towel"</formula>
    </cfRule>
  </conditionalFormatting>
  <conditionalFormatting sqref="B132:C132">
    <cfRule type="cellIs" dxfId="1811" priority="29" stopIfTrue="1" operator="equal">
      <formula>"Towel"</formula>
    </cfRule>
    <cfRule type="cellIs" dxfId="1810" priority="30" stopIfTrue="1" operator="equal">
      <formula>"Napkin Hs"</formula>
    </cfRule>
  </conditionalFormatting>
  <conditionalFormatting sqref="C132">
    <cfRule type="cellIs" dxfId="1809" priority="28" stopIfTrue="1" operator="equal">
      <formula>"Napkin Hs"</formula>
    </cfRule>
  </conditionalFormatting>
  <conditionalFormatting sqref="C132">
    <cfRule type="cellIs" dxfId="1808" priority="25" stopIfTrue="1" operator="equal">
      <formula>"Towel"</formula>
    </cfRule>
    <cfRule type="cellIs" dxfId="1807" priority="26" stopIfTrue="1" operator="equal">
      <formula>"Napkin Hs"</formula>
    </cfRule>
  </conditionalFormatting>
  <conditionalFormatting sqref="C132">
    <cfRule type="cellIs" dxfId="1806" priority="27" stopIfTrue="1" operator="equal">
      <formula>"Towel"</formula>
    </cfRule>
  </conditionalFormatting>
  <conditionalFormatting sqref="B132:C132">
    <cfRule type="cellIs" dxfId="1805" priority="23" stopIfTrue="1" operator="equal">
      <formula>"Towel"</formula>
    </cfRule>
    <cfRule type="cellIs" dxfId="1804" priority="24" stopIfTrue="1" operator="equal">
      <formula>"Napkin Hs"</formula>
    </cfRule>
  </conditionalFormatting>
  <conditionalFormatting sqref="C132">
    <cfRule type="cellIs" dxfId="1803" priority="22" stopIfTrue="1" operator="equal">
      <formula>"Napkin Hs"</formula>
    </cfRule>
  </conditionalFormatting>
  <conditionalFormatting sqref="C132">
    <cfRule type="cellIs" dxfId="1802" priority="19" stopIfTrue="1" operator="equal">
      <formula>"Towel"</formula>
    </cfRule>
    <cfRule type="cellIs" dxfId="1801" priority="20" stopIfTrue="1" operator="equal">
      <formula>"Napkin Hs"</formula>
    </cfRule>
  </conditionalFormatting>
  <conditionalFormatting sqref="C132">
    <cfRule type="cellIs" dxfId="1800" priority="21" stopIfTrue="1" operator="equal">
      <formula>"Towel"</formula>
    </cfRule>
  </conditionalFormatting>
  <conditionalFormatting sqref="B132:C132">
    <cfRule type="cellIs" dxfId="1799" priority="17" stopIfTrue="1" operator="equal">
      <formula>"Towel"</formula>
    </cfRule>
    <cfRule type="cellIs" dxfId="1798" priority="18" stopIfTrue="1" operator="equal">
      <formula>"Napkin Hs"</formula>
    </cfRule>
  </conditionalFormatting>
  <conditionalFormatting sqref="C132">
    <cfRule type="cellIs" dxfId="1797" priority="16" stopIfTrue="1" operator="equal">
      <formula>"Napkin Hs"</formula>
    </cfRule>
  </conditionalFormatting>
  <conditionalFormatting sqref="C132">
    <cfRule type="cellIs" dxfId="1796" priority="13" stopIfTrue="1" operator="equal">
      <formula>"Towel"</formula>
    </cfRule>
    <cfRule type="cellIs" dxfId="1795" priority="14" stopIfTrue="1" operator="equal">
      <formula>"Napkin Hs"</formula>
    </cfRule>
  </conditionalFormatting>
  <conditionalFormatting sqref="C132">
    <cfRule type="cellIs" dxfId="1794" priority="15" stopIfTrue="1" operator="equal">
      <formula>"Towel"</formula>
    </cfRule>
  </conditionalFormatting>
  <conditionalFormatting sqref="B132:C132">
    <cfRule type="cellIs" dxfId="1793" priority="11" stopIfTrue="1" operator="equal">
      <formula>"Towel"</formula>
    </cfRule>
    <cfRule type="cellIs" dxfId="1792" priority="12" stopIfTrue="1" operator="equal">
      <formula>"Napkin Hs"</formula>
    </cfRule>
  </conditionalFormatting>
  <conditionalFormatting sqref="C132">
    <cfRule type="cellIs" dxfId="1791" priority="10" stopIfTrue="1" operator="equal">
      <formula>"Napkin Hs"</formula>
    </cfRule>
  </conditionalFormatting>
  <conditionalFormatting sqref="C132">
    <cfRule type="cellIs" dxfId="1790" priority="7" stopIfTrue="1" operator="equal">
      <formula>"Towel"</formula>
    </cfRule>
    <cfRule type="cellIs" dxfId="1789" priority="8" stopIfTrue="1" operator="equal">
      <formula>"Napkin Hs"</formula>
    </cfRule>
  </conditionalFormatting>
  <conditionalFormatting sqref="C132">
    <cfRule type="cellIs" dxfId="1788" priority="9" stopIfTrue="1" operator="equal">
      <formula>"Towel"</formula>
    </cfRule>
  </conditionalFormatting>
  <conditionalFormatting sqref="B132:C132">
    <cfRule type="cellIs" dxfId="1787" priority="5" stopIfTrue="1" operator="equal">
      <formula>"Towel"</formula>
    </cfRule>
    <cfRule type="cellIs" dxfId="1786" priority="6" stopIfTrue="1" operator="equal">
      <formula>"Napkin Hs"</formula>
    </cfRule>
  </conditionalFormatting>
  <conditionalFormatting sqref="C132">
    <cfRule type="cellIs" dxfId="1785" priority="4" stopIfTrue="1" operator="equal">
      <formula>"Napkin Hs"</formula>
    </cfRule>
  </conditionalFormatting>
  <conditionalFormatting sqref="C132">
    <cfRule type="cellIs" dxfId="1784" priority="1" stopIfTrue="1" operator="equal">
      <formula>"Towel"</formula>
    </cfRule>
    <cfRule type="cellIs" dxfId="1783" priority="2" stopIfTrue="1" operator="equal">
      <formula>"Napkin Hs"</formula>
    </cfRule>
  </conditionalFormatting>
  <conditionalFormatting sqref="C132">
    <cfRule type="cellIs" dxfId="1782" priority="3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23"/>
  <sheetViews>
    <sheetView zoomScale="90" zoomScaleNormal="90" workbookViewId="0">
      <pane xSplit="6" ySplit="6" topLeftCell="AQ133" activePane="bottomRight" state="frozen"/>
      <selection pane="topRight" activeCell="F1" sqref="F1"/>
      <selection pane="bottomLeft" activeCell="A7" sqref="A7"/>
      <selection pane="bottomRight" activeCell="A141" sqref="A141"/>
    </sheetView>
  </sheetViews>
  <sheetFormatPr defaultColWidth="10.28515625" defaultRowHeight="12" x14ac:dyDescent="0.2"/>
  <cols>
    <col min="1" max="1" width="12.28515625" style="114" customWidth="1"/>
    <col min="2" max="3" width="14.140625" style="114" customWidth="1"/>
    <col min="4" max="4" width="10.28515625" style="114" customWidth="1"/>
    <col min="5" max="5" width="7.5703125" style="114" bestFit="1" customWidth="1"/>
    <col min="6" max="6" width="7" style="129" customWidth="1"/>
    <col min="7" max="9" width="10.28515625" style="114" customWidth="1"/>
    <col min="10" max="11" width="10.28515625" style="125" customWidth="1"/>
    <col min="12" max="13" width="12.7109375" style="130" customWidth="1"/>
    <col min="14" max="15" width="10.28515625" style="114" customWidth="1"/>
    <col min="16" max="16" width="16.85546875" style="114" bestFit="1" customWidth="1"/>
    <col min="17" max="17" width="12.7109375" style="58" customWidth="1"/>
    <col min="18" max="19" width="10.28515625" style="114" customWidth="1"/>
    <col min="20" max="20" width="10.7109375" style="114" customWidth="1"/>
    <col min="21" max="21" width="10.28515625" style="114" customWidth="1"/>
    <col min="22" max="22" width="12.28515625" style="114" customWidth="1"/>
    <col min="23" max="23" width="13" style="114" customWidth="1"/>
    <col min="24" max="24" width="10.28515625" style="114" customWidth="1"/>
    <col min="25" max="25" width="10.140625" style="114" customWidth="1"/>
    <col min="26" max="28" width="10.28515625" style="114" customWidth="1"/>
    <col min="29" max="29" width="12" style="114" customWidth="1"/>
    <col min="30" max="30" width="11.42578125" style="114" bestFit="1" customWidth="1"/>
    <col min="31" max="31" width="50" style="114" customWidth="1"/>
    <col min="32" max="37" width="10.28515625" style="114" customWidth="1"/>
    <col min="38" max="39" width="11.7109375" style="114" customWidth="1"/>
    <col min="40" max="41" width="10.28515625" style="114" customWidth="1"/>
    <col min="42" max="42" width="12.42578125" style="114" customWidth="1"/>
    <col min="43" max="43" width="12.5703125" style="114" customWidth="1"/>
    <col min="44" max="44" width="29.7109375" style="114" bestFit="1" customWidth="1"/>
    <col min="45" max="16384" width="10.28515625" style="114"/>
  </cols>
  <sheetData>
    <row r="1" spans="1:58" s="111" customFormat="1" ht="15.75" x14ac:dyDescent="0.25">
      <c r="A1" s="110" t="s">
        <v>206</v>
      </c>
      <c r="G1" s="40"/>
      <c r="H1" s="40"/>
      <c r="I1" s="40"/>
      <c r="J1" s="41"/>
      <c r="K1" s="41"/>
      <c r="L1" s="112"/>
      <c r="M1" s="112"/>
      <c r="O1" s="40"/>
      <c r="P1" s="42"/>
      <c r="Q1" s="40"/>
      <c r="R1" s="42"/>
      <c r="S1" s="42"/>
      <c r="W1" s="42"/>
      <c r="X1" s="43"/>
      <c r="Y1" s="43"/>
      <c r="Z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</row>
    <row r="2" spans="1:58" s="111" customFormat="1" x14ac:dyDescent="0.2">
      <c r="A2" s="113"/>
      <c r="G2" s="40"/>
      <c r="H2" s="40"/>
      <c r="I2" s="40"/>
      <c r="J2" s="41"/>
      <c r="K2" s="41"/>
      <c r="L2" s="112"/>
      <c r="M2" s="112"/>
      <c r="O2" s="40"/>
      <c r="P2" s="42"/>
      <c r="Q2" s="40"/>
      <c r="R2" s="42"/>
      <c r="S2" s="42"/>
      <c r="W2" s="42"/>
      <c r="X2" s="43"/>
      <c r="Y2" s="43"/>
      <c r="Z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</row>
    <row r="3" spans="1:58" ht="24" customHeight="1" x14ac:dyDescent="0.35">
      <c r="A3" s="267" t="s">
        <v>58</v>
      </c>
      <c r="B3" s="267" t="s">
        <v>59</v>
      </c>
      <c r="C3" s="267" t="s">
        <v>60</v>
      </c>
      <c r="D3" s="267" t="s">
        <v>61</v>
      </c>
      <c r="E3" s="267" t="s">
        <v>62</v>
      </c>
      <c r="F3" s="267" t="s">
        <v>63</v>
      </c>
      <c r="G3" s="272" t="s">
        <v>64</v>
      </c>
      <c r="H3" s="273"/>
      <c r="I3" s="273"/>
      <c r="J3" s="273"/>
      <c r="K3" s="274"/>
      <c r="L3" s="278" t="s">
        <v>65</v>
      </c>
      <c r="M3" s="279"/>
      <c r="N3" s="280"/>
      <c r="O3" s="284" t="s">
        <v>66</v>
      </c>
      <c r="P3" s="286" t="s">
        <v>67</v>
      </c>
      <c r="Q3" s="284" t="s">
        <v>68</v>
      </c>
      <c r="R3" s="269" t="s">
        <v>69</v>
      </c>
      <c r="S3" s="269" t="s">
        <v>70</v>
      </c>
      <c r="T3" s="267" t="s">
        <v>71</v>
      </c>
      <c r="U3" s="267" t="s">
        <v>72</v>
      </c>
      <c r="V3" s="267" t="s">
        <v>73</v>
      </c>
      <c r="W3" s="269" t="s">
        <v>74</v>
      </c>
      <c r="X3" s="289" t="s">
        <v>75</v>
      </c>
      <c r="Y3" s="289" t="s">
        <v>181</v>
      </c>
      <c r="Z3" s="269" t="s">
        <v>76</v>
      </c>
      <c r="AA3" s="267" t="s">
        <v>77</v>
      </c>
      <c r="AB3" s="267" t="s">
        <v>78</v>
      </c>
      <c r="AC3" s="267" t="s">
        <v>79</v>
      </c>
      <c r="AD3" s="267" t="s">
        <v>80</v>
      </c>
      <c r="AE3" s="267" t="s">
        <v>81</v>
      </c>
      <c r="AF3" s="298" t="s">
        <v>82</v>
      </c>
      <c r="AG3" s="298"/>
      <c r="AH3" s="298"/>
      <c r="AI3" s="298"/>
      <c r="AJ3" s="298"/>
      <c r="AK3" s="298"/>
      <c r="AL3" s="298"/>
      <c r="AM3" s="299" t="s">
        <v>83</v>
      </c>
      <c r="AN3" s="302" t="s">
        <v>84</v>
      </c>
      <c r="AO3" s="302"/>
      <c r="AP3" s="302"/>
      <c r="AQ3" s="302"/>
      <c r="AR3" s="302"/>
      <c r="AS3" s="303" t="s">
        <v>11</v>
      </c>
      <c r="AT3" s="292" t="s">
        <v>160</v>
      </c>
      <c r="AU3" s="293"/>
      <c r="AV3" s="328" t="s">
        <v>86</v>
      </c>
      <c r="AW3" s="329"/>
      <c r="AX3" s="330" t="s">
        <v>86</v>
      </c>
      <c r="AY3" s="331"/>
      <c r="AZ3" s="318" t="s">
        <v>194</v>
      </c>
      <c r="BA3" s="297" t="s">
        <v>85</v>
      </c>
      <c r="BB3" s="341" t="s">
        <v>87</v>
      </c>
      <c r="BC3" s="341" t="s">
        <v>88</v>
      </c>
      <c r="BD3" s="323" t="s">
        <v>199</v>
      </c>
      <c r="BE3" s="318" t="s">
        <v>200</v>
      </c>
      <c r="BF3" s="341" t="s">
        <v>201</v>
      </c>
    </row>
    <row r="4" spans="1:58" ht="12" customHeight="1" x14ac:dyDescent="0.2">
      <c r="A4" s="268"/>
      <c r="B4" s="268"/>
      <c r="C4" s="268"/>
      <c r="D4" s="268"/>
      <c r="E4" s="268"/>
      <c r="F4" s="268"/>
      <c r="G4" s="275"/>
      <c r="H4" s="276"/>
      <c r="I4" s="276"/>
      <c r="J4" s="276"/>
      <c r="K4" s="277"/>
      <c r="L4" s="281"/>
      <c r="M4" s="282"/>
      <c r="N4" s="283"/>
      <c r="O4" s="285"/>
      <c r="P4" s="287"/>
      <c r="Q4" s="285"/>
      <c r="R4" s="270"/>
      <c r="S4" s="270"/>
      <c r="T4" s="268"/>
      <c r="U4" s="268"/>
      <c r="V4" s="268"/>
      <c r="W4" s="270"/>
      <c r="X4" s="290"/>
      <c r="Y4" s="290"/>
      <c r="Z4" s="270"/>
      <c r="AA4" s="268"/>
      <c r="AB4" s="268"/>
      <c r="AC4" s="268"/>
      <c r="AD4" s="268"/>
      <c r="AE4" s="268"/>
      <c r="AF4" s="311" t="s">
        <v>89</v>
      </c>
      <c r="AG4" s="312"/>
      <c r="AH4" s="313"/>
      <c r="AI4" s="287" t="s">
        <v>90</v>
      </c>
      <c r="AJ4" s="287" t="s">
        <v>91</v>
      </c>
      <c r="AK4" s="287" t="s">
        <v>93</v>
      </c>
      <c r="AL4" s="287" t="s">
        <v>92</v>
      </c>
      <c r="AM4" s="300"/>
      <c r="AN4" s="296" t="s">
        <v>94</v>
      </c>
      <c r="AO4" s="296" t="s">
        <v>91</v>
      </c>
      <c r="AP4" s="296" t="s">
        <v>95</v>
      </c>
      <c r="AQ4" s="296" t="s">
        <v>92</v>
      </c>
      <c r="AR4" s="297" t="s">
        <v>96</v>
      </c>
      <c r="AS4" s="303"/>
      <c r="AT4" s="294"/>
      <c r="AU4" s="295"/>
      <c r="AV4" s="164" t="s">
        <v>192</v>
      </c>
      <c r="AW4" s="164" t="s">
        <v>97</v>
      </c>
      <c r="AX4" s="251" t="s">
        <v>192</v>
      </c>
      <c r="AY4" s="165" t="s">
        <v>97</v>
      </c>
      <c r="AZ4" s="319"/>
      <c r="BA4" s="297"/>
      <c r="BB4" s="341"/>
      <c r="BC4" s="341"/>
      <c r="BD4" s="324"/>
      <c r="BE4" s="319"/>
      <c r="BF4" s="341"/>
    </row>
    <row r="5" spans="1:58" s="115" customFormat="1" ht="48" x14ac:dyDescent="0.25">
      <c r="A5" s="268"/>
      <c r="B5" s="268"/>
      <c r="C5" s="271"/>
      <c r="D5" s="268"/>
      <c r="E5" s="268"/>
      <c r="F5" s="268"/>
      <c r="G5" s="253" t="s">
        <v>98</v>
      </c>
      <c r="H5" s="249" t="s">
        <v>99</v>
      </c>
      <c r="I5" s="153" t="s">
        <v>100</v>
      </c>
      <c r="J5" s="154" t="s">
        <v>101</v>
      </c>
      <c r="K5" s="154" t="s">
        <v>102</v>
      </c>
      <c r="L5" s="155" t="s">
        <v>103</v>
      </c>
      <c r="M5" s="155" t="s">
        <v>104</v>
      </c>
      <c r="N5" s="249" t="s">
        <v>105</v>
      </c>
      <c r="O5" s="285"/>
      <c r="P5" s="288"/>
      <c r="Q5" s="285"/>
      <c r="R5" s="270"/>
      <c r="S5" s="270"/>
      <c r="T5" s="268"/>
      <c r="U5" s="268"/>
      <c r="V5" s="268"/>
      <c r="W5" s="270"/>
      <c r="X5" s="290"/>
      <c r="Y5" s="291"/>
      <c r="Z5" s="270"/>
      <c r="AA5" s="268"/>
      <c r="AB5" s="271"/>
      <c r="AC5" s="268"/>
      <c r="AD5" s="271"/>
      <c r="AE5" s="268"/>
      <c r="AF5" s="44" t="s">
        <v>106</v>
      </c>
      <c r="AG5" s="250" t="s">
        <v>107</v>
      </c>
      <c r="AH5" s="250" t="s">
        <v>108</v>
      </c>
      <c r="AI5" s="288"/>
      <c r="AJ5" s="288"/>
      <c r="AK5" s="288"/>
      <c r="AL5" s="288"/>
      <c r="AM5" s="301"/>
      <c r="AN5" s="286"/>
      <c r="AO5" s="286"/>
      <c r="AP5" s="286"/>
      <c r="AQ5" s="286"/>
      <c r="AR5" s="269"/>
      <c r="AS5" s="304"/>
      <c r="AT5" s="252" t="s">
        <v>182</v>
      </c>
      <c r="AU5" s="252" t="s">
        <v>183</v>
      </c>
      <c r="AV5" s="254" t="s">
        <v>184</v>
      </c>
      <c r="AW5" s="254" t="s">
        <v>184</v>
      </c>
      <c r="AX5" s="251" t="s">
        <v>173</v>
      </c>
      <c r="AY5" s="251" t="s">
        <v>173</v>
      </c>
      <c r="AZ5" s="320"/>
      <c r="BA5" s="269"/>
      <c r="BB5" s="267"/>
      <c r="BC5" s="267"/>
      <c r="BD5" s="325"/>
      <c r="BE5" s="320"/>
      <c r="BF5" s="267"/>
    </row>
    <row r="6" spans="1:58" ht="12.95" customHeight="1" x14ac:dyDescent="0.2">
      <c r="A6" s="117">
        <f>+[6]Report1!A9</f>
        <v>45962</v>
      </c>
      <c r="B6" s="118" t="s">
        <v>168</v>
      </c>
      <c r="C6" s="119">
        <f>(M6*E6*O6*Q6)/100000000</f>
        <v>51.996130791905557</v>
      </c>
      <c r="D6" s="118" t="s">
        <v>196</v>
      </c>
      <c r="E6" s="37">
        <v>13.5</v>
      </c>
      <c r="F6" s="37">
        <v>1</v>
      </c>
      <c r="G6" s="120">
        <v>1230</v>
      </c>
      <c r="H6" s="203">
        <f>+N6</f>
        <v>0.14809880693246646</v>
      </c>
      <c r="I6" s="45">
        <v>0.88</v>
      </c>
      <c r="J6" s="46">
        <f>E6*G6*(1-H6)*1440/1000000*2.7</f>
        <v>54.998945480726306</v>
      </c>
      <c r="K6" s="46">
        <f>(IF(G6&lt;L6,L6,G6)*(1-IF(H6&lt;N6,H6,N6))*E6*O6*Q6)/100000000</f>
        <v>52.24899820668999</v>
      </c>
      <c r="L6" s="122">
        <v>1224.0472175379427</v>
      </c>
      <c r="M6" s="122">
        <v>1042.7672849915682</v>
      </c>
      <c r="N6" s="47">
        <f>1-(M6/L6)</f>
        <v>0.14809880693246646</v>
      </c>
      <c r="O6" s="48">
        <f>+'[6]Trim Rwd'!H4</f>
        <v>256.5</v>
      </c>
      <c r="P6" s="49">
        <f>O6*(Q6-R6-S6)</f>
        <v>298309.5</v>
      </c>
      <c r="Q6" s="48">
        <v>1440</v>
      </c>
      <c r="R6" s="123">
        <v>254</v>
      </c>
      <c r="S6" s="123">
        <v>23</v>
      </c>
      <c r="T6" s="50">
        <f>E6*M6*O6*Q6/100000000</f>
        <v>51.996130791905557</v>
      </c>
      <c r="U6" s="50">
        <f>E6*M6*O6*(Q6-R6-S6)/100000000</f>
        <v>41.994097299295952</v>
      </c>
      <c r="V6" s="50">
        <f>E6*G6*(1-N6)*O6/100*(R6+S6)/1000000</f>
        <v>10.050675349481338</v>
      </c>
      <c r="W6" s="50">
        <f>+'[6]1'!K7/1000</f>
        <v>42.732999999999997</v>
      </c>
      <c r="X6" s="51">
        <f>SUM(W6:W9)/SUM(K6:K9)</f>
        <v>0.81787214045624401</v>
      </c>
      <c r="Y6" s="50">
        <v>0</v>
      </c>
      <c r="Z6" s="50">
        <f>+'[6]1'!D34/1000</f>
        <v>0</v>
      </c>
      <c r="AA6" s="53">
        <f>SUM(U6:U9)-SUM(W6:W9)-SUM(Z6:Z9)-SUM(Y6:Y9)</f>
        <v>-0.7389027007040454</v>
      </c>
      <c r="AB6" s="53">
        <f>(SUM(K6:K9)-SUM(W6:W9)-SUM(Y6:Y9)-SUM(Z6:Z9)-SUM(AC6:AC9)-SUM(V6:V9))-AA6</f>
        <v>-4.8641856871732614E-2</v>
      </c>
      <c r="AC6" s="50">
        <f>K6-T6</f>
        <v>0.25286741478443275</v>
      </c>
      <c r="AD6" s="50">
        <f>+AM6+BA6</f>
        <v>0</v>
      </c>
      <c r="AE6" s="101" t="s">
        <v>110</v>
      </c>
      <c r="AF6" s="50">
        <v>0</v>
      </c>
      <c r="AG6" s="50"/>
      <c r="AH6" s="50"/>
      <c r="AI6" s="54"/>
      <c r="AJ6" s="50"/>
      <c r="AK6" s="50"/>
      <c r="AL6" s="50"/>
      <c r="AM6" s="50">
        <f>SUM(AF6:AL6)+AT6+AV6+AX6</f>
        <v>0</v>
      </c>
      <c r="AN6" s="50"/>
      <c r="AO6" s="50"/>
      <c r="AP6" s="50"/>
      <c r="AQ6" s="50"/>
      <c r="AR6" s="50">
        <f>SUM(AN6:AQ6)</f>
        <v>0</v>
      </c>
      <c r="AS6" s="50"/>
      <c r="AT6" s="50"/>
      <c r="AU6" s="50"/>
      <c r="AV6" s="50"/>
      <c r="AW6" s="50"/>
      <c r="AX6" s="50"/>
      <c r="AY6" s="50"/>
      <c r="AZ6" s="50"/>
      <c r="BA6" s="50">
        <f>+AR6+AS6+AU6+AW6+AY6+AZ6</f>
        <v>0</v>
      </c>
      <c r="BB6" s="124">
        <v>0</v>
      </c>
      <c r="BC6" s="116"/>
      <c r="BD6" s="116"/>
      <c r="BE6" s="124"/>
      <c r="BF6" s="116">
        <v>3</v>
      </c>
    </row>
    <row r="7" spans="1:58" ht="12.95" customHeight="1" x14ac:dyDescent="0.2">
      <c r="A7" s="117"/>
      <c r="B7" s="118"/>
      <c r="C7" s="119"/>
      <c r="D7" s="118"/>
      <c r="E7" s="37"/>
      <c r="F7" s="37"/>
      <c r="G7" s="120"/>
      <c r="H7" s="203"/>
      <c r="I7" s="45"/>
      <c r="J7" s="46"/>
      <c r="K7" s="46"/>
      <c r="L7" s="122"/>
      <c r="M7" s="122"/>
      <c r="N7" s="47"/>
      <c r="O7" s="48"/>
      <c r="P7" s="49"/>
      <c r="Q7" s="48"/>
      <c r="R7" s="123"/>
      <c r="S7" s="123"/>
      <c r="T7" s="50"/>
      <c r="U7" s="50"/>
      <c r="V7" s="50"/>
      <c r="W7" s="50"/>
      <c r="X7" s="55"/>
      <c r="Y7" s="52"/>
      <c r="Z7" s="50"/>
      <c r="AA7" s="50"/>
      <c r="AB7" s="50"/>
      <c r="AC7" s="50"/>
      <c r="AD7" s="50">
        <f t="shared" ref="AD7:AD9" si="0">+AM7+BA7</f>
        <v>3</v>
      </c>
      <c r="AE7" s="101" t="s">
        <v>125</v>
      </c>
      <c r="AF7" s="50"/>
      <c r="AG7" s="50">
        <v>3</v>
      </c>
      <c r="AH7" s="50"/>
      <c r="AI7" s="54"/>
      <c r="AJ7" s="50"/>
      <c r="AK7" s="50"/>
      <c r="AL7" s="50"/>
      <c r="AM7" s="50">
        <f t="shared" ref="AM7:AM8" si="1">SUM(AF7:AL7)+AT7+AV7+AX7</f>
        <v>3</v>
      </c>
      <c r="AN7" s="125"/>
      <c r="AO7" s="50"/>
      <c r="AP7" s="50"/>
      <c r="AQ7" s="50"/>
      <c r="AR7" s="50">
        <f t="shared" ref="AR7:AR8" si="2">SUM(AN7:AQ7)</f>
        <v>0</v>
      </c>
      <c r="AS7" s="50"/>
      <c r="AT7" s="50"/>
      <c r="AU7" s="50"/>
      <c r="AV7" s="50"/>
      <c r="AW7" s="50"/>
      <c r="AX7" s="50"/>
      <c r="AY7" s="50"/>
      <c r="AZ7" s="50"/>
      <c r="BA7" s="50">
        <f t="shared" ref="BA7:BA9" si="3">+AR7+AS7+AU7+AW7+AY7+AZ7</f>
        <v>0</v>
      </c>
      <c r="BB7" s="126"/>
      <c r="BC7" s="116">
        <v>3</v>
      </c>
      <c r="BD7" s="116"/>
      <c r="BE7" s="126"/>
      <c r="BF7" s="116"/>
    </row>
    <row r="8" spans="1:58" ht="12.95" customHeight="1" x14ac:dyDescent="0.2">
      <c r="A8" s="117"/>
      <c r="B8" s="118"/>
      <c r="C8" s="119"/>
      <c r="D8" s="118"/>
      <c r="E8" s="37"/>
      <c r="F8" s="37"/>
      <c r="G8" s="127"/>
      <c r="H8" s="203"/>
      <c r="I8" s="45"/>
      <c r="J8" s="46"/>
      <c r="K8" s="46"/>
      <c r="L8" s="122"/>
      <c r="M8" s="122"/>
      <c r="N8" s="47"/>
      <c r="O8" s="48"/>
      <c r="P8" s="49"/>
      <c r="Q8" s="48"/>
      <c r="R8" s="123"/>
      <c r="S8" s="123"/>
      <c r="T8" s="50"/>
      <c r="U8" s="50"/>
      <c r="V8" s="50"/>
      <c r="W8" s="50"/>
      <c r="X8" s="55"/>
      <c r="Y8" s="52"/>
      <c r="Z8" s="50"/>
      <c r="AA8" s="50"/>
      <c r="AB8" s="50"/>
      <c r="AC8" s="50"/>
      <c r="AD8" s="50">
        <f t="shared" si="0"/>
        <v>20</v>
      </c>
      <c r="AE8" s="101" t="s">
        <v>207</v>
      </c>
      <c r="AF8" s="124"/>
      <c r="AG8" s="124"/>
      <c r="AH8" s="124">
        <v>20</v>
      </c>
      <c r="AJ8" s="50"/>
      <c r="AK8" s="50"/>
      <c r="AL8" s="50"/>
      <c r="AM8" s="50">
        <f t="shared" si="1"/>
        <v>20</v>
      </c>
      <c r="AN8" s="50"/>
      <c r="AO8" s="50"/>
      <c r="AP8" s="50"/>
      <c r="AQ8" s="50"/>
      <c r="AR8" s="50">
        <f t="shared" si="2"/>
        <v>0</v>
      </c>
      <c r="AS8" s="50"/>
      <c r="AT8" s="50"/>
      <c r="AU8" s="50"/>
      <c r="AV8" s="50"/>
      <c r="AW8" s="50"/>
      <c r="AX8" s="50"/>
      <c r="AY8" s="50"/>
      <c r="AZ8" s="50"/>
      <c r="BA8" s="50">
        <f t="shared" si="3"/>
        <v>0</v>
      </c>
      <c r="BB8" s="124"/>
      <c r="BC8" s="146"/>
      <c r="BD8" s="146"/>
      <c r="BE8" s="124"/>
      <c r="BF8" s="146"/>
    </row>
    <row r="9" spans="1:58" ht="12.95" customHeight="1" x14ac:dyDescent="0.2">
      <c r="A9" s="117"/>
      <c r="B9" s="118"/>
      <c r="C9" s="119"/>
      <c r="D9" s="118"/>
      <c r="E9" s="37"/>
      <c r="F9" s="37"/>
      <c r="G9" s="127"/>
      <c r="H9" s="203"/>
      <c r="I9" s="45"/>
      <c r="J9" s="46"/>
      <c r="K9" s="46"/>
      <c r="L9" s="122"/>
      <c r="M9" s="122"/>
      <c r="N9" s="47"/>
      <c r="O9" s="48"/>
      <c r="P9" s="49"/>
      <c r="Q9" s="48"/>
      <c r="R9" s="123"/>
      <c r="S9" s="123"/>
      <c r="T9" s="50"/>
      <c r="U9" s="50"/>
      <c r="V9" s="50"/>
      <c r="W9" s="50"/>
      <c r="X9" s="55"/>
      <c r="Y9" s="52"/>
      <c r="Z9" s="50"/>
      <c r="AA9" s="50"/>
      <c r="AB9" s="50"/>
      <c r="AC9" s="50"/>
      <c r="AD9" s="50">
        <f t="shared" si="0"/>
        <v>254</v>
      </c>
      <c r="AE9" s="101" t="s">
        <v>271</v>
      </c>
      <c r="AF9" s="124"/>
      <c r="AG9" s="124"/>
      <c r="AH9" s="124"/>
      <c r="AJ9" s="50"/>
      <c r="AK9" s="50"/>
      <c r="AL9" s="50"/>
      <c r="AM9" s="50">
        <f t="shared" ref="AM9" si="4">SUM(AF9:AL9)+AT9+AV9+AX9</f>
        <v>0</v>
      </c>
      <c r="AN9" s="50">
        <v>254</v>
      </c>
      <c r="AO9" s="50"/>
      <c r="AP9" s="50"/>
      <c r="AQ9" s="50"/>
      <c r="AR9" s="50">
        <f t="shared" ref="AR9" si="5">SUM(AN9:AQ9)</f>
        <v>254</v>
      </c>
      <c r="AS9" s="50"/>
      <c r="AT9" s="50"/>
      <c r="AU9" s="50"/>
      <c r="AV9" s="50"/>
      <c r="AW9" s="50"/>
      <c r="AX9" s="50"/>
      <c r="AY9" s="50"/>
      <c r="AZ9" s="50"/>
      <c r="BA9" s="50">
        <f t="shared" si="3"/>
        <v>254</v>
      </c>
      <c r="BB9" s="124"/>
      <c r="BC9" s="146"/>
      <c r="BD9" s="146"/>
      <c r="BE9" s="124"/>
      <c r="BF9" s="146"/>
    </row>
    <row r="10" spans="1:58" ht="12.95" customHeight="1" x14ac:dyDescent="0.2">
      <c r="A10" s="117"/>
      <c r="B10" s="118"/>
      <c r="C10" s="119"/>
      <c r="D10" s="118"/>
      <c r="E10" s="37"/>
      <c r="F10" s="37"/>
      <c r="G10" s="127"/>
      <c r="H10" s="203"/>
      <c r="I10" s="45"/>
      <c r="J10" s="46"/>
      <c r="K10" s="46"/>
      <c r="L10" s="122"/>
      <c r="M10" s="122"/>
      <c r="N10" s="47"/>
      <c r="O10" s="48"/>
      <c r="P10" s="49"/>
      <c r="Q10" s="48"/>
      <c r="R10" s="123"/>
      <c r="S10" s="123"/>
      <c r="T10" s="50"/>
      <c r="U10" s="50"/>
      <c r="V10" s="50"/>
      <c r="W10" s="50"/>
      <c r="X10" s="55"/>
      <c r="Y10" s="52"/>
      <c r="Z10" s="50"/>
      <c r="AA10" s="50"/>
      <c r="AB10" s="50"/>
      <c r="AC10" s="50"/>
      <c r="AD10" s="50"/>
      <c r="AE10" s="101"/>
      <c r="AF10" s="124"/>
      <c r="AG10" s="124"/>
      <c r="AH10" s="124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124"/>
      <c r="BC10" s="146"/>
      <c r="BD10" s="146"/>
      <c r="BE10" s="124"/>
      <c r="BF10" s="146"/>
    </row>
    <row r="11" spans="1:58" ht="12.95" customHeight="1" x14ac:dyDescent="0.2">
      <c r="A11" s="117">
        <v>45963</v>
      </c>
      <c r="B11" s="118" t="s">
        <v>168</v>
      </c>
      <c r="C11" s="119">
        <f>(M11*E11*O11*Q11)/100000000</f>
        <v>49.945194981818183</v>
      </c>
      <c r="D11" s="118" t="s">
        <v>196</v>
      </c>
      <c r="E11" s="37">
        <v>13.5</v>
      </c>
      <c r="F11" s="37">
        <v>1</v>
      </c>
      <c r="G11" s="120">
        <v>1240</v>
      </c>
      <c r="H11" s="203">
        <f>+N11</f>
        <v>0.15246153846153843</v>
      </c>
      <c r="I11" s="45">
        <v>0.88</v>
      </c>
      <c r="J11" s="46">
        <f>E11*G11*(1-H11)*1440/1000000*2.7</f>
        <v>55.162142473846167</v>
      </c>
      <c r="K11" s="46">
        <f>(IF(G11&lt;L11,L11,G11)*(1-IF(H11&lt;N11,H11,N11))*E11*O11*Q11)/100000000</f>
        <v>52.404035350153841</v>
      </c>
      <c r="L11" s="122">
        <v>1181.8181818181818</v>
      </c>
      <c r="M11" s="122">
        <v>1001.6363636363636</v>
      </c>
      <c r="N11" s="47">
        <f>1-(M11/L11)</f>
        <v>0.15246153846153843</v>
      </c>
      <c r="O11" s="48">
        <f>+'[6]Trim Rwd'!H6</f>
        <v>256.5</v>
      </c>
      <c r="P11" s="49">
        <f>O11*(Q11-R11-S11)</f>
        <v>249318</v>
      </c>
      <c r="Q11" s="48">
        <v>1440</v>
      </c>
      <c r="R11" s="123">
        <v>450</v>
      </c>
      <c r="S11" s="123">
        <v>18</v>
      </c>
      <c r="T11" s="50">
        <f>E11*M11*O11*Q11/100000000</f>
        <v>49.945194981818183</v>
      </c>
      <c r="U11" s="50">
        <f>E11*M11*O11*(Q11-R11-S11)/100000000</f>
        <v>33.71300661272727</v>
      </c>
      <c r="V11" s="50">
        <f>E11*G11*(1-N11)*O11/100*(R11+S11)/1000000</f>
        <v>17.0313114888</v>
      </c>
      <c r="W11" s="50">
        <f>+'[6]2'!K7/1000</f>
        <v>25.7</v>
      </c>
      <c r="X11" s="51">
        <f>SUM(W11:W14)/SUM(K11:K14)</f>
        <v>0.49042024775911752</v>
      </c>
      <c r="Y11" s="50">
        <v>0</v>
      </c>
      <c r="Z11" s="50">
        <f>+'[6]2'!D25/1000</f>
        <v>0.76500000000000001</v>
      </c>
      <c r="AA11" s="53">
        <f>SUM(U11:U14)-SUM(W11:W14)-SUM(Z11:Z14)-SUM(Y11:Y14)</f>
        <v>7.2480066127272709</v>
      </c>
      <c r="AB11" s="53">
        <f>(SUM(K11:K14)-SUM(W11:W14)-SUM(Y11:Y14)-SUM(Z11:Z14)-SUM(AC11:AC14)-SUM(V11:V14))-AA11</f>
        <v>-0.79912311970908778</v>
      </c>
      <c r="AC11" s="50">
        <f>K11-T11</f>
        <v>2.4588403683356574</v>
      </c>
      <c r="AD11" s="50">
        <f>+AM11+BA11</f>
        <v>0</v>
      </c>
      <c r="AE11" s="101" t="s">
        <v>110</v>
      </c>
      <c r="AF11" s="50">
        <v>0</v>
      </c>
      <c r="AG11" s="50"/>
      <c r="AH11" s="50"/>
      <c r="AI11" s="54"/>
      <c r="AJ11" s="50"/>
      <c r="AK11" s="50"/>
      <c r="AL11" s="50"/>
      <c r="AM11" s="50">
        <f>SUM(AF11:AL11)+AT11+AV11+AX11</f>
        <v>0</v>
      </c>
      <c r="AN11" s="50"/>
      <c r="AO11" s="50"/>
      <c r="AP11" s="50"/>
      <c r="AQ11" s="50"/>
      <c r="AR11" s="50">
        <f>SUM(AN11:AQ11)</f>
        <v>0</v>
      </c>
      <c r="AS11" s="50"/>
      <c r="AT11" s="50"/>
      <c r="AU11" s="50"/>
      <c r="AV11" s="50"/>
      <c r="AW11" s="50"/>
      <c r="AX11" s="50"/>
      <c r="AY11" s="50"/>
      <c r="AZ11" s="50"/>
      <c r="BA11" s="50">
        <f>+AR11+AS11+AU11+AW11+AY11+AZ11</f>
        <v>0</v>
      </c>
      <c r="BB11" s="124">
        <v>0</v>
      </c>
      <c r="BC11" s="116"/>
      <c r="BD11" s="116"/>
      <c r="BE11" s="124"/>
      <c r="BF11" s="116"/>
    </row>
    <row r="12" spans="1:58" ht="12.95" customHeight="1" x14ac:dyDescent="0.2">
      <c r="A12" s="117"/>
      <c r="B12" s="118"/>
      <c r="C12" s="119"/>
      <c r="D12" s="118"/>
      <c r="E12" s="37"/>
      <c r="F12" s="37"/>
      <c r="G12" s="120"/>
      <c r="H12" s="203"/>
      <c r="I12" s="45"/>
      <c r="J12" s="46"/>
      <c r="K12" s="46"/>
      <c r="L12" s="122"/>
      <c r="M12" s="122"/>
      <c r="N12" s="47"/>
      <c r="O12" s="48"/>
      <c r="P12" s="49"/>
      <c r="Q12" s="48"/>
      <c r="R12" s="123"/>
      <c r="S12" s="123"/>
      <c r="T12" s="50"/>
      <c r="U12" s="50"/>
      <c r="V12" s="50"/>
      <c r="W12" s="50"/>
      <c r="X12" s="55"/>
      <c r="Y12" s="52"/>
      <c r="Z12" s="50"/>
      <c r="AA12" s="50"/>
      <c r="AB12" s="50"/>
      <c r="AC12" s="50"/>
      <c r="AD12" s="50">
        <f t="shared" ref="AD12:AD17" si="6">+AM12+BA12</f>
        <v>4</v>
      </c>
      <c r="AE12" s="101" t="s">
        <v>163</v>
      </c>
      <c r="AF12" s="50"/>
      <c r="AG12" s="50">
        <v>4</v>
      </c>
      <c r="AH12" s="50"/>
      <c r="AI12" s="54"/>
      <c r="AJ12" s="50"/>
      <c r="AK12" s="50"/>
      <c r="AL12" s="50"/>
      <c r="AM12" s="50">
        <f t="shared" ref="AM12:AM14" si="7">SUM(AF12:AL12)+AT12+AV12+AX12</f>
        <v>4</v>
      </c>
      <c r="AN12" s="342"/>
      <c r="AO12" s="50"/>
      <c r="AP12" s="50"/>
      <c r="AQ12" s="50"/>
      <c r="AR12" s="50">
        <f t="shared" ref="AR12:AR17" si="8">SUM(AN12:AQ12)</f>
        <v>0</v>
      </c>
      <c r="AS12" s="50"/>
      <c r="AT12" s="50"/>
      <c r="AU12" s="50"/>
      <c r="AV12" s="50"/>
      <c r="AW12" s="50"/>
      <c r="AX12" s="50"/>
      <c r="AY12" s="50"/>
      <c r="AZ12" s="50"/>
      <c r="BA12" s="50">
        <f t="shared" ref="BA12:BA17" si="9">+AR12+AS12+AU12+AW12+AY12+AZ12</f>
        <v>0</v>
      </c>
      <c r="BB12" s="126"/>
      <c r="BC12" s="116">
        <v>6</v>
      </c>
      <c r="BD12" s="116"/>
      <c r="BE12" s="126"/>
      <c r="BF12" s="116"/>
    </row>
    <row r="13" spans="1:58" ht="12.95" customHeight="1" x14ac:dyDescent="0.2">
      <c r="A13" s="117"/>
      <c r="B13" s="118"/>
      <c r="C13" s="119"/>
      <c r="D13" s="118"/>
      <c r="E13" s="37"/>
      <c r="F13" s="37"/>
      <c r="G13" s="127"/>
      <c r="H13" s="121"/>
      <c r="I13" s="45"/>
      <c r="J13" s="46"/>
      <c r="K13" s="46"/>
      <c r="L13" s="122"/>
      <c r="M13" s="122"/>
      <c r="N13" s="47"/>
      <c r="O13" s="48"/>
      <c r="P13" s="49"/>
      <c r="Q13" s="48"/>
      <c r="R13" s="123"/>
      <c r="S13" s="123"/>
      <c r="T13" s="50"/>
      <c r="U13" s="50"/>
      <c r="V13" s="50"/>
      <c r="W13" s="50"/>
      <c r="X13" s="55"/>
      <c r="Y13" s="52"/>
      <c r="Z13" s="50"/>
      <c r="AA13" s="50"/>
      <c r="AB13" s="50"/>
      <c r="AC13" s="50"/>
      <c r="AD13" s="50">
        <f t="shared" si="6"/>
        <v>14</v>
      </c>
      <c r="AE13" s="101" t="s">
        <v>248</v>
      </c>
      <c r="AF13" s="124"/>
      <c r="AG13" s="124"/>
      <c r="AH13" s="124">
        <v>14</v>
      </c>
      <c r="AJ13" s="50"/>
      <c r="AK13" s="50"/>
      <c r="AL13" s="50"/>
      <c r="AM13" s="50">
        <f t="shared" si="7"/>
        <v>14</v>
      </c>
      <c r="AN13" s="50"/>
      <c r="AO13" s="50"/>
      <c r="AP13" s="50"/>
      <c r="AQ13" s="50"/>
      <c r="AR13" s="50">
        <f t="shared" si="8"/>
        <v>0</v>
      </c>
      <c r="AS13" s="50"/>
      <c r="AT13" s="50"/>
      <c r="AU13" s="50"/>
      <c r="AV13" s="50"/>
      <c r="AW13" s="50"/>
      <c r="AX13" s="50"/>
      <c r="AY13" s="50"/>
      <c r="AZ13" s="50"/>
      <c r="BA13" s="50">
        <f t="shared" si="9"/>
        <v>0</v>
      </c>
      <c r="BB13" s="124"/>
      <c r="BC13" s="146"/>
      <c r="BD13" s="146"/>
      <c r="BE13" s="124"/>
      <c r="BF13" s="146"/>
    </row>
    <row r="14" spans="1:58" ht="12.95" customHeight="1" x14ac:dyDescent="0.2">
      <c r="A14" s="117"/>
      <c r="B14" s="118"/>
      <c r="C14" s="119"/>
      <c r="D14" s="118"/>
      <c r="E14" s="37"/>
      <c r="F14" s="37"/>
      <c r="G14" s="127"/>
      <c r="H14" s="121"/>
      <c r="I14" s="45"/>
      <c r="J14" s="46"/>
      <c r="K14" s="46"/>
      <c r="L14" s="122"/>
      <c r="M14" s="122"/>
      <c r="N14" s="47"/>
      <c r="O14" s="48"/>
      <c r="P14" s="49"/>
      <c r="Q14" s="48"/>
      <c r="R14" s="123"/>
      <c r="S14" s="123"/>
      <c r="T14" s="50"/>
      <c r="U14" s="50"/>
      <c r="V14" s="50"/>
      <c r="W14" s="50"/>
      <c r="X14" s="55"/>
      <c r="Y14" s="52"/>
      <c r="Z14" s="50"/>
      <c r="AA14" s="50"/>
      <c r="AB14" s="50"/>
      <c r="AC14" s="50"/>
      <c r="AD14" s="50">
        <f t="shared" si="6"/>
        <v>45</v>
      </c>
      <c r="AE14" s="101" t="s">
        <v>271</v>
      </c>
      <c r="AF14" s="124"/>
      <c r="AG14" s="124"/>
      <c r="AH14" s="124"/>
      <c r="AJ14" s="50"/>
      <c r="AK14" s="50"/>
      <c r="AL14" s="50"/>
      <c r="AM14" s="50">
        <f t="shared" si="7"/>
        <v>0</v>
      </c>
      <c r="AN14" s="50">
        <f>45</f>
        <v>45</v>
      </c>
      <c r="AO14" s="50"/>
      <c r="AP14" s="50"/>
      <c r="AQ14" s="50"/>
      <c r="AR14" s="50">
        <f t="shared" si="8"/>
        <v>45</v>
      </c>
      <c r="AS14" s="50"/>
      <c r="AT14" s="50"/>
      <c r="AU14" s="50"/>
      <c r="AV14" s="50"/>
      <c r="AW14" s="50"/>
      <c r="AX14" s="50"/>
      <c r="AY14" s="50"/>
      <c r="AZ14" s="50"/>
      <c r="BA14" s="50">
        <f t="shared" si="9"/>
        <v>45</v>
      </c>
      <c r="BB14" s="124"/>
      <c r="BC14" s="146"/>
      <c r="BD14" s="146"/>
      <c r="BE14" s="124"/>
      <c r="BF14" s="146"/>
    </row>
    <row r="15" spans="1:58" ht="12.95" customHeight="1" x14ac:dyDescent="0.2">
      <c r="A15" s="117"/>
      <c r="B15" s="118"/>
      <c r="C15" s="119"/>
      <c r="D15" s="118"/>
      <c r="E15" s="37"/>
      <c r="F15" s="37"/>
      <c r="G15" s="120"/>
      <c r="H15" s="121"/>
      <c r="I15" s="45"/>
      <c r="J15" s="46"/>
      <c r="K15" s="46"/>
      <c r="L15" s="122"/>
      <c r="M15" s="122"/>
      <c r="N15" s="47"/>
      <c r="O15" s="48"/>
      <c r="P15" s="49"/>
      <c r="Q15" s="48"/>
      <c r="R15" s="123"/>
      <c r="S15" s="123"/>
      <c r="T15" s="50"/>
      <c r="U15" s="50"/>
      <c r="V15" s="50"/>
      <c r="W15" s="50"/>
      <c r="X15" s="51"/>
      <c r="Y15" s="50"/>
      <c r="Z15" s="50"/>
      <c r="AA15" s="53"/>
      <c r="AB15" s="53"/>
      <c r="AC15" s="50"/>
      <c r="AD15" s="50">
        <f t="shared" si="6"/>
        <v>135</v>
      </c>
      <c r="AE15" s="101" t="s">
        <v>272</v>
      </c>
      <c r="AF15" s="50"/>
      <c r="AG15" s="50"/>
      <c r="AH15" s="50"/>
      <c r="AI15" s="54"/>
      <c r="AJ15" s="50"/>
      <c r="AK15" s="50"/>
      <c r="AL15" s="50"/>
      <c r="AM15" s="50"/>
      <c r="AN15" s="50"/>
      <c r="AO15" s="50"/>
      <c r="AP15" s="50">
        <v>135</v>
      </c>
      <c r="AQ15" s="50"/>
      <c r="AR15" s="50">
        <f t="shared" si="8"/>
        <v>135</v>
      </c>
      <c r="AS15" s="50"/>
      <c r="AT15" s="50"/>
      <c r="AU15" s="50"/>
      <c r="AV15" s="50"/>
      <c r="AW15" s="50"/>
      <c r="AX15" s="50"/>
      <c r="AY15" s="50"/>
      <c r="AZ15" s="50"/>
      <c r="BA15" s="50">
        <f t="shared" si="9"/>
        <v>135</v>
      </c>
      <c r="BB15" s="124"/>
      <c r="BC15" s="116"/>
      <c r="BD15" s="116"/>
      <c r="BE15" s="126"/>
      <c r="BF15" s="116"/>
    </row>
    <row r="16" spans="1:58" ht="12.95" customHeight="1" x14ac:dyDescent="0.2">
      <c r="A16" s="117"/>
      <c r="B16" s="118"/>
      <c r="C16" s="119"/>
      <c r="D16" s="118"/>
      <c r="E16" s="37"/>
      <c r="F16" s="37"/>
      <c r="G16" s="120"/>
      <c r="H16" s="121"/>
      <c r="I16" s="45"/>
      <c r="J16" s="46"/>
      <c r="K16" s="46"/>
      <c r="L16" s="122"/>
      <c r="M16" s="122"/>
      <c r="N16" s="47"/>
      <c r="O16" s="48"/>
      <c r="P16" s="49"/>
      <c r="Q16" s="48"/>
      <c r="R16" s="123"/>
      <c r="S16" s="123"/>
      <c r="T16" s="50"/>
      <c r="U16" s="50"/>
      <c r="V16" s="50"/>
      <c r="W16" s="50"/>
      <c r="X16" s="51"/>
      <c r="Y16" s="50"/>
      <c r="Z16" s="50"/>
      <c r="AA16" s="53"/>
      <c r="AB16" s="53"/>
      <c r="AC16" s="50"/>
      <c r="AD16" s="50">
        <f t="shared" si="6"/>
        <v>135</v>
      </c>
      <c r="AE16" s="101" t="s">
        <v>282</v>
      </c>
      <c r="AF16" s="50"/>
      <c r="AG16" s="50"/>
      <c r="AH16" s="50"/>
      <c r="AI16" s="54"/>
      <c r="AJ16" s="50"/>
      <c r="AK16" s="50"/>
      <c r="AL16" s="50"/>
      <c r="AM16" s="50"/>
      <c r="AN16" s="50"/>
      <c r="AO16" s="50">
        <v>135</v>
      </c>
      <c r="AP16" s="50"/>
      <c r="AQ16" s="50"/>
      <c r="AR16" s="50">
        <f t="shared" si="8"/>
        <v>135</v>
      </c>
      <c r="AS16" s="50"/>
      <c r="AT16" s="50"/>
      <c r="AU16" s="50"/>
      <c r="AV16" s="50"/>
      <c r="AW16" s="50"/>
      <c r="AX16" s="50"/>
      <c r="AY16" s="50"/>
      <c r="AZ16" s="50"/>
      <c r="BA16" s="50">
        <f t="shared" si="9"/>
        <v>135</v>
      </c>
      <c r="BB16" s="124"/>
      <c r="BC16" s="116"/>
      <c r="BD16" s="116"/>
      <c r="BE16" s="126"/>
      <c r="BF16" s="116"/>
    </row>
    <row r="17" spans="1:58" ht="12.95" customHeight="1" x14ac:dyDescent="0.2">
      <c r="A17" s="117"/>
      <c r="B17" s="118"/>
      <c r="C17" s="119"/>
      <c r="D17" s="118"/>
      <c r="E17" s="37"/>
      <c r="F17" s="37"/>
      <c r="G17" s="120"/>
      <c r="H17" s="121"/>
      <c r="I17" s="45"/>
      <c r="J17" s="46"/>
      <c r="K17" s="46"/>
      <c r="L17" s="122"/>
      <c r="M17" s="122"/>
      <c r="N17" s="47"/>
      <c r="O17" s="48"/>
      <c r="P17" s="49"/>
      <c r="Q17" s="48"/>
      <c r="R17" s="123"/>
      <c r="S17" s="123"/>
      <c r="T17" s="50"/>
      <c r="U17" s="50"/>
      <c r="V17" s="50"/>
      <c r="W17" s="50"/>
      <c r="X17" s="51"/>
      <c r="Y17" s="50"/>
      <c r="Z17" s="50"/>
      <c r="AA17" s="53"/>
      <c r="AB17" s="53"/>
      <c r="AC17" s="50"/>
      <c r="AD17" s="50">
        <f t="shared" si="6"/>
        <v>135</v>
      </c>
      <c r="AE17" s="101" t="s">
        <v>282</v>
      </c>
      <c r="AF17" s="50"/>
      <c r="AG17" s="50"/>
      <c r="AH17" s="50"/>
      <c r="AI17" s="54"/>
      <c r="AJ17" s="50"/>
      <c r="AK17" s="50"/>
      <c r="AL17" s="50"/>
      <c r="AM17" s="50"/>
      <c r="AN17" s="50">
        <v>135</v>
      </c>
      <c r="AO17" s="50"/>
      <c r="AP17" s="50"/>
      <c r="AQ17" s="50"/>
      <c r="AR17" s="50">
        <f t="shared" si="8"/>
        <v>135</v>
      </c>
      <c r="AS17" s="50"/>
      <c r="AT17" s="50"/>
      <c r="AU17" s="50"/>
      <c r="AV17" s="50"/>
      <c r="AW17" s="50"/>
      <c r="AX17" s="50"/>
      <c r="AY17" s="50"/>
      <c r="AZ17" s="50"/>
      <c r="BA17" s="50">
        <f t="shared" si="9"/>
        <v>135</v>
      </c>
      <c r="BB17" s="124"/>
      <c r="BC17" s="116"/>
      <c r="BD17" s="116"/>
      <c r="BE17" s="126"/>
      <c r="BF17" s="116"/>
    </row>
    <row r="18" spans="1:58" ht="12.95" customHeight="1" x14ac:dyDescent="0.2">
      <c r="A18" s="117"/>
      <c r="B18" s="118"/>
      <c r="C18" s="119"/>
      <c r="D18" s="118"/>
      <c r="E18" s="37"/>
      <c r="F18" s="37"/>
      <c r="G18" s="120"/>
      <c r="H18" s="121"/>
      <c r="I18" s="45"/>
      <c r="J18" s="46"/>
      <c r="K18" s="46"/>
      <c r="L18" s="122"/>
      <c r="M18" s="122"/>
      <c r="N18" s="47"/>
      <c r="O18" s="48"/>
      <c r="P18" s="49"/>
      <c r="Q18" s="48"/>
      <c r="R18" s="123"/>
      <c r="S18" s="123"/>
      <c r="T18" s="50"/>
      <c r="U18" s="50"/>
      <c r="V18" s="50"/>
      <c r="W18" s="50"/>
      <c r="X18" s="51"/>
      <c r="Y18" s="50"/>
      <c r="Z18" s="50"/>
      <c r="AA18" s="53"/>
      <c r="AB18" s="53"/>
      <c r="AC18" s="50"/>
      <c r="AD18" s="50"/>
      <c r="AE18" s="101"/>
      <c r="AF18" s="50"/>
      <c r="AG18" s="50"/>
      <c r="AH18" s="50"/>
      <c r="AI18" s="54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124"/>
      <c r="BC18" s="116"/>
      <c r="BD18" s="116"/>
      <c r="BE18" s="126"/>
      <c r="BF18" s="116"/>
    </row>
    <row r="19" spans="1:58" ht="12.95" customHeight="1" x14ac:dyDescent="0.2">
      <c r="A19" s="117">
        <v>45964</v>
      </c>
      <c r="B19" s="118" t="s">
        <v>168</v>
      </c>
      <c r="C19" s="119">
        <f>(M19*E19*O19*Q19)/100000000</f>
        <v>50.262508799999999</v>
      </c>
      <c r="D19" s="118" t="s">
        <v>196</v>
      </c>
      <c r="E19" s="37">
        <v>13.5</v>
      </c>
      <c r="F19" s="37">
        <v>1</v>
      </c>
      <c r="G19" s="120">
        <v>1250</v>
      </c>
      <c r="H19" s="203">
        <f>+N19</f>
        <v>0.16000000000000003</v>
      </c>
      <c r="I19" s="45">
        <v>0.88</v>
      </c>
      <c r="J19" s="46">
        <f>E19*G19*(1-H19)*1440/1000000*2.7</f>
        <v>55.112400000000001</v>
      </c>
      <c r="K19" s="46">
        <f>(IF(G19&lt;L19,L19,G19)*(1-IF(H19&lt;N19,H19,N19))*E19*O19*Q19)/100000000</f>
        <v>52.356780000000001</v>
      </c>
      <c r="L19" s="122">
        <v>1200</v>
      </c>
      <c r="M19" s="122">
        <v>1008</v>
      </c>
      <c r="N19" s="47">
        <f>1-(M19/L19)</f>
        <v>0.16000000000000003</v>
      </c>
      <c r="O19" s="48">
        <f>+'[6]Trim Rwd'!H8</f>
        <v>256.5</v>
      </c>
      <c r="P19" s="49">
        <f>O19*(Q19-R19-S19)</f>
        <v>299079</v>
      </c>
      <c r="Q19" s="48">
        <v>1440</v>
      </c>
      <c r="R19" s="123">
        <v>240</v>
      </c>
      <c r="S19" s="123">
        <v>34</v>
      </c>
      <c r="T19" s="50">
        <f>E19*M19*O19*Q19/100000000</f>
        <v>50.262508799999999</v>
      </c>
      <c r="U19" s="50">
        <f>E19*M19*O19*(Q19-R19-S19)/100000000</f>
        <v>40.698670319999998</v>
      </c>
      <c r="V19" s="50">
        <f>E19*G19*(1-N19)*O19/100*(R19+S19)/1000000</f>
        <v>9.9623317500000006</v>
      </c>
      <c r="W19" s="50">
        <f>+'[6]3'!K7/1000</f>
        <v>41.588999999999999</v>
      </c>
      <c r="X19" s="51">
        <f>SUM(W19:W22)/SUM(K19:K22)</f>
        <v>0.79433838368211329</v>
      </c>
      <c r="Y19" s="50">
        <v>0</v>
      </c>
      <c r="Z19" s="50">
        <f>+'[6]3'!D7/1000</f>
        <v>0.11899999999999999</v>
      </c>
      <c r="AA19" s="53">
        <f>SUM(U19:U22)-SUM(W19:W22)-SUM(Z19:Z22)-SUM(Y19:Y22)</f>
        <v>-1.0093296800000007</v>
      </c>
      <c r="AB19" s="53">
        <f>(SUM(K19:K22)-SUM(W19:W22)-SUM(Y19:Y22)-SUM(Z19:Z22)-SUM(AC19:AC22)-SUM(V19:V22))-AA19</f>
        <v>-0.39849326999999923</v>
      </c>
      <c r="AC19" s="50">
        <f>K19-T19</f>
        <v>2.0942712000000014</v>
      </c>
      <c r="AD19" s="50">
        <f>+AM19+BA19</f>
        <v>0</v>
      </c>
      <c r="AE19" s="101" t="s">
        <v>110</v>
      </c>
      <c r="AF19" s="50">
        <v>0</v>
      </c>
      <c r="AG19" s="50"/>
      <c r="AH19" s="50"/>
      <c r="AI19" s="50"/>
      <c r="AJ19" s="50"/>
      <c r="AK19" s="50"/>
      <c r="AL19" s="50"/>
      <c r="AM19" s="50">
        <f>SUM(AF19:AL19)+AT19+AV19+AX19</f>
        <v>0</v>
      </c>
      <c r="AN19" s="50"/>
      <c r="AO19" s="50"/>
      <c r="AP19" s="50"/>
      <c r="AQ19" s="50"/>
      <c r="AR19" s="50">
        <f>SUM(AN19:AQ19)</f>
        <v>0</v>
      </c>
      <c r="AS19" s="50"/>
      <c r="AT19" s="50"/>
      <c r="AU19" s="50"/>
      <c r="AV19" s="50"/>
      <c r="AW19" s="50"/>
      <c r="AX19" s="50"/>
      <c r="AY19" s="50"/>
      <c r="AZ19" s="50"/>
      <c r="BA19" s="50">
        <f>+AR19+AS19+AU19+AW19+AY19+AZ19</f>
        <v>0</v>
      </c>
      <c r="BB19" s="124">
        <v>0</v>
      </c>
      <c r="BC19" s="116"/>
      <c r="BD19" s="116">
        <v>1</v>
      </c>
      <c r="BE19" s="124"/>
      <c r="BF19" s="116">
        <v>2</v>
      </c>
    </row>
    <row r="20" spans="1:58" ht="12.95" customHeight="1" x14ac:dyDescent="0.2">
      <c r="A20" s="117"/>
      <c r="B20" s="118"/>
      <c r="C20" s="119"/>
      <c r="D20" s="118"/>
      <c r="E20" s="37"/>
      <c r="F20" s="37"/>
      <c r="G20" s="120"/>
      <c r="H20" s="203"/>
      <c r="I20" s="45"/>
      <c r="J20" s="46"/>
      <c r="K20" s="46"/>
      <c r="L20" s="122"/>
      <c r="M20" s="122"/>
      <c r="N20" s="47"/>
      <c r="O20" s="48"/>
      <c r="P20" s="49"/>
      <c r="Q20" s="48"/>
      <c r="R20" s="123"/>
      <c r="S20" s="123"/>
      <c r="T20" s="50"/>
      <c r="U20" s="50"/>
      <c r="V20" s="50"/>
      <c r="W20" s="50"/>
      <c r="X20" s="55"/>
      <c r="Y20" s="52"/>
      <c r="Z20" s="50"/>
      <c r="AA20" s="50"/>
      <c r="AB20" s="50"/>
      <c r="AC20" s="50"/>
      <c r="AD20" s="50">
        <f t="shared" ref="AD20:AD22" si="10">+AM20+BA20</f>
        <v>9</v>
      </c>
      <c r="AE20" s="101" t="s">
        <v>163</v>
      </c>
      <c r="AF20" s="50"/>
      <c r="AG20" s="50">
        <v>9</v>
      </c>
      <c r="AH20" s="50"/>
      <c r="AI20" s="50"/>
      <c r="AJ20" s="50"/>
      <c r="AK20" s="50"/>
      <c r="AL20" s="50"/>
      <c r="AM20" s="50">
        <f t="shared" ref="AM20:AM22" si="11">SUM(AF20:AL20)+AT20+AV20+AX20</f>
        <v>9</v>
      </c>
      <c r="AN20" s="342"/>
      <c r="AO20" s="50"/>
      <c r="AP20" s="50"/>
      <c r="AQ20" s="50"/>
      <c r="AR20" s="50">
        <f t="shared" ref="AR20:AR22" si="12">SUM(AN20:AQ20)</f>
        <v>0</v>
      </c>
      <c r="AS20" s="50"/>
      <c r="AT20" s="50"/>
      <c r="AU20" s="50"/>
      <c r="AV20" s="50"/>
      <c r="AW20" s="50"/>
      <c r="AX20" s="50"/>
      <c r="AY20" s="50"/>
      <c r="AZ20" s="50"/>
      <c r="BA20" s="50">
        <f t="shared" ref="BA20:BA22" si="13">+AR20+AS20+AU20+AW20+AY20+AZ20</f>
        <v>0</v>
      </c>
      <c r="BB20" s="126"/>
      <c r="BC20" s="116">
        <v>6</v>
      </c>
      <c r="BD20" s="116"/>
      <c r="BE20" s="126"/>
      <c r="BF20" s="116"/>
    </row>
    <row r="21" spans="1:58" ht="12.95" customHeight="1" x14ac:dyDescent="0.2">
      <c r="A21" s="117"/>
      <c r="B21" s="118"/>
      <c r="C21" s="119"/>
      <c r="D21" s="118"/>
      <c r="E21" s="37"/>
      <c r="F21" s="37"/>
      <c r="G21" s="127"/>
      <c r="H21" s="121"/>
      <c r="I21" s="45"/>
      <c r="J21" s="46"/>
      <c r="K21" s="46"/>
      <c r="L21" s="122"/>
      <c r="M21" s="122"/>
      <c r="N21" s="47"/>
      <c r="O21" s="48"/>
      <c r="P21" s="49"/>
      <c r="Q21" s="48"/>
      <c r="R21" s="123"/>
      <c r="S21" s="123"/>
      <c r="T21" s="50"/>
      <c r="U21" s="50"/>
      <c r="V21" s="50"/>
      <c r="W21" s="50"/>
      <c r="X21" s="55"/>
      <c r="Y21" s="52"/>
      <c r="Z21" s="50"/>
      <c r="AA21" s="50"/>
      <c r="AB21" s="50"/>
      <c r="AC21" s="50"/>
      <c r="AD21" s="50">
        <f t="shared" si="10"/>
        <v>25</v>
      </c>
      <c r="AE21" s="101" t="s">
        <v>207</v>
      </c>
      <c r="AF21" s="124"/>
      <c r="AG21" s="124"/>
      <c r="AH21" s="124">
        <v>25</v>
      </c>
      <c r="AI21" s="124"/>
      <c r="AJ21" s="50"/>
      <c r="AK21" s="50"/>
      <c r="AL21" s="50"/>
      <c r="AM21" s="50">
        <f t="shared" si="11"/>
        <v>25</v>
      </c>
      <c r="AN21" s="50"/>
      <c r="AO21" s="50"/>
      <c r="AP21" s="50"/>
      <c r="AQ21" s="50"/>
      <c r="AR21" s="50">
        <f t="shared" si="12"/>
        <v>0</v>
      </c>
      <c r="AS21" s="50"/>
      <c r="AT21" s="50"/>
      <c r="AU21" s="50"/>
      <c r="AV21" s="50"/>
      <c r="AW21" s="50"/>
      <c r="AX21" s="50"/>
      <c r="AY21" s="50"/>
      <c r="AZ21" s="50"/>
      <c r="BA21" s="50">
        <f t="shared" si="13"/>
        <v>0</v>
      </c>
      <c r="BB21" s="124"/>
      <c r="BC21" s="146"/>
      <c r="BD21" s="146"/>
      <c r="BE21" s="124"/>
      <c r="BF21" s="146"/>
    </row>
    <row r="22" spans="1:58" ht="12.95" customHeight="1" x14ac:dyDescent="0.2">
      <c r="A22" s="117"/>
      <c r="B22" s="118"/>
      <c r="C22" s="119"/>
      <c r="D22" s="118"/>
      <c r="E22" s="37"/>
      <c r="F22" s="37"/>
      <c r="G22" s="127"/>
      <c r="H22" s="121"/>
      <c r="I22" s="45"/>
      <c r="J22" s="46"/>
      <c r="K22" s="46"/>
      <c r="L22" s="122"/>
      <c r="M22" s="122"/>
      <c r="N22" s="47"/>
      <c r="O22" s="48"/>
      <c r="P22" s="49"/>
      <c r="Q22" s="48"/>
      <c r="R22" s="123"/>
      <c r="S22" s="123"/>
      <c r="T22" s="50"/>
      <c r="U22" s="50"/>
      <c r="V22" s="50"/>
      <c r="W22" s="50"/>
      <c r="X22" s="55"/>
      <c r="Y22" s="52"/>
      <c r="Z22" s="50"/>
      <c r="AA22" s="50"/>
      <c r="AB22" s="50"/>
      <c r="AC22" s="50"/>
      <c r="AD22" s="50">
        <f t="shared" si="10"/>
        <v>240</v>
      </c>
      <c r="AE22" s="101" t="s">
        <v>273</v>
      </c>
      <c r="AF22" s="124"/>
      <c r="AG22" s="124"/>
      <c r="AH22" s="124"/>
      <c r="AI22" s="124"/>
      <c r="AJ22" s="50"/>
      <c r="AK22" s="50"/>
      <c r="AL22" s="50"/>
      <c r="AM22" s="50">
        <f t="shared" si="11"/>
        <v>0</v>
      </c>
      <c r="AN22" s="50">
        <v>240</v>
      </c>
      <c r="AO22" s="50"/>
      <c r="AP22" s="50"/>
      <c r="AQ22" s="50"/>
      <c r="AR22" s="50">
        <f t="shared" si="12"/>
        <v>240</v>
      </c>
      <c r="AS22" s="50"/>
      <c r="AT22" s="50"/>
      <c r="AU22" s="50"/>
      <c r="AV22" s="50"/>
      <c r="AW22" s="50"/>
      <c r="AX22" s="50"/>
      <c r="AY22" s="50"/>
      <c r="AZ22" s="50"/>
      <c r="BA22" s="50">
        <f t="shared" si="13"/>
        <v>240</v>
      </c>
      <c r="BB22" s="124"/>
      <c r="BC22" s="146"/>
      <c r="BD22" s="146"/>
      <c r="BE22" s="124"/>
      <c r="BF22" s="146"/>
    </row>
    <row r="23" spans="1:58" ht="12.95" customHeight="1" x14ac:dyDescent="0.2">
      <c r="A23" s="117"/>
      <c r="B23" s="118"/>
      <c r="C23" s="119"/>
      <c r="D23" s="118"/>
      <c r="E23" s="37"/>
      <c r="F23" s="37"/>
      <c r="G23" s="120"/>
      <c r="H23" s="121"/>
      <c r="I23" s="45"/>
      <c r="J23" s="46"/>
      <c r="K23" s="46"/>
      <c r="L23" s="122"/>
      <c r="M23" s="122"/>
      <c r="N23" s="47"/>
      <c r="O23" s="48"/>
      <c r="P23" s="49"/>
      <c r="Q23" s="48"/>
      <c r="R23" s="123"/>
      <c r="S23" s="123"/>
      <c r="T23" s="50"/>
      <c r="U23" s="50"/>
      <c r="V23" s="50"/>
      <c r="W23" s="50"/>
      <c r="X23" s="51"/>
      <c r="Y23" s="50"/>
      <c r="Z23" s="50"/>
      <c r="AA23" s="53"/>
      <c r="AB23" s="53"/>
      <c r="AC23" s="50"/>
      <c r="AD23" s="50"/>
      <c r="AE23" s="101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124"/>
      <c r="BC23" s="116"/>
      <c r="BD23" s="116"/>
      <c r="BE23" s="126"/>
      <c r="BF23" s="116"/>
    </row>
    <row r="24" spans="1:58" ht="12.95" customHeight="1" x14ac:dyDescent="0.2">
      <c r="A24" s="117">
        <v>45965</v>
      </c>
      <c r="B24" s="118" t="s">
        <v>168</v>
      </c>
      <c r="C24" s="119">
        <f>(M24*E24*O24*Q24)/100000000</f>
        <v>50.262508799999999</v>
      </c>
      <c r="D24" s="118" t="s">
        <v>196</v>
      </c>
      <c r="E24" s="37">
        <v>13.5</v>
      </c>
      <c r="F24" s="37">
        <v>1</v>
      </c>
      <c r="G24" s="120">
        <v>1250</v>
      </c>
      <c r="H24" s="203">
        <f>+N24</f>
        <v>0.16000000000000003</v>
      </c>
      <c r="I24" s="45">
        <v>0.88</v>
      </c>
      <c r="J24" s="46">
        <f>E24*G24*(1-H24)*1440/1000000*2.7</f>
        <v>55.112400000000001</v>
      </c>
      <c r="K24" s="46">
        <f>(IF(G24&lt;L24,L24,G24)*(1-IF(H24&lt;N24,H24,N24))*E24*O24*Q24)/100000000</f>
        <v>52.356780000000001</v>
      </c>
      <c r="L24" s="122">
        <v>1200</v>
      </c>
      <c r="M24" s="122">
        <v>1008</v>
      </c>
      <c r="N24" s="47">
        <f>1-(M24/L24)</f>
        <v>0.16000000000000003</v>
      </c>
      <c r="O24" s="48">
        <f>+'[6]Trim Rwd'!H10</f>
        <v>256.5</v>
      </c>
      <c r="P24" s="49">
        <f>O24*(Q24-R24-S24)</f>
        <v>362434.5</v>
      </c>
      <c r="Q24" s="48">
        <v>1440</v>
      </c>
      <c r="R24" s="123">
        <v>0</v>
      </c>
      <c r="S24" s="123">
        <v>27</v>
      </c>
      <c r="T24" s="50">
        <f>E24*M24*O24*Q24/100000000</f>
        <v>50.262508799999999</v>
      </c>
      <c r="U24" s="50">
        <f>E24*M24*O24*(Q24-R24-S24)/100000000</f>
        <v>49.320086760000002</v>
      </c>
      <c r="V24" s="50">
        <f>E24*G24*(1-N24)*O24/100*(R24+S24)/1000000</f>
        <v>0.98168962500000001</v>
      </c>
      <c r="W24" s="50">
        <f>+'[6]4'!K7/1000</f>
        <v>45.640999999999998</v>
      </c>
      <c r="X24" s="51">
        <f>SUM(W24:W27)/SUM(K24:K27)</f>
        <v>0.87173046165176693</v>
      </c>
      <c r="Y24" s="50">
        <f>+SUM([6]RBP!AG14:AG15)</f>
        <v>0</v>
      </c>
      <c r="Z24" s="50">
        <f>+'[6]4'!D7/1000</f>
        <v>0.81899999999999995</v>
      </c>
      <c r="AA24" s="53">
        <f>SUM(U24:U27)-SUM(W24:W27)-SUM(Z24:Z27)-SUM(Y24:Y27)</f>
        <v>2.8600867600000042</v>
      </c>
      <c r="AB24" s="53">
        <f>(SUM(K24:K27)-SUM(W24:W27)-SUM(Y24:Y27)-SUM(Z24:Z27)-SUM(AC24:AC27)-SUM(V24:V27))-AA24</f>
        <v>-3.9267585000003269E-2</v>
      </c>
      <c r="AC24" s="50">
        <f>K24-T24</f>
        <v>2.0942712000000014</v>
      </c>
      <c r="AD24" s="50">
        <f>+AM24+BA24</f>
        <v>0</v>
      </c>
      <c r="AE24" s="101" t="s">
        <v>110</v>
      </c>
      <c r="AF24" s="50">
        <v>0</v>
      </c>
      <c r="AG24" s="50"/>
      <c r="AH24" s="50"/>
      <c r="AI24" s="50"/>
      <c r="AJ24" s="50"/>
      <c r="AK24" s="50"/>
      <c r="AL24" s="50"/>
      <c r="AM24" s="50">
        <f>SUM(AF24:AL24)+AT24+AV24+AX24</f>
        <v>0</v>
      </c>
      <c r="AN24" s="50"/>
      <c r="AO24" s="50"/>
      <c r="AP24" s="50"/>
      <c r="AQ24" s="50"/>
      <c r="AR24" s="50">
        <f>SUM(AN24:AQ24)</f>
        <v>0</v>
      </c>
      <c r="AS24" s="50"/>
      <c r="AT24" s="50"/>
      <c r="AU24" s="50"/>
      <c r="AV24" s="50"/>
      <c r="AW24" s="50"/>
      <c r="AX24" s="50"/>
      <c r="AY24" s="50"/>
      <c r="AZ24" s="50"/>
      <c r="BA24" s="50">
        <f>+AR24+AS24+AU24+AW24+AY24+AZ24</f>
        <v>0</v>
      </c>
      <c r="BB24" s="124">
        <v>0</v>
      </c>
      <c r="BC24" s="116"/>
      <c r="BD24" s="116"/>
      <c r="BE24" s="124"/>
      <c r="BF24" s="116">
        <v>2</v>
      </c>
    </row>
    <row r="25" spans="1:58" ht="12.95" customHeight="1" x14ac:dyDescent="0.2">
      <c r="A25" s="117"/>
      <c r="B25" s="118"/>
      <c r="C25" s="119"/>
      <c r="D25" s="118"/>
      <c r="E25" s="37"/>
      <c r="F25" s="37"/>
      <c r="G25" s="120"/>
      <c r="H25" s="203"/>
      <c r="I25" s="45"/>
      <c r="J25" s="46"/>
      <c r="K25" s="46"/>
      <c r="L25" s="122"/>
      <c r="M25" s="122"/>
      <c r="N25" s="47"/>
      <c r="O25" s="48"/>
      <c r="P25" s="49"/>
      <c r="Q25" s="48"/>
      <c r="R25" s="123"/>
      <c r="S25" s="123"/>
      <c r="T25" s="50"/>
      <c r="U25" s="50"/>
      <c r="V25" s="50"/>
      <c r="W25" s="50"/>
      <c r="X25" s="55"/>
      <c r="Y25" s="52"/>
      <c r="Z25" s="50"/>
      <c r="AA25" s="50"/>
      <c r="AB25" s="50"/>
      <c r="AC25" s="50"/>
      <c r="AD25" s="50">
        <f t="shared" ref="AD25:AD26" si="14">+AM25+BA25</f>
        <v>6</v>
      </c>
      <c r="AE25" s="101" t="s">
        <v>166</v>
      </c>
      <c r="AF25" s="50"/>
      <c r="AG25" s="50">
        <v>6</v>
      </c>
      <c r="AH25" s="50"/>
      <c r="AI25" s="50"/>
      <c r="AJ25" s="50"/>
      <c r="AK25" s="50"/>
      <c r="AL25" s="50"/>
      <c r="AM25" s="50">
        <f t="shared" ref="AM25:AM26" si="15">SUM(AF25:AL25)+AT25+AV25+AX25</f>
        <v>6</v>
      </c>
      <c r="AN25" s="125"/>
      <c r="AO25" s="50"/>
      <c r="AP25" s="50"/>
      <c r="AQ25" s="50"/>
      <c r="AR25" s="50">
        <f t="shared" ref="AR25:AR26" si="16">SUM(AN25:AQ25)</f>
        <v>0</v>
      </c>
      <c r="AS25" s="50"/>
      <c r="AT25" s="50"/>
      <c r="AU25" s="50"/>
      <c r="AV25" s="50"/>
      <c r="AW25" s="50"/>
      <c r="AX25" s="50"/>
      <c r="AY25" s="50"/>
      <c r="AZ25" s="50"/>
      <c r="BA25" s="50">
        <f t="shared" ref="BA25:BA26" si="17">+AR25+AS25+AU25+AW25+AY25+AZ25</f>
        <v>0</v>
      </c>
      <c r="BB25" s="126"/>
      <c r="BC25" s="116">
        <v>2</v>
      </c>
      <c r="BD25" s="116"/>
      <c r="BE25" s="126"/>
      <c r="BF25" s="116"/>
    </row>
    <row r="26" spans="1:58" ht="12.95" customHeight="1" x14ac:dyDescent="0.2">
      <c r="A26" s="117"/>
      <c r="B26" s="118"/>
      <c r="C26" s="119"/>
      <c r="D26" s="118"/>
      <c r="E26" s="37"/>
      <c r="F26" s="37"/>
      <c r="G26" s="127"/>
      <c r="H26" s="121"/>
      <c r="I26" s="45"/>
      <c r="J26" s="46"/>
      <c r="K26" s="46"/>
      <c r="L26" s="122"/>
      <c r="M26" s="122"/>
      <c r="N26" s="47"/>
      <c r="O26" s="48"/>
      <c r="P26" s="49"/>
      <c r="Q26" s="48"/>
      <c r="R26" s="123"/>
      <c r="S26" s="123"/>
      <c r="T26" s="50"/>
      <c r="U26" s="50"/>
      <c r="V26" s="50"/>
      <c r="W26" s="50"/>
      <c r="X26" s="55"/>
      <c r="Y26" s="52"/>
      <c r="Z26" s="50"/>
      <c r="AA26" s="50"/>
      <c r="AB26" s="50"/>
      <c r="AC26" s="50"/>
      <c r="AD26" s="50">
        <f t="shared" si="14"/>
        <v>21</v>
      </c>
      <c r="AE26" s="101" t="s">
        <v>180</v>
      </c>
      <c r="AF26" s="124"/>
      <c r="AG26" s="124"/>
      <c r="AH26" s="124">
        <v>21</v>
      </c>
      <c r="AI26" s="124"/>
      <c r="AJ26" s="50"/>
      <c r="AK26" s="50"/>
      <c r="AL26" s="50"/>
      <c r="AM26" s="50">
        <f t="shared" si="15"/>
        <v>21</v>
      </c>
      <c r="AN26" s="50"/>
      <c r="AO26" s="50"/>
      <c r="AP26" s="50"/>
      <c r="AQ26" s="50"/>
      <c r="AR26" s="50">
        <f t="shared" si="16"/>
        <v>0</v>
      </c>
      <c r="AS26" s="50"/>
      <c r="AT26" s="50"/>
      <c r="AU26" s="50"/>
      <c r="AV26" s="50"/>
      <c r="AW26" s="50"/>
      <c r="AX26" s="50"/>
      <c r="AY26" s="50"/>
      <c r="AZ26" s="50"/>
      <c r="BA26" s="50">
        <f t="shared" si="17"/>
        <v>0</v>
      </c>
      <c r="BB26" s="124"/>
      <c r="BC26" s="146"/>
      <c r="BD26" s="146"/>
      <c r="BE26" s="124"/>
      <c r="BF26" s="146"/>
    </row>
    <row r="27" spans="1:58" ht="12.95" customHeight="1" x14ac:dyDescent="0.2">
      <c r="A27" s="117"/>
      <c r="B27" s="118"/>
      <c r="C27" s="119"/>
      <c r="D27" s="118"/>
      <c r="E27" s="37"/>
      <c r="F27" s="37"/>
      <c r="G27" s="120"/>
      <c r="H27" s="121"/>
      <c r="I27" s="45"/>
      <c r="J27" s="46"/>
      <c r="K27" s="46"/>
      <c r="L27" s="122"/>
      <c r="M27" s="122"/>
      <c r="N27" s="47"/>
      <c r="O27" s="48"/>
      <c r="P27" s="49"/>
      <c r="Q27" s="48"/>
      <c r="R27" s="123"/>
      <c r="S27" s="123"/>
      <c r="T27" s="50"/>
      <c r="U27" s="50"/>
      <c r="V27" s="50"/>
      <c r="W27" s="50"/>
      <c r="X27" s="55"/>
      <c r="Y27" s="52"/>
      <c r="Z27" s="50"/>
      <c r="AA27" s="50"/>
      <c r="AB27" s="50"/>
      <c r="AC27" s="50"/>
      <c r="AD27" s="50"/>
      <c r="AE27" s="101"/>
      <c r="AF27" s="124"/>
      <c r="AG27" s="124"/>
      <c r="AH27" s="124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124"/>
      <c r="BC27" s="146"/>
      <c r="BD27" s="116"/>
      <c r="BE27" s="116"/>
      <c r="BF27" s="116"/>
    </row>
    <row r="28" spans="1:58" ht="12.95" customHeight="1" x14ac:dyDescent="0.2">
      <c r="A28" s="117">
        <v>45966</v>
      </c>
      <c r="B28" s="118" t="s">
        <v>168</v>
      </c>
      <c r="C28" s="119">
        <f>(M28*E28*O28*Q28)/100000000</f>
        <v>49.764205223999994</v>
      </c>
      <c r="D28" s="118" t="s">
        <v>196</v>
      </c>
      <c r="E28" s="37">
        <v>13.5</v>
      </c>
      <c r="F28" s="37">
        <v>1</v>
      </c>
      <c r="G28" s="120">
        <v>1245</v>
      </c>
      <c r="H28" s="203">
        <f>+N28</f>
        <v>0.15697029424186959</v>
      </c>
      <c r="I28" s="45">
        <v>0.88</v>
      </c>
      <c r="J28" s="46">
        <f>E28*G28*(1-H28)*1440/1000000*2.7</f>
        <v>55.089934278811768</v>
      </c>
      <c r="K28" s="46">
        <f>(IF(G28&lt;L28,L28,G28)*(1-IF(H28&lt;N28,H28,N28))*E28*O28*Q28)/100000000</f>
        <v>52.335437564871185</v>
      </c>
      <c r="L28" s="122">
        <v>1183.8333333333333</v>
      </c>
      <c r="M28" s="122">
        <v>998.00666666666666</v>
      </c>
      <c r="N28" s="47">
        <f>1-(M28/L28)</f>
        <v>0.15697029424186959</v>
      </c>
      <c r="O28" s="48">
        <f>+'[6]Trim Rwd'!H12</f>
        <v>256.5</v>
      </c>
      <c r="P28" s="49">
        <f>O28*(Q28-R28-S28)</f>
        <v>304978.5</v>
      </c>
      <c r="Q28" s="48">
        <v>1440</v>
      </c>
      <c r="R28" s="123">
        <v>240</v>
      </c>
      <c r="S28" s="123">
        <v>11</v>
      </c>
      <c r="T28" s="50">
        <f>E28*M28*O28*Q28/100000000</f>
        <v>49.764205223999994</v>
      </c>
      <c r="U28" s="50">
        <f>E28*M28*O28*(Q28-R28-S28)/100000000</f>
        <v>41.090027785650001</v>
      </c>
      <c r="V28" s="50">
        <f>E28*G28*(1-N28)*O28/100*(R28+S28)/1000000</f>
        <v>9.122357519987963</v>
      </c>
      <c r="W28" s="50">
        <f>+'[6]5'!K7/1000</f>
        <v>40.24</v>
      </c>
      <c r="X28" s="51">
        <f>SUM(W28:W31)/SUM(K28:K31)</f>
        <v>0.76888628188350272</v>
      </c>
      <c r="Y28" s="50">
        <v>0</v>
      </c>
      <c r="Z28" s="50">
        <f>+'[6]5'!D16/1000</f>
        <v>0.79300000000000004</v>
      </c>
      <c r="AA28" s="53">
        <f>SUM(U28:U31)-SUM(W28:W31)-SUM(Z28:Z31)-SUM(Y28:Y31)</f>
        <v>5.7027785649999108E-2</v>
      </c>
      <c r="AB28" s="53">
        <f>(SUM(K28:K31)-SUM(W28:W31)-SUM(Y28:Y31)-SUM(Z28:Z31)-SUM(AC28:AC31)-SUM(V28:V31))-AA28</f>
        <v>-0.44818008163796919</v>
      </c>
      <c r="AC28" s="50">
        <f>K28-T28</f>
        <v>2.571232340871191</v>
      </c>
      <c r="AD28" s="50">
        <f>+AM28+BA28</f>
        <v>0</v>
      </c>
      <c r="AE28" s="101" t="s">
        <v>110</v>
      </c>
      <c r="AF28" s="50">
        <v>0</v>
      </c>
      <c r="AG28" s="50"/>
      <c r="AH28" s="50"/>
      <c r="AI28" s="50"/>
      <c r="AJ28" s="50"/>
      <c r="AK28" s="50"/>
      <c r="AL28" s="50"/>
      <c r="AM28" s="50">
        <f>SUM(AF28:AL28)+AT28+AV28+AX28</f>
        <v>0</v>
      </c>
      <c r="AN28" s="50"/>
      <c r="AO28" s="50"/>
      <c r="AP28" s="50"/>
      <c r="AQ28" s="50"/>
      <c r="AR28" s="50">
        <f>SUM(AN28:AQ28)</f>
        <v>0</v>
      </c>
      <c r="AS28" s="50"/>
      <c r="AT28" s="50"/>
      <c r="AU28" s="50"/>
      <c r="AV28" s="50"/>
      <c r="AW28" s="50"/>
      <c r="AX28" s="50"/>
      <c r="AY28" s="50"/>
      <c r="AZ28" s="50"/>
      <c r="BA28" s="50">
        <f>+AR28+AS28+AU28+AW28+AY28+AZ28</f>
        <v>0</v>
      </c>
      <c r="BB28" s="124">
        <v>0</v>
      </c>
      <c r="BC28" s="116"/>
      <c r="BD28" s="116"/>
      <c r="BE28" s="124"/>
      <c r="BF28" s="116">
        <v>1</v>
      </c>
    </row>
    <row r="29" spans="1:58" ht="12.95" customHeight="1" x14ac:dyDescent="0.2">
      <c r="A29" s="117"/>
      <c r="B29" s="118"/>
      <c r="C29" s="119"/>
      <c r="D29" s="118"/>
      <c r="E29" s="37"/>
      <c r="F29" s="37"/>
      <c r="G29" s="120"/>
      <c r="H29" s="203"/>
      <c r="I29" s="45"/>
      <c r="J29" s="46"/>
      <c r="K29" s="46"/>
      <c r="L29" s="122"/>
      <c r="M29" s="122"/>
      <c r="N29" s="47"/>
      <c r="O29" s="48"/>
      <c r="P29" s="49"/>
      <c r="Q29" s="48"/>
      <c r="R29" s="123"/>
      <c r="S29" s="123"/>
      <c r="T29" s="50"/>
      <c r="U29" s="50"/>
      <c r="V29" s="50"/>
      <c r="W29" s="50"/>
      <c r="X29" s="55"/>
      <c r="Y29" s="52"/>
      <c r="Z29" s="50"/>
      <c r="AA29" s="50"/>
      <c r="AB29" s="50"/>
      <c r="AC29" s="50"/>
      <c r="AD29" s="50">
        <f t="shared" ref="AD29:AD31" si="18">+AM29+BA29</f>
        <v>1</v>
      </c>
      <c r="AE29" s="101" t="s">
        <v>174</v>
      </c>
      <c r="AF29" s="50"/>
      <c r="AG29" s="50">
        <v>1</v>
      </c>
      <c r="AH29" s="50"/>
      <c r="AI29" s="50"/>
      <c r="AJ29" s="50"/>
      <c r="AK29" s="50"/>
      <c r="AL29" s="50"/>
      <c r="AM29" s="50">
        <f t="shared" ref="AM29:AM31" si="19">SUM(AF29:AL29)+AT29+AV29+AX29</f>
        <v>1</v>
      </c>
      <c r="AN29" s="125"/>
      <c r="AO29" s="50"/>
      <c r="AP29" s="50"/>
      <c r="AQ29" s="50"/>
      <c r="AR29" s="50">
        <f t="shared" ref="AR29:AR31" si="20">SUM(AN29:AQ29)</f>
        <v>0</v>
      </c>
      <c r="AS29" s="50"/>
      <c r="AT29" s="50"/>
      <c r="AU29" s="50"/>
      <c r="AV29" s="50"/>
      <c r="AW29" s="50"/>
      <c r="AX29" s="50"/>
      <c r="AY29" s="50"/>
      <c r="AZ29" s="50"/>
      <c r="BA29" s="50">
        <f t="shared" ref="BA29:BA31" si="21">+AR29+AS29+AU29+AW29+AY29+AZ29</f>
        <v>0</v>
      </c>
      <c r="BB29" s="126"/>
      <c r="BC29" s="116">
        <v>1</v>
      </c>
      <c r="BD29" s="116"/>
      <c r="BE29" s="126"/>
      <c r="BF29" s="116"/>
    </row>
    <row r="30" spans="1:58" ht="12.95" customHeight="1" x14ac:dyDescent="0.2">
      <c r="A30" s="117"/>
      <c r="B30" s="118"/>
      <c r="C30" s="119"/>
      <c r="D30" s="118"/>
      <c r="E30" s="37"/>
      <c r="F30" s="37"/>
      <c r="G30" s="127"/>
      <c r="H30" s="121"/>
      <c r="I30" s="45"/>
      <c r="J30" s="46"/>
      <c r="K30" s="46"/>
      <c r="L30" s="122"/>
      <c r="M30" s="122"/>
      <c r="N30" s="47"/>
      <c r="O30" s="48"/>
      <c r="P30" s="49"/>
      <c r="Q30" s="48"/>
      <c r="R30" s="123"/>
      <c r="S30" s="123"/>
      <c r="T30" s="50"/>
      <c r="U30" s="50"/>
      <c r="V30" s="50"/>
      <c r="W30" s="50"/>
      <c r="X30" s="55"/>
      <c r="Y30" s="52"/>
      <c r="Z30" s="50"/>
      <c r="AA30" s="50"/>
      <c r="AB30" s="50"/>
      <c r="AC30" s="50"/>
      <c r="AD30" s="50">
        <f t="shared" si="18"/>
        <v>10</v>
      </c>
      <c r="AE30" s="101" t="s">
        <v>207</v>
      </c>
      <c r="AF30" s="124"/>
      <c r="AG30" s="124"/>
      <c r="AH30" s="124">
        <v>10</v>
      </c>
      <c r="AI30" s="124"/>
      <c r="AJ30" s="50"/>
      <c r="AK30" s="50"/>
      <c r="AL30" s="50"/>
      <c r="AM30" s="50">
        <f t="shared" si="19"/>
        <v>10</v>
      </c>
      <c r="AN30" s="50"/>
      <c r="AO30" s="50"/>
      <c r="AP30" s="50"/>
      <c r="AQ30" s="50"/>
      <c r="AR30" s="50">
        <f t="shared" si="20"/>
        <v>0</v>
      </c>
      <c r="AS30" s="50"/>
      <c r="AT30" s="50"/>
      <c r="AU30" s="50"/>
      <c r="AV30" s="50"/>
      <c r="AW30" s="50"/>
      <c r="AX30" s="50"/>
      <c r="AY30" s="50"/>
      <c r="AZ30" s="50"/>
      <c r="BA30" s="50">
        <f t="shared" si="21"/>
        <v>0</v>
      </c>
      <c r="BB30" s="124"/>
      <c r="BC30" s="146"/>
      <c r="BD30" s="146"/>
      <c r="BE30" s="124"/>
      <c r="BF30" s="146"/>
    </row>
    <row r="31" spans="1:58" ht="12.95" customHeight="1" x14ac:dyDescent="0.2">
      <c r="A31" s="117"/>
      <c r="B31" s="118"/>
      <c r="C31" s="119"/>
      <c r="D31" s="118"/>
      <c r="E31" s="37"/>
      <c r="F31" s="37"/>
      <c r="G31" s="127"/>
      <c r="H31" s="121"/>
      <c r="I31" s="45"/>
      <c r="J31" s="46"/>
      <c r="K31" s="46"/>
      <c r="L31" s="122"/>
      <c r="M31" s="122"/>
      <c r="N31" s="47"/>
      <c r="O31" s="48"/>
      <c r="P31" s="49"/>
      <c r="Q31" s="48"/>
      <c r="R31" s="123"/>
      <c r="S31" s="123"/>
      <c r="T31" s="50"/>
      <c r="U31" s="50"/>
      <c r="V31" s="50"/>
      <c r="W31" s="50"/>
      <c r="X31" s="55"/>
      <c r="Y31" s="52"/>
      <c r="Z31" s="50"/>
      <c r="AA31" s="50"/>
      <c r="AB31" s="50"/>
      <c r="AC31" s="50"/>
      <c r="AD31" s="50">
        <f t="shared" si="18"/>
        <v>240</v>
      </c>
      <c r="AE31" s="101" t="s">
        <v>274</v>
      </c>
      <c r="AF31" s="124"/>
      <c r="AG31" s="124"/>
      <c r="AH31" s="124"/>
      <c r="AI31" s="124"/>
      <c r="AJ31" s="50"/>
      <c r="AK31" s="50"/>
      <c r="AL31" s="50"/>
      <c r="AM31" s="50">
        <f t="shared" si="19"/>
        <v>0</v>
      </c>
      <c r="AN31" s="50">
        <v>240</v>
      </c>
      <c r="AO31" s="50"/>
      <c r="AP31" s="50"/>
      <c r="AQ31" s="50"/>
      <c r="AR31" s="50">
        <f t="shared" si="20"/>
        <v>240</v>
      </c>
      <c r="AS31" s="50"/>
      <c r="AT31" s="50"/>
      <c r="AU31" s="50"/>
      <c r="AV31" s="50"/>
      <c r="AW31" s="50"/>
      <c r="AX31" s="50"/>
      <c r="AY31" s="50"/>
      <c r="AZ31" s="50"/>
      <c r="BA31" s="50">
        <f t="shared" si="21"/>
        <v>240</v>
      </c>
      <c r="BB31" s="124"/>
      <c r="BC31" s="146"/>
      <c r="BD31" s="146"/>
      <c r="BE31" s="124"/>
      <c r="BF31" s="146"/>
    </row>
    <row r="32" spans="1:58" ht="12.95" customHeight="1" x14ac:dyDescent="0.2">
      <c r="A32" s="117"/>
      <c r="B32" s="204"/>
      <c r="C32" s="205"/>
      <c r="D32" s="204"/>
      <c r="E32" s="37"/>
      <c r="F32" s="37"/>
      <c r="G32" s="208"/>
      <c r="H32" s="121"/>
      <c r="I32" s="45"/>
      <c r="J32" s="46"/>
      <c r="K32" s="46"/>
      <c r="L32" s="206"/>
      <c r="M32" s="206"/>
      <c r="N32" s="47"/>
      <c r="O32" s="48"/>
      <c r="P32" s="49"/>
      <c r="Q32" s="48"/>
      <c r="R32" s="207"/>
      <c r="S32" s="207"/>
      <c r="T32" s="50"/>
      <c r="U32" s="50"/>
      <c r="V32" s="50"/>
      <c r="W32" s="50"/>
      <c r="X32" s="51"/>
      <c r="Y32" s="52"/>
      <c r="Z32" s="50"/>
      <c r="AA32" s="50"/>
      <c r="AB32" s="50"/>
      <c r="AC32" s="50"/>
      <c r="AD32" s="50"/>
      <c r="AE32" s="101"/>
      <c r="AF32" s="50"/>
      <c r="AG32" s="50"/>
      <c r="AH32" s="50"/>
      <c r="AI32" s="54"/>
      <c r="AJ32" s="50"/>
      <c r="AK32" s="50"/>
      <c r="AL32" s="50"/>
      <c r="AM32" s="50"/>
      <c r="AN32" s="125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126"/>
      <c r="BC32" s="116"/>
      <c r="BD32" s="116"/>
      <c r="BE32" s="126"/>
      <c r="BF32" s="116"/>
    </row>
    <row r="33" spans="1:58" ht="12.95" customHeight="1" x14ac:dyDescent="0.2">
      <c r="A33" s="117">
        <v>45967</v>
      </c>
      <c r="B33" s="118" t="s">
        <v>168</v>
      </c>
      <c r="C33" s="119">
        <f>(M33*E33*O33*Q33)/100000000</f>
        <v>49.214830790610684</v>
      </c>
      <c r="D33" s="118" t="s">
        <v>196</v>
      </c>
      <c r="E33" s="37">
        <v>13.5</v>
      </c>
      <c r="F33" s="37">
        <v>1</v>
      </c>
      <c r="G33" s="120">
        <v>1250</v>
      </c>
      <c r="H33" s="203">
        <f>+N33</f>
        <v>0.16060911481156881</v>
      </c>
      <c r="I33" s="45">
        <v>0.88</v>
      </c>
      <c r="J33" s="46">
        <f>E33*G33*(1-H33)*1440/1000000*2.7</f>
        <v>55.072435977212969</v>
      </c>
      <c r="K33" s="46">
        <f>(IF(G33&lt;L33,L33,G33)*(1-IF(H33&lt;N33,H33,N33))*E33*O33*Q33)/100000000</f>
        <v>52.318814178352333</v>
      </c>
      <c r="L33" s="122">
        <v>1175.8396946564885</v>
      </c>
      <c r="M33" s="122">
        <v>986.98912213740459</v>
      </c>
      <c r="N33" s="47">
        <f>1-(M33/L33)</f>
        <v>0.16060911481156881</v>
      </c>
      <c r="O33" s="48">
        <f>+'[6]Trim Rwd'!H14</f>
        <v>256.5</v>
      </c>
      <c r="P33" s="49">
        <f>O33*(Q33-R33-S33)</f>
        <v>328063.5</v>
      </c>
      <c r="Q33" s="48">
        <v>1440</v>
      </c>
      <c r="R33" s="123">
        <v>130</v>
      </c>
      <c r="S33" s="123">
        <v>31</v>
      </c>
      <c r="T33" s="50">
        <f>E33*M33*O33*Q33/100000000</f>
        <v>49.214830790610684</v>
      </c>
      <c r="U33" s="50">
        <f>E33*M33*O33*(Q33-R33-S33)/100000000</f>
        <v>43.712339292493802</v>
      </c>
      <c r="V33" s="50">
        <f>E33*G33*(1-N33)*O33/100*(R33+S33)/1000000</f>
        <v>5.8495340852185587</v>
      </c>
      <c r="W33" s="50">
        <f>+'[6]6'!K7/1000</f>
        <v>36.878</v>
      </c>
      <c r="X33" s="51">
        <f>SUM(W33:W36)/SUM(K33:K36)</f>
        <v>0.70487071580568827</v>
      </c>
      <c r="Y33" s="50">
        <v>0</v>
      </c>
      <c r="Z33" s="50">
        <f>+'[6]6'!D16/1000</f>
        <v>0.746</v>
      </c>
      <c r="AA33" s="53">
        <f>SUM(U33:U36)-SUM(W33:W36)-SUM(Z33:Z36)-SUM(Y33:Y36)</f>
        <v>6.0883392924938011</v>
      </c>
      <c r="AB33" s="53">
        <f>(SUM(K33:K36)-SUM(W33:W36)-SUM(Y33:Y36)-SUM(Z33:Z36)-SUM(AC33:AC36)-SUM(V33:V36))-AA33</f>
        <v>-0.34704258710167668</v>
      </c>
      <c r="AC33" s="50">
        <f>K33-T33</f>
        <v>3.1039833877416498</v>
      </c>
      <c r="AD33" s="50">
        <f>+AM33+BA33</f>
        <v>9</v>
      </c>
      <c r="AE33" s="101" t="s">
        <v>165</v>
      </c>
      <c r="AF33" s="50">
        <v>9</v>
      </c>
      <c r="AG33" s="50"/>
      <c r="AH33" s="50"/>
      <c r="AI33" s="50"/>
      <c r="AJ33" s="50"/>
      <c r="AK33" s="50"/>
      <c r="AL33" s="50"/>
      <c r="AM33" s="50">
        <f>SUM(AF33:AL33)+AT33+AV33+AX33</f>
        <v>9</v>
      </c>
      <c r="AN33" s="50"/>
      <c r="AO33" s="50"/>
      <c r="AP33" s="50"/>
      <c r="AQ33" s="50"/>
      <c r="AR33" s="50">
        <f>SUM(AN33:AQ33)</f>
        <v>0</v>
      </c>
      <c r="AS33" s="50"/>
      <c r="AT33" s="50"/>
      <c r="AU33" s="50"/>
      <c r="AV33" s="50"/>
      <c r="AW33" s="50"/>
      <c r="AX33" s="50"/>
      <c r="AY33" s="50"/>
      <c r="AZ33" s="50"/>
      <c r="BA33" s="50">
        <f>+AR33+AS33+AU33+AW33+AY33+AZ33</f>
        <v>0</v>
      </c>
      <c r="BB33" s="124">
        <v>3</v>
      </c>
      <c r="BC33" s="116"/>
      <c r="BD33" s="116"/>
      <c r="BE33" s="124"/>
      <c r="BF33" s="116">
        <v>2</v>
      </c>
    </row>
    <row r="34" spans="1:58" ht="12.95" customHeight="1" x14ac:dyDescent="0.2">
      <c r="A34" s="117"/>
      <c r="B34" s="118"/>
      <c r="C34" s="119"/>
      <c r="D34" s="118"/>
      <c r="E34" s="37"/>
      <c r="F34" s="37"/>
      <c r="G34" s="120"/>
      <c r="H34" s="203"/>
      <c r="I34" s="45"/>
      <c r="J34" s="46"/>
      <c r="K34" s="46"/>
      <c r="L34" s="122"/>
      <c r="M34" s="122"/>
      <c r="N34" s="47"/>
      <c r="O34" s="48"/>
      <c r="P34" s="49"/>
      <c r="Q34" s="48"/>
      <c r="R34" s="123"/>
      <c r="S34" s="123"/>
      <c r="T34" s="50"/>
      <c r="U34" s="50"/>
      <c r="V34" s="50"/>
      <c r="W34" s="50"/>
      <c r="X34" s="55"/>
      <c r="Y34" s="52"/>
      <c r="Z34" s="50"/>
      <c r="AA34" s="50"/>
      <c r="AB34" s="50"/>
      <c r="AC34" s="50"/>
      <c r="AD34" s="50">
        <f t="shared" ref="AD34:AD36" si="22">+AM34+BA34</f>
        <v>1</v>
      </c>
      <c r="AE34" s="101" t="s">
        <v>174</v>
      </c>
      <c r="AF34" s="50"/>
      <c r="AG34" s="50">
        <v>1</v>
      </c>
      <c r="AH34" s="50"/>
      <c r="AI34" s="50"/>
      <c r="AJ34" s="50"/>
      <c r="AK34" s="50"/>
      <c r="AL34" s="50"/>
      <c r="AM34" s="50">
        <f t="shared" ref="AM34:AM36" si="23">SUM(AF34:AL34)+AT34+AV34+AX34</f>
        <v>1</v>
      </c>
      <c r="AN34" s="125"/>
      <c r="AO34" s="50"/>
      <c r="AP34" s="50"/>
      <c r="AQ34" s="50"/>
      <c r="AR34" s="50">
        <f t="shared" ref="AR34:AR36" si="24">SUM(AN34:AQ34)</f>
        <v>0</v>
      </c>
      <c r="AS34" s="50"/>
      <c r="AT34" s="50"/>
      <c r="AU34" s="50"/>
      <c r="AV34" s="50"/>
      <c r="AW34" s="50"/>
      <c r="AX34" s="50"/>
      <c r="AY34" s="50"/>
      <c r="AZ34" s="50"/>
      <c r="BA34" s="50">
        <f t="shared" ref="BA34:BA36" si="25">+AR34+AS34+AU34+AW34+AY34+AZ34</f>
        <v>0</v>
      </c>
      <c r="BB34" s="126"/>
      <c r="BC34" s="116">
        <v>1</v>
      </c>
      <c r="BD34" s="116"/>
      <c r="BE34" s="126"/>
      <c r="BF34" s="116"/>
    </row>
    <row r="35" spans="1:58" ht="12.95" customHeight="1" x14ac:dyDescent="0.2">
      <c r="A35" s="117"/>
      <c r="B35" s="118"/>
      <c r="C35" s="119"/>
      <c r="D35" s="118"/>
      <c r="E35" s="37"/>
      <c r="F35" s="37"/>
      <c r="G35" s="127"/>
      <c r="H35" s="121"/>
      <c r="I35" s="45"/>
      <c r="J35" s="46"/>
      <c r="K35" s="46"/>
      <c r="L35" s="122"/>
      <c r="M35" s="122"/>
      <c r="N35" s="47"/>
      <c r="O35" s="48"/>
      <c r="P35" s="49"/>
      <c r="Q35" s="48"/>
      <c r="R35" s="123"/>
      <c r="S35" s="123"/>
      <c r="T35" s="50"/>
      <c r="U35" s="50"/>
      <c r="V35" s="50"/>
      <c r="W35" s="50"/>
      <c r="X35" s="55"/>
      <c r="Y35" s="52"/>
      <c r="Z35" s="50"/>
      <c r="AA35" s="50"/>
      <c r="AB35" s="50"/>
      <c r="AC35" s="50"/>
      <c r="AD35" s="50">
        <f t="shared" si="22"/>
        <v>21</v>
      </c>
      <c r="AE35" s="101" t="s">
        <v>212</v>
      </c>
      <c r="AF35" s="124"/>
      <c r="AG35" s="124"/>
      <c r="AH35" s="124">
        <v>21</v>
      </c>
      <c r="AI35" s="124"/>
      <c r="AJ35" s="50"/>
      <c r="AK35" s="50"/>
      <c r="AL35" s="50"/>
      <c r="AM35" s="50">
        <f t="shared" si="23"/>
        <v>21</v>
      </c>
      <c r="AN35" s="50"/>
      <c r="AO35" s="50"/>
      <c r="AP35" s="50"/>
      <c r="AQ35" s="50"/>
      <c r="AR35" s="50">
        <f t="shared" si="24"/>
        <v>0</v>
      </c>
      <c r="AS35" s="50"/>
      <c r="AT35" s="50"/>
      <c r="AU35" s="50"/>
      <c r="AV35" s="50"/>
      <c r="AW35" s="50"/>
      <c r="AX35" s="50"/>
      <c r="AY35" s="50"/>
      <c r="AZ35" s="50"/>
      <c r="BA35" s="50">
        <f t="shared" si="25"/>
        <v>0</v>
      </c>
      <c r="BB35" s="124"/>
      <c r="BC35" s="146"/>
      <c r="BD35" s="146"/>
      <c r="BE35" s="124"/>
      <c r="BF35" s="146"/>
    </row>
    <row r="36" spans="1:58" ht="12.95" customHeight="1" x14ac:dyDescent="0.2">
      <c r="A36" s="117"/>
      <c r="B36" s="118"/>
      <c r="C36" s="119"/>
      <c r="D36" s="118"/>
      <c r="E36" s="37"/>
      <c r="F36" s="37"/>
      <c r="G36" s="127"/>
      <c r="H36" s="121"/>
      <c r="I36" s="45"/>
      <c r="J36" s="46"/>
      <c r="K36" s="46"/>
      <c r="L36" s="122"/>
      <c r="M36" s="122"/>
      <c r="N36" s="47"/>
      <c r="O36" s="48"/>
      <c r="P36" s="49"/>
      <c r="Q36" s="48"/>
      <c r="R36" s="123"/>
      <c r="S36" s="123"/>
      <c r="T36" s="50"/>
      <c r="U36" s="50"/>
      <c r="V36" s="50"/>
      <c r="W36" s="50"/>
      <c r="X36" s="55"/>
      <c r="Y36" s="52"/>
      <c r="Z36" s="50"/>
      <c r="AA36" s="50"/>
      <c r="AB36" s="50"/>
      <c r="AC36" s="50"/>
      <c r="AD36" s="50">
        <f t="shared" si="22"/>
        <v>130</v>
      </c>
      <c r="AE36" s="101" t="s">
        <v>273</v>
      </c>
      <c r="AF36" s="124"/>
      <c r="AG36" s="124"/>
      <c r="AH36" s="124"/>
      <c r="AI36" s="124"/>
      <c r="AJ36" s="50"/>
      <c r="AK36" s="50"/>
      <c r="AL36" s="50"/>
      <c r="AM36" s="50">
        <f t="shared" si="23"/>
        <v>0</v>
      </c>
      <c r="AN36" s="50">
        <v>130</v>
      </c>
      <c r="AO36" s="50"/>
      <c r="AP36" s="50"/>
      <c r="AQ36" s="50"/>
      <c r="AR36" s="50">
        <f t="shared" si="24"/>
        <v>130</v>
      </c>
      <c r="AS36" s="50"/>
      <c r="AT36" s="50"/>
      <c r="AU36" s="50"/>
      <c r="AV36" s="50"/>
      <c r="AW36" s="50"/>
      <c r="AX36" s="50"/>
      <c r="AY36" s="50"/>
      <c r="AZ36" s="50"/>
      <c r="BA36" s="50">
        <f t="shared" si="25"/>
        <v>130</v>
      </c>
      <c r="BB36" s="124"/>
      <c r="BC36" s="146"/>
      <c r="BD36" s="146"/>
      <c r="BE36" s="124"/>
      <c r="BF36" s="146"/>
    </row>
    <row r="37" spans="1:58" ht="12.95" customHeight="1" x14ac:dyDescent="0.2">
      <c r="A37" s="117"/>
      <c r="B37" s="204"/>
      <c r="C37" s="205"/>
      <c r="D37" s="204"/>
      <c r="E37" s="37"/>
      <c r="F37" s="37"/>
      <c r="G37" s="208"/>
      <c r="H37" s="121"/>
      <c r="I37" s="45"/>
      <c r="J37" s="46"/>
      <c r="K37" s="46"/>
      <c r="L37" s="206"/>
      <c r="M37" s="206"/>
      <c r="N37" s="47"/>
      <c r="O37" s="48"/>
      <c r="P37" s="49"/>
      <c r="Q37" s="48"/>
      <c r="R37" s="207"/>
      <c r="S37" s="207"/>
      <c r="T37" s="50"/>
      <c r="U37" s="50"/>
      <c r="V37" s="50"/>
      <c r="W37" s="50"/>
      <c r="X37" s="51"/>
      <c r="Y37" s="52"/>
      <c r="Z37" s="50"/>
      <c r="AA37" s="50"/>
      <c r="AB37" s="50"/>
      <c r="AC37" s="50"/>
      <c r="AD37" s="50"/>
      <c r="AE37" s="101"/>
      <c r="AF37" s="50"/>
      <c r="AG37" s="50"/>
      <c r="AH37" s="50"/>
      <c r="AI37" s="54"/>
      <c r="AJ37" s="50"/>
      <c r="AK37" s="50"/>
      <c r="AL37" s="50"/>
      <c r="AM37" s="50"/>
      <c r="AN37" s="125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126"/>
      <c r="BC37" s="116"/>
      <c r="BD37" s="116"/>
      <c r="BE37" s="126"/>
      <c r="BF37" s="116"/>
    </row>
    <row r="38" spans="1:58" ht="12.95" customHeight="1" x14ac:dyDescent="0.2">
      <c r="A38" s="117">
        <v>45968</v>
      </c>
      <c r="B38" s="118" t="s">
        <v>168</v>
      </c>
      <c r="C38" s="119">
        <f>(M38*E38*O38*Q38)/100000000</f>
        <v>50.567009184000007</v>
      </c>
      <c r="D38" s="118" t="s">
        <v>196</v>
      </c>
      <c r="E38" s="37">
        <v>13.5</v>
      </c>
      <c r="F38" s="37">
        <v>1</v>
      </c>
      <c r="G38" s="120">
        <v>1250</v>
      </c>
      <c r="H38" s="203">
        <f>+N38</f>
        <v>0.16166437034995873</v>
      </c>
      <c r="I38" s="45">
        <v>0.88</v>
      </c>
      <c r="J38" s="46">
        <f>E38*G38*(1-H38)*1440/1000000*2.7</f>
        <v>55.003200661339214</v>
      </c>
      <c r="K38" s="46">
        <f>(IF(G38&lt;L38,L38,G38)*(1-IF(H38&lt;N38,H38,N38))*E38*O38*Q38)/100000000</f>
        <v>52.253040628272259</v>
      </c>
      <c r="L38" s="122">
        <v>1209.6666666666667</v>
      </c>
      <c r="M38" s="122">
        <v>1014.1066666666667</v>
      </c>
      <c r="N38" s="47">
        <f>1-(M38/L38)</f>
        <v>0.16166437034995873</v>
      </c>
      <c r="O38" s="48">
        <f>+'[6]Trim Rwd'!H16</f>
        <v>256.5</v>
      </c>
      <c r="P38" s="49">
        <f>O38*(Q38-R38-S38)</f>
        <v>362691</v>
      </c>
      <c r="Q38" s="48">
        <v>1440</v>
      </c>
      <c r="R38" s="123">
        <v>0</v>
      </c>
      <c r="S38" s="123">
        <v>26</v>
      </c>
      <c r="T38" s="50">
        <f>E38*M38*O38*Q38/100000000</f>
        <v>50.567009184000007</v>
      </c>
      <c r="U38" s="50">
        <f>E38*M38*O38*(Q38-R38-S38)/100000000</f>
        <v>49.653993740400011</v>
      </c>
      <c r="V38" s="50">
        <f>E38*G38*(1-N38)*O38/100*(R38+S38)/1000000</f>
        <v>0.9434576780104712</v>
      </c>
      <c r="W38" s="50">
        <f>+'[6]7'!K7/1000</f>
        <v>39.999000000000002</v>
      </c>
      <c r="X38" s="51">
        <f>SUM(W38:W41)/SUM(K38:K41)</f>
        <v>0.76548655387449294</v>
      </c>
      <c r="Y38" s="50">
        <f>+SUM([6]RBP!AG28:AG29)</f>
        <v>0</v>
      </c>
      <c r="Z38" s="50">
        <f>+'[6]7'!D34/1000</f>
        <v>2.2869999999999999</v>
      </c>
      <c r="AA38" s="53">
        <f>SUM(U38:U41)-SUM(W38:W41)-SUM(Z38:Z41)-SUM(Y38:Y41)</f>
        <v>7.3679937404000091</v>
      </c>
      <c r="AB38" s="53">
        <f>(SUM(K38:K41)-SUM(W38:W41)-SUM(Y38:Y41)-SUM(Z38:Z41)-SUM(AC38:AC41)-SUM(V38:V41))-AA38</f>
        <v>-3.0442234410474889E-2</v>
      </c>
      <c r="AC38" s="50">
        <f>K38-T38</f>
        <v>1.6860314442722526</v>
      </c>
      <c r="AD38" s="50">
        <f>+AM38+BA38</f>
        <v>9</v>
      </c>
      <c r="AE38" s="101" t="s">
        <v>165</v>
      </c>
      <c r="AF38" s="50">
        <v>9</v>
      </c>
      <c r="AG38" s="50"/>
      <c r="AH38" s="50"/>
      <c r="AI38" s="50"/>
      <c r="AJ38" s="50"/>
      <c r="AK38" s="50"/>
      <c r="AL38" s="50"/>
      <c r="AM38" s="50">
        <f>SUM(AF38:AL38)+AT38+AV38+AX38</f>
        <v>9</v>
      </c>
      <c r="AN38" s="50"/>
      <c r="AO38" s="50"/>
      <c r="AP38" s="50"/>
      <c r="AQ38" s="50"/>
      <c r="AR38" s="50">
        <f>SUM(AN38:AQ38)</f>
        <v>0</v>
      </c>
      <c r="AS38" s="50"/>
      <c r="AT38" s="50"/>
      <c r="AU38" s="50"/>
      <c r="AV38" s="50"/>
      <c r="AW38" s="50"/>
      <c r="AX38" s="50"/>
      <c r="AY38" s="50"/>
      <c r="AZ38" s="50"/>
      <c r="BA38" s="50">
        <f>+AR38+AS38+AU38+AW38+AY38+AZ38</f>
        <v>0</v>
      </c>
      <c r="BB38" s="124">
        <v>3</v>
      </c>
      <c r="BC38" s="116"/>
      <c r="BD38" s="116"/>
      <c r="BE38" s="124"/>
      <c r="BF38" s="116"/>
    </row>
    <row r="39" spans="1:58" ht="12.95" customHeight="1" x14ac:dyDescent="0.2">
      <c r="A39" s="117"/>
      <c r="B39" s="118"/>
      <c r="C39" s="119"/>
      <c r="D39" s="118"/>
      <c r="E39" s="37"/>
      <c r="F39" s="37"/>
      <c r="G39" s="120"/>
      <c r="H39" s="203"/>
      <c r="I39" s="45"/>
      <c r="J39" s="46"/>
      <c r="K39" s="46"/>
      <c r="L39" s="122"/>
      <c r="M39" s="122"/>
      <c r="N39" s="47"/>
      <c r="O39" s="48"/>
      <c r="P39" s="49"/>
      <c r="Q39" s="48"/>
      <c r="R39" s="123"/>
      <c r="S39" s="123"/>
      <c r="T39" s="50"/>
      <c r="U39" s="50"/>
      <c r="V39" s="50"/>
      <c r="W39" s="50"/>
      <c r="X39" s="55"/>
      <c r="Y39" s="52"/>
      <c r="Z39" s="50"/>
      <c r="AA39" s="50"/>
      <c r="AB39" s="50"/>
      <c r="AC39" s="50"/>
      <c r="AD39" s="50">
        <f t="shared" ref="AD39:AD40" si="26">+AM39+BA39</f>
        <v>0</v>
      </c>
      <c r="AE39" s="101" t="s">
        <v>111</v>
      </c>
      <c r="AF39" s="50"/>
      <c r="AG39" s="50">
        <v>0</v>
      </c>
      <c r="AH39" s="50"/>
      <c r="AI39" s="50"/>
      <c r="AJ39" s="50"/>
      <c r="AK39" s="50"/>
      <c r="AL39" s="50"/>
      <c r="AM39" s="50">
        <f t="shared" ref="AM39:AM40" si="27">SUM(AF39:AL39)+AT39+AV39+AX39</f>
        <v>0</v>
      </c>
      <c r="AN39" s="125"/>
      <c r="AO39" s="50"/>
      <c r="AP39" s="50"/>
      <c r="AQ39" s="50"/>
      <c r="AR39" s="50">
        <f t="shared" ref="AR39:AR40" si="28">SUM(AN39:AQ39)</f>
        <v>0</v>
      </c>
      <c r="AS39" s="50"/>
      <c r="AT39" s="50"/>
      <c r="AU39" s="50"/>
      <c r="AV39" s="50"/>
      <c r="AW39" s="50"/>
      <c r="AX39" s="50"/>
      <c r="AY39" s="50"/>
      <c r="AZ39" s="50"/>
      <c r="BA39" s="50">
        <f t="shared" ref="BA39:BA40" si="29">+AR39+AS39+AU39+AW39+AY39+AZ39</f>
        <v>0</v>
      </c>
      <c r="BB39" s="126"/>
      <c r="BC39" s="116">
        <v>0</v>
      </c>
      <c r="BD39" s="116"/>
      <c r="BE39" s="126"/>
      <c r="BF39" s="116"/>
    </row>
    <row r="40" spans="1:58" ht="12.95" customHeight="1" x14ac:dyDescent="0.2">
      <c r="A40" s="117"/>
      <c r="B40" s="118"/>
      <c r="C40" s="119"/>
      <c r="D40" s="118"/>
      <c r="E40" s="37"/>
      <c r="F40" s="37"/>
      <c r="G40" s="127"/>
      <c r="H40" s="121"/>
      <c r="I40" s="45"/>
      <c r="J40" s="46"/>
      <c r="K40" s="46"/>
      <c r="L40" s="122"/>
      <c r="M40" s="122"/>
      <c r="N40" s="47"/>
      <c r="O40" s="48"/>
      <c r="P40" s="49"/>
      <c r="Q40" s="48"/>
      <c r="R40" s="123"/>
      <c r="S40" s="123"/>
      <c r="T40" s="50"/>
      <c r="U40" s="50"/>
      <c r="V40" s="50"/>
      <c r="W40" s="50"/>
      <c r="X40" s="55"/>
      <c r="Y40" s="52"/>
      <c r="Z40" s="50"/>
      <c r="AA40" s="50"/>
      <c r="AB40" s="50"/>
      <c r="AC40" s="50"/>
      <c r="AD40" s="50">
        <f t="shared" si="26"/>
        <v>17</v>
      </c>
      <c r="AE40" s="101" t="s">
        <v>207</v>
      </c>
      <c r="AF40" s="124"/>
      <c r="AG40" s="124"/>
      <c r="AH40" s="124">
        <v>17</v>
      </c>
      <c r="AI40" s="124"/>
      <c r="AJ40" s="50"/>
      <c r="AK40" s="50"/>
      <c r="AL40" s="50"/>
      <c r="AM40" s="50">
        <f t="shared" si="27"/>
        <v>17</v>
      </c>
      <c r="AN40" s="50"/>
      <c r="AO40" s="50"/>
      <c r="AP40" s="50"/>
      <c r="AQ40" s="50"/>
      <c r="AR40" s="50">
        <f t="shared" si="28"/>
        <v>0</v>
      </c>
      <c r="AS40" s="50"/>
      <c r="AT40" s="50"/>
      <c r="AU40" s="50"/>
      <c r="AV40" s="50"/>
      <c r="AW40" s="50"/>
      <c r="AX40" s="50"/>
      <c r="AY40" s="50"/>
      <c r="AZ40" s="50"/>
      <c r="BA40" s="50">
        <f t="shared" si="29"/>
        <v>0</v>
      </c>
      <c r="BB40" s="124"/>
      <c r="BC40" s="146"/>
      <c r="BD40" s="146"/>
      <c r="BE40" s="124"/>
      <c r="BF40" s="146"/>
    </row>
    <row r="41" spans="1:58" ht="12.95" customHeight="1" x14ac:dyDescent="0.2">
      <c r="A41" s="117"/>
      <c r="B41" s="118"/>
      <c r="C41" s="119"/>
      <c r="D41" s="118"/>
      <c r="E41" s="37"/>
      <c r="F41" s="37"/>
      <c r="G41" s="127"/>
      <c r="H41" s="121"/>
      <c r="I41" s="45"/>
      <c r="J41" s="46"/>
      <c r="K41" s="46"/>
      <c r="L41" s="122"/>
      <c r="M41" s="122"/>
      <c r="N41" s="47"/>
      <c r="O41" s="48"/>
      <c r="P41" s="49"/>
      <c r="Q41" s="48"/>
      <c r="R41" s="123"/>
      <c r="S41" s="123"/>
      <c r="T41" s="50"/>
      <c r="U41" s="50"/>
      <c r="V41" s="50"/>
      <c r="W41" s="50"/>
      <c r="X41" s="55"/>
      <c r="Y41" s="52"/>
      <c r="Z41" s="50"/>
      <c r="AA41" s="50"/>
      <c r="AB41" s="50"/>
      <c r="AC41" s="50"/>
      <c r="AD41" s="50"/>
      <c r="AE41" s="101"/>
      <c r="AF41" s="124"/>
      <c r="AG41" s="124"/>
      <c r="AH41" s="124"/>
      <c r="AI41" s="124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124"/>
      <c r="BC41" s="146"/>
      <c r="BD41" s="146"/>
      <c r="BE41" s="124"/>
      <c r="BF41" s="146"/>
    </row>
    <row r="42" spans="1:58" ht="12.95" customHeight="1" x14ac:dyDescent="0.2">
      <c r="A42" s="117">
        <v>45969</v>
      </c>
      <c r="B42" s="118" t="s">
        <v>168</v>
      </c>
      <c r="C42" s="119">
        <f>(M42*E42*O42*Q42)/100000000</f>
        <v>50.6053556775</v>
      </c>
      <c r="D42" s="118" t="s">
        <v>196</v>
      </c>
      <c r="E42" s="37">
        <v>13.5</v>
      </c>
      <c r="F42" s="37">
        <v>1</v>
      </c>
      <c r="G42" s="120">
        <v>1255</v>
      </c>
      <c r="H42" s="203">
        <f>+N42</f>
        <v>0.16351611241485897</v>
      </c>
      <c r="I42" s="45">
        <v>0.88</v>
      </c>
      <c r="J42" s="46">
        <f>E42*G42*(1-H42)*1440/1000000*2.7</f>
        <v>55.101234695918954</v>
      </c>
      <c r="K42" s="46">
        <f>(IF(G42&lt;L42,L42,G42)*(1-IF(H42&lt;N42,H42,N42))*E42*O42*Q42)/100000000</f>
        <v>52.34617296112301</v>
      </c>
      <c r="L42" s="122">
        <v>1213.2638888888889</v>
      </c>
      <c r="M42" s="122">
        <v>1014.8756944444444</v>
      </c>
      <c r="N42" s="47">
        <f>1-(M42/L42)</f>
        <v>0.16351611241485897</v>
      </c>
      <c r="O42" s="48">
        <f>+'[6]Trim Rwd'!H18</f>
        <v>256.5</v>
      </c>
      <c r="P42" s="49">
        <f>O42*(Q42-R42-S42)</f>
        <v>359356.5</v>
      </c>
      <c r="Q42" s="48">
        <v>1440</v>
      </c>
      <c r="R42" s="123">
        <v>0</v>
      </c>
      <c r="S42" s="123">
        <v>39</v>
      </c>
      <c r="T42" s="50">
        <f>E42*M42*O42*Q42/100000000</f>
        <v>50.6053556775</v>
      </c>
      <c r="U42" s="50">
        <f>E42*M42*O42*(Q42-R42-S42)/100000000</f>
        <v>49.234793961234381</v>
      </c>
      <c r="V42" s="50">
        <f>E42*G42*(1-N42)*O42/100*(R42+S42)/1000000</f>
        <v>1.4177088510304146</v>
      </c>
      <c r="W42" s="50">
        <f>+'[6]8'!K7/1000</f>
        <v>36.210999999999999</v>
      </c>
      <c r="X42" s="51">
        <f>SUM(W42:W45)/SUM(K42:K45)</f>
        <v>0.69176021763603524</v>
      </c>
      <c r="Y42" s="50">
        <f>+SUM([6]RBP!AG32:AG33)</f>
        <v>0</v>
      </c>
      <c r="Z42" s="50">
        <f>+'[6]8'!D34/1000</f>
        <v>2.73</v>
      </c>
      <c r="AA42" s="53">
        <f>SUM(U42:U45)-SUM(W42:W45)-SUM(Z42:Z45)-SUM(Y42:Y45)</f>
        <v>10.293793961234382</v>
      </c>
      <c r="AB42" s="53">
        <f>(SUM(K42:K45)-SUM(W42:W45)-SUM(Y42:Y45)-SUM(Z42:Z45)-SUM(AC42:AC45)-SUM(V42:V45))-AA42</f>
        <v>-4.7147134764795595E-2</v>
      </c>
      <c r="AC42" s="50">
        <f>K42-T42</f>
        <v>1.7408172836230094</v>
      </c>
      <c r="AD42" s="50">
        <f>+AM42+BA42</f>
        <v>10</v>
      </c>
      <c r="AE42" s="101" t="s">
        <v>164</v>
      </c>
      <c r="AF42" s="50">
        <v>10</v>
      </c>
      <c r="AG42" s="50"/>
      <c r="AH42" s="50"/>
      <c r="AI42" s="50"/>
      <c r="AJ42" s="50"/>
      <c r="AK42" s="50"/>
      <c r="AL42" s="50"/>
      <c r="AM42" s="50">
        <f>SUM(AF42:AL42)+AT42+AV42+AX42</f>
        <v>10</v>
      </c>
      <c r="AN42" s="50"/>
      <c r="AO42" s="50"/>
      <c r="AP42" s="50"/>
      <c r="AQ42" s="50"/>
      <c r="AR42" s="50">
        <f>SUM(AN42:AQ42)</f>
        <v>0</v>
      </c>
      <c r="AS42" s="50"/>
      <c r="AT42" s="50"/>
      <c r="AU42" s="50"/>
      <c r="AV42" s="50"/>
      <c r="AW42" s="50"/>
      <c r="AX42" s="50"/>
      <c r="AY42" s="50"/>
      <c r="AZ42" s="50"/>
      <c r="BA42" s="50">
        <f>+AR42+AS42+AU42+AW42+AY42+AZ42</f>
        <v>0</v>
      </c>
      <c r="BB42" s="124">
        <v>5</v>
      </c>
      <c r="BC42" s="116"/>
      <c r="BD42" s="116"/>
      <c r="BE42" s="124"/>
      <c r="BF42" s="116"/>
    </row>
    <row r="43" spans="1:58" ht="12.95" customHeight="1" x14ac:dyDescent="0.2">
      <c r="A43" s="117"/>
      <c r="B43" s="118"/>
      <c r="C43" s="119"/>
      <c r="D43" s="118"/>
      <c r="E43" s="37"/>
      <c r="F43" s="37"/>
      <c r="G43" s="120"/>
      <c r="H43" s="203"/>
      <c r="I43" s="45"/>
      <c r="J43" s="46"/>
      <c r="K43" s="46"/>
      <c r="L43" s="122"/>
      <c r="M43" s="122"/>
      <c r="N43" s="47"/>
      <c r="O43" s="48"/>
      <c r="P43" s="49"/>
      <c r="Q43" s="48"/>
      <c r="R43" s="123"/>
      <c r="S43" s="123"/>
      <c r="T43" s="50"/>
      <c r="U43" s="50"/>
      <c r="V43" s="50"/>
      <c r="W43" s="50"/>
      <c r="X43" s="55"/>
      <c r="Y43" s="52"/>
      <c r="Z43" s="50"/>
      <c r="AA43" s="50"/>
      <c r="AB43" s="50"/>
      <c r="AC43" s="50"/>
      <c r="AD43" s="50">
        <f t="shared" ref="AD43:AD44" si="30">+AM43+BA43</f>
        <v>2</v>
      </c>
      <c r="AE43" s="101" t="s">
        <v>174</v>
      </c>
      <c r="AF43" s="50"/>
      <c r="AG43" s="50">
        <v>2</v>
      </c>
      <c r="AH43" s="50"/>
      <c r="AI43" s="50"/>
      <c r="AJ43" s="50"/>
      <c r="AK43" s="50"/>
      <c r="AL43" s="50"/>
      <c r="AM43" s="50">
        <f t="shared" ref="AM43:AM44" si="31">SUM(AF43:AL43)+AT43+AV43+AX43</f>
        <v>2</v>
      </c>
      <c r="AN43" s="125"/>
      <c r="AO43" s="50"/>
      <c r="AP43" s="50"/>
      <c r="AQ43" s="50"/>
      <c r="AR43" s="50">
        <f t="shared" ref="AR43:AR44" si="32">SUM(AN43:AQ43)</f>
        <v>0</v>
      </c>
      <c r="AS43" s="50"/>
      <c r="AT43" s="50"/>
      <c r="AU43" s="50"/>
      <c r="AV43" s="50"/>
      <c r="AW43" s="50"/>
      <c r="AX43" s="50"/>
      <c r="AY43" s="50"/>
      <c r="AZ43" s="50"/>
      <c r="BA43" s="50">
        <f t="shared" ref="BA43:BA44" si="33">+AR43+AS43+AU43+AW43+AY43+AZ43</f>
        <v>0</v>
      </c>
      <c r="BB43" s="126"/>
      <c r="BC43" s="116">
        <v>1</v>
      </c>
      <c r="BD43" s="116"/>
      <c r="BE43" s="126"/>
      <c r="BF43" s="116"/>
    </row>
    <row r="44" spans="1:58" ht="12.95" customHeight="1" x14ac:dyDescent="0.2">
      <c r="A44" s="117"/>
      <c r="B44" s="118"/>
      <c r="C44" s="119"/>
      <c r="D44" s="118"/>
      <c r="E44" s="37"/>
      <c r="F44" s="37"/>
      <c r="G44" s="127"/>
      <c r="H44" s="121"/>
      <c r="I44" s="45"/>
      <c r="J44" s="46"/>
      <c r="K44" s="46"/>
      <c r="L44" s="122"/>
      <c r="M44" s="122"/>
      <c r="N44" s="47"/>
      <c r="O44" s="48"/>
      <c r="P44" s="49"/>
      <c r="Q44" s="48"/>
      <c r="R44" s="123"/>
      <c r="S44" s="123"/>
      <c r="T44" s="50"/>
      <c r="U44" s="50"/>
      <c r="V44" s="50"/>
      <c r="W44" s="50"/>
      <c r="X44" s="55"/>
      <c r="Y44" s="52"/>
      <c r="Z44" s="50"/>
      <c r="AA44" s="50"/>
      <c r="AB44" s="50"/>
      <c r="AC44" s="50"/>
      <c r="AD44" s="50">
        <f t="shared" si="30"/>
        <v>27</v>
      </c>
      <c r="AE44" s="101" t="s">
        <v>187</v>
      </c>
      <c r="AF44" s="124"/>
      <c r="AG44" s="124"/>
      <c r="AH44" s="124">
        <v>27</v>
      </c>
      <c r="AI44" s="124"/>
      <c r="AJ44" s="50"/>
      <c r="AK44" s="50"/>
      <c r="AL44" s="50"/>
      <c r="AM44" s="50">
        <f t="shared" si="31"/>
        <v>27</v>
      </c>
      <c r="AN44" s="50"/>
      <c r="AO44" s="50"/>
      <c r="AP44" s="50"/>
      <c r="AQ44" s="50"/>
      <c r="AR44" s="50">
        <f t="shared" si="32"/>
        <v>0</v>
      </c>
      <c r="AS44" s="50"/>
      <c r="AT44" s="50"/>
      <c r="AU44" s="50"/>
      <c r="AV44" s="50"/>
      <c r="AW44" s="50"/>
      <c r="AX44" s="50"/>
      <c r="AY44" s="50"/>
      <c r="AZ44" s="50"/>
      <c r="BA44" s="50">
        <f t="shared" si="33"/>
        <v>0</v>
      </c>
      <c r="BB44" s="124"/>
      <c r="BC44" s="146"/>
      <c r="BD44" s="146"/>
      <c r="BE44" s="124"/>
      <c r="BF44" s="146"/>
    </row>
    <row r="45" spans="1:58" ht="12.95" customHeight="1" x14ac:dyDescent="0.2">
      <c r="A45" s="117"/>
      <c r="B45" s="204"/>
      <c r="C45" s="205"/>
      <c r="D45" s="204"/>
      <c r="E45" s="37"/>
      <c r="F45" s="37"/>
      <c r="G45" s="208"/>
      <c r="H45" s="203"/>
      <c r="I45" s="45"/>
      <c r="J45" s="46"/>
      <c r="K45" s="46"/>
      <c r="L45" s="206"/>
      <c r="M45" s="206"/>
      <c r="N45" s="47"/>
      <c r="O45" s="48"/>
      <c r="P45" s="49"/>
      <c r="Q45" s="48"/>
      <c r="R45" s="207"/>
      <c r="S45" s="207"/>
      <c r="T45" s="50"/>
      <c r="U45" s="50"/>
      <c r="V45" s="50"/>
      <c r="W45" s="50"/>
      <c r="X45" s="51"/>
      <c r="Y45" s="52"/>
      <c r="Z45" s="50"/>
      <c r="AA45" s="50"/>
      <c r="AB45" s="50"/>
      <c r="AC45" s="50"/>
      <c r="AD45" s="50"/>
      <c r="AE45" s="101"/>
      <c r="AF45" s="124"/>
      <c r="AG45" s="124"/>
      <c r="AH45" s="124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124"/>
      <c r="BC45" s="146"/>
      <c r="BD45" s="116"/>
      <c r="BE45" s="116"/>
      <c r="BF45" s="116"/>
    </row>
    <row r="46" spans="1:58" ht="12.95" customHeight="1" x14ac:dyDescent="0.2">
      <c r="A46" s="117">
        <v>45970</v>
      </c>
      <c r="B46" s="118" t="s">
        <v>168</v>
      </c>
      <c r="C46" s="119">
        <f>(M46*E46*O46*Q46)/100000000</f>
        <v>50.448195305999995</v>
      </c>
      <c r="D46" s="118" t="s">
        <v>196</v>
      </c>
      <c r="E46" s="37">
        <v>13.5</v>
      </c>
      <c r="F46" s="37">
        <v>1</v>
      </c>
      <c r="G46" s="120">
        <v>1265</v>
      </c>
      <c r="H46" s="203">
        <f>+N46</f>
        <v>0.16999999999999993</v>
      </c>
      <c r="I46" s="45">
        <v>0.88</v>
      </c>
      <c r="J46" s="46">
        <f>E46*G46*(1-H46)*1440/1000000*2.7</f>
        <v>55.109775600000006</v>
      </c>
      <c r="K46" s="46">
        <f>(IF(G46&lt;L46,L46,G46)*(1-IF(H46&lt;N46,H46,N46))*E46*O46*Q46)/100000000</f>
        <v>52.354286819999999</v>
      </c>
      <c r="L46" s="122">
        <v>1218.9444444444443</v>
      </c>
      <c r="M46" s="122">
        <v>1011.7238888888888</v>
      </c>
      <c r="N46" s="47">
        <f>1-(M46/L46)</f>
        <v>0.16999999999999993</v>
      </c>
      <c r="O46" s="48">
        <f>+'[6]Trim Rwd'!H20</f>
        <v>256.5</v>
      </c>
      <c r="P46" s="49">
        <f>O46*(Q46-R46-S46)</f>
        <v>364743</v>
      </c>
      <c r="Q46" s="48">
        <v>1440</v>
      </c>
      <c r="R46" s="123">
        <v>0</v>
      </c>
      <c r="S46" s="123">
        <v>18</v>
      </c>
      <c r="T46" s="50">
        <f>E46*M46*O46*Q46/100000000</f>
        <v>50.448195305999995</v>
      </c>
      <c r="U46" s="50">
        <f>E46*M46*O46*(Q46-R46-S46)/100000000</f>
        <v>49.817592864674999</v>
      </c>
      <c r="V46" s="50">
        <f>E46*G46*(1-N46)*O46/100*(R46+S46)/1000000</f>
        <v>0.65442858525000014</v>
      </c>
      <c r="W46" s="50">
        <f>+'[6]9'!K7/1000</f>
        <v>50.975999999999999</v>
      </c>
      <c r="X46" s="51">
        <f>SUM(W46:W49)/SUM(K46:K49)</f>
        <v>0.97367384977014959</v>
      </c>
      <c r="Y46" s="50">
        <f>+SUM([6]RBP!AG36:AG37)</f>
        <v>0</v>
      </c>
      <c r="Z46" s="50">
        <f>+'[6]7'!D42/1000</f>
        <v>0</v>
      </c>
      <c r="AA46" s="53">
        <f>SUM(U46:U49)-SUM(W46:W49)-SUM(Z46:Z49)-SUM(Y46:Y49)</f>
        <v>-1.1584071353249996</v>
      </c>
      <c r="AB46" s="53">
        <f>(SUM(K46:K49)-SUM(W46:W49)-SUM(Y46:Y49)-SUM(Z46:Z49)-SUM(AC46:AC49)-SUM(V46:V49))-AA46</f>
        <v>-2.3826143925004484E-2</v>
      </c>
      <c r="AC46" s="50">
        <f>K46-T46</f>
        <v>1.9060915140000034</v>
      </c>
      <c r="AD46" s="50">
        <f>+AM46+BA46</f>
        <v>0</v>
      </c>
      <c r="AE46" s="101" t="s">
        <v>110</v>
      </c>
      <c r="AF46" s="50">
        <v>0</v>
      </c>
      <c r="AG46" s="50"/>
      <c r="AH46" s="50"/>
      <c r="AI46" s="50"/>
      <c r="AJ46" s="50"/>
      <c r="AK46" s="50"/>
      <c r="AL46" s="50"/>
      <c r="AM46" s="50">
        <f>SUM(AF46:AL46)+AT46+AV46+AX46</f>
        <v>0</v>
      </c>
      <c r="AN46" s="50"/>
      <c r="AO46" s="50"/>
      <c r="AP46" s="50"/>
      <c r="AQ46" s="50"/>
      <c r="AR46" s="50">
        <f>SUM(AN46:AQ46)</f>
        <v>0</v>
      </c>
      <c r="AS46" s="50"/>
      <c r="AT46" s="50"/>
      <c r="AU46" s="50"/>
      <c r="AV46" s="50"/>
      <c r="AW46" s="50"/>
      <c r="AX46" s="50"/>
      <c r="AY46" s="50"/>
      <c r="AZ46" s="50"/>
      <c r="BA46" s="50">
        <f>+AR46+AS46+AU46+AW46+AY46+AZ46</f>
        <v>0</v>
      </c>
      <c r="BB46" s="124">
        <v>0</v>
      </c>
      <c r="BC46" s="116"/>
      <c r="BD46" s="116"/>
      <c r="BE46" s="124"/>
      <c r="BF46" s="116"/>
    </row>
    <row r="47" spans="1:58" ht="12.95" customHeight="1" x14ac:dyDescent="0.2">
      <c r="A47" s="117"/>
      <c r="B47" s="118"/>
      <c r="C47" s="119"/>
      <c r="D47" s="118"/>
      <c r="E47" s="37"/>
      <c r="F47" s="37"/>
      <c r="G47" s="120"/>
      <c r="H47" s="203"/>
      <c r="I47" s="45"/>
      <c r="J47" s="46"/>
      <c r="K47" s="46"/>
      <c r="L47" s="122"/>
      <c r="M47" s="122"/>
      <c r="N47" s="47"/>
      <c r="O47" s="48"/>
      <c r="P47" s="49"/>
      <c r="Q47" s="48"/>
      <c r="R47" s="123"/>
      <c r="S47" s="123"/>
      <c r="T47" s="50"/>
      <c r="U47" s="50"/>
      <c r="V47" s="50"/>
      <c r="W47" s="50"/>
      <c r="X47" s="55"/>
      <c r="Y47" s="52"/>
      <c r="Z47" s="50"/>
      <c r="AA47" s="50"/>
      <c r="AB47" s="50"/>
      <c r="AC47" s="50"/>
      <c r="AD47" s="50">
        <f t="shared" ref="AD47:AD48" si="34">+AM47+BA47</f>
        <v>0</v>
      </c>
      <c r="AE47" s="101" t="s">
        <v>111</v>
      </c>
      <c r="AF47" s="50"/>
      <c r="AG47" s="50">
        <v>0</v>
      </c>
      <c r="AH47" s="50"/>
      <c r="AI47" s="50"/>
      <c r="AJ47" s="50"/>
      <c r="AK47" s="50"/>
      <c r="AL47" s="50"/>
      <c r="AM47" s="50">
        <f t="shared" ref="AM47:AM48" si="35">SUM(AF47:AL47)+AT47+AV47+AX47</f>
        <v>0</v>
      </c>
      <c r="AN47" s="125"/>
      <c r="AO47" s="50"/>
      <c r="AP47" s="50"/>
      <c r="AQ47" s="50"/>
      <c r="AR47" s="50">
        <f t="shared" ref="AR47:AR48" si="36">SUM(AN47:AQ47)</f>
        <v>0</v>
      </c>
      <c r="AS47" s="50"/>
      <c r="AT47" s="50"/>
      <c r="AU47" s="50"/>
      <c r="AV47" s="50"/>
      <c r="AW47" s="50"/>
      <c r="AX47" s="50"/>
      <c r="AY47" s="50"/>
      <c r="AZ47" s="50"/>
      <c r="BA47" s="50">
        <f t="shared" ref="BA47:BA48" si="37">+AR47+AS47+AU47+AW47+AY47+AZ47</f>
        <v>0</v>
      </c>
      <c r="BB47" s="126"/>
      <c r="BC47" s="116">
        <v>0</v>
      </c>
      <c r="BD47" s="116"/>
      <c r="BE47" s="126"/>
      <c r="BF47" s="116"/>
    </row>
    <row r="48" spans="1:58" ht="12.95" customHeight="1" x14ac:dyDescent="0.2">
      <c r="A48" s="117"/>
      <c r="B48" s="118"/>
      <c r="C48" s="119"/>
      <c r="D48" s="118"/>
      <c r="E48" s="37"/>
      <c r="F48" s="37"/>
      <c r="G48" s="127"/>
      <c r="H48" s="121"/>
      <c r="I48" s="45"/>
      <c r="J48" s="46"/>
      <c r="K48" s="46"/>
      <c r="L48" s="122"/>
      <c r="M48" s="122"/>
      <c r="N48" s="47"/>
      <c r="O48" s="48"/>
      <c r="P48" s="49"/>
      <c r="Q48" s="48"/>
      <c r="R48" s="123"/>
      <c r="S48" s="123"/>
      <c r="T48" s="50"/>
      <c r="U48" s="50"/>
      <c r="V48" s="50"/>
      <c r="W48" s="50"/>
      <c r="X48" s="55"/>
      <c r="Y48" s="52"/>
      <c r="Z48" s="50"/>
      <c r="AA48" s="50"/>
      <c r="AB48" s="50"/>
      <c r="AC48" s="50"/>
      <c r="AD48" s="50">
        <f t="shared" si="34"/>
        <v>18</v>
      </c>
      <c r="AE48" s="101" t="s">
        <v>126</v>
      </c>
      <c r="AF48" s="124"/>
      <c r="AG48" s="124"/>
      <c r="AH48" s="124">
        <v>18</v>
      </c>
      <c r="AI48" s="124"/>
      <c r="AJ48" s="50"/>
      <c r="AK48" s="50"/>
      <c r="AL48" s="50"/>
      <c r="AM48" s="50">
        <f t="shared" si="35"/>
        <v>18</v>
      </c>
      <c r="AN48" s="50"/>
      <c r="AO48" s="50"/>
      <c r="AP48" s="50"/>
      <c r="AQ48" s="50"/>
      <c r="AR48" s="50">
        <f t="shared" si="36"/>
        <v>0</v>
      </c>
      <c r="AS48" s="50"/>
      <c r="AT48" s="50"/>
      <c r="AU48" s="50"/>
      <c r="AV48" s="50"/>
      <c r="AW48" s="50"/>
      <c r="AX48" s="50"/>
      <c r="AY48" s="50"/>
      <c r="AZ48" s="50"/>
      <c r="BA48" s="50">
        <f t="shared" si="37"/>
        <v>0</v>
      </c>
      <c r="BB48" s="124"/>
      <c r="BC48" s="146"/>
      <c r="BD48" s="146"/>
      <c r="BE48" s="124"/>
      <c r="BF48" s="146"/>
    </row>
    <row r="49" spans="1:58" ht="12.95" customHeight="1" x14ac:dyDescent="0.2">
      <c r="A49" s="247"/>
      <c r="B49" s="204"/>
      <c r="C49" s="205"/>
      <c r="D49" s="204"/>
      <c r="E49" s="37"/>
      <c r="F49" s="37"/>
      <c r="G49" s="208"/>
      <c r="H49" s="203"/>
      <c r="I49" s="45"/>
      <c r="J49" s="46"/>
      <c r="K49" s="46"/>
      <c r="L49" s="206"/>
      <c r="M49" s="206"/>
      <c r="N49" s="47"/>
      <c r="O49" s="48"/>
      <c r="P49" s="49"/>
      <c r="Q49" s="48"/>
      <c r="R49" s="207"/>
      <c r="S49" s="207"/>
      <c r="T49" s="50"/>
      <c r="U49" s="50"/>
      <c r="V49" s="50"/>
      <c r="W49" s="50"/>
      <c r="X49" s="51"/>
      <c r="Y49" s="52"/>
      <c r="Z49" s="50"/>
      <c r="AA49" s="50"/>
      <c r="AB49" s="50"/>
      <c r="AC49" s="50"/>
      <c r="AD49" s="50"/>
      <c r="AE49" s="101"/>
      <c r="AF49" s="124"/>
      <c r="AG49" s="124"/>
      <c r="AH49" s="124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124"/>
      <c r="BC49" s="146"/>
      <c r="BD49" s="116"/>
      <c r="BE49" s="116"/>
      <c r="BF49" s="116"/>
    </row>
    <row r="50" spans="1:58" ht="12.95" customHeight="1" x14ac:dyDescent="0.2">
      <c r="A50" s="247">
        <v>45971</v>
      </c>
      <c r="B50" s="204" t="s">
        <v>168</v>
      </c>
      <c r="C50" s="205">
        <f>(M50*E50*O50*Q50)/100000000</f>
        <v>48.592112827500003</v>
      </c>
      <c r="D50" s="204" t="s">
        <v>196</v>
      </c>
      <c r="E50" s="37">
        <v>13.5</v>
      </c>
      <c r="F50" s="37">
        <v>1</v>
      </c>
      <c r="G50" s="208">
        <v>1265</v>
      </c>
      <c r="H50" s="203">
        <f>+N50</f>
        <v>0.16999999999999993</v>
      </c>
      <c r="I50" s="45">
        <v>0.88</v>
      </c>
      <c r="J50" s="46">
        <f>E50*G50*(1-H50)*1440/1000000*2.7</f>
        <v>55.109775600000006</v>
      </c>
      <c r="K50" s="46">
        <f>(IF(G50&lt;L50,L50,G50)*(1-IF(H50&lt;N50,H50,N50))*E50*O50*Q50)/100000000</f>
        <v>52.354286819999999</v>
      </c>
      <c r="L50" s="206">
        <v>1174.0972222222222</v>
      </c>
      <c r="M50" s="206">
        <v>974.50069444444443</v>
      </c>
      <c r="N50" s="47">
        <f>1-(M50/L50)</f>
        <v>0.16999999999999993</v>
      </c>
      <c r="O50" s="48">
        <f>+'[6]Trim Rwd'!H22</f>
        <v>256.5</v>
      </c>
      <c r="P50" s="49">
        <f>O50*(Q50-R50-S50)</f>
        <v>365769</v>
      </c>
      <c r="Q50" s="48">
        <v>1440</v>
      </c>
      <c r="R50" s="123">
        <v>0</v>
      </c>
      <c r="S50" s="123">
        <v>14</v>
      </c>
      <c r="T50" s="50">
        <f>E50*M50*O50*Q50/100000000</f>
        <v>48.592112827500003</v>
      </c>
      <c r="U50" s="50">
        <f>E50*M50*O50*(Q50-R50-S50)/100000000</f>
        <v>48.119689508343754</v>
      </c>
      <c r="V50" s="50">
        <f>E50*G50*(1-N50)*O50/100*(R50+S50)/1000000</f>
        <v>0.50900001075000012</v>
      </c>
      <c r="W50" s="50">
        <f>+'[6]10'!K7/1000</f>
        <v>46.512</v>
      </c>
      <c r="X50" s="51">
        <f>SUM(W50:W53)/SUM(K50:K53)</f>
        <v>0.88840862563773537</v>
      </c>
      <c r="Y50" s="50">
        <f>+SUM([6]RBP!AG40:AG41)</f>
        <v>0</v>
      </c>
      <c r="Z50" s="50">
        <f>+'[6]7'!D46/1000</f>
        <v>0</v>
      </c>
      <c r="AA50" s="53">
        <f>SUM(U50:U53)-SUM(W50:W53)-SUM(Z50:Z53)-SUM(Y50:Y53)</f>
        <v>1.6076895083437535</v>
      </c>
      <c r="AB50" s="53">
        <f>(SUM(K50:K53)-SUM(W50:W53)-SUM(Y50:Y53)-SUM(Z50:Z53)-SUM(AC50:AC53)-SUM(V50:V53))-AA50</f>
        <v>-3.6576691593751098E-2</v>
      </c>
      <c r="AC50" s="50">
        <f>K50-T50</f>
        <v>3.7621739924999957</v>
      </c>
      <c r="AD50" s="50">
        <f>+AM50+BA50</f>
        <v>0</v>
      </c>
      <c r="AE50" s="101" t="s">
        <v>110</v>
      </c>
      <c r="AF50" s="50">
        <v>0</v>
      </c>
      <c r="AG50" s="50"/>
      <c r="AH50" s="50"/>
      <c r="AI50" s="50"/>
      <c r="AJ50" s="50"/>
      <c r="AK50" s="50"/>
      <c r="AL50" s="50"/>
      <c r="AM50" s="50">
        <f>SUM(AF50:AL50)+AT50+AV50+AX50</f>
        <v>0</v>
      </c>
      <c r="AN50" s="50"/>
      <c r="AO50" s="50"/>
      <c r="AP50" s="50"/>
      <c r="AQ50" s="50"/>
      <c r="AR50" s="50">
        <f>SUM(AN50:AQ50)</f>
        <v>0</v>
      </c>
      <c r="AS50" s="50"/>
      <c r="AT50" s="50"/>
      <c r="AU50" s="50"/>
      <c r="AV50" s="50"/>
      <c r="AW50" s="50"/>
      <c r="AX50" s="50"/>
      <c r="AY50" s="50"/>
      <c r="AZ50" s="50"/>
      <c r="BA50" s="50">
        <f>+AR50+AS50+AU50+AW50+AY50+AZ50</f>
        <v>0</v>
      </c>
      <c r="BB50" s="124">
        <v>0</v>
      </c>
      <c r="BC50" s="116"/>
      <c r="BD50" s="116"/>
      <c r="BE50" s="124"/>
      <c r="BF50" s="116">
        <v>2</v>
      </c>
    </row>
    <row r="51" spans="1:58" ht="12.95" customHeight="1" x14ac:dyDescent="0.2">
      <c r="A51" s="247"/>
      <c r="B51" s="204"/>
      <c r="C51" s="205"/>
      <c r="D51" s="204"/>
      <c r="E51" s="37"/>
      <c r="F51" s="37"/>
      <c r="G51" s="208"/>
      <c r="H51" s="203"/>
      <c r="I51" s="45"/>
      <c r="J51" s="46"/>
      <c r="K51" s="46"/>
      <c r="L51" s="206"/>
      <c r="M51" s="206"/>
      <c r="N51" s="47"/>
      <c r="O51" s="48"/>
      <c r="P51" s="49"/>
      <c r="Q51" s="48"/>
      <c r="R51" s="123"/>
      <c r="S51" s="123"/>
      <c r="T51" s="50"/>
      <c r="U51" s="50"/>
      <c r="V51" s="50"/>
      <c r="W51" s="50"/>
      <c r="X51" s="55"/>
      <c r="Y51" s="52"/>
      <c r="Z51" s="50"/>
      <c r="AA51" s="50"/>
      <c r="AB51" s="50"/>
      <c r="AC51" s="50"/>
      <c r="AD51" s="50">
        <f t="shared" ref="AD51:AD52" si="38">+AM51+BA51</f>
        <v>1</v>
      </c>
      <c r="AE51" s="101" t="s">
        <v>174</v>
      </c>
      <c r="AF51" s="50"/>
      <c r="AG51" s="50">
        <v>1</v>
      </c>
      <c r="AH51" s="50"/>
      <c r="AI51" s="50"/>
      <c r="AJ51" s="50"/>
      <c r="AK51" s="50"/>
      <c r="AL51" s="50"/>
      <c r="AM51" s="50">
        <f t="shared" ref="AM51:AM52" si="39">SUM(AF51:AL51)+AT51+AV51+AX51</f>
        <v>1</v>
      </c>
      <c r="AN51" s="125"/>
      <c r="AO51" s="50"/>
      <c r="AP51" s="50"/>
      <c r="AQ51" s="50"/>
      <c r="AR51" s="50">
        <f t="shared" ref="AR51:AR52" si="40">SUM(AN51:AQ51)</f>
        <v>0</v>
      </c>
      <c r="AS51" s="50"/>
      <c r="AT51" s="50"/>
      <c r="AU51" s="50"/>
      <c r="AV51" s="50"/>
      <c r="AW51" s="50"/>
      <c r="AX51" s="50"/>
      <c r="AY51" s="50"/>
      <c r="AZ51" s="50"/>
      <c r="BA51" s="50">
        <f t="shared" ref="BA51:BA52" si="41">+AR51+AS51+AU51+AW51+AY51+AZ51</f>
        <v>0</v>
      </c>
      <c r="BB51" s="126"/>
      <c r="BC51" s="116">
        <v>1</v>
      </c>
      <c r="BD51" s="116"/>
      <c r="BE51" s="126"/>
      <c r="BF51" s="116"/>
    </row>
    <row r="52" spans="1:58" ht="12.95" customHeight="1" x14ac:dyDescent="0.2">
      <c r="A52" s="247"/>
      <c r="B52" s="204"/>
      <c r="C52" s="205"/>
      <c r="D52" s="204"/>
      <c r="E52" s="37"/>
      <c r="F52" s="37"/>
      <c r="G52" s="248"/>
      <c r="H52" s="203"/>
      <c r="I52" s="45"/>
      <c r="J52" s="46"/>
      <c r="K52" s="46"/>
      <c r="L52" s="206"/>
      <c r="M52" s="206"/>
      <c r="N52" s="47"/>
      <c r="O52" s="48"/>
      <c r="P52" s="49"/>
      <c r="Q52" s="48"/>
      <c r="R52" s="123"/>
      <c r="S52" s="123"/>
      <c r="T52" s="50"/>
      <c r="U52" s="50"/>
      <c r="V52" s="50"/>
      <c r="W52" s="50"/>
      <c r="X52" s="55"/>
      <c r="Y52" s="52"/>
      <c r="Z52" s="50"/>
      <c r="AA52" s="50"/>
      <c r="AB52" s="50"/>
      <c r="AC52" s="50"/>
      <c r="AD52" s="50">
        <f t="shared" si="38"/>
        <v>13</v>
      </c>
      <c r="AE52" s="101" t="s">
        <v>180</v>
      </c>
      <c r="AF52" s="124"/>
      <c r="AG52" s="124"/>
      <c r="AH52" s="124">
        <v>13</v>
      </c>
      <c r="AI52" s="124"/>
      <c r="AJ52" s="50"/>
      <c r="AK52" s="50"/>
      <c r="AL52" s="50"/>
      <c r="AM52" s="50">
        <f t="shared" si="39"/>
        <v>13</v>
      </c>
      <c r="AN52" s="50"/>
      <c r="AO52" s="50"/>
      <c r="AP52" s="50"/>
      <c r="AQ52" s="50"/>
      <c r="AR52" s="50">
        <f t="shared" si="40"/>
        <v>0</v>
      </c>
      <c r="AS52" s="50"/>
      <c r="AT52" s="50"/>
      <c r="AU52" s="50"/>
      <c r="AV52" s="50"/>
      <c r="AW52" s="50"/>
      <c r="AX52" s="50"/>
      <c r="AY52" s="50"/>
      <c r="AZ52" s="50"/>
      <c r="BA52" s="50">
        <f t="shared" si="41"/>
        <v>0</v>
      </c>
      <c r="BB52" s="124"/>
      <c r="BC52" s="146"/>
      <c r="BD52" s="146"/>
      <c r="BE52" s="124"/>
      <c r="BF52" s="146"/>
    </row>
    <row r="53" spans="1:58" ht="12.95" customHeight="1" x14ac:dyDescent="0.2">
      <c r="A53" s="247"/>
      <c r="B53" s="204"/>
      <c r="C53" s="205"/>
      <c r="D53" s="204"/>
      <c r="E53" s="37"/>
      <c r="F53" s="37"/>
      <c r="G53" s="208"/>
      <c r="H53" s="203"/>
      <c r="I53" s="45"/>
      <c r="J53" s="46"/>
      <c r="K53" s="46"/>
      <c r="L53" s="206"/>
      <c r="M53" s="206"/>
      <c r="N53" s="47"/>
      <c r="O53" s="48"/>
      <c r="P53" s="49"/>
      <c r="Q53" s="48"/>
      <c r="R53" s="207"/>
      <c r="S53" s="207"/>
      <c r="T53" s="50"/>
      <c r="U53" s="50"/>
      <c r="V53" s="50"/>
      <c r="W53" s="50"/>
      <c r="X53" s="51"/>
      <c r="Y53" s="52"/>
      <c r="Z53" s="50"/>
      <c r="AA53" s="50"/>
      <c r="AB53" s="50"/>
      <c r="AC53" s="50"/>
      <c r="AD53" s="50"/>
      <c r="AE53" s="101"/>
      <c r="AF53" s="50"/>
      <c r="AG53" s="50"/>
      <c r="AH53" s="50"/>
      <c r="AI53" s="54"/>
      <c r="AJ53" s="50"/>
      <c r="AK53" s="50"/>
      <c r="AL53" s="50"/>
      <c r="AM53" s="50"/>
      <c r="AN53" s="125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126"/>
      <c r="BC53" s="116"/>
      <c r="BD53" s="116"/>
      <c r="BE53" s="124"/>
      <c r="BF53" s="116"/>
    </row>
    <row r="54" spans="1:58" ht="12.95" customHeight="1" x14ac:dyDescent="0.2">
      <c r="A54" s="247">
        <v>45972</v>
      </c>
      <c r="B54" s="204" t="s">
        <v>168</v>
      </c>
      <c r="C54" s="205">
        <f>(M54*E54*O54*Q54)/100000000</f>
        <v>33.528561660000001</v>
      </c>
      <c r="D54" s="204" t="s">
        <v>196</v>
      </c>
      <c r="E54" s="37">
        <v>13.5</v>
      </c>
      <c r="F54" s="37">
        <v>1</v>
      </c>
      <c r="G54" s="208">
        <v>1250</v>
      </c>
      <c r="H54" s="203">
        <f>+N54</f>
        <v>0.16036767256330209</v>
      </c>
      <c r="I54" s="45">
        <v>0.88</v>
      </c>
      <c r="J54" s="46">
        <f>E54*G54*(1-H54)*1440/1000000*2.7</f>
        <v>55.088277003121753</v>
      </c>
      <c r="K54" s="46">
        <f>(IF(G54&lt;L54,L54,G54)*(1-IF(H54&lt;N54,H54,N54))*E54*O54*Q54)/100000000</f>
        <v>35.252671707206041</v>
      </c>
      <c r="L54" s="206">
        <v>1188.8659793814434</v>
      </c>
      <c r="M54" s="206">
        <v>998.21030927835056</v>
      </c>
      <c r="N54" s="47">
        <f>1-(M54/L54)</f>
        <v>0.16036767256330209</v>
      </c>
      <c r="O54" s="48">
        <f>+'[6]Trim Rwd'!H24</f>
        <v>256.5</v>
      </c>
      <c r="P54" s="49">
        <f>O54*(Q54-R54-S54)</f>
        <v>243931.5</v>
      </c>
      <c r="Q54" s="48">
        <v>970</v>
      </c>
      <c r="R54" s="123">
        <v>0</v>
      </c>
      <c r="S54" s="123">
        <v>19</v>
      </c>
      <c r="T54" s="50">
        <f>E54*M54*O54*Q54/100000000</f>
        <v>33.528561660000001</v>
      </c>
      <c r="U54" s="50">
        <f>E54*M54*O54*(Q54-R54-S54)/100000000</f>
        <v>32.871816637793813</v>
      </c>
      <c r="V54" s="50">
        <f>E54*G54*(1-N54)*O54/100*(R54+S54)/1000000</f>
        <v>0.69051624993496352</v>
      </c>
      <c r="W54" s="50">
        <f>+'[6]11'!K7/1000</f>
        <v>38.561</v>
      </c>
      <c r="X54" s="51">
        <f>SUM(W54:W57)/SUM(K54:K57)</f>
        <v>0.919808342360943</v>
      </c>
      <c r="Y54" s="50">
        <f>+SUM([6]RBP!AG44:AG45)</f>
        <v>0</v>
      </c>
      <c r="Z54" s="50">
        <f>+'[6]7'!D50/1000</f>
        <v>0</v>
      </c>
      <c r="AA54" s="53">
        <f>SUM(U54:U57)-SUM(W54:W57)-SUM(Z54:Z57)-SUM(Y54:Y57)</f>
        <v>1.521307957793816</v>
      </c>
      <c r="AB54" s="53">
        <f>(SUM(K54:K57)-SUM(W54:W57)-SUM(Y54:Y57)-SUM(Z54:Z57)-SUM(AC54:AC57)-SUM(V54:V57))-AA54</f>
        <v>-3.3771227728781827E-2</v>
      </c>
      <c r="AC54" s="50">
        <f>K54-T54</f>
        <v>1.7241100472060396</v>
      </c>
      <c r="AD54" s="50">
        <f>+AM54+BA54</f>
        <v>6</v>
      </c>
      <c r="AE54" s="101" t="s">
        <v>113</v>
      </c>
      <c r="AF54" s="50">
        <v>6</v>
      </c>
      <c r="AG54" s="50"/>
      <c r="AH54" s="50"/>
      <c r="AI54" s="50"/>
      <c r="AJ54" s="50"/>
      <c r="AK54" s="50"/>
      <c r="AL54" s="50"/>
      <c r="AM54" s="50">
        <f>SUM(AF54:AL54)+AT54+AV54+AX54</f>
        <v>6</v>
      </c>
      <c r="AN54" s="50"/>
      <c r="AO54" s="50"/>
      <c r="AP54" s="50"/>
      <c r="AQ54" s="50"/>
      <c r="AR54" s="50">
        <f>SUM(AN54:AQ54)</f>
        <v>0</v>
      </c>
      <c r="AS54" s="50"/>
      <c r="AT54" s="50"/>
      <c r="AU54" s="50"/>
      <c r="AV54" s="50"/>
      <c r="AW54" s="50"/>
      <c r="AX54" s="50"/>
      <c r="AY54" s="50"/>
      <c r="AZ54" s="50"/>
      <c r="BA54" s="50">
        <f>+AR54+AS54+AU54+AW54+AY54+AZ54</f>
        <v>0</v>
      </c>
      <c r="BB54" s="124">
        <v>2</v>
      </c>
      <c r="BC54" s="116"/>
      <c r="BD54" s="116"/>
      <c r="BE54" s="124"/>
      <c r="BF54" s="116"/>
    </row>
    <row r="55" spans="1:58" ht="12.95" customHeight="1" x14ac:dyDescent="0.2">
      <c r="A55" s="247"/>
      <c r="B55" s="204" t="s">
        <v>168</v>
      </c>
      <c r="C55" s="205">
        <f>(M55*E55*O55*Q55)/100000000</f>
        <v>17.613776399999999</v>
      </c>
      <c r="D55" s="204" t="s">
        <v>196</v>
      </c>
      <c r="E55" s="37">
        <v>14.5</v>
      </c>
      <c r="F55" s="37">
        <v>1</v>
      </c>
      <c r="G55" s="208">
        <v>1180</v>
      </c>
      <c r="H55" s="203">
        <f>+N55</f>
        <v>0.17033898305084749</v>
      </c>
      <c r="I55" s="45">
        <v>0.88</v>
      </c>
      <c r="J55" s="46">
        <f>E55*G55*(1-H55)*1440/1000000*2.7</f>
        <v>55.192104000000008</v>
      </c>
      <c r="K55" s="46">
        <f>(IF(G55&lt;L55,L55,G55)*(1-IF(H55&lt;N55,H55,N55))*E55*O55*Q55)/100000000</f>
        <v>17.613776399999999</v>
      </c>
      <c r="L55" s="206">
        <v>1180</v>
      </c>
      <c r="M55" s="206">
        <v>979</v>
      </c>
      <c r="N55" s="47">
        <f>1-(M55/L55)</f>
        <v>0.17033898305084749</v>
      </c>
      <c r="O55" s="48">
        <f>+'[6]Trim Rwd'!H25</f>
        <v>264</v>
      </c>
      <c r="P55" s="49">
        <f>O55*(Q55-R55-S55)</f>
        <v>121704</v>
      </c>
      <c r="Q55" s="48">
        <v>470</v>
      </c>
      <c r="R55" s="123">
        <v>0</v>
      </c>
      <c r="S55" s="123">
        <v>9</v>
      </c>
      <c r="T55" s="50">
        <f>E55*M55*O55*Q55/100000000</f>
        <v>17.613776399999999</v>
      </c>
      <c r="U55" s="50">
        <f>E55*M55*O55*(Q55-R55-S55)/100000000</f>
        <v>17.276491320000002</v>
      </c>
      <c r="V55" s="50">
        <f>E55*G55*(1-N55)*O55/100*(R55+S55)/1000000</f>
        <v>0.33728508000000001</v>
      </c>
      <c r="W55" s="50">
        <f>+'[6]11'!K8/1000</f>
        <v>10.066000000000001</v>
      </c>
      <c r="X55" s="55"/>
      <c r="Y55" s="52"/>
      <c r="Z55" s="50"/>
      <c r="AA55" s="50"/>
      <c r="AB55" s="50"/>
      <c r="AC55" s="50">
        <f>K55-T55</f>
        <v>0</v>
      </c>
      <c r="AD55" s="50">
        <f t="shared" ref="AD55:AD56" si="42">+AM55+BA55</f>
        <v>0</v>
      </c>
      <c r="AE55" s="101" t="s">
        <v>111</v>
      </c>
      <c r="AF55" s="50"/>
      <c r="AG55" s="50">
        <v>0</v>
      </c>
      <c r="AH55" s="50"/>
      <c r="AI55" s="50"/>
      <c r="AJ55" s="50"/>
      <c r="AK55" s="50"/>
      <c r="AL55" s="50"/>
      <c r="AM55" s="50">
        <f t="shared" ref="AM55:AM56" si="43">SUM(AF55:AL55)+AT55+AV55+AX55</f>
        <v>0</v>
      </c>
      <c r="AN55" s="125"/>
      <c r="AO55" s="50"/>
      <c r="AP55" s="50"/>
      <c r="AQ55" s="50"/>
      <c r="AR55" s="50">
        <f t="shared" ref="AR55:AR56" si="44">SUM(AN55:AQ55)</f>
        <v>0</v>
      </c>
      <c r="AS55" s="50"/>
      <c r="AT55" s="50"/>
      <c r="AU55" s="50"/>
      <c r="AV55" s="50"/>
      <c r="AW55" s="50"/>
      <c r="AX55" s="50"/>
      <c r="AY55" s="50"/>
      <c r="AZ55" s="50"/>
      <c r="BA55" s="50">
        <f t="shared" ref="BA55:BA56" si="45">+AR55+AS55+AU55+AW55+AY55+AZ55</f>
        <v>0</v>
      </c>
      <c r="BB55" s="126"/>
      <c r="BC55" s="116">
        <v>0</v>
      </c>
      <c r="BD55" s="116"/>
      <c r="BE55" s="126"/>
      <c r="BF55" s="116"/>
    </row>
    <row r="56" spans="1:58" ht="12.95" customHeight="1" x14ac:dyDescent="0.2">
      <c r="A56" s="247"/>
      <c r="B56" s="204"/>
      <c r="C56" s="205"/>
      <c r="D56" s="204"/>
      <c r="E56" s="37"/>
      <c r="F56" s="37"/>
      <c r="G56" s="248"/>
      <c r="H56" s="203"/>
      <c r="I56" s="45"/>
      <c r="J56" s="46"/>
      <c r="K56" s="46"/>
      <c r="L56" s="206"/>
      <c r="M56" s="206"/>
      <c r="N56" s="47"/>
      <c r="O56" s="48"/>
      <c r="P56" s="49"/>
      <c r="Q56" s="48"/>
      <c r="R56" s="123"/>
      <c r="S56" s="123"/>
      <c r="T56" s="50"/>
      <c r="U56" s="50"/>
      <c r="V56" s="50"/>
      <c r="W56" s="50"/>
      <c r="X56" s="55"/>
      <c r="Y56" s="52"/>
      <c r="Z56" s="50"/>
      <c r="AA56" s="50"/>
      <c r="AB56" s="50"/>
      <c r="AC56" s="50"/>
      <c r="AD56" s="50">
        <f t="shared" si="42"/>
        <v>22</v>
      </c>
      <c r="AE56" s="101" t="s">
        <v>187</v>
      </c>
      <c r="AF56" s="124"/>
      <c r="AG56" s="124"/>
      <c r="AH56" s="124">
        <v>22</v>
      </c>
      <c r="AI56" s="124"/>
      <c r="AJ56" s="50"/>
      <c r="AK56" s="50"/>
      <c r="AL56" s="50"/>
      <c r="AM56" s="50">
        <f t="shared" si="43"/>
        <v>22</v>
      </c>
      <c r="AN56" s="50"/>
      <c r="AO56" s="50"/>
      <c r="AP56" s="50"/>
      <c r="AQ56" s="50"/>
      <c r="AR56" s="50">
        <f t="shared" si="44"/>
        <v>0</v>
      </c>
      <c r="AS56" s="50"/>
      <c r="AT56" s="50"/>
      <c r="AU56" s="50"/>
      <c r="AV56" s="50"/>
      <c r="AW56" s="50"/>
      <c r="AX56" s="50"/>
      <c r="AY56" s="50"/>
      <c r="AZ56" s="50"/>
      <c r="BA56" s="50">
        <f t="shared" si="45"/>
        <v>0</v>
      </c>
      <c r="BB56" s="124"/>
      <c r="BC56" s="146"/>
      <c r="BD56" s="146"/>
      <c r="BE56" s="124"/>
      <c r="BF56" s="146"/>
    </row>
    <row r="57" spans="1:58" ht="12.95" customHeight="1" x14ac:dyDescent="0.2">
      <c r="A57" s="247"/>
      <c r="B57" s="204"/>
      <c r="C57" s="205"/>
      <c r="D57" s="204"/>
      <c r="E57" s="37"/>
      <c r="F57" s="37"/>
      <c r="G57" s="208"/>
      <c r="H57" s="203"/>
      <c r="I57" s="45"/>
      <c r="J57" s="46"/>
      <c r="K57" s="46"/>
      <c r="L57" s="206"/>
      <c r="M57" s="206"/>
      <c r="N57" s="47"/>
      <c r="O57" s="48"/>
      <c r="P57" s="49"/>
      <c r="Q57" s="48"/>
      <c r="R57" s="123"/>
      <c r="S57" s="123"/>
      <c r="T57" s="50"/>
      <c r="U57" s="50"/>
      <c r="V57" s="50"/>
      <c r="W57" s="50"/>
      <c r="X57" s="51"/>
      <c r="Y57" s="50"/>
      <c r="Z57" s="50"/>
      <c r="AA57" s="53"/>
      <c r="AB57" s="53"/>
      <c r="AC57" s="50"/>
      <c r="AD57" s="50"/>
      <c r="AE57" s="101"/>
      <c r="AF57" s="50"/>
      <c r="AG57" s="50"/>
      <c r="AH57" s="50"/>
      <c r="AI57" s="54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124"/>
      <c r="BC57" s="116"/>
      <c r="BD57" s="116"/>
      <c r="BE57" s="124"/>
      <c r="BF57" s="116"/>
    </row>
    <row r="58" spans="1:58" ht="12.95" customHeight="1" x14ac:dyDescent="0.2">
      <c r="A58" s="247">
        <v>45973</v>
      </c>
      <c r="B58" s="204" t="s">
        <v>168</v>
      </c>
      <c r="C58" s="205">
        <f>(M58*E58*O58*Q58)/100000000</f>
        <v>53.74512</v>
      </c>
      <c r="D58" s="204" t="s">
        <v>196</v>
      </c>
      <c r="E58" s="37">
        <v>14.5</v>
      </c>
      <c r="F58" s="37">
        <v>1</v>
      </c>
      <c r="G58" s="208">
        <v>1205</v>
      </c>
      <c r="H58" s="203">
        <f>+N58</f>
        <v>0.18824223221822634</v>
      </c>
      <c r="I58" s="45">
        <v>0.88</v>
      </c>
      <c r="J58" s="46">
        <f>E58*G58*(1-H58)*1440/1000000*2.7</f>
        <v>55.145205379340652</v>
      </c>
      <c r="K58" s="46">
        <f>(IF(G58&lt;L58,L58,G58)*(1-IF(H58&lt;N58,H58,N58))*E58*O58*Q58)/100000000</f>
        <v>53.919756370910861</v>
      </c>
      <c r="L58" s="206">
        <v>1201.0972222222222</v>
      </c>
      <c r="M58" s="206">
        <v>975</v>
      </c>
      <c r="N58" s="47">
        <f>1-(M58/L58)</f>
        <v>0.18824223221822634</v>
      </c>
      <c r="O58" s="48">
        <f>+'[6]Trim Rwd'!H27</f>
        <v>264</v>
      </c>
      <c r="P58" s="49">
        <f>O58*(Q58-R58-S58)</f>
        <v>374352</v>
      </c>
      <c r="Q58" s="48">
        <v>1440</v>
      </c>
      <c r="R58" s="123">
        <v>0</v>
      </c>
      <c r="S58" s="123">
        <v>22</v>
      </c>
      <c r="T58" s="50">
        <f>E58*M58*O58*Q58/100000000</f>
        <v>53.74512</v>
      </c>
      <c r="U58" s="50">
        <f>E58*M58*O58*(Q58-R58-S58)/100000000</f>
        <v>52.924014</v>
      </c>
      <c r="V58" s="50">
        <f>E58*G58*(1-N58)*O58/100*(R58+S58)/1000000</f>
        <v>0.82377405566669371</v>
      </c>
      <c r="W58" s="50">
        <f>+'[6]12'!K8/1000</f>
        <v>54.917000000000002</v>
      </c>
      <c r="X58" s="51">
        <f>SUM(W58:W61)/SUM(K58:K61)</f>
        <v>1.0184949579933031</v>
      </c>
      <c r="Y58" s="50">
        <f>+SUM([6]RBP!AG48:AG49)</f>
        <v>0</v>
      </c>
      <c r="Z58" s="50">
        <f>+'[6]7'!D54/1000</f>
        <v>1.4722222222222223E-4</v>
      </c>
      <c r="AA58" s="53">
        <f>SUM(U58:U61)-SUM(W58:W61)-SUM(Z58:Z61)-SUM(Y58:Y61)</f>
        <v>-1.9931332222222242</v>
      </c>
      <c r="AB58" s="53">
        <f>(SUM(K58:K61)-SUM(W58:W61)-SUM(Y58:Y61)-SUM(Z58:Z61)-SUM(AC58:AC61)-SUM(V58:V61))-AA58</f>
        <v>-2.6680556666931476E-3</v>
      </c>
      <c r="AC58" s="50">
        <f>K58-T58</f>
        <v>0.17463637091086071</v>
      </c>
      <c r="AD58" s="50">
        <f>+AM58+BA58</f>
        <v>0</v>
      </c>
      <c r="AE58" s="101" t="s">
        <v>110</v>
      </c>
      <c r="AF58" s="50">
        <v>0</v>
      </c>
      <c r="AG58" s="50"/>
      <c r="AH58" s="50"/>
      <c r="AI58" s="50"/>
      <c r="AJ58" s="50"/>
      <c r="AK58" s="50"/>
      <c r="AL58" s="50"/>
      <c r="AM58" s="50">
        <f>SUM(AF58:AL58)+AT58+AV58+AX58</f>
        <v>0</v>
      </c>
      <c r="AN58" s="50"/>
      <c r="AO58" s="50"/>
      <c r="AP58" s="50"/>
      <c r="AQ58" s="50"/>
      <c r="AR58" s="50">
        <f>SUM(AN58:AQ58)</f>
        <v>0</v>
      </c>
      <c r="AS58" s="50"/>
      <c r="AT58" s="50"/>
      <c r="AU58" s="50"/>
      <c r="AV58" s="50"/>
      <c r="AW58" s="50"/>
      <c r="AX58" s="50"/>
      <c r="AY58" s="50"/>
      <c r="AZ58" s="50"/>
      <c r="BA58" s="50">
        <f>+AR58+AS58+AU58+AW58+AY58+AZ58</f>
        <v>0</v>
      </c>
      <c r="BB58" s="124">
        <v>0</v>
      </c>
      <c r="BC58" s="116"/>
      <c r="BD58" s="116"/>
      <c r="BE58" s="124"/>
      <c r="BF58" s="116">
        <v>1</v>
      </c>
    </row>
    <row r="59" spans="1:58" ht="12.95" customHeight="1" x14ac:dyDescent="0.2">
      <c r="A59" s="247"/>
      <c r="B59" s="204"/>
      <c r="C59" s="205"/>
      <c r="D59" s="204"/>
      <c r="E59" s="37"/>
      <c r="F59" s="37"/>
      <c r="G59" s="208"/>
      <c r="H59" s="203"/>
      <c r="I59" s="45"/>
      <c r="J59" s="46"/>
      <c r="K59" s="46"/>
      <c r="L59" s="206"/>
      <c r="M59" s="206"/>
      <c r="N59" s="47"/>
      <c r="O59" s="48"/>
      <c r="P59" s="49"/>
      <c r="Q59" s="48"/>
      <c r="R59" s="123"/>
      <c r="S59" s="123"/>
      <c r="T59" s="50"/>
      <c r="U59" s="50"/>
      <c r="V59" s="50"/>
      <c r="W59" s="50"/>
      <c r="X59" s="55"/>
      <c r="Y59" s="52"/>
      <c r="Z59" s="50"/>
      <c r="AA59" s="50"/>
      <c r="AB59" s="50"/>
      <c r="AC59" s="50"/>
      <c r="AD59" s="50">
        <f t="shared" ref="AD59:AD60" si="46">+AM59+BA59</f>
        <v>0</v>
      </c>
      <c r="AE59" s="101" t="s">
        <v>111</v>
      </c>
      <c r="AF59" s="50"/>
      <c r="AG59" s="50">
        <v>0</v>
      </c>
      <c r="AH59" s="50"/>
      <c r="AI59" s="50"/>
      <c r="AJ59" s="50"/>
      <c r="AK59" s="50"/>
      <c r="AL59" s="50"/>
      <c r="AM59" s="50">
        <f t="shared" ref="AM59:AM60" si="47">SUM(AF59:AL59)+AT59+AV59+AX59</f>
        <v>0</v>
      </c>
      <c r="AN59" s="125"/>
      <c r="AO59" s="50"/>
      <c r="AP59" s="50"/>
      <c r="AQ59" s="50"/>
      <c r="AR59" s="50">
        <f t="shared" ref="AR59:AR60" si="48">SUM(AN59:AQ59)</f>
        <v>0</v>
      </c>
      <c r="AS59" s="50"/>
      <c r="AT59" s="50"/>
      <c r="AU59" s="50"/>
      <c r="AV59" s="50"/>
      <c r="AW59" s="50"/>
      <c r="AX59" s="50"/>
      <c r="AY59" s="50"/>
      <c r="AZ59" s="50"/>
      <c r="BA59" s="50">
        <f t="shared" ref="BA59:BA60" si="49">+AR59+AS59+AU59+AW59+AY59+AZ59</f>
        <v>0</v>
      </c>
      <c r="BB59" s="126"/>
      <c r="BC59" s="116">
        <v>0</v>
      </c>
      <c r="BD59" s="116"/>
      <c r="BE59" s="126"/>
      <c r="BF59" s="116"/>
    </row>
    <row r="60" spans="1:58" ht="12.95" customHeight="1" x14ac:dyDescent="0.2">
      <c r="A60" s="247"/>
      <c r="B60" s="204"/>
      <c r="C60" s="205"/>
      <c r="D60" s="204"/>
      <c r="E60" s="37"/>
      <c r="F60" s="37"/>
      <c r="G60" s="248"/>
      <c r="H60" s="203"/>
      <c r="I60" s="45"/>
      <c r="J60" s="46"/>
      <c r="K60" s="46"/>
      <c r="L60" s="206"/>
      <c r="M60" s="206"/>
      <c r="N60" s="47"/>
      <c r="O60" s="48"/>
      <c r="P60" s="49"/>
      <c r="Q60" s="48"/>
      <c r="R60" s="123"/>
      <c r="S60" s="123"/>
      <c r="T60" s="50"/>
      <c r="U60" s="50"/>
      <c r="V60" s="50"/>
      <c r="W60" s="50"/>
      <c r="X60" s="55"/>
      <c r="Y60" s="52"/>
      <c r="Z60" s="50"/>
      <c r="AA60" s="50"/>
      <c r="AB60" s="50"/>
      <c r="AC60" s="50"/>
      <c r="AD60" s="50">
        <f t="shared" si="46"/>
        <v>22</v>
      </c>
      <c r="AE60" s="101" t="s">
        <v>180</v>
      </c>
      <c r="AF60" s="124"/>
      <c r="AG60" s="124"/>
      <c r="AH60" s="124">
        <v>22</v>
      </c>
      <c r="AI60" s="124"/>
      <c r="AJ60" s="50"/>
      <c r="AK60" s="50"/>
      <c r="AL60" s="50"/>
      <c r="AM60" s="50">
        <f t="shared" si="47"/>
        <v>22</v>
      </c>
      <c r="AN60" s="50"/>
      <c r="AO60" s="50"/>
      <c r="AP60" s="50"/>
      <c r="AQ60" s="50"/>
      <c r="AR60" s="50">
        <f t="shared" si="48"/>
        <v>0</v>
      </c>
      <c r="AS60" s="50"/>
      <c r="AT60" s="50"/>
      <c r="AU60" s="50"/>
      <c r="AV60" s="50"/>
      <c r="AW60" s="50"/>
      <c r="AX60" s="50"/>
      <c r="AY60" s="50"/>
      <c r="AZ60" s="50"/>
      <c r="BA60" s="50">
        <f t="shared" si="49"/>
        <v>0</v>
      </c>
      <c r="BB60" s="124"/>
      <c r="BC60" s="146"/>
      <c r="BD60" s="146"/>
      <c r="BE60" s="124"/>
      <c r="BF60" s="146"/>
    </row>
    <row r="61" spans="1:58" ht="12.95" customHeight="1" x14ac:dyDescent="0.2">
      <c r="A61" s="247"/>
      <c r="B61" s="204"/>
      <c r="C61" s="205"/>
      <c r="D61" s="204"/>
      <c r="E61" s="37"/>
      <c r="F61" s="37"/>
      <c r="G61" s="208"/>
      <c r="H61" s="203"/>
      <c r="I61" s="45"/>
      <c r="J61" s="46"/>
      <c r="K61" s="46"/>
      <c r="L61" s="206"/>
      <c r="M61" s="206"/>
      <c r="N61" s="47"/>
      <c r="O61" s="48"/>
      <c r="P61" s="49"/>
      <c r="Q61" s="48"/>
      <c r="R61" s="207"/>
      <c r="S61" s="207"/>
      <c r="T61" s="50"/>
      <c r="U61" s="50"/>
      <c r="V61" s="50"/>
      <c r="W61" s="50"/>
      <c r="X61" s="51"/>
      <c r="Y61" s="52"/>
      <c r="Z61" s="50"/>
      <c r="AA61" s="50"/>
      <c r="AB61" s="50"/>
      <c r="AC61" s="50"/>
      <c r="AD61" s="50"/>
      <c r="AE61" s="101"/>
      <c r="AF61" s="50"/>
      <c r="AG61" s="50"/>
      <c r="AH61" s="50"/>
      <c r="AI61" s="54"/>
      <c r="AJ61" s="50"/>
      <c r="AK61" s="50"/>
      <c r="AL61" s="50"/>
      <c r="AM61" s="50"/>
      <c r="AN61" s="125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126"/>
      <c r="BC61" s="116"/>
      <c r="BD61" s="116"/>
      <c r="BE61" s="124"/>
      <c r="BF61" s="116"/>
    </row>
    <row r="62" spans="1:58" ht="12.95" customHeight="1" x14ac:dyDescent="0.2">
      <c r="A62" s="247">
        <v>45974</v>
      </c>
      <c r="B62" s="204" t="s">
        <v>168</v>
      </c>
      <c r="C62" s="205">
        <f>(M62*E62*O62*Q62)/100000000</f>
        <v>30.957224710909092</v>
      </c>
      <c r="D62" s="204" t="s">
        <v>196</v>
      </c>
      <c r="E62" s="37">
        <v>14.5</v>
      </c>
      <c r="F62" s="37">
        <v>1</v>
      </c>
      <c r="G62" s="208">
        <v>1180</v>
      </c>
      <c r="H62" s="203">
        <f>+N62</f>
        <v>0.17150499493267701</v>
      </c>
      <c r="I62" s="45">
        <v>0.88</v>
      </c>
      <c r="J62" s="46">
        <f>E62*G62*(1-H62)*1440/1000000*2.7</f>
        <v>55.114536598696965</v>
      </c>
      <c r="K62" s="46">
        <f>(IF(G62&lt;L62,L62,G62)*(1-IF(H62&lt;N62,H62,N62))*E62*O62*Q62)/100000000</f>
        <v>31.997050414243517</v>
      </c>
      <c r="L62" s="206">
        <v>1141.6528925619834</v>
      </c>
      <c r="M62" s="206">
        <v>945.85371900826442</v>
      </c>
      <c r="N62" s="47">
        <f>1-(M62/L62)</f>
        <v>0.17150499493267701</v>
      </c>
      <c r="O62" s="48">
        <f>+'[6]Trim Rwd'!H29</f>
        <v>264</v>
      </c>
      <c r="P62" s="49">
        <f>O62*(Q62-R62-S62)</f>
        <v>158400</v>
      </c>
      <c r="Q62" s="48">
        <f>605+250</f>
        <v>855</v>
      </c>
      <c r="R62" s="123">
        <v>250</v>
      </c>
      <c r="S62" s="123">
        <v>5</v>
      </c>
      <c r="T62" s="50">
        <f>E62*M62*O62*Q62/100000000</f>
        <v>30.957224710909092</v>
      </c>
      <c r="U62" s="50">
        <f>E62*M62*O62*(Q62-R62-S62)/100000000</f>
        <v>21.724368218181816</v>
      </c>
      <c r="V62" s="50">
        <f>E62*G62*(1-N62)*O62/100*(R62+S62)/1000000</f>
        <v>9.5429799481077158</v>
      </c>
      <c r="W62" s="50">
        <f>+'[6]13'!K8/1000</f>
        <v>23.542000000000002</v>
      </c>
      <c r="X62" s="51">
        <f>SUM(W62:W65)/SUM(K62:K65)</f>
        <v>0.6423911493546498</v>
      </c>
      <c r="Y62" s="50">
        <f>+SUM([6]RBP!AG52:AG53)</f>
        <v>0</v>
      </c>
      <c r="Z62" s="50">
        <f>+'[6]7'!D58/1000</f>
        <v>0</v>
      </c>
      <c r="AA62" s="53">
        <f>SUM(U62:U65)-SUM(W62:W65)-SUM(Z62:Z65)-SUM(Y62:Y65)</f>
        <v>0.52326459258181757</v>
      </c>
      <c r="AB62" s="53">
        <f>(SUM(K62:K65)-SUM(W62:W65)-SUM(Y62:Y65)-SUM(Z62:Z65)-SUM(AC62:AC65)-SUM(V62:V65))-AA62</f>
        <v>-0.58144962863758209</v>
      </c>
      <c r="AC62" s="50">
        <f>K62-T62</f>
        <v>1.0398257033344258</v>
      </c>
      <c r="AD62" s="50">
        <f>+AM62+BA62</f>
        <v>0</v>
      </c>
      <c r="AE62" s="101" t="s">
        <v>110</v>
      </c>
      <c r="AF62" s="50">
        <v>0</v>
      </c>
      <c r="AG62" s="50"/>
      <c r="AH62" s="50"/>
      <c r="AI62" s="50"/>
      <c r="AJ62" s="50"/>
      <c r="AK62" s="50"/>
      <c r="AL62" s="50"/>
      <c r="AM62" s="50">
        <f>SUM(AF62:AL62)+AT62+AV62+AX62</f>
        <v>0</v>
      </c>
      <c r="AN62" s="50"/>
      <c r="AO62" s="50"/>
      <c r="AP62" s="50"/>
      <c r="AQ62" s="50"/>
      <c r="AR62" s="50">
        <f>SUM(AN62:AQ62)</f>
        <v>0</v>
      </c>
      <c r="AS62" s="50"/>
      <c r="AT62" s="50"/>
      <c r="AU62" s="50"/>
      <c r="AV62" s="50"/>
      <c r="AW62" s="50"/>
      <c r="AX62" s="50"/>
      <c r="AY62" s="50"/>
      <c r="AZ62" s="50"/>
      <c r="BA62" s="50">
        <f>+AR62+AS62+AU62+AW62+AY62+AZ62</f>
        <v>0</v>
      </c>
      <c r="BB62" s="124">
        <v>0</v>
      </c>
      <c r="BC62" s="116"/>
      <c r="BD62" s="116"/>
      <c r="BE62" s="124"/>
      <c r="BF62" s="116">
        <v>4</v>
      </c>
    </row>
    <row r="63" spans="1:58" ht="12.95" customHeight="1" x14ac:dyDescent="0.2">
      <c r="A63" s="247"/>
      <c r="B63" s="204" t="s">
        <v>168</v>
      </c>
      <c r="C63" s="205">
        <f>(M63*E63*O63*Q63)/100000000</f>
        <v>20.725550886857146</v>
      </c>
      <c r="D63" s="204" t="s">
        <v>196</v>
      </c>
      <c r="E63" s="37">
        <v>15</v>
      </c>
      <c r="F63" s="37">
        <v>1</v>
      </c>
      <c r="G63" s="208">
        <v>1150</v>
      </c>
      <c r="H63" s="203">
        <f>+N63</f>
        <v>0.17999999999999994</v>
      </c>
      <c r="I63" s="45">
        <v>0.88</v>
      </c>
      <c r="J63" s="46">
        <f>E63*G63*(1-H63)*1440/1000000*2.7</f>
        <v>54.995760000000011</v>
      </c>
      <c r="K63" s="46">
        <f>(IF(G63&lt;L63,L63,G63)*(1-IF(H63&lt;N63,H63,N63))*E63*O63*Q63)/100000000</f>
        <v>21.467260285714289</v>
      </c>
      <c r="L63" s="206">
        <v>1110.2666666666667</v>
      </c>
      <c r="M63" s="206">
        <v>910.4186666666667</v>
      </c>
      <c r="N63" s="47">
        <f>1-(M63/L63)</f>
        <v>0.17999999999999994</v>
      </c>
      <c r="O63" s="48">
        <f>+'[6]Trim Rwd'!H30</f>
        <v>259.42857142857144</v>
      </c>
      <c r="P63" s="49">
        <f>O63*(Q63-R63-S63)</f>
        <v>96248</v>
      </c>
      <c r="Q63" s="48">
        <f>375+210</f>
        <v>585</v>
      </c>
      <c r="R63" s="123">
        <v>210</v>
      </c>
      <c r="S63" s="123">
        <v>4</v>
      </c>
      <c r="T63" s="50">
        <f>E63*M63*O63*Q63/100000000</f>
        <v>20.725550886857146</v>
      </c>
      <c r="U63" s="50">
        <f>E63*M63*O63*(Q63-R63-S63)/100000000</f>
        <v>13.143896374400002</v>
      </c>
      <c r="V63" s="50">
        <f>E63*G63*(1-N63)*O63/100*(R63+S63)/1000000</f>
        <v>7.8529806857142868</v>
      </c>
      <c r="W63" s="50">
        <f>+'[6]13'!K9/1000</f>
        <v>10.803000000000001</v>
      </c>
      <c r="X63" s="55"/>
      <c r="Y63" s="52"/>
      <c r="Z63" s="50"/>
      <c r="AA63" s="50"/>
      <c r="AB63" s="50"/>
      <c r="AC63" s="50">
        <f>K63-T63</f>
        <v>0.74170939885714304</v>
      </c>
      <c r="AD63" s="50">
        <f t="shared" ref="AD63:AD66" si="50">+AM63+BA63</f>
        <v>1</v>
      </c>
      <c r="AE63" s="101" t="s">
        <v>111</v>
      </c>
      <c r="AF63" s="50"/>
      <c r="AG63" s="50">
        <v>1</v>
      </c>
      <c r="AH63" s="50"/>
      <c r="AI63" s="50"/>
      <c r="AJ63" s="50"/>
      <c r="AK63" s="50"/>
      <c r="AL63" s="50"/>
      <c r="AM63" s="50">
        <f t="shared" ref="AM63:AM64" si="51">SUM(AF63:AL63)+AT63+AV63+AX63</f>
        <v>1</v>
      </c>
      <c r="AN63" s="125"/>
      <c r="AO63" s="50"/>
      <c r="AP63" s="50"/>
      <c r="AQ63" s="50"/>
      <c r="AR63" s="50">
        <f t="shared" ref="AR63:AR66" si="52">SUM(AN63:AQ63)</f>
        <v>0</v>
      </c>
      <c r="AS63" s="50"/>
      <c r="AT63" s="50"/>
      <c r="AU63" s="50"/>
      <c r="AV63" s="50"/>
      <c r="AW63" s="50"/>
      <c r="AX63" s="50"/>
      <c r="AY63" s="50"/>
      <c r="AZ63" s="50"/>
      <c r="BA63" s="50">
        <f t="shared" ref="BA63:BA66" si="53">+AR63+AS63+AU63+AW63+AY63+AZ63</f>
        <v>0</v>
      </c>
      <c r="BB63" s="126"/>
      <c r="BC63" s="116">
        <v>0</v>
      </c>
      <c r="BD63" s="116"/>
      <c r="BE63" s="126"/>
      <c r="BF63" s="116"/>
    </row>
    <row r="64" spans="1:58" ht="12.95" customHeight="1" x14ac:dyDescent="0.2">
      <c r="A64" s="247"/>
      <c r="B64" s="204"/>
      <c r="C64" s="205"/>
      <c r="D64" s="204"/>
      <c r="E64" s="37"/>
      <c r="F64" s="37"/>
      <c r="G64" s="248"/>
      <c r="H64" s="203"/>
      <c r="I64" s="45"/>
      <c r="J64" s="46"/>
      <c r="K64" s="46"/>
      <c r="L64" s="206"/>
      <c r="M64" s="206"/>
      <c r="N64" s="47"/>
      <c r="O64" s="48"/>
      <c r="P64" s="49"/>
      <c r="Q64" s="48"/>
      <c r="R64" s="123"/>
      <c r="S64" s="123"/>
      <c r="T64" s="50"/>
      <c r="U64" s="50"/>
      <c r="V64" s="50"/>
      <c r="W64" s="50"/>
      <c r="X64" s="55"/>
      <c r="Y64" s="52"/>
      <c r="Z64" s="50"/>
      <c r="AA64" s="50"/>
      <c r="AB64" s="50"/>
      <c r="AC64" s="50"/>
      <c r="AD64" s="50">
        <f t="shared" si="50"/>
        <v>8</v>
      </c>
      <c r="AE64" s="101" t="s">
        <v>180</v>
      </c>
      <c r="AF64" s="124"/>
      <c r="AG64" s="124"/>
      <c r="AH64" s="124">
        <v>8</v>
      </c>
      <c r="AI64" s="124"/>
      <c r="AJ64" s="50"/>
      <c r="AK64" s="50"/>
      <c r="AL64" s="50"/>
      <c r="AM64" s="50">
        <f t="shared" si="51"/>
        <v>8</v>
      </c>
      <c r="AN64" s="50"/>
      <c r="AO64" s="50"/>
      <c r="AP64" s="50"/>
      <c r="AQ64" s="50"/>
      <c r="AR64" s="50">
        <f t="shared" si="52"/>
        <v>0</v>
      </c>
      <c r="AS64" s="50"/>
      <c r="AT64" s="50"/>
      <c r="AU64" s="50"/>
      <c r="AV64" s="50"/>
      <c r="AW64" s="50"/>
      <c r="AX64" s="50"/>
      <c r="AY64" s="50"/>
      <c r="AZ64" s="50"/>
      <c r="BA64" s="50">
        <f t="shared" si="53"/>
        <v>0</v>
      </c>
      <c r="BB64" s="124"/>
      <c r="BC64" s="146"/>
      <c r="BD64" s="146"/>
      <c r="BE64" s="124"/>
      <c r="BF64" s="146"/>
    </row>
    <row r="65" spans="1:58" ht="12.95" customHeight="1" x14ac:dyDescent="0.2">
      <c r="A65" s="247"/>
      <c r="B65" s="204"/>
      <c r="C65" s="205"/>
      <c r="D65" s="204"/>
      <c r="E65" s="37"/>
      <c r="F65" s="37"/>
      <c r="G65" s="248"/>
      <c r="H65" s="203"/>
      <c r="I65" s="45"/>
      <c r="J65" s="46"/>
      <c r="K65" s="46"/>
      <c r="L65" s="206"/>
      <c r="M65" s="206"/>
      <c r="N65" s="47"/>
      <c r="O65" s="48"/>
      <c r="P65" s="49"/>
      <c r="Q65" s="48"/>
      <c r="R65" s="123"/>
      <c r="S65" s="123"/>
      <c r="T65" s="50"/>
      <c r="U65" s="50"/>
      <c r="V65" s="50"/>
      <c r="W65" s="50"/>
      <c r="X65" s="55"/>
      <c r="Y65" s="52"/>
      <c r="Z65" s="50"/>
      <c r="AA65" s="50"/>
      <c r="AB65" s="50"/>
      <c r="AC65" s="50"/>
      <c r="AD65" s="50">
        <f t="shared" si="50"/>
        <v>250</v>
      </c>
      <c r="AE65" s="101" t="s">
        <v>275</v>
      </c>
      <c r="AF65" s="124"/>
      <c r="AG65" s="124"/>
      <c r="AH65" s="124"/>
      <c r="AI65" s="124"/>
      <c r="AJ65" s="50"/>
      <c r="AK65" s="50"/>
      <c r="AL65" s="50"/>
      <c r="AM65" s="50">
        <f t="shared" ref="AM65:AM66" si="54">SUM(AF65:AL65)+AT65+AV65+AX65</f>
        <v>0</v>
      </c>
      <c r="AN65" s="50">
        <v>250</v>
      </c>
      <c r="AO65" s="50"/>
      <c r="AP65" s="50"/>
      <c r="AQ65" s="50"/>
      <c r="AR65" s="50">
        <f t="shared" si="52"/>
        <v>250</v>
      </c>
      <c r="AS65" s="50"/>
      <c r="AT65" s="50"/>
      <c r="AU65" s="50"/>
      <c r="AV65" s="50"/>
      <c r="AW65" s="50"/>
      <c r="AX65" s="50"/>
      <c r="AY65" s="50"/>
      <c r="AZ65" s="50"/>
      <c r="BA65" s="50">
        <f t="shared" si="53"/>
        <v>250</v>
      </c>
      <c r="BB65" s="124"/>
      <c r="BC65" s="146"/>
      <c r="BD65" s="146"/>
      <c r="BE65" s="124"/>
      <c r="BF65" s="146"/>
    </row>
    <row r="66" spans="1:58" ht="12.95" customHeight="1" x14ac:dyDescent="0.2">
      <c r="A66" s="247"/>
      <c r="B66" s="204"/>
      <c r="C66" s="205"/>
      <c r="D66" s="204"/>
      <c r="E66" s="37"/>
      <c r="F66" s="37"/>
      <c r="G66" s="248"/>
      <c r="H66" s="203"/>
      <c r="I66" s="45"/>
      <c r="J66" s="46"/>
      <c r="K66" s="46"/>
      <c r="L66" s="206"/>
      <c r="M66" s="206"/>
      <c r="N66" s="47"/>
      <c r="O66" s="48"/>
      <c r="P66" s="49"/>
      <c r="Q66" s="48"/>
      <c r="R66" s="123"/>
      <c r="S66" s="123"/>
      <c r="T66" s="50"/>
      <c r="U66" s="50"/>
      <c r="V66" s="50"/>
      <c r="W66" s="50"/>
      <c r="X66" s="55"/>
      <c r="Y66" s="52"/>
      <c r="Z66" s="50"/>
      <c r="AA66" s="50"/>
      <c r="AB66" s="50"/>
      <c r="AC66" s="50"/>
      <c r="AD66" s="50">
        <f t="shared" si="50"/>
        <v>210</v>
      </c>
      <c r="AE66" s="101" t="s">
        <v>276</v>
      </c>
      <c r="AF66" s="124"/>
      <c r="AG66" s="124"/>
      <c r="AH66" s="124"/>
      <c r="AI66" s="124"/>
      <c r="AJ66" s="50"/>
      <c r="AK66" s="50"/>
      <c r="AL66" s="50"/>
      <c r="AM66" s="50">
        <f t="shared" si="54"/>
        <v>0</v>
      </c>
      <c r="AN66" s="50"/>
      <c r="AO66" s="50"/>
      <c r="AP66" s="50">
        <v>210</v>
      </c>
      <c r="AQ66" s="50"/>
      <c r="AR66" s="50">
        <f t="shared" si="52"/>
        <v>210</v>
      </c>
      <c r="AS66" s="50"/>
      <c r="AT66" s="50"/>
      <c r="AU66" s="50"/>
      <c r="AV66" s="50"/>
      <c r="AW66" s="50"/>
      <c r="AX66" s="50"/>
      <c r="AY66" s="50"/>
      <c r="AZ66" s="50"/>
      <c r="BA66" s="50">
        <f t="shared" si="53"/>
        <v>210</v>
      </c>
      <c r="BB66" s="124"/>
      <c r="BC66" s="146"/>
      <c r="BD66" s="146"/>
      <c r="BE66" s="124"/>
      <c r="BF66" s="146"/>
    </row>
    <row r="67" spans="1:58" ht="12.95" customHeight="1" x14ac:dyDescent="0.2">
      <c r="A67" s="247"/>
      <c r="B67" s="204"/>
      <c r="C67" s="205"/>
      <c r="D67" s="204"/>
      <c r="E67" s="37"/>
      <c r="F67" s="37"/>
      <c r="G67" s="208"/>
      <c r="H67" s="203"/>
      <c r="I67" s="45"/>
      <c r="J67" s="46"/>
      <c r="K67" s="46"/>
      <c r="L67" s="206"/>
      <c r="M67" s="206"/>
      <c r="N67" s="47"/>
      <c r="O67" s="48"/>
      <c r="P67" s="49"/>
      <c r="Q67" s="48"/>
      <c r="R67" s="123"/>
      <c r="S67" s="123"/>
      <c r="T67" s="50"/>
      <c r="U67" s="50"/>
      <c r="V67" s="50"/>
      <c r="W67" s="50"/>
      <c r="X67" s="55"/>
      <c r="Y67" s="52"/>
      <c r="Z67" s="50"/>
      <c r="AA67" s="50"/>
      <c r="AB67" s="50"/>
      <c r="AC67" s="50"/>
      <c r="AD67" s="50"/>
      <c r="AE67" s="101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124"/>
      <c r="BC67" s="116"/>
      <c r="BD67" s="116"/>
      <c r="BE67" s="116"/>
      <c r="BF67" s="116"/>
    </row>
    <row r="68" spans="1:58" ht="12.95" customHeight="1" x14ac:dyDescent="0.2">
      <c r="A68" s="247">
        <v>45975</v>
      </c>
      <c r="B68" s="204" t="s">
        <v>168</v>
      </c>
      <c r="C68" s="205">
        <f>(M68*E68*O68*Q68)/100000000</f>
        <v>51.60362448681817</v>
      </c>
      <c r="D68" s="204" t="s">
        <v>196</v>
      </c>
      <c r="E68" s="37">
        <v>15</v>
      </c>
      <c r="F68" s="37">
        <v>1</v>
      </c>
      <c r="G68" s="208">
        <v>1135</v>
      </c>
      <c r="H68" s="203">
        <f>+N68</f>
        <v>0.16710770471964509</v>
      </c>
      <c r="I68" s="45">
        <v>0.88</v>
      </c>
      <c r="J68" s="46">
        <f>E68*G68*(1-H68)*1440/1000000*2.7</f>
        <v>55.13180627995159</v>
      </c>
      <c r="K68" s="46">
        <f>(IF(G68&lt;L68,L68,G68)*(1-IF(H68&lt;N68,H68,N68))*E68*O68*Q68)/100000000</f>
        <v>52.341802750026758</v>
      </c>
      <c r="L68" s="206">
        <v>1118.9930555555557</v>
      </c>
      <c r="M68" s="206">
        <v>932.00069444444443</v>
      </c>
      <c r="N68" s="47">
        <f>1-(M68/L68)</f>
        <v>0.16710770471964509</v>
      </c>
      <c r="O68" s="48">
        <f>+'[6]Trim Rwd'!H33</f>
        <v>256.33636363636361</v>
      </c>
      <c r="P68" s="49">
        <f>O68*(Q68-R68-S68)</f>
        <v>365022.98181818181</v>
      </c>
      <c r="Q68" s="48">
        <v>1440</v>
      </c>
      <c r="R68" s="123">
        <v>0</v>
      </c>
      <c r="S68" s="123">
        <v>16</v>
      </c>
      <c r="T68" s="50">
        <f>E68*M68*O68*Q68/100000000</f>
        <v>51.60362448681817</v>
      </c>
      <c r="U68" s="50">
        <f>E68*M68*O68*(Q68-R68-S68)/100000000</f>
        <v>51.030250881409081</v>
      </c>
      <c r="V68" s="50">
        <f>E68*G68*(1-N68)*O68/100*(R68+S68)/1000000</f>
        <v>0.58157558611140847</v>
      </c>
      <c r="W68" s="50">
        <f>+'[6]14'!K9/1000</f>
        <v>46.872999999999998</v>
      </c>
      <c r="X68" s="51">
        <f>SUM(W68:W71)/SUM(K68:K71)</f>
        <v>0.89551749342404974</v>
      </c>
      <c r="Y68" s="50">
        <f>+SUM([6]RBP!AG58:AG59)</f>
        <v>0</v>
      </c>
      <c r="Z68" s="50">
        <f>+'[6]7'!D64/1000</f>
        <v>0</v>
      </c>
      <c r="AA68" s="53">
        <f>SUM(U68:U71)-SUM(W68:W71)-SUM(Z68:Z71)-SUM(Y68:Y71)</f>
        <v>4.1572508814090838</v>
      </c>
      <c r="AB68" s="53">
        <f>(SUM(K68:K71)-SUM(W68:W71)-SUM(Y68:Y71)-SUM(Z68:Z71)-SUM(AC68:AC71)-SUM(V68:V71))-AA68</f>
        <v>-8.201980702319922E-3</v>
      </c>
      <c r="AC68" s="50">
        <f>K68-T68</f>
        <v>0.7381782632085887</v>
      </c>
      <c r="AD68" s="50">
        <f>+AM68+BA68</f>
        <v>0</v>
      </c>
      <c r="AE68" s="101" t="s">
        <v>110</v>
      </c>
      <c r="AF68" s="50">
        <v>0</v>
      </c>
      <c r="AG68" s="50"/>
      <c r="AH68" s="50"/>
      <c r="AI68" s="50"/>
      <c r="AJ68" s="50"/>
      <c r="AK68" s="50"/>
      <c r="AL68" s="50"/>
      <c r="AM68" s="50">
        <f>SUM(AF68:AL68)+AT68+AV68+AX68</f>
        <v>0</v>
      </c>
      <c r="AN68" s="50"/>
      <c r="AO68" s="50"/>
      <c r="AP68" s="50"/>
      <c r="AQ68" s="50"/>
      <c r="AR68" s="50">
        <f>SUM(AN68:AQ68)</f>
        <v>0</v>
      </c>
      <c r="AS68" s="50"/>
      <c r="AT68" s="50"/>
      <c r="AU68" s="50"/>
      <c r="AV68" s="50"/>
      <c r="AW68" s="50"/>
      <c r="AX68" s="50"/>
      <c r="AY68" s="50"/>
      <c r="AZ68" s="50"/>
      <c r="BA68" s="50">
        <f>+AR68+AS68+AU68+AW68+AY68+AZ68</f>
        <v>0</v>
      </c>
      <c r="BB68" s="124">
        <v>0</v>
      </c>
      <c r="BC68" s="116"/>
      <c r="BD68" s="116"/>
      <c r="BE68" s="124"/>
      <c r="BF68" s="116">
        <v>1</v>
      </c>
    </row>
    <row r="69" spans="1:58" ht="12.95" customHeight="1" x14ac:dyDescent="0.2">
      <c r="A69" s="247"/>
      <c r="B69" s="204"/>
      <c r="C69" s="205"/>
      <c r="D69" s="204"/>
      <c r="E69" s="37"/>
      <c r="F69" s="37"/>
      <c r="G69" s="208"/>
      <c r="H69" s="203"/>
      <c r="I69" s="45"/>
      <c r="J69" s="46"/>
      <c r="K69" s="46"/>
      <c r="L69" s="206"/>
      <c r="M69" s="206"/>
      <c r="N69" s="47"/>
      <c r="O69" s="48"/>
      <c r="P69" s="49"/>
      <c r="Q69" s="48"/>
      <c r="R69" s="123"/>
      <c r="S69" s="123"/>
      <c r="T69" s="50"/>
      <c r="U69" s="50"/>
      <c r="V69" s="50"/>
      <c r="W69" s="50"/>
      <c r="X69" s="55"/>
      <c r="Y69" s="52"/>
      <c r="Z69" s="50"/>
      <c r="AA69" s="50"/>
      <c r="AB69" s="50"/>
      <c r="AC69" s="50"/>
      <c r="AD69" s="50">
        <f t="shared" ref="AD69:AD70" si="55">+AM69+BA69</f>
        <v>1</v>
      </c>
      <c r="AE69" s="101" t="s">
        <v>174</v>
      </c>
      <c r="AF69" s="50"/>
      <c r="AG69" s="50">
        <v>1</v>
      </c>
      <c r="AH69" s="50"/>
      <c r="AI69" s="50"/>
      <c r="AJ69" s="50"/>
      <c r="AK69" s="50"/>
      <c r="AL69" s="50"/>
      <c r="AM69" s="50">
        <f t="shared" ref="AM69:AM70" si="56">SUM(AF69:AL69)+AT69+AV69+AX69</f>
        <v>1</v>
      </c>
      <c r="AN69" s="125"/>
      <c r="AO69" s="50"/>
      <c r="AP69" s="50"/>
      <c r="AQ69" s="50"/>
      <c r="AR69" s="50">
        <f t="shared" ref="AR69:AR70" si="57">SUM(AN69:AQ69)</f>
        <v>0</v>
      </c>
      <c r="AS69" s="50"/>
      <c r="AT69" s="50"/>
      <c r="AU69" s="50"/>
      <c r="AV69" s="50"/>
      <c r="AW69" s="50"/>
      <c r="AX69" s="50"/>
      <c r="AY69" s="50"/>
      <c r="AZ69" s="50"/>
      <c r="BA69" s="50">
        <f t="shared" ref="BA69:BA70" si="58">+AR69+AS69+AU69+AW69+AY69+AZ69</f>
        <v>0</v>
      </c>
      <c r="BB69" s="126"/>
      <c r="BC69" s="116">
        <v>1</v>
      </c>
      <c r="BD69" s="116"/>
      <c r="BE69" s="126"/>
      <c r="BF69" s="116"/>
    </row>
    <row r="70" spans="1:58" ht="12.95" customHeight="1" x14ac:dyDescent="0.2">
      <c r="A70" s="247"/>
      <c r="B70" s="204"/>
      <c r="C70" s="205"/>
      <c r="D70" s="204"/>
      <c r="E70" s="37"/>
      <c r="F70" s="37"/>
      <c r="G70" s="248"/>
      <c r="H70" s="203"/>
      <c r="I70" s="45"/>
      <c r="J70" s="46"/>
      <c r="K70" s="46"/>
      <c r="L70" s="206"/>
      <c r="M70" s="206"/>
      <c r="N70" s="47"/>
      <c r="O70" s="48"/>
      <c r="P70" s="49"/>
      <c r="Q70" s="48"/>
      <c r="R70" s="123"/>
      <c r="S70" s="123"/>
      <c r="T70" s="50"/>
      <c r="U70" s="50"/>
      <c r="V70" s="50"/>
      <c r="W70" s="50"/>
      <c r="X70" s="55"/>
      <c r="Y70" s="52"/>
      <c r="Z70" s="50"/>
      <c r="AA70" s="50"/>
      <c r="AB70" s="50"/>
      <c r="AC70" s="50"/>
      <c r="AD70" s="50">
        <f t="shared" si="55"/>
        <v>15</v>
      </c>
      <c r="AE70" s="101" t="s">
        <v>207</v>
      </c>
      <c r="AF70" s="124"/>
      <c r="AG70" s="124"/>
      <c r="AH70" s="124">
        <v>15</v>
      </c>
      <c r="AI70" s="124"/>
      <c r="AJ70" s="50"/>
      <c r="AK70" s="50"/>
      <c r="AL70" s="50"/>
      <c r="AM70" s="50">
        <f t="shared" si="56"/>
        <v>15</v>
      </c>
      <c r="AN70" s="50"/>
      <c r="AO70" s="50"/>
      <c r="AP70" s="50"/>
      <c r="AQ70" s="50"/>
      <c r="AR70" s="50">
        <f t="shared" si="57"/>
        <v>0</v>
      </c>
      <c r="AS70" s="50"/>
      <c r="AT70" s="50"/>
      <c r="AU70" s="50"/>
      <c r="AV70" s="50"/>
      <c r="AW70" s="50"/>
      <c r="AX70" s="50"/>
      <c r="AY70" s="50"/>
      <c r="AZ70" s="50"/>
      <c r="BA70" s="50">
        <f t="shared" si="58"/>
        <v>0</v>
      </c>
      <c r="BB70" s="124"/>
      <c r="BC70" s="146"/>
      <c r="BD70" s="146"/>
      <c r="BE70" s="124"/>
      <c r="BF70" s="146"/>
    </row>
    <row r="71" spans="1:58" ht="12.95" customHeight="1" x14ac:dyDescent="0.2">
      <c r="A71" s="247"/>
      <c r="B71" s="204"/>
      <c r="C71" s="205"/>
      <c r="D71" s="204"/>
      <c r="E71" s="37"/>
      <c r="F71" s="37"/>
      <c r="G71" s="208"/>
      <c r="H71" s="203"/>
      <c r="I71" s="45"/>
      <c r="J71" s="46"/>
      <c r="K71" s="46"/>
      <c r="L71" s="206"/>
      <c r="M71" s="206"/>
      <c r="N71" s="47"/>
      <c r="O71" s="48"/>
      <c r="P71" s="49"/>
      <c r="Q71" s="48"/>
      <c r="R71" s="123"/>
      <c r="S71" s="123"/>
      <c r="T71" s="50"/>
      <c r="U71" s="50"/>
      <c r="V71" s="50"/>
      <c r="W71" s="50"/>
      <c r="X71" s="51"/>
      <c r="Y71" s="52"/>
      <c r="Z71" s="50"/>
      <c r="AA71" s="53"/>
      <c r="AB71" s="53"/>
      <c r="AC71" s="50"/>
      <c r="AD71" s="50"/>
      <c r="AE71" s="101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124"/>
      <c r="BC71" s="116"/>
      <c r="BD71" s="146"/>
      <c r="BE71" s="124"/>
      <c r="BF71" s="146"/>
    </row>
    <row r="72" spans="1:58" ht="12.95" customHeight="1" x14ac:dyDescent="0.2">
      <c r="A72" s="247">
        <v>45976</v>
      </c>
      <c r="B72" s="204" t="s">
        <v>168</v>
      </c>
      <c r="C72" s="205">
        <f>(M72*E72*O72*Q72)/100000000</f>
        <v>52.412184000000003</v>
      </c>
      <c r="D72" s="204" t="s">
        <v>196</v>
      </c>
      <c r="E72" s="37">
        <v>15</v>
      </c>
      <c r="F72" s="37">
        <v>1</v>
      </c>
      <c r="G72" s="208">
        <v>1140</v>
      </c>
      <c r="H72" s="203">
        <f>+N72</f>
        <v>0.1701754385964912</v>
      </c>
      <c r="I72" s="45">
        <v>0.88</v>
      </c>
      <c r="J72" s="46">
        <f>E72*G72*(1-H72)*1440/1000000*2.7</f>
        <v>55.170720000000003</v>
      </c>
      <c r="K72" s="46">
        <f>(IF(G72&lt;L72,L72,G72)*(1-IF(H72&lt;N72,H72,N72))*E72*O72*Q72)/100000000</f>
        <v>52.412184000000003</v>
      </c>
      <c r="L72" s="206">
        <v>1140</v>
      </c>
      <c r="M72" s="206">
        <v>946</v>
      </c>
      <c r="N72" s="47">
        <f>1-(M72/L72)</f>
        <v>0.1701754385964912</v>
      </c>
      <c r="O72" s="48">
        <f>+'[6]Trim Rwd'!H36</f>
        <v>256.5</v>
      </c>
      <c r="P72" s="49">
        <f>O72*(Q72-R72-S72)</f>
        <v>364230</v>
      </c>
      <c r="Q72" s="48">
        <v>1440</v>
      </c>
      <c r="R72" s="123">
        <v>0</v>
      </c>
      <c r="S72" s="123">
        <v>20</v>
      </c>
      <c r="T72" s="50">
        <f>E72*M72*O72*Q72/100000000</f>
        <v>52.412184000000003</v>
      </c>
      <c r="U72" s="50">
        <f>E72*M72*O72*(Q72-R72-S72)/100000000</f>
        <v>51.684237000000003</v>
      </c>
      <c r="V72" s="50">
        <f>E72*G72*(1-N72)*O72/100*(R72+S72)/1000000</f>
        <v>0.72794700000000001</v>
      </c>
      <c r="W72" s="50">
        <f>+'[6]15'!K9/1000</f>
        <v>50.865000000000002</v>
      </c>
      <c r="X72" s="51">
        <f>SUM(W72:W75)/SUM(K72:K75)</f>
        <v>0.97048045164460228</v>
      </c>
      <c r="Y72" s="50">
        <f>+SUM([6]RBP!AG62:AG63)</f>
        <v>0</v>
      </c>
      <c r="Z72" s="50">
        <f>+'[6]7'!D68/1000</f>
        <v>0</v>
      </c>
      <c r="AA72" s="53">
        <f>SUM(U72:U75)-SUM(W72:W75)-SUM(Z72:Z75)-SUM(Y72:Y75)</f>
        <v>0.8192370000000011</v>
      </c>
      <c r="AB72" s="53">
        <f>(SUM(K72:K75)-SUM(W72:W75)-SUM(Y72:Y75)-SUM(Z72:Z75)-SUM(AC72:AC75)-SUM(V72:V75))-AA72</f>
        <v>0</v>
      </c>
      <c r="AC72" s="50">
        <f>K72-T72</f>
        <v>0</v>
      </c>
      <c r="AD72" s="50">
        <f>+AM72+BA72</f>
        <v>0</v>
      </c>
      <c r="AE72" s="101" t="s">
        <v>110</v>
      </c>
      <c r="AF72" s="50">
        <v>0</v>
      </c>
      <c r="AG72" s="50"/>
      <c r="AH72" s="50"/>
      <c r="AI72" s="50"/>
      <c r="AJ72" s="50"/>
      <c r="AK72" s="50"/>
      <c r="AL72" s="50"/>
      <c r="AM72" s="50">
        <f>SUM(AF72:AL72)+AT72+AV72+AX72</f>
        <v>0</v>
      </c>
      <c r="AN72" s="50"/>
      <c r="AO72" s="50"/>
      <c r="AP72" s="50"/>
      <c r="AQ72" s="50"/>
      <c r="AR72" s="50">
        <f>SUM(AN72:AQ72)</f>
        <v>0</v>
      </c>
      <c r="AS72" s="50"/>
      <c r="AT72" s="50"/>
      <c r="AU72" s="50"/>
      <c r="AV72" s="50"/>
      <c r="AW72" s="50"/>
      <c r="AX72" s="50"/>
      <c r="AY72" s="50"/>
      <c r="AZ72" s="50"/>
      <c r="BA72" s="50">
        <f>+AR72+AS72+AU72+AW72+AY72+AZ72</f>
        <v>0</v>
      </c>
      <c r="BB72" s="124">
        <v>0</v>
      </c>
      <c r="BC72" s="116"/>
      <c r="BD72" s="116"/>
      <c r="BE72" s="124"/>
      <c r="BF72" s="116"/>
    </row>
    <row r="73" spans="1:58" ht="12.95" customHeight="1" x14ac:dyDescent="0.2">
      <c r="A73" s="247"/>
      <c r="B73" s="204"/>
      <c r="C73" s="205"/>
      <c r="D73" s="204"/>
      <c r="E73" s="37"/>
      <c r="F73" s="37"/>
      <c r="G73" s="208"/>
      <c r="H73" s="203"/>
      <c r="I73" s="45"/>
      <c r="J73" s="46"/>
      <c r="K73" s="46"/>
      <c r="L73" s="206"/>
      <c r="M73" s="206"/>
      <c r="N73" s="47"/>
      <c r="O73" s="48"/>
      <c r="P73" s="49"/>
      <c r="Q73" s="48"/>
      <c r="R73" s="123"/>
      <c r="S73" s="123"/>
      <c r="T73" s="50"/>
      <c r="U73" s="50"/>
      <c r="V73" s="50"/>
      <c r="W73" s="50"/>
      <c r="X73" s="55"/>
      <c r="Y73" s="52"/>
      <c r="Z73" s="50"/>
      <c r="AA73" s="50"/>
      <c r="AB73" s="50"/>
      <c r="AC73" s="50"/>
      <c r="AD73" s="50">
        <f t="shared" ref="AD73:AD74" si="59">+AM73+BA73</f>
        <v>0</v>
      </c>
      <c r="AE73" s="101" t="s">
        <v>111</v>
      </c>
      <c r="AF73" s="50"/>
      <c r="AG73" s="50">
        <v>0</v>
      </c>
      <c r="AH73" s="50"/>
      <c r="AI73" s="50"/>
      <c r="AJ73" s="50"/>
      <c r="AK73" s="50"/>
      <c r="AL73" s="50"/>
      <c r="AM73" s="50">
        <f t="shared" ref="AM73:AM74" si="60">SUM(AF73:AL73)+AT73+AV73+AX73</f>
        <v>0</v>
      </c>
      <c r="AN73" s="125"/>
      <c r="AO73" s="50"/>
      <c r="AP73" s="50"/>
      <c r="AQ73" s="50"/>
      <c r="AR73" s="50">
        <f t="shared" ref="AR73:AR74" si="61">SUM(AN73:AQ73)</f>
        <v>0</v>
      </c>
      <c r="AS73" s="50"/>
      <c r="AT73" s="50"/>
      <c r="AU73" s="50"/>
      <c r="AV73" s="50"/>
      <c r="AW73" s="50"/>
      <c r="AX73" s="50"/>
      <c r="AY73" s="50"/>
      <c r="AZ73" s="50"/>
      <c r="BA73" s="50">
        <f t="shared" ref="BA73:BA74" si="62">+AR73+AS73+AU73+AW73+AY73+AZ73</f>
        <v>0</v>
      </c>
      <c r="BB73" s="126"/>
      <c r="BC73" s="116">
        <v>0</v>
      </c>
      <c r="BD73" s="116"/>
      <c r="BE73" s="126"/>
      <c r="BF73" s="116"/>
    </row>
    <row r="74" spans="1:58" ht="12.95" customHeight="1" x14ac:dyDescent="0.2">
      <c r="A74" s="247"/>
      <c r="B74" s="204"/>
      <c r="C74" s="205"/>
      <c r="D74" s="204"/>
      <c r="E74" s="37"/>
      <c r="F74" s="37"/>
      <c r="G74" s="248"/>
      <c r="H74" s="203"/>
      <c r="I74" s="45"/>
      <c r="J74" s="46"/>
      <c r="K74" s="46"/>
      <c r="L74" s="206"/>
      <c r="M74" s="206"/>
      <c r="N74" s="47"/>
      <c r="O74" s="48"/>
      <c r="P74" s="49"/>
      <c r="Q74" s="48"/>
      <c r="R74" s="123"/>
      <c r="S74" s="123"/>
      <c r="T74" s="50"/>
      <c r="U74" s="50"/>
      <c r="V74" s="50"/>
      <c r="W74" s="50"/>
      <c r="X74" s="55"/>
      <c r="Y74" s="52"/>
      <c r="Z74" s="50"/>
      <c r="AA74" s="50"/>
      <c r="AB74" s="50"/>
      <c r="AC74" s="50"/>
      <c r="AD74" s="50">
        <f t="shared" si="59"/>
        <v>20</v>
      </c>
      <c r="AE74" s="101" t="s">
        <v>207</v>
      </c>
      <c r="AF74" s="124"/>
      <c r="AG74" s="124"/>
      <c r="AH74" s="124">
        <v>20</v>
      </c>
      <c r="AI74" s="124"/>
      <c r="AJ74" s="50"/>
      <c r="AK74" s="50"/>
      <c r="AL74" s="50"/>
      <c r="AM74" s="50">
        <f t="shared" si="60"/>
        <v>20</v>
      </c>
      <c r="AN74" s="50"/>
      <c r="AO74" s="50"/>
      <c r="AP74" s="50"/>
      <c r="AQ74" s="50"/>
      <c r="AR74" s="50">
        <f t="shared" si="61"/>
        <v>0</v>
      </c>
      <c r="AS74" s="50"/>
      <c r="AT74" s="50"/>
      <c r="AU74" s="50"/>
      <c r="AV74" s="50"/>
      <c r="AW74" s="50"/>
      <c r="AX74" s="50"/>
      <c r="AY74" s="50"/>
      <c r="AZ74" s="50"/>
      <c r="BA74" s="50">
        <f t="shared" si="62"/>
        <v>0</v>
      </c>
      <c r="BB74" s="124"/>
      <c r="BC74" s="146"/>
      <c r="BD74" s="146"/>
      <c r="BE74" s="124"/>
      <c r="BF74" s="146"/>
    </row>
    <row r="75" spans="1:58" ht="12.95" customHeight="1" x14ac:dyDescent="0.2">
      <c r="A75" s="247"/>
      <c r="B75" s="204"/>
      <c r="C75" s="205"/>
      <c r="D75" s="204"/>
      <c r="E75" s="37"/>
      <c r="F75" s="37"/>
      <c r="G75" s="208"/>
      <c r="H75" s="203"/>
      <c r="I75" s="45"/>
      <c r="J75" s="46"/>
      <c r="K75" s="46"/>
      <c r="L75" s="206"/>
      <c r="M75" s="206"/>
      <c r="N75" s="47"/>
      <c r="O75" s="48"/>
      <c r="P75" s="49"/>
      <c r="Q75" s="48"/>
      <c r="R75" s="123"/>
      <c r="S75" s="123"/>
      <c r="T75" s="50"/>
      <c r="U75" s="50"/>
      <c r="V75" s="50"/>
      <c r="W75" s="50"/>
      <c r="X75" s="51"/>
      <c r="Y75" s="52"/>
      <c r="Z75" s="50"/>
      <c r="AA75" s="53"/>
      <c r="AB75" s="53"/>
      <c r="AC75" s="50"/>
      <c r="AD75" s="50"/>
      <c r="AE75" s="101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124"/>
      <c r="BC75" s="116"/>
      <c r="BD75" s="146"/>
      <c r="BE75" s="124"/>
      <c r="BF75" s="146"/>
    </row>
    <row r="76" spans="1:58" ht="12.95" customHeight="1" x14ac:dyDescent="0.2">
      <c r="A76" s="247">
        <v>45977</v>
      </c>
      <c r="B76" s="204" t="s">
        <v>168</v>
      </c>
      <c r="C76" s="205">
        <f>(M76*E76*O76*Q76)/100000000</f>
        <v>52.329820754716991</v>
      </c>
      <c r="D76" s="204" t="s">
        <v>196</v>
      </c>
      <c r="E76" s="37">
        <v>15</v>
      </c>
      <c r="F76" s="37">
        <v>1</v>
      </c>
      <c r="G76" s="208">
        <v>1125</v>
      </c>
      <c r="H76" s="203">
        <f>+N76</f>
        <v>0.16000000000000003</v>
      </c>
      <c r="I76" s="45">
        <v>0.88</v>
      </c>
      <c r="J76" s="46">
        <f>E76*G76*(1-H76)*1440/1000000*2.7</f>
        <v>55.112400000000001</v>
      </c>
      <c r="K76" s="46">
        <f>(IF(G76&lt;L76,L76,G76)*(1-IF(H76&lt;N76,H76,N76))*E76*O76*Q76)/100000000</f>
        <v>52.329820754716991</v>
      </c>
      <c r="L76" s="206">
        <v>1125</v>
      </c>
      <c r="M76" s="206">
        <v>945</v>
      </c>
      <c r="N76" s="47">
        <f>1-(M76/L76)</f>
        <v>0.16000000000000003</v>
      </c>
      <c r="O76" s="48">
        <f>+'[6]Trim Rwd'!H38</f>
        <v>256.3679245283019</v>
      </c>
      <c r="P76" s="49">
        <f>O76*(Q76-R76-S76)</f>
        <v>286619.33962264151</v>
      </c>
      <c r="Q76" s="48">
        <v>1440</v>
      </c>
      <c r="R76" s="123">
        <v>292</v>
      </c>
      <c r="S76" s="123">
        <v>30</v>
      </c>
      <c r="T76" s="50">
        <f>E76*M76*O76*Q76/100000000</f>
        <v>52.329820754716991</v>
      </c>
      <c r="U76" s="50">
        <f>E76*M76*O76*(Q76-R76-S76)/100000000</f>
        <v>40.628291391509435</v>
      </c>
      <c r="V76" s="50">
        <f>E76*G76*(1-N76)*O76/100*(R76+S76)/1000000</f>
        <v>11.701529363207547</v>
      </c>
      <c r="W76" s="50">
        <f>+'[6]16'!K9/1000</f>
        <v>45.72</v>
      </c>
      <c r="X76" s="51">
        <f>SUM(W76:W79)/SUM(K76:K79)</f>
        <v>0.87368921468890781</v>
      </c>
      <c r="Y76" s="50">
        <f>+SUM([6]RBP!AG66:AG67)</f>
        <v>0</v>
      </c>
      <c r="Z76" s="50">
        <f>+'[6]7'!D72/1000</f>
        <v>0</v>
      </c>
      <c r="AA76" s="53">
        <f>SUM(U76:U79)-SUM(W76:W79)-SUM(Z76:Z79)-SUM(Y76:Y79)</f>
        <v>-5.0917086084905634</v>
      </c>
      <c r="AB76" s="53">
        <f>(SUM(K76:K79)-SUM(W76:W79)-SUM(Y76:Y79)-SUM(Z76:Z79)-SUM(AC76:AC79)-SUM(V76:V79))-AA76</f>
        <v>8.8817841970012523E-15</v>
      </c>
      <c r="AC76" s="50">
        <f>K76-T76</f>
        <v>0</v>
      </c>
      <c r="AD76" s="50">
        <f>+AM76+BA76</f>
        <v>0</v>
      </c>
      <c r="AE76" s="101" t="s">
        <v>110</v>
      </c>
      <c r="AF76" s="50">
        <v>0</v>
      </c>
      <c r="AG76" s="50"/>
      <c r="AH76" s="50"/>
      <c r="AI76" s="50"/>
      <c r="AJ76" s="50"/>
      <c r="AK76" s="50"/>
      <c r="AL76" s="50"/>
      <c r="AM76" s="50">
        <f>SUM(AF76:AL76)+AT76+AV76+AX76</f>
        <v>0</v>
      </c>
      <c r="AN76" s="50"/>
      <c r="AO76" s="50"/>
      <c r="AP76" s="50"/>
      <c r="AQ76" s="50"/>
      <c r="AR76" s="50">
        <f>SUM(AN76:AQ76)</f>
        <v>0</v>
      </c>
      <c r="AS76" s="50"/>
      <c r="AT76" s="50"/>
      <c r="AU76" s="50"/>
      <c r="AV76" s="50"/>
      <c r="AW76" s="50"/>
      <c r="AX76" s="50"/>
      <c r="AY76" s="50"/>
      <c r="AZ76" s="50"/>
      <c r="BA76" s="50">
        <f>+AR76+AS76+AU76+AW76+AY76+AZ76</f>
        <v>0</v>
      </c>
      <c r="BB76" s="124">
        <v>0</v>
      </c>
      <c r="BC76" s="116"/>
      <c r="BD76" s="116"/>
      <c r="BE76" s="124"/>
      <c r="BF76" s="116">
        <v>1</v>
      </c>
    </row>
    <row r="77" spans="1:58" ht="12.95" customHeight="1" x14ac:dyDescent="0.2">
      <c r="A77" s="247"/>
      <c r="B77" s="204"/>
      <c r="C77" s="205"/>
      <c r="D77" s="204"/>
      <c r="E77" s="37"/>
      <c r="F77" s="37"/>
      <c r="G77" s="208"/>
      <c r="H77" s="203"/>
      <c r="I77" s="45"/>
      <c r="J77" s="46"/>
      <c r="K77" s="46"/>
      <c r="L77" s="206"/>
      <c r="M77" s="206"/>
      <c r="N77" s="47"/>
      <c r="O77" s="48"/>
      <c r="P77" s="49"/>
      <c r="Q77" s="48"/>
      <c r="R77" s="123"/>
      <c r="S77" s="123"/>
      <c r="T77" s="50"/>
      <c r="U77" s="50"/>
      <c r="V77" s="50"/>
      <c r="W77" s="50"/>
      <c r="X77" s="55"/>
      <c r="Y77" s="52"/>
      <c r="Z77" s="50"/>
      <c r="AA77" s="50"/>
      <c r="AB77" s="50"/>
      <c r="AC77" s="50"/>
      <c r="AD77" s="50">
        <f t="shared" ref="AD77:AD79" si="63">+AM77+BA77</f>
        <v>14</v>
      </c>
      <c r="AE77" s="101" t="s">
        <v>174</v>
      </c>
      <c r="AF77" s="50"/>
      <c r="AG77" s="50">
        <v>14</v>
      </c>
      <c r="AH77" s="50"/>
      <c r="AI77" s="50"/>
      <c r="AJ77" s="50"/>
      <c r="AK77" s="50"/>
      <c r="AL77" s="50"/>
      <c r="AM77" s="50">
        <f t="shared" ref="AM77:AM78" si="64">SUM(AF77:AL77)+AT77+AV77+AX77</f>
        <v>14</v>
      </c>
      <c r="AN77" s="125"/>
      <c r="AO77" s="50"/>
      <c r="AP77" s="50"/>
      <c r="AQ77" s="50"/>
      <c r="AR77" s="50">
        <f t="shared" ref="AR77:AR78" si="65">SUM(AN77:AQ77)</f>
        <v>0</v>
      </c>
      <c r="AS77" s="50"/>
      <c r="AT77" s="50"/>
      <c r="AU77" s="50"/>
      <c r="AV77" s="50"/>
      <c r="AW77" s="50"/>
      <c r="AX77" s="50"/>
      <c r="AY77" s="50"/>
      <c r="AZ77" s="50"/>
      <c r="BA77" s="50">
        <f t="shared" ref="BA77:BA79" si="66">+AR77+AS77+AU77+AW77+AY77+AZ77</f>
        <v>0</v>
      </c>
      <c r="BB77" s="126"/>
      <c r="BC77" s="116">
        <v>1</v>
      </c>
      <c r="BD77" s="116"/>
      <c r="BE77" s="126"/>
      <c r="BF77" s="116"/>
    </row>
    <row r="78" spans="1:58" ht="12.95" customHeight="1" x14ac:dyDescent="0.2">
      <c r="A78" s="247"/>
      <c r="B78" s="204"/>
      <c r="C78" s="205"/>
      <c r="D78" s="204"/>
      <c r="E78" s="37"/>
      <c r="F78" s="37"/>
      <c r="G78" s="248"/>
      <c r="H78" s="203"/>
      <c r="I78" s="45"/>
      <c r="J78" s="46"/>
      <c r="K78" s="46"/>
      <c r="L78" s="206"/>
      <c r="M78" s="206"/>
      <c r="N78" s="47"/>
      <c r="O78" s="48"/>
      <c r="P78" s="49"/>
      <c r="Q78" s="48"/>
      <c r="R78" s="123"/>
      <c r="S78" s="123"/>
      <c r="T78" s="50"/>
      <c r="U78" s="50"/>
      <c r="V78" s="50"/>
      <c r="W78" s="50"/>
      <c r="X78" s="55"/>
      <c r="Y78" s="52"/>
      <c r="Z78" s="50"/>
      <c r="AA78" s="50"/>
      <c r="AB78" s="50"/>
      <c r="AC78" s="50"/>
      <c r="AD78" s="50">
        <f t="shared" si="63"/>
        <v>16</v>
      </c>
      <c r="AE78" s="101" t="s">
        <v>207</v>
      </c>
      <c r="AF78" s="124"/>
      <c r="AG78" s="124"/>
      <c r="AH78" s="124">
        <v>16</v>
      </c>
      <c r="AI78" s="124"/>
      <c r="AJ78" s="50"/>
      <c r="AK78" s="50"/>
      <c r="AL78" s="50"/>
      <c r="AM78" s="50">
        <f t="shared" si="64"/>
        <v>16</v>
      </c>
      <c r="AN78" s="50"/>
      <c r="AO78" s="50"/>
      <c r="AP78" s="50"/>
      <c r="AQ78" s="50"/>
      <c r="AR78" s="50">
        <f t="shared" si="65"/>
        <v>0</v>
      </c>
      <c r="AS78" s="50"/>
      <c r="AT78" s="50"/>
      <c r="AU78" s="50"/>
      <c r="AV78" s="50"/>
      <c r="AW78" s="50"/>
      <c r="AX78" s="50"/>
      <c r="AY78" s="50"/>
      <c r="AZ78" s="50"/>
      <c r="BA78" s="50">
        <f t="shared" si="66"/>
        <v>0</v>
      </c>
      <c r="BB78" s="124"/>
      <c r="BC78" s="146"/>
      <c r="BD78" s="146"/>
      <c r="BE78" s="124"/>
      <c r="BF78" s="146"/>
    </row>
    <row r="79" spans="1:58" ht="12.95" customHeight="1" x14ac:dyDescent="0.2">
      <c r="A79" s="247"/>
      <c r="B79" s="204"/>
      <c r="C79" s="205"/>
      <c r="D79" s="204"/>
      <c r="E79" s="37"/>
      <c r="F79" s="37"/>
      <c r="G79" s="248"/>
      <c r="H79" s="203"/>
      <c r="I79" s="45"/>
      <c r="J79" s="46"/>
      <c r="K79" s="46"/>
      <c r="L79" s="206"/>
      <c r="M79" s="206"/>
      <c r="N79" s="47"/>
      <c r="O79" s="48"/>
      <c r="P79" s="49"/>
      <c r="Q79" s="48"/>
      <c r="R79" s="123"/>
      <c r="S79" s="123"/>
      <c r="T79" s="50"/>
      <c r="U79" s="50"/>
      <c r="V79" s="50"/>
      <c r="W79" s="50"/>
      <c r="X79" s="55"/>
      <c r="Y79" s="52"/>
      <c r="Z79" s="50"/>
      <c r="AA79" s="50"/>
      <c r="AB79" s="50"/>
      <c r="AC79" s="50"/>
      <c r="AD79" s="50">
        <f t="shared" si="63"/>
        <v>292</v>
      </c>
      <c r="AE79" s="101" t="s">
        <v>277</v>
      </c>
      <c r="AF79" s="124"/>
      <c r="AG79" s="124"/>
      <c r="AH79" s="124"/>
      <c r="AI79" s="124"/>
      <c r="AJ79" s="50"/>
      <c r="AK79" s="50"/>
      <c r="AL79" s="50"/>
      <c r="AM79" s="50">
        <f t="shared" ref="AM79" si="67">SUM(AF79:AL79)+AT79+AV79+AX79</f>
        <v>0</v>
      </c>
      <c r="AN79" s="50"/>
      <c r="AO79" s="50"/>
      <c r="AP79" s="50">
        <v>292</v>
      </c>
      <c r="AQ79" s="50"/>
      <c r="AR79" s="50">
        <f t="shared" ref="AR79" si="68">SUM(AN79:AQ79)</f>
        <v>292</v>
      </c>
      <c r="AS79" s="50"/>
      <c r="AT79" s="50"/>
      <c r="AU79" s="50"/>
      <c r="AV79" s="50"/>
      <c r="AW79" s="50"/>
      <c r="AX79" s="50"/>
      <c r="AY79" s="50"/>
      <c r="AZ79" s="50"/>
      <c r="BA79" s="50">
        <f t="shared" si="66"/>
        <v>292</v>
      </c>
      <c r="BB79" s="124"/>
      <c r="BC79" s="146"/>
      <c r="BD79" s="146"/>
      <c r="BE79" s="124"/>
      <c r="BF79" s="146"/>
    </row>
    <row r="80" spans="1:58" ht="12.95" customHeight="1" x14ac:dyDescent="0.2">
      <c r="A80" s="247"/>
      <c r="B80" s="204"/>
      <c r="C80" s="205"/>
      <c r="D80" s="204"/>
      <c r="E80" s="37"/>
      <c r="F80" s="37"/>
      <c r="G80" s="208"/>
      <c r="H80" s="203"/>
      <c r="I80" s="45"/>
      <c r="J80" s="46"/>
      <c r="K80" s="46"/>
      <c r="L80" s="206"/>
      <c r="M80" s="206"/>
      <c r="N80" s="47"/>
      <c r="O80" s="48"/>
      <c r="P80" s="49"/>
      <c r="Q80" s="48"/>
      <c r="R80" s="123"/>
      <c r="S80" s="123"/>
      <c r="T80" s="50"/>
      <c r="U80" s="50"/>
      <c r="V80" s="50"/>
      <c r="W80" s="50"/>
      <c r="X80" s="51"/>
      <c r="Y80" s="52"/>
      <c r="Z80" s="50"/>
      <c r="AA80" s="53"/>
      <c r="AB80" s="53"/>
      <c r="AC80" s="50"/>
      <c r="AD80" s="50"/>
      <c r="AE80" s="101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124"/>
      <c r="BC80" s="116"/>
      <c r="BD80" s="116"/>
      <c r="BE80" s="116"/>
      <c r="BF80" s="116"/>
    </row>
    <row r="81" spans="1:58" ht="12.95" customHeight="1" x14ac:dyDescent="0.2">
      <c r="A81" s="247">
        <v>45978</v>
      </c>
      <c r="B81" s="204" t="s">
        <v>168</v>
      </c>
      <c r="C81" s="205">
        <f>(M81*E81*O81*Q81)/100000000</f>
        <v>52.783661605263156</v>
      </c>
      <c r="D81" s="204" t="s">
        <v>196</v>
      </c>
      <c r="E81" s="37">
        <v>15</v>
      </c>
      <c r="F81" s="37">
        <v>1</v>
      </c>
      <c r="G81" s="208">
        <v>1140</v>
      </c>
      <c r="H81" s="203">
        <f>+N81</f>
        <v>0.16998821075541848</v>
      </c>
      <c r="I81" s="45">
        <v>0.88</v>
      </c>
      <c r="J81" s="46">
        <f>E81*G81*(1-H81)*1440/1000000*2.7</f>
        <v>55.183167805568154</v>
      </c>
      <c r="K81" s="46">
        <f>(IF(G81&lt;L81,L81,G81)*(1-IF(H81&lt;N81,H81,N81))*E81*O81*Q81)/100000000</f>
        <v>52.783661605263156</v>
      </c>
      <c r="L81" s="206">
        <v>1148.6458333333333</v>
      </c>
      <c r="M81" s="206">
        <v>953.38958333333335</v>
      </c>
      <c r="N81" s="47">
        <f>1-(M81/L81)</f>
        <v>0.16998821075541848</v>
      </c>
      <c r="O81" s="48">
        <f>+'[6]Trim Rwd'!H41</f>
        <v>256.31578947368422</v>
      </c>
      <c r="P81" s="49">
        <f>O81*(Q81-R81-S81)</f>
        <v>363712.10526315792</v>
      </c>
      <c r="Q81" s="48">
        <v>1440</v>
      </c>
      <c r="R81" s="123">
        <v>0</v>
      </c>
      <c r="S81" s="123">
        <v>21</v>
      </c>
      <c r="T81" s="50">
        <f>E81*M81*O81*Q81/100000000</f>
        <v>52.783661605263156</v>
      </c>
      <c r="U81" s="50">
        <f>E81*M81*O81*(Q81-R81-S81)/100000000</f>
        <v>52.013899873519733</v>
      </c>
      <c r="V81" s="50">
        <f>E81*G81*(1-N81)*O81/100*(R81+S81)/1000000</f>
        <v>0.7639677511743902</v>
      </c>
      <c r="W81" s="50">
        <f>+'[6]17'!K9/1000</f>
        <v>49.64</v>
      </c>
      <c r="X81" s="51">
        <f>SUM(W81:W84)/SUM(K81:K84)</f>
        <v>0.94044252502274883</v>
      </c>
      <c r="Y81" s="50">
        <f>+SUM([6]RBP!AG71:AG72)</f>
        <v>0</v>
      </c>
      <c r="Z81" s="50">
        <f>+'[6]17'!D34/1000</f>
        <v>0.7</v>
      </c>
      <c r="AA81" s="53">
        <f>SUM(U81:U84)-SUM(W81:W84)-SUM(Z81:Z84)-SUM(Y81:Y84)</f>
        <v>1.6738998735197328</v>
      </c>
      <c r="AB81" s="53">
        <f>(SUM(K81:K84)-SUM(W81:W84)-SUM(Y81:Y84)-SUM(Z81:Z84)-SUM(AC81:AC84)-SUM(V81:V84))-AA81</f>
        <v>5.793980569031687E-3</v>
      </c>
      <c r="AC81" s="50">
        <f>K81-T81</f>
        <v>0</v>
      </c>
      <c r="AD81" s="50">
        <f>+AM81+BA81</f>
        <v>0</v>
      </c>
      <c r="AE81" s="101" t="s">
        <v>110</v>
      </c>
      <c r="AF81" s="50">
        <v>0</v>
      </c>
      <c r="AG81" s="50"/>
      <c r="AH81" s="50"/>
      <c r="AI81" s="50"/>
      <c r="AJ81" s="50"/>
      <c r="AK81" s="50"/>
      <c r="AL81" s="50"/>
      <c r="AM81" s="50">
        <f>SUM(AF81:AL81)+AT81+AV81+AX81</f>
        <v>0</v>
      </c>
      <c r="AN81" s="50"/>
      <c r="AO81" s="50"/>
      <c r="AP81" s="50"/>
      <c r="AQ81" s="50"/>
      <c r="AR81" s="50">
        <f>SUM(AN81:AQ81)</f>
        <v>0</v>
      </c>
      <c r="AS81" s="50"/>
      <c r="AT81" s="50"/>
      <c r="AU81" s="50"/>
      <c r="AV81" s="50"/>
      <c r="AW81" s="50"/>
      <c r="AX81" s="50"/>
      <c r="AY81" s="50"/>
      <c r="AZ81" s="50"/>
      <c r="BA81" s="50">
        <f>+AR81+AS81+AU81+AW81+AY81+AZ81</f>
        <v>0</v>
      </c>
      <c r="BB81" s="124">
        <v>0</v>
      </c>
      <c r="BC81" s="116"/>
      <c r="BD81" s="116"/>
      <c r="BE81" s="124"/>
      <c r="BF81" s="116">
        <v>1</v>
      </c>
    </row>
    <row r="82" spans="1:58" ht="12.95" customHeight="1" x14ac:dyDescent="0.2">
      <c r="A82" s="247"/>
      <c r="B82" s="204"/>
      <c r="C82" s="205"/>
      <c r="D82" s="204"/>
      <c r="E82" s="37"/>
      <c r="F82" s="37"/>
      <c r="G82" s="208"/>
      <c r="H82" s="203"/>
      <c r="I82" s="45"/>
      <c r="J82" s="46"/>
      <c r="K82" s="46"/>
      <c r="L82" s="206"/>
      <c r="M82" s="206"/>
      <c r="N82" s="47"/>
      <c r="O82" s="48"/>
      <c r="P82" s="49"/>
      <c r="Q82" s="48"/>
      <c r="R82" s="123"/>
      <c r="S82" s="123"/>
      <c r="T82" s="50"/>
      <c r="U82" s="50"/>
      <c r="V82" s="50"/>
      <c r="W82" s="50"/>
      <c r="X82" s="55"/>
      <c r="Y82" s="52"/>
      <c r="Z82" s="50"/>
      <c r="AA82" s="50"/>
      <c r="AB82" s="50"/>
      <c r="AC82" s="50"/>
      <c r="AD82" s="50">
        <f t="shared" ref="AD82:AD84" si="69">+AM82+BA82</f>
        <v>2</v>
      </c>
      <c r="AE82" s="101" t="s">
        <v>174</v>
      </c>
      <c r="AF82" s="50"/>
      <c r="AG82" s="50">
        <v>2</v>
      </c>
      <c r="AH82" s="50"/>
      <c r="AI82" s="50"/>
      <c r="AJ82" s="50"/>
      <c r="AK82" s="50"/>
      <c r="AL82" s="50"/>
      <c r="AM82" s="50">
        <f t="shared" ref="AM82:AM83" si="70">SUM(AF82:AL82)+AT82+AV82+AX82</f>
        <v>2</v>
      </c>
      <c r="AN82" s="125"/>
      <c r="AO82" s="50"/>
      <c r="AP82" s="50"/>
      <c r="AQ82" s="50"/>
      <c r="AR82" s="50">
        <f t="shared" ref="AR82:AR83" si="71">SUM(AN82:AQ82)</f>
        <v>0</v>
      </c>
      <c r="AS82" s="50"/>
      <c r="AT82" s="50"/>
      <c r="AU82" s="50"/>
      <c r="AV82" s="50"/>
      <c r="AW82" s="50"/>
      <c r="AX82" s="50"/>
      <c r="AY82" s="50"/>
      <c r="AZ82" s="50"/>
      <c r="BA82" s="50">
        <f t="shared" ref="BA82:BA84" si="72">+AR82+AS82+AU82+AW82+AY82+AZ82</f>
        <v>0</v>
      </c>
      <c r="BB82" s="126"/>
      <c r="BC82" s="116">
        <v>1</v>
      </c>
      <c r="BD82" s="116"/>
      <c r="BE82" s="126"/>
      <c r="BF82" s="116"/>
    </row>
    <row r="83" spans="1:58" ht="12.95" customHeight="1" x14ac:dyDescent="0.2">
      <c r="A83" s="247"/>
      <c r="B83" s="204"/>
      <c r="C83" s="205"/>
      <c r="D83" s="204"/>
      <c r="E83" s="37"/>
      <c r="F83" s="37"/>
      <c r="G83" s="248"/>
      <c r="H83" s="203"/>
      <c r="I83" s="45"/>
      <c r="J83" s="46"/>
      <c r="K83" s="46"/>
      <c r="L83" s="206"/>
      <c r="M83" s="206"/>
      <c r="N83" s="47"/>
      <c r="O83" s="48"/>
      <c r="P83" s="49"/>
      <c r="Q83" s="48"/>
      <c r="R83" s="123"/>
      <c r="S83" s="123"/>
      <c r="T83" s="50"/>
      <c r="U83" s="50"/>
      <c r="V83" s="50"/>
      <c r="W83" s="50"/>
      <c r="X83" s="55"/>
      <c r="Y83" s="52"/>
      <c r="Z83" s="50"/>
      <c r="AA83" s="50"/>
      <c r="AB83" s="50"/>
      <c r="AC83" s="50"/>
      <c r="AD83" s="50">
        <f t="shared" si="69"/>
        <v>12</v>
      </c>
      <c r="AE83" s="101" t="s">
        <v>207</v>
      </c>
      <c r="AF83" s="124"/>
      <c r="AG83" s="124"/>
      <c r="AH83" s="124">
        <v>12</v>
      </c>
      <c r="AI83" s="124"/>
      <c r="AJ83" s="50"/>
      <c r="AK83" s="50"/>
      <c r="AL83" s="50"/>
      <c r="AM83" s="50">
        <f t="shared" si="70"/>
        <v>12</v>
      </c>
      <c r="AN83" s="50"/>
      <c r="AO83" s="50"/>
      <c r="AP83" s="50"/>
      <c r="AQ83" s="50"/>
      <c r="AR83" s="50">
        <f t="shared" si="71"/>
        <v>0</v>
      </c>
      <c r="AS83" s="50"/>
      <c r="AT83" s="50"/>
      <c r="AU83" s="50"/>
      <c r="AV83" s="50"/>
      <c r="AW83" s="50"/>
      <c r="AX83" s="50"/>
      <c r="AY83" s="50"/>
      <c r="AZ83" s="50"/>
      <c r="BA83" s="50">
        <f t="shared" si="72"/>
        <v>0</v>
      </c>
      <c r="BB83" s="124"/>
      <c r="BC83" s="146"/>
      <c r="BD83" s="146"/>
      <c r="BE83" s="124"/>
      <c r="BF83" s="146"/>
    </row>
    <row r="84" spans="1:58" ht="12.95" customHeight="1" x14ac:dyDescent="0.2">
      <c r="A84" s="117"/>
      <c r="B84" s="118"/>
      <c r="C84" s="119"/>
      <c r="D84" s="118"/>
      <c r="E84" s="37"/>
      <c r="F84" s="37"/>
      <c r="G84" s="127"/>
      <c r="H84" s="121"/>
      <c r="I84" s="45"/>
      <c r="J84" s="46"/>
      <c r="K84" s="46"/>
      <c r="L84" s="122"/>
      <c r="M84" s="122"/>
      <c r="N84" s="47"/>
      <c r="O84" s="48"/>
      <c r="P84" s="49"/>
      <c r="Q84" s="48"/>
      <c r="R84" s="123"/>
      <c r="S84" s="123"/>
      <c r="T84" s="50"/>
      <c r="U84" s="50"/>
      <c r="V84" s="50"/>
      <c r="W84" s="50"/>
      <c r="X84" s="55"/>
      <c r="Y84" s="52"/>
      <c r="Z84" s="50"/>
      <c r="AA84" s="50"/>
      <c r="AB84" s="50"/>
      <c r="AC84" s="50"/>
      <c r="AD84" s="50">
        <f t="shared" si="69"/>
        <v>7</v>
      </c>
      <c r="AE84" s="101" t="s">
        <v>278</v>
      </c>
      <c r="AF84" s="124"/>
      <c r="AG84" s="124"/>
      <c r="AH84" s="124"/>
      <c r="AI84" s="124"/>
      <c r="AJ84" s="50">
        <v>7</v>
      </c>
      <c r="AK84" s="50"/>
      <c r="AL84" s="50"/>
      <c r="AM84" s="50">
        <f t="shared" ref="AM84" si="73">SUM(AF84:AL84)+AT84+AV84+AX84</f>
        <v>7</v>
      </c>
      <c r="AN84" s="50"/>
      <c r="AO84" s="50"/>
      <c r="AP84" s="50"/>
      <c r="AQ84" s="50"/>
      <c r="AR84" s="50">
        <f t="shared" ref="AR84" si="74">SUM(AN84:AQ84)</f>
        <v>0</v>
      </c>
      <c r="AS84" s="50"/>
      <c r="AT84" s="50"/>
      <c r="AU84" s="50"/>
      <c r="AV84" s="50"/>
      <c r="AW84" s="50"/>
      <c r="AX84" s="50"/>
      <c r="AY84" s="50"/>
      <c r="AZ84" s="50"/>
      <c r="BA84" s="50">
        <f t="shared" si="72"/>
        <v>0</v>
      </c>
      <c r="BB84" s="124"/>
      <c r="BC84" s="146"/>
      <c r="BD84" s="146"/>
      <c r="BE84" s="124"/>
      <c r="BF84" s="146"/>
    </row>
    <row r="85" spans="1:58" ht="12.95" customHeight="1" x14ac:dyDescent="0.2">
      <c r="A85" s="117"/>
      <c r="B85" s="118"/>
      <c r="C85" s="119"/>
      <c r="D85" s="118"/>
      <c r="E85" s="37"/>
      <c r="F85" s="37"/>
      <c r="G85" s="120"/>
      <c r="H85" s="203"/>
      <c r="I85" s="45"/>
      <c r="J85" s="46"/>
      <c r="K85" s="46"/>
      <c r="L85" s="122"/>
      <c r="M85" s="122"/>
      <c r="N85" s="47"/>
      <c r="O85" s="48"/>
      <c r="P85" s="49"/>
      <c r="Q85" s="48"/>
      <c r="R85" s="123"/>
      <c r="S85" s="123"/>
      <c r="T85" s="50"/>
      <c r="U85" s="50"/>
      <c r="V85" s="50"/>
      <c r="W85" s="50"/>
      <c r="X85" s="51"/>
      <c r="Y85" s="50"/>
      <c r="Z85" s="50"/>
      <c r="AA85" s="53"/>
      <c r="AB85" s="53"/>
      <c r="AC85" s="50"/>
      <c r="AD85" s="50"/>
      <c r="AE85" s="101"/>
      <c r="AF85" s="50"/>
      <c r="AG85" s="50"/>
      <c r="AH85" s="50"/>
      <c r="AI85" s="54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124"/>
      <c r="BC85" s="116"/>
      <c r="BD85" s="116"/>
      <c r="BE85" s="116"/>
      <c r="BF85" s="116"/>
    </row>
    <row r="86" spans="1:58" ht="12.95" customHeight="1" x14ac:dyDescent="0.2">
      <c r="A86" s="117">
        <v>45979</v>
      </c>
      <c r="B86" s="118" t="s">
        <v>168</v>
      </c>
      <c r="C86" s="119">
        <f>(M86*E86*O86*Q86)/100000000</f>
        <v>51.911790649137934</v>
      </c>
      <c r="D86" s="118" t="s">
        <v>196</v>
      </c>
      <c r="E86" s="37">
        <v>15</v>
      </c>
      <c r="F86" s="37">
        <v>1</v>
      </c>
      <c r="G86" s="120">
        <v>1150</v>
      </c>
      <c r="H86" s="203">
        <f>+N86</f>
        <v>0.17999999999999994</v>
      </c>
      <c r="I86" s="45">
        <v>0.88</v>
      </c>
      <c r="J86" s="46">
        <f>E86*G86*(1-H86)*1440/1000000*2.7</f>
        <v>54.995760000000011</v>
      </c>
      <c r="K86" s="46">
        <f>(IF(G86&lt;L86,L86,G86)*(1-IF(H86&lt;N86,H86,N86))*E86*O86*Q86)/100000000</f>
        <v>52.166955103448288</v>
      </c>
      <c r="L86" s="122">
        <v>1144.375</v>
      </c>
      <c r="M86" s="122">
        <v>938.38750000000005</v>
      </c>
      <c r="N86" s="47">
        <f>1-(M86/L86)</f>
        <v>0.17999999999999994</v>
      </c>
      <c r="O86" s="48">
        <f>+'[6]Trim Rwd'!H44</f>
        <v>256.11206896551727</v>
      </c>
      <c r="P86" s="49">
        <f>O86*(Q86-R86-S86)</f>
        <v>365728.03448275867</v>
      </c>
      <c r="Q86" s="48">
        <v>1440</v>
      </c>
      <c r="R86" s="123">
        <v>0</v>
      </c>
      <c r="S86" s="123">
        <v>12</v>
      </c>
      <c r="T86" s="50">
        <f>E86*M86*O86*Q86/100000000</f>
        <v>51.911790649137934</v>
      </c>
      <c r="U86" s="50">
        <f>E86*M86*O86*(Q86-R86-S86)/100000000</f>
        <v>51.479192393728454</v>
      </c>
      <c r="V86" s="50">
        <f>E86*G86*(1-N86)*O86/100*(R86+S86)/1000000</f>
        <v>0.43472462586206906</v>
      </c>
      <c r="W86" s="50">
        <f>+'[6]18'!K9/1000</f>
        <v>50.36</v>
      </c>
      <c r="X86" s="51">
        <f>SUM(W86:W89)/SUM(K86:K89)</f>
        <v>0.9653620745189162</v>
      </c>
      <c r="Y86" s="50">
        <f>+SUM([6]RBP!AG76:AG77)</f>
        <v>0</v>
      </c>
      <c r="Z86" s="50">
        <f>+'[6]17'!D39/1000</f>
        <v>0</v>
      </c>
      <c r="AA86" s="53">
        <f>SUM(U86:U89)-SUM(W86:W89)-SUM(Z86:Z89)-SUM(Y86:Y89)</f>
        <v>1.1191923937284542</v>
      </c>
      <c r="AB86" s="53">
        <f>(SUM(K86:K89)-SUM(W86:W89)-SUM(Y86:Y89)-SUM(Z86:Z89)-SUM(AC86:AC89)-SUM(V86:V89))-AA86</f>
        <v>-2.1263704525882332E-3</v>
      </c>
      <c r="AC86" s="50">
        <f>K86-T86</f>
        <v>0.25516445431035351</v>
      </c>
      <c r="AD86" s="50">
        <f>+AM86+BA86</f>
        <v>0</v>
      </c>
      <c r="AE86" s="101" t="s">
        <v>110</v>
      </c>
      <c r="AF86" s="50">
        <v>0</v>
      </c>
      <c r="AG86" s="50"/>
      <c r="AH86" s="50"/>
      <c r="AI86" s="50"/>
      <c r="AJ86" s="50"/>
      <c r="AK86" s="50"/>
      <c r="AL86" s="50"/>
      <c r="AM86" s="50">
        <f>SUM(AF86:AL86)+AT86+AV86+AX86</f>
        <v>0</v>
      </c>
      <c r="AN86" s="50"/>
      <c r="AO86" s="50"/>
      <c r="AP86" s="50"/>
      <c r="AQ86" s="50"/>
      <c r="AR86" s="50">
        <f>SUM(AN86:AQ86)</f>
        <v>0</v>
      </c>
      <c r="AS86" s="50"/>
      <c r="AT86" s="50"/>
      <c r="AU86" s="50"/>
      <c r="AV86" s="50"/>
      <c r="AW86" s="50"/>
      <c r="AX86" s="50"/>
      <c r="AY86" s="50"/>
      <c r="AZ86" s="50"/>
      <c r="BA86" s="50">
        <f>+AR86+AS86+AU86+AW86+AY86+AZ86</f>
        <v>0</v>
      </c>
      <c r="BB86" s="124">
        <v>0</v>
      </c>
      <c r="BC86" s="116"/>
      <c r="BD86" s="116"/>
      <c r="BE86" s="124"/>
      <c r="BF86" s="116">
        <v>2</v>
      </c>
    </row>
    <row r="87" spans="1:58" ht="12.95" customHeight="1" x14ac:dyDescent="0.2">
      <c r="A87" s="117"/>
      <c r="B87" s="118"/>
      <c r="C87" s="119"/>
      <c r="D87" s="118"/>
      <c r="E87" s="37"/>
      <c r="F87" s="37"/>
      <c r="G87" s="120"/>
      <c r="H87" s="203"/>
      <c r="I87" s="45"/>
      <c r="J87" s="46"/>
      <c r="K87" s="46"/>
      <c r="L87" s="122"/>
      <c r="M87" s="122"/>
      <c r="N87" s="47"/>
      <c r="O87" s="48"/>
      <c r="P87" s="49"/>
      <c r="Q87" s="48"/>
      <c r="R87" s="123"/>
      <c r="S87" s="123"/>
      <c r="T87" s="50"/>
      <c r="U87" s="50"/>
      <c r="V87" s="50"/>
      <c r="W87" s="50"/>
      <c r="X87" s="55"/>
      <c r="Y87" s="52"/>
      <c r="Z87" s="50"/>
      <c r="AA87" s="50"/>
      <c r="AB87" s="50"/>
      <c r="AC87" s="50"/>
      <c r="AD87" s="50">
        <f t="shared" ref="AD87:AD88" si="75">+AM87+BA87</f>
        <v>0</v>
      </c>
      <c r="AE87" s="101" t="s">
        <v>111</v>
      </c>
      <c r="AF87" s="50"/>
      <c r="AG87" s="50">
        <v>0</v>
      </c>
      <c r="AH87" s="50"/>
      <c r="AI87" s="50"/>
      <c r="AJ87" s="50"/>
      <c r="AK87" s="50"/>
      <c r="AL87" s="50"/>
      <c r="AM87" s="50">
        <f t="shared" ref="AM87:AM88" si="76">SUM(AF87:AL87)+AT87+AV87+AX87</f>
        <v>0</v>
      </c>
      <c r="AN87" s="125"/>
      <c r="AO87" s="50"/>
      <c r="AP87" s="50"/>
      <c r="AQ87" s="50"/>
      <c r="AR87" s="50">
        <f t="shared" ref="AR87:AR88" si="77">SUM(AN87:AQ87)</f>
        <v>0</v>
      </c>
      <c r="AS87" s="50"/>
      <c r="AT87" s="50"/>
      <c r="AU87" s="50"/>
      <c r="AV87" s="50"/>
      <c r="AW87" s="50"/>
      <c r="AX87" s="50"/>
      <c r="AY87" s="50"/>
      <c r="AZ87" s="50"/>
      <c r="BA87" s="50">
        <f t="shared" ref="BA87:BA88" si="78">+AR87+AS87+AU87+AW87+AY87+AZ87</f>
        <v>0</v>
      </c>
      <c r="BB87" s="126"/>
      <c r="BC87" s="116">
        <v>0</v>
      </c>
      <c r="BD87" s="116"/>
      <c r="BE87" s="126"/>
      <c r="BF87" s="116"/>
    </row>
    <row r="88" spans="1:58" ht="12.95" customHeight="1" x14ac:dyDescent="0.2">
      <c r="A88" s="117"/>
      <c r="B88" s="118"/>
      <c r="C88" s="119"/>
      <c r="D88" s="118"/>
      <c r="E88" s="37"/>
      <c r="F88" s="37"/>
      <c r="G88" s="127"/>
      <c r="H88" s="121"/>
      <c r="I88" s="45"/>
      <c r="J88" s="46"/>
      <c r="K88" s="46"/>
      <c r="L88" s="122"/>
      <c r="M88" s="122"/>
      <c r="N88" s="47"/>
      <c r="O88" s="48"/>
      <c r="P88" s="49"/>
      <c r="Q88" s="48"/>
      <c r="R88" s="123"/>
      <c r="S88" s="123"/>
      <c r="T88" s="50"/>
      <c r="U88" s="50"/>
      <c r="V88" s="50"/>
      <c r="W88" s="50"/>
      <c r="X88" s="55"/>
      <c r="Y88" s="52"/>
      <c r="Z88" s="50"/>
      <c r="AA88" s="50"/>
      <c r="AB88" s="50"/>
      <c r="AC88" s="50"/>
      <c r="AD88" s="50">
        <f t="shared" si="75"/>
        <v>12</v>
      </c>
      <c r="AE88" s="101" t="s">
        <v>187</v>
      </c>
      <c r="AF88" s="124"/>
      <c r="AG88" s="124"/>
      <c r="AH88" s="124">
        <v>12</v>
      </c>
      <c r="AI88" s="124"/>
      <c r="AJ88" s="50"/>
      <c r="AK88" s="50"/>
      <c r="AL88" s="50"/>
      <c r="AM88" s="50">
        <f t="shared" si="76"/>
        <v>12</v>
      </c>
      <c r="AN88" s="50"/>
      <c r="AO88" s="50"/>
      <c r="AP88" s="50"/>
      <c r="AQ88" s="50"/>
      <c r="AR88" s="50">
        <f t="shared" si="77"/>
        <v>0</v>
      </c>
      <c r="AS88" s="50"/>
      <c r="AT88" s="50"/>
      <c r="AU88" s="50"/>
      <c r="AV88" s="50"/>
      <c r="AW88" s="50"/>
      <c r="AX88" s="50"/>
      <c r="AY88" s="50"/>
      <c r="AZ88" s="50"/>
      <c r="BA88" s="50">
        <f t="shared" si="78"/>
        <v>0</v>
      </c>
      <c r="BB88" s="124"/>
      <c r="BC88" s="146"/>
      <c r="BD88" s="146"/>
      <c r="BE88" s="124"/>
      <c r="BF88" s="146"/>
    </row>
    <row r="89" spans="1:58" ht="12.95" customHeight="1" x14ac:dyDescent="0.2">
      <c r="A89" s="117"/>
      <c r="B89" s="118"/>
      <c r="C89" s="119"/>
      <c r="D89" s="118"/>
      <c r="E89" s="37"/>
      <c r="F89" s="37"/>
      <c r="G89" s="120"/>
      <c r="H89" s="203"/>
      <c r="I89" s="45"/>
      <c r="J89" s="46"/>
      <c r="K89" s="46"/>
      <c r="L89" s="122"/>
      <c r="M89" s="122"/>
      <c r="N89" s="47"/>
      <c r="O89" s="48"/>
      <c r="P89" s="49"/>
      <c r="Q89" s="48"/>
      <c r="R89" s="123"/>
      <c r="S89" s="123"/>
      <c r="T89" s="50"/>
      <c r="U89" s="50"/>
      <c r="V89" s="50"/>
      <c r="W89" s="50"/>
      <c r="X89" s="51"/>
      <c r="Y89" s="52"/>
      <c r="Z89" s="50"/>
      <c r="AA89" s="53"/>
      <c r="AB89" s="53"/>
      <c r="AC89" s="50"/>
      <c r="AD89" s="50"/>
      <c r="AE89" s="101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124"/>
      <c r="BC89" s="116"/>
      <c r="BD89" s="116"/>
      <c r="BE89" s="116"/>
      <c r="BF89" s="116"/>
    </row>
    <row r="90" spans="1:58" ht="12.95" customHeight="1" x14ac:dyDescent="0.2">
      <c r="A90" s="117">
        <v>45980</v>
      </c>
      <c r="B90" s="118" t="s">
        <v>168</v>
      </c>
      <c r="C90" s="119">
        <f>(M90*E90*O90*Q90)/100000000</f>
        <v>51.969521596595747</v>
      </c>
      <c r="D90" s="118" t="s">
        <v>196</v>
      </c>
      <c r="E90" s="37">
        <v>15</v>
      </c>
      <c r="F90" s="37">
        <v>1</v>
      </c>
      <c r="G90" s="120">
        <v>1150</v>
      </c>
      <c r="H90" s="203">
        <f>+N90</f>
        <v>0.18000000000000005</v>
      </c>
      <c r="I90" s="45">
        <v>0.88</v>
      </c>
      <c r="J90" s="46">
        <f>E90*G90*(1-H90)*1440/1000000*2.7</f>
        <v>54.995760000000004</v>
      </c>
      <c r="K90" s="46">
        <f>(IF(G90&lt;L90,L90,G90)*(1-IF(H90&lt;N90,H90,N90))*E90*O90*Q90)/100000000</f>
        <v>52.224303063829794</v>
      </c>
      <c r="L90" s="122">
        <v>1144.3896103896104</v>
      </c>
      <c r="M90" s="122">
        <v>938.39948051948045</v>
      </c>
      <c r="N90" s="47">
        <f>1-(M90/L90)</f>
        <v>0.18000000000000005</v>
      </c>
      <c r="O90" s="48">
        <f>+'[6]Trim Rwd'!H47</f>
        <v>256.39361702127661</v>
      </c>
      <c r="P90" s="49">
        <f>O90*(Q90-R90-S90)</f>
        <v>293570.69148936169</v>
      </c>
      <c r="Q90" s="48">
        <v>1440</v>
      </c>
      <c r="R90" s="123">
        <v>285</v>
      </c>
      <c r="S90" s="123">
        <v>10</v>
      </c>
      <c r="T90" s="50">
        <f>E90*M90*O90*Q90/100000000</f>
        <v>51.969521596595747</v>
      </c>
      <c r="U90" s="50">
        <f>E90*M90*O90*(Q90-R90-S90)/100000000</f>
        <v>41.322987658404251</v>
      </c>
      <c r="V90" s="50">
        <f>E90*G90*(1-N90)*O90/100*(R90+S90)/1000000</f>
        <v>10.698728752659576</v>
      </c>
      <c r="W90" s="50">
        <f>+'[6]19'!K9/1000</f>
        <v>40.746000000000002</v>
      </c>
      <c r="X90" s="51">
        <f>SUM(W90:W93)/SUM(K90:K93)</f>
        <v>0.78021146496104055</v>
      </c>
      <c r="Y90" s="50">
        <f>+SUM([6]RBP!AG80:AG81)</f>
        <v>0</v>
      </c>
      <c r="Z90" s="50">
        <f>+'[6]17'!D43/1000</f>
        <v>0</v>
      </c>
      <c r="AA90" s="53">
        <f>SUM(U90:U93)-SUM(W90:W93)-SUM(Z90:Z93)-SUM(Y90:Y93)</f>
        <v>0.57698765840424926</v>
      </c>
      <c r="AB90" s="53">
        <f>(SUM(K90:K93)-SUM(W90:W93)-SUM(Y90:Y93)-SUM(Z90:Z93)-SUM(AC90:AC93)-SUM(V90:V93))-AA90</f>
        <v>-5.2194814468080608E-2</v>
      </c>
      <c r="AC90" s="50">
        <f>K90-T90</f>
        <v>0.25478146723404649</v>
      </c>
      <c r="AD90" s="50">
        <f>+AM90+BA90</f>
        <v>0</v>
      </c>
      <c r="AE90" s="101" t="s">
        <v>110</v>
      </c>
      <c r="AF90" s="50">
        <v>0</v>
      </c>
      <c r="AG90" s="50"/>
      <c r="AH90" s="50"/>
      <c r="AI90" s="50"/>
      <c r="AJ90" s="50"/>
      <c r="AK90" s="50"/>
      <c r="AL90" s="50"/>
      <c r="AM90" s="50">
        <f>SUM(AF90:AL90)+AT90+AV90+AX90</f>
        <v>0</v>
      </c>
      <c r="AN90" s="50"/>
      <c r="AO90" s="50"/>
      <c r="AP90" s="50"/>
      <c r="AQ90" s="50"/>
      <c r="AR90" s="50">
        <f>SUM(AN90:AQ90)</f>
        <v>0</v>
      </c>
      <c r="AS90" s="50"/>
      <c r="AT90" s="50"/>
      <c r="AU90" s="50"/>
      <c r="AV90" s="50"/>
      <c r="AW90" s="50"/>
      <c r="AX90" s="50"/>
      <c r="AY90" s="50"/>
      <c r="AZ90" s="50"/>
      <c r="BA90" s="50">
        <f>+AR90+AS90+AU90+AW90+AY90+AZ90</f>
        <v>0</v>
      </c>
      <c r="BB90" s="124">
        <v>0</v>
      </c>
      <c r="BC90" s="116"/>
      <c r="BD90" s="116"/>
      <c r="BE90" s="124"/>
      <c r="BF90" s="116"/>
    </row>
    <row r="91" spans="1:58" ht="12.95" customHeight="1" x14ac:dyDescent="0.2">
      <c r="A91" s="117"/>
      <c r="B91" s="118"/>
      <c r="C91" s="119"/>
      <c r="D91" s="118"/>
      <c r="E91" s="37"/>
      <c r="F91" s="37"/>
      <c r="G91" s="120"/>
      <c r="H91" s="203"/>
      <c r="I91" s="45"/>
      <c r="J91" s="46"/>
      <c r="K91" s="46"/>
      <c r="L91" s="122"/>
      <c r="M91" s="122"/>
      <c r="N91" s="47"/>
      <c r="O91" s="48"/>
      <c r="P91" s="49"/>
      <c r="Q91" s="48"/>
      <c r="R91" s="123"/>
      <c r="S91" s="123"/>
      <c r="T91" s="50"/>
      <c r="U91" s="50"/>
      <c r="V91" s="50"/>
      <c r="W91" s="50"/>
      <c r="X91" s="55"/>
      <c r="Y91" s="52"/>
      <c r="Z91" s="50"/>
      <c r="AA91" s="50"/>
      <c r="AB91" s="50"/>
      <c r="AC91" s="50"/>
      <c r="AD91" s="50">
        <f t="shared" ref="AD91:AD93" si="79">+AM91+BA91</f>
        <v>0</v>
      </c>
      <c r="AE91" s="101" t="s">
        <v>111</v>
      </c>
      <c r="AF91" s="50"/>
      <c r="AG91" s="50">
        <v>0</v>
      </c>
      <c r="AH91" s="50"/>
      <c r="AI91" s="50"/>
      <c r="AJ91" s="50"/>
      <c r="AK91" s="50"/>
      <c r="AL91" s="50"/>
      <c r="AM91" s="50">
        <f t="shared" ref="AM91:AM92" si="80">SUM(AF91:AL91)+AT91+AV91+AX91</f>
        <v>0</v>
      </c>
      <c r="AN91" s="125"/>
      <c r="AO91" s="50"/>
      <c r="AP91" s="50"/>
      <c r="AQ91" s="50"/>
      <c r="AR91" s="50">
        <f t="shared" ref="AR91:AR92" si="81">SUM(AN91:AQ91)</f>
        <v>0</v>
      </c>
      <c r="AS91" s="50"/>
      <c r="AT91" s="50"/>
      <c r="AU91" s="50"/>
      <c r="AV91" s="50"/>
      <c r="AW91" s="50"/>
      <c r="AX91" s="50"/>
      <c r="AY91" s="50"/>
      <c r="AZ91" s="50"/>
      <c r="BA91" s="50">
        <f t="shared" ref="BA91:BA93" si="82">+AR91+AS91+AU91+AW91+AY91+AZ91</f>
        <v>0</v>
      </c>
      <c r="BB91" s="126"/>
      <c r="BC91" s="116">
        <v>0</v>
      </c>
      <c r="BD91" s="116"/>
      <c r="BE91" s="126"/>
      <c r="BF91" s="116"/>
    </row>
    <row r="92" spans="1:58" ht="12.95" customHeight="1" x14ac:dyDescent="0.2">
      <c r="A92" s="117"/>
      <c r="B92" s="118"/>
      <c r="C92" s="119"/>
      <c r="D92" s="118"/>
      <c r="E92" s="37"/>
      <c r="F92" s="37"/>
      <c r="G92" s="127"/>
      <c r="H92" s="121"/>
      <c r="I92" s="45"/>
      <c r="J92" s="46"/>
      <c r="K92" s="46"/>
      <c r="L92" s="122"/>
      <c r="M92" s="122"/>
      <c r="N92" s="47"/>
      <c r="O92" s="48"/>
      <c r="P92" s="49"/>
      <c r="Q92" s="48"/>
      <c r="R92" s="123"/>
      <c r="S92" s="123"/>
      <c r="T92" s="50"/>
      <c r="U92" s="50"/>
      <c r="V92" s="50"/>
      <c r="W92" s="50"/>
      <c r="X92" s="55"/>
      <c r="Y92" s="52"/>
      <c r="Z92" s="50"/>
      <c r="AA92" s="50"/>
      <c r="AB92" s="50"/>
      <c r="AC92" s="50"/>
      <c r="AD92" s="50">
        <f t="shared" si="79"/>
        <v>10</v>
      </c>
      <c r="AE92" s="101" t="s">
        <v>216</v>
      </c>
      <c r="AF92" s="124"/>
      <c r="AG92" s="124"/>
      <c r="AH92" s="124">
        <v>10</v>
      </c>
      <c r="AI92" s="124"/>
      <c r="AJ92" s="50"/>
      <c r="AK92" s="50"/>
      <c r="AL92" s="50"/>
      <c r="AM92" s="50">
        <f t="shared" si="80"/>
        <v>10</v>
      </c>
      <c r="AN92" s="50"/>
      <c r="AO92" s="50"/>
      <c r="AP92" s="50"/>
      <c r="AQ92" s="50"/>
      <c r="AR92" s="50">
        <f t="shared" si="81"/>
        <v>0</v>
      </c>
      <c r="AS92" s="50"/>
      <c r="AT92" s="50"/>
      <c r="AU92" s="50"/>
      <c r="AV92" s="50"/>
      <c r="AW92" s="50"/>
      <c r="AX92" s="50"/>
      <c r="AY92" s="50"/>
      <c r="AZ92" s="50"/>
      <c r="BA92" s="50">
        <f t="shared" si="82"/>
        <v>0</v>
      </c>
      <c r="BB92" s="124"/>
      <c r="BC92" s="146"/>
      <c r="BD92" s="146"/>
      <c r="BE92" s="124"/>
      <c r="BF92" s="146"/>
    </row>
    <row r="93" spans="1:58" ht="12.95" customHeight="1" x14ac:dyDescent="0.2">
      <c r="A93" s="117"/>
      <c r="B93" s="118"/>
      <c r="C93" s="119"/>
      <c r="D93" s="118"/>
      <c r="E93" s="37"/>
      <c r="F93" s="37"/>
      <c r="G93" s="127"/>
      <c r="H93" s="121"/>
      <c r="I93" s="45"/>
      <c r="J93" s="46"/>
      <c r="K93" s="46"/>
      <c r="L93" s="122"/>
      <c r="M93" s="122"/>
      <c r="N93" s="47"/>
      <c r="O93" s="48"/>
      <c r="P93" s="49"/>
      <c r="Q93" s="48"/>
      <c r="R93" s="123"/>
      <c r="S93" s="123"/>
      <c r="T93" s="50"/>
      <c r="U93" s="50"/>
      <c r="V93" s="50"/>
      <c r="W93" s="50"/>
      <c r="X93" s="55"/>
      <c r="Y93" s="52"/>
      <c r="Z93" s="50"/>
      <c r="AA93" s="50"/>
      <c r="AB93" s="50"/>
      <c r="AC93" s="50"/>
      <c r="AD93" s="50">
        <f t="shared" si="79"/>
        <v>285</v>
      </c>
      <c r="AE93" s="101" t="s">
        <v>279</v>
      </c>
      <c r="AF93" s="124"/>
      <c r="AG93" s="124"/>
      <c r="AH93" s="124"/>
      <c r="AI93" s="124"/>
      <c r="AJ93" s="50"/>
      <c r="AK93" s="50"/>
      <c r="AL93" s="50"/>
      <c r="AM93" s="50">
        <f t="shared" ref="AM93" si="83">SUM(AF93:AL93)+AT93+AV93+AX93</f>
        <v>0</v>
      </c>
      <c r="AN93" s="50"/>
      <c r="AO93" s="50">
        <v>285</v>
      </c>
      <c r="AP93" s="50"/>
      <c r="AQ93" s="50"/>
      <c r="AR93" s="50">
        <f t="shared" ref="AR93" si="84">SUM(AN93:AQ93)</f>
        <v>285</v>
      </c>
      <c r="AS93" s="50"/>
      <c r="AT93" s="50"/>
      <c r="AU93" s="50"/>
      <c r="AV93" s="50"/>
      <c r="AW93" s="50"/>
      <c r="AX93" s="50"/>
      <c r="AY93" s="50"/>
      <c r="AZ93" s="50"/>
      <c r="BA93" s="50">
        <f t="shared" si="82"/>
        <v>285</v>
      </c>
      <c r="BB93" s="124"/>
      <c r="BC93" s="146"/>
      <c r="BD93" s="146"/>
      <c r="BE93" s="124"/>
      <c r="BF93" s="146"/>
    </row>
    <row r="94" spans="1:58" ht="12.95" customHeight="1" x14ac:dyDescent="0.2">
      <c r="A94" s="117"/>
      <c r="B94" s="118"/>
      <c r="C94" s="119"/>
      <c r="D94" s="118"/>
      <c r="E94" s="37"/>
      <c r="F94" s="37"/>
      <c r="G94" s="120"/>
      <c r="H94" s="203"/>
      <c r="I94" s="45"/>
      <c r="J94" s="46"/>
      <c r="K94" s="46"/>
      <c r="L94" s="122"/>
      <c r="M94" s="122"/>
      <c r="N94" s="47"/>
      <c r="O94" s="48"/>
      <c r="P94" s="49"/>
      <c r="Q94" s="48"/>
      <c r="R94" s="123"/>
      <c r="S94" s="123"/>
      <c r="T94" s="50"/>
      <c r="U94" s="50"/>
      <c r="V94" s="50"/>
      <c r="W94" s="50"/>
      <c r="X94" s="51"/>
      <c r="Y94" s="52"/>
      <c r="Z94" s="50"/>
      <c r="AA94" s="53"/>
      <c r="AB94" s="53"/>
      <c r="AC94" s="50"/>
      <c r="AD94" s="50"/>
      <c r="AE94" s="101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124"/>
      <c r="BC94" s="116"/>
      <c r="BD94" s="116"/>
      <c r="BE94" s="116"/>
      <c r="BF94" s="116"/>
    </row>
    <row r="95" spans="1:58" ht="12.95" customHeight="1" x14ac:dyDescent="0.2">
      <c r="A95" s="117">
        <v>45981</v>
      </c>
      <c r="B95" s="118" t="s">
        <v>168</v>
      </c>
      <c r="C95" s="119">
        <f>(M95*E95*O95*Q95)/100000000</f>
        <v>52.244120290909088</v>
      </c>
      <c r="D95" s="118" t="s">
        <v>196</v>
      </c>
      <c r="E95" s="37">
        <v>15</v>
      </c>
      <c r="F95" s="37">
        <v>1</v>
      </c>
      <c r="G95" s="120">
        <v>1150</v>
      </c>
      <c r="H95" s="203">
        <f>+N95</f>
        <v>0.18000000000000005</v>
      </c>
      <c r="I95" s="45">
        <v>0.88</v>
      </c>
      <c r="J95" s="46">
        <f>E95*G95*(1-H95)*1440/1000000*2.7</f>
        <v>54.995760000000004</v>
      </c>
      <c r="K95" s="46">
        <f>(IF(G95&lt;L95,L95,G95)*(1-IF(H95&lt;N95,H95,N95))*E95*O95*Q95)/100000000</f>
        <v>52.244120290909088</v>
      </c>
      <c r="L95" s="122">
        <v>1150</v>
      </c>
      <c r="M95" s="122">
        <v>943</v>
      </c>
      <c r="N95" s="47">
        <f>1-(M95/L95)</f>
        <v>0.18000000000000005</v>
      </c>
      <c r="O95" s="48">
        <f>+'[6]Trim Rwd'!H50</f>
        <v>256.4909090909091</v>
      </c>
      <c r="P95" s="49">
        <f>O95*(Q95-R95-S95)</f>
        <v>364986.56363636366</v>
      </c>
      <c r="Q95" s="48">
        <v>1440</v>
      </c>
      <c r="R95" s="123">
        <v>0</v>
      </c>
      <c r="S95" s="123">
        <v>17</v>
      </c>
      <c r="T95" s="50">
        <f>E95*M95*O95*Q95/100000000</f>
        <v>52.244120290909088</v>
      </c>
      <c r="U95" s="50">
        <f>E95*M95*O95*(Q95-R95-S95)/100000000</f>
        <v>51.627349426363637</v>
      </c>
      <c r="V95" s="50">
        <f>E95*G95*(1-N95)*O95/100*(R95+S95)/1000000</f>
        <v>0.61677086454545449</v>
      </c>
      <c r="W95" s="50">
        <f>+'[6]20'!K9/1000</f>
        <v>48.591000000000001</v>
      </c>
      <c r="X95" s="51">
        <f>SUM(W95:W98)/SUM(K95:K98)</f>
        <v>0.93007595360841477</v>
      </c>
      <c r="Y95" s="50">
        <f>+SUM([6]RBP!AG85:AG86)</f>
        <v>0</v>
      </c>
      <c r="Z95" s="50">
        <f>+'[6]17'!D48/1000</f>
        <v>0</v>
      </c>
      <c r="AA95" s="53">
        <f>SUM(U95:U98)-SUM(W95:W98)-SUM(Z95:Z98)-SUM(Y95:Y98)</f>
        <v>3.0363494263636355</v>
      </c>
      <c r="AB95" s="53">
        <f>(SUM(K95:K98)-SUM(W95:W98)-SUM(Y95:Y98)-SUM(Z95:Z98)-SUM(AC95:AC98)-SUM(V95:V98))-AA95</f>
        <v>-3.5527136788005009E-15</v>
      </c>
      <c r="AC95" s="50">
        <f>K95-T95</f>
        <v>0</v>
      </c>
      <c r="AD95" s="50">
        <f>+AM95+BA95</f>
        <v>0</v>
      </c>
      <c r="AE95" s="101" t="s">
        <v>110</v>
      </c>
      <c r="AF95" s="50">
        <v>0</v>
      </c>
      <c r="AG95" s="50"/>
      <c r="AH95" s="50"/>
      <c r="AI95" s="50"/>
      <c r="AJ95" s="50"/>
      <c r="AK95" s="50"/>
      <c r="AL95" s="50"/>
      <c r="AM95" s="50">
        <f>SUM(AF95:AL95)+AT95+AV95+AX95</f>
        <v>0</v>
      </c>
      <c r="AN95" s="50"/>
      <c r="AO95" s="50"/>
      <c r="AP95" s="50"/>
      <c r="AQ95" s="50"/>
      <c r="AR95" s="50">
        <f>SUM(AN95:AQ95)</f>
        <v>0</v>
      </c>
      <c r="AS95" s="50"/>
      <c r="AT95" s="50"/>
      <c r="AU95" s="50"/>
      <c r="AV95" s="50"/>
      <c r="AW95" s="50"/>
      <c r="AX95" s="50"/>
      <c r="AY95" s="50"/>
      <c r="AZ95" s="50"/>
      <c r="BA95" s="50">
        <f>+AR95+AS95+AU95+AW95+AY95+AZ95</f>
        <v>0</v>
      </c>
      <c r="BB95" s="124">
        <v>0</v>
      </c>
      <c r="BC95" s="116"/>
      <c r="BD95" s="116"/>
      <c r="BE95" s="124"/>
      <c r="BF95" s="116"/>
    </row>
    <row r="96" spans="1:58" ht="12.95" customHeight="1" x14ac:dyDescent="0.2">
      <c r="A96" s="117"/>
      <c r="B96" s="118"/>
      <c r="C96" s="119"/>
      <c r="D96" s="118"/>
      <c r="E96" s="37"/>
      <c r="F96" s="37"/>
      <c r="G96" s="120"/>
      <c r="H96" s="203"/>
      <c r="I96" s="45"/>
      <c r="J96" s="46"/>
      <c r="K96" s="46"/>
      <c r="L96" s="122"/>
      <c r="M96" s="122"/>
      <c r="N96" s="47"/>
      <c r="O96" s="48"/>
      <c r="P96" s="49"/>
      <c r="Q96" s="48"/>
      <c r="R96" s="123"/>
      <c r="S96" s="123"/>
      <c r="T96" s="50"/>
      <c r="U96" s="50"/>
      <c r="V96" s="50"/>
      <c r="W96" s="50"/>
      <c r="X96" s="55"/>
      <c r="Y96" s="52"/>
      <c r="Z96" s="50"/>
      <c r="AA96" s="50"/>
      <c r="AB96" s="50"/>
      <c r="AC96" s="50"/>
      <c r="AD96" s="50">
        <f t="shared" ref="AD96:AD97" si="85">+AM96+BA96</f>
        <v>1</v>
      </c>
      <c r="AE96" s="101" t="s">
        <v>174</v>
      </c>
      <c r="AF96" s="50"/>
      <c r="AG96" s="50">
        <v>1</v>
      </c>
      <c r="AH96" s="50"/>
      <c r="AI96" s="50"/>
      <c r="AJ96" s="50"/>
      <c r="AK96" s="50"/>
      <c r="AL96" s="50"/>
      <c r="AM96" s="50">
        <f t="shared" ref="AM96:AM97" si="86">SUM(AF96:AL96)+AT96+AV96+AX96</f>
        <v>1</v>
      </c>
      <c r="AN96" s="125"/>
      <c r="AO96" s="50"/>
      <c r="AP96" s="50"/>
      <c r="AQ96" s="50"/>
      <c r="AR96" s="50">
        <f t="shared" ref="AR96:AR97" si="87">SUM(AN96:AQ96)</f>
        <v>0</v>
      </c>
      <c r="AS96" s="50"/>
      <c r="AT96" s="50"/>
      <c r="AU96" s="50"/>
      <c r="AV96" s="50"/>
      <c r="AW96" s="50"/>
      <c r="AX96" s="50"/>
      <c r="AY96" s="50"/>
      <c r="AZ96" s="50"/>
      <c r="BA96" s="50">
        <f t="shared" ref="BA96:BA97" si="88">+AR96+AS96+AU96+AW96+AY96+AZ96</f>
        <v>0</v>
      </c>
      <c r="BB96" s="126"/>
      <c r="BC96" s="116">
        <v>1</v>
      </c>
      <c r="BD96" s="116"/>
      <c r="BE96" s="126"/>
      <c r="BF96" s="116"/>
    </row>
    <row r="97" spans="1:58" ht="12.95" customHeight="1" x14ac:dyDescent="0.2">
      <c r="A97" s="117"/>
      <c r="B97" s="118"/>
      <c r="C97" s="119"/>
      <c r="D97" s="118"/>
      <c r="E97" s="37"/>
      <c r="F97" s="37"/>
      <c r="G97" s="127"/>
      <c r="H97" s="121"/>
      <c r="I97" s="45"/>
      <c r="J97" s="46"/>
      <c r="K97" s="46"/>
      <c r="L97" s="122"/>
      <c r="M97" s="122"/>
      <c r="N97" s="47"/>
      <c r="O97" s="48"/>
      <c r="P97" s="49"/>
      <c r="Q97" s="48"/>
      <c r="R97" s="123"/>
      <c r="S97" s="123"/>
      <c r="T97" s="50"/>
      <c r="U97" s="50"/>
      <c r="V97" s="50"/>
      <c r="W97" s="50"/>
      <c r="X97" s="55"/>
      <c r="Y97" s="52"/>
      <c r="Z97" s="50"/>
      <c r="AA97" s="50"/>
      <c r="AB97" s="50"/>
      <c r="AC97" s="50"/>
      <c r="AD97" s="50">
        <f t="shared" si="85"/>
        <v>16</v>
      </c>
      <c r="AE97" s="101" t="s">
        <v>207</v>
      </c>
      <c r="AF97" s="124"/>
      <c r="AG97" s="124"/>
      <c r="AH97" s="124">
        <v>16</v>
      </c>
      <c r="AI97" s="124"/>
      <c r="AJ97" s="50"/>
      <c r="AK97" s="50"/>
      <c r="AL97" s="50"/>
      <c r="AM97" s="50">
        <f t="shared" si="86"/>
        <v>16</v>
      </c>
      <c r="AN97" s="50"/>
      <c r="AO97" s="50"/>
      <c r="AP97" s="50"/>
      <c r="AQ97" s="50"/>
      <c r="AR97" s="50">
        <f t="shared" si="87"/>
        <v>0</v>
      </c>
      <c r="AS97" s="50"/>
      <c r="AT97" s="50"/>
      <c r="AU97" s="50"/>
      <c r="AV97" s="50"/>
      <c r="AW97" s="50"/>
      <c r="AX97" s="50"/>
      <c r="AY97" s="50"/>
      <c r="AZ97" s="50"/>
      <c r="BA97" s="50">
        <f t="shared" si="88"/>
        <v>0</v>
      </c>
      <c r="BB97" s="124"/>
      <c r="BC97" s="146"/>
      <c r="BD97" s="146"/>
      <c r="BE97" s="124"/>
      <c r="BF97" s="146"/>
    </row>
    <row r="98" spans="1:58" ht="12.95" customHeight="1" x14ac:dyDescent="0.2">
      <c r="A98" s="117"/>
      <c r="B98" s="118"/>
      <c r="C98" s="119"/>
      <c r="D98" s="118"/>
      <c r="E98" s="37"/>
      <c r="F98" s="37"/>
      <c r="G98" s="120"/>
      <c r="H98" s="203"/>
      <c r="I98" s="45"/>
      <c r="J98" s="46"/>
      <c r="K98" s="46"/>
      <c r="L98" s="122"/>
      <c r="M98" s="122"/>
      <c r="N98" s="47"/>
      <c r="O98" s="48"/>
      <c r="P98" s="49"/>
      <c r="Q98" s="48"/>
      <c r="R98" s="123"/>
      <c r="S98" s="123"/>
      <c r="T98" s="50"/>
      <c r="U98" s="50"/>
      <c r="V98" s="50"/>
      <c r="W98" s="50"/>
      <c r="X98" s="51"/>
      <c r="Y98" s="52"/>
      <c r="Z98" s="50"/>
      <c r="AA98" s="53"/>
      <c r="AB98" s="53"/>
      <c r="AC98" s="50"/>
      <c r="AD98" s="50"/>
      <c r="AE98" s="101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124"/>
      <c r="BC98" s="116"/>
      <c r="BD98" s="116"/>
      <c r="BE98" s="116"/>
      <c r="BF98" s="116"/>
    </row>
    <row r="99" spans="1:58" ht="12.95" customHeight="1" x14ac:dyDescent="0.2">
      <c r="A99" s="117">
        <v>45982</v>
      </c>
      <c r="B99" s="118" t="s">
        <v>168</v>
      </c>
      <c r="C99" s="119">
        <f>(M99*E99*O99*Q99)/100000000</f>
        <v>52.208368061538465</v>
      </c>
      <c r="D99" s="118" t="s">
        <v>196</v>
      </c>
      <c r="E99" s="37">
        <v>15</v>
      </c>
      <c r="F99" s="37">
        <v>1</v>
      </c>
      <c r="G99" s="120">
        <v>1150</v>
      </c>
      <c r="H99" s="203">
        <f>+N99</f>
        <v>0.18000000000000005</v>
      </c>
      <c r="I99" s="45">
        <v>0.88</v>
      </c>
      <c r="J99" s="46">
        <f>E99*G99*(1-H99)*1440/1000000*2.7</f>
        <v>54.995760000000004</v>
      </c>
      <c r="K99" s="46">
        <f>(IF(G99&lt;L99,L99,G99)*(1-IF(H99&lt;N99,H99,N99))*E99*O99*Q99)/100000000</f>
        <v>52.208368061538465</v>
      </c>
      <c r="L99" s="122">
        <v>1150</v>
      </c>
      <c r="M99" s="122">
        <v>943</v>
      </c>
      <c r="N99" s="47">
        <f>1-(M99/L99)</f>
        <v>0.18000000000000005</v>
      </c>
      <c r="O99" s="48">
        <f>+'[6]Trim Rwd'!H53</f>
        <v>256.31538461538463</v>
      </c>
      <c r="P99" s="49">
        <f>O99*(Q99-R99-S99)</f>
        <v>366018.36923076923</v>
      </c>
      <c r="Q99" s="48">
        <v>1440</v>
      </c>
      <c r="R99" s="123">
        <v>0</v>
      </c>
      <c r="S99" s="123">
        <v>12</v>
      </c>
      <c r="T99" s="50">
        <f>E99*M99*O99*Q99/100000000</f>
        <v>52.208368061538465</v>
      </c>
      <c r="U99" s="50">
        <f>E99*M99*O99*(Q99-R99-S99)/100000000</f>
        <v>51.773298327692309</v>
      </c>
      <c r="V99" s="50">
        <f>E99*G99*(1-N99)*O99/100*(R99+S99)/1000000</f>
        <v>0.43506973384615383</v>
      </c>
      <c r="W99" s="50">
        <f>+'[6]21'!K9/1000</f>
        <v>56.118000000000002</v>
      </c>
      <c r="X99" s="51">
        <f>SUM(W99:W102)/SUM(K99:K102)</f>
        <v>1.0748851589050479</v>
      </c>
      <c r="Y99" s="50">
        <f>+SUM([6]RBP!AG89:AG90)</f>
        <v>0</v>
      </c>
      <c r="Z99" s="50">
        <f>+'[6]17'!D52/1000</f>
        <v>0</v>
      </c>
      <c r="AA99" s="53">
        <f>SUM(U99:U102)-SUM(W99:W102)-SUM(Z99:Z102)-SUM(Y99:Y102)</f>
        <v>-4.3447016723076928</v>
      </c>
      <c r="AB99" s="53">
        <f>(SUM(K99:K102)-SUM(W99:W102)-SUM(Y99:Y102)-SUM(Z99:Z102)-SUM(AC99:AC102)-SUM(V99:V102))-AA99</f>
        <v>0</v>
      </c>
      <c r="AC99" s="50">
        <f>K99-T99</f>
        <v>0</v>
      </c>
      <c r="AD99" s="50">
        <f>+AM99+BA99</f>
        <v>0</v>
      </c>
      <c r="AE99" s="101" t="s">
        <v>110</v>
      </c>
      <c r="AF99" s="50">
        <v>0</v>
      </c>
      <c r="AG99" s="50"/>
      <c r="AH99" s="50"/>
      <c r="AI99" s="50"/>
      <c r="AJ99" s="50"/>
      <c r="AK99" s="50"/>
      <c r="AL99" s="50"/>
      <c r="AM99" s="50">
        <f>SUM(AF99:AL99)+AT99+AV99+AX99</f>
        <v>0</v>
      </c>
      <c r="AN99" s="50"/>
      <c r="AO99" s="50"/>
      <c r="AP99" s="50"/>
      <c r="AQ99" s="50"/>
      <c r="AR99" s="50">
        <f>SUM(AN99:AQ99)</f>
        <v>0</v>
      </c>
      <c r="AS99" s="50"/>
      <c r="AT99" s="50"/>
      <c r="AU99" s="50"/>
      <c r="AV99" s="50"/>
      <c r="AW99" s="50"/>
      <c r="AX99" s="50"/>
      <c r="AY99" s="50"/>
      <c r="AZ99" s="50"/>
      <c r="BA99" s="50">
        <f>+AR99+AS99+AU99+AW99+AY99+AZ99</f>
        <v>0</v>
      </c>
      <c r="BB99" s="124">
        <v>0</v>
      </c>
      <c r="BC99" s="116"/>
      <c r="BD99" s="116"/>
      <c r="BE99" s="124"/>
      <c r="BF99" s="116">
        <v>1</v>
      </c>
    </row>
    <row r="100" spans="1:58" ht="12.95" customHeight="1" x14ac:dyDescent="0.2">
      <c r="A100" s="117"/>
      <c r="B100" s="118"/>
      <c r="C100" s="119"/>
      <c r="D100" s="118"/>
      <c r="E100" s="37"/>
      <c r="F100" s="37"/>
      <c r="G100" s="120"/>
      <c r="H100" s="203"/>
      <c r="I100" s="45"/>
      <c r="J100" s="46"/>
      <c r="K100" s="46"/>
      <c r="L100" s="122"/>
      <c r="M100" s="122"/>
      <c r="N100" s="47"/>
      <c r="O100" s="48"/>
      <c r="P100" s="49"/>
      <c r="Q100" s="48"/>
      <c r="R100" s="123"/>
      <c r="S100" s="123"/>
      <c r="T100" s="50"/>
      <c r="U100" s="50"/>
      <c r="V100" s="50"/>
      <c r="W100" s="50"/>
      <c r="X100" s="55"/>
      <c r="Y100" s="52"/>
      <c r="Z100" s="50"/>
      <c r="AA100" s="50"/>
      <c r="AB100" s="50"/>
      <c r="AC100" s="50"/>
      <c r="AD100" s="50">
        <f t="shared" ref="AD100:AD101" si="89">+AM100+BA100</f>
        <v>1</v>
      </c>
      <c r="AE100" s="101" t="s">
        <v>174</v>
      </c>
      <c r="AF100" s="50"/>
      <c r="AG100" s="50">
        <v>1</v>
      </c>
      <c r="AH100" s="50"/>
      <c r="AI100" s="50"/>
      <c r="AJ100" s="50"/>
      <c r="AK100" s="50"/>
      <c r="AL100" s="50"/>
      <c r="AM100" s="50">
        <f t="shared" ref="AM100:AM101" si="90">SUM(AF100:AL100)+AT100+AV100+AX100</f>
        <v>1</v>
      </c>
      <c r="AN100" s="125"/>
      <c r="AO100" s="50"/>
      <c r="AP100" s="50"/>
      <c r="AQ100" s="50"/>
      <c r="AR100" s="50">
        <f t="shared" ref="AR100:AR101" si="91">SUM(AN100:AQ100)</f>
        <v>0</v>
      </c>
      <c r="AS100" s="50"/>
      <c r="AT100" s="50"/>
      <c r="AU100" s="50"/>
      <c r="AV100" s="50"/>
      <c r="AW100" s="50"/>
      <c r="AX100" s="50"/>
      <c r="AY100" s="50"/>
      <c r="AZ100" s="50"/>
      <c r="BA100" s="50">
        <f t="shared" ref="BA100:BA101" si="92">+AR100+AS100+AU100+AW100+AY100+AZ100</f>
        <v>0</v>
      </c>
      <c r="BB100" s="126"/>
      <c r="BC100" s="116">
        <v>1</v>
      </c>
      <c r="BD100" s="116"/>
      <c r="BE100" s="126"/>
      <c r="BF100" s="116"/>
    </row>
    <row r="101" spans="1:58" ht="12.95" customHeight="1" x14ac:dyDescent="0.2">
      <c r="A101" s="117"/>
      <c r="B101" s="118"/>
      <c r="C101" s="119"/>
      <c r="D101" s="118"/>
      <c r="E101" s="37"/>
      <c r="F101" s="37"/>
      <c r="G101" s="127"/>
      <c r="H101" s="121"/>
      <c r="I101" s="45"/>
      <c r="J101" s="46"/>
      <c r="K101" s="46"/>
      <c r="L101" s="122"/>
      <c r="M101" s="122"/>
      <c r="N101" s="47"/>
      <c r="O101" s="48"/>
      <c r="P101" s="49"/>
      <c r="Q101" s="48"/>
      <c r="R101" s="123"/>
      <c r="S101" s="123"/>
      <c r="T101" s="50"/>
      <c r="U101" s="50"/>
      <c r="V101" s="50"/>
      <c r="W101" s="50"/>
      <c r="X101" s="55"/>
      <c r="Y101" s="52"/>
      <c r="Z101" s="50"/>
      <c r="AA101" s="50"/>
      <c r="AB101" s="50"/>
      <c r="AC101" s="50"/>
      <c r="AD101" s="50">
        <f t="shared" si="89"/>
        <v>11</v>
      </c>
      <c r="AE101" s="101" t="s">
        <v>187</v>
      </c>
      <c r="AF101" s="124"/>
      <c r="AG101" s="124"/>
      <c r="AH101" s="124">
        <v>11</v>
      </c>
      <c r="AI101" s="124"/>
      <c r="AJ101" s="50"/>
      <c r="AK101" s="50"/>
      <c r="AL101" s="50"/>
      <c r="AM101" s="50">
        <f t="shared" si="90"/>
        <v>11</v>
      </c>
      <c r="AN101" s="50"/>
      <c r="AO101" s="50"/>
      <c r="AP101" s="50"/>
      <c r="AQ101" s="50"/>
      <c r="AR101" s="50">
        <f t="shared" si="91"/>
        <v>0</v>
      </c>
      <c r="AS101" s="50"/>
      <c r="AT101" s="50"/>
      <c r="AU101" s="50"/>
      <c r="AV101" s="50"/>
      <c r="AW101" s="50"/>
      <c r="AX101" s="50"/>
      <c r="AY101" s="50"/>
      <c r="AZ101" s="50"/>
      <c r="BA101" s="50">
        <f t="shared" si="92"/>
        <v>0</v>
      </c>
      <c r="BB101" s="124"/>
      <c r="BC101" s="146"/>
      <c r="BD101" s="146"/>
      <c r="BE101" s="124"/>
      <c r="BF101" s="146"/>
    </row>
    <row r="102" spans="1:58" ht="12.95" customHeight="1" x14ac:dyDescent="0.2">
      <c r="A102" s="117"/>
      <c r="B102" s="118"/>
      <c r="C102" s="119"/>
      <c r="D102" s="118"/>
      <c r="E102" s="37"/>
      <c r="F102" s="37"/>
      <c r="G102" s="120"/>
      <c r="H102" s="203"/>
      <c r="I102" s="45"/>
      <c r="J102" s="46"/>
      <c r="K102" s="46"/>
      <c r="L102" s="122"/>
      <c r="M102" s="122"/>
      <c r="N102" s="47"/>
      <c r="O102" s="48"/>
      <c r="P102" s="49"/>
      <c r="Q102" s="48"/>
      <c r="R102" s="123"/>
      <c r="S102" s="123"/>
      <c r="T102" s="50"/>
      <c r="U102" s="50"/>
      <c r="V102" s="50"/>
      <c r="W102" s="50"/>
      <c r="X102" s="51"/>
      <c r="Y102" s="52"/>
      <c r="Z102" s="50"/>
      <c r="AA102" s="53"/>
      <c r="AB102" s="53"/>
      <c r="AC102" s="50"/>
      <c r="AD102" s="50"/>
      <c r="AE102" s="101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124"/>
      <c r="BC102" s="116"/>
      <c r="BD102" s="116"/>
      <c r="BE102" s="116"/>
      <c r="BF102" s="116"/>
    </row>
    <row r="103" spans="1:58" ht="12.95" customHeight="1" x14ac:dyDescent="0.2">
      <c r="A103" s="117">
        <v>45983</v>
      </c>
      <c r="B103" s="118" t="s">
        <v>168</v>
      </c>
      <c r="C103" s="119">
        <f>(M103*E103*O103*Q103)/100000000</f>
        <v>51.230672669491518</v>
      </c>
      <c r="D103" s="118" t="s">
        <v>196</v>
      </c>
      <c r="E103" s="37">
        <v>15</v>
      </c>
      <c r="F103" s="37">
        <v>1</v>
      </c>
      <c r="G103" s="120">
        <v>1150</v>
      </c>
      <c r="H103" s="203">
        <f>+N103</f>
        <v>0.18000000000000005</v>
      </c>
      <c r="I103" s="45">
        <v>0.88</v>
      </c>
      <c r="J103" s="46">
        <f>E103*G103*(1-H103)*1440/1000000*2.7</f>
        <v>54.995760000000004</v>
      </c>
      <c r="K103" s="46">
        <f>(IF(G103&lt;L103,L103,G103)*(1-IF(H103&lt;N103,H103,N103))*E103*O103*Q103)/100000000</f>
        <v>52.207996271186438</v>
      </c>
      <c r="L103" s="122">
        <v>1128.4722222222222</v>
      </c>
      <c r="M103" s="122">
        <v>925.34722222222217</v>
      </c>
      <c r="N103" s="47">
        <f>1-(M103/L103)</f>
        <v>0.18000000000000005</v>
      </c>
      <c r="O103" s="48">
        <f>+'[6]Trim Rwd'!H56</f>
        <v>256.31355932203388</v>
      </c>
      <c r="P103" s="49">
        <f>O103*(Q103-R103-S103)</f>
        <v>364734.19491525419</v>
      </c>
      <c r="Q103" s="48">
        <v>1440</v>
      </c>
      <c r="R103" s="123">
        <v>0</v>
      </c>
      <c r="S103" s="123">
        <v>17</v>
      </c>
      <c r="T103" s="50">
        <f>E103*M103*O103*Q103/100000000</f>
        <v>51.230672669491518</v>
      </c>
      <c r="U103" s="50">
        <f>E103*M103*O103*(Q103-R103-S103)/100000000</f>
        <v>50.625866117143353</v>
      </c>
      <c r="V103" s="50">
        <f>E103*G103*(1-N103)*O103/100*(R103+S103)/1000000</f>
        <v>0.61634440042372873</v>
      </c>
      <c r="W103" s="50">
        <f>+'[6]22'!K9/1000</f>
        <v>51.828000000000003</v>
      </c>
      <c r="X103" s="51">
        <f>SUM(W103:W106)/SUM(K103:K106)</f>
        <v>0.99272149290670719</v>
      </c>
      <c r="Y103" s="50">
        <f>+SUM([6]RBP!AG93:AG94)</f>
        <v>0</v>
      </c>
      <c r="Z103" s="50">
        <f>+'[6]17'!D56/1000</f>
        <v>0</v>
      </c>
      <c r="AA103" s="53">
        <f>SUM(U103:U106)-SUM(W103:W106)-SUM(Z103:Z106)-SUM(Y103:Y106)</f>
        <v>-1.2021338828566499</v>
      </c>
      <c r="AB103" s="53">
        <f>(SUM(K103:K106)-SUM(W103:W106)-SUM(Y103:Y106)-SUM(Z103:Z106)-SUM(AC103:AC106)-SUM(V103:V106))-AA103</f>
        <v>-1.153784807556324E-2</v>
      </c>
      <c r="AC103" s="50">
        <f>K103-T103</f>
        <v>0.97732360169491983</v>
      </c>
      <c r="AD103" s="50">
        <f>+AM103+BA103</f>
        <v>0</v>
      </c>
      <c r="AE103" s="101" t="s">
        <v>110</v>
      </c>
      <c r="AF103" s="50">
        <v>0</v>
      </c>
      <c r="AG103" s="50"/>
      <c r="AH103" s="50"/>
      <c r="AI103" s="50"/>
      <c r="AJ103" s="50"/>
      <c r="AK103" s="50"/>
      <c r="AL103" s="50"/>
      <c r="AM103" s="50">
        <f>SUM(AF103:AL103)+AT103+AV103+AX103</f>
        <v>0</v>
      </c>
      <c r="AN103" s="50"/>
      <c r="AO103" s="50"/>
      <c r="AP103" s="50"/>
      <c r="AQ103" s="50"/>
      <c r="AR103" s="50">
        <f>SUM(AN103:AQ103)</f>
        <v>0</v>
      </c>
      <c r="AS103" s="50"/>
      <c r="AT103" s="50"/>
      <c r="AU103" s="50"/>
      <c r="AV103" s="50"/>
      <c r="AW103" s="50"/>
      <c r="AX103" s="50"/>
      <c r="AY103" s="50"/>
      <c r="AZ103" s="50"/>
      <c r="BA103" s="50">
        <f>+AR103+AS103+AU103+AW103+AY103+AZ103</f>
        <v>0</v>
      </c>
      <c r="BB103" s="124">
        <v>0</v>
      </c>
      <c r="BC103" s="116"/>
      <c r="BD103" s="116"/>
      <c r="BE103" s="124"/>
      <c r="BF103" s="116">
        <v>2</v>
      </c>
    </row>
    <row r="104" spans="1:58" ht="12.95" customHeight="1" x14ac:dyDescent="0.2">
      <c r="A104" s="117"/>
      <c r="B104" s="118"/>
      <c r="C104" s="119"/>
      <c r="D104" s="118"/>
      <c r="E104" s="37"/>
      <c r="F104" s="37"/>
      <c r="G104" s="120"/>
      <c r="H104" s="203"/>
      <c r="I104" s="45"/>
      <c r="J104" s="46"/>
      <c r="K104" s="46"/>
      <c r="L104" s="122"/>
      <c r="M104" s="122"/>
      <c r="N104" s="47"/>
      <c r="O104" s="48"/>
      <c r="P104" s="49"/>
      <c r="Q104" s="48"/>
      <c r="R104" s="123"/>
      <c r="S104" s="123"/>
      <c r="T104" s="50"/>
      <c r="U104" s="50"/>
      <c r="V104" s="50"/>
      <c r="W104" s="50"/>
      <c r="X104" s="55"/>
      <c r="Y104" s="52"/>
      <c r="Z104" s="50"/>
      <c r="AA104" s="50"/>
      <c r="AB104" s="50"/>
      <c r="AC104" s="50"/>
      <c r="AD104" s="50">
        <f t="shared" ref="AD104:AD105" si="93">+AM104+BA104</f>
        <v>1</v>
      </c>
      <c r="AE104" s="101" t="s">
        <v>174</v>
      </c>
      <c r="AF104" s="50"/>
      <c r="AG104" s="50">
        <v>1</v>
      </c>
      <c r="AH104" s="50"/>
      <c r="AI104" s="50"/>
      <c r="AJ104" s="50"/>
      <c r="AK104" s="50"/>
      <c r="AL104" s="50"/>
      <c r="AM104" s="50">
        <f t="shared" ref="AM104:AM105" si="94">SUM(AF104:AL104)+AT104+AV104+AX104</f>
        <v>1</v>
      </c>
      <c r="AN104" s="125"/>
      <c r="AO104" s="50"/>
      <c r="AP104" s="50"/>
      <c r="AQ104" s="50"/>
      <c r="AR104" s="50">
        <f t="shared" ref="AR104:AR105" si="95">SUM(AN104:AQ104)</f>
        <v>0</v>
      </c>
      <c r="AS104" s="50"/>
      <c r="AT104" s="50"/>
      <c r="AU104" s="50"/>
      <c r="AV104" s="50"/>
      <c r="AW104" s="50"/>
      <c r="AX104" s="50"/>
      <c r="AY104" s="50"/>
      <c r="AZ104" s="50"/>
      <c r="BA104" s="50">
        <f t="shared" ref="BA104:BA105" si="96">+AR104+AS104+AU104+AW104+AY104+AZ104</f>
        <v>0</v>
      </c>
      <c r="BB104" s="126"/>
      <c r="BC104" s="116">
        <v>1</v>
      </c>
      <c r="BD104" s="116"/>
      <c r="BE104" s="126"/>
      <c r="BF104" s="116"/>
    </row>
    <row r="105" spans="1:58" ht="12.75" customHeight="1" x14ac:dyDescent="0.2">
      <c r="A105" s="117"/>
      <c r="B105" s="118"/>
      <c r="C105" s="119"/>
      <c r="D105" s="118"/>
      <c r="E105" s="37"/>
      <c r="F105" s="37"/>
      <c r="G105" s="127"/>
      <c r="H105" s="121"/>
      <c r="I105" s="45"/>
      <c r="J105" s="46"/>
      <c r="K105" s="46"/>
      <c r="L105" s="122"/>
      <c r="M105" s="122"/>
      <c r="N105" s="47"/>
      <c r="O105" s="48"/>
      <c r="P105" s="49"/>
      <c r="Q105" s="48"/>
      <c r="R105" s="123"/>
      <c r="S105" s="123"/>
      <c r="T105" s="50"/>
      <c r="U105" s="50"/>
      <c r="V105" s="50"/>
      <c r="W105" s="50"/>
      <c r="X105" s="55"/>
      <c r="Y105" s="52"/>
      <c r="Z105" s="50"/>
      <c r="AA105" s="50"/>
      <c r="AB105" s="50"/>
      <c r="AC105" s="50"/>
      <c r="AD105" s="50">
        <f t="shared" si="93"/>
        <v>16</v>
      </c>
      <c r="AE105" s="101" t="s">
        <v>207</v>
      </c>
      <c r="AF105" s="124"/>
      <c r="AG105" s="124"/>
      <c r="AH105" s="124">
        <v>16</v>
      </c>
      <c r="AI105" s="124"/>
      <c r="AJ105" s="50"/>
      <c r="AK105" s="50"/>
      <c r="AL105" s="50"/>
      <c r="AM105" s="50">
        <f t="shared" si="94"/>
        <v>16</v>
      </c>
      <c r="AN105" s="50"/>
      <c r="AO105" s="50"/>
      <c r="AP105" s="50"/>
      <c r="AQ105" s="50"/>
      <c r="AR105" s="50">
        <f t="shared" si="95"/>
        <v>0</v>
      </c>
      <c r="AS105" s="50"/>
      <c r="AT105" s="50"/>
      <c r="AU105" s="50"/>
      <c r="AV105" s="50"/>
      <c r="AW105" s="50"/>
      <c r="AX105" s="50"/>
      <c r="AY105" s="50"/>
      <c r="AZ105" s="50"/>
      <c r="BA105" s="50">
        <f t="shared" si="96"/>
        <v>0</v>
      </c>
      <c r="BB105" s="124"/>
      <c r="BC105" s="146"/>
      <c r="BD105" s="146"/>
      <c r="BE105" s="124"/>
      <c r="BF105" s="146"/>
    </row>
    <row r="106" spans="1:58" ht="12.95" customHeight="1" x14ac:dyDescent="0.2">
      <c r="A106" s="117"/>
      <c r="B106" s="118"/>
      <c r="C106" s="119"/>
      <c r="D106" s="118"/>
      <c r="E106" s="37"/>
      <c r="F106" s="37"/>
      <c r="G106" s="127"/>
      <c r="H106" s="203"/>
      <c r="I106" s="45"/>
      <c r="J106" s="46"/>
      <c r="K106" s="46"/>
      <c r="L106" s="122"/>
      <c r="M106" s="122"/>
      <c r="N106" s="47"/>
      <c r="O106" s="48"/>
      <c r="P106" s="49"/>
      <c r="Q106" s="48"/>
      <c r="R106" s="123"/>
      <c r="S106" s="123"/>
      <c r="T106" s="50"/>
      <c r="U106" s="50"/>
      <c r="V106" s="50"/>
      <c r="W106" s="50"/>
      <c r="X106" s="51"/>
      <c r="Y106" s="52"/>
      <c r="Z106" s="50"/>
      <c r="AA106" s="53"/>
      <c r="AB106" s="53"/>
      <c r="AC106" s="50"/>
      <c r="AD106" s="50"/>
      <c r="AE106" s="101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124"/>
      <c r="BC106" s="116"/>
      <c r="BD106" s="116"/>
      <c r="BE106" s="116"/>
      <c r="BF106" s="116"/>
    </row>
    <row r="107" spans="1:58" ht="12.95" customHeight="1" x14ac:dyDescent="0.2">
      <c r="A107" s="117">
        <v>45984</v>
      </c>
      <c r="B107" s="118" t="s">
        <v>168</v>
      </c>
      <c r="C107" s="119">
        <f>(M107*E107*O107*Q107)/100000000</f>
        <v>51.116183335756226</v>
      </c>
      <c r="D107" s="118" t="s">
        <v>196</v>
      </c>
      <c r="E107" s="37">
        <v>15</v>
      </c>
      <c r="F107" s="37">
        <v>1</v>
      </c>
      <c r="G107" s="120">
        <v>1150</v>
      </c>
      <c r="H107" s="203">
        <f>+N107</f>
        <v>0.18000000000000005</v>
      </c>
      <c r="I107" s="45">
        <v>0.88</v>
      </c>
      <c r="J107" s="46">
        <f>E107*G107*(1-H107)*1440/1000000*2.7</f>
        <v>54.995760000000004</v>
      </c>
      <c r="K107" s="46">
        <f>(IF(G107&lt;L107,L107,G107)*(1-IF(H107&lt;N107,H107,N107))*E107*O107*Q107)/100000000</f>
        <v>52.223109061224498</v>
      </c>
      <c r="L107" s="122">
        <v>1125.624496373892</v>
      </c>
      <c r="M107" s="122">
        <v>923.01208702659142</v>
      </c>
      <c r="N107" s="47">
        <f>1-(M107/L107)</f>
        <v>0.18000000000000005</v>
      </c>
      <c r="O107" s="48">
        <f>+'[6]Trim Rwd'!H59</f>
        <v>256.38775510204084</v>
      </c>
      <c r="P107" s="49">
        <f>O107*(Q107-R107-S107)</f>
        <v>315356.93877551024</v>
      </c>
      <c r="Q107" s="48">
        <v>1440</v>
      </c>
      <c r="R107" s="123">
        <v>199</v>
      </c>
      <c r="S107" s="123">
        <v>11</v>
      </c>
      <c r="T107" s="50">
        <f>E107*M107*O107*Q107/100000000</f>
        <v>51.116183335756226</v>
      </c>
      <c r="U107" s="50">
        <f>E107*M107*O107*(Q107-R107-S107)/100000000</f>
        <v>43.661739932625103</v>
      </c>
      <c r="V107" s="50">
        <f>E107*G107*(1-N107)*O107/100*(R107+S107)/1000000</f>
        <v>7.6158700714285716</v>
      </c>
      <c r="W107" s="50">
        <f>+'[6]23'!K9/1000</f>
        <v>42.508000000000003</v>
      </c>
      <c r="X107" s="51">
        <f>SUM(W107:W110)/SUM(K107:K110)</f>
        <v>0.81396915588011332</v>
      </c>
      <c r="Y107" s="50">
        <f>+SUM([6]RBP!AG97:AG98)</f>
        <v>0</v>
      </c>
      <c r="Z107" s="50">
        <f>+'[6]17'!D60/1000</f>
        <v>0</v>
      </c>
      <c r="AA107" s="53">
        <f>SUM(U107:U110)-SUM(W107:W110)-SUM(Z107:Z110)-SUM(Y107:Y110)</f>
        <v>1.1537399326251006</v>
      </c>
      <c r="AB107" s="53">
        <f>(SUM(K107:K110)-SUM(W107:W110)-SUM(Y107:Y110)-SUM(Z107:Z110)-SUM(AC107:AC110)-SUM(V107:V110))-AA107</f>
        <v>-0.16142666829744901</v>
      </c>
      <c r="AC107" s="50">
        <f>K107-T107</f>
        <v>1.1069257254682725</v>
      </c>
      <c r="AD107" s="50">
        <f>+AM107+BA107</f>
        <v>0</v>
      </c>
      <c r="AE107" s="101" t="s">
        <v>110</v>
      </c>
      <c r="AF107" s="50">
        <v>0</v>
      </c>
      <c r="AG107" s="50"/>
      <c r="AH107" s="50"/>
      <c r="AI107" s="50"/>
      <c r="AJ107" s="50"/>
      <c r="AK107" s="50"/>
      <c r="AL107" s="50"/>
      <c r="AM107" s="50">
        <f>SUM(AF107:AL107)+AT107+AV107+AX107</f>
        <v>0</v>
      </c>
      <c r="AN107" s="50"/>
      <c r="AO107" s="50"/>
      <c r="AP107" s="50"/>
      <c r="AQ107" s="50"/>
      <c r="AR107" s="50">
        <f>SUM(AN107:AQ107)</f>
        <v>0</v>
      </c>
      <c r="AS107" s="50"/>
      <c r="AT107" s="50"/>
      <c r="AU107" s="50"/>
      <c r="AV107" s="50"/>
      <c r="AW107" s="50"/>
      <c r="AX107" s="50"/>
      <c r="AY107" s="50"/>
      <c r="AZ107" s="50"/>
      <c r="BA107" s="50">
        <f>+AR107+AS107+AU107+AW107+AY107+AZ107</f>
        <v>0</v>
      </c>
      <c r="BB107" s="124">
        <v>0</v>
      </c>
      <c r="BC107" s="116"/>
      <c r="BD107" s="116"/>
      <c r="BE107" s="124"/>
      <c r="BF107" s="116">
        <v>3</v>
      </c>
    </row>
    <row r="108" spans="1:58" ht="12.95" customHeight="1" x14ac:dyDescent="0.2">
      <c r="A108" s="117"/>
      <c r="B108" s="118"/>
      <c r="C108" s="119"/>
      <c r="D108" s="118"/>
      <c r="E108" s="37"/>
      <c r="F108" s="37"/>
      <c r="G108" s="120"/>
      <c r="H108" s="203"/>
      <c r="I108" s="45"/>
      <c r="J108" s="46"/>
      <c r="K108" s="46"/>
      <c r="L108" s="122"/>
      <c r="M108" s="122"/>
      <c r="N108" s="47"/>
      <c r="O108" s="48"/>
      <c r="P108" s="49"/>
      <c r="Q108" s="48"/>
      <c r="R108" s="123"/>
      <c r="S108" s="123"/>
      <c r="T108" s="50"/>
      <c r="U108" s="50"/>
      <c r="V108" s="50"/>
      <c r="W108" s="50"/>
      <c r="X108" s="55"/>
      <c r="Y108" s="52"/>
      <c r="Z108" s="50"/>
      <c r="AA108" s="50"/>
      <c r="AB108" s="50"/>
      <c r="AC108" s="50"/>
      <c r="AD108" s="50">
        <f t="shared" ref="AD108:AD110" si="97">+AM108+BA108</f>
        <v>1</v>
      </c>
      <c r="AE108" s="101" t="s">
        <v>174</v>
      </c>
      <c r="AF108" s="50"/>
      <c r="AG108" s="50">
        <v>1</v>
      </c>
      <c r="AH108" s="50"/>
      <c r="AI108" s="50"/>
      <c r="AJ108" s="50"/>
      <c r="AK108" s="50"/>
      <c r="AL108" s="50"/>
      <c r="AM108" s="50">
        <f t="shared" ref="AM108:AM109" si="98">SUM(AF108:AL108)+AT108+AV108+AX108</f>
        <v>1</v>
      </c>
      <c r="AN108" s="125"/>
      <c r="AO108" s="50"/>
      <c r="AP108" s="50"/>
      <c r="AQ108" s="50"/>
      <c r="AR108" s="50">
        <f t="shared" ref="AR108:AR109" si="99">SUM(AN108:AQ108)</f>
        <v>0</v>
      </c>
      <c r="AS108" s="50"/>
      <c r="AT108" s="50"/>
      <c r="AU108" s="50"/>
      <c r="AV108" s="50"/>
      <c r="AW108" s="50"/>
      <c r="AX108" s="50"/>
      <c r="AY108" s="50"/>
      <c r="AZ108" s="50"/>
      <c r="BA108" s="50">
        <f t="shared" ref="BA108:BA110" si="100">+AR108+AS108+AU108+AW108+AY108+AZ108</f>
        <v>0</v>
      </c>
      <c r="BB108" s="126"/>
      <c r="BC108" s="116">
        <v>1</v>
      </c>
      <c r="BD108" s="116"/>
      <c r="BE108" s="126"/>
      <c r="BF108" s="116"/>
    </row>
    <row r="109" spans="1:58" ht="12.95" customHeight="1" x14ac:dyDescent="0.2">
      <c r="A109" s="117"/>
      <c r="B109" s="118"/>
      <c r="C109" s="119"/>
      <c r="D109" s="118"/>
      <c r="E109" s="37"/>
      <c r="F109" s="37"/>
      <c r="G109" s="127"/>
      <c r="H109" s="121"/>
      <c r="I109" s="45"/>
      <c r="J109" s="46"/>
      <c r="K109" s="46"/>
      <c r="L109" s="122"/>
      <c r="M109" s="122"/>
      <c r="N109" s="47"/>
      <c r="O109" s="48"/>
      <c r="P109" s="49"/>
      <c r="Q109" s="48"/>
      <c r="R109" s="123"/>
      <c r="S109" s="123"/>
      <c r="T109" s="50"/>
      <c r="U109" s="50"/>
      <c r="V109" s="50"/>
      <c r="W109" s="50"/>
      <c r="X109" s="55"/>
      <c r="Y109" s="52"/>
      <c r="Z109" s="50"/>
      <c r="AA109" s="50"/>
      <c r="AB109" s="50"/>
      <c r="AC109" s="50"/>
      <c r="AD109" s="50">
        <f t="shared" si="97"/>
        <v>10</v>
      </c>
      <c r="AE109" s="101" t="s">
        <v>207</v>
      </c>
      <c r="AF109" s="124"/>
      <c r="AG109" s="124"/>
      <c r="AH109" s="124">
        <v>10</v>
      </c>
      <c r="AI109" s="124"/>
      <c r="AJ109" s="50"/>
      <c r="AK109" s="50"/>
      <c r="AL109" s="50"/>
      <c r="AM109" s="50">
        <f t="shared" si="98"/>
        <v>10</v>
      </c>
      <c r="AN109" s="50"/>
      <c r="AO109" s="50"/>
      <c r="AP109" s="50"/>
      <c r="AQ109" s="50"/>
      <c r="AR109" s="50">
        <f t="shared" si="99"/>
        <v>0</v>
      </c>
      <c r="AS109" s="50"/>
      <c r="AT109" s="50"/>
      <c r="AU109" s="50"/>
      <c r="AV109" s="50"/>
      <c r="AW109" s="50"/>
      <c r="AX109" s="50"/>
      <c r="AY109" s="50"/>
      <c r="AZ109" s="50"/>
      <c r="BA109" s="50">
        <f t="shared" si="100"/>
        <v>0</v>
      </c>
      <c r="BB109" s="124"/>
      <c r="BC109" s="146"/>
      <c r="BD109" s="146"/>
      <c r="BE109" s="124"/>
      <c r="BF109" s="146"/>
    </row>
    <row r="110" spans="1:58" ht="12.95" customHeight="1" x14ac:dyDescent="0.2">
      <c r="A110" s="117"/>
      <c r="B110" s="118"/>
      <c r="C110" s="119"/>
      <c r="D110" s="118"/>
      <c r="E110" s="37"/>
      <c r="F110" s="37"/>
      <c r="G110" s="127"/>
      <c r="H110" s="121"/>
      <c r="I110" s="45"/>
      <c r="J110" s="46"/>
      <c r="K110" s="46"/>
      <c r="L110" s="122"/>
      <c r="M110" s="122"/>
      <c r="N110" s="47"/>
      <c r="O110" s="48"/>
      <c r="P110" s="49"/>
      <c r="Q110" s="48"/>
      <c r="R110" s="123"/>
      <c r="S110" s="123"/>
      <c r="T110" s="50"/>
      <c r="U110" s="50"/>
      <c r="V110" s="50"/>
      <c r="W110" s="50"/>
      <c r="X110" s="55"/>
      <c r="Y110" s="52"/>
      <c r="Z110" s="50"/>
      <c r="AA110" s="50"/>
      <c r="AB110" s="50"/>
      <c r="AC110" s="50"/>
      <c r="AD110" s="50">
        <f t="shared" si="97"/>
        <v>199</v>
      </c>
      <c r="AE110" s="101" t="s">
        <v>280</v>
      </c>
      <c r="AF110" s="124"/>
      <c r="AG110" s="124"/>
      <c r="AH110" s="124"/>
      <c r="AI110" s="124"/>
      <c r="AJ110" s="50"/>
      <c r="AK110" s="50"/>
      <c r="AL110" s="50"/>
      <c r="AM110" s="50">
        <f t="shared" ref="AM110" si="101">SUM(AF110:AL110)+AT110+AV110+AX110</f>
        <v>0</v>
      </c>
      <c r="AN110" s="50">
        <v>199</v>
      </c>
      <c r="AO110" s="50"/>
      <c r="AP110" s="50"/>
      <c r="AQ110" s="50"/>
      <c r="AR110" s="50">
        <f t="shared" ref="AR110" si="102">SUM(AN110:AQ110)</f>
        <v>199</v>
      </c>
      <c r="AS110" s="50"/>
      <c r="AT110" s="50"/>
      <c r="AU110" s="50"/>
      <c r="AV110" s="50"/>
      <c r="AW110" s="50"/>
      <c r="AX110" s="50"/>
      <c r="AY110" s="50"/>
      <c r="AZ110" s="50"/>
      <c r="BA110" s="50">
        <f t="shared" si="100"/>
        <v>199</v>
      </c>
      <c r="BB110" s="124"/>
      <c r="BC110" s="146"/>
      <c r="BD110" s="146"/>
      <c r="BE110" s="124"/>
      <c r="BF110" s="146"/>
    </row>
    <row r="111" spans="1:58" ht="12.95" customHeight="1" x14ac:dyDescent="0.2">
      <c r="A111" s="117"/>
      <c r="B111" s="118"/>
      <c r="C111" s="119"/>
      <c r="D111" s="118"/>
      <c r="E111" s="37"/>
      <c r="F111" s="37"/>
      <c r="G111" s="127"/>
      <c r="H111" s="203"/>
      <c r="I111" s="45"/>
      <c r="J111" s="46"/>
      <c r="K111" s="46"/>
      <c r="L111" s="122"/>
      <c r="M111" s="122"/>
      <c r="N111" s="47"/>
      <c r="O111" s="48"/>
      <c r="P111" s="49"/>
      <c r="Q111" s="48"/>
      <c r="R111" s="123"/>
      <c r="S111" s="123"/>
      <c r="T111" s="50"/>
      <c r="U111" s="50"/>
      <c r="V111" s="50"/>
      <c r="W111" s="50"/>
      <c r="X111" s="51"/>
      <c r="Y111" s="52"/>
      <c r="Z111" s="50"/>
      <c r="AA111" s="53"/>
      <c r="AB111" s="53"/>
      <c r="AC111" s="50"/>
      <c r="AD111" s="50"/>
      <c r="AE111" s="101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124"/>
      <c r="BC111" s="116"/>
      <c r="BD111" s="116"/>
      <c r="BE111" s="116"/>
      <c r="BF111" s="116"/>
    </row>
    <row r="112" spans="1:58" ht="12.95" customHeight="1" x14ac:dyDescent="0.2">
      <c r="A112" s="117">
        <v>45985</v>
      </c>
      <c r="B112" s="118" t="s">
        <v>168</v>
      </c>
      <c r="C112" s="119">
        <f>(M112*E112*O112*Q112)/100000000</f>
        <v>45.525494636718747</v>
      </c>
      <c r="D112" s="118" t="s">
        <v>196</v>
      </c>
      <c r="E112" s="37">
        <v>15</v>
      </c>
      <c r="F112" s="37">
        <v>1</v>
      </c>
      <c r="G112" s="120">
        <v>1150</v>
      </c>
      <c r="H112" s="203">
        <f>+N112</f>
        <v>0.18000000000000005</v>
      </c>
      <c r="I112" s="45">
        <v>0.88</v>
      </c>
      <c r="J112" s="46">
        <f>E112*G112*(1-H112)*1440/1000000*2.7</f>
        <v>54.995760000000004</v>
      </c>
      <c r="K112" s="46">
        <f>(IF(G112&lt;L112,L112,G112)*(1-IF(H112&lt;N112,H112,N112))*E112*O112*Q112)/100000000</f>
        <v>45.525494636718747</v>
      </c>
      <c r="L112" s="122">
        <v>1150</v>
      </c>
      <c r="M112" s="122">
        <v>943</v>
      </c>
      <c r="N112" s="47">
        <f>1-(M112/L112)</f>
        <v>0.18000000000000005</v>
      </c>
      <c r="O112" s="48">
        <f>+'[6]Trim Rwd'!H62</f>
        <v>256.453125</v>
      </c>
      <c r="P112" s="49">
        <f>O112*(Q112-R112-S112)</f>
        <v>315437.34375</v>
      </c>
      <c r="Q112" s="48">
        <v>1255</v>
      </c>
      <c r="R112" s="123">
        <v>0</v>
      </c>
      <c r="S112" s="123">
        <v>25</v>
      </c>
      <c r="T112" s="50">
        <f>E112*M112*O112*Q112/100000000</f>
        <v>45.525494636718747</v>
      </c>
      <c r="U112" s="50">
        <f>E112*M112*O112*(Q112-R112-S112)/100000000</f>
        <v>44.618612273437499</v>
      </c>
      <c r="V112" s="50">
        <f>E112*G112*(1-N112)*O112/100*(R112+S112)/1000000</f>
        <v>0.90688236328125005</v>
      </c>
      <c r="W112" s="50">
        <f>+'[6]24'!K9/1000</f>
        <v>55.901000000000003</v>
      </c>
      <c r="X112" s="51">
        <f>SUM(W112:W115)/SUM(K112:K115)</f>
        <v>1.093382900184056</v>
      </c>
      <c r="Y112" s="50">
        <f>+SUM([6]RBP!AG102:AG103)</f>
        <v>0</v>
      </c>
      <c r="Z112" s="50">
        <f>+'[6]24'!D25/1000</f>
        <v>0.8</v>
      </c>
      <c r="AA112" s="53">
        <f>SUM(U112:U115)-SUM(W112:W115)-SUM(Z112:Z115)-SUM(Y112:Y115)</f>
        <v>-6.8956350625625005</v>
      </c>
      <c r="AB112" s="53">
        <f>(SUM(K112:K115)-SUM(W112:W115)-SUM(Y112:Y115)-SUM(Z112:Z115)-SUM(AC112:AC115)-SUM(V112:V115))-AA112</f>
        <v>1.6269025499994427E-2</v>
      </c>
      <c r="AC112" s="50">
        <f>K112-T112</f>
        <v>0</v>
      </c>
      <c r="AD112" s="50">
        <f>+AM112+BA112</f>
        <v>12</v>
      </c>
      <c r="AE112" s="101" t="s">
        <v>165</v>
      </c>
      <c r="AF112" s="50">
        <v>12</v>
      </c>
      <c r="AG112" s="50"/>
      <c r="AH112" s="50"/>
      <c r="AI112" s="50"/>
      <c r="AJ112" s="50"/>
      <c r="AK112" s="50"/>
      <c r="AL112" s="50"/>
      <c r="AM112" s="50">
        <f>SUM(AF112:AL112)+AT112+AV112+AX112</f>
        <v>12</v>
      </c>
      <c r="AN112" s="50"/>
      <c r="AO112" s="50"/>
      <c r="AP112" s="50"/>
      <c r="AQ112" s="50"/>
      <c r="AR112" s="50">
        <f>SUM(AN112:AQ112)</f>
        <v>0</v>
      </c>
      <c r="AS112" s="50"/>
      <c r="AT112" s="50"/>
      <c r="AU112" s="50"/>
      <c r="AV112" s="50"/>
      <c r="AW112" s="50"/>
      <c r="AX112" s="50"/>
      <c r="AY112" s="50"/>
      <c r="AZ112" s="50"/>
      <c r="BA112" s="50">
        <f>+AR112+AS112+AU112+AW112+AY112+AZ112</f>
        <v>0</v>
      </c>
      <c r="BB112" s="124">
        <v>3</v>
      </c>
      <c r="BC112" s="116"/>
      <c r="BD112" s="116"/>
      <c r="BE112" s="124"/>
      <c r="BF112" s="116"/>
    </row>
    <row r="113" spans="1:58" ht="12.95" customHeight="1" x14ac:dyDescent="0.2">
      <c r="A113" s="117"/>
      <c r="B113" s="118" t="s">
        <v>121</v>
      </c>
      <c r="C113" s="119">
        <f>(M113*E113*O113*Q113)/100000000</f>
        <v>7.1440687799999996</v>
      </c>
      <c r="D113" s="118" t="s">
        <v>196</v>
      </c>
      <c r="E113" s="37">
        <v>17</v>
      </c>
      <c r="F113" s="37">
        <v>1</v>
      </c>
      <c r="G113" s="120">
        <v>1015</v>
      </c>
      <c r="H113" s="203">
        <f>+N113</f>
        <v>0.17999999999999994</v>
      </c>
      <c r="I113" s="45">
        <v>0.88</v>
      </c>
      <c r="J113" s="46">
        <f>E113*G113*(1-H113)*1440/1000000*2.7</f>
        <v>55.011700800000007</v>
      </c>
      <c r="K113" s="46">
        <f>(IF(G113&lt;L113,L113,G113)*(1-IF(H113&lt;N113,H113,N113))*E113*O113*Q113)/100000000</f>
        <v>7.1440687799999996</v>
      </c>
      <c r="L113" s="122">
        <v>1080</v>
      </c>
      <c r="M113" s="122">
        <v>885.6</v>
      </c>
      <c r="N113" s="47">
        <f>1-(M113/L113)</f>
        <v>0.17999999999999994</v>
      </c>
      <c r="O113" s="48">
        <f>+'[6]Trim Rwd'!H64</f>
        <v>256.5</v>
      </c>
      <c r="P113" s="49">
        <f>O113*(Q113-R113-S113)</f>
        <v>45657</v>
      </c>
      <c r="Q113" s="48">
        <v>185</v>
      </c>
      <c r="R113" s="123">
        <v>0</v>
      </c>
      <c r="S113" s="123">
        <v>7</v>
      </c>
      <c r="T113" s="50">
        <f>E113*M113*O113*Q113/100000000</f>
        <v>7.1440687799999996</v>
      </c>
      <c r="U113" s="50">
        <f>E113*M113*O113*(Q113-R113-S113)/100000000</f>
        <v>6.8737526640000013</v>
      </c>
      <c r="V113" s="50">
        <f>E113*G113*(1-N113)*O113/100*(R113+S113)/1000000</f>
        <v>0.25404709050000002</v>
      </c>
      <c r="W113" s="50">
        <f>+'[6]24'!K10/1000</f>
        <v>1.6870000000000001</v>
      </c>
      <c r="X113" s="55"/>
      <c r="Y113" s="52"/>
      <c r="Z113" s="50"/>
      <c r="AA113" s="50"/>
      <c r="AB113" s="50"/>
      <c r="AC113" s="50">
        <f>K113-T113</f>
        <v>0</v>
      </c>
      <c r="AD113" s="50">
        <f t="shared" ref="AD113:AD114" si="103">+AM113+BA113</f>
        <v>2</v>
      </c>
      <c r="AE113" s="101" t="s">
        <v>174</v>
      </c>
      <c r="AF113" s="50"/>
      <c r="AG113" s="50">
        <v>2</v>
      </c>
      <c r="AH113" s="50"/>
      <c r="AI113" s="50"/>
      <c r="AJ113" s="50"/>
      <c r="AK113" s="50"/>
      <c r="AL113" s="50"/>
      <c r="AM113" s="50">
        <f t="shared" ref="AM113:AM114" si="104">SUM(AF113:AL113)+AT113+AV113+AX113</f>
        <v>2</v>
      </c>
      <c r="AN113" s="125"/>
      <c r="AO113" s="50"/>
      <c r="AP113" s="50"/>
      <c r="AQ113" s="50"/>
      <c r="AR113" s="50">
        <f t="shared" ref="AR113:AR114" si="105">SUM(AN113:AQ113)</f>
        <v>0</v>
      </c>
      <c r="AS113" s="50"/>
      <c r="AT113" s="50"/>
      <c r="AU113" s="50"/>
      <c r="AV113" s="50"/>
      <c r="AW113" s="50"/>
      <c r="AX113" s="50"/>
      <c r="AY113" s="50"/>
      <c r="AZ113" s="50"/>
      <c r="BA113" s="50">
        <f t="shared" ref="BA113:BA114" si="106">+AR113+AS113+AU113+AW113+AY113+AZ113</f>
        <v>0</v>
      </c>
      <c r="BB113" s="126"/>
      <c r="BC113" s="116">
        <v>1</v>
      </c>
      <c r="BD113" s="116"/>
      <c r="BE113" s="126"/>
      <c r="BF113" s="116"/>
    </row>
    <row r="114" spans="1:58" ht="12.95" customHeight="1" x14ac:dyDescent="0.2">
      <c r="A114" s="117"/>
      <c r="B114" s="118"/>
      <c r="C114" s="119"/>
      <c r="D114" s="118"/>
      <c r="E114" s="37"/>
      <c r="F114" s="37"/>
      <c r="G114" s="127"/>
      <c r="H114" s="121"/>
      <c r="I114" s="45"/>
      <c r="J114" s="46"/>
      <c r="K114" s="46"/>
      <c r="L114" s="122"/>
      <c r="M114" s="122"/>
      <c r="N114" s="47"/>
      <c r="O114" s="48"/>
      <c r="P114" s="49"/>
      <c r="Q114" s="48"/>
      <c r="R114" s="123"/>
      <c r="S114" s="123"/>
      <c r="T114" s="50"/>
      <c r="U114" s="50"/>
      <c r="V114" s="50"/>
      <c r="W114" s="50"/>
      <c r="X114" s="55"/>
      <c r="Y114" s="52"/>
      <c r="Z114" s="50"/>
      <c r="AA114" s="50"/>
      <c r="AB114" s="50"/>
      <c r="AC114" s="50"/>
      <c r="AD114" s="50">
        <f t="shared" si="103"/>
        <v>18</v>
      </c>
      <c r="AE114" s="101" t="s">
        <v>112</v>
      </c>
      <c r="AF114" s="124"/>
      <c r="AG114" s="124"/>
      <c r="AH114" s="124">
        <v>18</v>
      </c>
      <c r="AI114" s="124"/>
      <c r="AJ114" s="50"/>
      <c r="AK114" s="50"/>
      <c r="AL114" s="50"/>
      <c r="AM114" s="50">
        <f t="shared" si="104"/>
        <v>18</v>
      </c>
      <c r="AN114" s="50"/>
      <c r="AO114" s="50"/>
      <c r="AP114" s="50"/>
      <c r="AQ114" s="50"/>
      <c r="AR114" s="50">
        <f t="shared" si="105"/>
        <v>0</v>
      </c>
      <c r="AS114" s="50"/>
      <c r="AT114" s="50"/>
      <c r="AU114" s="50"/>
      <c r="AV114" s="50"/>
      <c r="AW114" s="50"/>
      <c r="AX114" s="50"/>
      <c r="AY114" s="50"/>
      <c r="AZ114" s="50"/>
      <c r="BA114" s="50">
        <f t="shared" si="106"/>
        <v>0</v>
      </c>
      <c r="BB114" s="124"/>
      <c r="BC114" s="146"/>
      <c r="BD114" s="146"/>
      <c r="BE114" s="124"/>
      <c r="BF114" s="146"/>
    </row>
    <row r="115" spans="1:58" ht="12.95" customHeight="1" x14ac:dyDescent="0.2">
      <c r="A115" s="117"/>
      <c r="B115" s="204"/>
      <c r="C115" s="205"/>
      <c r="D115" s="204"/>
      <c r="E115" s="37"/>
      <c r="F115" s="37"/>
      <c r="G115" s="208"/>
      <c r="H115" s="203"/>
      <c r="I115" s="45"/>
      <c r="J115" s="46"/>
      <c r="K115" s="46"/>
      <c r="L115" s="206"/>
      <c r="M115" s="206"/>
      <c r="N115" s="47"/>
      <c r="O115" s="48"/>
      <c r="P115" s="49"/>
      <c r="Q115" s="48"/>
      <c r="R115" s="207"/>
      <c r="S115" s="207"/>
      <c r="T115" s="50"/>
      <c r="U115" s="50"/>
      <c r="V115" s="50"/>
      <c r="W115" s="50"/>
      <c r="X115" s="51"/>
      <c r="Y115" s="52"/>
      <c r="Z115" s="50"/>
      <c r="AA115" s="50"/>
      <c r="AB115" s="50"/>
      <c r="AC115" s="50"/>
      <c r="AD115" s="50"/>
      <c r="AE115" s="101"/>
      <c r="AF115" s="124"/>
      <c r="AG115" s="124"/>
      <c r="AH115" s="124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124"/>
      <c r="BC115" s="146"/>
      <c r="BD115" s="116"/>
      <c r="BE115" s="116"/>
      <c r="BF115" s="116"/>
    </row>
    <row r="116" spans="1:58" ht="12.95" customHeight="1" x14ac:dyDescent="0.2">
      <c r="A116" s="117">
        <v>45986</v>
      </c>
      <c r="B116" s="118" t="s">
        <v>121</v>
      </c>
      <c r="C116" s="119">
        <f>(M116*E116*O116*Q116)/100000000</f>
        <v>46.809727672500003</v>
      </c>
      <c r="D116" s="118" t="s">
        <v>196</v>
      </c>
      <c r="E116" s="37">
        <v>17</v>
      </c>
      <c r="F116" s="37">
        <v>1</v>
      </c>
      <c r="G116" s="120">
        <v>1010</v>
      </c>
      <c r="H116" s="203">
        <f>+N116</f>
        <v>0.17394905928975413</v>
      </c>
      <c r="I116" s="45">
        <v>0.88</v>
      </c>
      <c r="J116" s="46">
        <f>E116*G116*(1-H116)*1440/1000000*2.7</f>
        <v>55.144649606956257</v>
      </c>
      <c r="K116" s="46">
        <f>(IF(G116&lt;L116,L116,G116)*(1-IF(H116&lt;N116,H116,N116))*E116*O116*Q116)/100000000</f>
        <v>46.930394509253397</v>
      </c>
      <c r="L116" s="122">
        <v>1007.4031007751938</v>
      </c>
      <c r="M116" s="122">
        <v>832.16627906976748</v>
      </c>
      <c r="N116" s="47">
        <f>1-(M116/L116)</f>
        <v>0.17394905928975413</v>
      </c>
      <c r="O116" s="48">
        <f>+'[6]Trim Rwd'!H66</f>
        <v>256.5</v>
      </c>
      <c r="P116" s="49">
        <f>O116*(Q116-R116-S116)</f>
        <v>311647.5</v>
      </c>
      <c r="Q116" s="48">
        <v>1290</v>
      </c>
      <c r="R116" s="123">
        <v>0</v>
      </c>
      <c r="S116" s="123">
        <f>14+15+46</f>
        <v>75</v>
      </c>
      <c r="T116" s="50">
        <f>E116*M116*O116*Q116/100000000</f>
        <v>46.809727672500003</v>
      </c>
      <c r="U116" s="50">
        <f>E116*M116*O116*(Q116-R116-S116)/100000000</f>
        <v>44.088231877587212</v>
      </c>
      <c r="V116" s="50">
        <f>E116*G116*(1-N116)*O116/100*(R116+S116)/1000000</f>
        <v>2.7285113086775228</v>
      </c>
      <c r="W116" s="50">
        <f>+'[6]25'!K10/1000</f>
        <v>49.268000000000001</v>
      </c>
      <c r="X116" s="51">
        <f>SUM(W116:W119)/SUM(K116:K119)</f>
        <v>0.94126563237966576</v>
      </c>
      <c r="Y116" s="50">
        <f>+SUM([6]RBP!AG106:AG107)</f>
        <v>0</v>
      </c>
      <c r="Z116" s="50">
        <f>+'[6]17'!D69/1000</f>
        <v>0</v>
      </c>
      <c r="AA116" s="53">
        <f>SUM(U116:U119)-SUM(W116:W119)-SUM(Z116:Z119)-SUM(Y116:Y119)</f>
        <v>-7.0937472412786917E-2</v>
      </c>
      <c r="AB116" s="53">
        <f>(SUM(K116:K119)-SUM(W116:W119)-SUM(Y116:Y119)-SUM(Z116:Z119)-SUM(AC116:AC119)-SUM(V116:V119))-AA116</f>
        <v>-1.0991601264736861E-2</v>
      </c>
      <c r="AC116" s="50">
        <f>K116-T116</f>
        <v>0.12066683675339362</v>
      </c>
      <c r="AD116" s="50">
        <f>+AM116+BA116</f>
        <v>0</v>
      </c>
      <c r="AE116" s="101" t="s">
        <v>110</v>
      </c>
      <c r="AF116" s="50">
        <v>0</v>
      </c>
      <c r="AG116" s="50"/>
      <c r="AH116" s="50"/>
      <c r="AI116" s="50"/>
      <c r="AJ116" s="50"/>
      <c r="AK116" s="50"/>
      <c r="AL116" s="50"/>
      <c r="AM116" s="50">
        <f>SUM(AF116:AL116)+AT116+AV116+AX116</f>
        <v>0</v>
      </c>
      <c r="AN116" s="50"/>
      <c r="AO116" s="50"/>
      <c r="AP116" s="50"/>
      <c r="AQ116" s="50"/>
      <c r="AR116" s="50">
        <f>SUM(AN116:AQ116)</f>
        <v>0</v>
      </c>
      <c r="AS116" s="50"/>
      <c r="AT116" s="50"/>
      <c r="AU116" s="50"/>
      <c r="AV116" s="50"/>
      <c r="AW116" s="50"/>
      <c r="AX116" s="50"/>
      <c r="AY116" s="50"/>
      <c r="AZ116" s="50"/>
      <c r="BA116" s="50">
        <f>+AR116+AS116+AU116+AW116+AY116+AZ116</f>
        <v>0</v>
      </c>
      <c r="BB116" s="124">
        <v>0</v>
      </c>
      <c r="BC116" s="116"/>
      <c r="BD116" s="116">
        <v>1</v>
      </c>
      <c r="BE116" s="124"/>
      <c r="BF116" s="116">
        <v>2</v>
      </c>
    </row>
    <row r="117" spans="1:58" ht="12.95" customHeight="1" x14ac:dyDescent="0.2">
      <c r="A117" s="117"/>
      <c r="B117" s="118" t="s">
        <v>168</v>
      </c>
      <c r="C117" s="119">
        <f>(M117*E117*O117*Q117)/100000000</f>
        <v>5.2130924999999992</v>
      </c>
      <c r="D117" s="118" t="s">
        <v>196</v>
      </c>
      <c r="E117" s="37">
        <v>15</v>
      </c>
      <c r="F117" s="37">
        <v>1</v>
      </c>
      <c r="G117" s="120">
        <v>1225</v>
      </c>
      <c r="H117" s="203">
        <f>+N117</f>
        <v>0.23000000000000009</v>
      </c>
      <c r="I117" s="45">
        <v>0.88</v>
      </c>
      <c r="J117" s="46">
        <f>E117*G117*(1-H117)*1440/1000000*2.7</f>
        <v>55.010339999999992</v>
      </c>
      <c r="K117" s="46">
        <f>(IF(G117&lt;L117,L117,G117)*(1-IF(H117&lt;N117,H117,N117))*E117*O117*Q117)/100000000</f>
        <v>5.4118968749999992</v>
      </c>
      <c r="L117" s="122">
        <v>1180</v>
      </c>
      <c r="M117" s="122">
        <v>908.59999999999991</v>
      </c>
      <c r="N117" s="47">
        <f>1-(M117/L117)</f>
        <v>0.23000000000000009</v>
      </c>
      <c r="O117" s="48">
        <f>+'[6]Trim Rwd'!H67</f>
        <v>255</v>
      </c>
      <c r="P117" s="49">
        <f>O117*(Q117-R117-S117)</f>
        <v>37485</v>
      </c>
      <c r="Q117" s="48">
        <v>150</v>
      </c>
      <c r="R117" s="123">
        <v>0</v>
      </c>
      <c r="S117" s="123">
        <v>3</v>
      </c>
      <c r="T117" s="50">
        <f>E117*M117*O117*Q117/100000000</f>
        <v>5.2130924999999992</v>
      </c>
      <c r="U117" s="50">
        <f>E117*M117*O117*(Q117-R117-S117)/100000000</f>
        <v>5.1088306499999998</v>
      </c>
      <c r="V117" s="50">
        <f>E117*G117*(1-N117)*O117/100*(R117+S117)/1000000</f>
        <v>0.10823793749999996</v>
      </c>
      <c r="W117" s="50">
        <f>+'[6]24'!K14/1000</f>
        <v>0</v>
      </c>
      <c r="X117" s="55"/>
      <c r="Y117" s="52"/>
      <c r="Z117" s="50"/>
      <c r="AA117" s="50"/>
      <c r="AB117" s="50"/>
      <c r="AC117" s="50">
        <f>K117-T117</f>
        <v>0.19880437499999992</v>
      </c>
      <c r="AD117" s="50">
        <f t="shared" ref="AD117:AD119" si="107">+AM117+BA117</f>
        <v>2</v>
      </c>
      <c r="AE117" s="101" t="s">
        <v>166</v>
      </c>
      <c r="AF117" s="50"/>
      <c r="AG117" s="50">
        <v>2</v>
      </c>
      <c r="AH117" s="50"/>
      <c r="AI117" s="50"/>
      <c r="AJ117" s="50"/>
      <c r="AK117" s="50"/>
      <c r="AL117" s="50"/>
      <c r="AM117" s="50">
        <f t="shared" ref="AM117:AM118" si="108">SUM(AF117:AL117)+AT117+AV117+AX117</f>
        <v>2</v>
      </c>
      <c r="AN117" s="125"/>
      <c r="AO117" s="50"/>
      <c r="AP117" s="50"/>
      <c r="AQ117" s="50"/>
      <c r="AR117" s="50">
        <f t="shared" ref="AR117:AR119" si="109">SUM(AN117:AQ117)</f>
        <v>0</v>
      </c>
      <c r="AS117" s="50"/>
      <c r="AT117" s="50"/>
      <c r="AU117" s="50"/>
      <c r="AV117" s="50"/>
      <c r="AW117" s="50"/>
      <c r="AX117" s="50"/>
      <c r="AY117" s="50"/>
      <c r="AZ117" s="50"/>
      <c r="BA117" s="50">
        <f t="shared" ref="BA117:BA119" si="110">+AR117+AS117+AU117+AW117+AY117+AZ117</f>
        <v>0</v>
      </c>
      <c r="BB117" s="126"/>
      <c r="BC117" s="116">
        <v>2</v>
      </c>
      <c r="BD117" s="116"/>
      <c r="BE117" s="126"/>
      <c r="BF117" s="116"/>
    </row>
    <row r="118" spans="1:58" ht="12.95" customHeight="1" x14ac:dyDescent="0.2">
      <c r="A118" s="117"/>
      <c r="B118" s="118"/>
      <c r="C118" s="119"/>
      <c r="D118" s="118"/>
      <c r="E118" s="37"/>
      <c r="F118" s="37"/>
      <c r="G118" s="127"/>
      <c r="H118" s="121"/>
      <c r="I118" s="45"/>
      <c r="J118" s="46"/>
      <c r="K118" s="46"/>
      <c r="L118" s="122"/>
      <c r="M118" s="122"/>
      <c r="N118" s="47"/>
      <c r="O118" s="48"/>
      <c r="P118" s="49"/>
      <c r="Q118" s="48"/>
      <c r="R118" s="123"/>
      <c r="S118" s="123"/>
      <c r="T118" s="50"/>
      <c r="U118" s="50"/>
      <c r="V118" s="50"/>
      <c r="W118" s="50"/>
      <c r="X118" s="55"/>
      <c r="Y118" s="52"/>
      <c r="Z118" s="50"/>
      <c r="AA118" s="50"/>
      <c r="AB118" s="50"/>
      <c r="AC118" s="50"/>
      <c r="AD118" s="50">
        <f t="shared" si="107"/>
        <v>16</v>
      </c>
      <c r="AE118" s="101" t="s">
        <v>112</v>
      </c>
      <c r="AF118" s="124"/>
      <c r="AG118" s="124"/>
      <c r="AH118" s="124">
        <v>16</v>
      </c>
      <c r="AI118" s="124"/>
      <c r="AJ118" s="50"/>
      <c r="AK118" s="50"/>
      <c r="AL118" s="50"/>
      <c r="AM118" s="50">
        <f t="shared" si="108"/>
        <v>16</v>
      </c>
      <c r="AN118" s="50"/>
      <c r="AO118" s="50"/>
      <c r="AP118" s="50"/>
      <c r="AQ118" s="50"/>
      <c r="AR118" s="50">
        <f t="shared" si="109"/>
        <v>0</v>
      </c>
      <c r="AS118" s="50"/>
      <c r="AT118" s="50"/>
      <c r="AU118" s="50"/>
      <c r="AV118" s="50"/>
      <c r="AW118" s="50"/>
      <c r="AX118" s="50"/>
      <c r="AY118" s="50"/>
      <c r="AZ118" s="50"/>
      <c r="BA118" s="50">
        <f t="shared" si="110"/>
        <v>0</v>
      </c>
      <c r="BB118" s="124"/>
      <c r="BC118" s="146"/>
      <c r="BD118" s="146"/>
      <c r="BE118" s="124"/>
      <c r="BF118" s="146"/>
    </row>
    <row r="119" spans="1:58" ht="12.95" customHeight="1" x14ac:dyDescent="0.2">
      <c r="A119" s="117"/>
      <c r="B119" s="118"/>
      <c r="C119" s="119"/>
      <c r="D119" s="118"/>
      <c r="E119" s="37"/>
      <c r="F119" s="37"/>
      <c r="G119" s="127"/>
      <c r="H119" s="121"/>
      <c r="I119" s="45"/>
      <c r="J119" s="46"/>
      <c r="K119" s="46"/>
      <c r="L119" s="122"/>
      <c r="M119" s="122"/>
      <c r="N119" s="47"/>
      <c r="O119" s="48"/>
      <c r="P119" s="49"/>
      <c r="Q119" s="48"/>
      <c r="R119" s="123"/>
      <c r="S119" s="123"/>
      <c r="T119" s="50"/>
      <c r="U119" s="50"/>
      <c r="V119" s="50"/>
      <c r="W119" s="50"/>
      <c r="X119" s="55"/>
      <c r="Y119" s="52"/>
      <c r="Z119" s="50"/>
      <c r="AA119" s="50"/>
      <c r="AB119" s="50"/>
      <c r="AC119" s="50"/>
      <c r="AD119" s="50">
        <f t="shared" si="107"/>
        <v>60</v>
      </c>
      <c r="AE119" s="148" t="s">
        <v>281</v>
      </c>
      <c r="AF119" s="124"/>
      <c r="AG119" s="124"/>
      <c r="AH119" s="124"/>
      <c r="AI119" s="124"/>
      <c r="AJ119" s="50"/>
      <c r="AK119" s="50"/>
      <c r="AL119" s="50"/>
      <c r="AM119" s="50">
        <f t="shared" ref="AM119" si="111">SUM(AF119:AL119)+AT119+AV119+AX119</f>
        <v>60</v>
      </c>
      <c r="AN119" s="50"/>
      <c r="AO119" s="50"/>
      <c r="AP119" s="50"/>
      <c r="AQ119" s="50"/>
      <c r="AR119" s="50">
        <f t="shared" si="109"/>
        <v>0</v>
      </c>
      <c r="AS119" s="50"/>
      <c r="AT119" s="50"/>
      <c r="AU119" s="50"/>
      <c r="AV119" s="50">
        <f>14+46</f>
        <v>60</v>
      </c>
      <c r="AW119" s="50"/>
      <c r="AX119" s="50"/>
      <c r="AY119" s="50"/>
      <c r="AZ119" s="50"/>
      <c r="BA119" s="50">
        <f t="shared" si="110"/>
        <v>0</v>
      </c>
      <c r="BB119" s="124"/>
      <c r="BC119" s="146"/>
      <c r="BD119" s="146"/>
      <c r="BE119" s="124"/>
      <c r="BF119" s="146"/>
    </row>
    <row r="120" spans="1:58" ht="12.95" customHeight="1" x14ac:dyDescent="0.2">
      <c r="A120" s="117"/>
      <c r="B120" s="204"/>
      <c r="C120" s="205"/>
      <c r="D120" s="204"/>
      <c r="E120" s="37"/>
      <c r="F120" s="37"/>
      <c r="G120" s="208"/>
      <c r="H120" s="203"/>
      <c r="I120" s="45"/>
      <c r="J120" s="46"/>
      <c r="K120" s="46"/>
      <c r="L120" s="206"/>
      <c r="M120" s="206"/>
      <c r="N120" s="47"/>
      <c r="O120" s="48"/>
      <c r="P120" s="49"/>
      <c r="Q120" s="48"/>
      <c r="R120" s="207"/>
      <c r="S120" s="207"/>
      <c r="T120" s="50"/>
      <c r="U120" s="50"/>
      <c r="V120" s="50"/>
      <c r="W120" s="50"/>
      <c r="X120" s="51"/>
      <c r="Y120" s="52"/>
      <c r="Z120" s="50"/>
      <c r="AA120" s="50"/>
      <c r="AB120" s="50"/>
      <c r="AC120" s="50"/>
      <c r="AD120" s="50"/>
      <c r="AE120" s="101"/>
      <c r="AF120" s="124"/>
      <c r="AG120" s="124"/>
      <c r="AH120" s="124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124"/>
      <c r="BC120" s="146"/>
      <c r="BD120" s="116"/>
      <c r="BE120" s="116"/>
      <c r="BF120" s="116"/>
    </row>
    <row r="121" spans="1:58" ht="12.95" customHeight="1" x14ac:dyDescent="0.2">
      <c r="A121" s="117">
        <v>45987</v>
      </c>
      <c r="B121" s="118" t="s">
        <v>168</v>
      </c>
      <c r="C121" s="119">
        <f>(M121*E121*O121*Q121)/100000000</f>
        <v>51.554879999999997</v>
      </c>
      <c r="D121" s="118" t="s">
        <v>196</v>
      </c>
      <c r="E121" s="37">
        <v>15</v>
      </c>
      <c r="F121" s="37">
        <v>1</v>
      </c>
      <c r="G121" s="120">
        <v>1210</v>
      </c>
      <c r="H121" s="203">
        <f>+N121</f>
        <v>0.21999999999999997</v>
      </c>
      <c r="I121" s="45">
        <v>0.88</v>
      </c>
      <c r="J121" s="46">
        <f>E121*G121*(1-H121)*1440/1000000*2.7</f>
        <v>55.042416000000003</v>
      </c>
      <c r="K121" s="46">
        <f>(IF(G121&lt;L121,L121,G121)*(1-IF(H121&lt;N121,H121,N121))*E121*O121*Q121)/100000000</f>
        <v>51.984504000000008</v>
      </c>
      <c r="L121" s="122">
        <v>1200</v>
      </c>
      <c r="M121" s="122">
        <v>936</v>
      </c>
      <c r="N121" s="47">
        <f>1-(M121/L121)</f>
        <v>0.21999999999999997</v>
      </c>
      <c r="O121" s="48">
        <f>+'[6]Trim Rwd'!H69</f>
        <v>255</v>
      </c>
      <c r="P121" s="49">
        <f>O121*(Q121-R121-S121)</f>
        <v>364650</v>
      </c>
      <c r="Q121" s="48">
        <v>1440</v>
      </c>
      <c r="R121" s="123">
        <v>0</v>
      </c>
      <c r="S121" s="123">
        <v>10</v>
      </c>
      <c r="T121" s="50">
        <f>E121*M121*O121*Q121/100000000</f>
        <v>51.554879999999997</v>
      </c>
      <c r="U121" s="50">
        <f>E121*M121*O121*(Q121-R121-S121)/100000000</f>
        <v>51.196860000000001</v>
      </c>
      <c r="V121" s="50">
        <f>E121*G121*(1-N121)*O121/100*(R121+S121)/1000000</f>
        <v>0.36100349999999998</v>
      </c>
      <c r="W121" s="50">
        <f>+'[6]26'!K9/1000</f>
        <v>50.302999999999997</v>
      </c>
      <c r="X121" s="51">
        <f>SUM(W121:W124)/SUM(K121:K124)</f>
        <v>0.96765374543152305</v>
      </c>
      <c r="Y121" s="50">
        <f>+SUM([6]RBP!AG111:AG112)</f>
        <v>0</v>
      </c>
      <c r="Z121" s="50">
        <f>+'[6]17'!D74/1000</f>
        <v>0</v>
      </c>
      <c r="AA121" s="53">
        <f>SUM(U121:U124)-SUM(W121:W124)-SUM(Z121:Z124)-SUM(Y121:Y124)</f>
        <v>0.89386000000000365</v>
      </c>
      <c r="AB121" s="53">
        <f>(SUM(K121:K124)-SUM(W121:W124)-SUM(Y121:Y124)-SUM(Z121:Z124)-SUM(AC121:AC124)-SUM(V121:V124))-AA121</f>
        <v>-2.9835000000038026E-3</v>
      </c>
      <c r="AC121" s="50">
        <f>K121-T121</f>
        <v>0.42962400000001111</v>
      </c>
      <c r="AD121" s="50">
        <f>+AM121+BA121</f>
        <v>0</v>
      </c>
      <c r="AE121" s="101" t="s">
        <v>110</v>
      </c>
      <c r="AF121" s="50">
        <v>0</v>
      </c>
      <c r="AG121" s="50"/>
      <c r="AH121" s="50"/>
      <c r="AI121" s="50"/>
      <c r="AJ121" s="50"/>
      <c r="AK121" s="50"/>
      <c r="AL121" s="50"/>
      <c r="AM121" s="50">
        <f>SUM(AF121:AL121)+AT121+AV121+AX121</f>
        <v>0</v>
      </c>
      <c r="AN121" s="50"/>
      <c r="AO121" s="50"/>
      <c r="AP121" s="50"/>
      <c r="AQ121" s="50"/>
      <c r="AR121" s="50">
        <f>SUM(AN121:AQ121)</f>
        <v>0</v>
      </c>
      <c r="AS121" s="50"/>
      <c r="AT121" s="50"/>
      <c r="AU121" s="50"/>
      <c r="AV121" s="50"/>
      <c r="AW121" s="50"/>
      <c r="AX121" s="50"/>
      <c r="AY121" s="50"/>
      <c r="AZ121" s="50"/>
      <c r="BA121" s="50">
        <f>+AR121+AS121+AU121+AW121+AY121+AZ121</f>
        <v>0</v>
      </c>
      <c r="BB121" s="124">
        <v>0</v>
      </c>
      <c r="BC121" s="116"/>
      <c r="BD121" s="116"/>
      <c r="BE121" s="124"/>
      <c r="BF121" s="116"/>
    </row>
    <row r="122" spans="1:58" ht="12.95" customHeight="1" x14ac:dyDescent="0.2">
      <c r="A122" s="117"/>
      <c r="B122" s="118"/>
      <c r="C122" s="119"/>
      <c r="D122" s="118"/>
      <c r="E122" s="37"/>
      <c r="F122" s="37"/>
      <c r="G122" s="120"/>
      <c r="H122" s="203"/>
      <c r="I122" s="45"/>
      <c r="J122" s="46"/>
      <c r="K122" s="46"/>
      <c r="L122" s="122"/>
      <c r="M122" s="122"/>
      <c r="N122" s="47"/>
      <c r="O122" s="48"/>
      <c r="P122" s="49"/>
      <c r="Q122" s="48"/>
      <c r="R122" s="123"/>
      <c r="S122" s="123"/>
      <c r="T122" s="50"/>
      <c r="U122" s="50"/>
      <c r="V122" s="50"/>
      <c r="W122" s="50"/>
      <c r="X122" s="55"/>
      <c r="Y122" s="52"/>
      <c r="Z122" s="50"/>
      <c r="AA122" s="50"/>
      <c r="AB122" s="50"/>
      <c r="AC122" s="50"/>
      <c r="AD122" s="50">
        <f t="shared" ref="AD122:AD123" si="112">+AM122+BA122</f>
        <v>0</v>
      </c>
      <c r="AE122" s="101" t="s">
        <v>111</v>
      </c>
      <c r="AF122" s="50"/>
      <c r="AG122" s="50">
        <v>0</v>
      </c>
      <c r="AH122" s="50"/>
      <c r="AI122" s="50"/>
      <c r="AJ122" s="50"/>
      <c r="AK122" s="50"/>
      <c r="AL122" s="50"/>
      <c r="AM122" s="50">
        <f t="shared" ref="AM122:AM123" si="113">SUM(AF122:AL122)+AT122+AV122+AX122</f>
        <v>0</v>
      </c>
      <c r="AN122" s="125"/>
      <c r="AO122" s="50"/>
      <c r="AP122" s="50"/>
      <c r="AQ122" s="50"/>
      <c r="AR122" s="50">
        <f t="shared" ref="AR122:AR123" si="114">SUM(AN122:AQ122)</f>
        <v>0</v>
      </c>
      <c r="AS122" s="50"/>
      <c r="AT122" s="50"/>
      <c r="AU122" s="50"/>
      <c r="AV122" s="50"/>
      <c r="AW122" s="50"/>
      <c r="AX122" s="50"/>
      <c r="AY122" s="50"/>
      <c r="AZ122" s="50"/>
      <c r="BA122" s="50">
        <f t="shared" ref="BA122:BA123" si="115">+AR122+AS122+AU122+AW122+AY122+AZ122</f>
        <v>0</v>
      </c>
      <c r="BB122" s="126"/>
      <c r="BC122" s="116">
        <v>0</v>
      </c>
      <c r="BD122" s="116"/>
      <c r="BE122" s="126"/>
      <c r="BF122" s="116"/>
    </row>
    <row r="123" spans="1:58" ht="12.95" customHeight="1" x14ac:dyDescent="0.2">
      <c r="A123" s="117"/>
      <c r="B123" s="118"/>
      <c r="C123" s="119"/>
      <c r="D123" s="118"/>
      <c r="E123" s="37"/>
      <c r="F123" s="37"/>
      <c r="G123" s="127"/>
      <c r="H123" s="121"/>
      <c r="I123" s="45"/>
      <c r="J123" s="46"/>
      <c r="K123" s="46"/>
      <c r="L123" s="122"/>
      <c r="M123" s="122"/>
      <c r="N123" s="47"/>
      <c r="O123" s="48"/>
      <c r="P123" s="49"/>
      <c r="Q123" s="48"/>
      <c r="R123" s="123"/>
      <c r="S123" s="123"/>
      <c r="T123" s="50"/>
      <c r="U123" s="50"/>
      <c r="V123" s="50"/>
      <c r="W123" s="50"/>
      <c r="X123" s="55"/>
      <c r="Y123" s="52"/>
      <c r="Z123" s="50"/>
      <c r="AA123" s="50"/>
      <c r="AB123" s="50"/>
      <c r="AC123" s="50"/>
      <c r="AD123" s="50">
        <f t="shared" si="112"/>
        <v>10</v>
      </c>
      <c r="AE123" s="101" t="s">
        <v>118</v>
      </c>
      <c r="AF123" s="124"/>
      <c r="AG123" s="124"/>
      <c r="AH123" s="124">
        <v>10</v>
      </c>
      <c r="AI123" s="124"/>
      <c r="AJ123" s="50"/>
      <c r="AK123" s="50"/>
      <c r="AL123" s="50"/>
      <c r="AM123" s="50">
        <f t="shared" si="113"/>
        <v>10</v>
      </c>
      <c r="AN123" s="50"/>
      <c r="AO123" s="50"/>
      <c r="AP123" s="50"/>
      <c r="AQ123" s="50"/>
      <c r="AR123" s="50">
        <f t="shared" si="114"/>
        <v>0</v>
      </c>
      <c r="AS123" s="50"/>
      <c r="AT123" s="50"/>
      <c r="AU123" s="50"/>
      <c r="AV123" s="50"/>
      <c r="AW123" s="50"/>
      <c r="AX123" s="50"/>
      <c r="AY123" s="50"/>
      <c r="AZ123" s="50"/>
      <c r="BA123" s="50">
        <f t="shared" si="115"/>
        <v>0</v>
      </c>
      <c r="BB123" s="124"/>
      <c r="BC123" s="146"/>
      <c r="BD123" s="146"/>
      <c r="BE123" s="124"/>
      <c r="BF123" s="146"/>
    </row>
    <row r="124" spans="1:58" ht="12.95" customHeight="1" x14ac:dyDescent="0.2">
      <c r="A124" s="117"/>
      <c r="B124" s="204"/>
      <c r="C124" s="205"/>
      <c r="D124" s="204"/>
      <c r="E124" s="37"/>
      <c r="F124" s="37"/>
      <c r="G124" s="208"/>
      <c r="H124" s="203"/>
      <c r="I124" s="45"/>
      <c r="J124" s="46"/>
      <c r="K124" s="46"/>
      <c r="L124" s="206"/>
      <c r="M124" s="206"/>
      <c r="N124" s="47"/>
      <c r="O124" s="48"/>
      <c r="P124" s="49"/>
      <c r="Q124" s="48"/>
      <c r="R124" s="207"/>
      <c r="S124" s="207"/>
      <c r="T124" s="50"/>
      <c r="U124" s="50"/>
      <c r="V124" s="50"/>
      <c r="W124" s="50"/>
      <c r="X124" s="51"/>
      <c r="Y124" s="52"/>
      <c r="Z124" s="50"/>
      <c r="AA124" s="50"/>
      <c r="AB124" s="50"/>
      <c r="AC124" s="50"/>
      <c r="AD124" s="50"/>
      <c r="AE124" s="101"/>
      <c r="AF124" s="124"/>
      <c r="AG124" s="124"/>
      <c r="AH124" s="124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124"/>
      <c r="BC124" s="146"/>
      <c r="BD124" s="116"/>
      <c r="BE124" s="116"/>
      <c r="BF124" s="116"/>
    </row>
    <row r="125" spans="1:58" ht="12.95" customHeight="1" x14ac:dyDescent="0.2">
      <c r="A125" s="117">
        <v>45988</v>
      </c>
      <c r="B125" s="118" t="s">
        <v>168</v>
      </c>
      <c r="C125" s="119">
        <f>(M125*E125*O125*Q125)/100000000</f>
        <v>51.670884821917809</v>
      </c>
      <c r="D125" s="118" t="s">
        <v>196</v>
      </c>
      <c r="E125" s="37">
        <v>15</v>
      </c>
      <c r="F125" s="37">
        <v>1</v>
      </c>
      <c r="G125" s="120">
        <v>1195</v>
      </c>
      <c r="H125" s="203">
        <f>+N125</f>
        <v>0.21085914669783745</v>
      </c>
      <c r="I125" s="45">
        <v>0.88</v>
      </c>
      <c r="J125" s="46">
        <f>E125*G125*(1-H125)*1440/1000000*2.7</f>
        <v>54.997120004675629</v>
      </c>
      <c r="K125" s="46">
        <f>(IF(G125&lt;L125,L125,G125)*(1-IF(H125&lt;N125,H125,N125))*E125*O125*Q125)/100000000</f>
        <v>51.966837289045102</v>
      </c>
      <c r="L125" s="122">
        <v>1188.1944444444443</v>
      </c>
      <c r="M125" s="122">
        <v>937.65277777777783</v>
      </c>
      <c r="N125" s="47">
        <f>1-(M125/L125)</f>
        <v>0.21085914669783745</v>
      </c>
      <c r="O125" s="48">
        <f>+'[6]Trim Rwd'!H71</f>
        <v>255.12328767123287</v>
      </c>
      <c r="P125" s="49">
        <f>O125*(Q125-R125-S125)</f>
        <v>360234.08219178079</v>
      </c>
      <c r="Q125" s="48">
        <v>1440</v>
      </c>
      <c r="R125" s="123">
        <v>0</v>
      </c>
      <c r="S125" s="123">
        <v>28</v>
      </c>
      <c r="T125" s="50">
        <f>E125*M125*O125*Q125/100000000</f>
        <v>51.670884821917809</v>
      </c>
      <c r="U125" s="50">
        <f>E125*M125*O125*(Q125-R125-S125)/100000000</f>
        <v>50.666173172602747</v>
      </c>
      <c r="V125" s="50">
        <f>E125*G125*(1-N125)*O125/100*(R125+S125)/1000000</f>
        <v>1.0104662806203215</v>
      </c>
      <c r="W125" s="50">
        <f>+'[6]27'!K9/1000</f>
        <v>46.335999999999999</v>
      </c>
      <c r="X125" s="51">
        <f>SUM(W125:W128)/SUM(K125:K128)</f>
        <v>0.89164556507978765</v>
      </c>
      <c r="Y125" s="50">
        <f>+SUM([6]RBP!AG115:AG116)</f>
        <v>0</v>
      </c>
      <c r="Z125" s="50">
        <f>+'[6]27'!D25/1000</f>
        <v>0.81</v>
      </c>
      <c r="AA125" s="53">
        <f>SUM(U125:U128)-SUM(W125:W128)-SUM(Z125:Z128)-SUM(Y125:Y128)</f>
        <v>3.5201731726027483</v>
      </c>
      <c r="AB125" s="53">
        <f>(SUM(K125:K128)-SUM(W125:W128)-SUM(Y125:Y128)-SUM(Z125:Z128)-SUM(AC125:AC128)-SUM(V125:V128))-AA125</f>
        <v>-5.7546313052596609E-3</v>
      </c>
      <c r="AC125" s="50">
        <f>K125-T125</f>
        <v>0.29595246712729306</v>
      </c>
      <c r="AD125" s="50">
        <f>+AM125+BA125</f>
        <v>6</v>
      </c>
      <c r="AE125" s="101" t="s">
        <v>165</v>
      </c>
      <c r="AF125" s="50">
        <v>6</v>
      </c>
      <c r="AG125" s="50"/>
      <c r="AH125" s="50"/>
      <c r="AI125" s="50"/>
      <c r="AJ125" s="50"/>
      <c r="AK125" s="50"/>
      <c r="AL125" s="50"/>
      <c r="AM125" s="50">
        <f>SUM(AF125:AL125)+AT125+AV125+AX125</f>
        <v>6</v>
      </c>
      <c r="AN125" s="50"/>
      <c r="AO125" s="50"/>
      <c r="AP125" s="50"/>
      <c r="AQ125" s="50"/>
      <c r="AR125" s="50">
        <f>SUM(AN125:AQ125)</f>
        <v>0</v>
      </c>
      <c r="AS125" s="50"/>
      <c r="AT125" s="50"/>
      <c r="AU125" s="50"/>
      <c r="AV125" s="50"/>
      <c r="AW125" s="50"/>
      <c r="AX125" s="50"/>
      <c r="AY125" s="50"/>
      <c r="AZ125" s="50"/>
      <c r="BA125" s="50">
        <f>+AR125+AS125+AU125+AW125+AY125+AZ125</f>
        <v>0</v>
      </c>
      <c r="BB125" s="124">
        <v>3</v>
      </c>
      <c r="BC125" s="116"/>
      <c r="BD125" s="116"/>
      <c r="BE125" s="124"/>
      <c r="BF125" s="116"/>
    </row>
    <row r="126" spans="1:58" ht="12.95" customHeight="1" x14ac:dyDescent="0.2">
      <c r="A126" s="117"/>
      <c r="B126" s="118"/>
      <c r="C126" s="119"/>
      <c r="D126" s="118"/>
      <c r="E126" s="37"/>
      <c r="F126" s="37"/>
      <c r="G126" s="120"/>
      <c r="H126" s="203"/>
      <c r="I126" s="45"/>
      <c r="J126" s="46"/>
      <c r="K126" s="46"/>
      <c r="L126" s="122"/>
      <c r="M126" s="122"/>
      <c r="N126" s="47"/>
      <c r="O126" s="48"/>
      <c r="P126" s="49"/>
      <c r="Q126" s="48"/>
      <c r="R126" s="123"/>
      <c r="S126" s="123"/>
      <c r="T126" s="50"/>
      <c r="U126" s="50"/>
      <c r="V126" s="50"/>
      <c r="W126" s="50"/>
      <c r="X126" s="55"/>
      <c r="Y126" s="52"/>
      <c r="Z126" s="50"/>
      <c r="AA126" s="50"/>
      <c r="AB126" s="50"/>
      <c r="AC126" s="50"/>
      <c r="AD126" s="50">
        <f t="shared" ref="AD126:AD127" si="116">+AM126+BA126</f>
        <v>2</v>
      </c>
      <c r="AE126" s="101" t="s">
        <v>174</v>
      </c>
      <c r="AF126" s="50"/>
      <c r="AG126" s="50">
        <v>2</v>
      </c>
      <c r="AH126" s="50"/>
      <c r="AI126" s="50"/>
      <c r="AJ126" s="50"/>
      <c r="AK126" s="50"/>
      <c r="AL126" s="50"/>
      <c r="AM126" s="50">
        <f t="shared" ref="AM126:AM127" si="117">SUM(AF126:AL126)+AT126+AV126+AX126</f>
        <v>2</v>
      </c>
      <c r="AN126" s="125"/>
      <c r="AO126" s="50"/>
      <c r="AP126" s="50"/>
      <c r="AQ126" s="50"/>
      <c r="AR126" s="50">
        <f t="shared" ref="AR126:AR127" si="118">SUM(AN126:AQ126)</f>
        <v>0</v>
      </c>
      <c r="AS126" s="50"/>
      <c r="AT126" s="50"/>
      <c r="AU126" s="50"/>
      <c r="AV126" s="50"/>
      <c r="AW126" s="50"/>
      <c r="AX126" s="50"/>
      <c r="AY126" s="50"/>
      <c r="AZ126" s="50"/>
      <c r="BA126" s="50">
        <f t="shared" ref="BA126:BA127" si="119">+AR126+AS126+AU126+AW126+AY126+AZ126</f>
        <v>0</v>
      </c>
      <c r="BB126" s="126"/>
      <c r="BC126" s="116">
        <v>1</v>
      </c>
      <c r="BD126" s="116"/>
      <c r="BE126" s="126"/>
      <c r="BF126" s="116"/>
    </row>
    <row r="127" spans="1:58" ht="12.95" customHeight="1" x14ac:dyDescent="0.2">
      <c r="A127" s="117"/>
      <c r="B127" s="118"/>
      <c r="C127" s="119"/>
      <c r="D127" s="118"/>
      <c r="E127" s="37"/>
      <c r="F127" s="37"/>
      <c r="G127" s="127"/>
      <c r="H127" s="121"/>
      <c r="I127" s="45"/>
      <c r="J127" s="46"/>
      <c r="K127" s="46"/>
      <c r="L127" s="122"/>
      <c r="M127" s="122"/>
      <c r="N127" s="47"/>
      <c r="O127" s="48"/>
      <c r="P127" s="49"/>
      <c r="Q127" s="48"/>
      <c r="R127" s="123"/>
      <c r="S127" s="123"/>
      <c r="T127" s="50"/>
      <c r="U127" s="50"/>
      <c r="V127" s="50"/>
      <c r="W127" s="50"/>
      <c r="X127" s="55"/>
      <c r="Y127" s="52"/>
      <c r="Z127" s="50"/>
      <c r="AA127" s="50"/>
      <c r="AB127" s="50"/>
      <c r="AC127" s="50"/>
      <c r="AD127" s="50">
        <f t="shared" si="116"/>
        <v>20</v>
      </c>
      <c r="AE127" s="101" t="s">
        <v>126</v>
      </c>
      <c r="AF127" s="124"/>
      <c r="AG127" s="124"/>
      <c r="AH127" s="124">
        <v>20</v>
      </c>
      <c r="AI127" s="124"/>
      <c r="AJ127" s="50"/>
      <c r="AK127" s="50"/>
      <c r="AL127" s="50"/>
      <c r="AM127" s="50">
        <f t="shared" si="117"/>
        <v>20</v>
      </c>
      <c r="AN127" s="50"/>
      <c r="AO127" s="50"/>
      <c r="AP127" s="50"/>
      <c r="AQ127" s="50"/>
      <c r="AR127" s="50">
        <f t="shared" si="118"/>
        <v>0</v>
      </c>
      <c r="AS127" s="50"/>
      <c r="AT127" s="50"/>
      <c r="AU127" s="50"/>
      <c r="AV127" s="50"/>
      <c r="AW127" s="50"/>
      <c r="AX127" s="50"/>
      <c r="AY127" s="50"/>
      <c r="AZ127" s="50"/>
      <c r="BA127" s="50">
        <f t="shared" si="119"/>
        <v>0</v>
      </c>
      <c r="BB127" s="124"/>
      <c r="BC127" s="146"/>
      <c r="BD127" s="146"/>
      <c r="BE127" s="124"/>
      <c r="BF127" s="146"/>
    </row>
    <row r="128" spans="1:58" ht="12.95" customHeight="1" x14ac:dyDescent="0.2">
      <c r="A128" s="117"/>
      <c r="B128" s="204"/>
      <c r="C128" s="205"/>
      <c r="D128" s="204"/>
      <c r="E128" s="37"/>
      <c r="F128" s="37"/>
      <c r="G128" s="208"/>
      <c r="H128" s="203"/>
      <c r="I128" s="45"/>
      <c r="J128" s="46"/>
      <c r="K128" s="46"/>
      <c r="L128" s="206"/>
      <c r="M128" s="206"/>
      <c r="N128" s="47"/>
      <c r="O128" s="48"/>
      <c r="P128" s="49"/>
      <c r="Q128" s="48"/>
      <c r="R128" s="207"/>
      <c r="S128" s="207"/>
      <c r="T128" s="50"/>
      <c r="U128" s="50"/>
      <c r="V128" s="50"/>
      <c r="W128" s="50"/>
      <c r="X128" s="51"/>
      <c r="Y128" s="52"/>
      <c r="Z128" s="50"/>
      <c r="AA128" s="50"/>
      <c r="AB128" s="50"/>
      <c r="AC128" s="50"/>
      <c r="AD128" s="50"/>
      <c r="AE128" s="101"/>
      <c r="AF128" s="50"/>
      <c r="AG128" s="50"/>
      <c r="AH128" s="50"/>
      <c r="AI128" s="54"/>
      <c r="AJ128" s="50"/>
      <c r="AK128" s="50"/>
      <c r="AL128" s="50"/>
      <c r="AM128" s="50"/>
      <c r="AN128" s="125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126"/>
      <c r="BC128" s="116"/>
      <c r="BD128" s="116"/>
      <c r="BE128" s="116"/>
      <c r="BF128" s="116"/>
    </row>
    <row r="129" spans="1:97" ht="12.75" customHeight="1" x14ac:dyDescent="0.2">
      <c r="A129" s="117">
        <v>45989</v>
      </c>
      <c r="B129" s="118" t="s">
        <v>168</v>
      </c>
      <c r="C129" s="119">
        <f>(M129*E129*O129*Q129)/100000000</f>
        <v>51.457974749999991</v>
      </c>
      <c r="D129" s="118" t="s">
        <v>196</v>
      </c>
      <c r="E129" s="37">
        <v>15</v>
      </c>
      <c r="F129" s="37">
        <v>1</v>
      </c>
      <c r="G129" s="120">
        <v>1170</v>
      </c>
      <c r="H129" s="203">
        <f>+N129</f>
        <v>0.19111111111111112</v>
      </c>
      <c r="I129" s="45">
        <v>0.88</v>
      </c>
      <c r="J129" s="46">
        <f>E129*G129*(1-H129)*1440/1000000*2.7</f>
        <v>55.194048000000009</v>
      </c>
      <c r="K129" s="46">
        <f>(IF(G129&lt;L129,L129,G129)*(1-IF(H129&lt;N129,H129,N129))*E129*O129*Q129)/100000000</f>
        <v>52.352896049999998</v>
      </c>
      <c r="L129" s="122">
        <v>1150</v>
      </c>
      <c r="M129" s="122">
        <v>930.22222222222217</v>
      </c>
      <c r="N129" s="47">
        <f>1-(M129/L129)</f>
        <v>0.19111111111111112</v>
      </c>
      <c r="O129" s="48">
        <f>+'[6]Trim Rwd'!H74</f>
        <v>256.1015625</v>
      </c>
      <c r="P129" s="49">
        <f>O129*(Q129-R129-S129)</f>
        <v>362639.8125</v>
      </c>
      <c r="Q129" s="48">
        <v>1440</v>
      </c>
      <c r="R129" s="123">
        <v>0</v>
      </c>
      <c r="S129" s="123">
        <v>24</v>
      </c>
      <c r="T129" s="50">
        <f>E129*M129*O129*Q129/100000000</f>
        <v>51.457974749999991</v>
      </c>
      <c r="U129" s="50">
        <f>E129*M129*O129*(Q129-R129-S129)/100000000</f>
        <v>50.60034183749999</v>
      </c>
      <c r="V129" s="50">
        <f>E129*G129*(1-N129)*O129/100*(R129+S129)/1000000</f>
        <v>0.87254826749999992</v>
      </c>
      <c r="W129" s="50">
        <f>+'[6]28'!K10/1000</f>
        <v>52.542999999999999</v>
      </c>
      <c r="X129" s="51">
        <f>SUM(W129:W132)/SUM(K129:K132)</f>
        <v>1.0036312021749176</v>
      </c>
      <c r="Y129" s="50">
        <f>+SUM([6]RBP!AG119:AG120)</f>
        <v>0</v>
      </c>
      <c r="Z129" s="50">
        <f>+'[6]27'!D29/1000</f>
        <v>0</v>
      </c>
      <c r="AA129" s="53">
        <f>SUM(U129:U132)-SUM(W129:W132)-SUM(Z129:Z132)-SUM(Y129:Y132)</f>
        <v>-1.9426581625000097</v>
      </c>
      <c r="AB129" s="53">
        <f>(SUM(K129:K132)-SUM(W129:W132)-SUM(Y129:Y132)-SUM(Z129:Z132)-SUM(AC129:AC132)-SUM(V129:V132))-AA129</f>
        <v>-1.491535499999852E-2</v>
      </c>
      <c r="AC129" s="50">
        <f>K129-T129</f>
        <v>0.89492130000000714</v>
      </c>
      <c r="AD129" s="50">
        <f>+AM129+BA129</f>
        <v>0</v>
      </c>
      <c r="AE129" s="101" t="s">
        <v>110</v>
      </c>
      <c r="AF129" s="50">
        <v>0</v>
      </c>
      <c r="AG129" s="50"/>
      <c r="AH129" s="50"/>
      <c r="AI129" s="50"/>
      <c r="AJ129" s="50"/>
      <c r="AK129" s="50"/>
      <c r="AL129" s="50"/>
      <c r="AM129" s="50">
        <f>SUM(AF129:AL129)+AT129+AV129+AX129</f>
        <v>0</v>
      </c>
      <c r="AN129" s="50"/>
      <c r="AO129" s="50"/>
      <c r="AP129" s="50"/>
      <c r="AQ129" s="50"/>
      <c r="AR129" s="50">
        <f>SUM(AN129:AQ129)</f>
        <v>0</v>
      </c>
      <c r="AS129" s="50"/>
      <c r="AT129" s="50"/>
      <c r="AU129" s="50"/>
      <c r="AV129" s="50"/>
      <c r="AW129" s="50"/>
      <c r="AX129" s="50"/>
      <c r="AY129" s="50"/>
      <c r="AZ129" s="50"/>
      <c r="BA129" s="50">
        <f>+AR129+AS129+AU129+AW129+AY129+AZ129</f>
        <v>0</v>
      </c>
      <c r="BB129" s="124">
        <v>0</v>
      </c>
      <c r="BC129" s="116"/>
      <c r="BD129" s="116"/>
      <c r="BE129" s="124"/>
      <c r="BF129" s="116"/>
    </row>
    <row r="130" spans="1:97" ht="12.95" customHeight="1" x14ac:dyDescent="0.2">
      <c r="A130" s="117"/>
      <c r="B130" s="118"/>
      <c r="C130" s="119"/>
      <c r="D130" s="118"/>
      <c r="E130" s="37"/>
      <c r="F130" s="37"/>
      <c r="G130" s="120"/>
      <c r="H130" s="203"/>
      <c r="I130" s="45"/>
      <c r="J130" s="46"/>
      <c r="K130" s="46"/>
      <c r="L130" s="122"/>
      <c r="M130" s="122"/>
      <c r="N130" s="47"/>
      <c r="O130" s="48"/>
      <c r="P130" s="49"/>
      <c r="Q130" s="48"/>
      <c r="R130" s="123"/>
      <c r="S130" s="123"/>
      <c r="T130" s="50"/>
      <c r="U130" s="50"/>
      <c r="V130" s="50"/>
      <c r="W130" s="50"/>
      <c r="X130" s="55"/>
      <c r="Y130" s="52"/>
      <c r="Z130" s="50"/>
      <c r="AA130" s="50"/>
      <c r="AB130" s="50"/>
      <c r="AC130" s="50"/>
      <c r="AD130" s="50">
        <f t="shared" ref="AD130:AD131" si="120">+AM130+BA130</f>
        <v>2</v>
      </c>
      <c r="AE130" s="101" t="s">
        <v>174</v>
      </c>
      <c r="AF130" s="50"/>
      <c r="AG130" s="50">
        <v>2</v>
      </c>
      <c r="AH130" s="50"/>
      <c r="AI130" s="50"/>
      <c r="AJ130" s="50"/>
      <c r="AK130" s="50"/>
      <c r="AL130" s="50"/>
      <c r="AM130" s="50">
        <f t="shared" ref="AM130:AM131" si="121">SUM(AF130:AL130)+AT130+AV130+AX130</f>
        <v>2</v>
      </c>
      <c r="AN130" s="125"/>
      <c r="AO130" s="50"/>
      <c r="AP130" s="50"/>
      <c r="AQ130" s="50"/>
      <c r="AR130" s="50">
        <f t="shared" ref="AR130:AR131" si="122">SUM(AN130:AQ130)</f>
        <v>0</v>
      </c>
      <c r="AS130" s="50"/>
      <c r="AT130" s="50"/>
      <c r="AU130" s="50"/>
      <c r="AV130" s="50"/>
      <c r="AW130" s="50"/>
      <c r="AX130" s="50"/>
      <c r="AY130" s="50"/>
      <c r="AZ130" s="50"/>
      <c r="BA130" s="50">
        <f t="shared" ref="BA130:BA131" si="123">+AR130+AS130+AU130+AW130+AY130+AZ130</f>
        <v>0</v>
      </c>
      <c r="BB130" s="126"/>
      <c r="BC130" s="116">
        <v>1</v>
      </c>
      <c r="BD130" s="116"/>
      <c r="BE130" s="126"/>
      <c r="BF130" s="116"/>
    </row>
    <row r="131" spans="1:97" ht="12.95" customHeight="1" x14ac:dyDescent="0.2">
      <c r="A131" s="117"/>
      <c r="B131" s="118"/>
      <c r="C131" s="119"/>
      <c r="D131" s="118"/>
      <c r="E131" s="37"/>
      <c r="F131" s="37"/>
      <c r="G131" s="127"/>
      <c r="H131" s="121"/>
      <c r="I131" s="45"/>
      <c r="J131" s="46"/>
      <c r="K131" s="46"/>
      <c r="L131" s="122"/>
      <c r="M131" s="122"/>
      <c r="N131" s="47"/>
      <c r="O131" s="48"/>
      <c r="P131" s="49"/>
      <c r="Q131" s="48"/>
      <c r="R131" s="123"/>
      <c r="S131" s="123"/>
      <c r="T131" s="50"/>
      <c r="U131" s="50"/>
      <c r="V131" s="50"/>
      <c r="W131" s="50"/>
      <c r="X131" s="55"/>
      <c r="Y131" s="52"/>
      <c r="Z131" s="50"/>
      <c r="AA131" s="50"/>
      <c r="AB131" s="50"/>
      <c r="AC131" s="50"/>
      <c r="AD131" s="50">
        <f t="shared" si="120"/>
        <v>22</v>
      </c>
      <c r="AE131" s="101" t="s">
        <v>187</v>
      </c>
      <c r="AF131" s="124"/>
      <c r="AG131" s="124"/>
      <c r="AH131" s="124">
        <v>22</v>
      </c>
      <c r="AI131" s="124"/>
      <c r="AJ131" s="50"/>
      <c r="AK131" s="50"/>
      <c r="AL131" s="50"/>
      <c r="AM131" s="50">
        <f t="shared" si="121"/>
        <v>22</v>
      </c>
      <c r="AN131" s="50"/>
      <c r="AO131" s="50"/>
      <c r="AP131" s="50"/>
      <c r="AQ131" s="50"/>
      <c r="AR131" s="50">
        <f t="shared" si="122"/>
        <v>0</v>
      </c>
      <c r="AS131" s="50"/>
      <c r="AT131" s="50"/>
      <c r="AU131" s="50"/>
      <c r="AV131" s="50"/>
      <c r="AW131" s="50"/>
      <c r="AX131" s="50"/>
      <c r="AY131" s="50"/>
      <c r="AZ131" s="50"/>
      <c r="BA131" s="50">
        <f t="shared" si="123"/>
        <v>0</v>
      </c>
      <c r="BB131" s="124"/>
      <c r="BC131" s="146"/>
      <c r="BD131" s="146"/>
      <c r="BE131" s="124"/>
      <c r="BF131" s="146"/>
    </row>
    <row r="132" spans="1:97" ht="12.95" customHeight="1" x14ac:dyDescent="0.2">
      <c r="A132" s="117"/>
      <c r="B132" s="118"/>
      <c r="C132" s="119"/>
      <c r="D132" s="118"/>
      <c r="E132" s="37"/>
      <c r="F132" s="37"/>
      <c r="G132" s="127"/>
      <c r="H132" s="203"/>
      <c r="I132" s="45"/>
      <c r="J132" s="46"/>
      <c r="K132" s="46"/>
      <c r="L132" s="122"/>
      <c r="M132" s="122"/>
      <c r="N132" s="47"/>
      <c r="O132" s="48"/>
      <c r="P132" s="49"/>
      <c r="Q132" s="48"/>
      <c r="R132" s="123"/>
      <c r="S132" s="123"/>
      <c r="T132" s="50"/>
      <c r="U132" s="50"/>
      <c r="V132" s="50"/>
      <c r="W132" s="50"/>
      <c r="X132" s="55"/>
      <c r="Y132" s="52"/>
      <c r="Z132" s="50"/>
      <c r="AA132" s="50"/>
      <c r="AB132" s="50"/>
      <c r="AC132" s="50"/>
      <c r="AD132" s="50"/>
      <c r="AE132" s="101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124"/>
      <c r="BC132" s="116"/>
      <c r="BD132" s="116"/>
      <c r="BE132" s="116"/>
      <c r="BF132" s="116"/>
    </row>
    <row r="133" spans="1:97" ht="12.75" customHeight="1" x14ac:dyDescent="0.2">
      <c r="A133" s="117">
        <v>45990</v>
      </c>
      <c r="B133" s="118" t="s">
        <v>168</v>
      </c>
      <c r="C133" s="119">
        <f>(M133*E133*O133*Q133)/100000000</f>
        <v>51.554879999999997</v>
      </c>
      <c r="D133" s="118" t="s">
        <v>196</v>
      </c>
      <c r="E133" s="37">
        <v>15</v>
      </c>
      <c r="F133" s="37">
        <v>1</v>
      </c>
      <c r="G133" s="120">
        <v>1210</v>
      </c>
      <c r="H133" s="203">
        <f>+N133</f>
        <v>0.21999999999999997</v>
      </c>
      <c r="I133" s="45">
        <v>0.88</v>
      </c>
      <c r="J133" s="46">
        <f>E133*G133*(1-H133)*1440/1000000*2.7</f>
        <v>55.042416000000003</v>
      </c>
      <c r="K133" s="46">
        <f>(IF(G133&lt;L133,L133,G133)*(1-IF(H133&lt;N133,H133,N133))*E133*O133*Q133)/100000000</f>
        <v>51.984504000000008</v>
      </c>
      <c r="L133" s="122">
        <v>1200</v>
      </c>
      <c r="M133" s="122">
        <v>936</v>
      </c>
      <c r="N133" s="47">
        <f>1-(M133/L133)</f>
        <v>0.21999999999999997</v>
      </c>
      <c r="O133" s="48">
        <f>+'[6]Trim Rwd'!H77</f>
        <v>255</v>
      </c>
      <c r="P133" s="49">
        <f>O133*(Q133-R133-S133)</f>
        <v>361845</v>
      </c>
      <c r="Q133" s="48">
        <v>1440</v>
      </c>
      <c r="R133" s="123">
        <v>0</v>
      </c>
      <c r="S133" s="123">
        <v>21</v>
      </c>
      <c r="T133" s="50">
        <f>E133*M133*O133*Q133/100000000</f>
        <v>51.554879999999997</v>
      </c>
      <c r="U133" s="50">
        <f>E133*M133*O133*(Q133-R133-S133)/100000000</f>
        <v>50.803038000000001</v>
      </c>
      <c r="V133" s="50">
        <f>E133*G133*(1-N133)*O133/100*(R133+S133)/1000000</f>
        <v>0.75810734999999996</v>
      </c>
      <c r="W133" s="50">
        <f>+'[6]29'!K9/1000</f>
        <v>50.908999999999999</v>
      </c>
      <c r="X133" s="51">
        <f>SUM(W133:W136)/SUM(K133:K136)</f>
        <v>0.97931106546673963</v>
      </c>
      <c r="Y133" s="50">
        <f>+SUM([6]RBP!AG123:AG124)</f>
        <v>0</v>
      </c>
      <c r="Z133" s="50">
        <f>+'[6]27'!D33/1000</f>
        <v>6.0897676866401025E-5</v>
      </c>
      <c r="AA133" s="53">
        <f>SUM(U133:U136)-SUM(W133:W136)-SUM(Z133:Z136)-SUM(Y133:Y136)</f>
        <v>-0.10602289767686451</v>
      </c>
      <c r="AB133" s="53">
        <f>(SUM(K133:K136)-SUM(W133:W136)-SUM(Y133:Y136)-SUM(Z133:Z136)-SUM(AC133:AC136)-SUM(V133:V136))-AA133</f>
        <v>-6.2653500000035556E-3</v>
      </c>
      <c r="AC133" s="50">
        <f>K133-T133</f>
        <v>0.42962400000001111</v>
      </c>
      <c r="AD133" s="50">
        <f>+AM133+BA133</f>
        <v>0</v>
      </c>
      <c r="AE133" s="101" t="s">
        <v>110</v>
      </c>
      <c r="AF133" s="50">
        <v>0</v>
      </c>
      <c r="AG133" s="50"/>
      <c r="AH133" s="50"/>
      <c r="AI133" s="50"/>
      <c r="AJ133" s="50"/>
      <c r="AK133" s="50"/>
      <c r="AL133" s="50"/>
      <c r="AM133" s="50">
        <f>SUM(AF133:AL133)+AT133+AV133+AX133</f>
        <v>0</v>
      </c>
      <c r="AN133" s="50"/>
      <c r="AO133" s="50"/>
      <c r="AP133" s="50"/>
      <c r="AQ133" s="50"/>
      <c r="AR133" s="50">
        <f>SUM(AN133:AQ133)</f>
        <v>0</v>
      </c>
      <c r="AS133" s="50"/>
      <c r="AT133" s="50"/>
      <c r="AU133" s="50"/>
      <c r="AV133" s="50"/>
      <c r="AW133" s="50"/>
      <c r="AX133" s="50"/>
      <c r="AY133" s="50"/>
      <c r="AZ133" s="50"/>
      <c r="BA133" s="50">
        <f>+AR133+AS133+AU133+AW133+AY133+AZ133</f>
        <v>0</v>
      </c>
      <c r="BB133" s="124">
        <v>0</v>
      </c>
      <c r="BC133" s="116"/>
      <c r="BD133" s="116"/>
      <c r="BE133" s="124"/>
      <c r="BF133" s="116">
        <v>1</v>
      </c>
    </row>
    <row r="134" spans="1:97" ht="12.95" customHeight="1" x14ac:dyDescent="0.2">
      <c r="A134" s="117"/>
      <c r="B134" s="118"/>
      <c r="C134" s="119"/>
      <c r="D134" s="118"/>
      <c r="E134" s="37"/>
      <c r="F134" s="37"/>
      <c r="G134" s="120"/>
      <c r="H134" s="203"/>
      <c r="I134" s="45"/>
      <c r="J134" s="46"/>
      <c r="K134" s="46"/>
      <c r="L134" s="122"/>
      <c r="M134" s="122"/>
      <c r="N134" s="47"/>
      <c r="O134" s="48"/>
      <c r="P134" s="49"/>
      <c r="Q134" s="48"/>
      <c r="R134" s="123"/>
      <c r="S134" s="123"/>
      <c r="T134" s="50"/>
      <c r="U134" s="50"/>
      <c r="V134" s="50"/>
      <c r="W134" s="50"/>
      <c r="X134" s="55"/>
      <c r="Y134" s="52"/>
      <c r="Z134" s="50"/>
      <c r="AA134" s="50"/>
      <c r="AB134" s="50"/>
      <c r="AC134" s="50"/>
      <c r="AD134" s="50">
        <f t="shared" ref="AD134:AD135" si="124">+AM134+BA134</f>
        <v>2</v>
      </c>
      <c r="AE134" s="101" t="s">
        <v>174</v>
      </c>
      <c r="AF134" s="50"/>
      <c r="AG134" s="50">
        <v>2</v>
      </c>
      <c r="AH134" s="50"/>
      <c r="AI134" s="50"/>
      <c r="AJ134" s="50"/>
      <c r="AK134" s="50"/>
      <c r="AL134" s="50"/>
      <c r="AM134" s="50">
        <f t="shared" ref="AM134:AM135" si="125">SUM(AF134:AL134)+AT134+AV134+AX134</f>
        <v>2</v>
      </c>
      <c r="AN134" s="125"/>
      <c r="AO134" s="50"/>
      <c r="AP134" s="50"/>
      <c r="AQ134" s="50"/>
      <c r="AR134" s="50">
        <f t="shared" ref="AR134:AR135" si="126">SUM(AN134:AQ134)</f>
        <v>0</v>
      </c>
      <c r="AS134" s="50"/>
      <c r="AT134" s="50"/>
      <c r="AU134" s="50"/>
      <c r="AV134" s="50"/>
      <c r="AW134" s="50"/>
      <c r="AX134" s="50"/>
      <c r="AY134" s="50"/>
      <c r="AZ134" s="50"/>
      <c r="BA134" s="50">
        <f t="shared" ref="BA134:BA135" si="127">+AR134+AS134+AU134+AW134+AY134+AZ134</f>
        <v>0</v>
      </c>
      <c r="BB134" s="126"/>
      <c r="BC134" s="116">
        <v>1</v>
      </c>
      <c r="BD134" s="116"/>
      <c r="BE134" s="126"/>
      <c r="BF134" s="116"/>
    </row>
    <row r="135" spans="1:97" ht="12.95" customHeight="1" x14ac:dyDescent="0.2">
      <c r="A135" s="117"/>
      <c r="B135" s="118"/>
      <c r="C135" s="119"/>
      <c r="D135" s="118"/>
      <c r="E135" s="37"/>
      <c r="F135" s="37"/>
      <c r="G135" s="127"/>
      <c r="H135" s="121"/>
      <c r="I135" s="45"/>
      <c r="J135" s="46"/>
      <c r="K135" s="46"/>
      <c r="L135" s="122"/>
      <c r="M135" s="122"/>
      <c r="N135" s="47"/>
      <c r="O135" s="48"/>
      <c r="P135" s="49"/>
      <c r="Q135" s="48"/>
      <c r="R135" s="123"/>
      <c r="S135" s="123"/>
      <c r="T135" s="50"/>
      <c r="U135" s="50"/>
      <c r="V135" s="50"/>
      <c r="W135" s="50"/>
      <c r="X135" s="55"/>
      <c r="Y135" s="52"/>
      <c r="Z135" s="50"/>
      <c r="AA135" s="50"/>
      <c r="AB135" s="50"/>
      <c r="AC135" s="50"/>
      <c r="AD135" s="50">
        <f t="shared" si="124"/>
        <v>19</v>
      </c>
      <c r="AE135" s="101" t="s">
        <v>128</v>
      </c>
      <c r="AF135" s="124"/>
      <c r="AG135" s="124"/>
      <c r="AH135" s="124">
        <v>19</v>
      </c>
      <c r="AI135" s="124"/>
      <c r="AJ135" s="50"/>
      <c r="AK135" s="50"/>
      <c r="AL135" s="50"/>
      <c r="AM135" s="50">
        <f t="shared" si="125"/>
        <v>19</v>
      </c>
      <c r="AN135" s="50"/>
      <c r="AO135" s="50"/>
      <c r="AP135" s="50"/>
      <c r="AQ135" s="50"/>
      <c r="AR135" s="50">
        <f t="shared" si="126"/>
        <v>0</v>
      </c>
      <c r="AS135" s="50"/>
      <c r="AT135" s="50"/>
      <c r="AU135" s="50"/>
      <c r="AV135" s="50"/>
      <c r="AW135" s="50"/>
      <c r="AX135" s="50"/>
      <c r="AY135" s="50"/>
      <c r="AZ135" s="50"/>
      <c r="BA135" s="50">
        <f t="shared" si="127"/>
        <v>0</v>
      </c>
      <c r="BB135" s="124"/>
      <c r="BC135" s="146"/>
      <c r="BD135" s="146"/>
      <c r="BE135" s="124"/>
      <c r="BF135" s="146"/>
    </row>
    <row r="136" spans="1:97" ht="12.95" customHeight="1" x14ac:dyDescent="0.2">
      <c r="A136" s="117"/>
      <c r="B136" s="204"/>
      <c r="C136" s="205"/>
      <c r="D136" s="204"/>
      <c r="E136" s="37"/>
      <c r="F136" s="37"/>
      <c r="G136" s="208"/>
      <c r="H136" s="203"/>
      <c r="I136" s="45"/>
      <c r="J136" s="46"/>
      <c r="K136" s="46"/>
      <c r="L136" s="206"/>
      <c r="M136" s="206"/>
      <c r="N136" s="47"/>
      <c r="O136" s="48"/>
      <c r="P136" s="49"/>
      <c r="Q136" s="48"/>
      <c r="R136" s="207"/>
      <c r="S136" s="207"/>
      <c r="T136" s="50"/>
      <c r="U136" s="50"/>
      <c r="V136" s="50"/>
      <c r="W136" s="50"/>
      <c r="X136" s="51"/>
      <c r="Y136" s="52"/>
      <c r="Z136" s="50"/>
      <c r="AA136" s="50"/>
      <c r="AB136" s="50"/>
      <c r="AC136" s="50"/>
      <c r="AD136" s="50"/>
      <c r="AE136" s="101"/>
      <c r="AF136" s="124"/>
      <c r="AG136" s="124"/>
      <c r="AH136" s="124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124"/>
      <c r="BC136" s="146"/>
      <c r="BD136" s="116"/>
      <c r="BE136" s="116"/>
      <c r="BF136" s="116"/>
    </row>
    <row r="137" spans="1:97" ht="12.75" customHeight="1" x14ac:dyDescent="0.2">
      <c r="A137" s="117">
        <v>45991</v>
      </c>
      <c r="B137" s="118" t="s">
        <v>168</v>
      </c>
      <c r="C137" s="119">
        <f>(M137*E137*O137*Q137)/100000000</f>
        <v>51.841296</v>
      </c>
      <c r="D137" s="118" t="s">
        <v>196</v>
      </c>
      <c r="E137" s="37">
        <v>15</v>
      </c>
      <c r="F137" s="37">
        <v>1</v>
      </c>
      <c r="G137" s="120">
        <v>1210</v>
      </c>
      <c r="H137" s="203">
        <f>+N137</f>
        <v>0.21999999999999997</v>
      </c>
      <c r="I137" s="45">
        <v>0.88</v>
      </c>
      <c r="J137" s="46">
        <f>E137*G137*(1-H137)*1440/1000000*2.7</f>
        <v>55.042416000000003</v>
      </c>
      <c r="K137" s="46">
        <f>(IF(G137&lt;L137,L137,G137)*(1-IF(H137&lt;N137,H137,N137))*E137*O137*Q137)/100000000</f>
        <v>51.984504000000008</v>
      </c>
      <c r="L137" s="122">
        <v>1206.6666666666667</v>
      </c>
      <c r="M137" s="122">
        <v>941.2</v>
      </c>
      <c r="N137" s="47">
        <f>1-(M137/L137)</f>
        <v>0.21999999999999997</v>
      </c>
      <c r="O137" s="48">
        <f>+'[6]Trim Rwd'!H79</f>
        <v>255</v>
      </c>
      <c r="P137" s="49">
        <f>O137*(Q137-R137-S137)</f>
        <v>362865</v>
      </c>
      <c r="Q137" s="48">
        <v>1440</v>
      </c>
      <c r="R137" s="123">
        <v>0</v>
      </c>
      <c r="S137" s="123">
        <v>17</v>
      </c>
      <c r="T137" s="50">
        <f>E137*M137*O137*Q137/100000000</f>
        <v>51.841296</v>
      </c>
      <c r="U137" s="50">
        <f>E137*M137*O137*(Q137-R137-S137)/100000000</f>
        <v>51.229280699999997</v>
      </c>
      <c r="V137" s="50">
        <f>E137*G137*(1-N137)*O137/100*(R137+S137)/1000000</f>
        <v>0.61370594999999994</v>
      </c>
      <c r="W137" s="50">
        <f>+'[6]30'!K9/1000</f>
        <v>52.738999999999997</v>
      </c>
      <c r="X137" s="51">
        <f>SUM(W137:W140)/SUM(K137:K140)</f>
        <v>1.014513863592889</v>
      </c>
      <c r="Y137" s="50">
        <f>+SUM([6]RBP!AG3:AG4)</f>
        <v>2.1779999999999999</v>
      </c>
      <c r="Z137" s="50">
        <v>0</v>
      </c>
      <c r="AA137" s="53">
        <f>SUM(U137:U140)-SUM(W137:W140)-SUM(Z137:Z140)-SUM(Y137:Y140)</f>
        <v>-3.6877193000000004</v>
      </c>
      <c r="AB137" s="53">
        <f>(SUM(K137:K140)-SUM(W137:W140)-SUM(Y137:Y140)-SUM(Z137:Z140)-SUM(AC137:AC140)-SUM(V137:V140))-AA137</f>
        <v>-1.6906499999969071E-3</v>
      </c>
      <c r="AC137" s="50">
        <f>K137-T137</f>
        <v>0.14320800000000844</v>
      </c>
      <c r="AD137" s="50">
        <f>+AM137+BA137</f>
        <v>0</v>
      </c>
      <c r="AE137" s="101" t="s">
        <v>110</v>
      </c>
      <c r="AF137" s="50">
        <v>0</v>
      </c>
      <c r="AG137" s="50"/>
      <c r="AH137" s="50"/>
      <c r="AI137" s="50"/>
      <c r="AJ137" s="50"/>
      <c r="AK137" s="50"/>
      <c r="AL137" s="50"/>
      <c r="AM137" s="50">
        <f>SUM(AF137:AL137)+AT137+AV137+AX137</f>
        <v>0</v>
      </c>
      <c r="AN137" s="50"/>
      <c r="AO137" s="50"/>
      <c r="AP137" s="50"/>
      <c r="AQ137" s="50"/>
      <c r="AR137" s="50">
        <f>SUM(AN137:AQ137)</f>
        <v>0</v>
      </c>
      <c r="AS137" s="50"/>
      <c r="AT137" s="50"/>
      <c r="AU137" s="50"/>
      <c r="AV137" s="50"/>
      <c r="AW137" s="50"/>
      <c r="AX137" s="50"/>
      <c r="AY137" s="50"/>
      <c r="AZ137" s="50"/>
      <c r="BA137" s="50">
        <f>+AR137+AS137+AU137+AW137+AY137+AZ137</f>
        <v>0</v>
      </c>
      <c r="BB137" s="124">
        <v>0</v>
      </c>
      <c r="BC137" s="116"/>
      <c r="BD137" s="116"/>
      <c r="BE137" s="124"/>
      <c r="BF137" s="116"/>
    </row>
    <row r="138" spans="1:97" ht="12.95" customHeight="1" x14ac:dyDescent="0.2">
      <c r="A138" s="117"/>
      <c r="B138" s="118"/>
      <c r="C138" s="119"/>
      <c r="D138" s="118"/>
      <c r="E138" s="37"/>
      <c r="F138" s="37"/>
      <c r="G138" s="120"/>
      <c r="H138" s="203"/>
      <c r="I138" s="45"/>
      <c r="J138" s="46"/>
      <c r="K138" s="46"/>
      <c r="L138" s="122"/>
      <c r="M138" s="122"/>
      <c r="N138" s="47"/>
      <c r="O138" s="48"/>
      <c r="P138" s="49"/>
      <c r="Q138" s="48"/>
      <c r="R138" s="123"/>
      <c r="S138" s="123"/>
      <c r="T138" s="50"/>
      <c r="U138" s="50"/>
      <c r="V138" s="50"/>
      <c r="W138" s="50"/>
      <c r="X138" s="55"/>
      <c r="Y138" s="52"/>
      <c r="Z138" s="50"/>
      <c r="AA138" s="50"/>
      <c r="AB138" s="50"/>
      <c r="AC138" s="50"/>
      <c r="AD138" s="50">
        <f t="shared" ref="AD138:AD139" si="128">+AM138+BA138</f>
        <v>0</v>
      </c>
      <c r="AE138" s="101" t="s">
        <v>111</v>
      </c>
      <c r="AF138" s="50"/>
      <c r="AG138" s="50">
        <v>0</v>
      </c>
      <c r="AH138" s="50"/>
      <c r="AI138" s="50"/>
      <c r="AJ138" s="50"/>
      <c r="AK138" s="50"/>
      <c r="AL138" s="50"/>
      <c r="AM138" s="50">
        <f t="shared" ref="AM138:AM139" si="129">SUM(AF138:AL138)+AT138+AV138+AX138</f>
        <v>0</v>
      </c>
      <c r="AN138" s="125"/>
      <c r="AO138" s="50"/>
      <c r="AP138" s="50"/>
      <c r="AQ138" s="50"/>
      <c r="AR138" s="50">
        <f t="shared" ref="AR138:AR139" si="130">SUM(AN138:AQ138)</f>
        <v>0</v>
      </c>
      <c r="AS138" s="50"/>
      <c r="AT138" s="50"/>
      <c r="AU138" s="50"/>
      <c r="AV138" s="50"/>
      <c r="AW138" s="50"/>
      <c r="AX138" s="50"/>
      <c r="AY138" s="50"/>
      <c r="AZ138" s="50"/>
      <c r="BA138" s="50">
        <f t="shared" ref="BA138:BA139" si="131">+AR138+AS138+AU138+AW138+AY138+AZ138</f>
        <v>0</v>
      </c>
      <c r="BB138" s="126"/>
      <c r="BC138" s="116">
        <v>0</v>
      </c>
      <c r="BD138" s="116"/>
      <c r="BE138" s="126"/>
      <c r="BF138" s="116"/>
    </row>
    <row r="139" spans="1:97" ht="12.95" customHeight="1" x14ac:dyDescent="0.2">
      <c r="A139" s="117"/>
      <c r="B139" s="118"/>
      <c r="C139" s="119"/>
      <c r="D139" s="118"/>
      <c r="E139" s="37"/>
      <c r="F139" s="37"/>
      <c r="G139" s="127"/>
      <c r="H139" s="121"/>
      <c r="I139" s="45"/>
      <c r="J139" s="46"/>
      <c r="K139" s="46"/>
      <c r="L139" s="122"/>
      <c r="M139" s="122"/>
      <c r="N139" s="47"/>
      <c r="O139" s="48"/>
      <c r="P139" s="49"/>
      <c r="Q139" s="48"/>
      <c r="R139" s="123"/>
      <c r="S139" s="123"/>
      <c r="T139" s="50"/>
      <c r="U139" s="50"/>
      <c r="V139" s="50"/>
      <c r="W139" s="50"/>
      <c r="X139" s="55"/>
      <c r="Y139" s="52"/>
      <c r="Z139" s="50"/>
      <c r="AA139" s="50"/>
      <c r="AB139" s="50"/>
      <c r="AC139" s="50"/>
      <c r="AD139" s="50">
        <f t="shared" si="128"/>
        <v>17</v>
      </c>
      <c r="AE139" s="101" t="s">
        <v>114</v>
      </c>
      <c r="AF139" s="124"/>
      <c r="AG139" s="124"/>
      <c r="AH139" s="124">
        <v>17</v>
      </c>
      <c r="AI139" s="124"/>
      <c r="AJ139" s="50"/>
      <c r="AK139" s="50"/>
      <c r="AL139" s="50"/>
      <c r="AM139" s="50">
        <f t="shared" si="129"/>
        <v>17</v>
      </c>
      <c r="AN139" s="50"/>
      <c r="AO139" s="50"/>
      <c r="AP139" s="50"/>
      <c r="AQ139" s="50"/>
      <c r="AR139" s="50">
        <f t="shared" si="130"/>
        <v>0</v>
      </c>
      <c r="AS139" s="50"/>
      <c r="AT139" s="50"/>
      <c r="AU139" s="50"/>
      <c r="AV139" s="50"/>
      <c r="AW139" s="50"/>
      <c r="AX139" s="50"/>
      <c r="AY139" s="50"/>
      <c r="AZ139" s="50"/>
      <c r="BA139" s="50">
        <f t="shared" si="131"/>
        <v>0</v>
      </c>
      <c r="BB139" s="124"/>
      <c r="BC139" s="146"/>
      <c r="BD139" s="146"/>
      <c r="BE139" s="124"/>
      <c r="BF139" s="146"/>
    </row>
    <row r="140" spans="1:97" ht="12.95" customHeight="1" x14ac:dyDescent="0.25">
      <c r="A140" s="117"/>
      <c r="B140" s="102"/>
      <c r="C140" s="119"/>
      <c r="D140" s="118"/>
      <c r="E140" s="210"/>
      <c r="F140" s="37"/>
      <c r="G140" s="127"/>
      <c r="H140" s="203"/>
      <c r="I140" s="45"/>
      <c r="J140" s="46"/>
      <c r="K140" s="46"/>
      <c r="L140" s="122"/>
      <c r="M140" s="122"/>
      <c r="N140" s="47"/>
      <c r="O140" s="48"/>
      <c r="P140" s="49"/>
      <c r="Q140" s="57"/>
      <c r="R140" s="126"/>
      <c r="S140" s="126"/>
      <c r="T140" s="50"/>
      <c r="U140" s="50"/>
      <c r="V140" s="50"/>
      <c r="W140" s="124"/>
      <c r="X140" s="55"/>
      <c r="Y140" s="55"/>
      <c r="Z140" s="124"/>
      <c r="AA140" s="53"/>
      <c r="AB140" s="53"/>
      <c r="AC140" s="50"/>
      <c r="AD140" s="50"/>
      <c r="AE140" s="101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124"/>
      <c r="BC140" s="116"/>
      <c r="BD140" s="146"/>
      <c r="BE140" s="124"/>
      <c r="BF140" s="146"/>
    </row>
    <row r="141" spans="1:97" ht="12.95" customHeight="1" x14ac:dyDescent="0.2">
      <c r="R141" s="131"/>
      <c r="S141" s="131"/>
      <c r="AA141" s="59">
        <f>U141-W141-Z141</f>
        <v>0</v>
      </c>
      <c r="AB141" s="59"/>
      <c r="AC141" s="60">
        <f>K141-T141</f>
        <v>0</v>
      </c>
      <c r="AD141" s="50"/>
      <c r="AF141" s="61"/>
      <c r="AG141" s="61"/>
      <c r="AH141" s="61"/>
      <c r="AI141" s="61"/>
      <c r="AJ141" s="61"/>
      <c r="AK141" s="61"/>
      <c r="AL141" s="61"/>
      <c r="AM141" s="50">
        <f t="shared" ref="AM141" si="132">SUM(AF141:AL141)</f>
        <v>0</v>
      </c>
      <c r="AN141" s="61"/>
      <c r="AO141" s="61"/>
      <c r="AP141" s="61"/>
      <c r="AQ141" s="61"/>
      <c r="AR141" s="50">
        <f t="shared" ref="AR141" si="133">SUM(AN141:AQ141)</f>
        <v>0</v>
      </c>
      <c r="AS141" s="61"/>
      <c r="AT141" s="61"/>
      <c r="AU141" s="61"/>
      <c r="AV141" s="61"/>
      <c r="AW141" s="61"/>
      <c r="AX141" s="61"/>
      <c r="AY141" s="61"/>
      <c r="AZ141" s="61"/>
      <c r="BA141" s="50"/>
      <c r="BB141" s="149"/>
      <c r="BC141" s="149"/>
      <c r="BD141" s="116"/>
      <c r="BE141" s="116"/>
      <c r="BF141" s="116"/>
    </row>
    <row r="142" spans="1:97" ht="12.95" customHeight="1" x14ac:dyDescent="0.2">
      <c r="A142" s="132"/>
      <c r="B142" s="133"/>
      <c r="C142" s="62">
        <f>SUM(C6:C140)</f>
        <v>1540.8105326524644</v>
      </c>
      <c r="D142" s="133"/>
      <c r="E142" s="38"/>
      <c r="F142" s="38"/>
      <c r="G142" s="63"/>
      <c r="H142" s="63"/>
      <c r="I142" s="64">
        <v>0.85</v>
      </c>
      <c r="J142" s="46"/>
      <c r="K142" s="65">
        <f>SUM(K6:K140)</f>
        <v>1572.0065688096979</v>
      </c>
      <c r="L142" s="150"/>
      <c r="M142" s="150"/>
      <c r="N142" s="149"/>
      <c r="O142" s="66">
        <f>P142/(Q142-R142-S142)</f>
        <v>256.71231194465855</v>
      </c>
      <c r="P142" s="67">
        <f>SUM(P6:P140)</f>
        <v>10261817.957675781</v>
      </c>
      <c r="Q142" s="68">
        <f>SUM(Q6:Q141)</f>
        <v>43200</v>
      </c>
      <c r="R142" s="67">
        <f t="shared" ref="R142:W142" si="134">SUM(R6:R140)</f>
        <v>2550</v>
      </c>
      <c r="S142" s="67">
        <f t="shared" si="134"/>
        <v>676</v>
      </c>
      <c r="T142" s="67">
        <f t="shared" si="134"/>
        <v>1540.8105326524644</v>
      </c>
      <c r="U142" s="67">
        <f t="shared" si="134"/>
        <v>1426.3271188727188</v>
      </c>
      <c r="V142" s="69">
        <f t="shared" si="134"/>
        <v>117.5760691602904</v>
      </c>
      <c r="W142" s="70">
        <f t="shared" si="134"/>
        <v>1387.3030000000003</v>
      </c>
      <c r="X142" s="71">
        <f>W142/K142</f>
        <v>0.88250458205810645</v>
      </c>
      <c r="Y142" s="72">
        <f>SUM(Y6:Y140)</f>
        <v>2.1779999999999999</v>
      </c>
      <c r="Z142" s="70">
        <f>SUM(Z6:Z140)</f>
        <v>10.569208119899089</v>
      </c>
      <c r="AA142" s="67">
        <f>SUM(AA6:AA140)</f>
        <v>26.276910752819514</v>
      </c>
      <c r="AB142" s="67">
        <f>SUM(AB6:AB140)</f>
        <v>-3.0926553805445209</v>
      </c>
      <c r="AC142" s="67">
        <f>SUM(AC6:AC140)</f>
        <v>31.196036157233571</v>
      </c>
      <c r="AD142" s="50">
        <f>SUM(AD6:AD141)</f>
        <v>3226</v>
      </c>
      <c r="AE142" s="134"/>
      <c r="AF142" s="67">
        <f t="shared" ref="AF142:BF142" si="135">SUM(AF6:AF141)</f>
        <v>52</v>
      </c>
      <c r="AG142" s="67">
        <f t="shared" si="135"/>
        <v>59</v>
      </c>
      <c r="AH142" s="67">
        <f t="shared" si="135"/>
        <v>498</v>
      </c>
      <c r="AI142" s="67">
        <f t="shared" si="135"/>
        <v>0</v>
      </c>
      <c r="AJ142" s="67">
        <f t="shared" si="135"/>
        <v>7</v>
      </c>
      <c r="AK142" s="67">
        <f t="shared" si="135"/>
        <v>0</v>
      </c>
      <c r="AL142" s="67">
        <f t="shared" si="135"/>
        <v>0</v>
      </c>
      <c r="AM142" s="67">
        <f t="shared" si="135"/>
        <v>676</v>
      </c>
      <c r="AN142" s="61">
        <f t="shared" si="135"/>
        <v>1493</v>
      </c>
      <c r="AO142" s="61">
        <f t="shared" si="135"/>
        <v>420</v>
      </c>
      <c r="AP142" s="61">
        <f t="shared" si="135"/>
        <v>637</v>
      </c>
      <c r="AQ142" s="61">
        <f t="shared" si="135"/>
        <v>0</v>
      </c>
      <c r="AR142" s="67">
        <f t="shared" si="135"/>
        <v>2550</v>
      </c>
      <c r="AS142" s="67">
        <f t="shared" si="135"/>
        <v>0</v>
      </c>
      <c r="AT142" s="67">
        <f t="shared" si="135"/>
        <v>0</v>
      </c>
      <c r="AU142" s="67">
        <f t="shared" si="135"/>
        <v>0</v>
      </c>
      <c r="AV142" s="67">
        <f t="shared" si="135"/>
        <v>60</v>
      </c>
      <c r="AW142" s="67">
        <f t="shared" si="135"/>
        <v>0</v>
      </c>
      <c r="AX142" s="67">
        <f t="shared" si="135"/>
        <v>0</v>
      </c>
      <c r="AY142" s="67">
        <f t="shared" si="135"/>
        <v>0</v>
      </c>
      <c r="AZ142" s="67">
        <f t="shared" si="135"/>
        <v>0</v>
      </c>
      <c r="BA142" s="67">
        <f t="shared" si="135"/>
        <v>2550</v>
      </c>
      <c r="BB142" s="61">
        <f t="shared" si="135"/>
        <v>19</v>
      </c>
      <c r="BC142" s="61">
        <f t="shared" si="135"/>
        <v>34</v>
      </c>
      <c r="BD142" s="61">
        <f t="shared" si="135"/>
        <v>2</v>
      </c>
      <c r="BE142" s="61">
        <f t="shared" si="135"/>
        <v>0</v>
      </c>
      <c r="BF142" s="61">
        <f t="shared" si="135"/>
        <v>31</v>
      </c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  <c r="CJ142" s="128"/>
      <c r="CK142" s="128"/>
      <c r="CL142" s="128"/>
      <c r="CM142" s="128"/>
      <c r="CN142" s="128"/>
      <c r="CO142" s="128"/>
      <c r="CP142" s="128"/>
      <c r="CQ142" s="128"/>
      <c r="CR142" s="128"/>
      <c r="CS142" s="128"/>
    </row>
    <row r="143" spans="1:97" ht="12.95" customHeight="1" x14ac:dyDescent="0.2">
      <c r="A143" s="132"/>
      <c r="B143" s="133"/>
      <c r="C143" s="133"/>
      <c r="D143" s="133"/>
      <c r="E143" s="38"/>
      <c r="F143" s="38"/>
      <c r="G143" s="63"/>
      <c r="H143" s="63"/>
      <c r="I143" s="63"/>
      <c r="J143" s="73"/>
      <c r="K143" s="73"/>
      <c r="L143" s="150"/>
      <c r="M143" s="150"/>
      <c r="N143" s="149"/>
      <c r="O143" s="321"/>
      <c r="P143" s="322"/>
      <c r="Q143" s="63">
        <f>30*1440-Q142</f>
        <v>0</v>
      </c>
      <c r="R143" s="74">
        <f>R142/Q142</f>
        <v>5.9027777777777776E-2</v>
      </c>
      <c r="S143" s="74">
        <f>S142/Q142</f>
        <v>1.5648148148148147E-2</v>
      </c>
      <c r="T143" s="75"/>
      <c r="U143" s="75"/>
      <c r="V143" s="76">
        <f>V142/K142</f>
        <v>7.4793624589824331E-2</v>
      </c>
      <c r="W143" s="77" t="s">
        <v>136</v>
      </c>
      <c r="X143" s="78">
        <v>0.85</v>
      </c>
      <c r="Y143" s="79">
        <f>Y142/K142</f>
        <v>1.3854903937514408E-3</v>
      </c>
      <c r="Z143" s="80">
        <f>Z142/K142</f>
        <v>6.7233867399815964E-3</v>
      </c>
      <c r="AA143" s="80">
        <f>AA142/K142</f>
        <v>1.6715522233928092E-2</v>
      </c>
      <c r="AB143" s="80">
        <f>AB142/K142</f>
        <v>-1.9673298075886781E-3</v>
      </c>
      <c r="AC143" s="81">
        <f>AC142/K142</f>
        <v>1.9844723791997122E-2</v>
      </c>
      <c r="AD143" s="82"/>
      <c r="AE143" s="151"/>
      <c r="AF143" s="80">
        <f>AF142/$AD$142*$V$143</f>
        <v>1.2056008923344282E-3</v>
      </c>
      <c r="AG143" s="80">
        <f>AG142/$AD$142*$V$143</f>
        <v>1.367893320148678E-3</v>
      </c>
      <c r="AH143" s="80">
        <f>AH142/$AD$142*$V$143</f>
        <v>1.1545947007356639E-2</v>
      </c>
      <c r="AI143" s="80">
        <f>AI142/$AD$142*$V$143</f>
        <v>0</v>
      </c>
      <c r="AJ143" s="80">
        <f t="shared" ref="AJ143:BA143" si="136">AJ142/$AD$142*$V$143</f>
        <v>1.6229242781424995E-4</v>
      </c>
      <c r="AK143" s="80">
        <f t="shared" si="136"/>
        <v>0</v>
      </c>
      <c r="AL143" s="80">
        <f t="shared" si="136"/>
        <v>0</v>
      </c>
      <c r="AM143" s="80">
        <f t="shared" si="136"/>
        <v>1.5672811600347565E-2</v>
      </c>
      <c r="AN143" s="80">
        <f t="shared" si="136"/>
        <v>3.4614656389525024E-2</v>
      </c>
      <c r="AO143" s="80">
        <f t="shared" si="136"/>
        <v>9.7375456688549959E-3</v>
      </c>
      <c r="AP143" s="80">
        <f t="shared" si="136"/>
        <v>1.4768610931096746E-2</v>
      </c>
      <c r="AQ143" s="80">
        <f t="shared" si="136"/>
        <v>0</v>
      </c>
      <c r="AR143" s="80">
        <f t="shared" si="136"/>
        <v>5.9120812989476766E-2</v>
      </c>
      <c r="AS143" s="80">
        <f t="shared" si="136"/>
        <v>0</v>
      </c>
      <c r="AT143" s="80">
        <f t="shared" si="136"/>
        <v>0</v>
      </c>
      <c r="AU143" s="80">
        <f t="shared" si="136"/>
        <v>0</v>
      </c>
      <c r="AV143" s="80">
        <f t="shared" si="136"/>
        <v>1.3910779526935708E-3</v>
      </c>
      <c r="AW143" s="80">
        <f t="shared" si="136"/>
        <v>0</v>
      </c>
      <c r="AX143" s="80">
        <f t="shared" si="136"/>
        <v>0</v>
      </c>
      <c r="AY143" s="80">
        <f t="shared" si="136"/>
        <v>0</v>
      </c>
      <c r="AZ143" s="80">
        <f t="shared" si="136"/>
        <v>0</v>
      </c>
      <c r="BA143" s="80">
        <f t="shared" si="136"/>
        <v>5.9120812989476766E-2</v>
      </c>
      <c r="BB143" s="56" t="s">
        <v>137</v>
      </c>
      <c r="BC143" s="56" t="s">
        <v>137</v>
      </c>
      <c r="BD143" s="56" t="s">
        <v>203</v>
      </c>
      <c r="BE143" s="56" t="s">
        <v>203</v>
      </c>
      <c r="BF143" s="56" t="s">
        <v>203</v>
      </c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  <c r="CJ143" s="128"/>
      <c r="CK143" s="128"/>
      <c r="CL143" s="128"/>
      <c r="CM143" s="128"/>
      <c r="CN143" s="128"/>
      <c r="CO143" s="128"/>
      <c r="CP143" s="128"/>
      <c r="CQ143" s="128"/>
      <c r="CR143" s="128"/>
      <c r="CS143" s="128"/>
    </row>
    <row r="144" spans="1:97" ht="12.95" customHeight="1" x14ac:dyDescent="0.2">
      <c r="A144" s="132"/>
      <c r="B144" s="133"/>
      <c r="C144" s="133"/>
      <c r="D144" s="133"/>
      <c r="E144" s="38"/>
      <c r="F144" s="38"/>
      <c r="G144" s="56"/>
      <c r="H144" s="56"/>
      <c r="I144" s="56"/>
      <c r="J144" s="46"/>
      <c r="K144" s="46"/>
      <c r="L144" s="122"/>
      <c r="M144" s="122"/>
      <c r="N144" s="124"/>
      <c r="O144" s="83"/>
      <c r="P144" s="84"/>
      <c r="Q144" s="56"/>
      <c r="R144" s="50">
        <f>R142-(BA142)</f>
        <v>0</v>
      </c>
      <c r="S144" s="50">
        <f>S142-SUM(AF142:AL142)-AT142-AV142-AX142</f>
        <v>0</v>
      </c>
      <c r="T144" s="124"/>
      <c r="U144" s="124"/>
      <c r="V144" s="124"/>
      <c r="W144" s="135"/>
      <c r="X144" s="136"/>
      <c r="Y144" s="152">
        <f>+Y142-(SUM([6]RBP!AG3:AG4))</f>
        <v>0</v>
      </c>
      <c r="Z144" s="50"/>
      <c r="AA144" s="124"/>
      <c r="AB144" s="124"/>
      <c r="AC144" s="124"/>
      <c r="AD144" s="124"/>
      <c r="AE144" s="151"/>
      <c r="AF144" s="85"/>
      <c r="AG144" s="85"/>
      <c r="AH144" s="85"/>
      <c r="AI144" s="85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86"/>
      <c r="AW144" s="86"/>
      <c r="AX144" s="86"/>
      <c r="AY144" s="86"/>
      <c r="AZ144" s="86"/>
      <c r="BA144" s="86"/>
      <c r="BB144" s="87">
        <f>BB142/($Q$142/1440)/2</f>
        <v>0.31666666666666665</v>
      </c>
      <c r="BC144" s="87">
        <f>BC142/($Q$142/1440)/2</f>
        <v>0.56666666666666665</v>
      </c>
      <c r="BD144" s="87">
        <f>BD142/($Q$142/1440)</f>
        <v>6.6666666666666666E-2</v>
      </c>
      <c r="BE144" s="87">
        <f>BE142/($Q$142/1440)</f>
        <v>0</v>
      </c>
      <c r="BF144" s="87">
        <f>BF142/($Q$142/1440)</f>
        <v>1.0333333333333334</v>
      </c>
    </row>
    <row r="145" spans="1:97" ht="12.95" customHeight="1" x14ac:dyDescent="0.2">
      <c r="A145" s="137"/>
      <c r="B145" s="138"/>
      <c r="C145" s="138"/>
      <c r="D145" s="138"/>
      <c r="E145" s="39"/>
      <c r="F145" s="39"/>
      <c r="G145" s="88"/>
      <c r="H145" s="88"/>
      <c r="I145" s="88"/>
      <c r="J145" s="89"/>
      <c r="K145" s="89"/>
      <c r="O145" s="90"/>
      <c r="P145" s="91"/>
      <c r="Q145" s="88"/>
      <c r="R145" s="92"/>
      <c r="S145" s="92"/>
      <c r="U145" s="139"/>
      <c r="V145" s="139"/>
      <c r="W145" s="93" t="s">
        <v>138</v>
      </c>
      <c r="X145" s="160">
        <f>W142/U142</f>
        <v>0.97264013398023264</v>
      </c>
      <c r="Y145" s="160"/>
      <c r="Z145" s="92"/>
      <c r="AD145" s="125"/>
      <c r="AE145" s="140"/>
      <c r="AF145" s="94"/>
      <c r="AG145" s="94"/>
      <c r="AH145" s="94"/>
      <c r="AI145" s="94"/>
      <c r="AJ145" s="94"/>
      <c r="AK145" s="94"/>
      <c r="AL145" s="94"/>
      <c r="AM145" s="94"/>
      <c r="AN145" s="86"/>
      <c r="AO145" s="86"/>
      <c r="AP145" s="86"/>
      <c r="AQ145" s="86"/>
      <c r="AR145" s="86"/>
      <c r="AS145" s="94"/>
      <c r="AT145" s="94"/>
      <c r="AU145" s="94"/>
      <c r="AV145" s="94"/>
      <c r="AW145" s="94"/>
      <c r="AX145" s="94"/>
      <c r="AY145" s="94"/>
      <c r="AZ145" s="94"/>
      <c r="BA145" s="86"/>
      <c r="BB145" s="128"/>
      <c r="BC145" s="86"/>
      <c r="BD145" s="86"/>
      <c r="BE145" s="128"/>
      <c r="BF145" s="86"/>
    </row>
    <row r="146" spans="1:97" ht="12.95" customHeight="1" x14ac:dyDescent="0.2">
      <c r="A146" s="137"/>
      <c r="B146" s="138"/>
      <c r="C146" s="138"/>
      <c r="D146" s="138"/>
      <c r="E146" s="39"/>
      <c r="F146" s="39"/>
      <c r="G146" s="88"/>
      <c r="H146" s="88"/>
      <c r="I146" s="88"/>
      <c r="J146" s="89"/>
      <c r="K146" s="89"/>
      <c r="O146" s="90"/>
      <c r="P146" s="91"/>
      <c r="Q146" s="88"/>
      <c r="R146" s="92"/>
      <c r="S146" s="92"/>
      <c r="U146" s="139"/>
      <c r="V146" s="139"/>
      <c r="W146" s="93"/>
      <c r="X146" s="86"/>
      <c r="Y146" s="86"/>
      <c r="Z146" s="92"/>
      <c r="AA146" s="141"/>
      <c r="AB146" s="141"/>
      <c r="AD146" s="125"/>
      <c r="AE146" s="140"/>
      <c r="AF146" s="94"/>
      <c r="AG146" s="94"/>
      <c r="AH146" s="94"/>
      <c r="AI146" s="94"/>
      <c r="AJ146" s="94"/>
      <c r="AK146" s="94"/>
      <c r="AL146" s="94"/>
      <c r="AM146" s="94"/>
      <c r="AN146" s="94"/>
      <c r="AO146" s="86"/>
      <c r="AP146" s="86"/>
      <c r="AQ146" s="86"/>
      <c r="AR146" s="94"/>
      <c r="AS146" s="86"/>
      <c r="AT146" s="86"/>
      <c r="AU146" s="86"/>
      <c r="AV146" s="86"/>
      <c r="AW146" s="86"/>
      <c r="AX146" s="86"/>
      <c r="AY146" s="86"/>
      <c r="AZ146" s="86"/>
      <c r="BA146" s="86"/>
      <c r="BB146" s="128"/>
      <c r="BC146" s="86"/>
      <c r="BD146" s="86"/>
      <c r="BE146" s="128"/>
      <c r="BF146" s="86"/>
    </row>
    <row r="147" spans="1:97" ht="12.95" customHeight="1" x14ac:dyDescent="0.2">
      <c r="A147" s="137"/>
      <c r="B147" s="138"/>
      <c r="C147" s="138"/>
      <c r="D147" s="138"/>
      <c r="E147" s="39"/>
      <c r="F147" s="39"/>
      <c r="G147" s="88"/>
      <c r="H147" s="88"/>
      <c r="I147" s="88"/>
      <c r="J147" s="89"/>
      <c r="K147" s="89"/>
      <c r="O147" s="90"/>
      <c r="P147" s="91"/>
      <c r="Q147" s="88"/>
      <c r="R147" s="95"/>
      <c r="S147" s="92"/>
      <c r="U147" s="139"/>
      <c r="V147" s="139"/>
      <c r="W147" s="93" t="s">
        <v>139</v>
      </c>
      <c r="X147" s="85">
        <f>+W142+Y142</f>
        <v>1389.4810000000004</v>
      </c>
      <c r="Y147" s="86"/>
      <c r="Z147" s="92"/>
      <c r="AD147" s="125"/>
      <c r="AE147" s="140"/>
      <c r="AF147" s="125"/>
      <c r="AG147" s="125"/>
      <c r="AH147" s="125"/>
      <c r="AI147" s="125"/>
      <c r="AJ147" s="86"/>
      <c r="AK147" s="86"/>
      <c r="AL147" s="86"/>
      <c r="AM147" s="94"/>
      <c r="AN147" s="86"/>
      <c r="AO147" s="86"/>
      <c r="AP147" s="86"/>
      <c r="AQ147" s="86"/>
      <c r="AR147" s="94"/>
      <c r="AS147" s="86"/>
      <c r="AT147" s="86"/>
      <c r="AU147" s="86"/>
      <c r="AV147" s="86"/>
      <c r="AW147" s="86"/>
      <c r="AX147" s="86"/>
      <c r="AY147" s="86"/>
      <c r="AZ147" s="86"/>
      <c r="BA147" s="86"/>
      <c r="BB147" s="128"/>
      <c r="BC147" s="86"/>
      <c r="BD147" s="86"/>
      <c r="BE147" s="128"/>
      <c r="BF147" s="86"/>
    </row>
    <row r="148" spans="1:97" ht="12.95" customHeight="1" x14ac:dyDescent="0.2">
      <c r="A148" s="137"/>
      <c r="C148" s="138" t="s">
        <v>140</v>
      </c>
      <c r="D148" s="138"/>
      <c r="E148" s="39"/>
      <c r="F148" s="39"/>
      <c r="G148" s="88"/>
      <c r="H148" s="88"/>
      <c r="I148" s="88"/>
      <c r="J148" s="89"/>
      <c r="K148" s="89"/>
      <c r="O148" s="90"/>
      <c r="P148" s="91"/>
      <c r="Q148" s="88"/>
      <c r="R148" s="95"/>
      <c r="S148" s="92"/>
      <c r="U148" s="139"/>
      <c r="V148" s="142"/>
      <c r="W148" s="96"/>
      <c r="X148" s="97"/>
      <c r="Y148" s="96"/>
      <c r="Z148" s="97"/>
      <c r="AD148" s="98"/>
      <c r="AE148" s="140"/>
      <c r="AF148" s="98"/>
      <c r="AG148" s="98"/>
      <c r="AH148" s="98"/>
      <c r="AI148" s="98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86"/>
      <c r="AW148" s="86"/>
      <c r="AX148" s="86"/>
      <c r="AY148" s="86"/>
      <c r="AZ148" s="86"/>
      <c r="BA148" s="86"/>
      <c r="BB148" s="128"/>
      <c r="BC148" s="86"/>
      <c r="BD148" s="86"/>
      <c r="BE148" s="128"/>
      <c r="BF148" s="86"/>
    </row>
    <row r="149" spans="1:97" ht="12.95" customHeight="1" x14ac:dyDescent="0.2">
      <c r="A149" s="137"/>
      <c r="B149" s="138"/>
      <c r="C149" s="138" t="s">
        <v>141</v>
      </c>
      <c r="D149" s="138"/>
      <c r="E149" s="39"/>
      <c r="F149" s="39"/>
      <c r="G149" s="88"/>
      <c r="H149" s="88"/>
      <c r="I149" s="88"/>
      <c r="J149" s="89"/>
      <c r="K149" s="89"/>
      <c r="O149" s="90"/>
      <c r="P149" s="91"/>
      <c r="Q149" s="88"/>
      <c r="R149" s="95"/>
      <c r="S149" s="92"/>
      <c r="V149" s="103"/>
      <c r="W149" s="143" t="s">
        <v>179</v>
      </c>
      <c r="X149" s="103"/>
      <c r="Y149" s="103"/>
      <c r="Z149" s="97"/>
      <c r="AE149" s="140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  <c r="AQ149" s="92"/>
      <c r="AS149" s="92"/>
      <c r="AT149" s="92"/>
      <c r="AU149" s="92"/>
      <c r="AV149" s="92"/>
      <c r="AW149" s="92"/>
      <c r="AX149" s="92"/>
      <c r="AY149" s="92"/>
      <c r="AZ149" s="92"/>
      <c r="BA149" s="92"/>
      <c r="BB149" s="128"/>
      <c r="BE149" s="128"/>
    </row>
    <row r="150" spans="1:97" ht="12.95" customHeight="1" x14ac:dyDescent="0.2">
      <c r="A150" s="137"/>
      <c r="B150" s="138"/>
      <c r="C150" s="138"/>
      <c r="D150" s="138"/>
      <c r="E150" s="39"/>
      <c r="F150" s="39"/>
      <c r="G150" s="88"/>
      <c r="H150" s="88"/>
      <c r="I150" s="88"/>
      <c r="J150" s="89"/>
      <c r="K150" s="89"/>
      <c r="O150" s="90"/>
      <c r="P150" s="91"/>
      <c r="Q150" s="88"/>
      <c r="R150" s="95"/>
      <c r="S150" s="92"/>
      <c r="V150" s="103"/>
      <c r="W150" s="104" t="s">
        <v>181</v>
      </c>
      <c r="X150" s="144">
        <f>Y143</f>
        <v>1.3854903937514408E-3</v>
      </c>
      <c r="Y150" s="145"/>
      <c r="Z150" s="97"/>
      <c r="AE150" s="140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  <c r="AQ150" s="92"/>
      <c r="AS150" s="92"/>
      <c r="AT150" s="92"/>
      <c r="AU150" s="92"/>
      <c r="AV150" s="92"/>
      <c r="AW150" s="92"/>
      <c r="AX150" s="92"/>
      <c r="AY150" s="92"/>
      <c r="AZ150" s="92"/>
      <c r="BA150" s="92"/>
      <c r="BB150" s="128"/>
      <c r="BE150" s="128"/>
    </row>
    <row r="151" spans="1:97" ht="12.95" customHeight="1" x14ac:dyDescent="0.2">
      <c r="R151" s="141"/>
      <c r="V151" s="103"/>
      <c r="W151" s="104" t="s">
        <v>143</v>
      </c>
      <c r="X151" s="105">
        <f>Z143</f>
        <v>6.7233867399815964E-3</v>
      </c>
      <c r="Y151" s="106"/>
      <c r="Z151" s="103"/>
    </row>
    <row r="152" spans="1:97" ht="12.95" customHeight="1" x14ac:dyDescent="0.2">
      <c r="R152" s="141"/>
      <c r="V152" s="103"/>
      <c r="W152" s="104" t="s">
        <v>144</v>
      </c>
      <c r="X152" s="105">
        <f>AC143</f>
        <v>1.9844723791997122E-2</v>
      </c>
      <c r="Y152" s="105"/>
      <c r="Z152" s="103"/>
    </row>
    <row r="153" spans="1:97" ht="12.95" customHeight="1" x14ac:dyDescent="0.2">
      <c r="R153" s="141"/>
      <c r="V153" s="103"/>
      <c r="W153" s="104" t="s">
        <v>145</v>
      </c>
      <c r="X153" s="105">
        <f>AA143</f>
        <v>1.6715522233928092E-2</v>
      </c>
      <c r="Y153" s="106"/>
      <c r="Z153" s="103"/>
    </row>
    <row r="154" spans="1:97" x14ac:dyDescent="0.2">
      <c r="V154" s="103"/>
      <c r="W154" s="104" t="s">
        <v>146</v>
      </c>
      <c r="X154" s="105">
        <f>AB143</f>
        <v>-1.9673298075886781E-3</v>
      </c>
      <c r="Y154" s="106" t="s">
        <v>147</v>
      </c>
      <c r="Z154" s="103"/>
    </row>
    <row r="155" spans="1:97" s="128" customFormat="1" ht="12.95" customHeight="1" x14ac:dyDescent="0.2">
      <c r="A155" s="114"/>
      <c r="B155" s="114"/>
      <c r="C155" s="114"/>
      <c r="D155" s="114"/>
      <c r="E155" s="114"/>
      <c r="F155" s="129"/>
      <c r="G155" s="114"/>
      <c r="H155" s="114"/>
      <c r="I155" s="114"/>
      <c r="J155" s="125"/>
      <c r="K155" s="125"/>
      <c r="L155" s="130"/>
      <c r="M155" s="130"/>
      <c r="N155" s="114"/>
      <c r="O155" s="114"/>
      <c r="P155" s="114"/>
      <c r="Q155" s="58"/>
      <c r="R155" s="114"/>
      <c r="S155" s="114"/>
      <c r="T155" s="114"/>
      <c r="U155" s="114"/>
      <c r="V155" s="103"/>
      <c r="W155" s="104" t="s">
        <v>148</v>
      </c>
      <c r="X155" s="105">
        <f>AF143</f>
        <v>1.2056008923344282E-3</v>
      </c>
      <c r="Y155" s="106"/>
      <c r="Z155" s="103"/>
      <c r="AA155" s="114"/>
      <c r="AB155" s="114"/>
      <c r="AC155" s="114"/>
      <c r="AD155" s="114"/>
      <c r="AE155" s="114"/>
      <c r="AF155" s="114"/>
      <c r="AG155" s="114"/>
      <c r="AH155" s="114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  <c r="AS155" s="114"/>
      <c r="AT155" s="114"/>
      <c r="AU155" s="114"/>
      <c r="AV155" s="114"/>
      <c r="AW155" s="114"/>
      <c r="AX155" s="114"/>
      <c r="AY155" s="114"/>
      <c r="AZ155" s="114"/>
      <c r="BA155" s="114"/>
      <c r="BB155" s="114"/>
      <c r="BC155" s="114"/>
      <c r="BD155" s="114"/>
      <c r="BE155" s="114"/>
      <c r="BF155" s="114"/>
      <c r="BG155" s="114"/>
      <c r="BH155" s="114"/>
      <c r="BI155" s="114"/>
      <c r="BJ155" s="114"/>
      <c r="BK155" s="114"/>
      <c r="BL155" s="114"/>
      <c r="BM155" s="114"/>
      <c r="BN155" s="114"/>
      <c r="BO155" s="114"/>
      <c r="BP155" s="114"/>
      <c r="BQ155" s="114"/>
      <c r="BR155" s="114"/>
      <c r="BS155" s="114"/>
      <c r="BT155" s="114"/>
      <c r="BU155" s="114"/>
      <c r="BV155" s="114"/>
      <c r="BW155" s="114"/>
      <c r="BX155" s="114"/>
      <c r="BY155" s="114"/>
      <c r="BZ155" s="114"/>
      <c r="CA155" s="114"/>
      <c r="CB155" s="114"/>
      <c r="CC155" s="114"/>
      <c r="CD155" s="114"/>
      <c r="CE155" s="114"/>
      <c r="CF155" s="114"/>
      <c r="CG155" s="114"/>
      <c r="CH155" s="114"/>
      <c r="CI155" s="114"/>
      <c r="CJ155" s="114"/>
      <c r="CK155" s="114"/>
      <c r="CL155" s="114"/>
      <c r="CM155" s="114"/>
      <c r="CN155" s="114"/>
      <c r="CO155" s="114"/>
      <c r="CP155" s="114"/>
      <c r="CQ155" s="114"/>
      <c r="CR155" s="114"/>
      <c r="CS155" s="114"/>
    </row>
    <row r="156" spans="1:97" s="128" customFormat="1" ht="12.95" customHeight="1" x14ac:dyDescent="0.2">
      <c r="A156" s="114"/>
      <c r="B156" s="114"/>
      <c r="C156" s="114"/>
      <c r="D156" s="114"/>
      <c r="E156" s="114"/>
      <c r="F156" s="129"/>
      <c r="G156" s="114"/>
      <c r="H156" s="114"/>
      <c r="I156" s="114"/>
      <c r="J156" s="125"/>
      <c r="K156" s="125"/>
      <c r="L156" s="130"/>
      <c r="M156" s="130"/>
      <c r="N156" s="114"/>
      <c r="O156" s="114"/>
      <c r="P156" s="114"/>
      <c r="Q156" s="58"/>
      <c r="R156" s="114"/>
      <c r="S156" s="114"/>
      <c r="T156" s="114"/>
      <c r="U156" s="114"/>
      <c r="V156" s="103"/>
      <c r="W156" s="104" t="s">
        <v>149</v>
      </c>
      <c r="X156" s="105">
        <f>+AG143</f>
        <v>1.367893320148678E-3</v>
      </c>
      <c r="Y156" s="106"/>
      <c r="Z156" s="103"/>
      <c r="AA156" s="114"/>
      <c r="AB156" s="114"/>
      <c r="AC156" s="114"/>
      <c r="AD156" s="114"/>
      <c r="AE156" s="114"/>
      <c r="AF156" s="114"/>
      <c r="AG156" s="114"/>
      <c r="AH156" s="114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4"/>
      <c r="AS156" s="114"/>
      <c r="AT156" s="114"/>
      <c r="AU156" s="114"/>
      <c r="AV156" s="114"/>
      <c r="AW156" s="114"/>
      <c r="AX156" s="114"/>
      <c r="AY156" s="114"/>
      <c r="AZ156" s="114"/>
      <c r="BA156" s="114"/>
      <c r="BB156" s="114"/>
      <c r="BC156" s="114"/>
      <c r="BD156" s="114"/>
      <c r="BE156" s="114"/>
      <c r="BF156" s="114"/>
      <c r="BG156" s="114"/>
      <c r="BH156" s="114"/>
      <c r="BI156" s="114"/>
      <c r="BJ156" s="114"/>
      <c r="BK156" s="114"/>
      <c r="BL156" s="114"/>
      <c r="BM156" s="114"/>
      <c r="BN156" s="114"/>
      <c r="BO156" s="114"/>
      <c r="BP156" s="114"/>
      <c r="BQ156" s="114"/>
      <c r="BR156" s="114"/>
      <c r="BS156" s="114"/>
      <c r="BT156" s="114"/>
      <c r="BU156" s="114"/>
      <c r="BV156" s="114"/>
      <c r="BW156" s="114"/>
      <c r="BX156" s="114"/>
      <c r="BY156" s="114"/>
      <c r="BZ156" s="114"/>
      <c r="CA156" s="114"/>
      <c r="CB156" s="114"/>
      <c r="CC156" s="114"/>
      <c r="CD156" s="114"/>
      <c r="CE156" s="114"/>
      <c r="CF156" s="114"/>
      <c r="CG156" s="114"/>
      <c r="CH156" s="114"/>
      <c r="CI156" s="114"/>
      <c r="CJ156" s="114"/>
      <c r="CK156" s="114"/>
      <c r="CL156" s="114"/>
      <c r="CM156" s="114"/>
      <c r="CN156" s="114"/>
      <c r="CO156" s="114"/>
      <c r="CP156" s="114"/>
      <c r="CQ156" s="114"/>
      <c r="CR156" s="114"/>
      <c r="CS156" s="114"/>
    </row>
    <row r="157" spans="1:97" ht="12.95" customHeight="1" x14ac:dyDescent="0.2">
      <c r="V157" s="103"/>
      <c r="W157" s="104" t="s">
        <v>150</v>
      </c>
      <c r="X157" s="105">
        <f>+AH143</f>
        <v>1.1545947007356639E-2</v>
      </c>
      <c r="Y157" s="106"/>
      <c r="Z157" s="103"/>
    </row>
    <row r="158" spans="1:97" x14ac:dyDescent="0.2">
      <c r="V158" s="103"/>
      <c r="W158" s="104" t="s">
        <v>151</v>
      </c>
      <c r="X158" s="105">
        <f>+AI143</f>
        <v>0</v>
      </c>
      <c r="Y158" s="106"/>
      <c r="Z158" s="103"/>
    </row>
    <row r="159" spans="1:97" x14ac:dyDescent="0.2">
      <c r="V159" s="103"/>
      <c r="W159" s="104" t="s">
        <v>152</v>
      </c>
      <c r="X159" s="105">
        <f>+AJ143</f>
        <v>1.6229242781424995E-4</v>
      </c>
      <c r="Y159" s="106"/>
      <c r="Z159" s="103"/>
    </row>
    <row r="160" spans="1:97" x14ac:dyDescent="0.2">
      <c r="V160" s="103"/>
      <c r="W160" s="104" t="s">
        <v>154</v>
      </c>
      <c r="X160" s="105">
        <f>+AK143</f>
        <v>0</v>
      </c>
      <c r="Y160" s="106"/>
      <c r="Z160" s="103"/>
    </row>
    <row r="161" spans="6:26" ht="12.95" customHeight="1" x14ac:dyDescent="0.2">
      <c r="F161" s="114"/>
      <c r="J161" s="114"/>
      <c r="K161" s="114"/>
      <c r="L161" s="114"/>
      <c r="M161" s="114"/>
      <c r="Q161" s="114"/>
      <c r="V161" s="103"/>
      <c r="W161" s="104" t="s">
        <v>153</v>
      </c>
      <c r="X161" s="105">
        <f>+AL143</f>
        <v>0</v>
      </c>
      <c r="Y161" s="106"/>
      <c r="Z161" s="103"/>
    </row>
    <row r="162" spans="6:26" ht="12.95" customHeight="1" x14ac:dyDescent="0.2">
      <c r="F162" s="114"/>
      <c r="J162" s="114"/>
      <c r="K162" s="114"/>
      <c r="L162" s="114"/>
      <c r="M162" s="114"/>
      <c r="Q162" s="114"/>
      <c r="V162" s="103"/>
      <c r="W162" s="104" t="s">
        <v>155</v>
      </c>
      <c r="X162" s="105">
        <f>+AN143</f>
        <v>3.4614656389525024E-2</v>
      </c>
      <c r="Y162" s="106"/>
      <c r="Z162" s="103"/>
    </row>
    <row r="163" spans="6:26" ht="12.95" customHeight="1" x14ac:dyDescent="0.2">
      <c r="F163" s="114"/>
      <c r="J163" s="114"/>
      <c r="K163" s="114"/>
      <c r="L163" s="114"/>
      <c r="M163" s="114"/>
      <c r="Q163" s="114"/>
      <c r="V163" s="103"/>
      <c r="W163" s="104" t="s">
        <v>158</v>
      </c>
      <c r="X163" s="105">
        <f>+AO143</f>
        <v>9.7375456688549959E-3</v>
      </c>
      <c r="Y163" s="106"/>
      <c r="Z163" s="103"/>
    </row>
    <row r="164" spans="6:26" ht="12.95" customHeight="1" x14ac:dyDescent="0.2">
      <c r="F164" s="114"/>
      <c r="J164" s="114"/>
      <c r="K164" s="114"/>
      <c r="L164" s="114"/>
      <c r="M164" s="114"/>
      <c r="Q164" s="114"/>
      <c r="V164" s="103"/>
      <c r="W164" s="104" t="s">
        <v>157</v>
      </c>
      <c r="X164" s="105">
        <f>+AP143</f>
        <v>1.4768610931096746E-2</v>
      </c>
      <c r="Y164" s="106"/>
      <c r="Z164" s="103"/>
    </row>
    <row r="165" spans="6:26" ht="12.95" customHeight="1" x14ac:dyDescent="0.2">
      <c r="F165" s="114"/>
      <c r="J165" s="114"/>
      <c r="K165" s="114"/>
      <c r="L165" s="114"/>
      <c r="M165" s="114"/>
      <c r="Q165" s="114"/>
      <c r="V165" s="103"/>
      <c r="W165" s="104" t="s">
        <v>156</v>
      </c>
      <c r="X165" s="105">
        <f>+AQ143</f>
        <v>0</v>
      </c>
      <c r="Y165" s="106"/>
      <c r="Z165" s="103"/>
    </row>
    <row r="166" spans="6:26" ht="12.95" customHeight="1" x14ac:dyDescent="0.2">
      <c r="F166" s="114"/>
      <c r="J166" s="114"/>
      <c r="K166" s="114"/>
      <c r="L166" s="114"/>
      <c r="M166" s="114"/>
      <c r="Q166" s="114"/>
      <c r="V166" s="103"/>
      <c r="W166" s="104" t="s">
        <v>159</v>
      </c>
      <c r="X166" s="105">
        <f>+AS143</f>
        <v>0</v>
      </c>
      <c r="Y166" s="106"/>
      <c r="Z166" s="103"/>
    </row>
    <row r="167" spans="6:26" ht="12.95" customHeight="1" x14ac:dyDescent="0.2">
      <c r="F167" s="114"/>
      <c r="J167" s="114"/>
      <c r="K167" s="114"/>
      <c r="L167" s="114"/>
      <c r="M167" s="114"/>
      <c r="Q167" s="114"/>
      <c r="V167" s="103"/>
      <c r="W167" s="104" t="s">
        <v>185</v>
      </c>
      <c r="X167" s="105">
        <f>+AT143</f>
        <v>0</v>
      </c>
      <c r="Y167" s="106"/>
      <c r="Z167" s="103"/>
    </row>
    <row r="168" spans="6:26" ht="12.95" customHeight="1" x14ac:dyDescent="0.2">
      <c r="F168" s="114"/>
      <c r="J168" s="114"/>
      <c r="K168" s="114"/>
      <c r="L168" s="114"/>
      <c r="M168" s="114"/>
      <c r="Q168" s="114"/>
      <c r="V168" s="103"/>
      <c r="W168" s="104" t="s">
        <v>186</v>
      </c>
      <c r="X168" s="105">
        <f>+AU143</f>
        <v>0</v>
      </c>
      <c r="Y168" s="106"/>
      <c r="Z168" s="103"/>
    </row>
    <row r="169" spans="6:26" ht="12.95" customHeight="1" x14ac:dyDescent="0.2">
      <c r="F169" s="114"/>
      <c r="J169" s="114"/>
      <c r="K169" s="114"/>
      <c r="L169" s="114"/>
      <c r="M169" s="114"/>
      <c r="Q169" s="114"/>
      <c r="V169" s="103"/>
      <c r="W169" s="104" t="s">
        <v>40</v>
      </c>
      <c r="X169" s="105">
        <f>+AW143</f>
        <v>0</v>
      </c>
      <c r="Y169" s="106"/>
      <c r="Z169" s="103"/>
    </row>
    <row r="170" spans="6:26" ht="12.95" customHeight="1" x14ac:dyDescent="0.2">
      <c r="F170" s="114"/>
      <c r="J170" s="114"/>
      <c r="K170" s="114"/>
      <c r="L170" s="114"/>
      <c r="M170" s="114"/>
      <c r="Q170" s="114"/>
      <c r="V170" s="103"/>
      <c r="W170" s="104" t="s">
        <v>193</v>
      </c>
      <c r="X170" s="105">
        <f>+AV143</f>
        <v>1.3910779526935708E-3</v>
      </c>
      <c r="Y170" s="106"/>
      <c r="Z170" s="103"/>
    </row>
    <row r="171" spans="6:26" ht="12.95" customHeight="1" x14ac:dyDescent="0.2">
      <c r="F171" s="114"/>
      <c r="J171" s="114"/>
      <c r="K171" s="114"/>
      <c r="L171" s="114"/>
      <c r="M171" s="114"/>
      <c r="Q171" s="114"/>
      <c r="V171" s="103"/>
      <c r="W171" s="103" t="s">
        <v>171</v>
      </c>
      <c r="X171" s="105">
        <f>+AX143+AY143</f>
        <v>0</v>
      </c>
      <c r="Y171" s="105"/>
      <c r="Z171" s="103"/>
    </row>
    <row r="172" spans="6:26" ht="12.95" customHeight="1" x14ac:dyDescent="0.2">
      <c r="F172" s="114"/>
      <c r="J172" s="114"/>
      <c r="K172" s="114"/>
      <c r="L172" s="114"/>
      <c r="M172" s="114"/>
      <c r="Q172" s="114"/>
      <c r="V172" s="103"/>
      <c r="W172" s="103" t="s">
        <v>194</v>
      </c>
      <c r="X172" s="105">
        <f>+AZ143</f>
        <v>0</v>
      </c>
      <c r="Y172" s="103"/>
      <c r="Z172" s="103"/>
    </row>
    <row r="173" spans="6:26" ht="12.95" customHeight="1" x14ac:dyDescent="0.2">
      <c r="F173" s="114"/>
      <c r="J173" s="114"/>
      <c r="K173" s="114"/>
      <c r="L173" s="114"/>
      <c r="M173" s="114"/>
      <c r="Q173" s="114"/>
      <c r="V173" s="103"/>
      <c r="W173" s="103"/>
      <c r="X173" s="107">
        <f>SUM(X150:X172)</f>
        <v>0.1174954179418939</v>
      </c>
      <c r="Y173" s="103"/>
      <c r="Z173" s="103"/>
    </row>
    <row r="174" spans="6:26" ht="12.95" customHeight="1" x14ac:dyDescent="0.2">
      <c r="F174" s="114"/>
      <c r="J174" s="114"/>
      <c r="K174" s="114"/>
      <c r="L174" s="114"/>
      <c r="M174" s="114"/>
      <c r="Q174" s="114"/>
    </row>
    <row r="175" spans="6:26" ht="12.95" customHeight="1" x14ac:dyDescent="0.2">
      <c r="F175" s="114"/>
      <c r="J175" s="114"/>
      <c r="K175" s="114"/>
      <c r="L175" s="114"/>
      <c r="M175" s="114"/>
      <c r="Q175" s="114"/>
      <c r="X175" s="141">
        <f>+X173+X142</f>
        <v>1.0000000000000004</v>
      </c>
    </row>
    <row r="176" spans="6:26" ht="12.95" customHeight="1" x14ac:dyDescent="0.2">
      <c r="F176" s="114"/>
      <c r="J176" s="114"/>
      <c r="K176" s="114"/>
      <c r="L176" s="114"/>
      <c r="M176" s="114"/>
      <c r="Q176" s="114"/>
    </row>
    <row r="177" spans="6:17" x14ac:dyDescent="0.2">
      <c r="F177" s="114"/>
      <c r="J177" s="114"/>
      <c r="K177" s="114"/>
      <c r="L177" s="114"/>
      <c r="M177" s="114"/>
      <c r="Q177" s="114"/>
    </row>
    <row r="178" spans="6:17" x14ac:dyDescent="0.2">
      <c r="F178" s="114"/>
      <c r="J178" s="114"/>
      <c r="K178" s="114"/>
      <c r="L178" s="114"/>
      <c r="M178" s="114"/>
      <c r="Q178" s="114"/>
    </row>
    <row r="179" spans="6:17" ht="12" customHeight="1" x14ac:dyDescent="0.2">
      <c r="F179" s="114"/>
      <c r="J179" s="114"/>
      <c r="K179" s="114"/>
      <c r="L179" s="114"/>
      <c r="M179" s="114"/>
      <c r="Q179" s="114"/>
    </row>
    <row r="180" spans="6:17" ht="12" customHeight="1" x14ac:dyDescent="0.2">
      <c r="F180" s="114"/>
      <c r="J180" s="114"/>
      <c r="K180" s="114"/>
      <c r="L180" s="114"/>
      <c r="M180" s="114"/>
      <c r="Q180" s="114"/>
    </row>
    <row r="181" spans="6:17" x14ac:dyDescent="0.2">
      <c r="F181" s="114"/>
      <c r="J181" s="114"/>
      <c r="K181" s="114"/>
      <c r="L181" s="114"/>
      <c r="M181" s="114"/>
      <c r="Q181" s="114"/>
    </row>
    <row r="182" spans="6:17" ht="12" customHeight="1" x14ac:dyDescent="0.2">
      <c r="F182" s="114"/>
      <c r="J182" s="114"/>
      <c r="K182" s="114"/>
      <c r="L182" s="114"/>
      <c r="M182" s="114"/>
      <c r="Q182" s="114"/>
    </row>
    <row r="183" spans="6:17" ht="12" customHeight="1" x14ac:dyDescent="0.2">
      <c r="F183" s="114"/>
      <c r="J183" s="114"/>
      <c r="K183" s="114"/>
      <c r="L183" s="114"/>
      <c r="M183" s="114"/>
      <c r="Q183" s="114"/>
    </row>
    <row r="184" spans="6:17" x14ac:dyDescent="0.2">
      <c r="F184" s="114"/>
      <c r="J184" s="114"/>
      <c r="K184" s="114"/>
      <c r="L184" s="114"/>
      <c r="M184" s="114"/>
      <c r="Q184" s="114"/>
    </row>
    <row r="185" spans="6:17" x14ac:dyDescent="0.2">
      <c r="F185" s="114"/>
      <c r="J185" s="114"/>
      <c r="K185" s="114"/>
      <c r="L185" s="114"/>
      <c r="M185" s="114"/>
      <c r="Q185" s="114"/>
    </row>
    <row r="186" spans="6:17" x14ac:dyDescent="0.2">
      <c r="F186" s="114"/>
      <c r="J186" s="114"/>
      <c r="K186" s="114"/>
      <c r="L186" s="114"/>
      <c r="M186" s="114"/>
      <c r="Q186" s="114"/>
    </row>
    <row r="187" spans="6:17" x14ac:dyDescent="0.2">
      <c r="F187" s="114"/>
      <c r="J187" s="114"/>
      <c r="K187" s="114"/>
      <c r="L187" s="114"/>
      <c r="M187" s="114"/>
      <c r="Q187" s="114"/>
    </row>
    <row r="188" spans="6:17" x14ac:dyDescent="0.2">
      <c r="F188" s="114"/>
      <c r="J188" s="114"/>
      <c r="K188" s="114"/>
      <c r="L188" s="114"/>
      <c r="M188" s="114"/>
      <c r="Q188" s="114"/>
    </row>
    <row r="189" spans="6:17" x14ac:dyDescent="0.2">
      <c r="F189" s="114"/>
      <c r="J189" s="114"/>
      <c r="K189" s="114"/>
      <c r="L189" s="114"/>
      <c r="M189" s="114"/>
      <c r="Q189" s="114"/>
    </row>
    <row r="190" spans="6:17" x14ac:dyDescent="0.2">
      <c r="F190" s="114"/>
      <c r="J190" s="114"/>
      <c r="K190" s="114"/>
      <c r="L190" s="114"/>
      <c r="M190" s="114"/>
      <c r="Q190" s="114"/>
    </row>
    <row r="191" spans="6:17" x14ac:dyDescent="0.2">
      <c r="F191" s="114"/>
      <c r="J191" s="114"/>
      <c r="K191" s="114"/>
      <c r="L191" s="114"/>
      <c r="M191" s="114"/>
      <c r="Q191" s="114"/>
    </row>
    <row r="192" spans="6:17" x14ac:dyDescent="0.2">
      <c r="F192" s="114"/>
      <c r="J192" s="114"/>
      <c r="K192" s="114"/>
      <c r="L192" s="114"/>
      <c r="M192" s="114"/>
      <c r="Q192" s="114"/>
    </row>
    <row r="193" spans="6:17" x14ac:dyDescent="0.2">
      <c r="F193" s="114"/>
      <c r="J193" s="114"/>
      <c r="K193" s="114"/>
      <c r="L193" s="114"/>
      <c r="M193" s="114"/>
      <c r="Q193" s="114"/>
    </row>
    <row r="194" spans="6:17" x14ac:dyDescent="0.2">
      <c r="F194" s="114"/>
      <c r="J194" s="114"/>
      <c r="K194" s="114"/>
      <c r="L194" s="114"/>
      <c r="M194" s="114"/>
      <c r="Q194" s="114"/>
    </row>
    <row r="195" spans="6:17" x14ac:dyDescent="0.2">
      <c r="F195" s="114"/>
      <c r="J195" s="114"/>
      <c r="K195" s="114"/>
      <c r="L195" s="114"/>
      <c r="M195" s="114"/>
      <c r="Q195" s="114"/>
    </row>
    <row r="196" spans="6:17" x14ac:dyDescent="0.2">
      <c r="F196" s="114"/>
      <c r="J196" s="114"/>
      <c r="K196" s="114"/>
      <c r="L196" s="114"/>
      <c r="M196" s="114"/>
      <c r="Q196" s="114"/>
    </row>
    <row r="197" spans="6:17" x14ac:dyDescent="0.2">
      <c r="F197" s="114"/>
      <c r="J197" s="114"/>
      <c r="K197" s="114"/>
      <c r="L197" s="114"/>
      <c r="M197" s="114"/>
      <c r="Q197" s="114"/>
    </row>
    <row r="198" spans="6:17" x14ac:dyDescent="0.2">
      <c r="F198" s="114"/>
      <c r="J198" s="114"/>
      <c r="K198" s="114"/>
      <c r="L198" s="114"/>
      <c r="M198" s="114"/>
      <c r="Q198" s="114"/>
    </row>
    <row r="199" spans="6:17" x14ac:dyDescent="0.2">
      <c r="F199" s="114"/>
      <c r="J199" s="114"/>
      <c r="K199" s="114"/>
      <c r="L199" s="114"/>
      <c r="M199" s="114"/>
      <c r="Q199" s="114"/>
    </row>
    <row r="200" spans="6:17" x14ac:dyDescent="0.2">
      <c r="F200" s="114"/>
      <c r="J200" s="114"/>
      <c r="K200" s="114"/>
      <c r="L200" s="114"/>
      <c r="M200" s="114"/>
      <c r="Q200" s="114"/>
    </row>
    <row r="201" spans="6:17" x14ac:dyDescent="0.2">
      <c r="F201" s="114"/>
      <c r="J201" s="114"/>
      <c r="K201" s="114"/>
      <c r="L201" s="114"/>
      <c r="M201" s="114"/>
      <c r="Q201" s="114"/>
    </row>
    <row r="202" spans="6:17" x14ac:dyDescent="0.2">
      <c r="F202" s="114"/>
      <c r="J202" s="114"/>
      <c r="K202" s="114"/>
      <c r="L202" s="114"/>
      <c r="M202" s="114"/>
      <c r="Q202" s="114"/>
    </row>
    <row r="203" spans="6:17" x14ac:dyDescent="0.2">
      <c r="F203" s="114"/>
      <c r="J203" s="114"/>
      <c r="K203" s="114"/>
      <c r="L203" s="114"/>
      <c r="M203" s="114"/>
      <c r="Q203" s="114"/>
    </row>
    <row r="204" spans="6:17" x14ac:dyDescent="0.2">
      <c r="F204" s="114"/>
      <c r="J204" s="114"/>
      <c r="K204" s="114"/>
      <c r="L204" s="114"/>
      <c r="M204" s="114"/>
      <c r="Q204" s="114"/>
    </row>
    <row r="205" spans="6:17" x14ac:dyDescent="0.2">
      <c r="F205" s="114"/>
      <c r="J205" s="114"/>
      <c r="K205" s="114"/>
      <c r="L205" s="114"/>
      <c r="M205" s="114"/>
      <c r="Q205" s="114"/>
    </row>
    <row r="206" spans="6:17" x14ac:dyDescent="0.2">
      <c r="F206" s="114"/>
      <c r="J206" s="114"/>
      <c r="K206" s="114"/>
      <c r="L206" s="114"/>
      <c r="M206" s="114"/>
      <c r="Q206" s="114"/>
    </row>
    <row r="207" spans="6:17" x14ac:dyDescent="0.2">
      <c r="F207" s="114"/>
      <c r="J207" s="114"/>
      <c r="K207" s="114"/>
      <c r="L207" s="114"/>
      <c r="M207" s="114"/>
      <c r="Q207" s="114"/>
    </row>
    <row r="208" spans="6:17" x14ac:dyDescent="0.2">
      <c r="F208" s="114"/>
      <c r="J208" s="114"/>
      <c r="K208" s="114"/>
      <c r="L208" s="114"/>
      <c r="M208" s="114"/>
      <c r="Q208" s="114"/>
    </row>
    <row r="209" spans="6:17" x14ac:dyDescent="0.2">
      <c r="F209" s="114"/>
      <c r="J209" s="114"/>
      <c r="K209" s="114"/>
      <c r="L209" s="114"/>
      <c r="M209" s="114"/>
      <c r="Q209" s="114"/>
    </row>
    <row r="210" spans="6:17" x14ac:dyDescent="0.2">
      <c r="F210" s="114"/>
      <c r="J210" s="114"/>
      <c r="K210" s="114"/>
      <c r="L210" s="114"/>
      <c r="M210" s="114"/>
      <c r="Q210" s="114"/>
    </row>
    <row r="211" spans="6:17" x14ac:dyDescent="0.2">
      <c r="F211" s="114"/>
      <c r="J211" s="114"/>
      <c r="K211" s="114"/>
      <c r="L211" s="114"/>
      <c r="M211" s="114"/>
      <c r="Q211" s="114"/>
    </row>
    <row r="213" spans="6:17" x14ac:dyDescent="0.2">
      <c r="F213" s="114"/>
      <c r="J213" s="114"/>
      <c r="K213" s="114"/>
      <c r="L213" s="114"/>
      <c r="M213" s="114"/>
      <c r="Q213" s="114"/>
    </row>
    <row r="219" spans="6:17" x14ac:dyDescent="0.2">
      <c r="F219" s="114"/>
      <c r="J219" s="114"/>
      <c r="K219" s="114"/>
      <c r="L219" s="114"/>
      <c r="M219" s="114"/>
      <c r="Q219" s="114"/>
    </row>
    <row r="220" spans="6:17" x14ac:dyDescent="0.2">
      <c r="F220" s="114"/>
      <c r="J220" s="114"/>
      <c r="K220" s="114"/>
      <c r="L220" s="114"/>
      <c r="M220" s="114"/>
      <c r="Q220" s="114"/>
    </row>
    <row r="222" spans="6:17" x14ac:dyDescent="0.2">
      <c r="F222" s="114"/>
      <c r="J222" s="114"/>
      <c r="K222" s="114"/>
      <c r="L222" s="114"/>
      <c r="M222" s="114"/>
      <c r="Q222" s="114"/>
    </row>
    <row r="223" spans="6:17" x14ac:dyDescent="0.2">
      <c r="F223" s="114"/>
      <c r="J223" s="114"/>
      <c r="K223" s="114"/>
      <c r="L223" s="114"/>
      <c r="M223" s="114"/>
      <c r="Q223" s="114"/>
    </row>
  </sheetData>
  <mergeCells count="50">
    <mergeCell ref="O143:P143"/>
    <mergeCell ref="BC3:BC5"/>
    <mergeCell ref="BF3:BF5"/>
    <mergeCell ref="T3:T5"/>
    <mergeCell ref="U3:U5"/>
    <mergeCell ref="V3:V5"/>
    <mergeCell ref="Y3:Y5"/>
    <mergeCell ref="AT3:AU4"/>
    <mergeCell ref="AV3:AW3"/>
    <mergeCell ref="AX3:AY3"/>
    <mergeCell ref="AM3:AM5"/>
    <mergeCell ref="AF4:AH4"/>
    <mergeCell ref="AI4:AI5"/>
    <mergeCell ref="AJ4:AJ5"/>
    <mergeCell ref="AP4:AP5"/>
    <mergeCell ref="AQ4:AQ5"/>
    <mergeCell ref="AR4:AR5"/>
    <mergeCell ref="Q3:Q5"/>
    <mergeCell ref="X3:X5"/>
    <mergeCell ref="Z3:Z5"/>
    <mergeCell ref="S3:S5"/>
    <mergeCell ref="BE3:BE5"/>
    <mergeCell ref="R3:R5"/>
    <mergeCell ref="AC3:AC5"/>
    <mergeCell ref="BA3:BA5"/>
    <mergeCell ref="BB3:BB5"/>
    <mergeCell ref="AZ3:AZ5"/>
    <mergeCell ref="AO4:AO5"/>
    <mergeCell ref="AL4:AL5"/>
    <mergeCell ref="AK4:AK5"/>
    <mergeCell ref="AS3:AS5"/>
    <mergeCell ref="BD3:BD5"/>
    <mergeCell ref="AE3:AE5"/>
    <mergeCell ref="AF3:AL3"/>
    <mergeCell ref="AN4:AN5"/>
    <mergeCell ref="AD3:AD5"/>
    <mergeCell ref="W3:W5"/>
    <mergeCell ref="AA3:AA5"/>
    <mergeCell ref="AB3:AB5"/>
    <mergeCell ref="AN3:AR3"/>
    <mergeCell ref="A3:A5"/>
    <mergeCell ref="B3:B5"/>
    <mergeCell ref="C3:C5"/>
    <mergeCell ref="D3:D5"/>
    <mergeCell ref="E3:E5"/>
    <mergeCell ref="O3:O5"/>
    <mergeCell ref="P3:P5"/>
    <mergeCell ref="F3:F5"/>
    <mergeCell ref="G3:K4"/>
    <mergeCell ref="L3:N4"/>
  </mergeCells>
  <conditionalFormatting sqref="C143 C141 B141:B143">
    <cfRule type="cellIs" dxfId="891" priority="891" stopIfTrue="1" operator="equal">
      <formula>"Towel"</formula>
    </cfRule>
    <cfRule type="cellIs" dxfId="890" priority="892" stopIfTrue="1" operator="equal">
      <formula>"Napkin Hs"</formula>
    </cfRule>
  </conditionalFormatting>
  <conditionalFormatting sqref="B140:C140">
    <cfRule type="cellIs" dxfId="889" priority="889" stopIfTrue="1" operator="equal">
      <formula>"Towel"</formula>
    </cfRule>
    <cfRule type="cellIs" dxfId="888" priority="890" stopIfTrue="1" operator="equal">
      <formula>"Napkin Hs"</formula>
    </cfRule>
  </conditionalFormatting>
  <conditionalFormatting sqref="C140">
    <cfRule type="cellIs" dxfId="887" priority="888" stopIfTrue="1" operator="equal">
      <formula>"Napkin Hs"</formula>
    </cfRule>
  </conditionalFormatting>
  <conditionalFormatting sqref="C140">
    <cfRule type="cellIs" dxfId="886" priority="887" stopIfTrue="1" operator="equal">
      <formula>"Towel"</formula>
    </cfRule>
  </conditionalFormatting>
  <conditionalFormatting sqref="C140">
    <cfRule type="cellIs" dxfId="885" priority="885" stopIfTrue="1" operator="equal">
      <formula>"Towel"</formula>
    </cfRule>
    <cfRule type="cellIs" dxfId="884" priority="886" stopIfTrue="1" operator="equal">
      <formula>"Napkin Hs"</formula>
    </cfRule>
  </conditionalFormatting>
  <conditionalFormatting sqref="B106:C106 B111:C111 B132:C132 B8:C10">
    <cfRule type="cellIs" dxfId="883" priority="883" stopIfTrue="1" operator="equal">
      <formula>"Towel"</formula>
    </cfRule>
    <cfRule type="cellIs" dxfId="882" priority="884" stopIfTrue="1" operator="equal">
      <formula>"Napkin Hs"</formula>
    </cfRule>
  </conditionalFormatting>
  <conditionalFormatting sqref="B67:C67">
    <cfRule type="cellIs" dxfId="881" priority="879" stopIfTrue="1" operator="equal">
      <formula>"Towel"</formula>
    </cfRule>
    <cfRule type="cellIs" dxfId="880" priority="880" stopIfTrue="1" operator="equal">
      <formula>"Napkin Hs"</formula>
    </cfRule>
  </conditionalFormatting>
  <conditionalFormatting sqref="B71:C71">
    <cfRule type="cellIs" dxfId="879" priority="873" stopIfTrue="1" operator="equal">
      <formula>"Towel"</formula>
    </cfRule>
    <cfRule type="cellIs" dxfId="878" priority="874" stopIfTrue="1" operator="equal">
      <formula>"Napkin Hs"</formula>
    </cfRule>
  </conditionalFormatting>
  <conditionalFormatting sqref="B80:C80">
    <cfRule type="cellIs" dxfId="877" priority="867" stopIfTrue="1" operator="equal">
      <formula>"Towel"</formula>
    </cfRule>
    <cfRule type="cellIs" dxfId="876" priority="868" stopIfTrue="1" operator="equal">
      <formula>"Napkin Hs"</formula>
    </cfRule>
  </conditionalFormatting>
  <conditionalFormatting sqref="B89:C89">
    <cfRule type="cellIs" dxfId="875" priority="861" stopIfTrue="1" operator="equal">
      <formula>"Towel"</formula>
    </cfRule>
    <cfRule type="cellIs" dxfId="874" priority="862" stopIfTrue="1" operator="equal">
      <formula>"Napkin Hs"</formula>
    </cfRule>
  </conditionalFormatting>
  <conditionalFormatting sqref="B94:C94">
    <cfRule type="cellIs" dxfId="873" priority="853" stopIfTrue="1" operator="equal">
      <formula>"Towel"</formula>
    </cfRule>
    <cfRule type="cellIs" dxfId="872" priority="854" stopIfTrue="1" operator="equal">
      <formula>"Napkin Hs"</formula>
    </cfRule>
  </conditionalFormatting>
  <conditionalFormatting sqref="C106 C111 C132 C8:C10">
    <cfRule type="cellIs" dxfId="871" priority="882" stopIfTrue="1" operator="equal">
      <formula>"Napkin Hs"</formula>
    </cfRule>
  </conditionalFormatting>
  <conditionalFormatting sqref="C8:C10">
    <cfRule type="cellIs" dxfId="870" priority="843" stopIfTrue="1" operator="equal">
      <formula>"Towel"</formula>
    </cfRule>
    <cfRule type="cellIs" dxfId="869" priority="844" stopIfTrue="1" operator="equal">
      <formula>"Napkin Hs"</formula>
    </cfRule>
  </conditionalFormatting>
  <conditionalFormatting sqref="C106 C111 C132 C8:C10">
    <cfRule type="cellIs" dxfId="868" priority="881" stopIfTrue="1" operator="equal">
      <formula>"Towel"</formula>
    </cfRule>
  </conditionalFormatting>
  <conditionalFormatting sqref="C67">
    <cfRule type="cellIs" dxfId="867" priority="877" stopIfTrue="1" operator="equal">
      <formula>"Towel"</formula>
    </cfRule>
    <cfRule type="cellIs" dxfId="866" priority="878" stopIfTrue="1" operator="equal">
      <formula>"Napkin Hs"</formula>
    </cfRule>
  </conditionalFormatting>
  <conditionalFormatting sqref="C67">
    <cfRule type="cellIs" dxfId="865" priority="875" stopIfTrue="1" operator="equal">
      <formula>"Towel"</formula>
    </cfRule>
    <cfRule type="cellIs" dxfId="864" priority="876" stopIfTrue="1" operator="equal">
      <formula>"Napkin Hs"</formula>
    </cfRule>
  </conditionalFormatting>
  <conditionalFormatting sqref="C71">
    <cfRule type="cellIs" dxfId="863" priority="869" stopIfTrue="1" operator="equal">
      <formula>"Towel"</formula>
    </cfRule>
    <cfRule type="cellIs" dxfId="862" priority="870" stopIfTrue="1" operator="equal">
      <formula>"Napkin Hs"</formula>
    </cfRule>
  </conditionalFormatting>
  <conditionalFormatting sqref="C71">
    <cfRule type="cellIs" dxfId="861" priority="871" stopIfTrue="1" operator="equal">
      <formula>"Towel"</formula>
    </cfRule>
    <cfRule type="cellIs" dxfId="860" priority="872" stopIfTrue="1" operator="equal">
      <formula>"Napkin Hs"</formula>
    </cfRule>
  </conditionalFormatting>
  <conditionalFormatting sqref="C89">
    <cfRule type="cellIs" dxfId="859" priority="857" stopIfTrue="1" operator="equal">
      <formula>"Towel"</formula>
    </cfRule>
    <cfRule type="cellIs" dxfId="858" priority="858" stopIfTrue="1" operator="equal">
      <formula>"Napkin Hs"</formula>
    </cfRule>
  </conditionalFormatting>
  <conditionalFormatting sqref="C80">
    <cfRule type="cellIs" dxfId="857" priority="865" stopIfTrue="1" operator="equal">
      <formula>"Towel"</formula>
    </cfRule>
    <cfRule type="cellIs" dxfId="856" priority="866" stopIfTrue="1" operator="equal">
      <formula>"Napkin Hs"</formula>
    </cfRule>
  </conditionalFormatting>
  <conditionalFormatting sqref="C80">
    <cfRule type="cellIs" dxfId="855" priority="863" stopIfTrue="1" operator="equal">
      <formula>"Towel"</formula>
    </cfRule>
    <cfRule type="cellIs" dxfId="854" priority="864" stopIfTrue="1" operator="equal">
      <formula>"Napkin Hs"</formula>
    </cfRule>
  </conditionalFormatting>
  <conditionalFormatting sqref="C89">
    <cfRule type="cellIs" dxfId="853" priority="859" stopIfTrue="1" operator="equal">
      <formula>"Towel"</formula>
    </cfRule>
    <cfRule type="cellIs" dxfId="852" priority="860" stopIfTrue="1" operator="equal">
      <formula>"Napkin Hs"</formula>
    </cfRule>
  </conditionalFormatting>
  <conditionalFormatting sqref="C94">
    <cfRule type="cellIs" dxfId="851" priority="855" stopIfTrue="1" operator="equal">
      <formula>"Towel"</formula>
    </cfRule>
    <cfRule type="cellIs" dxfId="850" priority="856" stopIfTrue="1" operator="equal">
      <formula>"Napkin Hs"</formula>
    </cfRule>
  </conditionalFormatting>
  <conditionalFormatting sqref="C94">
    <cfRule type="cellIs" dxfId="849" priority="851" stopIfTrue="1" operator="equal">
      <formula>"Towel"</formula>
    </cfRule>
    <cfRule type="cellIs" dxfId="848" priority="852" stopIfTrue="1" operator="equal">
      <formula>"Napkin Hs"</formula>
    </cfRule>
  </conditionalFormatting>
  <conditionalFormatting sqref="C106">
    <cfRule type="cellIs" dxfId="847" priority="849" stopIfTrue="1" operator="equal">
      <formula>"Towel"</formula>
    </cfRule>
    <cfRule type="cellIs" dxfId="846" priority="850" stopIfTrue="1" operator="equal">
      <formula>"Napkin Hs"</formula>
    </cfRule>
  </conditionalFormatting>
  <conditionalFormatting sqref="C111">
    <cfRule type="cellIs" dxfId="845" priority="847" stopIfTrue="1" operator="equal">
      <formula>"Towel"</formula>
    </cfRule>
    <cfRule type="cellIs" dxfId="844" priority="848" stopIfTrue="1" operator="equal">
      <formula>"Napkin Hs"</formula>
    </cfRule>
  </conditionalFormatting>
  <conditionalFormatting sqref="C132">
    <cfRule type="cellIs" dxfId="843" priority="845" stopIfTrue="1" operator="equal">
      <formula>"Towel"</formula>
    </cfRule>
    <cfRule type="cellIs" dxfId="842" priority="846" stopIfTrue="1" operator="equal">
      <formula>"Napkin Hs"</formula>
    </cfRule>
  </conditionalFormatting>
  <conditionalFormatting sqref="C7">
    <cfRule type="cellIs" dxfId="841" priority="841" stopIfTrue="1" operator="equal">
      <formula>"Towel"</formula>
    </cfRule>
    <cfRule type="cellIs" dxfId="840" priority="842" stopIfTrue="1" operator="equal">
      <formula>"Napkin Hs"</formula>
    </cfRule>
  </conditionalFormatting>
  <conditionalFormatting sqref="C7">
    <cfRule type="cellIs" dxfId="839" priority="837" stopIfTrue="1" operator="equal">
      <formula>"Towel"</formula>
    </cfRule>
    <cfRule type="cellIs" dxfId="838" priority="838" stopIfTrue="1" operator="equal">
      <formula>"Napkin Hs"</formula>
    </cfRule>
  </conditionalFormatting>
  <conditionalFormatting sqref="B7">
    <cfRule type="cellIs" dxfId="837" priority="827" stopIfTrue="1" operator="equal">
      <formula>"Towel"</formula>
    </cfRule>
    <cfRule type="cellIs" dxfId="836" priority="828" stopIfTrue="1" operator="equal">
      <formula>"Napkin Hs"</formula>
    </cfRule>
  </conditionalFormatting>
  <conditionalFormatting sqref="B7">
    <cfRule type="cellIs" dxfId="835" priority="829" stopIfTrue="1" operator="equal">
      <formula>"Towel"</formula>
    </cfRule>
    <cfRule type="cellIs" dxfId="834" priority="830" stopIfTrue="1" operator="equal">
      <formula>"Napkin Hs"</formula>
    </cfRule>
  </conditionalFormatting>
  <conditionalFormatting sqref="C7">
    <cfRule type="cellIs" dxfId="833" priority="831" stopIfTrue="1" operator="equal">
      <formula>"Towel"</formula>
    </cfRule>
    <cfRule type="cellIs" dxfId="832" priority="832" stopIfTrue="1" operator="equal">
      <formula>"Napkin Hs"</formula>
    </cfRule>
  </conditionalFormatting>
  <conditionalFormatting sqref="C7">
    <cfRule type="cellIs" dxfId="831" priority="840" stopIfTrue="1" operator="equal">
      <formula>"Napkin Hs"</formula>
    </cfRule>
  </conditionalFormatting>
  <conditionalFormatting sqref="C7">
    <cfRule type="cellIs" dxfId="830" priority="839" stopIfTrue="1" operator="equal">
      <formula>"Towel"</formula>
    </cfRule>
  </conditionalFormatting>
  <conditionalFormatting sqref="C7">
    <cfRule type="cellIs" dxfId="829" priority="835" stopIfTrue="1" operator="equal">
      <formula>"Towel"</formula>
    </cfRule>
    <cfRule type="cellIs" dxfId="828" priority="836" stopIfTrue="1" operator="equal">
      <formula>"Napkin Hs"</formula>
    </cfRule>
  </conditionalFormatting>
  <conditionalFormatting sqref="C7">
    <cfRule type="cellIs" dxfId="827" priority="834" stopIfTrue="1" operator="equal">
      <formula>"Napkin Hs"</formula>
    </cfRule>
  </conditionalFormatting>
  <conditionalFormatting sqref="C7">
    <cfRule type="cellIs" dxfId="826" priority="833" stopIfTrue="1" operator="equal">
      <formula>"Towel"</formula>
    </cfRule>
  </conditionalFormatting>
  <conditionalFormatting sqref="B32:C32">
    <cfRule type="cellIs" dxfId="825" priority="825" stopIfTrue="1" operator="equal">
      <formula>"Towel"</formula>
    </cfRule>
    <cfRule type="cellIs" dxfId="824" priority="826" stopIfTrue="1" operator="equal">
      <formula>"Napkin Hs"</formula>
    </cfRule>
  </conditionalFormatting>
  <conditionalFormatting sqref="C32">
    <cfRule type="cellIs" dxfId="823" priority="824" stopIfTrue="1" operator="equal">
      <formula>"Napkin Hs"</formula>
    </cfRule>
  </conditionalFormatting>
  <conditionalFormatting sqref="C32">
    <cfRule type="cellIs" dxfId="822" priority="821" stopIfTrue="1" operator="equal">
      <formula>"Towel"</formula>
    </cfRule>
    <cfRule type="cellIs" dxfId="821" priority="822" stopIfTrue="1" operator="equal">
      <formula>"Napkin Hs"</formula>
    </cfRule>
  </conditionalFormatting>
  <conditionalFormatting sqref="C32">
    <cfRule type="cellIs" dxfId="820" priority="823" stopIfTrue="1" operator="equal">
      <formula>"Towel"</formula>
    </cfRule>
  </conditionalFormatting>
  <conditionalFormatting sqref="B45:C45">
    <cfRule type="cellIs" dxfId="819" priority="819" stopIfTrue="1" operator="equal">
      <formula>"Towel"</formula>
    </cfRule>
    <cfRule type="cellIs" dxfId="818" priority="820" stopIfTrue="1" operator="equal">
      <formula>"Napkin Hs"</formula>
    </cfRule>
  </conditionalFormatting>
  <conditionalFormatting sqref="C45">
    <cfRule type="cellIs" dxfId="817" priority="809" stopIfTrue="1" operator="equal">
      <formula>"Towel"</formula>
    </cfRule>
    <cfRule type="cellIs" dxfId="816" priority="810" stopIfTrue="1" operator="equal">
      <formula>"Napkin Hs"</formula>
    </cfRule>
  </conditionalFormatting>
  <conditionalFormatting sqref="C45">
    <cfRule type="cellIs" dxfId="815" priority="813" stopIfTrue="1" operator="equal">
      <formula>"Towel"</formula>
    </cfRule>
    <cfRule type="cellIs" dxfId="814" priority="814" stopIfTrue="1" operator="equal">
      <formula>"Napkin Hs"</formula>
    </cfRule>
  </conditionalFormatting>
  <conditionalFormatting sqref="C45">
    <cfRule type="cellIs" dxfId="813" priority="817" stopIfTrue="1" operator="equal">
      <formula>"Towel"</formula>
    </cfRule>
    <cfRule type="cellIs" dxfId="812" priority="818" stopIfTrue="1" operator="equal">
      <formula>"Napkin Hs"</formula>
    </cfRule>
  </conditionalFormatting>
  <conditionalFormatting sqref="B45">
    <cfRule type="cellIs" dxfId="811" priority="801" stopIfTrue="1" operator="equal">
      <formula>"Towel"</formula>
    </cfRule>
    <cfRule type="cellIs" dxfId="810" priority="802" stopIfTrue="1" operator="equal">
      <formula>"Napkin Hs"</formula>
    </cfRule>
  </conditionalFormatting>
  <conditionalFormatting sqref="C45">
    <cfRule type="cellIs" dxfId="809" priority="815" stopIfTrue="1" operator="equal">
      <formula>"Towel"</formula>
    </cfRule>
    <cfRule type="cellIs" dxfId="808" priority="816" stopIfTrue="1" operator="equal">
      <formula>"Napkin Hs"</formula>
    </cfRule>
  </conditionalFormatting>
  <conditionalFormatting sqref="B45">
    <cfRule type="cellIs" dxfId="807" priority="799" stopIfTrue="1" operator="equal">
      <formula>"Towel"</formula>
    </cfRule>
    <cfRule type="cellIs" dxfId="806" priority="800" stopIfTrue="1" operator="equal">
      <formula>"Napkin Hs"</formula>
    </cfRule>
  </conditionalFormatting>
  <conditionalFormatting sqref="C45">
    <cfRule type="cellIs" dxfId="805" priority="803" stopIfTrue="1" operator="equal">
      <formula>"Towel"</formula>
    </cfRule>
    <cfRule type="cellIs" dxfId="804" priority="804" stopIfTrue="1" operator="equal">
      <formula>"Napkin Hs"</formula>
    </cfRule>
  </conditionalFormatting>
  <conditionalFormatting sqref="C45">
    <cfRule type="cellIs" dxfId="803" priority="812" stopIfTrue="1" operator="equal">
      <formula>"Napkin Hs"</formula>
    </cfRule>
  </conditionalFormatting>
  <conditionalFormatting sqref="C45">
    <cfRule type="cellIs" dxfId="802" priority="811" stopIfTrue="1" operator="equal">
      <formula>"Towel"</formula>
    </cfRule>
  </conditionalFormatting>
  <conditionalFormatting sqref="C45">
    <cfRule type="cellIs" dxfId="801" priority="807" stopIfTrue="1" operator="equal">
      <formula>"Towel"</formula>
    </cfRule>
    <cfRule type="cellIs" dxfId="800" priority="808" stopIfTrue="1" operator="equal">
      <formula>"Napkin Hs"</formula>
    </cfRule>
  </conditionalFormatting>
  <conditionalFormatting sqref="C45">
    <cfRule type="cellIs" dxfId="799" priority="806" stopIfTrue="1" operator="equal">
      <formula>"Napkin Hs"</formula>
    </cfRule>
  </conditionalFormatting>
  <conditionalFormatting sqref="C45">
    <cfRule type="cellIs" dxfId="798" priority="805" stopIfTrue="1" operator="equal">
      <formula>"Towel"</formula>
    </cfRule>
  </conditionalFormatting>
  <conditionalFormatting sqref="B53">
    <cfRule type="cellIs" dxfId="797" priority="783" stopIfTrue="1" operator="equal">
      <formula>"Towel"</formula>
    </cfRule>
    <cfRule type="cellIs" dxfId="796" priority="784" stopIfTrue="1" operator="equal">
      <formula>"Napkin Hs"</formula>
    </cfRule>
  </conditionalFormatting>
  <conditionalFormatting sqref="C53">
    <cfRule type="cellIs" dxfId="795" priority="797" stopIfTrue="1" operator="equal">
      <formula>"Towel"</formula>
    </cfRule>
    <cfRule type="cellIs" dxfId="794" priority="798" stopIfTrue="1" operator="equal">
      <formula>"Napkin Hs"</formula>
    </cfRule>
  </conditionalFormatting>
  <conditionalFormatting sqref="C53">
    <cfRule type="cellIs" dxfId="793" priority="793" stopIfTrue="1" operator="equal">
      <formula>"Towel"</formula>
    </cfRule>
    <cfRule type="cellIs" dxfId="792" priority="794" stopIfTrue="1" operator="equal">
      <formula>"Napkin Hs"</formula>
    </cfRule>
  </conditionalFormatting>
  <conditionalFormatting sqref="B53">
    <cfRule type="cellIs" dxfId="791" priority="785" stopIfTrue="1" operator="equal">
      <formula>"Towel"</formula>
    </cfRule>
    <cfRule type="cellIs" dxfId="790" priority="786" stopIfTrue="1" operator="equal">
      <formula>"Napkin Hs"</formula>
    </cfRule>
  </conditionalFormatting>
  <conditionalFormatting sqref="C53">
    <cfRule type="cellIs" dxfId="789" priority="787" stopIfTrue="1" operator="equal">
      <formula>"Towel"</formula>
    </cfRule>
    <cfRule type="cellIs" dxfId="788" priority="788" stopIfTrue="1" operator="equal">
      <formula>"Napkin Hs"</formula>
    </cfRule>
  </conditionalFormatting>
  <conditionalFormatting sqref="C53">
    <cfRule type="cellIs" dxfId="787" priority="796" stopIfTrue="1" operator="equal">
      <formula>"Napkin Hs"</formula>
    </cfRule>
  </conditionalFormatting>
  <conditionalFormatting sqref="C53">
    <cfRule type="cellIs" dxfId="786" priority="795" stopIfTrue="1" operator="equal">
      <formula>"Towel"</formula>
    </cfRule>
  </conditionalFormatting>
  <conditionalFormatting sqref="C53">
    <cfRule type="cellIs" dxfId="785" priority="791" stopIfTrue="1" operator="equal">
      <formula>"Towel"</formula>
    </cfRule>
    <cfRule type="cellIs" dxfId="784" priority="792" stopIfTrue="1" operator="equal">
      <formula>"Napkin Hs"</formula>
    </cfRule>
  </conditionalFormatting>
  <conditionalFormatting sqref="C53">
    <cfRule type="cellIs" dxfId="783" priority="790" stopIfTrue="1" operator="equal">
      <formula>"Napkin Hs"</formula>
    </cfRule>
  </conditionalFormatting>
  <conditionalFormatting sqref="C53">
    <cfRule type="cellIs" dxfId="782" priority="789" stopIfTrue="1" operator="equal">
      <formula>"Towel"</formula>
    </cfRule>
  </conditionalFormatting>
  <conditionalFormatting sqref="B57">
    <cfRule type="cellIs" dxfId="781" priority="767" stopIfTrue="1" operator="equal">
      <formula>"Towel"</formula>
    </cfRule>
    <cfRule type="cellIs" dxfId="780" priority="768" stopIfTrue="1" operator="equal">
      <formula>"Napkin Hs"</formula>
    </cfRule>
  </conditionalFormatting>
  <conditionalFormatting sqref="C57">
    <cfRule type="cellIs" dxfId="779" priority="781" stopIfTrue="1" operator="equal">
      <formula>"Towel"</formula>
    </cfRule>
    <cfRule type="cellIs" dxfId="778" priority="782" stopIfTrue="1" operator="equal">
      <formula>"Napkin Hs"</formula>
    </cfRule>
  </conditionalFormatting>
  <conditionalFormatting sqref="C57">
    <cfRule type="cellIs" dxfId="777" priority="777" stopIfTrue="1" operator="equal">
      <formula>"Towel"</formula>
    </cfRule>
    <cfRule type="cellIs" dxfId="776" priority="778" stopIfTrue="1" operator="equal">
      <formula>"Napkin Hs"</formula>
    </cfRule>
  </conditionalFormatting>
  <conditionalFormatting sqref="B57">
    <cfRule type="cellIs" dxfId="775" priority="769" stopIfTrue="1" operator="equal">
      <formula>"Towel"</formula>
    </cfRule>
    <cfRule type="cellIs" dxfId="774" priority="770" stopIfTrue="1" operator="equal">
      <formula>"Napkin Hs"</formula>
    </cfRule>
  </conditionalFormatting>
  <conditionalFormatting sqref="C57">
    <cfRule type="cellIs" dxfId="773" priority="771" stopIfTrue="1" operator="equal">
      <formula>"Towel"</formula>
    </cfRule>
    <cfRule type="cellIs" dxfId="772" priority="772" stopIfTrue="1" operator="equal">
      <formula>"Napkin Hs"</formula>
    </cfRule>
  </conditionalFormatting>
  <conditionalFormatting sqref="C57">
    <cfRule type="cellIs" dxfId="771" priority="780" stopIfTrue="1" operator="equal">
      <formula>"Napkin Hs"</formula>
    </cfRule>
  </conditionalFormatting>
  <conditionalFormatting sqref="C57">
    <cfRule type="cellIs" dxfId="770" priority="779" stopIfTrue="1" operator="equal">
      <formula>"Towel"</formula>
    </cfRule>
  </conditionalFormatting>
  <conditionalFormatting sqref="C57">
    <cfRule type="cellIs" dxfId="769" priority="775" stopIfTrue="1" operator="equal">
      <formula>"Towel"</formula>
    </cfRule>
    <cfRule type="cellIs" dxfId="768" priority="776" stopIfTrue="1" operator="equal">
      <formula>"Napkin Hs"</formula>
    </cfRule>
  </conditionalFormatting>
  <conditionalFormatting sqref="C57">
    <cfRule type="cellIs" dxfId="767" priority="774" stopIfTrue="1" operator="equal">
      <formula>"Napkin Hs"</formula>
    </cfRule>
  </conditionalFormatting>
  <conditionalFormatting sqref="C57">
    <cfRule type="cellIs" dxfId="766" priority="773" stopIfTrue="1" operator="equal">
      <formula>"Towel"</formula>
    </cfRule>
  </conditionalFormatting>
  <conditionalFormatting sqref="C85">
    <cfRule type="cellIs" dxfId="765" priority="761" stopIfTrue="1" operator="equal">
      <formula>"Towel"</formula>
    </cfRule>
    <cfRule type="cellIs" dxfId="764" priority="762" stopIfTrue="1" operator="equal">
      <formula>"Napkin Hs"</formula>
    </cfRule>
  </conditionalFormatting>
  <conditionalFormatting sqref="B85">
    <cfRule type="cellIs" dxfId="763" priority="751" stopIfTrue="1" operator="equal">
      <formula>"Towel"</formula>
    </cfRule>
    <cfRule type="cellIs" dxfId="762" priority="752" stopIfTrue="1" operator="equal">
      <formula>"Napkin Hs"</formula>
    </cfRule>
  </conditionalFormatting>
  <conditionalFormatting sqref="C85">
    <cfRule type="cellIs" dxfId="761" priority="755" stopIfTrue="1" operator="equal">
      <formula>"Towel"</formula>
    </cfRule>
    <cfRule type="cellIs" dxfId="760" priority="756" stopIfTrue="1" operator="equal">
      <formula>"Napkin Hs"</formula>
    </cfRule>
  </conditionalFormatting>
  <conditionalFormatting sqref="C85">
    <cfRule type="cellIs" dxfId="759" priority="765" stopIfTrue="1" operator="equal">
      <formula>"Towel"</formula>
    </cfRule>
    <cfRule type="cellIs" dxfId="758" priority="766" stopIfTrue="1" operator="equal">
      <formula>"Napkin Hs"</formula>
    </cfRule>
  </conditionalFormatting>
  <conditionalFormatting sqref="B85">
    <cfRule type="cellIs" dxfId="757" priority="753" stopIfTrue="1" operator="equal">
      <formula>"Towel"</formula>
    </cfRule>
    <cfRule type="cellIs" dxfId="756" priority="754" stopIfTrue="1" operator="equal">
      <formula>"Napkin Hs"</formula>
    </cfRule>
  </conditionalFormatting>
  <conditionalFormatting sqref="C85">
    <cfRule type="cellIs" dxfId="755" priority="764" stopIfTrue="1" operator="equal">
      <formula>"Napkin Hs"</formula>
    </cfRule>
  </conditionalFormatting>
  <conditionalFormatting sqref="C85">
    <cfRule type="cellIs" dxfId="754" priority="763" stopIfTrue="1" operator="equal">
      <formula>"Towel"</formula>
    </cfRule>
  </conditionalFormatting>
  <conditionalFormatting sqref="C85">
    <cfRule type="cellIs" dxfId="753" priority="759" stopIfTrue="1" operator="equal">
      <formula>"Towel"</formula>
    </cfRule>
    <cfRule type="cellIs" dxfId="752" priority="760" stopIfTrue="1" operator="equal">
      <formula>"Napkin Hs"</formula>
    </cfRule>
  </conditionalFormatting>
  <conditionalFormatting sqref="C85">
    <cfRule type="cellIs" dxfId="751" priority="758" stopIfTrue="1" operator="equal">
      <formula>"Napkin Hs"</formula>
    </cfRule>
  </conditionalFormatting>
  <conditionalFormatting sqref="C85">
    <cfRule type="cellIs" dxfId="750" priority="757" stopIfTrue="1" operator="equal">
      <formula>"Towel"</formula>
    </cfRule>
  </conditionalFormatting>
  <conditionalFormatting sqref="C115">
    <cfRule type="cellIs" dxfId="749" priority="745" stopIfTrue="1" operator="equal">
      <formula>"Towel"</formula>
    </cfRule>
    <cfRule type="cellIs" dxfId="748" priority="746" stopIfTrue="1" operator="equal">
      <formula>"Napkin Hs"</formula>
    </cfRule>
  </conditionalFormatting>
  <conditionalFormatting sqref="B115:C115">
    <cfRule type="cellIs" dxfId="747" priority="749" stopIfTrue="1" operator="equal">
      <formula>"Towel"</formula>
    </cfRule>
    <cfRule type="cellIs" dxfId="746" priority="750" stopIfTrue="1" operator="equal">
      <formula>"Napkin Hs"</formula>
    </cfRule>
  </conditionalFormatting>
  <conditionalFormatting sqref="C115">
    <cfRule type="cellIs" dxfId="745" priority="748" stopIfTrue="1" operator="equal">
      <formula>"Napkin Hs"</formula>
    </cfRule>
  </conditionalFormatting>
  <conditionalFormatting sqref="C115">
    <cfRule type="cellIs" dxfId="744" priority="747" stopIfTrue="1" operator="equal">
      <formula>"Towel"</formula>
    </cfRule>
  </conditionalFormatting>
  <conditionalFormatting sqref="C120">
    <cfRule type="cellIs" dxfId="743" priority="739" stopIfTrue="1" operator="equal">
      <formula>"Towel"</formula>
    </cfRule>
    <cfRule type="cellIs" dxfId="742" priority="740" stopIfTrue="1" operator="equal">
      <formula>"Napkin Hs"</formula>
    </cfRule>
  </conditionalFormatting>
  <conditionalFormatting sqref="B120:C120">
    <cfRule type="cellIs" dxfId="741" priority="743" stopIfTrue="1" operator="equal">
      <formula>"Towel"</formula>
    </cfRule>
    <cfRule type="cellIs" dxfId="740" priority="744" stopIfTrue="1" operator="equal">
      <formula>"Napkin Hs"</formula>
    </cfRule>
  </conditionalFormatting>
  <conditionalFormatting sqref="C120">
    <cfRule type="cellIs" dxfId="739" priority="742" stopIfTrue="1" operator="equal">
      <formula>"Napkin Hs"</formula>
    </cfRule>
  </conditionalFormatting>
  <conditionalFormatting sqref="C120">
    <cfRule type="cellIs" dxfId="738" priority="741" stopIfTrue="1" operator="equal">
      <formula>"Towel"</formula>
    </cfRule>
  </conditionalFormatting>
  <conditionalFormatting sqref="C124">
    <cfRule type="cellIs" dxfId="737" priority="733" stopIfTrue="1" operator="equal">
      <formula>"Towel"</formula>
    </cfRule>
    <cfRule type="cellIs" dxfId="736" priority="734" stopIfTrue="1" operator="equal">
      <formula>"Napkin Hs"</formula>
    </cfRule>
  </conditionalFormatting>
  <conditionalFormatting sqref="B124:C124">
    <cfRule type="cellIs" dxfId="735" priority="737" stopIfTrue="1" operator="equal">
      <formula>"Towel"</formula>
    </cfRule>
    <cfRule type="cellIs" dxfId="734" priority="738" stopIfTrue="1" operator="equal">
      <formula>"Napkin Hs"</formula>
    </cfRule>
  </conditionalFormatting>
  <conditionalFormatting sqref="C124">
    <cfRule type="cellIs" dxfId="733" priority="736" stopIfTrue="1" operator="equal">
      <formula>"Napkin Hs"</formula>
    </cfRule>
  </conditionalFormatting>
  <conditionalFormatting sqref="C124">
    <cfRule type="cellIs" dxfId="732" priority="735" stopIfTrue="1" operator="equal">
      <formula>"Towel"</formula>
    </cfRule>
  </conditionalFormatting>
  <conditionalFormatting sqref="B128">
    <cfRule type="cellIs" dxfId="731" priority="713" stopIfTrue="1" operator="equal">
      <formula>"Towel"</formula>
    </cfRule>
    <cfRule type="cellIs" dxfId="730" priority="714" stopIfTrue="1" operator="equal">
      <formula>"Napkin Hs"</formula>
    </cfRule>
  </conditionalFormatting>
  <conditionalFormatting sqref="C128">
    <cfRule type="cellIs" dxfId="729" priority="721" stopIfTrue="1" operator="equal">
      <formula>"Towel"</formula>
    </cfRule>
    <cfRule type="cellIs" dxfId="728" priority="722" stopIfTrue="1" operator="equal">
      <formula>"Napkin Hs"</formula>
    </cfRule>
  </conditionalFormatting>
  <conditionalFormatting sqref="B128">
    <cfRule type="cellIs" dxfId="727" priority="711" stopIfTrue="1" operator="equal">
      <formula>"Towel"</formula>
    </cfRule>
    <cfRule type="cellIs" dxfId="726" priority="712" stopIfTrue="1" operator="equal">
      <formula>"Napkin Hs"</formula>
    </cfRule>
  </conditionalFormatting>
  <conditionalFormatting sqref="C128">
    <cfRule type="cellIs" dxfId="725" priority="715" stopIfTrue="1" operator="equal">
      <formula>"Towel"</formula>
    </cfRule>
    <cfRule type="cellIs" dxfId="724" priority="716" stopIfTrue="1" operator="equal">
      <formula>"Napkin Hs"</formula>
    </cfRule>
  </conditionalFormatting>
  <conditionalFormatting sqref="C128">
    <cfRule type="cellIs" dxfId="723" priority="725" stopIfTrue="1" operator="equal">
      <formula>"Towel"</formula>
    </cfRule>
    <cfRule type="cellIs" dxfId="722" priority="726" stopIfTrue="1" operator="equal">
      <formula>"Napkin Hs"</formula>
    </cfRule>
  </conditionalFormatting>
  <conditionalFormatting sqref="C128">
    <cfRule type="cellIs" dxfId="721" priority="724" stopIfTrue="1" operator="equal">
      <formula>"Napkin Hs"</formula>
    </cfRule>
  </conditionalFormatting>
  <conditionalFormatting sqref="C128">
    <cfRule type="cellIs" dxfId="720" priority="723" stopIfTrue="1" operator="equal">
      <formula>"Towel"</formula>
    </cfRule>
  </conditionalFormatting>
  <conditionalFormatting sqref="C128">
    <cfRule type="cellIs" dxfId="719" priority="719" stopIfTrue="1" operator="equal">
      <formula>"Towel"</formula>
    </cfRule>
    <cfRule type="cellIs" dxfId="718" priority="720" stopIfTrue="1" operator="equal">
      <formula>"Napkin Hs"</formula>
    </cfRule>
  </conditionalFormatting>
  <conditionalFormatting sqref="C128">
    <cfRule type="cellIs" dxfId="717" priority="718" stopIfTrue="1" operator="equal">
      <formula>"Napkin Hs"</formula>
    </cfRule>
  </conditionalFormatting>
  <conditionalFormatting sqref="C128">
    <cfRule type="cellIs" dxfId="716" priority="717" stopIfTrue="1" operator="equal">
      <formula>"Towel"</formula>
    </cfRule>
  </conditionalFormatting>
  <conditionalFormatting sqref="B128:C128">
    <cfRule type="cellIs" dxfId="715" priority="731" stopIfTrue="1" operator="equal">
      <formula>"Towel"</formula>
    </cfRule>
    <cfRule type="cellIs" dxfId="714" priority="732" stopIfTrue="1" operator="equal">
      <formula>"Napkin Hs"</formula>
    </cfRule>
  </conditionalFormatting>
  <conditionalFormatting sqref="C128">
    <cfRule type="cellIs" dxfId="713" priority="729" stopIfTrue="1" operator="equal">
      <formula>"Towel"</formula>
    </cfRule>
    <cfRule type="cellIs" dxfId="712" priority="730" stopIfTrue="1" operator="equal">
      <formula>"Napkin Hs"</formula>
    </cfRule>
  </conditionalFormatting>
  <conditionalFormatting sqref="C128">
    <cfRule type="cellIs" dxfId="711" priority="727" stopIfTrue="1" operator="equal">
      <formula>"Towel"</formula>
    </cfRule>
    <cfRule type="cellIs" dxfId="710" priority="728" stopIfTrue="1" operator="equal">
      <formula>"Napkin Hs"</formula>
    </cfRule>
  </conditionalFormatting>
  <conditionalFormatting sqref="C136">
    <cfRule type="cellIs" dxfId="709" priority="705" stopIfTrue="1" operator="equal">
      <formula>"Towel"</formula>
    </cfRule>
    <cfRule type="cellIs" dxfId="708" priority="706" stopIfTrue="1" operator="equal">
      <formula>"Napkin Hs"</formula>
    </cfRule>
  </conditionalFormatting>
  <conditionalFormatting sqref="B136:C136">
    <cfRule type="cellIs" dxfId="707" priority="709" stopIfTrue="1" operator="equal">
      <formula>"Towel"</formula>
    </cfRule>
    <cfRule type="cellIs" dxfId="706" priority="710" stopIfTrue="1" operator="equal">
      <formula>"Napkin Hs"</formula>
    </cfRule>
  </conditionalFormatting>
  <conditionalFormatting sqref="C136">
    <cfRule type="cellIs" dxfId="705" priority="708" stopIfTrue="1" operator="equal">
      <formula>"Napkin Hs"</formula>
    </cfRule>
  </conditionalFormatting>
  <conditionalFormatting sqref="C136">
    <cfRule type="cellIs" dxfId="704" priority="707" stopIfTrue="1" operator="equal">
      <formula>"Towel"</formula>
    </cfRule>
  </conditionalFormatting>
  <conditionalFormatting sqref="C6">
    <cfRule type="cellIs" dxfId="703" priority="704" stopIfTrue="1" operator="equal">
      <formula>"Napkin Hs"</formula>
    </cfRule>
  </conditionalFormatting>
  <conditionalFormatting sqref="C6">
    <cfRule type="cellIs" dxfId="702" priority="703" stopIfTrue="1" operator="equal">
      <formula>"Napkin Hs"</formula>
    </cfRule>
  </conditionalFormatting>
  <conditionalFormatting sqref="C15:C18">
    <cfRule type="cellIs" dxfId="701" priority="702" stopIfTrue="1" operator="equal">
      <formula>"Napkin Hs"</formula>
    </cfRule>
  </conditionalFormatting>
  <conditionalFormatting sqref="C15:C18">
    <cfRule type="cellIs" dxfId="700" priority="701" stopIfTrue="1" operator="equal">
      <formula>"Napkin Hs"</formula>
    </cfRule>
  </conditionalFormatting>
  <conditionalFormatting sqref="C27">
    <cfRule type="cellIs" dxfId="699" priority="700" stopIfTrue="1" operator="equal">
      <formula>"Napkin Hs"</formula>
    </cfRule>
  </conditionalFormatting>
  <conditionalFormatting sqref="C27">
    <cfRule type="cellIs" dxfId="698" priority="699" stopIfTrue="1" operator="equal">
      <formula>"Napkin Hs"</formula>
    </cfRule>
  </conditionalFormatting>
  <conditionalFormatting sqref="B13:C14">
    <cfRule type="cellIs" dxfId="697" priority="697" stopIfTrue="1" operator="equal">
      <formula>"Towel"</formula>
    </cfRule>
    <cfRule type="cellIs" dxfId="696" priority="698" stopIfTrue="1" operator="equal">
      <formula>"Napkin Hs"</formula>
    </cfRule>
  </conditionalFormatting>
  <conditionalFormatting sqref="C13:C14">
    <cfRule type="cellIs" dxfId="695" priority="696" stopIfTrue="1" operator="equal">
      <formula>"Napkin Hs"</formula>
    </cfRule>
  </conditionalFormatting>
  <conditionalFormatting sqref="C13:C14">
    <cfRule type="cellIs" dxfId="694" priority="693" stopIfTrue="1" operator="equal">
      <formula>"Towel"</formula>
    </cfRule>
    <cfRule type="cellIs" dxfId="693" priority="694" stopIfTrue="1" operator="equal">
      <formula>"Napkin Hs"</formula>
    </cfRule>
  </conditionalFormatting>
  <conditionalFormatting sqref="C13:C14">
    <cfRule type="cellIs" dxfId="692" priority="695" stopIfTrue="1" operator="equal">
      <formula>"Towel"</formula>
    </cfRule>
  </conditionalFormatting>
  <conditionalFormatting sqref="C12">
    <cfRule type="cellIs" dxfId="691" priority="691" stopIfTrue="1" operator="equal">
      <formula>"Towel"</formula>
    </cfRule>
    <cfRule type="cellIs" dxfId="690" priority="692" stopIfTrue="1" operator="equal">
      <formula>"Napkin Hs"</formula>
    </cfRule>
  </conditionalFormatting>
  <conditionalFormatting sqref="C12">
    <cfRule type="cellIs" dxfId="689" priority="687" stopIfTrue="1" operator="equal">
      <formula>"Towel"</formula>
    </cfRule>
    <cfRule type="cellIs" dxfId="688" priority="688" stopIfTrue="1" operator="equal">
      <formula>"Napkin Hs"</formula>
    </cfRule>
  </conditionalFormatting>
  <conditionalFormatting sqref="B12">
    <cfRule type="cellIs" dxfId="687" priority="677" stopIfTrue="1" operator="equal">
      <formula>"Towel"</formula>
    </cfRule>
    <cfRule type="cellIs" dxfId="686" priority="678" stopIfTrue="1" operator="equal">
      <formula>"Napkin Hs"</formula>
    </cfRule>
  </conditionalFormatting>
  <conditionalFormatting sqref="B12">
    <cfRule type="cellIs" dxfId="685" priority="679" stopIfTrue="1" operator="equal">
      <formula>"Towel"</formula>
    </cfRule>
    <cfRule type="cellIs" dxfId="684" priority="680" stopIfTrue="1" operator="equal">
      <formula>"Napkin Hs"</formula>
    </cfRule>
  </conditionalFormatting>
  <conditionalFormatting sqref="C12">
    <cfRule type="cellIs" dxfId="683" priority="681" stopIfTrue="1" operator="equal">
      <formula>"Towel"</formula>
    </cfRule>
    <cfRule type="cellIs" dxfId="682" priority="682" stopIfTrue="1" operator="equal">
      <formula>"Napkin Hs"</formula>
    </cfRule>
  </conditionalFormatting>
  <conditionalFormatting sqref="C12">
    <cfRule type="cellIs" dxfId="681" priority="690" stopIfTrue="1" operator="equal">
      <formula>"Napkin Hs"</formula>
    </cfRule>
  </conditionalFormatting>
  <conditionalFormatting sqref="C12">
    <cfRule type="cellIs" dxfId="680" priority="689" stopIfTrue="1" operator="equal">
      <formula>"Towel"</formula>
    </cfRule>
  </conditionalFormatting>
  <conditionalFormatting sqref="C12">
    <cfRule type="cellIs" dxfId="679" priority="685" stopIfTrue="1" operator="equal">
      <formula>"Towel"</formula>
    </cfRule>
    <cfRule type="cellIs" dxfId="678" priority="686" stopIfTrue="1" operator="equal">
      <formula>"Napkin Hs"</formula>
    </cfRule>
  </conditionalFormatting>
  <conditionalFormatting sqref="C12">
    <cfRule type="cellIs" dxfId="677" priority="684" stopIfTrue="1" operator="equal">
      <formula>"Napkin Hs"</formula>
    </cfRule>
  </conditionalFormatting>
  <conditionalFormatting sqref="C12">
    <cfRule type="cellIs" dxfId="676" priority="683" stopIfTrue="1" operator="equal">
      <formula>"Towel"</formula>
    </cfRule>
  </conditionalFormatting>
  <conditionalFormatting sqref="C11">
    <cfRule type="cellIs" dxfId="675" priority="676" stopIfTrue="1" operator="equal">
      <formula>"Napkin Hs"</formula>
    </cfRule>
  </conditionalFormatting>
  <conditionalFormatting sqref="C11">
    <cfRule type="cellIs" dxfId="674" priority="675" stopIfTrue="1" operator="equal">
      <formula>"Napkin Hs"</formula>
    </cfRule>
  </conditionalFormatting>
  <conditionalFormatting sqref="C23">
    <cfRule type="cellIs" dxfId="673" priority="674" stopIfTrue="1" operator="equal">
      <formula>"Napkin Hs"</formula>
    </cfRule>
  </conditionalFormatting>
  <conditionalFormatting sqref="C23">
    <cfRule type="cellIs" dxfId="672" priority="673" stopIfTrue="1" operator="equal">
      <formula>"Napkin Hs"</formula>
    </cfRule>
  </conditionalFormatting>
  <conditionalFormatting sqref="B21:C22">
    <cfRule type="cellIs" dxfId="671" priority="671" stopIfTrue="1" operator="equal">
      <formula>"Towel"</formula>
    </cfRule>
    <cfRule type="cellIs" dxfId="670" priority="672" stopIfTrue="1" operator="equal">
      <formula>"Napkin Hs"</formula>
    </cfRule>
  </conditionalFormatting>
  <conditionalFormatting sqref="C21:C22">
    <cfRule type="cellIs" dxfId="669" priority="670" stopIfTrue="1" operator="equal">
      <formula>"Napkin Hs"</formula>
    </cfRule>
  </conditionalFormatting>
  <conditionalFormatting sqref="C21:C22">
    <cfRule type="cellIs" dxfId="668" priority="667" stopIfTrue="1" operator="equal">
      <formula>"Towel"</formula>
    </cfRule>
    <cfRule type="cellIs" dxfId="667" priority="668" stopIfTrue="1" operator="equal">
      <formula>"Napkin Hs"</formula>
    </cfRule>
  </conditionalFormatting>
  <conditionalFormatting sqref="C21:C22">
    <cfRule type="cellIs" dxfId="666" priority="669" stopIfTrue="1" operator="equal">
      <formula>"Towel"</formula>
    </cfRule>
  </conditionalFormatting>
  <conditionalFormatting sqref="C20">
    <cfRule type="cellIs" dxfId="665" priority="665" stopIfTrue="1" operator="equal">
      <formula>"Towel"</formula>
    </cfRule>
    <cfRule type="cellIs" dxfId="664" priority="666" stopIfTrue="1" operator="equal">
      <formula>"Napkin Hs"</formula>
    </cfRule>
  </conditionalFormatting>
  <conditionalFormatting sqref="C20">
    <cfRule type="cellIs" dxfId="663" priority="661" stopIfTrue="1" operator="equal">
      <formula>"Towel"</formula>
    </cfRule>
    <cfRule type="cellIs" dxfId="662" priority="662" stopIfTrue="1" operator="equal">
      <formula>"Napkin Hs"</formula>
    </cfRule>
  </conditionalFormatting>
  <conditionalFormatting sqref="B20">
    <cfRule type="cellIs" dxfId="661" priority="651" stopIfTrue="1" operator="equal">
      <formula>"Towel"</formula>
    </cfRule>
    <cfRule type="cellIs" dxfId="660" priority="652" stopIfTrue="1" operator="equal">
      <formula>"Napkin Hs"</formula>
    </cfRule>
  </conditionalFormatting>
  <conditionalFormatting sqref="B20">
    <cfRule type="cellIs" dxfId="659" priority="653" stopIfTrue="1" operator="equal">
      <formula>"Towel"</formula>
    </cfRule>
    <cfRule type="cellIs" dxfId="658" priority="654" stopIfTrue="1" operator="equal">
      <formula>"Napkin Hs"</formula>
    </cfRule>
  </conditionalFormatting>
  <conditionalFormatting sqref="C20">
    <cfRule type="cellIs" dxfId="657" priority="655" stopIfTrue="1" operator="equal">
      <formula>"Towel"</formula>
    </cfRule>
    <cfRule type="cellIs" dxfId="656" priority="656" stopIfTrue="1" operator="equal">
      <formula>"Napkin Hs"</formula>
    </cfRule>
  </conditionalFormatting>
  <conditionalFormatting sqref="C20">
    <cfRule type="cellIs" dxfId="655" priority="664" stopIfTrue="1" operator="equal">
      <formula>"Napkin Hs"</formula>
    </cfRule>
  </conditionalFormatting>
  <conditionalFormatting sqref="C20">
    <cfRule type="cellIs" dxfId="654" priority="663" stopIfTrue="1" operator="equal">
      <formula>"Towel"</formula>
    </cfRule>
  </conditionalFormatting>
  <conditionalFormatting sqref="C20">
    <cfRule type="cellIs" dxfId="653" priority="659" stopIfTrue="1" operator="equal">
      <formula>"Towel"</formula>
    </cfRule>
    <cfRule type="cellIs" dxfId="652" priority="660" stopIfTrue="1" operator="equal">
      <formula>"Napkin Hs"</formula>
    </cfRule>
  </conditionalFormatting>
  <conditionalFormatting sqref="C20">
    <cfRule type="cellIs" dxfId="651" priority="658" stopIfTrue="1" operator="equal">
      <formula>"Napkin Hs"</formula>
    </cfRule>
  </conditionalFormatting>
  <conditionalFormatting sqref="C20">
    <cfRule type="cellIs" dxfId="650" priority="657" stopIfTrue="1" operator="equal">
      <formula>"Towel"</formula>
    </cfRule>
  </conditionalFormatting>
  <conditionalFormatting sqref="C19">
    <cfRule type="cellIs" dxfId="649" priority="650" stopIfTrue="1" operator="equal">
      <formula>"Napkin Hs"</formula>
    </cfRule>
  </conditionalFormatting>
  <conditionalFormatting sqref="C19">
    <cfRule type="cellIs" dxfId="648" priority="649" stopIfTrue="1" operator="equal">
      <formula>"Napkin Hs"</formula>
    </cfRule>
  </conditionalFormatting>
  <conditionalFormatting sqref="B26:C26">
    <cfRule type="cellIs" dxfId="647" priority="647" stopIfTrue="1" operator="equal">
      <formula>"Towel"</formula>
    </cfRule>
    <cfRule type="cellIs" dxfId="646" priority="648" stopIfTrue="1" operator="equal">
      <formula>"Napkin Hs"</formula>
    </cfRule>
  </conditionalFormatting>
  <conditionalFormatting sqref="C26">
    <cfRule type="cellIs" dxfId="645" priority="646" stopIfTrue="1" operator="equal">
      <formula>"Napkin Hs"</formula>
    </cfRule>
  </conditionalFormatting>
  <conditionalFormatting sqref="C26">
    <cfRule type="cellIs" dxfId="644" priority="643" stopIfTrue="1" operator="equal">
      <formula>"Towel"</formula>
    </cfRule>
    <cfRule type="cellIs" dxfId="643" priority="644" stopIfTrue="1" operator="equal">
      <formula>"Napkin Hs"</formula>
    </cfRule>
  </conditionalFormatting>
  <conditionalFormatting sqref="C26">
    <cfRule type="cellIs" dxfId="642" priority="645" stopIfTrue="1" operator="equal">
      <formula>"Towel"</formula>
    </cfRule>
  </conditionalFormatting>
  <conditionalFormatting sqref="C25">
    <cfRule type="cellIs" dxfId="641" priority="641" stopIfTrue="1" operator="equal">
      <formula>"Towel"</formula>
    </cfRule>
    <cfRule type="cellIs" dxfId="640" priority="642" stopIfTrue="1" operator="equal">
      <formula>"Napkin Hs"</formula>
    </cfRule>
  </conditionalFormatting>
  <conditionalFormatting sqref="C25">
    <cfRule type="cellIs" dxfId="639" priority="637" stopIfTrue="1" operator="equal">
      <formula>"Towel"</formula>
    </cfRule>
    <cfRule type="cellIs" dxfId="638" priority="638" stopIfTrue="1" operator="equal">
      <formula>"Napkin Hs"</formula>
    </cfRule>
  </conditionalFormatting>
  <conditionalFormatting sqref="B25">
    <cfRule type="cellIs" dxfId="637" priority="627" stopIfTrue="1" operator="equal">
      <formula>"Towel"</formula>
    </cfRule>
    <cfRule type="cellIs" dxfId="636" priority="628" stopIfTrue="1" operator="equal">
      <formula>"Napkin Hs"</formula>
    </cfRule>
  </conditionalFormatting>
  <conditionalFormatting sqref="B25">
    <cfRule type="cellIs" dxfId="635" priority="629" stopIfTrue="1" operator="equal">
      <formula>"Towel"</formula>
    </cfRule>
    <cfRule type="cellIs" dxfId="634" priority="630" stopIfTrue="1" operator="equal">
      <formula>"Napkin Hs"</formula>
    </cfRule>
  </conditionalFormatting>
  <conditionalFormatting sqref="C25">
    <cfRule type="cellIs" dxfId="633" priority="631" stopIfTrue="1" operator="equal">
      <formula>"Towel"</formula>
    </cfRule>
    <cfRule type="cellIs" dxfId="632" priority="632" stopIfTrue="1" operator="equal">
      <formula>"Napkin Hs"</formula>
    </cfRule>
  </conditionalFormatting>
  <conditionalFormatting sqref="C25">
    <cfRule type="cellIs" dxfId="631" priority="640" stopIfTrue="1" operator="equal">
      <formula>"Napkin Hs"</formula>
    </cfRule>
  </conditionalFormatting>
  <conditionalFormatting sqref="C25">
    <cfRule type="cellIs" dxfId="630" priority="639" stopIfTrue="1" operator="equal">
      <formula>"Towel"</formula>
    </cfRule>
  </conditionalFormatting>
  <conditionalFormatting sqref="C25">
    <cfRule type="cellIs" dxfId="629" priority="635" stopIfTrue="1" operator="equal">
      <formula>"Towel"</formula>
    </cfRule>
    <cfRule type="cellIs" dxfId="628" priority="636" stopIfTrue="1" operator="equal">
      <formula>"Napkin Hs"</formula>
    </cfRule>
  </conditionalFormatting>
  <conditionalFormatting sqref="C25">
    <cfRule type="cellIs" dxfId="627" priority="634" stopIfTrue="1" operator="equal">
      <formula>"Napkin Hs"</formula>
    </cfRule>
  </conditionalFormatting>
  <conditionalFormatting sqref="C25">
    <cfRule type="cellIs" dxfId="626" priority="633" stopIfTrue="1" operator="equal">
      <formula>"Towel"</formula>
    </cfRule>
  </conditionalFormatting>
  <conditionalFormatting sqref="C24">
    <cfRule type="cellIs" dxfId="625" priority="626" stopIfTrue="1" operator="equal">
      <formula>"Napkin Hs"</formula>
    </cfRule>
  </conditionalFormatting>
  <conditionalFormatting sqref="C24">
    <cfRule type="cellIs" dxfId="624" priority="625" stopIfTrue="1" operator="equal">
      <formula>"Napkin Hs"</formula>
    </cfRule>
  </conditionalFormatting>
  <conditionalFormatting sqref="B30:C31">
    <cfRule type="cellIs" dxfId="623" priority="623" stopIfTrue="1" operator="equal">
      <formula>"Towel"</formula>
    </cfRule>
    <cfRule type="cellIs" dxfId="622" priority="624" stopIfTrue="1" operator="equal">
      <formula>"Napkin Hs"</formula>
    </cfRule>
  </conditionalFormatting>
  <conditionalFormatting sqref="C30:C31">
    <cfRule type="cellIs" dxfId="621" priority="622" stopIfTrue="1" operator="equal">
      <formula>"Napkin Hs"</formula>
    </cfRule>
  </conditionalFormatting>
  <conditionalFormatting sqref="C30:C31">
    <cfRule type="cellIs" dxfId="620" priority="619" stopIfTrue="1" operator="equal">
      <formula>"Towel"</formula>
    </cfRule>
    <cfRule type="cellIs" dxfId="619" priority="620" stopIfTrue="1" operator="equal">
      <formula>"Napkin Hs"</formula>
    </cfRule>
  </conditionalFormatting>
  <conditionalFormatting sqref="C30:C31">
    <cfRule type="cellIs" dxfId="618" priority="621" stopIfTrue="1" operator="equal">
      <formula>"Towel"</formula>
    </cfRule>
  </conditionalFormatting>
  <conditionalFormatting sqref="C29">
    <cfRule type="cellIs" dxfId="617" priority="617" stopIfTrue="1" operator="equal">
      <formula>"Towel"</formula>
    </cfRule>
    <cfRule type="cellIs" dxfId="616" priority="618" stopIfTrue="1" operator="equal">
      <formula>"Napkin Hs"</formula>
    </cfRule>
  </conditionalFormatting>
  <conditionalFormatting sqref="C29">
    <cfRule type="cellIs" dxfId="615" priority="613" stopIfTrue="1" operator="equal">
      <formula>"Towel"</formula>
    </cfRule>
    <cfRule type="cellIs" dxfId="614" priority="614" stopIfTrue="1" operator="equal">
      <formula>"Napkin Hs"</formula>
    </cfRule>
  </conditionalFormatting>
  <conditionalFormatting sqref="B29">
    <cfRule type="cellIs" dxfId="613" priority="603" stopIfTrue="1" operator="equal">
      <formula>"Towel"</formula>
    </cfRule>
    <cfRule type="cellIs" dxfId="612" priority="604" stopIfTrue="1" operator="equal">
      <formula>"Napkin Hs"</formula>
    </cfRule>
  </conditionalFormatting>
  <conditionalFormatting sqref="B29">
    <cfRule type="cellIs" dxfId="611" priority="605" stopIfTrue="1" operator="equal">
      <formula>"Towel"</formula>
    </cfRule>
    <cfRule type="cellIs" dxfId="610" priority="606" stopIfTrue="1" operator="equal">
      <formula>"Napkin Hs"</formula>
    </cfRule>
  </conditionalFormatting>
  <conditionalFormatting sqref="C29">
    <cfRule type="cellIs" dxfId="609" priority="607" stopIfTrue="1" operator="equal">
      <formula>"Towel"</formula>
    </cfRule>
    <cfRule type="cellIs" dxfId="608" priority="608" stopIfTrue="1" operator="equal">
      <formula>"Napkin Hs"</formula>
    </cfRule>
  </conditionalFormatting>
  <conditionalFormatting sqref="C29">
    <cfRule type="cellIs" dxfId="607" priority="616" stopIfTrue="1" operator="equal">
      <formula>"Napkin Hs"</formula>
    </cfRule>
  </conditionalFormatting>
  <conditionalFormatting sqref="C29">
    <cfRule type="cellIs" dxfId="606" priority="615" stopIfTrue="1" operator="equal">
      <formula>"Towel"</formula>
    </cfRule>
  </conditionalFormatting>
  <conditionalFormatting sqref="C29">
    <cfRule type="cellIs" dxfId="605" priority="611" stopIfTrue="1" operator="equal">
      <formula>"Towel"</formula>
    </cfRule>
    <cfRule type="cellIs" dxfId="604" priority="612" stopIfTrue="1" operator="equal">
      <formula>"Napkin Hs"</formula>
    </cfRule>
  </conditionalFormatting>
  <conditionalFormatting sqref="C29">
    <cfRule type="cellIs" dxfId="603" priority="610" stopIfTrue="1" operator="equal">
      <formula>"Napkin Hs"</formula>
    </cfRule>
  </conditionalFormatting>
  <conditionalFormatting sqref="C29">
    <cfRule type="cellIs" dxfId="602" priority="609" stopIfTrue="1" operator="equal">
      <formula>"Towel"</formula>
    </cfRule>
  </conditionalFormatting>
  <conditionalFormatting sqref="C28">
    <cfRule type="cellIs" dxfId="601" priority="602" stopIfTrue="1" operator="equal">
      <formula>"Napkin Hs"</formula>
    </cfRule>
  </conditionalFormatting>
  <conditionalFormatting sqref="C28">
    <cfRule type="cellIs" dxfId="600" priority="601" stopIfTrue="1" operator="equal">
      <formula>"Napkin Hs"</formula>
    </cfRule>
  </conditionalFormatting>
  <conditionalFormatting sqref="B37:C37">
    <cfRule type="cellIs" dxfId="599" priority="599" stopIfTrue="1" operator="equal">
      <formula>"Towel"</formula>
    </cfRule>
    <cfRule type="cellIs" dxfId="598" priority="600" stopIfTrue="1" operator="equal">
      <formula>"Napkin Hs"</formula>
    </cfRule>
  </conditionalFormatting>
  <conditionalFormatting sqref="C37">
    <cfRule type="cellIs" dxfId="597" priority="598" stopIfTrue="1" operator="equal">
      <formula>"Napkin Hs"</formula>
    </cfRule>
  </conditionalFormatting>
  <conditionalFormatting sqref="C37">
    <cfRule type="cellIs" dxfId="596" priority="595" stopIfTrue="1" operator="equal">
      <formula>"Towel"</formula>
    </cfRule>
    <cfRule type="cellIs" dxfId="595" priority="596" stopIfTrue="1" operator="equal">
      <formula>"Napkin Hs"</formula>
    </cfRule>
  </conditionalFormatting>
  <conditionalFormatting sqref="C37">
    <cfRule type="cellIs" dxfId="594" priority="597" stopIfTrue="1" operator="equal">
      <formula>"Towel"</formula>
    </cfRule>
  </conditionalFormatting>
  <conditionalFormatting sqref="B35:C36">
    <cfRule type="cellIs" dxfId="593" priority="593" stopIfTrue="1" operator="equal">
      <formula>"Towel"</formula>
    </cfRule>
    <cfRule type="cellIs" dxfId="592" priority="594" stopIfTrue="1" operator="equal">
      <formula>"Napkin Hs"</formula>
    </cfRule>
  </conditionalFormatting>
  <conditionalFormatting sqref="C35:C36">
    <cfRule type="cellIs" dxfId="591" priority="592" stopIfTrue="1" operator="equal">
      <formula>"Napkin Hs"</formula>
    </cfRule>
  </conditionalFormatting>
  <conditionalFormatting sqref="C35:C36">
    <cfRule type="cellIs" dxfId="590" priority="589" stopIfTrue="1" operator="equal">
      <formula>"Towel"</formula>
    </cfRule>
    <cfRule type="cellIs" dxfId="589" priority="590" stopIfTrue="1" operator="equal">
      <formula>"Napkin Hs"</formula>
    </cfRule>
  </conditionalFormatting>
  <conditionalFormatting sqref="C35:C36">
    <cfRule type="cellIs" dxfId="588" priority="591" stopIfTrue="1" operator="equal">
      <formula>"Towel"</formula>
    </cfRule>
  </conditionalFormatting>
  <conditionalFormatting sqref="C34">
    <cfRule type="cellIs" dxfId="587" priority="587" stopIfTrue="1" operator="equal">
      <formula>"Towel"</formula>
    </cfRule>
    <cfRule type="cellIs" dxfId="586" priority="588" stopIfTrue="1" operator="equal">
      <formula>"Napkin Hs"</formula>
    </cfRule>
  </conditionalFormatting>
  <conditionalFormatting sqref="C34">
    <cfRule type="cellIs" dxfId="585" priority="583" stopIfTrue="1" operator="equal">
      <formula>"Towel"</formula>
    </cfRule>
    <cfRule type="cellIs" dxfId="584" priority="584" stopIfTrue="1" operator="equal">
      <formula>"Napkin Hs"</formula>
    </cfRule>
  </conditionalFormatting>
  <conditionalFormatting sqref="B34">
    <cfRule type="cellIs" dxfId="583" priority="573" stopIfTrue="1" operator="equal">
      <formula>"Towel"</formula>
    </cfRule>
    <cfRule type="cellIs" dxfId="582" priority="574" stopIfTrue="1" operator="equal">
      <formula>"Napkin Hs"</formula>
    </cfRule>
  </conditionalFormatting>
  <conditionalFormatting sqref="B34">
    <cfRule type="cellIs" dxfId="581" priority="575" stopIfTrue="1" operator="equal">
      <formula>"Towel"</formula>
    </cfRule>
    <cfRule type="cellIs" dxfId="580" priority="576" stopIfTrue="1" operator="equal">
      <formula>"Napkin Hs"</formula>
    </cfRule>
  </conditionalFormatting>
  <conditionalFormatting sqref="C34">
    <cfRule type="cellIs" dxfId="579" priority="577" stopIfTrue="1" operator="equal">
      <formula>"Towel"</formula>
    </cfRule>
    <cfRule type="cellIs" dxfId="578" priority="578" stopIfTrue="1" operator="equal">
      <formula>"Napkin Hs"</formula>
    </cfRule>
  </conditionalFormatting>
  <conditionalFormatting sqref="C34">
    <cfRule type="cellIs" dxfId="577" priority="586" stopIfTrue="1" operator="equal">
      <formula>"Napkin Hs"</formula>
    </cfRule>
  </conditionalFormatting>
  <conditionalFormatting sqref="C34">
    <cfRule type="cellIs" dxfId="576" priority="585" stopIfTrue="1" operator="equal">
      <formula>"Towel"</formula>
    </cfRule>
  </conditionalFormatting>
  <conditionalFormatting sqref="C34">
    <cfRule type="cellIs" dxfId="575" priority="581" stopIfTrue="1" operator="equal">
      <formula>"Towel"</formula>
    </cfRule>
    <cfRule type="cellIs" dxfId="574" priority="582" stopIfTrue="1" operator="equal">
      <formula>"Napkin Hs"</formula>
    </cfRule>
  </conditionalFormatting>
  <conditionalFormatting sqref="C34">
    <cfRule type="cellIs" dxfId="573" priority="580" stopIfTrue="1" operator="equal">
      <formula>"Napkin Hs"</formula>
    </cfRule>
  </conditionalFormatting>
  <conditionalFormatting sqref="C34">
    <cfRule type="cellIs" dxfId="572" priority="579" stopIfTrue="1" operator="equal">
      <formula>"Towel"</formula>
    </cfRule>
  </conditionalFormatting>
  <conditionalFormatting sqref="C33">
    <cfRule type="cellIs" dxfId="571" priority="572" stopIfTrue="1" operator="equal">
      <formula>"Napkin Hs"</formula>
    </cfRule>
  </conditionalFormatting>
  <conditionalFormatting sqref="C33">
    <cfRule type="cellIs" dxfId="570" priority="571" stopIfTrue="1" operator="equal">
      <formula>"Napkin Hs"</formula>
    </cfRule>
  </conditionalFormatting>
  <conditionalFormatting sqref="B40:C41">
    <cfRule type="cellIs" dxfId="569" priority="569" stopIfTrue="1" operator="equal">
      <formula>"Towel"</formula>
    </cfRule>
    <cfRule type="cellIs" dxfId="568" priority="570" stopIfTrue="1" operator="equal">
      <formula>"Napkin Hs"</formula>
    </cfRule>
  </conditionalFormatting>
  <conditionalFormatting sqref="C40:C41">
    <cfRule type="cellIs" dxfId="567" priority="568" stopIfTrue="1" operator="equal">
      <formula>"Napkin Hs"</formula>
    </cfRule>
  </conditionalFormatting>
  <conditionalFormatting sqref="C40:C41">
    <cfRule type="cellIs" dxfId="566" priority="565" stopIfTrue="1" operator="equal">
      <formula>"Towel"</formula>
    </cfRule>
    <cfRule type="cellIs" dxfId="565" priority="566" stopIfTrue="1" operator="equal">
      <formula>"Napkin Hs"</formula>
    </cfRule>
  </conditionalFormatting>
  <conditionalFormatting sqref="C40:C41">
    <cfRule type="cellIs" dxfId="564" priority="567" stopIfTrue="1" operator="equal">
      <formula>"Towel"</formula>
    </cfRule>
  </conditionalFormatting>
  <conditionalFormatting sqref="C39">
    <cfRule type="cellIs" dxfId="563" priority="563" stopIfTrue="1" operator="equal">
      <formula>"Towel"</formula>
    </cfRule>
    <cfRule type="cellIs" dxfId="562" priority="564" stopIfTrue="1" operator="equal">
      <formula>"Napkin Hs"</formula>
    </cfRule>
  </conditionalFormatting>
  <conditionalFormatting sqref="C39">
    <cfRule type="cellIs" dxfId="561" priority="559" stopIfTrue="1" operator="equal">
      <formula>"Towel"</formula>
    </cfRule>
    <cfRule type="cellIs" dxfId="560" priority="560" stopIfTrue="1" operator="equal">
      <formula>"Napkin Hs"</formula>
    </cfRule>
  </conditionalFormatting>
  <conditionalFormatting sqref="B39">
    <cfRule type="cellIs" dxfId="559" priority="549" stopIfTrue="1" operator="equal">
      <formula>"Towel"</formula>
    </cfRule>
    <cfRule type="cellIs" dxfId="558" priority="550" stopIfTrue="1" operator="equal">
      <formula>"Napkin Hs"</formula>
    </cfRule>
  </conditionalFormatting>
  <conditionalFormatting sqref="B39">
    <cfRule type="cellIs" dxfId="557" priority="551" stopIfTrue="1" operator="equal">
      <formula>"Towel"</formula>
    </cfRule>
    <cfRule type="cellIs" dxfId="556" priority="552" stopIfTrue="1" operator="equal">
      <formula>"Napkin Hs"</formula>
    </cfRule>
  </conditionalFormatting>
  <conditionalFormatting sqref="C39">
    <cfRule type="cellIs" dxfId="555" priority="553" stopIfTrue="1" operator="equal">
      <formula>"Towel"</formula>
    </cfRule>
    <cfRule type="cellIs" dxfId="554" priority="554" stopIfTrue="1" operator="equal">
      <formula>"Napkin Hs"</formula>
    </cfRule>
  </conditionalFormatting>
  <conditionalFormatting sqref="C39">
    <cfRule type="cellIs" dxfId="553" priority="562" stopIfTrue="1" operator="equal">
      <formula>"Napkin Hs"</formula>
    </cfRule>
  </conditionalFormatting>
  <conditionalFormatting sqref="C39">
    <cfRule type="cellIs" dxfId="552" priority="561" stopIfTrue="1" operator="equal">
      <formula>"Towel"</formula>
    </cfRule>
  </conditionalFormatting>
  <conditionalFormatting sqref="C39">
    <cfRule type="cellIs" dxfId="551" priority="557" stopIfTrue="1" operator="equal">
      <formula>"Towel"</formula>
    </cfRule>
    <cfRule type="cellIs" dxfId="550" priority="558" stopIfTrue="1" operator="equal">
      <formula>"Napkin Hs"</formula>
    </cfRule>
  </conditionalFormatting>
  <conditionalFormatting sqref="C39">
    <cfRule type="cellIs" dxfId="549" priority="556" stopIfTrue="1" operator="equal">
      <formula>"Napkin Hs"</formula>
    </cfRule>
  </conditionalFormatting>
  <conditionalFormatting sqref="C39">
    <cfRule type="cellIs" dxfId="548" priority="555" stopIfTrue="1" operator="equal">
      <formula>"Towel"</formula>
    </cfRule>
  </conditionalFormatting>
  <conditionalFormatting sqref="C38">
    <cfRule type="cellIs" dxfId="547" priority="548" stopIfTrue="1" operator="equal">
      <formula>"Napkin Hs"</formula>
    </cfRule>
  </conditionalFormatting>
  <conditionalFormatting sqref="C38">
    <cfRule type="cellIs" dxfId="546" priority="547" stopIfTrue="1" operator="equal">
      <formula>"Napkin Hs"</formula>
    </cfRule>
  </conditionalFormatting>
  <conditionalFormatting sqref="B44:C44">
    <cfRule type="cellIs" dxfId="545" priority="545" stopIfTrue="1" operator="equal">
      <formula>"Towel"</formula>
    </cfRule>
    <cfRule type="cellIs" dxfId="544" priority="546" stopIfTrue="1" operator="equal">
      <formula>"Napkin Hs"</formula>
    </cfRule>
  </conditionalFormatting>
  <conditionalFormatting sqref="C44">
    <cfRule type="cellIs" dxfId="543" priority="544" stopIfTrue="1" operator="equal">
      <formula>"Napkin Hs"</formula>
    </cfRule>
  </conditionalFormatting>
  <conditionalFormatting sqref="C44">
    <cfRule type="cellIs" dxfId="542" priority="541" stopIfTrue="1" operator="equal">
      <formula>"Towel"</formula>
    </cfRule>
    <cfRule type="cellIs" dxfId="541" priority="542" stopIfTrue="1" operator="equal">
      <formula>"Napkin Hs"</formula>
    </cfRule>
  </conditionalFormatting>
  <conditionalFormatting sqref="C44">
    <cfRule type="cellIs" dxfId="540" priority="543" stopIfTrue="1" operator="equal">
      <formula>"Towel"</formula>
    </cfRule>
  </conditionalFormatting>
  <conditionalFormatting sqref="C43">
    <cfRule type="cellIs" dxfId="539" priority="539" stopIfTrue="1" operator="equal">
      <formula>"Towel"</formula>
    </cfRule>
    <cfRule type="cellIs" dxfId="538" priority="540" stopIfTrue="1" operator="equal">
      <formula>"Napkin Hs"</formula>
    </cfRule>
  </conditionalFormatting>
  <conditionalFormatting sqref="C43">
    <cfRule type="cellIs" dxfId="537" priority="535" stopIfTrue="1" operator="equal">
      <formula>"Towel"</formula>
    </cfRule>
    <cfRule type="cellIs" dxfId="536" priority="536" stopIfTrue="1" operator="equal">
      <formula>"Napkin Hs"</formula>
    </cfRule>
  </conditionalFormatting>
  <conditionalFormatting sqref="B43">
    <cfRule type="cellIs" dxfId="535" priority="525" stopIfTrue="1" operator="equal">
      <formula>"Towel"</formula>
    </cfRule>
    <cfRule type="cellIs" dxfId="534" priority="526" stopIfTrue="1" operator="equal">
      <formula>"Napkin Hs"</formula>
    </cfRule>
  </conditionalFormatting>
  <conditionalFormatting sqref="B43">
    <cfRule type="cellIs" dxfId="533" priority="527" stopIfTrue="1" operator="equal">
      <formula>"Towel"</formula>
    </cfRule>
    <cfRule type="cellIs" dxfId="532" priority="528" stopIfTrue="1" operator="equal">
      <formula>"Napkin Hs"</formula>
    </cfRule>
  </conditionalFormatting>
  <conditionalFormatting sqref="C43">
    <cfRule type="cellIs" dxfId="531" priority="529" stopIfTrue="1" operator="equal">
      <formula>"Towel"</formula>
    </cfRule>
    <cfRule type="cellIs" dxfId="530" priority="530" stopIfTrue="1" operator="equal">
      <formula>"Napkin Hs"</formula>
    </cfRule>
  </conditionalFormatting>
  <conditionalFormatting sqref="C43">
    <cfRule type="cellIs" dxfId="529" priority="538" stopIfTrue="1" operator="equal">
      <formula>"Napkin Hs"</formula>
    </cfRule>
  </conditionalFormatting>
  <conditionalFormatting sqref="C43">
    <cfRule type="cellIs" dxfId="528" priority="537" stopIfTrue="1" operator="equal">
      <formula>"Towel"</formula>
    </cfRule>
  </conditionalFormatting>
  <conditionalFormatting sqref="C43">
    <cfRule type="cellIs" dxfId="527" priority="533" stopIfTrue="1" operator="equal">
      <formula>"Towel"</formula>
    </cfRule>
    <cfRule type="cellIs" dxfId="526" priority="534" stopIfTrue="1" operator="equal">
      <formula>"Napkin Hs"</formula>
    </cfRule>
  </conditionalFormatting>
  <conditionalFormatting sqref="C43">
    <cfRule type="cellIs" dxfId="525" priority="532" stopIfTrue="1" operator="equal">
      <formula>"Napkin Hs"</formula>
    </cfRule>
  </conditionalFormatting>
  <conditionalFormatting sqref="C43">
    <cfRule type="cellIs" dxfId="524" priority="531" stopIfTrue="1" operator="equal">
      <formula>"Towel"</formula>
    </cfRule>
  </conditionalFormatting>
  <conditionalFormatting sqref="C42">
    <cfRule type="cellIs" dxfId="523" priority="524" stopIfTrue="1" operator="equal">
      <formula>"Napkin Hs"</formula>
    </cfRule>
  </conditionalFormatting>
  <conditionalFormatting sqref="C42">
    <cfRule type="cellIs" dxfId="522" priority="523" stopIfTrue="1" operator="equal">
      <formula>"Napkin Hs"</formula>
    </cfRule>
  </conditionalFormatting>
  <conditionalFormatting sqref="B49:C49">
    <cfRule type="cellIs" dxfId="521" priority="521" stopIfTrue="1" operator="equal">
      <formula>"Towel"</formula>
    </cfRule>
    <cfRule type="cellIs" dxfId="520" priority="522" stopIfTrue="1" operator="equal">
      <formula>"Napkin Hs"</formula>
    </cfRule>
  </conditionalFormatting>
  <conditionalFormatting sqref="C49">
    <cfRule type="cellIs" dxfId="519" priority="511" stopIfTrue="1" operator="equal">
      <formula>"Towel"</formula>
    </cfRule>
    <cfRule type="cellIs" dxfId="518" priority="512" stopIfTrue="1" operator="equal">
      <formula>"Napkin Hs"</formula>
    </cfRule>
  </conditionalFormatting>
  <conditionalFormatting sqref="C49">
    <cfRule type="cellIs" dxfId="517" priority="515" stopIfTrue="1" operator="equal">
      <formula>"Towel"</formula>
    </cfRule>
    <cfRule type="cellIs" dxfId="516" priority="516" stopIfTrue="1" operator="equal">
      <formula>"Napkin Hs"</formula>
    </cfRule>
  </conditionalFormatting>
  <conditionalFormatting sqref="C49">
    <cfRule type="cellIs" dxfId="515" priority="519" stopIfTrue="1" operator="equal">
      <formula>"Towel"</formula>
    </cfRule>
    <cfRule type="cellIs" dxfId="514" priority="520" stopIfTrue="1" operator="equal">
      <formula>"Napkin Hs"</formula>
    </cfRule>
  </conditionalFormatting>
  <conditionalFormatting sqref="B49">
    <cfRule type="cellIs" dxfId="513" priority="503" stopIfTrue="1" operator="equal">
      <formula>"Towel"</formula>
    </cfRule>
    <cfRule type="cellIs" dxfId="512" priority="504" stopIfTrue="1" operator="equal">
      <formula>"Napkin Hs"</formula>
    </cfRule>
  </conditionalFormatting>
  <conditionalFormatting sqref="C49">
    <cfRule type="cellIs" dxfId="511" priority="517" stopIfTrue="1" operator="equal">
      <formula>"Towel"</formula>
    </cfRule>
    <cfRule type="cellIs" dxfId="510" priority="518" stopIfTrue="1" operator="equal">
      <formula>"Napkin Hs"</formula>
    </cfRule>
  </conditionalFormatting>
  <conditionalFormatting sqref="B49">
    <cfRule type="cellIs" dxfId="509" priority="501" stopIfTrue="1" operator="equal">
      <formula>"Towel"</formula>
    </cfRule>
    <cfRule type="cellIs" dxfId="508" priority="502" stopIfTrue="1" operator="equal">
      <formula>"Napkin Hs"</formula>
    </cfRule>
  </conditionalFormatting>
  <conditionalFormatting sqref="C49">
    <cfRule type="cellIs" dxfId="507" priority="505" stopIfTrue="1" operator="equal">
      <formula>"Towel"</formula>
    </cfRule>
    <cfRule type="cellIs" dxfId="506" priority="506" stopIfTrue="1" operator="equal">
      <formula>"Napkin Hs"</formula>
    </cfRule>
  </conditionalFormatting>
  <conditionalFormatting sqref="C49">
    <cfRule type="cellIs" dxfId="505" priority="514" stopIfTrue="1" operator="equal">
      <formula>"Napkin Hs"</formula>
    </cfRule>
  </conditionalFormatting>
  <conditionalFormatting sqref="C49">
    <cfRule type="cellIs" dxfId="504" priority="513" stopIfTrue="1" operator="equal">
      <formula>"Towel"</formula>
    </cfRule>
  </conditionalFormatting>
  <conditionalFormatting sqref="C49">
    <cfRule type="cellIs" dxfId="503" priority="509" stopIfTrue="1" operator="equal">
      <formula>"Towel"</formula>
    </cfRule>
    <cfRule type="cellIs" dxfId="502" priority="510" stopIfTrue="1" operator="equal">
      <formula>"Napkin Hs"</formula>
    </cfRule>
  </conditionalFormatting>
  <conditionalFormatting sqref="C49">
    <cfRule type="cellIs" dxfId="501" priority="508" stopIfTrue="1" operator="equal">
      <formula>"Napkin Hs"</formula>
    </cfRule>
  </conditionalFormatting>
  <conditionalFormatting sqref="C49">
    <cfRule type="cellIs" dxfId="500" priority="507" stopIfTrue="1" operator="equal">
      <formula>"Towel"</formula>
    </cfRule>
  </conditionalFormatting>
  <conditionalFormatting sqref="B48:C48">
    <cfRule type="cellIs" dxfId="499" priority="499" stopIfTrue="1" operator="equal">
      <formula>"Towel"</formula>
    </cfRule>
    <cfRule type="cellIs" dxfId="498" priority="500" stopIfTrue="1" operator="equal">
      <formula>"Napkin Hs"</formula>
    </cfRule>
  </conditionalFormatting>
  <conditionalFormatting sqref="C48">
    <cfRule type="cellIs" dxfId="497" priority="498" stopIfTrue="1" operator="equal">
      <formula>"Napkin Hs"</formula>
    </cfRule>
  </conditionalFormatting>
  <conditionalFormatting sqref="C48">
    <cfRule type="cellIs" dxfId="496" priority="495" stopIfTrue="1" operator="equal">
      <formula>"Towel"</formula>
    </cfRule>
    <cfRule type="cellIs" dxfId="495" priority="496" stopIfTrue="1" operator="equal">
      <formula>"Napkin Hs"</formula>
    </cfRule>
  </conditionalFormatting>
  <conditionalFormatting sqref="C48">
    <cfRule type="cellIs" dxfId="494" priority="497" stopIfTrue="1" operator="equal">
      <formula>"Towel"</formula>
    </cfRule>
  </conditionalFormatting>
  <conditionalFormatting sqref="C47">
    <cfRule type="cellIs" dxfId="493" priority="493" stopIfTrue="1" operator="equal">
      <formula>"Towel"</formula>
    </cfRule>
    <cfRule type="cellIs" dxfId="492" priority="494" stopIfTrue="1" operator="equal">
      <formula>"Napkin Hs"</formula>
    </cfRule>
  </conditionalFormatting>
  <conditionalFormatting sqref="C47">
    <cfRule type="cellIs" dxfId="491" priority="489" stopIfTrue="1" operator="equal">
      <formula>"Towel"</formula>
    </cfRule>
    <cfRule type="cellIs" dxfId="490" priority="490" stopIfTrue="1" operator="equal">
      <formula>"Napkin Hs"</formula>
    </cfRule>
  </conditionalFormatting>
  <conditionalFormatting sqref="B47">
    <cfRule type="cellIs" dxfId="489" priority="479" stopIfTrue="1" operator="equal">
      <formula>"Towel"</formula>
    </cfRule>
    <cfRule type="cellIs" dxfId="488" priority="480" stopIfTrue="1" operator="equal">
      <formula>"Napkin Hs"</formula>
    </cfRule>
  </conditionalFormatting>
  <conditionalFormatting sqref="B47">
    <cfRule type="cellIs" dxfId="487" priority="481" stopIfTrue="1" operator="equal">
      <formula>"Towel"</formula>
    </cfRule>
    <cfRule type="cellIs" dxfId="486" priority="482" stopIfTrue="1" operator="equal">
      <formula>"Napkin Hs"</formula>
    </cfRule>
  </conditionalFormatting>
  <conditionalFormatting sqref="C47">
    <cfRule type="cellIs" dxfId="485" priority="483" stopIfTrue="1" operator="equal">
      <formula>"Towel"</formula>
    </cfRule>
    <cfRule type="cellIs" dxfId="484" priority="484" stopIfTrue="1" operator="equal">
      <formula>"Napkin Hs"</formula>
    </cfRule>
  </conditionalFormatting>
  <conditionalFormatting sqref="C47">
    <cfRule type="cellIs" dxfId="483" priority="492" stopIfTrue="1" operator="equal">
      <formula>"Napkin Hs"</formula>
    </cfRule>
  </conditionalFormatting>
  <conditionalFormatting sqref="C47">
    <cfRule type="cellIs" dxfId="482" priority="491" stopIfTrue="1" operator="equal">
      <formula>"Towel"</formula>
    </cfRule>
  </conditionalFormatting>
  <conditionalFormatting sqref="C47">
    <cfRule type="cellIs" dxfId="481" priority="487" stopIfTrue="1" operator="equal">
      <formula>"Towel"</formula>
    </cfRule>
    <cfRule type="cellIs" dxfId="480" priority="488" stopIfTrue="1" operator="equal">
      <formula>"Napkin Hs"</formula>
    </cfRule>
  </conditionalFormatting>
  <conditionalFormatting sqref="C47">
    <cfRule type="cellIs" dxfId="479" priority="486" stopIfTrue="1" operator="equal">
      <formula>"Napkin Hs"</formula>
    </cfRule>
  </conditionalFormatting>
  <conditionalFormatting sqref="C47">
    <cfRule type="cellIs" dxfId="478" priority="485" stopIfTrue="1" operator="equal">
      <formula>"Towel"</formula>
    </cfRule>
  </conditionalFormatting>
  <conditionalFormatting sqref="C46">
    <cfRule type="cellIs" dxfId="477" priority="478" stopIfTrue="1" operator="equal">
      <formula>"Napkin Hs"</formula>
    </cfRule>
  </conditionalFormatting>
  <conditionalFormatting sqref="C46">
    <cfRule type="cellIs" dxfId="476" priority="477" stopIfTrue="1" operator="equal">
      <formula>"Napkin Hs"</formula>
    </cfRule>
  </conditionalFormatting>
  <conditionalFormatting sqref="B52:C52">
    <cfRule type="cellIs" dxfId="475" priority="475" stopIfTrue="1" operator="equal">
      <formula>"Towel"</formula>
    </cfRule>
    <cfRule type="cellIs" dxfId="474" priority="476" stopIfTrue="1" operator="equal">
      <formula>"Napkin Hs"</formula>
    </cfRule>
  </conditionalFormatting>
  <conditionalFormatting sqref="C52">
    <cfRule type="cellIs" dxfId="473" priority="474" stopIfTrue="1" operator="equal">
      <formula>"Napkin Hs"</formula>
    </cfRule>
  </conditionalFormatting>
  <conditionalFormatting sqref="C52">
    <cfRule type="cellIs" dxfId="472" priority="471" stopIfTrue="1" operator="equal">
      <formula>"Towel"</formula>
    </cfRule>
    <cfRule type="cellIs" dxfId="471" priority="472" stopIfTrue="1" operator="equal">
      <formula>"Napkin Hs"</formula>
    </cfRule>
  </conditionalFormatting>
  <conditionalFormatting sqref="C52">
    <cfRule type="cellIs" dxfId="470" priority="473" stopIfTrue="1" operator="equal">
      <formula>"Towel"</formula>
    </cfRule>
  </conditionalFormatting>
  <conditionalFormatting sqref="C51">
    <cfRule type="cellIs" dxfId="469" priority="469" stopIfTrue="1" operator="equal">
      <formula>"Towel"</formula>
    </cfRule>
    <cfRule type="cellIs" dxfId="468" priority="470" stopIfTrue="1" operator="equal">
      <formula>"Napkin Hs"</formula>
    </cfRule>
  </conditionalFormatting>
  <conditionalFormatting sqref="C51">
    <cfRule type="cellIs" dxfId="467" priority="465" stopIfTrue="1" operator="equal">
      <formula>"Towel"</formula>
    </cfRule>
    <cfRule type="cellIs" dxfId="466" priority="466" stopIfTrue="1" operator="equal">
      <formula>"Napkin Hs"</formula>
    </cfRule>
  </conditionalFormatting>
  <conditionalFormatting sqref="B51">
    <cfRule type="cellIs" dxfId="465" priority="455" stopIfTrue="1" operator="equal">
      <formula>"Towel"</formula>
    </cfRule>
    <cfRule type="cellIs" dxfId="464" priority="456" stopIfTrue="1" operator="equal">
      <formula>"Napkin Hs"</formula>
    </cfRule>
  </conditionalFormatting>
  <conditionalFormatting sqref="B51">
    <cfRule type="cellIs" dxfId="463" priority="457" stopIfTrue="1" operator="equal">
      <formula>"Towel"</formula>
    </cfRule>
    <cfRule type="cellIs" dxfId="462" priority="458" stopIfTrue="1" operator="equal">
      <formula>"Napkin Hs"</formula>
    </cfRule>
  </conditionalFormatting>
  <conditionalFormatting sqref="C51">
    <cfRule type="cellIs" dxfId="461" priority="459" stopIfTrue="1" operator="equal">
      <formula>"Towel"</formula>
    </cfRule>
    <cfRule type="cellIs" dxfId="460" priority="460" stopIfTrue="1" operator="equal">
      <formula>"Napkin Hs"</formula>
    </cfRule>
  </conditionalFormatting>
  <conditionalFormatting sqref="C51">
    <cfRule type="cellIs" dxfId="459" priority="468" stopIfTrue="1" operator="equal">
      <formula>"Napkin Hs"</formula>
    </cfRule>
  </conditionalFormatting>
  <conditionalFormatting sqref="C51">
    <cfRule type="cellIs" dxfId="458" priority="467" stopIfTrue="1" operator="equal">
      <formula>"Towel"</formula>
    </cfRule>
  </conditionalFormatting>
  <conditionalFormatting sqref="C51">
    <cfRule type="cellIs" dxfId="457" priority="463" stopIfTrue="1" operator="equal">
      <formula>"Towel"</formula>
    </cfRule>
    <cfRule type="cellIs" dxfId="456" priority="464" stopIfTrue="1" operator="equal">
      <formula>"Napkin Hs"</formula>
    </cfRule>
  </conditionalFormatting>
  <conditionalFormatting sqref="C51">
    <cfRule type="cellIs" dxfId="455" priority="462" stopIfTrue="1" operator="equal">
      <formula>"Napkin Hs"</formula>
    </cfRule>
  </conditionalFormatting>
  <conditionalFormatting sqref="C51">
    <cfRule type="cellIs" dxfId="454" priority="461" stopIfTrue="1" operator="equal">
      <formula>"Towel"</formula>
    </cfRule>
  </conditionalFormatting>
  <conditionalFormatting sqref="C50">
    <cfRule type="cellIs" dxfId="453" priority="454" stopIfTrue="1" operator="equal">
      <formula>"Napkin Hs"</formula>
    </cfRule>
  </conditionalFormatting>
  <conditionalFormatting sqref="C50">
    <cfRule type="cellIs" dxfId="452" priority="453" stopIfTrue="1" operator="equal">
      <formula>"Napkin Hs"</formula>
    </cfRule>
  </conditionalFormatting>
  <conditionalFormatting sqref="B56:C56">
    <cfRule type="cellIs" dxfId="451" priority="451" stopIfTrue="1" operator="equal">
      <formula>"Towel"</formula>
    </cfRule>
    <cfRule type="cellIs" dxfId="450" priority="452" stopIfTrue="1" operator="equal">
      <formula>"Napkin Hs"</formula>
    </cfRule>
  </conditionalFormatting>
  <conditionalFormatting sqref="C56">
    <cfRule type="cellIs" dxfId="449" priority="450" stopIfTrue="1" operator="equal">
      <formula>"Napkin Hs"</formula>
    </cfRule>
  </conditionalFormatting>
  <conditionalFormatting sqref="C56">
    <cfRule type="cellIs" dxfId="448" priority="447" stopIfTrue="1" operator="equal">
      <formula>"Towel"</formula>
    </cfRule>
    <cfRule type="cellIs" dxfId="447" priority="448" stopIfTrue="1" operator="equal">
      <formula>"Napkin Hs"</formula>
    </cfRule>
  </conditionalFormatting>
  <conditionalFormatting sqref="C56">
    <cfRule type="cellIs" dxfId="446" priority="449" stopIfTrue="1" operator="equal">
      <formula>"Towel"</formula>
    </cfRule>
  </conditionalFormatting>
  <conditionalFormatting sqref="C54:C55">
    <cfRule type="cellIs" dxfId="445" priority="446" stopIfTrue="1" operator="equal">
      <formula>"Napkin Hs"</formula>
    </cfRule>
  </conditionalFormatting>
  <conditionalFormatting sqref="C54:C55">
    <cfRule type="cellIs" dxfId="444" priority="445" stopIfTrue="1" operator="equal">
      <formula>"Napkin Hs"</formula>
    </cfRule>
  </conditionalFormatting>
  <conditionalFormatting sqref="B61">
    <cfRule type="cellIs" dxfId="443" priority="429" stopIfTrue="1" operator="equal">
      <formula>"Towel"</formula>
    </cfRule>
    <cfRule type="cellIs" dxfId="442" priority="430" stopIfTrue="1" operator="equal">
      <formula>"Napkin Hs"</formula>
    </cfRule>
  </conditionalFormatting>
  <conditionalFormatting sqref="C61">
    <cfRule type="cellIs" dxfId="441" priority="443" stopIfTrue="1" operator="equal">
      <formula>"Towel"</formula>
    </cfRule>
    <cfRule type="cellIs" dxfId="440" priority="444" stopIfTrue="1" operator="equal">
      <formula>"Napkin Hs"</formula>
    </cfRule>
  </conditionalFormatting>
  <conditionalFormatting sqref="C61">
    <cfRule type="cellIs" dxfId="439" priority="439" stopIfTrue="1" operator="equal">
      <formula>"Towel"</formula>
    </cfRule>
    <cfRule type="cellIs" dxfId="438" priority="440" stopIfTrue="1" operator="equal">
      <formula>"Napkin Hs"</formula>
    </cfRule>
  </conditionalFormatting>
  <conditionalFormatting sqref="B61">
    <cfRule type="cellIs" dxfId="437" priority="431" stopIfTrue="1" operator="equal">
      <formula>"Towel"</formula>
    </cfRule>
    <cfRule type="cellIs" dxfId="436" priority="432" stopIfTrue="1" operator="equal">
      <formula>"Napkin Hs"</formula>
    </cfRule>
  </conditionalFormatting>
  <conditionalFormatting sqref="C61">
    <cfRule type="cellIs" dxfId="435" priority="433" stopIfTrue="1" operator="equal">
      <formula>"Towel"</formula>
    </cfRule>
    <cfRule type="cellIs" dxfId="434" priority="434" stopIfTrue="1" operator="equal">
      <formula>"Napkin Hs"</formula>
    </cfRule>
  </conditionalFormatting>
  <conditionalFormatting sqref="C61">
    <cfRule type="cellIs" dxfId="433" priority="442" stopIfTrue="1" operator="equal">
      <formula>"Napkin Hs"</formula>
    </cfRule>
  </conditionalFormatting>
  <conditionalFormatting sqref="C61">
    <cfRule type="cellIs" dxfId="432" priority="441" stopIfTrue="1" operator="equal">
      <formula>"Towel"</formula>
    </cfRule>
  </conditionalFormatting>
  <conditionalFormatting sqref="C61">
    <cfRule type="cellIs" dxfId="431" priority="437" stopIfTrue="1" operator="equal">
      <formula>"Towel"</formula>
    </cfRule>
    <cfRule type="cellIs" dxfId="430" priority="438" stopIfTrue="1" operator="equal">
      <formula>"Napkin Hs"</formula>
    </cfRule>
  </conditionalFormatting>
  <conditionalFormatting sqref="C61">
    <cfRule type="cellIs" dxfId="429" priority="436" stopIfTrue="1" operator="equal">
      <formula>"Napkin Hs"</formula>
    </cfRule>
  </conditionalFormatting>
  <conditionalFormatting sqref="C61">
    <cfRule type="cellIs" dxfId="428" priority="435" stopIfTrue="1" operator="equal">
      <formula>"Towel"</formula>
    </cfRule>
  </conditionalFormatting>
  <conditionalFormatting sqref="B60:C60">
    <cfRule type="cellIs" dxfId="427" priority="427" stopIfTrue="1" operator="equal">
      <formula>"Towel"</formula>
    </cfRule>
    <cfRule type="cellIs" dxfId="426" priority="428" stopIfTrue="1" operator="equal">
      <formula>"Napkin Hs"</formula>
    </cfRule>
  </conditionalFormatting>
  <conditionalFormatting sqref="C60">
    <cfRule type="cellIs" dxfId="425" priority="426" stopIfTrue="1" operator="equal">
      <formula>"Napkin Hs"</formula>
    </cfRule>
  </conditionalFormatting>
  <conditionalFormatting sqref="C60">
    <cfRule type="cellIs" dxfId="424" priority="423" stopIfTrue="1" operator="equal">
      <formula>"Towel"</formula>
    </cfRule>
    <cfRule type="cellIs" dxfId="423" priority="424" stopIfTrue="1" operator="equal">
      <formula>"Napkin Hs"</formula>
    </cfRule>
  </conditionalFormatting>
  <conditionalFormatting sqref="C60">
    <cfRule type="cellIs" dxfId="422" priority="425" stopIfTrue="1" operator="equal">
      <formula>"Towel"</formula>
    </cfRule>
  </conditionalFormatting>
  <conditionalFormatting sqref="C59">
    <cfRule type="cellIs" dxfId="421" priority="421" stopIfTrue="1" operator="equal">
      <formula>"Towel"</formula>
    </cfRule>
    <cfRule type="cellIs" dxfId="420" priority="422" stopIfTrue="1" operator="equal">
      <formula>"Napkin Hs"</formula>
    </cfRule>
  </conditionalFormatting>
  <conditionalFormatting sqref="C59">
    <cfRule type="cellIs" dxfId="419" priority="417" stopIfTrue="1" operator="equal">
      <formula>"Towel"</formula>
    </cfRule>
    <cfRule type="cellIs" dxfId="418" priority="418" stopIfTrue="1" operator="equal">
      <formula>"Napkin Hs"</formula>
    </cfRule>
  </conditionalFormatting>
  <conditionalFormatting sqref="B59">
    <cfRule type="cellIs" dxfId="417" priority="407" stopIfTrue="1" operator="equal">
      <formula>"Towel"</formula>
    </cfRule>
    <cfRule type="cellIs" dxfId="416" priority="408" stopIfTrue="1" operator="equal">
      <formula>"Napkin Hs"</formula>
    </cfRule>
  </conditionalFormatting>
  <conditionalFormatting sqref="B59">
    <cfRule type="cellIs" dxfId="415" priority="409" stopIfTrue="1" operator="equal">
      <formula>"Towel"</formula>
    </cfRule>
    <cfRule type="cellIs" dxfId="414" priority="410" stopIfTrue="1" operator="equal">
      <formula>"Napkin Hs"</formula>
    </cfRule>
  </conditionalFormatting>
  <conditionalFormatting sqref="C59">
    <cfRule type="cellIs" dxfId="413" priority="411" stopIfTrue="1" operator="equal">
      <formula>"Towel"</formula>
    </cfRule>
    <cfRule type="cellIs" dxfId="412" priority="412" stopIfTrue="1" operator="equal">
      <formula>"Napkin Hs"</formula>
    </cfRule>
  </conditionalFormatting>
  <conditionalFormatting sqref="C59">
    <cfRule type="cellIs" dxfId="411" priority="420" stopIfTrue="1" operator="equal">
      <formula>"Napkin Hs"</formula>
    </cfRule>
  </conditionalFormatting>
  <conditionalFormatting sqref="C59">
    <cfRule type="cellIs" dxfId="410" priority="419" stopIfTrue="1" operator="equal">
      <formula>"Towel"</formula>
    </cfRule>
  </conditionalFormatting>
  <conditionalFormatting sqref="C59">
    <cfRule type="cellIs" dxfId="409" priority="415" stopIfTrue="1" operator="equal">
      <formula>"Towel"</formula>
    </cfRule>
    <cfRule type="cellIs" dxfId="408" priority="416" stopIfTrue="1" operator="equal">
      <formula>"Napkin Hs"</formula>
    </cfRule>
  </conditionalFormatting>
  <conditionalFormatting sqref="C59">
    <cfRule type="cellIs" dxfId="407" priority="414" stopIfTrue="1" operator="equal">
      <formula>"Napkin Hs"</formula>
    </cfRule>
  </conditionalFormatting>
  <conditionalFormatting sqref="C59">
    <cfRule type="cellIs" dxfId="406" priority="413" stopIfTrue="1" operator="equal">
      <formula>"Towel"</formula>
    </cfRule>
  </conditionalFormatting>
  <conditionalFormatting sqref="C58">
    <cfRule type="cellIs" dxfId="405" priority="406" stopIfTrue="1" operator="equal">
      <formula>"Napkin Hs"</formula>
    </cfRule>
  </conditionalFormatting>
  <conditionalFormatting sqref="C58">
    <cfRule type="cellIs" dxfId="404" priority="405" stopIfTrue="1" operator="equal">
      <formula>"Napkin Hs"</formula>
    </cfRule>
  </conditionalFormatting>
  <conditionalFormatting sqref="B64:C66">
    <cfRule type="cellIs" dxfId="403" priority="403" stopIfTrue="1" operator="equal">
      <formula>"Towel"</formula>
    </cfRule>
    <cfRule type="cellIs" dxfId="402" priority="404" stopIfTrue="1" operator="equal">
      <formula>"Napkin Hs"</formula>
    </cfRule>
  </conditionalFormatting>
  <conditionalFormatting sqref="C64:C66">
    <cfRule type="cellIs" dxfId="401" priority="402" stopIfTrue="1" operator="equal">
      <formula>"Napkin Hs"</formula>
    </cfRule>
  </conditionalFormatting>
  <conditionalFormatting sqref="C64:C66">
    <cfRule type="cellIs" dxfId="400" priority="399" stopIfTrue="1" operator="equal">
      <formula>"Towel"</formula>
    </cfRule>
    <cfRule type="cellIs" dxfId="399" priority="400" stopIfTrue="1" operator="equal">
      <formula>"Napkin Hs"</formula>
    </cfRule>
  </conditionalFormatting>
  <conditionalFormatting sqref="C64:C66">
    <cfRule type="cellIs" dxfId="398" priority="401" stopIfTrue="1" operator="equal">
      <formula>"Towel"</formula>
    </cfRule>
  </conditionalFormatting>
  <conditionalFormatting sqref="C62:C63">
    <cfRule type="cellIs" dxfId="397" priority="398" stopIfTrue="1" operator="equal">
      <formula>"Napkin Hs"</formula>
    </cfRule>
  </conditionalFormatting>
  <conditionalFormatting sqref="C62:C63">
    <cfRule type="cellIs" dxfId="396" priority="397" stopIfTrue="1" operator="equal">
      <formula>"Napkin Hs"</formula>
    </cfRule>
  </conditionalFormatting>
  <conditionalFormatting sqref="B70:C70">
    <cfRule type="cellIs" dxfId="395" priority="395" stopIfTrue="1" operator="equal">
      <formula>"Towel"</formula>
    </cfRule>
    <cfRule type="cellIs" dxfId="394" priority="396" stopIfTrue="1" operator="equal">
      <formula>"Napkin Hs"</formula>
    </cfRule>
  </conditionalFormatting>
  <conditionalFormatting sqref="C70">
    <cfRule type="cellIs" dxfId="393" priority="394" stopIfTrue="1" operator="equal">
      <formula>"Napkin Hs"</formula>
    </cfRule>
  </conditionalFormatting>
  <conditionalFormatting sqref="C70">
    <cfRule type="cellIs" dxfId="392" priority="391" stopIfTrue="1" operator="equal">
      <formula>"Towel"</formula>
    </cfRule>
    <cfRule type="cellIs" dxfId="391" priority="392" stopIfTrue="1" operator="equal">
      <formula>"Napkin Hs"</formula>
    </cfRule>
  </conditionalFormatting>
  <conditionalFormatting sqref="C70">
    <cfRule type="cellIs" dxfId="390" priority="393" stopIfTrue="1" operator="equal">
      <formula>"Towel"</formula>
    </cfRule>
  </conditionalFormatting>
  <conditionalFormatting sqref="C69">
    <cfRule type="cellIs" dxfId="389" priority="389" stopIfTrue="1" operator="equal">
      <formula>"Towel"</formula>
    </cfRule>
    <cfRule type="cellIs" dxfId="388" priority="390" stopIfTrue="1" operator="equal">
      <formula>"Napkin Hs"</formula>
    </cfRule>
  </conditionalFormatting>
  <conditionalFormatting sqref="C69">
    <cfRule type="cellIs" dxfId="387" priority="385" stopIfTrue="1" operator="equal">
      <formula>"Towel"</formula>
    </cfRule>
    <cfRule type="cellIs" dxfId="386" priority="386" stopIfTrue="1" operator="equal">
      <formula>"Napkin Hs"</formula>
    </cfRule>
  </conditionalFormatting>
  <conditionalFormatting sqref="B69">
    <cfRule type="cellIs" dxfId="385" priority="375" stopIfTrue="1" operator="equal">
      <formula>"Towel"</formula>
    </cfRule>
    <cfRule type="cellIs" dxfId="384" priority="376" stopIfTrue="1" operator="equal">
      <formula>"Napkin Hs"</formula>
    </cfRule>
  </conditionalFormatting>
  <conditionalFormatting sqref="B69">
    <cfRule type="cellIs" dxfId="383" priority="377" stopIfTrue="1" operator="equal">
      <formula>"Towel"</formula>
    </cfRule>
    <cfRule type="cellIs" dxfId="382" priority="378" stopIfTrue="1" operator="equal">
      <formula>"Napkin Hs"</formula>
    </cfRule>
  </conditionalFormatting>
  <conditionalFormatting sqref="C69">
    <cfRule type="cellIs" dxfId="381" priority="379" stopIfTrue="1" operator="equal">
      <formula>"Towel"</formula>
    </cfRule>
    <cfRule type="cellIs" dxfId="380" priority="380" stopIfTrue="1" operator="equal">
      <formula>"Napkin Hs"</formula>
    </cfRule>
  </conditionalFormatting>
  <conditionalFormatting sqref="C69">
    <cfRule type="cellIs" dxfId="379" priority="388" stopIfTrue="1" operator="equal">
      <formula>"Napkin Hs"</formula>
    </cfRule>
  </conditionalFormatting>
  <conditionalFormatting sqref="C69">
    <cfRule type="cellIs" dxfId="378" priority="387" stopIfTrue="1" operator="equal">
      <formula>"Towel"</formula>
    </cfRule>
  </conditionalFormatting>
  <conditionalFormatting sqref="C69">
    <cfRule type="cellIs" dxfId="377" priority="383" stopIfTrue="1" operator="equal">
      <formula>"Towel"</formula>
    </cfRule>
    <cfRule type="cellIs" dxfId="376" priority="384" stopIfTrue="1" operator="equal">
      <formula>"Napkin Hs"</formula>
    </cfRule>
  </conditionalFormatting>
  <conditionalFormatting sqref="C69">
    <cfRule type="cellIs" dxfId="375" priority="382" stopIfTrue="1" operator="equal">
      <formula>"Napkin Hs"</formula>
    </cfRule>
  </conditionalFormatting>
  <conditionalFormatting sqref="C69">
    <cfRule type="cellIs" dxfId="374" priority="381" stopIfTrue="1" operator="equal">
      <formula>"Towel"</formula>
    </cfRule>
  </conditionalFormatting>
  <conditionalFormatting sqref="C68">
    <cfRule type="cellIs" dxfId="373" priority="374" stopIfTrue="1" operator="equal">
      <formula>"Napkin Hs"</formula>
    </cfRule>
  </conditionalFormatting>
  <conditionalFormatting sqref="C68">
    <cfRule type="cellIs" dxfId="372" priority="373" stopIfTrue="1" operator="equal">
      <formula>"Napkin Hs"</formula>
    </cfRule>
  </conditionalFormatting>
  <conditionalFormatting sqref="B75:C75">
    <cfRule type="cellIs" dxfId="371" priority="371" stopIfTrue="1" operator="equal">
      <formula>"Towel"</formula>
    </cfRule>
    <cfRule type="cellIs" dxfId="370" priority="372" stopIfTrue="1" operator="equal">
      <formula>"Napkin Hs"</formula>
    </cfRule>
  </conditionalFormatting>
  <conditionalFormatting sqref="C75">
    <cfRule type="cellIs" dxfId="369" priority="367" stopIfTrue="1" operator="equal">
      <formula>"Towel"</formula>
    </cfRule>
    <cfRule type="cellIs" dxfId="368" priority="368" stopIfTrue="1" operator="equal">
      <formula>"Napkin Hs"</formula>
    </cfRule>
  </conditionalFormatting>
  <conditionalFormatting sqref="C75">
    <cfRule type="cellIs" dxfId="367" priority="369" stopIfTrue="1" operator="equal">
      <formula>"Towel"</formula>
    </cfRule>
    <cfRule type="cellIs" dxfId="366" priority="370" stopIfTrue="1" operator="equal">
      <formula>"Napkin Hs"</formula>
    </cfRule>
  </conditionalFormatting>
  <conditionalFormatting sqref="B74:C74">
    <cfRule type="cellIs" dxfId="365" priority="365" stopIfTrue="1" operator="equal">
      <formula>"Towel"</formula>
    </cfRule>
    <cfRule type="cellIs" dxfId="364" priority="366" stopIfTrue="1" operator="equal">
      <formula>"Napkin Hs"</formula>
    </cfRule>
  </conditionalFormatting>
  <conditionalFormatting sqref="C74">
    <cfRule type="cellIs" dxfId="363" priority="364" stopIfTrue="1" operator="equal">
      <formula>"Napkin Hs"</formula>
    </cfRule>
  </conditionalFormatting>
  <conditionalFormatting sqref="C74">
    <cfRule type="cellIs" dxfId="362" priority="361" stopIfTrue="1" operator="equal">
      <formula>"Towel"</formula>
    </cfRule>
    <cfRule type="cellIs" dxfId="361" priority="362" stopIfTrue="1" operator="equal">
      <formula>"Napkin Hs"</formula>
    </cfRule>
  </conditionalFormatting>
  <conditionalFormatting sqref="C74">
    <cfRule type="cellIs" dxfId="360" priority="363" stopIfTrue="1" operator="equal">
      <formula>"Towel"</formula>
    </cfRule>
  </conditionalFormatting>
  <conditionalFormatting sqref="C73">
    <cfRule type="cellIs" dxfId="359" priority="359" stopIfTrue="1" operator="equal">
      <formula>"Towel"</formula>
    </cfRule>
    <cfRule type="cellIs" dxfId="358" priority="360" stopIfTrue="1" operator="equal">
      <formula>"Napkin Hs"</formula>
    </cfRule>
  </conditionalFormatting>
  <conditionalFormatting sqref="C73">
    <cfRule type="cellIs" dxfId="357" priority="355" stopIfTrue="1" operator="equal">
      <formula>"Towel"</formula>
    </cfRule>
    <cfRule type="cellIs" dxfId="356" priority="356" stopIfTrue="1" operator="equal">
      <formula>"Napkin Hs"</formula>
    </cfRule>
  </conditionalFormatting>
  <conditionalFormatting sqref="B73">
    <cfRule type="cellIs" dxfId="355" priority="345" stopIfTrue="1" operator="equal">
      <formula>"Towel"</formula>
    </cfRule>
    <cfRule type="cellIs" dxfId="354" priority="346" stopIfTrue="1" operator="equal">
      <formula>"Napkin Hs"</formula>
    </cfRule>
  </conditionalFormatting>
  <conditionalFormatting sqref="B73">
    <cfRule type="cellIs" dxfId="353" priority="347" stopIfTrue="1" operator="equal">
      <formula>"Towel"</formula>
    </cfRule>
    <cfRule type="cellIs" dxfId="352" priority="348" stopIfTrue="1" operator="equal">
      <formula>"Napkin Hs"</formula>
    </cfRule>
  </conditionalFormatting>
  <conditionalFormatting sqref="C73">
    <cfRule type="cellIs" dxfId="351" priority="349" stopIfTrue="1" operator="equal">
      <formula>"Towel"</formula>
    </cfRule>
    <cfRule type="cellIs" dxfId="350" priority="350" stopIfTrue="1" operator="equal">
      <formula>"Napkin Hs"</formula>
    </cfRule>
  </conditionalFormatting>
  <conditionalFormatting sqref="C73">
    <cfRule type="cellIs" dxfId="349" priority="358" stopIfTrue="1" operator="equal">
      <formula>"Napkin Hs"</formula>
    </cfRule>
  </conditionalFormatting>
  <conditionalFormatting sqref="C73">
    <cfRule type="cellIs" dxfId="348" priority="357" stopIfTrue="1" operator="equal">
      <formula>"Towel"</formula>
    </cfRule>
  </conditionalFormatting>
  <conditionalFormatting sqref="C73">
    <cfRule type="cellIs" dxfId="347" priority="353" stopIfTrue="1" operator="equal">
      <formula>"Towel"</formula>
    </cfRule>
    <cfRule type="cellIs" dxfId="346" priority="354" stopIfTrue="1" operator="equal">
      <formula>"Napkin Hs"</formula>
    </cfRule>
  </conditionalFormatting>
  <conditionalFormatting sqref="C73">
    <cfRule type="cellIs" dxfId="345" priority="352" stopIfTrue="1" operator="equal">
      <formula>"Napkin Hs"</formula>
    </cfRule>
  </conditionalFormatting>
  <conditionalFormatting sqref="C73">
    <cfRule type="cellIs" dxfId="344" priority="351" stopIfTrue="1" operator="equal">
      <formula>"Towel"</formula>
    </cfRule>
  </conditionalFormatting>
  <conditionalFormatting sqref="C72">
    <cfRule type="cellIs" dxfId="343" priority="344" stopIfTrue="1" operator="equal">
      <formula>"Napkin Hs"</formula>
    </cfRule>
  </conditionalFormatting>
  <conditionalFormatting sqref="C72">
    <cfRule type="cellIs" dxfId="342" priority="343" stopIfTrue="1" operator="equal">
      <formula>"Napkin Hs"</formula>
    </cfRule>
  </conditionalFormatting>
  <conditionalFormatting sqref="B78:C79">
    <cfRule type="cellIs" dxfId="341" priority="341" stopIfTrue="1" operator="equal">
      <formula>"Towel"</formula>
    </cfRule>
    <cfRule type="cellIs" dxfId="340" priority="342" stopIfTrue="1" operator="equal">
      <formula>"Napkin Hs"</formula>
    </cfRule>
  </conditionalFormatting>
  <conditionalFormatting sqref="C78:C79">
    <cfRule type="cellIs" dxfId="339" priority="340" stopIfTrue="1" operator="equal">
      <formula>"Napkin Hs"</formula>
    </cfRule>
  </conditionalFormatting>
  <conditionalFormatting sqref="C78:C79">
    <cfRule type="cellIs" dxfId="338" priority="337" stopIfTrue="1" operator="equal">
      <formula>"Towel"</formula>
    </cfRule>
    <cfRule type="cellIs" dxfId="337" priority="338" stopIfTrue="1" operator="equal">
      <formula>"Napkin Hs"</formula>
    </cfRule>
  </conditionalFormatting>
  <conditionalFormatting sqref="C78:C79">
    <cfRule type="cellIs" dxfId="336" priority="339" stopIfTrue="1" operator="equal">
      <formula>"Towel"</formula>
    </cfRule>
  </conditionalFormatting>
  <conditionalFormatting sqref="C77">
    <cfRule type="cellIs" dxfId="335" priority="335" stopIfTrue="1" operator="equal">
      <formula>"Towel"</formula>
    </cfRule>
    <cfRule type="cellIs" dxfId="334" priority="336" stopIfTrue="1" operator="equal">
      <formula>"Napkin Hs"</formula>
    </cfRule>
  </conditionalFormatting>
  <conditionalFormatting sqref="C77">
    <cfRule type="cellIs" dxfId="333" priority="331" stopIfTrue="1" operator="equal">
      <formula>"Towel"</formula>
    </cfRule>
    <cfRule type="cellIs" dxfId="332" priority="332" stopIfTrue="1" operator="equal">
      <formula>"Napkin Hs"</formula>
    </cfRule>
  </conditionalFormatting>
  <conditionalFormatting sqref="B77">
    <cfRule type="cellIs" dxfId="331" priority="321" stopIfTrue="1" operator="equal">
      <formula>"Towel"</formula>
    </cfRule>
    <cfRule type="cellIs" dxfId="330" priority="322" stopIfTrue="1" operator="equal">
      <formula>"Napkin Hs"</formula>
    </cfRule>
  </conditionalFormatting>
  <conditionalFormatting sqref="B77">
    <cfRule type="cellIs" dxfId="329" priority="323" stopIfTrue="1" operator="equal">
      <formula>"Towel"</formula>
    </cfRule>
    <cfRule type="cellIs" dxfId="328" priority="324" stopIfTrue="1" operator="equal">
      <formula>"Napkin Hs"</formula>
    </cfRule>
  </conditionalFormatting>
  <conditionalFormatting sqref="C77">
    <cfRule type="cellIs" dxfId="327" priority="325" stopIfTrue="1" operator="equal">
      <formula>"Towel"</formula>
    </cfRule>
    <cfRule type="cellIs" dxfId="326" priority="326" stopIfTrue="1" operator="equal">
      <formula>"Napkin Hs"</formula>
    </cfRule>
  </conditionalFormatting>
  <conditionalFormatting sqref="C77">
    <cfRule type="cellIs" dxfId="325" priority="334" stopIfTrue="1" operator="equal">
      <formula>"Napkin Hs"</formula>
    </cfRule>
  </conditionalFormatting>
  <conditionalFormatting sqref="C77">
    <cfRule type="cellIs" dxfId="324" priority="333" stopIfTrue="1" operator="equal">
      <formula>"Towel"</formula>
    </cfRule>
  </conditionalFormatting>
  <conditionalFormatting sqref="C77">
    <cfRule type="cellIs" dxfId="323" priority="329" stopIfTrue="1" operator="equal">
      <formula>"Towel"</formula>
    </cfRule>
    <cfRule type="cellIs" dxfId="322" priority="330" stopIfTrue="1" operator="equal">
      <formula>"Napkin Hs"</formula>
    </cfRule>
  </conditionalFormatting>
  <conditionalFormatting sqref="C77">
    <cfRule type="cellIs" dxfId="321" priority="328" stopIfTrue="1" operator="equal">
      <formula>"Napkin Hs"</formula>
    </cfRule>
  </conditionalFormatting>
  <conditionalFormatting sqref="C77">
    <cfRule type="cellIs" dxfId="320" priority="327" stopIfTrue="1" operator="equal">
      <formula>"Towel"</formula>
    </cfRule>
  </conditionalFormatting>
  <conditionalFormatting sqref="C76">
    <cfRule type="cellIs" dxfId="319" priority="320" stopIfTrue="1" operator="equal">
      <formula>"Napkin Hs"</formula>
    </cfRule>
  </conditionalFormatting>
  <conditionalFormatting sqref="C76">
    <cfRule type="cellIs" dxfId="318" priority="319" stopIfTrue="1" operator="equal">
      <formula>"Napkin Hs"</formula>
    </cfRule>
  </conditionalFormatting>
  <conditionalFormatting sqref="B83:C84">
    <cfRule type="cellIs" dxfId="317" priority="317" stopIfTrue="1" operator="equal">
      <formula>"Towel"</formula>
    </cfRule>
    <cfRule type="cellIs" dxfId="316" priority="318" stopIfTrue="1" operator="equal">
      <formula>"Napkin Hs"</formula>
    </cfRule>
  </conditionalFormatting>
  <conditionalFormatting sqref="C83:C84">
    <cfRule type="cellIs" dxfId="315" priority="316" stopIfTrue="1" operator="equal">
      <formula>"Napkin Hs"</formula>
    </cfRule>
  </conditionalFormatting>
  <conditionalFormatting sqref="C83:C84">
    <cfRule type="cellIs" dxfId="314" priority="313" stopIfTrue="1" operator="equal">
      <formula>"Towel"</formula>
    </cfRule>
    <cfRule type="cellIs" dxfId="313" priority="314" stopIfTrue="1" operator="equal">
      <formula>"Napkin Hs"</formula>
    </cfRule>
  </conditionalFormatting>
  <conditionalFormatting sqref="C83:C84">
    <cfRule type="cellIs" dxfId="312" priority="315" stopIfTrue="1" operator="equal">
      <formula>"Towel"</formula>
    </cfRule>
  </conditionalFormatting>
  <conditionalFormatting sqref="C82">
    <cfRule type="cellIs" dxfId="311" priority="311" stopIfTrue="1" operator="equal">
      <formula>"Towel"</formula>
    </cfRule>
    <cfRule type="cellIs" dxfId="310" priority="312" stopIfTrue="1" operator="equal">
      <formula>"Napkin Hs"</formula>
    </cfRule>
  </conditionalFormatting>
  <conditionalFormatting sqref="C82">
    <cfRule type="cellIs" dxfId="309" priority="307" stopIfTrue="1" operator="equal">
      <formula>"Towel"</formula>
    </cfRule>
    <cfRule type="cellIs" dxfId="308" priority="308" stopIfTrue="1" operator="equal">
      <formula>"Napkin Hs"</formula>
    </cfRule>
  </conditionalFormatting>
  <conditionalFormatting sqref="B82">
    <cfRule type="cellIs" dxfId="307" priority="297" stopIfTrue="1" operator="equal">
      <formula>"Towel"</formula>
    </cfRule>
    <cfRule type="cellIs" dxfId="306" priority="298" stopIfTrue="1" operator="equal">
      <formula>"Napkin Hs"</formula>
    </cfRule>
  </conditionalFormatting>
  <conditionalFormatting sqref="B82">
    <cfRule type="cellIs" dxfId="305" priority="299" stopIfTrue="1" operator="equal">
      <formula>"Towel"</formula>
    </cfRule>
    <cfRule type="cellIs" dxfId="304" priority="300" stopIfTrue="1" operator="equal">
      <formula>"Napkin Hs"</formula>
    </cfRule>
  </conditionalFormatting>
  <conditionalFormatting sqref="C82">
    <cfRule type="cellIs" dxfId="303" priority="301" stopIfTrue="1" operator="equal">
      <formula>"Towel"</formula>
    </cfRule>
    <cfRule type="cellIs" dxfId="302" priority="302" stopIfTrue="1" operator="equal">
      <formula>"Napkin Hs"</formula>
    </cfRule>
  </conditionalFormatting>
  <conditionalFormatting sqref="C82">
    <cfRule type="cellIs" dxfId="301" priority="310" stopIfTrue="1" operator="equal">
      <formula>"Napkin Hs"</formula>
    </cfRule>
  </conditionalFormatting>
  <conditionalFormatting sqref="C82">
    <cfRule type="cellIs" dxfId="300" priority="309" stopIfTrue="1" operator="equal">
      <formula>"Towel"</formula>
    </cfRule>
  </conditionalFormatting>
  <conditionalFormatting sqref="C82">
    <cfRule type="cellIs" dxfId="299" priority="305" stopIfTrue="1" operator="equal">
      <formula>"Towel"</formula>
    </cfRule>
    <cfRule type="cellIs" dxfId="298" priority="306" stopIfTrue="1" operator="equal">
      <formula>"Napkin Hs"</formula>
    </cfRule>
  </conditionalFormatting>
  <conditionalFormatting sqref="C82">
    <cfRule type="cellIs" dxfId="297" priority="304" stopIfTrue="1" operator="equal">
      <formula>"Napkin Hs"</formula>
    </cfRule>
  </conditionalFormatting>
  <conditionalFormatting sqref="C82">
    <cfRule type="cellIs" dxfId="296" priority="303" stopIfTrue="1" operator="equal">
      <formula>"Towel"</formula>
    </cfRule>
  </conditionalFormatting>
  <conditionalFormatting sqref="C81">
    <cfRule type="cellIs" dxfId="295" priority="296" stopIfTrue="1" operator="equal">
      <formula>"Napkin Hs"</formula>
    </cfRule>
  </conditionalFormatting>
  <conditionalFormatting sqref="C81">
    <cfRule type="cellIs" dxfId="294" priority="295" stopIfTrue="1" operator="equal">
      <formula>"Napkin Hs"</formula>
    </cfRule>
  </conditionalFormatting>
  <conditionalFormatting sqref="B88:C88">
    <cfRule type="cellIs" dxfId="293" priority="293" stopIfTrue="1" operator="equal">
      <formula>"Towel"</formula>
    </cfRule>
    <cfRule type="cellIs" dxfId="292" priority="294" stopIfTrue="1" operator="equal">
      <formula>"Napkin Hs"</formula>
    </cfRule>
  </conditionalFormatting>
  <conditionalFormatting sqref="C88">
    <cfRule type="cellIs" dxfId="291" priority="292" stopIfTrue="1" operator="equal">
      <formula>"Napkin Hs"</formula>
    </cfRule>
  </conditionalFormatting>
  <conditionalFormatting sqref="C88">
    <cfRule type="cellIs" dxfId="290" priority="289" stopIfTrue="1" operator="equal">
      <formula>"Towel"</formula>
    </cfRule>
    <cfRule type="cellIs" dxfId="289" priority="290" stopIfTrue="1" operator="equal">
      <formula>"Napkin Hs"</formula>
    </cfRule>
  </conditionalFormatting>
  <conditionalFormatting sqref="C88">
    <cfRule type="cellIs" dxfId="288" priority="291" stopIfTrue="1" operator="equal">
      <formula>"Towel"</formula>
    </cfRule>
  </conditionalFormatting>
  <conditionalFormatting sqref="C87">
    <cfRule type="cellIs" dxfId="287" priority="287" stopIfTrue="1" operator="equal">
      <formula>"Towel"</formula>
    </cfRule>
    <cfRule type="cellIs" dxfId="286" priority="288" stopIfTrue="1" operator="equal">
      <formula>"Napkin Hs"</formula>
    </cfRule>
  </conditionalFormatting>
  <conditionalFormatting sqref="C87">
    <cfRule type="cellIs" dxfId="285" priority="283" stopIfTrue="1" operator="equal">
      <formula>"Towel"</formula>
    </cfRule>
    <cfRule type="cellIs" dxfId="284" priority="284" stopIfTrue="1" operator="equal">
      <formula>"Napkin Hs"</formula>
    </cfRule>
  </conditionalFormatting>
  <conditionalFormatting sqref="B87">
    <cfRule type="cellIs" dxfId="283" priority="273" stopIfTrue="1" operator="equal">
      <formula>"Towel"</formula>
    </cfRule>
    <cfRule type="cellIs" dxfId="282" priority="274" stopIfTrue="1" operator="equal">
      <formula>"Napkin Hs"</formula>
    </cfRule>
  </conditionalFormatting>
  <conditionalFormatting sqref="B87">
    <cfRule type="cellIs" dxfId="281" priority="275" stopIfTrue="1" operator="equal">
      <formula>"Towel"</formula>
    </cfRule>
    <cfRule type="cellIs" dxfId="280" priority="276" stopIfTrue="1" operator="equal">
      <formula>"Napkin Hs"</formula>
    </cfRule>
  </conditionalFormatting>
  <conditionalFormatting sqref="C87">
    <cfRule type="cellIs" dxfId="279" priority="277" stopIfTrue="1" operator="equal">
      <formula>"Towel"</formula>
    </cfRule>
    <cfRule type="cellIs" dxfId="278" priority="278" stopIfTrue="1" operator="equal">
      <formula>"Napkin Hs"</formula>
    </cfRule>
  </conditionalFormatting>
  <conditionalFormatting sqref="C87">
    <cfRule type="cellIs" dxfId="277" priority="286" stopIfTrue="1" operator="equal">
      <formula>"Napkin Hs"</formula>
    </cfRule>
  </conditionalFormatting>
  <conditionalFormatting sqref="C87">
    <cfRule type="cellIs" dxfId="276" priority="285" stopIfTrue="1" operator="equal">
      <formula>"Towel"</formula>
    </cfRule>
  </conditionalFormatting>
  <conditionalFormatting sqref="C87">
    <cfRule type="cellIs" dxfId="275" priority="281" stopIfTrue="1" operator="equal">
      <formula>"Towel"</formula>
    </cfRule>
    <cfRule type="cellIs" dxfId="274" priority="282" stopIfTrue="1" operator="equal">
      <formula>"Napkin Hs"</formula>
    </cfRule>
  </conditionalFormatting>
  <conditionalFormatting sqref="C87">
    <cfRule type="cellIs" dxfId="273" priority="280" stopIfTrue="1" operator="equal">
      <formula>"Napkin Hs"</formula>
    </cfRule>
  </conditionalFormatting>
  <conditionalFormatting sqref="C87">
    <cfRule type="cellIs" dxfId="272" priority="279" stopIfTrue="1" operator="equal">
      <formula>"Towel"</formula>
    </cfRule>
  </conditionalFormatting>
  <conditionalFormatting sqref="C86">
    <cfRule type="cellIs" dxfId="271" priority="272" stopIfTrue="1" operator="equal">
      <formula>"Napkin Hs"</formula>
    </cfRule>
  </conditionalFormatting>
  <conditionalFormatting sqref="C86">
    <cfRule type="cellIs" dxfId="270" priority="271" stopIfTrue="1" operator="equal">
      <formula>"Napkin Hs"</formula>
    </cfRule>
  </conditionalFormatting>
  <conditionalFormatting sqref="B92:C93">
    <cfRule type="cellIs" dxfId="269" priority="269" stopIfTrue="1" operator="equal">
      <formula>"Towel"</formula>
    </cfRule>
    <cfRule type="cellIs" dxfId="268" priority="270" stopIfTrue="1" operator="equal">
      <formula>"Napkin Hs"</formula>
    </cfRule>
  </conditionalFormatting>
  <conditionalFormatting sqref="C92:C93">
    <cfRule type="cellIs" dxfId="267" priority="268" stopIfTrue="1" operator="equal">
      <formula>"Napkin Hs"</formula>
    </cfRule>
  </conditionalFormatting>
  <conditionalFormatting sqref="C92:C93">
    <cfRule type="cellIs" dxfId="266" priority="265" stopIfTrue="1" operator="equal">
      <formula>"Towel"</formula>
    </cfRule>
    <cfRule type="cellIs" dxfId="265" priority="266" stopIfTrue="1" operator="equal">
      <formula>"Napkin Hs"</formula>
    </cfRule>
  </conditionalFormatting>
  <conditionalFormatting sqref="C92:C93">
    <cfRule type="cellIs" dxfId="264" priority="267" stopIfTrue="1" operator="equal">
      <formula>"Towel"</formula>
    </cfRule>
  </conditionalFormatting>
  <conditionalFormatting sqref="C91">
    <cfRule type="cellIs" dxfId="263" priority="263" stopIfTrue="1" operator="equal">
      <formula>"Towel"</formula>
    </cfRule>
    <cfRule type="cellIs" dxfId="262" priority="264" stopIfTrue="1" operator="equal">
      <formula>"Napkin Hs"</formula>
    </cfRule>
  </conditionalFormatting>
  <conditionalFormatting sqref="C91">
    <cfRule type="cellIs" dxfId="261" priority="259" stopIfTrue="1" operator="equal">
      <formula>"Towel"</formula>
    </cfRule>
    <cfRule type="cellIs" dxfId="260" priority="260" stopIfTrue="1" operator="equal">
      <formula>"Napkin Hs"</formula>
    </cfRule>
  </conditionalFormatting>
  <conditionalFormatting sqref="B91">
    <cfRule type="cellIs" dxfId="259" priority="249" stopIfTrue="1" operator="equal">
      <formula>"Towel"</formula>
    </cfRule>
    <cfRule type="cellIs" dxfId="258" priority="250" stopIfTrue="1" operator="equal">
      <formula>"Napkin Hs"</formula>
    </cfRule>
  </conditionalFormatting>
  <conditionalFormatting sqref="B91">
    <cfRule type="cellIs" dxfId="257" priority="251" stopIfTrue="1" operator="equal">
      <formula>"Towel"</formula>
    </cfRule>
    <cfRule type="cellIs" dxfId="256" priority="252" stopIfTrue="1" operator="equal">
      <formula>"Napkin Hs"</formula>
    </cfRule>
  </conditionalFormatting>
  <conditionalFormatting sqref="C91">
    <cfRule type="cellIs" dxfId="255" priority="253" stopIfTrue="1" operator="equal">
      <formula>"Towel"</formula>
    </cfRule>
    <cfRule type="cellIs" dxfId="254" priority="254" stopIfTrue="1" operator="equal">
      <formula>"Napkin Hs"</formula>
    </cfRule>
  </conditionalFormatting>
  <conditionalFormatting sqref="C91">
    <cfRule type="cellIs" dxfId="253" priority="262" stopIfTrue="1" operator="equal">
      <formula>"Napkin Hs"</formula>
    </cfRule>
  </conditionalFormatting>
  <conditionalFormatting sqref="C91">
    <cfRule type="cellIs" dxfId="252" priority="261" stopIfTrue="1" operator="equal">
      <formula>"Towel"</formula>
    </cfRule>
  </conditionalFormatting>
  <conditionalFormatting sqref="C91">
    <cfRule type="cellIs" dxfId="251" priority="257" stopIfTrue="1" operator="equal">
      <formula>"Towel"</formula>
    </cfRule>
    <cfRule type="cellIs" dxfId="250" priority="258" stopIfTrue="1" operator="equal">
      <formula>"Napkin Hs"</formula>
    </cfRule>
  </conditionalFormatting>
  <conditionalFormatting sqref="C91">
    <cfRule type="cellIs" dxfId="249" priority="256" stopIfTrue="1" operator="equal">
      <formula>"Napkin Hs"</formula>
    </cfRule>
  </conditionalFormatting>
  <conditionalFormatting sqref="C91">
    <cfRule type="cellIs" dxfId="248" priority="255" stopIfTrue="1" operator="equal">
      <formula>"Towel"</formula>
    </cfRule>
  </conditionalFormatting>
  <conditionalFormatting sqref="C90">
    <cfRule type="cellIs" dxfId="247" priority="248" stopIfTrue="1" operator="equal">
      <formula>"Napkin Hs"</formula>
    </cfRule>
  </conditionalFormatting>
  <conditionalFormatting sqref="C90">
    <cfRule type="cellIs" dxfId="246" priority="247" stopIfTrue="1" operator="equal">
      <formula>"Napkin Hs"</formula>
    </cfRule>
  </conditionalFormatting>
  <conditionalFormatting sqref="B98:C98">
    <cfRule type="cellIs" dxfId="245" priority="245" stopIfTrue="1" operator="equal">
      <formula>"Towel"</formula>
    </cfRule>
    <cfRule type="cellIs" dxfId="244" priority="246" stopIfTrue="1" operator="equal">
      <formula>"Napkin Hs"</formula>
    </cfRule>
  </conditionalFormatting>
  <conditionalFormatting sqref="C98">
    <cfRule type="cellIs" dxfId="243" priority="241" stopIfTrue="1" operator="equal">
      <formula>"Towel"</formula>
    </cfRule>
    <cfRule type="cellIs" dxfId="242" priority="242" stopIfTrue="1" operator="equal">
      <formula>"Napkin Hs"</formula>
    </cfRule>
  </conditionalFormatting>
  <conditionalFormatting sqref="C98">
    <cfRule type="cellIs" dxfId="241" priority="243" stopIfTrue="1" operator="equal">
      <formula>"Towel"</formula>
    </cfRule>
    <cfRule type="cellIs" dxfId="240" priority="244" stopIfTrue="1" operator="equal">
      <formula>"Napkin Hs"</formula>
    </cfRule>
  </conditionalFormatting>
  <conditionalFormatting sqref="B97:C97">
    <cfRule type="cellIs" dxfId="239" priority="239" stopIfTrue="1" operator="equal">
      <formula>"Towel"</formula>
    </cfRule>
    <cfRule type="cellIs" dxfId="238" priority="240" stopIfTrue="1" operator="equal">
      <formula>"Napkin Hs"</formula>
    </cfRule>
  </conditionalFormatting>
  <conditionalFormatting sqref="C97">
    <cfRule type="cellIs" dxfId="237" priority="238" stopIfTrue="1" operator="equal">
      <formula>"Napkin Hs"</formula>
    </cfRule>
  </conditionalFormatting>
  <conditionalFormatting sqref="C97">
    <cfRule type="cellIs" dxfId="236" priority="235" stopIfTrue="1" operator="equal">
      <formula>"Towel"</formula>
    </cfRule>
    <cfRule type="cellIs" dxfId="235" priority="236" stopIfTrue="1" operator="equal">
      <formula>"Napkin Hs"</formula>
    </cfRule>
  </conditionalFormatting>
  <conditionalFormatting sqref="C97">
    <cfRule type="cellIs" dxfId="234" priority="237" stopIfTrue="1" operator="equal">
      <formula>"Towel"</formula>
    </cfRule>
  </conditionalFormatting>
  <conditionalFormatting sqref="C96">
    <cfRule type="cellIs" dxfId="233" priority="233" stopIfTrue="1" operator="equal">
      <formula>"Towel"</formula>
    </cfRule>
    <cfRule type="cellIs" dxfId="232" priority="234" stopIfTrue="1" operator="equal">
      <formula>"Napkin Hs"</formula>
    </cfRule>
  </conditionalFormatting>
  <conditionalFormatting sqref="C96">
    <cfRule type="cellIs" dxfId="231" priority="229" stopIfTrue="1" operator="equal">
      <formula>"Towel"</formula>
    </cfRule>
    <cfRule type="cellIs" dxfId="230" priority="230" stopIfTrue="1" operator="equal">
      <formula>"Napkin Hs"</formula>
    </cfRule>
  </conditionalFormatting>
  <conditionalFormatting sqref="B96">
    <cfRule type="cellIs" dxfId="229" priority="219" stopIfTrue="1" operator="equal">
      <formula>"Towel"</formula>
    </cfRule>
    <cfRule type="cellIs" dxfId="228" priority="220" stopIfTrue="1" operator="equal">
      <formula>"Napkin Hs"</formula>
    </cfRule>
  </conditionalFormatting>
  <conditionalFormatting sqref="B96">
    <cfRule type="cellIs" dxfId="227" priority="221" stopIfTrue="1" operator="equal">
      <formula>"Towel"</formula>
    </cfRule>
    <cfRule type="cellIs" dxfId="226" priority="222" stopIfTrue="1" operator="equal">
      <formula>"Napkin Hs"</formula>
    </cfRule>
  </conditionalFormatting>
  <conditionalFormatting sqref="C96">
    <cfRule type="cellIs" dxfId="225" priority="223" stopIfTrue="1" operator="equal">
      <formula>"Towel"</formula>
    </cfRule>
    <cfRule type="cellIs" dxfId="224" priority="224" stopIfTrue="1" operator="equal">
      <formula>"Napkin Hs"</formula>
    </cfRule>
  </conditionalFormatting>
  <conditionalFormatting sqref="C96">
    <cfRule type="cellIs" dxfId="223" priority="232" stopIfTrue="1" operator="equal">
      <formula>"Napkin Hs"</formula>
    </cfRule>
  </conditionalFormatting>
  <conditionalFormatting sqref="C96">
    <cfRule type="cellIs" dxfId="222" priority="231" stopIfTrue="1" operator="equal">
      <formula>"Towel"</formula>
    </cfRule>
  </conditionalFormatting>
  <conditionalFormatting sqref="C96">
    <cfRule type="cellIs" dxfId="221" priority="227" stopIfTrue="1" operator="equal">
      <formula>"Towel"</formula>
    </cfRule>
    <cfRule type="cellIs" dxfId="220" priority="228" stopIfTrue="1" operator="equal">
      <formula>"Napkin Hs"</formula>
    </cfRule>
  </conditionalFormatting>
  <conditionalFormatting sqref="C96">
    <cfRule type="cellIs" dxfId="219" priority="226" stopIfTrue="1" operator="equal">
      <formula>"Napkin Hs"</formula>
    </cfRule>
  </conditionalFormatting>
  <conditionalFormatting sqref="C96">
    <cfRule type="cellIs" dxfId="218" priority="225" stopIfTrue="1" operator="equal">
      <formula>"Towel"</formula>
    </cfRule>
  </conditionalFormatting>
  <conditionalFormatting sqref="C95">
    <cfRule type="cellIs" dxfId="217" priority="218" stopIfTrue="1" operator="equal">
      <formula>"Napkin Hs"</formula>
    </cfRule>
  </conditionalFormatting>
  <conditionalFormatting sqref="C95">
    <cfRule type="cellIs" dxfId="216" priority="217" stopIfTrue="1" operator="equal">
      <formula>"Napkin Hs"</formula>
    </cfRule>
  </conditionalFormatting>
  <conditionalFormatting sqref="B102:C102">
    <cfRule type="cellIs" dxfId="215" priority="215" stopIfTrue="1" operator="equal">
      <formula>"Towel"</formula>
    </cfRule>
    <cfRule type="cellIs" dxfId="214" priority="216" stopIfTrue="1" operator="equal">
      <formula>"Napkin Hs"</formula>
    </cfRule>
  </conditionalFormatting>
  <conditionalFormatting sqref="C102">
    <cfRule type="cellIs" dxfId="213" priority="211" stopIfTrue="1" operator="equal">
      <formula>"Towel"</formula>
    </cfRule>
    <cfRule type="cellIs" dxfId="212" priority="212" stopIfTrue="1" operator="equal">
      <formula>"Napkin Hs"</formula>
    </cfRule>
  </conditionalFormatting>
  <conditionalFormatting sqref="C102">
    <cfRule type="cellIs" dxfId="211" priority="213" stopIfTrue="1" operator="equal">
      <formula>"Towel"</formula>
    </cfRule>
    <cfRule type="cellIs" dxfId="210" priority="214" stopIfTrue="1" operator="equal">
      <formula>"Napkin Hs"</formula>
    </cfRule>
  </conditionalFormatting>
  <conditionalFormatting sqref="B101:C101">
    <cfRule type="cellIs" dxfId="209" priority="209" stopIfTrue="1" operator="equal">
      <formula>"Towel"</formula>
    </cfRule>
    <cfRule type="cellIs" dxfId="208" priority="210" stopIfTrue="1" operator="equal">
      <formula>"Napkin Hs"</formula>
    </cfRule>
  </conditionalFormatting>
  <conditionalFormatting sqref="C101">
    <cfRule type="cellIs" dxfId="207" priority="208" stopIfTrue="1" operator="equal">
      <formula>"Napkin Hs"</formula>
    </cfRule>
  </conditionalFormatting>
  <conditionalFormatting sqref="C101">
    <cfRule type="cellIs" dxfId="206" priority="205" stopIfTrue="1" operator="equal">
      <formula>"Towel"</formula>
    </cfRule>
    <cfRule type="cellIs" dxfId="205" priority="206" stopIfTrue="1" operator="equal">
      <formula>"Napkin Hs"</formula>
    </cfRule>
  </conditionalFormatting>
  <conditionalFormatting sqref="C101">
    <cfRule type="cellIs" dxfId="204" priority="207" stopIfTrue="1" operator="equal">
      <formula>"Towel"</formula>
    </cfRule>
  </conditionalFormatting>
  <conditionalFormatting sqref="C100">
    <cfRule type="cellIs" dxfId="203" priority="203" stopIfTrue="1" operator="equal">
      <formula>"Towel"</formula>
    </cfRule>
    <cfRule type="cellIs" dxfId="202" priority="204" stopIfTrue="1" operator="equal">
      <formula>"Napkin Hs"</formula>
    </cfRule>
  </conditionalFormatting>
  <conditionalFormatting sqref="C100">
    <cfRule type="cellIs" dxfId="201" priority="199" stopIfTrue="1" operator="equal">
      <formula>"Towel"</formula>
    </cfRule>
    <cfRule type="cellIs" dxfId="200" priority="200" stopIfTrue="1" operator="equal">
      <formula>"Napkin Hs"</formula>
    </cfRule>
  </conditionalFormatting>
  <conditionalFormatting sqref="B100">
    <cfRule type="cellIs" dxfId="199" priority="189" stopIfTrue="1" operator="equal">
      <formula>"Towel"</formula>
    </cfRule>
    <cfRule type="cellIs" dxfId="198" priority="190" stopIfTrue="1" operator="equal">
      <formula>"Napkin Hs"</formula>
    </cfRule>
  </conditionalFormatting>
  <conditionalFormatting sqref="B100">
    <cfRule type="cellIs" dxfId="197" priority="191" stopIfTrue="1" operator="equal">
      <formula>"Towel"</formula>
    </cfRule>
    <cfRule type="cellIs" dxfId="196" priority="192" stopIfTrue="1" operator="equal">
      <formula>"Napkin Hs"</formula>
    </cfRule>
  </conditionalFormatting>
  <conditionalFormatting sqref="C100">
    <cfRule type="cellIs" dxfId="195" priority="193" stopIfTrue="1" operator="equal">
      <formula>"Towel"</formula>
    </cfRule>
    <cfRule type="cellIs" dxfId="194" priority="194" stopIfTrue="1" operator="equal">
      <formula>"Napkin Hs"</formula>
    </cfRule>
  </conditionalFormatting>
  <conditionalFormatting sqref="C100">
    <cfRule type="cellIs" dxfId="193" priority="202" stopIfTrue="1" operator="equal">
      <formula>"Napkin Hs"</formula>
    </cfRule>
  </conditionalFormatting>
  <conditionalFormatting sqref="C100">
    <cfRule type="cellIs" dxfId="192" priority="201" stopIfTrue="1" operator="equal">
      <formula>"Towel"</formula>
    </cfRule>
  </conditionalFormatting>
  <conditionalFormatting sqref="C100">
    <cfRule type="cellIs" dxfId="191" priority="197" stopIfTrue="1" operator="equal">
      <formula>"Towel"</formula>
    </cfRule>
    <cfRule type="cellIs" dxfId="190" priority="198" stopIfTrue="1" operator="equal">
      <formula>"Napkin Hs"</formula>
    </cfRule>
  </conditionalFormatting>
  <conditionalFormatting sqref="C100">
    <cfRule type="cellIs" dxfId="189" priority="196" stopIfTrue="1" operator="equal">
      <formula>"Napkin Hs"</formula>
    </cfRule>
  </conditionalFormatting>
  <conditionalFormatting sqref="C100">
    <cfRule type="cellIs" dxfId="188" priority="195" stopIfTrue="1" operator="equal">
      <formula>"Towel"</formula>
    </cfRule>
  </conditionalFormatting>
  <conditionalFormatting sqref="C99">
    <cfRule type="cellIs" dxfId="187" priority="188" stopIfTrue="1" operator="equal">
      <formula>"Napkin Hs"</formula>
    </cfRule>
  </conditionalFormatting>
  <conditionalFormatting sqref="C99">
    <cfRule type="cellIs" dxfId="186" priority="187" stopIfTrue="1" operator="equal">
      <formula>"Napkin Hs"</formula>
    </cfRule>
  </conditionalFormatting>
  <conditionalFormatting sqref="B105:C105">
    <cfRule type="cellIs" dxfId="185" priority="185" stopIfTrue="1" operator="equal">
      <formula>"Towel"</formula>
    </cfRule>
    <cfRule type="cellIs" dxfId="184" priority="186" stopIfTrue="1" operator="equal">
      <formula>"Napkin Hs"</formula>
    </cfRule>
  </conditionalFormatting>
  <conditionalFormatting sqref="C105">
    <cfRule type="cellIs" dxfId="183" priority="184" stopIfTrue="1" operator="equal">
      <formula>"Napkin Hs"</formula>
    </cfRule>
  </conditionalFormatting>
  <conditionalFormatting sqref="C105">
    <cfRule type="cellIs" dxfId="182" priority="181" stopIfTrue="1" operator="equal">
      <formula>"Towel"</formula>
    </cfRule>
    <cfRule type="cellIs" dxfId="181" priority="182" stopIfTrue="1" operator="equal">
      <formula>"Napkin Hs"</formula>
    </cfRule>
  </conditionalFormatting>
  <conditionalFormatting sqref="C105">
    <cfRule type="cellIs" dxfId="180" priority="183" stopIfTrue="1" operator="equal">
      <formula>"Towel"</formula>
    </cfRule>
  </conditionalFormatting>
  <conditionalFormatting sqref="C104">
    <cfRule type="cellIs" dxfId="179" priority="179" stopIfTrue="1" operator="equal">
      <formula>"Towel"</formula>
    </cfRule>
    <cfRule type="cellIs" dxfId="178" priority="180" stopIfTrue="1" operator="equal">
      <formula>"Napkin Hs"</formula>
    </cfRule>
  </conditionalFormatting>
  <conditionalFormatting sqref="C104">
    <cfRule type="cellIs" dxfId="177" priority="175" stopIfTrue="1" operator="equal">
      <formula>"Towel"</formula>
    </cfRule>
    <cfRule type="cellIs" dxfId="176" priority="176" stopIfTrue="1" operator="equal">
      <formula>"Napkin Hs"</formula>
    </cfRule>
  </conditionalFormatting>
  <conditionalFormatting sqref="B104">
    <cfRule type="cellIs" dxfId="175" priority="165" stopIfTrue="1" operator="equal">
      <formula>"Towel"</formula>
    </cfRule>
    <cfRule type="cellIs" dxfId="174" priority="166" stopIfTrue="1" operator="equal">
      <formula>"Napkin Hs"</formula>
    </cfRule>
  </conditionalFormatting>
  <conditionalFormatting sqref="B104">
    <cfRule type="cellIs" dxfId="173" priority="167" stopIfTrue="1" operator="equal">
      <formula>"Towel"</formula>
    </cfRule>
    <cfRule type="cellIs" dxfId="172" priority="168" stopIfTrue="1" operator="equal">
      <formula>"Napkin Hs"</formula>
    </cfRule>
  </conditionalFormatting>
  <conditionalFormatting sqref="C104">
    <cfRule type="cellIs" dxfId="171" priority="169" stopIfTrue="1" operator="equal">
      <formula>"Towel"</formula>
    </cfRule>
    <cfRule type="cellIs" dxfId="170" priority="170" stopIfTrue="1" operator="equal">
      <formula>"Napkin Hs"</formula>
    </cfRule>
  </conditionalFormatting>
  <conditionalFormatting sqref="C104">
    <cfRule type="cellIs" dxfId="169" priority="178" stopIfTrue="1" operator="equal">
      <formula>"Napkin Hs"</formula>
    </cfRule>
  </conditionalFormatting>
  <conditionalFormatting sqref="C104">
    <cfRule type="cellIs" dxfId="168" priority="177" stopIfTrue="1" operator="equal">
      <formula>"Towel"</formula>
    </cfRule>
  </conditionalFormatting>
  <conditionalFormatting sqref="C104">
    <cfRule type="cellIs" dxfId="167" priority="173" stopIfTrue="1" operator="equal">
      <formula>"Towel"</formula>
    </cfRule>
    <cfRule type="cellIs" dxfId="166" priority="174" stopIfTrue="1" operator="equal">
      <formula>"Napkin Hs"</formula>
    </cfRule>
  </conditionalFormatting>
  <conditionalFormatting sqref="C104">
    <cfRule type="cellIs" dxfId="165" priority="172" stopIfTrue="1" operator="equal">
      <formula>"Napkin Hs"</formula>
    </cfRule>
  </conditionalFormatting>
  <conditionalFormatting sqref="C104">
    <cfRule type="cellIs" dxfId="164" priority="171" stopIfTrue="1" operator="equal">
      <formula>"Towel"</formula>
    </cfRule>
  </conditionalFormatting>
  <conditionalFormatting sqref="C103">
    <cfRule type="cellIs" dxfId="163" priority="164" stopIfTrue="1" operator="equal">
      <formula>"Napkin Hs"</formula>
    </cfRule>
  </conditionalFormatting>
  <conditionalFormatting sqref="C103">
    <cfRule type="cellIs" dxfId="162" priority="163" stopIfTrue="1" operator="equal">
      <formula>"Napkin Hs"</formula>
    </cfRule>
  </conditionalFormatting>
  <conditionalFormatting sqref="B109:C110">
    <cfRule type="cellIs" dxfId="161" priority="161" stopIfTrue="1" operator="equal">
      <formula>"Towel"</formula>
    </cfRule>
    <cfRule type="cellIs" dxfId="160" priority="162" stopIfTrue="1" operator="equal">
      <formula>"Napkin Hs"</formula>
    </cfRule>
  </conditionalFormatting>
  <conditionalFormatting sqref="C109:C110">
    <cfRule type="cellIs" dxfId="159" priority="160" stopIfTrue="1" operator="equal">
      <formula>"Napkin Hs"</formula>
    </cfRule>
  </conditionalFormatting>
  <conditionalFormatting sqref="C109:C110">
    <cfRule type="cellIs" dxfId="158" priority="157" stopIfTrue="1" operator="equal">
      <formula>"Towel"</formula>
    </cfRule>
    <cfRule type="cellIs" dxfId="157" priority="158" stopIfTrue="1" operator="equal">
      <formula>"Napkin Hs"</formula>
    </cfRule>
  </conditionalFormatting>
  <conditionalFormatting sqref="C109:C110">
    <cfRule type="cellIs" dxfId="156" priority="159" stopIfTrue="1" operator="equal">
      <formula>"Towel"</formula>
    </cfRule>
  </conditionalFormatting>
  <conditionalFormatting sqref="C108">
    <cfRule type="cellIs" dxfId="155" priority="155" stopIfTrue="1" operator="equal">
      <formula>"Towel"</formula>
    </cfRule>
    <cfRule type="cellIs" dxfId="154" priority="156" stopIfTrue="1" operator="equal">
      <formula>"Napkin Hs"</formula>
    </cfRule>
  </conditionalFormatting>
  <conditionalFormatting sqref="C108">
    <cfRule type="cellIs" dxfId="153" priority="151" stopIfTrue="1" operator="equal">
      <formula>"Towel"</formula>
    </cfRule>
    <cfRule type="cellIs" dxfId="152" priority="152" stopIfTrue="1" operator="equal">
      <formula>"Napkin Hs"</formula>
    </cfRule>
  </conditionalFormatting>
  <conditionalFormatting sqref="B108">
    <cfRule type="cellIs" dxfId="151" priority="141" stopIfTrue="1" operator="equal">
      <formula>"Towel"</formula>
    </cfRule>
    <cfRule type="cellIs" dxfId="150" priority="142" stopIfTrue="1" operator="equal">
      <formula>"Napkin Hs"</formula>
    </cfRule>
  </conditionalFormatting>
  <conditionalFormatting sqref="B108">
    <cfRule type="cellIs" dxfId="149" priority="143" stopIfTrue="1" operator="equal">
      <formula>"Towel"</formula>
    </cfRule>
    <cfRule type="cellIs" dxfId="148" priority="144" stopIfTrue="1" operator="equal">
      <formula>"Napkin Hs"</formula>
    </cfRule>
  </conditionalFormatting>
  <conditionalFormatting sqref="C108">
    <cfRule type="cellIs" dxfId="147" priority="145" stopIfTrue="1" operator="equal">
      <formula>"Towel"</formula>
    </cfRule>
    <cfRule type="cellIs" dxfId="146" priority="146" stopIfTrue="1" operator="equal">
      <formula>"Napkin Hs"</formula>
    </cfRule>
  </conditionalFormatting>
  <conditionalFormatting sqref="C108">
    <cfRule type="cellIs" dxfId="145" priority="154" stopIfTrue="1" operator="equal">
      <formula>"Napkin Hs"</formula>
    </cfRule>
  </conditionalFormatting>
  <conditionalFormatting sqref="C108">
    <cfRule type="cellIs" dxfId="144" priority="153" stopIfTrue="1" operator="equal">
      <formula>"Towel"</formula>
    </cfRule>
  </conditionalFormatting>
  <conditionalFormatting sqref="C108">
    <cfRule type="cellIs" dxfId="143" priority="149" stopIfTrue="1" operator="equal">
      <formula>"Towel"</formula>
    </cfRule>
    <cfRule type="cellIs" dxfId="142" priority="150" stopIfTrue="1" operator="equal">
      <formula>"Napkin Hs"</formula>
    </cfRule>
  </conditionalFormatting>
  <conditionalFormatting sqref="C108">
    <cfRule type="cellIs" dxfId="141" priority="148" stopIfTrue="1" operator="equal">
      <formula>"Napkin Hs"</formula>
    </cfRule>
  </conditionalFormatting>
  <conditionalFormatting sqref="C108">
    <cfRule type="cellIs" dxfId="140" priority="147" stopIfTrue="1" operator="equal">
      <formula>"Towel"</formula>
    </cfRule>
  </conditionalFormatting>
  <conditionalFormatting sqref="C107">
    <cfRule type="cellIs" dxfId="139" priority="140" stopIfTrue="1" operator="equal">
      <formula>"Napkin Hs"</formula>
    </cfRule>
  </conditionalFormatting>
  <conditionalFormatting sqref="C107">
    <cfRule type="cellIs" dxfId="138" priority="139" stopIfTrue="1" operator="equal">
      <formula>"Napkin Hs"</formula>
    </cfRule>
  </conditionalFormatting>
  <conditionalFormatting sqref="B114:C114">
    <cfRule type="cellIs" dxfId="137" priority="137" stopIfTrue="1" operator="equal">
      <formula>"Towel"</formula>
    </cfRule>
    <cfRule type="cellIs" dxfId="136" priority="138" stopIfTrue="1" operator="equal">
      <formula>"Napkin Hs"</formula>
    </cfRule>
  </conditionalFormatting>
  <conditionalFormatting sqref="C114">
    <cfRule type="cellIs" dxfId="135" priority="136" stopIfTrue="1" operator="equal">
      <formula>"Napkin Hs"</formula>
    </cfRule>
  </conditionalFormatting>
  <conditionalFormatting sqref="C114">
    <cfRule type="cellIs" dxfId="134" priority="133" stopIfTrue="1" operator="equal">
      <formula>"Towel"</formula>
    </cfRule>
    <cfRule type="cellIs" dxfId="133" priority="134" stopIfTrue="1" operator="equal">
      <formula>"Napkin Hs"</formula>
    </cfRule>
  </conditionalFormatting>
  <conditionalFormatting sqref="C114">
    <cfRule type="cellIs" dxfId="132" priority="135" stopIfTrue="1" operator="equal">
      <formula>"Towel"</formula>
    </cfRule>
  </conditionalFormatting>
  <conditionalFormatting sqref="C112:C113">
    <cfRule type="cellIs" dxfId="131" priority="132" stopIfTrue="1" operator="equal">
      <formula>"Napkin Hs"</formula>
    </cfRule>
  </conditionalFormatting>
  <conditionalFormatting sqref="C112:C113">
    <cfRule type="cellIs" dxfId="130" priority="131" stopIfTrue="1" operator="equal">
      <formula>"Napkin Hs"</formula>
    </cfRule>
  </conditionalFormatting>
  <conditionalFormatting sqref="B118:C119">
    <cfRule type="cellIs" dxfId="129" priority="129" stopIfTrue="1" operator="equal">
      <formula>"Towel"</formula>
    </cfRule>
    <cfRule type="cellIs" dxfId="128" priority="130" stopIfTrue="1" operator="equal">
      <formula>"Napkin Hs"</formula>
    </cfRule>
  </conditionalFormatting>
  <conditionalFormatting sqref="C118:C119">
    <cfRule type="cellIs" dxfId="127" priority="128" stopIfTrue="1" operator="equal">
      <formula>"Napkin Hs"</formula>
    </cfRule>
  </conditionalFormatting>
  <conditionalFormatting sqref="C118:C119">
    <cfRule type="cellIs" dxfId="126" priority="125" stopIfTrue="1" operator="equal">
      <formula>"Towel"</formula>
    </cfRule>
    <cfRule type="cellIs" dxfId="125" priority="126" stopIfTrue="1" operator="equal">
      <formula>"Napkin Hs"</formula>
    </cfRule>
  </conditionalFormatting>
  <conditionalFormatting sqref="C118:C119">
    <cfRule type="cellIs" dxfId="124" priority="127" stopIfTrue="1" operator="equal">
      <formula>"Towel"</formula>
    </cfRule>
  </conditionalFormatting>
  <conditionalFormatting sqref="C116">
    <cfRule type="cellIs" dxfId="123" priority="124" stopIfTrue="1" operator="equal">
      <formula>"Napkin Hs"</formula>
    </cfRule>
  </conditionalFormatting>
  <conditionalFormatting sqref="C116">
    <cfRule type="cellIs" dxfId="122" priority="123" stopIfTrue="1" operator="equal">
      <formula>"Napkin Hs"</formula>
    </cfRule>
  </conditionalFormatting>
  <conditionalFormatting sqref="C117">
    <cfRule type="cellIs" dxfId="121" priority="122" stopIfTrue="1" operator="equal">
      <formula>"Napkin Hs"</formula>
    </cfRule>
  </conditionalFormatting>
  <conditionalFormatting sqref="C117">
    <cfRule type="cellIs" dxfId="120" priority="121" stopIfTrue="1" operator="equal">
      <formula>"Napkin Hs"</formula>
    </cfRule>
  </conditionalFormatting>
  <conditionalFormatting sqref="B123:C123">
    <cfRule type="cellIs" dxfId="119" priority="119" stopIfTrue="1" operator="equal">
      <formula>"Towel"</formula>
    </cfRule>
    <cfRule type="cellIs" dxfId="118" priority="120" stopIfTrue="1" operator="equal">
      <formula>"Napkin Hs"</formula>
    </cfRule>
  </conditionalFormatting>
  <conditionalFormatting sqref="C123">
    <cfRule type="cellIs" dxfId="117" priority="118" stopIfTrue="1" operator="equal">
      <formula>"Napkin Hs"</formula>
    </cfRule>
  </conditionalFormatting>
  <conditionalFormatting sqref="C123">
    <cfRule type="cellIs" dxfId="116" priority="115" stopIfTrue="1" operator="equal">
      <formula>"Towel"</formula>
    </cfRule>
    <cfRule type="cellIs" dxfId="115" priority="116" stopIfTrue="1" operator="equal">
      <formula>"Napkin Hs"</formula>
    </cfRule>
  </conditionalFormatting>
  <conditionalFormatting sqref="C123">
    <cfRule type="cellIs" dxfId="114" priority="117" stopIfTrue="1" operator="equal">
      <formula>"Towel"</formula>
    </cfRule>
  </conditionalFormatting>
  <conditionalFormatting sqref="C122">
    <cfRule type="cellIs" dxfId="113" priority="113" stopIfTrue="1" operator="equal">
      <formula>"Towel"</formula>
    </cfRule>
    <cfRule type="cellIs" dxfId="112" priority="114" stopIfTrue="1" operator="equal">
      <formula>"Napkin Hs"</formula>
    </cfRule>
  </conditionalFormatting>
  <conditionalFormatting sqref="C122">
    <cfRule type="cellIs" dxfId="111" priority="109" stopIfTrue="1" operator="equal">
      <formula>"Towel"</formula>
    </cfRule>
    <cfRule type="cellIs" dxfId="110" priority="110" stopIfTrue="1" operator="equal">
      <formula>"Napkin Hs"</formula>
    </cfRule>
  </conditionalFormatting>
  <conditionalFormatting sqref="B122">
    <cfRule type="cellIs" dxfId="109" priority="99" stopIfTrue="1" operator="equal">
      <formula>"Towel"</formula>
    </cfRule>
    <cfRule type="cellIs" dxfId="108" priority="100" stopIfTrue="1" operator="equal">
      <formula>"Napkin Hs"</formula>
    </cfRule>
  </conditionalFormatting>
  <conditionalFormatting sqref="B122">
    <cfRule type="cellIs" dxfId="107" priority="101" stopIfTrue="1" operator="equal">
      <formula>"Towel"</formula>
    </cfRule>
    <cfRule type="cellIs" dxfId="106" priority="102" stopIfTrue="1" operator="equal">
      <formula>"Napkin Hs"</formula>
    </cfRule>
  </conditionalFormatting>
  <conditionalFormatting sqref="C122">
    <cfRule type="cellIs" dxfId="105" priority="103" stopIfTrue="1" operator="equal">
      <formula>"Towel"</formula>
    </cfRule>
    <cfRule type="cellIs" dxfId="104" priority="104" stopIfTrue="1" operator="equal">
      <formula>"Napkin Hs"</formula>
    </cfRule>
  </conditionalFormatting>
  <conditionalFormatting sqref="C122">
    <cfRule type="cellIs" dxfId="103" priority="112" stopIfTrue="1" operator="equal">
      <formula>"Napkin Hs"</formula>
    </cfRule>
  </conditionalFormatting>
  <conditionalFormatting sqref="C122">
    <cfRule type="cellIs" dxfId="102" priority="111" stopIfTrue="1" operator="equal">
      <formula>"Towel"</formula>
    </cfRule>
  </conditionalFormatting>
  <conditionalFormatting sqref="C122">
    <cfRule type="cellIs" dxfId="101" priority="107" stopIfTrue="1" operator="equal">
      <formula>"Towel"</formula>
    </cfRule>
    <cfRule type="cellIs" dxfId="100" priority="108" stopIfTrue="1" operator="equal">
      <formula>"Napkin Hs"</formula>
    </cfRule>
  </conditionalFormatting>
  <conditionalFormatting sqref="C122">
    <cfRule type="cellIs" dxfId="99" priority="106" stopIfTrue="1" operator="equal">
      <formula>"Napkin Hs"</formula>
    </cfRule>
  </conditionalFormatting>
  <conditionalFormatting sqref="C122">
    <cfRule type="cellIs" dxfId="98" priority="105" stopIfTrue="1" operator="equal">
      <formula>"Towel"</formula>
    </cfRule>
  </conditionalFormatting>
  <conditionalFormatting sqref="C121">
    <cfRule type="cellIs" dxfId="97" priority="98" stopIfTrue="1" operator="equal">
      <formula>"Napkin Hs"</formula>
    </cfRule>
  </conditionalFormatting>
  <conditionalFormatting sqref="C121">
    <cfRule type="cellIs" dxfId="96" priority="97" stopIfTrue="1" operator="equal">
      <formula>"Napkin Hs"</formula>
    </cfRule>
  </conditionalFormatting>
  <conditionalFormatting sqref="B127:C127">
    <cfRule type="cellIs" dxfId="95" priority="95" stopIfTrue="1" operator="equal">
      <formula>"Towel"</formula>
    </cfRule>
    <cfRule type="cellIs" dxfId="94" priority="96" stopIfTrue="1" operator="equal">
      <formula>"Napkin Hs"</formula>
    </cfRule>
  </conditionalFormatting>
  <conditionalFormatting sqref="C127">
    <cfRule type="cellIs" dxfId="93" priority="94" stopIfTrue="1" operator="equal">
      <formula>"Napkin Hs"</formula>
    </cfRule>
  </conditionalFormatting>
  <conditionalFormatting sqref="C127">
    <cfRule type="cellIs" dxfId="92" priority="91" stopIfTrue="1" operator="equal">
      <formula>"Towel"</formula>
    </cfRule>
    <cfRule type="cellIs" dxfId="91" priority="92" stopIfTrue="1" operator="equal">
      <formula>"Napkin Hs"</formula>
    </cfRule>
  </conditionalFormatting>
  <conditionalFormatting sqref="C127">
    <cfRule type="cellIs" dxfId="90" priority="93" stopIfTrue="1" operator="equal">
      <formula>"Towel"</formula>
    </cfRule>
  </conditionalFormatting>
  <conditionalFormatting sqref="C126">
    <cfRule type="cellIs" dxfId="89" priority="89" stopIfTrue="1" operator="equal">
      <formula>"Towel"</formula>
    </cfRule>
    <cfRule type="cellIs" dxfId="88" priority="90" stopIfTrue="1" operator="equal">
      <formula>"Napkin Hs"</formula>
    </cfRule>
  </conditionalFormatting>
  <conditionalFormatting sqref="C126">
    <cfRule type="cellIs" dxfId="87" priority="85" stopIfTrue="1" operator="equal">
      <formula>"Towel"</formula>
    </cfRule>
    <cfRule type="cellIs" dxfId="86" priority="86" stopIfTrue="1" operator="equal">
      <formula>"Napkin Hs"</formula>
    </cfRule>
  </conditionalFormatting>
  <conditionalFormatting sqref="B126">
    <cfRule type="cellIs" dxfId="85" priority="75" stopIfTrue="1" operator="equal">
      <formula>"Towel"</formula>
    </cfRule>
    <cfRule type="cellIs" dxfId="84" priority="76" stopIfTrue="1" operator="equal">
      <formula>"Napkin Hs"</formula>
    </cfRule>
  </conditionalFormatting>
  <conditionalFormatting sqref="B126">
    <cfRule type="cellIs" dxfId="83" priority="77" stopIfTrue="1" operator="equal">
      <formula>"Towel"</formula>
    </cfRule>
    <cfRule type="cellIs" dxfId="82" priority="78" stopIfTrue="1" operator="equal">
      <formula>"Napkin Hs"</formula>
    </cfRule>
  </conditionalFormatting>
  <conditionalFormatting sqref="C126">
    <cfRule type="cellIs" dxfId="81" priority="79" stopIfTrue="1" operator="equal">
      <formula>"Towel"</formula>
    </cfRule>
    <cfRule type="cellIs" dxfId="80" priority="80" stopIfTrue="1" operator="equal">
      <formula>"Napkin Hs"</formula>
    </cfRule>
  </conditionalFormatting>
  <conditionalFormatting sqref="C126">
    <cfRule type="cellIs" dxfId="79" priority="88" stopIfTrue="1" operator="equal">
      <formula>"Napkin Hs"</formula>
    </cfRule>
  </conditionalFormatting>
  <conditionalFormatting sqref="C126">
    <cfRule type="cellIs" dxfId="78" priority="87" stopIfTrue="1" operator="equal">
      <formula>"Towel"</formula>
    </cfRule>
  </conditionalFormatting>
  <conditionalFormatting sqref="C126">
    <cfRule type="cellIs" dxfId="77" priority="83" stopIfTrue="1" operator="equal">
      <formula>"Towel"</formula>
    </cfRule>
    <cfRule type="cellIs" dxfId="76" priority="84" stopIfTrue="1" operator="equal">
      <formula>"Napkin Hs"</formula>
    </cfRule>
  </conditionalFormatting>
  <conditionalFormatting sqref="C126">
    <cfRule type="cellIs" dxfId="75" priority="82" stopIfTrue="1" operator="equal">
      <formula>"Napkin Hs"</formula>
    </cfRule>
  </conditionalFormatting>
  <conditionalFormatting sqref="C126">
    <cfRule type="cellIs" dxfId="74" priority="81" stopIfTrue="1" operator="equal">
      <formula>"Towel"</formula>
    </cfRule>
  </conditionalFormatting>
  <conditionalFormatting sqref="C125">
    <cfRule type="cellIs" dxfId="73" priority="74" stopIfTrue="1" operator="equal">
      <formula>"Napkin Hs"</formula>
    </cfRule>
  </conditionalFormatting>
  <conditionalFormatting sqref="C125">
    <cfRule type="cellIs" dxfId="72" priority="73" stopIfTrue="1" operator="equal">
      <formula>"Napkin Hs"</formula>
    </cfRule>
  </conditionalFormatting>
  <conditionalFormatting sqref="B131:C131">
    <cfRule type="cellIs" dxfId="71" priority="71" stopIfTrue="1" operator="equal">
      <formula>"Towel"</formula>
    </cfRule>
    <cfRule type="cellIs" dxfId="70" priority="72" stopIfTrue="1" operator="equal">
      <formula>"Napkin Hs"</formula>
    </cfRule>
  </conditionalFormatting>
  <conditionalFormatting sqref="C131">
    <cfRule type="cellIs" dxfId="69" priority="70" stopIfTrue="1" operator="equal">
      <formula>"Napkin Hs"</formula>
    </cfRule>
  </conditionalFormatting>
  <conditionalFormatting sqref="C131">
    <cfRule type="cellIs" dxfId="68" priority="67" stopIfTrue="1" operator="equal">
      <formula>"Towel"</formula>
    </cfRule>
    <cfRule type="cellIs" dxfId="67" priority="68" stopIfTrue="1" operator="equal">
      <formula>"Napkin Hs"</formula>
    </cfRule>
  </conditionalFormatting>
  <conditionalFormatting sqref="C131">
    <cfRule type="cellIs" dxfId="66" priority="69" stopIfTrue="1" operator="equal">
      <formula>"Towel"</formula>
    </cfRule>
  </conditionalFormatting>
  <conditionalFormatting sqref="C130">
    <cfRule type="cellIs" dxfId="65" priority="65" stopIfTrue="1" operator="equal">
      <formula>"Towel"</formula>
    </cfRule>
    <cfRule type="cellIs" dxfId="64" priority="66" stopIfTrue="1" operator="equal">
      <formula>"Napkin Hs"</formula>
    </cfRule>
  </conditionalFormatting>
  <conditionalFormatting sqref="C130">
    <cfRule type="cellIs" dxfId="63" priority="61" stopIfTrue="1" operator="equal">
      <formula>"Towel"</formula>
    </cfRule>
    <cfRule type="cellIs" dxfId="62" priority="62" stopIfTrue="1" operator="equal">
      <formula>"Napkin Hs"</formula>
    </cfRule>
  </conditionalFormatting>
  <conditionalFormatting sqref="B130">
    <cfRule type="cellIs" dxfId="61" priority="51" stopIfTrue="1" operator="equal">
      <formula>"Towel"</formula>
    </cfRule>
    <cfRule type="cellIs" dxfId="60" priority="52" stopIfTrue="1" operator="equal">
      <formula>"Napkin Hs"</formula>
    </cfRule>
  </conditionalFormatting>
  <conditionalFormatting sqref="B130">
    <cfRule type="cellIs" dxfId="59" priority="53" stopIfTrue="1" operator="equal">
      <formula>"Towel"</formula>
    </cfRule>
    <cfRule type="cellIs" dxfId="58" priority="54" stopIfTrue="1" operator="equal">
      <formula>"Napkin Hs"</formula>
    </cfRule>
  </conditionalFormatting>
  <conditionalFormatting sqref="C130">
    <cfRule type="cellIs" dxfId="57" priority="55" stopIfTrue="1" operator="equal">
      <formula>"Towel"</formula>
    </cfRule>
    <cfRule type="cellIs" dxfId="56" priority="56" stopIfTrue="1" operator="equal">
      <formula>"Napkin Hs"</formula>
    </cfRule>
  </conditionalFormatting>
  <conditionalFormatting sqref="C130">
    <cfRule type="cellIs" dxfId="55" priority="64" stopIfTrue="1" operator="equal">
      <formula>"Napkin Hs"</formula>
    </cfRule>
  </conditionalFormatting>
  <conditionalFormatting sqref="C130">
    <cfRule type="cellIs" dxfId="54" priority="63" stopIfTrue="1" operator="equal">
      <formula>"Towel"</formula>
    </cfRule>
  </conditionalFormatting>
  <conditionalFormatting sqref="C130">
    <cfRule type="cellIs" dxfId="53" priority="59" stopIfTrue="1" operator="equal">
      <formula>"Towel"</formula>
    </cfRule>
    <cfRule type="cellIs" dxfId="52" priority="60" stopIfTrue="1" operator="equal">
      <formula>"Napkin Hs"</formula>
    </cfRule>
  </conditionalFormatting>
  <conditionalFormatting sqref="C130">
    <cfRule type="cellIs" dxfId="51" priority="58" stopIfTrue="1" operator="equal">
      <formula>"Napkin Hs"</formula>
    </cfRule>
  </conditionalFormatting>
  <conditionalFormatting sqref="C130">
    <cfRule type="cellIs" dxfId="50" priority="57" stopIfTrue="1" operator="equal">
      <formula>"Towel"</formula>
    </cfRule>
  </conditionalFormatting>
  <conditionalFormatting sqref="C129">
    <cfRule type="cellIs" dxfId="49" priority="50" stopIfTrue="1" operator="equal">
      <formula>"Napkin Hs"</formula>
    </cfRule>
  </conditionalFormatting>
  <conditionalFormatting sqref="C129">
    <cfRule type="cellIs" dxfId="48" priority="49" stopIfTrue="1" operator="equal">
      <formula>"Napkin Hs"</formula>
    </cfRule>
  </conditionalFormatting>
  <conditionalFormatting sqref="B135:C135">
    <cfRule type="cellIs" dxfId="47" priority="47" stopIfTrue="1" operator="equal">
      <formula>"Towel"</formula>
    </cfRule>
    <cfRule type="cellIs" dxfId="46" priority="48" stopIfTrue="1" operator="equal">
      <formula>"Napkin Hs"</formula>
    </cfRule>
  </conditionalFormatting>
  <conditionalFormatting sqref="C135">
    <cfRule type="cellIs" dxfId="45" priority="46" stopIfTrue="1" operator="equal">
      <formula>"Napkin Hs"</formula>
    </cfRule>
  </conditionalFormatting>
  <conditionalFormatting sqref="C135">
    <cfRule type="cellIs" dxfId="44" priority="43" stopIfTrue="1" operator="equal">
      <formula>"Towel"</formula>
    </cfRule>
    <cfRule type="cellIs" dxfId="43" priority="44" stopIfTrue="1" operator="equal">
      <formula>"Napkin Hs"</formula>
    </cfRule>
  </conditionalFormatting>
  <conditionalFormatting sqref="C135">
    <cfRule type="cellIs" dxfId="42" priority="45" stopIfTrue="1" operator="equal">
      <formula>"Towel"</formula>
    </cfRule>
  </conditionalFormatting>
  <conditionalFormatting sqref="C134">
    <cfRule type="cellIs" dxfId="41" priority="41" stopIfTrue="1" operator="equal">
      <formula>"Towel"</formula>
    </cfRule>
    <cfRule type="cellIs" dxfId="40" priority="42" stopIfTrue="1" operator="equal">
      <formula>"Napkin Hs"</formula>
    </cfRule>
  </conditionalFormatting>
  <conditionalFormatting sqref="C134">
    <cfRule type="cellIs" dxfId="39" priority="37" stopIfTrue="1" operator="equal">
      <formula>"Towel"</formula>
    </cfRule>
    <cfRule type="cellIs" dxfId="38" priority="38" stopIfTrue="1" operator="equal">
      <formula>"Napkin Hs"</formula>
    </cfRule>
  </conditionalFormatting>
  <conditionalFormatting sqref="B134">
    <cfRule type="cellIs" dxfId="37" priority="27" stopIfTrue="1" operator="equal">
      <formula>"Towel"</formula>
    </cfRule>
    <cfRule type="cellIs" dxfId="36" priority="28" stopIfTrue="1" operator="equal">
      <formula>"Napkin Hs"</formula>
    </cfRule>
  </conditionalFormatting>
  <conditionalFormatting sqref="B134">
    <cfRule type="cellIs" dxfId="35" priority="29" stopIfTrue="1" operator="equal">
      <formula>"Towel"</formula>
    </cfRule>
    <cfRule type="cellIs" dxfId="34" priority="30" stopIfTrue="1" operator="equal">
      <formula>"Napkin Hs"</formula>
    </cfRule>
  </conditionalFormatting>
  <conditionalFormatting sqref="C134">
    <cfRule type="cellIs" dxfId="33" priority="31" stopIfTrue="1" operator="equal">
      <formula>"Towel"</formula>
    </cfRule>
    <cfRule type="cellIs" dxfId="32" priority="32" stopIfTrue="1" operator="equal">
      <formula>"Napkin Hs"</formula>
    </cfRule>
  </conditionalFormatting>
  <conditionalFormatting sqref="C134">
    <cfRule type="cellIs" dxfId="31" priority="40" stopIfTrue="1" operator="equal">
      <formula>"Napkin Hs"</formula>
    </cfRule>
  </conditionalFormatting>
  <conditionalFormatting sqref="C134">
    <cfRule type="cellIs" dxfId="30" priority="39" stopIfTrue="1" operator="equal">
      <formula>"Towel"</formula>
    </cfRule>
  </conditionalFormatting>
  <conditionalFormatting sqref="C134">
    <cfRule type="cellIs" dxfId="29" priority="35" stopIfTrue="1" operator="equal">
      <formula>"Towel"</formula>
    </cfRule>
    <cfRule type="cellIs" dxfId="28" priority="36" stopIfTrue="1" operator="equal">
      <formula>"Napkin Hs"</formula>
    </cfRule>
  </conditionalFormatting>
  <conditionalFormatting sqref="C134">
    <cfRule type="cellIs" dxfId="27" priority="34" stopIfTrue="1" operator="equal">
      <formula>"Napkin Hs"</formula>
    </cfRule>
  </conditionalFormatting>
  <conditionalFormatting sqref="C134">
    <cfRule type="cellIs" dxfId="26" priority="33" stopIfTrue="1" operator="equal">
      <formula>"Towel"</formula>
    </cfRule>
  </conditionalFormatting>
  <conditionalFormatting sqref="C133">
    <cfRule type="cellIs" dxfId="25" priority="26" stopIfTrue="1" operator="equal">
      <formula>"Napkin Hs"</formula>
    </cfRule>
  </conditionalFormatting>
  <conditionalFormatting sqref="C133">
    <cfRule type="cellIs" dxfId="24" priority="25" stopIfTrue="1" operator="equal">
      <formula>"Napkin Hs"</formula>
    </cfRule>
  </conditionalFormatting>
  <conditionalFormatting sqref="B139:C139">
    <cfRule type="cellIs" dxfId="23" priority="23" stopIfTrue="1" operator="equal">
      <formula>"Towel"</formula>
    </cfRule>
    <cfRule type="cellIs" dxfId="22" priority="24" stopIfTrue="1" operator="equal">
      <formula>"Napkin Hs"</formula>
    </cfRule>
  </conditionalFormatting>
  <conditionalFormatting sqref="C139">
    <cfRule type="cellIs" dxfId="21" priority="22" stopIfTrue="1" operator="equal">
      <formula>"Napkin Hs"</formula>
    </cfRule>
  </conditionalFormatting>
  <conditionalFormatting sqref="C139">
    <cfRule type="cellIs" dxfId="20" priority="19" stopIfTrue="1" operator="equal">
      <formula>"Towel"</formula>
    </cfRule>
    <cfRule type="cellIs" dxfId="19" priority="20" stopIfTrue="1" operator="equal">
      <formula>"Napkin Hs"</formula>
    </cfRule>
  </conditionalFormatting>
  <conditionalFormatting sqref="C139">
    <cfRule type="cellIs" dxfId="18" priority="21" stopIfTrue="1" operator="equal">
      <formula>"Towel"</formula>
    </cfRule>
  </conditionalFormatting>
  <conditionalFormatting sqref="C138">
    <cfRule type="cellIs" dxfId="17" priority="17" stopIfTrue="1" operator="equal">
      <formula>"Towel"</formula>
    </cfRule>
    <cfRule type="cellIs" dxfId="16" priority="18" stopIfTrue="1" operator="equal">
      <formula>"Napkin Hs"</formula>
    </cfRule>
  </conditionalFormatting>
  <conditionalFormatting sqref="C138">
    <cfRule type="cellIs" dxfId="15" priority="13" stopIfTrue="1" operator="equal">
      <formula>"Towel"</formula>
    </cfRule>
    <cfRule type="cellIs" dxfId="14" priority="14" stopIfTrue="1" operator="equal">
      <formula>"Napkin Hs"</formula>
    </cfRule>
  </conditionalFormatting>
  <conditionalFormatting sqref="B138">
    <cfRule type="cellIs" dxfId="13" priority="3" stopIfTrue="1" operator="equal">
      <formula>"Towel"</formula>
    </cfRule>
    <cfRule type="cellIs" dxfId="12" priority="4" stopIfTrue="1" operator="equal">
      <formula>"Napkin Hs"</formula>
    </cfRule>
  </conditionalFormatting>
  <conditionalFormatting sqref="B138">
    <cfRule type="cellIs" dxfId="11" priority="5" stopIfTrue="1" operator="equal">
      <formula>"Towel"</formula>
    </cfRule>
    <cfRule type="cellIs" dxfId="10" priority="6" stopIfTrue="1" operator="equal">
      <formula>"Napkin Hs"</formula>
    </cfRule>
  </conditionalFormatting>
  <conditionalFormatting sqref="C138">
    <cfRule type="cellIs" dxfId="9" priority="7" stopIfTrue="1" operator="equal">
      <formula>"Towel"</formula>
    </cfRule>
    <cfRule type="cellIs" dxfId="8" priority="8" stopIfTrue="1" operator="equal">
      <formula>"Napkin Hs"</formula>
    </cfRule>
  </conditionalFormatting>
  <conditionalFormatting sqref="C138">
    <cfRule type="cellIs" dxfId="7" priority="16" stopIfTrue="1" operator="equal">
      <formula>"Napkin Hs"</formula>
    </cfRule>
  </conditionalFormatting>
  <conditionalFormatting sqref="C138">
    <cfRule type="cellIs" dxfId="6" priority="15" stopIfTrue="1" operator="equal">
      <formula>"Towel"</formula>
    </cfRule>
  </conditionalFormatting>
  <conditionalFormatting sqref="C138">
    <cfRule type="cellIs" dxfId="5" priority="11" stopIfTrue="1" operator="equal">
      <formula>"Towel"</formula>
    </cfRule>
    <cfRule type="cellIs" dxfId="4" priority="12" stopIfTrue="1" operator="equal">
      <formula>"Napkin Hs"</formula>
    </cfRule>
  </conditionalFormatting>
  <conditionalFormatting sqref="C138">
    <cfRule type="cellIs" dxfId="3" priority="10" stopIfTrue="1" operator="equal">
      <formula>"Napkin Hs"</formula>
    </cfRule>
  </conditionalFormatting>
  <conditionalFormatting sqref="C138">
    <cfRule type="cellIs" dxfId="2" priority="9" stopIfTrue="1" operator="equal">
      <formula>"Towel"</formula>
    </cfRule>
  </conditionalFormatting>
  <conditionalFormatting sqref="C137">
    <cfRule type="cellIs" dxfId="1" priority="2" stopIfTrue="1" operator="equal">
      <formula>"Napkin Hs"</formula>
    </cfRule>
  </conditionalFormatting>
  <conditionalFormatting sqref="C137">
    <cfRule type="cellIs" dxfId="0" priority="1" stopIfTrue="1" operator="equal">
      <formula>"Napkin Hs"</formula>
    </cfRule>
  </conditionalFormatting>
  <pageMargins left="0.75" right="0.75" top="1" bottom="1" header="0.5" footer="0.5"/>
  <pageSetup scale="2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Resume</vt:lpstr>
      <vt:lpstr>PM 11</vt:lpstr>
      <vt:lpstr>PM 12</vt:lpstr>
      <vt:lpstr>PM 14</vt:lpstr>
      <vt:lpstr>PM 15</vt:lpstr>
      <vt:lpstr>PM 16</vt:lpstr>
      <vt:lpstr>PM 17</vt:lpstr>
      <vt:lpstr>'PM 11'!Print_Area</vt:lpstr>
      <vt:lpstr>'PM 12'!Print_Area</vt:lpstr>
      <vt:lpstr>'PM 14'!Print_Area</vt:lpstr>
      <vt:lpstr>'PM 15'!Print_Area</vt:lpstr>
      <vt:lpstr>'PM 16'!Print_Area</vt:lpstr>
      <vt:lpstr>'PM 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Produksi-PM</cp:lastModifiedBy>
  <dcterms:created xsi:type="dcterms:W3CDTF">2022-03-02T04:27:45Z</dcterms:created>
  <dcterms:modified xsi:type="dcterms:W3CDTF">2025-12-02T03:36:03Z</dcterms:modified>
</cp:coreProperties>
</file>